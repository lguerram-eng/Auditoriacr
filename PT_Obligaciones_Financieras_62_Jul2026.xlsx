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T_62" sheetId="1" state="visible" r:id="rId3"/>
    <sheet name="Resumen" sheetId="2" state="visible" r:id="rId4"/>
    <sheet name="Mayor_Mov" sheetId="3" state="visible" r:id="rId5"/>
    <sheet name="Balance_21" sheetId="4" state="visible" r:id="rId6"/>
    <sheet name="Cruce_Mov_Balance" sheetId="5" state="visible" r:id="rId7"/>
    <sheet name="Detalle_62" sheetId="6" state="visible" r:id="rId8"/>
    <sheet name="Certificados" sheetId="7" state="visible" r:id="rId9"/>
    <sheet name="Mayor_Dic25" sheetId="8" state="visible" r:id="rId10"/>
    <sheet name="Saldos_x_Obligacion" sheetId="9" state="visible" r:id="rId11"/>
    <sheet name="Cruce_Detalle_Mayor" sheetId="10" state="visible" r:id="rId12"/>
    <sheet name="Recalculo_Intereses" sheetId="11" state="visible" r:id="rId13"/>
    <sheet name="A01-9441" sheetId="12" state="visible" r:id="rId14"/>
    <sheet name="A02-9448" sheetId="13" state="visible" r:id="rId15"/>
    <sheet name="A03-2753" sheetId="14" state="visible" r:id="rId16"/>
    <sheet name="A04-D-0624" sheetId="15" state="visible" r:id="rId17"/>
    <sheet name="A05-D-7691" sheetId="16" state="visible" r:id="rId18"/>
    <sheet name="A06-D-9032" sheetId="17" state="visible" r:id="rId19"/>
    <sheet name="A07-B-6746" sheetId="18" state="visible" r:id="rId20"/>
    <sheet name="A08-B-0629" sheetId="19" state="visible" r:id="rId21"/>
    <sheet name="A09-B-7259" sheetId="20" state="visible" r:id="rId22"/>
    <sheet name="A10-B-7469" sheetId="21" state="visible" r:id="rId23"/>
    <sheet name="A11-Hoja2" sheetId="22" state="visible" r:id="rId24"/>
    <sheet name="A12-9224" sheetId="23" state="visible" r:id="rId25"/>
    <sheet name="A13-9180" sheetId="24" state="visible" r:id="rId26"/>
    <sheet name="A14-9117" sheetId="25" state="visible" r:id="rId27"/>
    <sheet name="A15-9064" sheetId="26" state="visible" r:id="rId28"/>
    <sheet name="A16-9299" sheetId="27" state="visible" r:id="rId29"/>
    <sheet name="A17-5005" sheetId="28" state="visible" r:id="rId30"/>
    <sheet name="A18-P-9940" sheetId="29" state="visible" r:id="rId31"/>
    <sheet name="A19-V-7262" sheetId="30" state="visible" r:id="rId32"/>
    <sheet name="A20-BC-5867" sheetId="31" state="visible" r:id="rId33"/>
    <sheet name="A21-362095" sheetId="32" state="visible" r:id="rId34"/>
    <sheet name="A22-336817" sheetId="33" state="visible" r:id="rId35"/>
    <sheet name="A23-331330" sheetId="34" state="visible" r:id="rId36"/>
    <sheet name="A24-DD-0709" sheetId="35" state="visible" r:id="rId37"/>
    <sheet name="A25-3934" sheetId="36" state="visible" r:id="rId38"/>
    <sheet name="Rev_Tablas_Amort" sheetId="37" state="visible" r:id="rId39"/>
    <sheet name="Int_Glosas" sheetId="38" state="visible" r:id="rId40"/>
    <sheet name="Intereses_x_Obligacion" sheetId="39" state="visible" r:id="rId41"/>
    <sheet name="Gasto_Intereses" sheetId="40" state="visible" r:id="rId42"/>
    <sheet name="Clasif_CP_LP" sheetId="41" state="visible" r:id="rId43"/>
    <sheet name="Hallazgos" sheetId="42" state="visible" r:id="rId44"/>
    <sheet name="Pendientes" sheetId="43" state="visible" r:id="rId45"/>
  </sheets>
  <definedNames>
    <definedName function="false" hidden="true" localSheetId="2" name="_xlnm._FilterDatabase" vbProcedure="false">Mayor_Mov!$A$4:$P$445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 de auditoría: diferencias de hasta $1.000 se consideran redondeo. Ajustar según la materialidad del encargo.</t>
        </r>
      </text>
    </comment>
    <comment ref="C7" authorId="0">
      <text>
        <r>
          <rPr>
            <sz val="10"/>
            <rFont val="Arial"/>
            <family val="2"/>
          </rPr>
          <t xml:space="preserve">Supuesto de auditoría: ±2% por diferencias de convención (días/base, fecha de fijación del IBR/DTF).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Comparación cuenta a cuenta de las 1.268 cuentas de ambos archivos realizada por auditoría (script). Resultado: 0 diferencias.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3" authorId="0">
      <text>
        <r>
          <rPr>
            <sz val="10"/>
            <rFont val="Arial"/>
            <family val="2"/>
          </rPr>
          <t xml:space="preserve">Valor según mayor (NB-00001014, 28-jul-26), no incluido en el detalle 62.</t>
        </r>
      </text>
    </comment>
  </commentList>
</comments>
</file>

<file path=xl/sharedStrings.xml><?xml version="1.0" encoding="utf-8"?>
<sst xmlns="http://schemas.openxmlformats.org/spreadsheetml/2006/main" count="9602" uniqueCount="2260">
  <si>
    <t xml:space="preserve">GUAICARAMO S.A.S.</t>
  </si>
  <si>
    <t xml:space="preserve">CLIENTE:</t>
  </si>
  <si>
    <t xml:space="preserve">PREPARADO:</t>
  </si>
  <si>
    <t xml:space="preserve">REVISADO:</t>
  </si>
  <si>
    <t xml:space="preserve">Ref. PT</t>
  </si>
  <si>
    <t xml:space="preserve">NIT:</t>
  </si>
  <si>
    <t xml:space="preserve">860.040.584-0</t>
  </si>
  <si>
    <t xml:space="preserve">62 / 64</t>
  </si>
  <si>
    <t xml:space="preserve">PERIODO:</t>
  </si>
  <si>
    <t xml:space="preserve">1-ene-2026 a 31-jul-2026</t>
  </si>
  <si>
    <t xml:space="preserve">Fecha:</t>
  </si>
  <si>
    <t xml:space="preserve">FECHA DE CORTE:</t>
  </si>
  <si>
    <t xml:space="preserve">Iniciales y fecha en celdas amarillas</t>
  </si>
  <si>
    <t xml:space="preserve">NOMBRE P/T:</t>
  </si>
  <si>
    <t xml:space="preserve">OBLIGACIONES FINANCIERAS (cuenta 21 – papel 62/64)</t>
  </si>
  <si>
    <t xml:space="preserve">MARCO TÉCNICO:</t>
  </si>
  <si>
    <t xml:space="preserve">NIIF Plenas (Grupo 1): NIIF 9, NIIF 16, NIC 1, NIIF 7, NIC 23, NIC 24</t>
  </si>
  <si>
    <t xml:space="preserve">MONEDA:</t>
  </si>
  <si>
    <t xml:space="preserve">Pesos colombianos (COP)</t>
  </si>
  <si>
    <t xml:space="preserve">OBJETIVO GENERAL</t>
  </si>
  <si>
    <t xml:space="preserve">Obtener evidencia suficiente y apropiada sobre la razonabilidad de los saldos de obligaciones financieras (créditos y pasivos por arrendamiento financiero) e intereses por pagar al 31-jul-2026, y del gasto financiero asociado, verificando integridad, existencia, exactitud, valuación a costo amortizado (método del interés efectivo – NIIF 9 §4.2.1 y B5.4; NIIF 16 §36), corte y clasificación corriente/no corriente (NIC 1 §69-76), con base en el balance de prueba, el auxiliar contable, el detalle 62, las tablas de amortización (papel 64) y los extractos/certificados bancarios.</t>
  </si>
  <si>
    <t xml:space="preserve">LIMITACIONES AL ALCANCE</t>
  </si>
  <si>
    <t xml:space="preserve">ASEVERACIONES</t>
  </si>
  <si>
    <t xml:space="preserve">Aseveración</t>
  </si>
  <si>
    <t xml:space="preserve">Procedimiento principal</t>
  </si>
  <si>
    <t xml:space="preserve">Hoja soporte</t>
  </si>
  <si>
    <t xml:space="preserve">Resultado</t>
  </si>
  <si>
    <t xml:space="preserve">Existencia / Ocurrencia</t>
  </si>
  <si>
    <t xml:space="preserve">Cotejo con certificados y extractos bancarios; pagos certificados vs comprobantes.</t>
  </si>
  <si>
    <t xml:space="preserve">Certificados</t>
  </si>
  <si>
    <t xml:space="preserve">Integridad</t>
  </si>
  <si>
    <t xml:space="preserve">Movimiento vs balance; detalle 62 vs mayor por obligación; obligaciones del mayor no incluidas en el detalle.</t>
  </si>
  <si>
    <t xml:space="preserve">Saldos_x_Obligacion</t>
  </si>
  <si>
    <t xml:space="preserve">Exactitud / Valuación</t>
  </si>
  <si>
    <t xml:space="preserve">Recálculo de intereses, de las tablas de amortización y de la causación al corte (NIIF 9 B5.4, NIIF 16 §36).</t>
  </si>
  <si>
    <t xml:space="preserve">Recalculo_Intereses / Rev_Tablas_Amort</t>
  </si>
  <si>
    <t xml:space="preserve">Corte</t>
  </si>
  <si>
    <t xml:space="preserve">Causación de intereses entre el último pago y el 31-jul; prórrogas y desembolsos cercanos al cierre.</t>
  </si>
  <si>
    <t xml:space="preserve">Recalculo_Intereses</t>
  </si>
  <si>
    <t xml:space="preserve">Derechos y obligaciones</t>
  </si>
  <si>
    <t xml:space="preserve">Titularidad de las obligaciones (NIT Guaicaramo) y obligaciones de terceros incluidas en el archivo de tablas.</t>
  </si>
  <si>
    <t xml:space="preserve">Rev_Tablas_Amort</t>
  </si>
  <si>
    <t xml:space="preserve">Clasificación y presentación</t>
  </si>
  <si>
    <t xml:space="preserve">Porción corriente según tablas y vencimientos (NIC 1 §69); agrupación de tarjetas de crédito.</t>
  </si>
  <si>
    <t xml:space="preserve">Clasif_CP_LP</t>
  </si>
  <si>
    <t xml:space="preserve">Revelación</t>
  </si>
  <si>
    <t xml:space="preserve">Datos para NIIF 7 (vencimientos, tasas variables IBR/DTF) y NIIF 16 (pasivos por arrendamiento).</t>
  </si>
  <si>
    <t xml:space="preserve">Detalle_62 / Rev_Tablas_Amort</t>
  </si>
  <si>
    <t xml:space="preserve">TÉCNICAS DE AUDITORÍA APLICADAS</t>
  </si>
  <si>
    <t xml:space="preserve">☑ Análisis   ☑ Recálculo   ☑ Inspección documental (extractos/certificados)   ☑ Comparación (mayor ↔ detalle ↔ tabla ↔ banco)   ☑ Prueba analítica sustantiva   ☐ Confirmación externa (pendiente)</t>
  </si>
  <si>
    <t xml:space="preserve">PROCEDIMIENTOS</t>
  </si>
  <si>
    <t xml:space="preserve">#</t>
  </si>
  <si>
    <t xml:space="preserve">Procedimiento</t>
  </si>
  <si>
    <t xml:space="preserve">Ref. hoja</t>
  </si>
  <si>
    <t xml:space="preserve">Cruzar el auxiliar de la cuenta 21 contra el balance de prueba (débitos, créditos y saldos) y comparar las dos versiones del balance.</t>
  </si>
  <si>
    <t xml:space="preserve">Cruce_Mov_Balance</t>
  </si>
  <si>
    <t xml:space="preserve">Reconstruir el saldo del mayor por obligación (detalle 31-dic-25 + movimientos 2026) y cruzarlo con el detalle 62.</t>
  </si>
  <si>
    <t xml:space="preserve">Cotejar saldos, tasas, vencimientos y pagos con extractos/certificados bancarios.</t>
  </si>
  <si>
    <t xml:space="preserve">Revisar y recalcular las tablas de amortización del cliente (papel 64): aritmética, TIR, saldo al corte, porción corriente.</t>
  </si>
  <si>
    <t xml:space="preserve">Rev_Tablas_Amort / A01–A25</t>
  </si>
  <si>
    <t xml:space="preserve">Recalcular intereses liquidados por los bancos y la causación al 31-jul (costo amortizado).</t>
  </si>
  <si>
    <t xml:space="preserve">Recalculo_Intereses / Intereses_x_Obligacion</t>
  </si>
  <si>
    <t xml:space="preserve">Cruzar las cuentas de gasto financiero (5305) y de intereses por pagar (2130) contra la suma por obligación.</t>
  </si>
  <si>
    <t xml:space="preserve">Intereses_x_Obligacion</t>
  </si>
  <si>
    <t xml:space="preserve">Prueba analítica sustantiva del gasto por intereses.</t>
  </si>
  <si>
    <t xml:space="preserve">Gasto_Intereses</t>
  </si>
  <si>
    <t xml:space="preserve">Evaluar la clasificación corriente / no corriente y la presentación.</t>
  </si>
  <si>
    <t xml:space="preserve">Concluir y documentar hallazgos, ajustes y pendientes.</t>
  </si>
  <si>
    <t xml:space="preserve">Hallazgos / Pendientes</t>
  </si>
  <si>
    <t xml:space="preserve">FUENTES DE INFORMACIÓN</t>
  </si>
  <si>
    <t xml:space="preserve">[A] Balance de prueba NIIF a jul-2026 (Balance_2026_GUUU.xlsx – 24-ago-26 – y Obl_Financieros.xlsx/Hoja1 – 29-sep-26).</t>
  </si>
  <si>
    <t xml:space="preserve">[A] Auxiliar cuenta 21 ene–jul 2026 (Obl_Financieros.xlsx/Sheet1).</t>
  </si>
  <si>
    <t xml:space="preserve">[A] Detalle de obligaciones financieras a jul-26 (62._Obligaciones_Financieras.xlsx).</t>
  </si>
  <si>
    <t xml:space="preserve">[A] Tablas de amortización (64._Tabla_amortización_obligaciones_financieras.xlsm).</t>
  </si>
  <si>
    <t xml:space="preserve">[A] PT Obligaciones Financieras al 31-dic-2025 (ejemplo.xlsx): detalle del mayor por obligación y saldos de extractos a dic-25.</t>
  </si>
  <si>
    <t xml:space="preserve">[C] Extractos/certificados bancarios (ilovepdf_merged_1.pdf; LEASING_1275-3/9441-2/9448-3_DAVIVIENDA.pdf).</t>
  </si>
  <si>
    <t xml:space="preserve">******* 1 *******   Prueba de auditoría – Cuentas del balance vs detalle 62 vs saldo por obligación</t>
  </si>
  <si>
    <t xml:space="preserve">CUENTA</t>
  </si>
  <si>
    <t xml:space="preserve">DESCRIPCIÓN</t>
  </si>
  <si>
    <t xml:space="preserve">SALDO BALANCE 31/07/2026</t>
  </si>
  <si>
    <t xml:space="preserve">SALDO DETALLE 62</t>
  </si>
  <si>
    <t xml:space="preserve">SALDO POR OBLIGACIÓN (mayor)</t>
  </si>
  <si>
    <t xml:space="preserve">DIF. BALANCE − DETALLE 62</t>
  </si>
  <si>
    <t xml:space="preserve">DIF. BALANCE − POR OBLIGACIÓN</t>
  </si>
  <si>
    <t xml:space="preserve">MARCA</t>
  </si>
  <si>
    <t xml:space="preserve">210501 + 210502</t>
  </si>
  <si>
    <t xml:space="preserve">Créditos (sin tarjetas de crédito)</t>
  </si>
  <si>
    <t xml:space="preserve">[D] [A]</t>
  </si>
  <si>
    <t xml:space="preserve">212020 + 212021</t>
  </si>
  <si>
    <t xml:space="preserve">Leasing financiero (NIIF 16)</t>
  </si>
  <si>
    <t xml:space="preserve">213001</t>
  </si>
  <si>
    <t xml:space="preserve">Intereses financieros por pagar</t>
  </si>
  <si>
    <t xml:space="preserve">No incluido</t>
  </si>
  <si>
    <t xml:space="preserve">21050301</t>
  </si>
  <si>
    <t xml:space="preserve">Tarjetas de crédito por pagar</t>
  </si>
  <si>
    <t xml:space="preserve">N/A</t>
  </si>
  <si>
    <t xml:space="preserve">TOTAL</t>
  </si>
  <si>
    <t xml:space="preserve">******* 2 *******   Validación por terceros y número de obligación financiera (saldo mayor vs detalle vs tabla vs extracto)</t>
  </si>
  <si>
    <t xml:space="preserve">Banco Davivienda</t>
  </si>
  <si>
    <t xml:space="preserve">N° obligación (ID)</t>
  </si>
  <si>
    <t xml:space="preserve">Descripción</t>
  </si>
  <si>
    <t xml:space="preserve">Saldo mayor 31-jul</t>
  </si>
  <si>
    <t xml:space="preserve">Saldo detalle 62</t>
  </si>
  <si>
    <t xml:space="preserve">Saldo tabla amort.</t>
  </si>
  <si>
    <t xml:space="preserve">Saldo extracto/banco</t>
  </si>
  <si>
    <t xml:space="preserve">Dif. mayor − banco</t>
  </si>
  <si>
    <t xml:space="preserve">Tipo tasa</t>
  </si>
  <si>
    <t xml:space="preserve">Frecuencia</t>
  </si>
  <si>
    <t xml:space="preserve">Fecha venc.</t>
  </si>
  <si>
    <t xml:space="preserve">Tasa EA banco</t>
  </si>
  <si>
    <t xml:space="preserve">Intereses 2026 registrados</t>
  </si>
  <si>
    <t xml:space="preserve">Int. por pagar 2130</t>
  </si>
  <si>
    <t xml:space="preserve">Causación recalc. 31-jul</t>
  </si>
  <si>
    <t xml:space="preserve">Marca</t>
  </si>
  <si>
    <t xml:space="preserve">DAV-8906</t>
  </si>
  <si>
    <t xml:space="preserve">DAV-569032</t>
  </si>
  <si>
    <t xml:space="preserve">DAV-830624</t>
  </si>
  <si>
    <t xml:space="preserve">DAV-607691</t>
  </si>
  <si>
    <t xml:space="preserve">DAV-L1019441</t>
  </si>
  <si>
    <t xml:space="preserve">DAV-L1019448</t>
  </si>
  <si>
    <t xml:space="preserve">DAV-L1021275</t>
  </si>
  <si>
    <t xml:space="preserve">DAV-LGECOLSA</t>
  </si>
  <si>
    <t xml:space="preserve">Subtotal</t>
  </si>
  <si>
    <t xml:space="preserve">Banco De Bogota</t>
  </si>
  <si>
    <t xml:space="preserve">BOG-453436746</t>
  </si>
  <si>
    <t xml:space="preserve">BOG-856670629</t>
  </si>
  <si>
    <t xml:space="preserve">BOG-858177259</t>
  </si>
  <si>
    <t xml:space="preserve">BOG-1159383796</t>
  </si>
  <si>
    <t xml:space="preserve">BOG-L556449224</t>
  </si>
  <si>
    <t xml:space="preserve">BOG-L556449180</t>
  </si>
  <si>
    <t xml:space="preserve">BOG-L556449117</t>
  </si>
  <si>
    <t xml:space="preserve">BOG-L556449064</t>
  </si>
  <si>
    <t xml:space="preserve">BOG-L556449288</t>
  </si>
  <si>
    <t xml:space="preserve">BOG-L557285005</t>
  </si>
  <si>
    <t xml:space="preserve">Banco Popular</t>
  </si>
  <si>
    <t xml:space="preserve">POP-631309940</t>
  </si>
  <si>
    <t xml:space="preserve">Bbva</t>
  </si>
  <si>
    <t xml:space="preserve">BBVA-0141</t>
  </si>
  <si>
    <t xml:space="preserve">Bancolombia S.A.</t>
  </si>
  <si>
    <t xml:space="preserve">BCL-1260105867</t>
  </si>
  <si>
    <t xml:space="preserve">BCL-L362095</t>
  </si>
  <si>
    <t xml:space="preserve">BCL-L336817</t>
  </si>
  <si>
    <t xml:space="preserve">BCL-L331330</t>
  </si>
  <si>
    <t xml:space="preserve">BCL-L386735</t>
  </si>
  <si>
    <t xml:space="preserve">Partidas Ajenas En 2120 (Neto Cero)</t>
  </si>
  <si>
    <t xml:space="preserve">N/A-COMISION</t>
  </si>
  <si>
    <t xml:space="preserve">N/A-CRUCE</t>
  </si>
  <si>
    <t xml:space="preserve">******* 3 *******   Cuentas de intereses del balance vs suma por obligación (causación, pagos y gasto)</t>
  </si>
  <si>
    <t xml:space="preserve">Código</t>
  </si>
  <si>
    <t xml:space="preserve">Cuenta contable</t>
  </si>
  <si>
    <t xml:space="preserve">Saldo / mov. balance</t>
  </si>
  <si>
    <t xml:space="preserve">Valor según obligaciones</t>
  </si>
  <si>
    <t xml:space="preserve">Diferencia</t>
  </si>
  <si>
    <t xml:space="preserve">******* 4 *******   Revisión y recálculo de tablas de amortización (papel 64) – ver Rev_Tablas_Amort y anexos A01–A25</t>
  </si>
  <si>
    <t xml:space="preserve">Concepto</t>
  </si>
  <si>
    <t xml:space="preserve">Tabla</t>
  </si>
  <si>
    <t xml:space="preserve">Detalle 62</t>
  </si>
  <si>
    <t xml:space="preserve">Banco</t>
  </si>
  <si>
    <t xml:space="preserve">Saldo al 31-jul (obligaciones con tabla en el mayor)</t>
  </si>
  <si>
    <t xml:space="preserve">Interés ene–jul 2026 (tabla vs registrado)</t>
  </si>
  <si>
    <t xml:space="preserve">Porción corriente 12 meses (tabla vs detalle)</t>
  </si>
  <si>
    <t xml:space="preserve">******* 5 *******   Ajustes y reclasificaciones propuestos (detalle en hoja Hallazgos)</t>
  </si>
  <si>
    <t xml:space="preserve">AJE</t>
  </si>
  <si>
    <t xml:space="preserve">Cuenta</t>
  </si>
  <si>
    <t xml:space="preserve">Débito</t>
  </si>
  <si>
    <t xml:space="preserve">Crédito</t>
  </si>
  <si>
    <t xml:space="preserve">CONCLUSIÓN</t>
  </si>
  <si>
    <t xml:space="preserve">MARCAS DE AUDITORÍA</t>
  </si>
  <si>
    <t xml:space="preserve">[A]</t>
  </si>
  <si>
    <t xml:space="preserve">Información suministrada por el cliente</t>
  </si>
  <si>
    <t xml:space="preserve">[B]</t>
  </si>
  <si>
    <t xml:space="preserve">Cálculos / recálculos realizados por auditoría</t>
  </si>
  <si>
    <t xml:space="preserve">[C]</t>
  </si>
  <si>
    <t xml:space="preserve">Cotejado con extracto o certificado bancario 2026</t>
  </si>
  <si>
    <t xml:space="preserve">[D]</t>
  </si>
  <si>
    <t xml:space="preserve">Cotejado con balance de prueba / mayor</t>
  </si>
  <si>
    <t xml:space="preserve">[E]</t>
  </si>
  <si>
    <t xml:space="preserve">Estimado: extracto al 31-dic-25 (PT 2025) + movimientos 2026 – pendiente certificado</t>
  </si>
  <si>
    <t xml:space="preserve">[P]</t>
  </si>
  <si>
    <t xml:space="preserve">Pendiente de soporte</t>
  </si>
  <si>
    <t xml:space="preserve">VER SOPORTES / ANEXOS (clic para abrir)</t>
  </si>
  <si>
    <t xml:space="preserve">Resumen</t>
  </si>
  <si>
    <t xml:space="preserve">Hallazgos</t>
  </si>
  <si>
    <t xml:space="preserve">Pendientes</t>
  </si>
  <si>
    <t xml:space="preserve">Mayor_Dic25</t>
  </si>
  <si>
    <t xml:space="preserve">Int_Glosas</t>
  </si>
  <si>
    <t xml:space="preserve">Cruce_Detalle_Mayor</t>
  </si>
  <si>
    <t xml:space="preserve">Detalle_62</t>
  </si>
  <si>
    <t xml:space="preserve">Mayor_Mov</t>
  </si>
  <si>
    <t xml:space="preserve">Balance_21</t>
  </si>
  <si>
    <t xml:space="preserve">A01-9441</t>
  </si>
  <si>
    <t xml:space="preserve">A02-9448</t>
  </si>
  <si>
    <t xml:space="preserve">A03-2753</t>
  </si>
  <si>
    <t xml:space="preserve">A04-D-0624</t>
  </si>
  <si>
    <t xml:space="preserve">A05-D-7691</t>
  </si>
  <si>
    <t xml:space="preserve">A06-D-9032</t>
  </si>
  <si>
    <t xml:space="preserve">A07-B-6746</t>
  </si>
  <si>
    <t xml:space="preserve">A08-B-0629</t>
  </si>
  <si>
    <t xml:space="preserve">A09-B-7259</t>
  </si>
  <si>
    <t xml:space="preserve">A10-B-7469</t>
  </si>
  <si>
    <t xml:space="preserve">A11-Hoja2</t>
  </si>
  <si>
    <t xml:space="preserve">A12-9224</t>
  </si>
  <si>
    <t xml:space="preserve">A13-9180</t>
  </si>
  <si>
    <t xml:space="preserve">A14-9117</t>
  </si>
  <si>
    <t xml:space="preserve">A15-9064</t>
  </si>
  <si>
    <t xml:space="preserve">A16-9299</t>
  </si>
  <si>
    <t xml:space="preserve">A17-5005</t>
  </si>
  <si>
    <t xml:space="preserve">A18-P-9940</t>
  </si>
  <si>
    <t xml:space="preserve">A19-V-7262</t>
  </si>
  <si>
    <t xml:space="preserve">A20-BC-5867</t>
  </si>
  <si>
    <t xml:space="preserve">A21-362095</t>
  </si>
  <si>
    <t xml:space="preserve">A22-336817</t>
  </si>
  <si>
    <t xml:space="preserve">A23-331330</t>
  </si>
  <si>
    <t xml:space="preserve">A24-DD-0709</t>
  </si>
  <si>
    <t xml:space="preserve">A25-3934</t>
  </si>
  <si>
    <t xml:space="preserve">GUAICARAMO S.A.S. – Auditoría de Obligaciones Financieras (cuenta 21 / papel 62) – corte 31-jul-2026</t>
  </si>
  <si>
    <t xml:space="preserve">Cruce movimiento ↔ detalle 62 ↔ certificados bancarios ↔ balance de prueba; recálculo de intereses (NIIF 9 costo amortizado, NIIF 16, NIC 1). Cifras en pesos colombianos. Azul = dato de la fuente; negro = fórmula; verde = vínculo a otra hoja; amarillo = cifra clave.</t>
  </si>
  <si>
    <t xml:space="preserve">Parámetros</t>
  </si>
  <si>
    <t xml:space="preserve">Estado del papel</t>
  </si>
  <si>
    <t xml:space="preserve">Fecha de corte</t>
  </si>
  <si>
    <t xml:space="preserve">Umbral de diferencia trivial / redondeo (COP)</t>
  </si>
  <si>
    <t xml:space="preserve">Ver hoja 'Pendientes'</t>
  </si>
  <si>
    <t xml:space="preserve">Tolerancia recálculo de intereses (%)</t>
  </si>
  <si>
    <t xml:space="preserve">Resultados por prueba</t>
  </si>
  <si>
    <t xml:space="preserve">Prueba</t>
  </si>
  <si>
    <t xml:space="preserve">Valor A</t>
  </si>
  <si>
    <t xml:space="preserve">Valor B</t>
  </si>
  <si>
    <t xml:space="preserve">Estado</t>
  </si>
  <si>
    <t xml:space="preserve">1. Integridad: movimiento auxiliar vs balance – SF cuenta 21</t>
  </si>
  <si>
    <t xml:space="preserve">2. Integridad: balance 29-sep vs balance 24-ago – nº cuentas con diferencias</t>
  </si>
  <si>
    <t xml:space="preserve">3. Detalle 62: suma recalculada vs 'Total obligaciones' del cliente</t>
  </si>
  <si>
    <t xml:space="preserve">4. Créditos: detalle 62 vs mayor (21050100 + 21050201)</t>
  </si>
  <si>
    <t xml:space="preserve">5. Leasing: detalle 62 vs mayor (21202040 + 21202140)</t>
  </si>
  <si>
    <t xml:space="preserve">6. Certificados: capital banco 31-jul vs detalle 62 (obligaciones con saldo certificado)</t>
  </si>
  <si>
    <t xml:space="preserve">7. Certificados: pagos/intereses certificados vs registrados (comprobantes)</t>
  </si>
  <si>
    <t xml:space="preserve">8. Recálculo de intereses liquidados por el banco (Parte 1)</t>
  </si>
  <si>
    <t xml:space="preserve">9. Intereses causados al 31-jul: recalculado vs registrado en 2130</t>
  </si>
  <si>
    <t xml:space="preserve">10. Intereses por pagar: suma por obligación vs balance 2130</t>
  </si>
  <si>
    <t xml:space="preserve">Indicadores clave</t>
  </si>
  <si>
    <t xml:space="preserve">Saldo de capital según mayor 31-jul (2105 sin TC + 2120)</t>
  </si>
  <si>
    <t xml:space="preserve">Saldo según detalle 62</t>
  </si>
  <si>
    <t xml:space="preserve">Leasing 386735 omitido en el detalle 62</t>
  </si>
  <si>
    <t xml:space="preserve">Leasing GECOLSA (Davivienda) omitido en el detalle 62</t>
  </si>
  <si>
    <t xml:space="preserve">Leasings Bogotá: detalle 62 por debajo del mayor/certificados</t>
  </si>
  <si>
    <t xml:space="preserve">Diferencia de leasing sin explicar (residual)</t>
  </si>
  <si>
    <t xml:space="preserve">% del saldo del detalle 62 cubierto con certificados</t>
  </si>
  <si>
    <t xml:space="preserve">Intereses no causados al 31-jul (AJE-1)</t>
  </si>
  <si>
    <t xml:space="preserve">Reclasificación LP → CP propuesta (créditos + leasing)</t>
  </si>
  <si>
    <t xml:space="preserve">Gasto de intereses: desviación vs expectativa</t>
  </si>
  <si>
    <t xml:space="preserve">Conclusión prueba analítica</t>
  </si>
  <si>
    <t xml:space="preserve">Conclusión</t>
  </si>
  <si>
    <t xml:space="preserve">INTEGRIDAD – Mayor vs balance: el movimiento auxiliar de la cuenta 21 cuadra exactamente (débitos, créditos y saldos) con los dos balances de prueba, que son idénticos entre sí. Sin excepción.</t>
  </si>
  <si>
    <t xml:space="preserve">INTEGRIDAD – Detalle 62 vs mayor: los créditos cuadran (diferencia de redondeo $0,67). El leasing NO cuadra ($1.018 MM): leasing Bancolombia 386735 y leasing GECOLSA omitidos y saldos de tablas teóricas en el detalle; la diferencia queda explicada por obligación (Saldos_x_Obligacion).</t>
  </si>
  <si>
    <t xml:space="preserve">EXACTITUD – Certificados: los créditos cuadran con los extractos salvo redondeos de abonos a capital (&lt; $5.000). Los leasings de Banco de Bogotá están subvalorados en el detalle 62. Los pagos registrados coinciden con los extractos, salvo el canon 032 del leasing 1019441.</t>
  </si>
  <si>
    <t xml:space="preserve">RECÁLCULO – La liquidación bancaria es razonable en base 365 (Bogotá Finagro en base 360), excepto Davivienda 607691/569032, cuya tasa declarada no reconcilia. Hay intereses causados no registrados al 31-jul (AJE-1) por la política de causación del cliente.</t>
  </si>
  <si>
    <t xml:space="preserve">PRESENTACIÓN – Se requiere reclasificar la porción corriente (NIC 1.69) y corregir los errores CP/LP del detalle 62. Ver la hoja 'Hallazgos'.</t>
  </si>
  <si>
    <t xml:space="preserve">PENDIENTES – El papel se emite sin certificados de saldo de leasings Davivienda/Bancolombia, sin confirmaciones de BBVA, Banco Popular y del crédito Bogotá 1159383796, sin tablas de amortización y sin materialidad del encargo. Las conclusiones afectadas quedan 'Pendiente de soporte' (ver hoja 'Pendientes').</t>
  </si>
  <si>
    <t xml:space="preserve">Hojas del libro</t>
  </si>
  <si>
    <t xml:space="preserve">Movimiento auxiliar ene–jul con el ID de obligación asignado por auditoría</t>
  </si>
  <si>
    <t xml:space="preserve">Cuentas 21/5305 de ambos balances de prueba y su comparación</t>
  </si>
  <si>
    <t xml:space="preserve">Integridad: movimiento vs balance, jerarquía de cuentas y relación pasivo–gasto</t>
  </si>
  <si>
    <t xml:space="preserve">Detalle del cliente con recálculo de tasas, subtotales y CP/LP</t>
  </si>
  <si>
    <t xml:space="preserve">Detalle 62 vs mayor y roll-forward de capital por obligación</t>
  </si>
  <si>
    <t xml:space="preserve">Detalle 62 vs extractos bancarios del PDF y pagos certificados vs contabilidad</t>
  </si>
  <si>
    <t xml:space="preserve">Recálculo de la liquidación bancaria, causación al corte y saldos implícitos</t>
  </si>
  <si>
    <t xml:space="preserve">Prueba analítica del gasto por intereses</t>
  </si>
  <si>
    <t xml:space="preserve">Clasificación corriente/no corriente (NIC 1)</t>
  </si>
  <si>
    <t xml:space="preserve">Hallazgos, normas y ajustes propuestos</t>
  </si>
  <si>
    <t xml:space="preserve">Información pendiente de soporte y tratamiento provisional</t>
  </si>
  <si>
    <t xml:space="preserve">PT_62</t>
  </si>
  <si>
    <t xml:space="preserve">Papel de trabajo principal (formato PT): aseveraciones, procedimientos, secciones 1–5 y conclusión</t>
  </si>
  <si>
    <t xml:space="preserve">Saldo por obligación: mayor vs detalle 62 vs tabla vs banco</t>
  </si>
  <si>
    <t xml:space="preserve">Detalle del mayor al 31-dic-25 (PT 2025) por obligación</t>
  </si>
  <si>
    <t xml:space="preserve">Revisión y recálculo de tablas de amortización (anexos A01–A25)</t>
  </si>
  <si>
    <t xml:space="preserve">Intereses 2026 por obligación y cruce de cuentas 2130/5305</t>
  </si>
  <si>
    <t xml:space="preserve">Intereses pagados directo al gasto según glosas</t>
  </si>
  <si>
    <t xml:space="preserve">Movimiento auxiliar cuenta 21 – Obligaciones financieras (ene–jul 2026)</t>
  </si>
  <si>
    <t xml:space="preserve">Fuente: Obl_Financieros.xlsx / Sheet1 (Siesa). Columnas N–P asignadas por auditoría (ID de obligación, clase y tipo de movimiento).</t>
  </si>
  <si>
    <t xml:space="preserve">Fila origen</t>
  </si>
  <si>
    <t xml:space="preserve">Nombre cuenta</t>
  </si>
  <si>
    <t xml:space="preserve">Tercero</t>
  </si>
  <si>
    <t xml:space="preserve">Neto (D-C)</t>
  </si>
  <si>
    <t xml:space="preserve">Fecha</t>
  </si>
  <si>
    <t xml:space="preserve">NIT</t>
  </si>
  <si>
    <t xml:space="preserve">Documento</t>
  </si>
  <si>
    <t xml:space="preserve">Tipo documento</t>
  </si>
  <si>
    <t xml:space="preserve">Usuario</t>
  </si>
  <si>
    <t xml:space="preserve">ID obligación (auditoría)</t>
  </si>
  <si>
    <t xml:space="preserve">Clase</t>
  </si>
  <si>
    <t xml:space="preserve">Tipo movimiento</t>
  </si>
  <si>
    <t xml:space="preserve">21050100</t>
  </si>
  <si>
    <t xml:space="preserve">Obl.Financiera Corto Plazo</t>
  </si>
  <si>
    <t xml:space="preserve">BANCO BILBAO VIZCAYA ARGENTARIA COLOMBIA S A PUDIENDO UTILIZAR INDISTINTAMENTE PARA TODOS LOS EFECTO</t>
  </si>
  <si>
    <t xml:space="preserve">860003020</t>
  </si>
  <si>
    <t xml:space="preserve">CE-00035090</t>
  </si>
  <si>
    <t xml:space="preserve">Comprobante de Egreso</t>
  </si>
  <si>
    <t xml:space="preserve">RENOVACION CREDITO 0141 PLAZO 6 MESES - AMORTIZACION AL VENCIMIENTO -INTERESES MENSUALES - IBR + 1 EA 4.700.000.000</t>
  </si>
  <si>
    <t xml:space="preserve">yan.lopez</t>
  </si>
  <si>
    <t xml:space="preserve">Capital crédito CP</t>
  </si>
  <si>
    <t xml:space="preserve">Renovación / prórroga</t>
  </si>
  <si>
    <t xml:space="preserve">BANCO DAVIVIENDA S.A.</t>
  </si>
  <si>
    <t xml:space="preserve">860002964</t>
  </si>
  <si>
    <t xml:space="preserve">NB-00000892</t>
  </si>
  <si>
    <t xml:space="preserve">Notas Bancarias</t>
  </si>
  <si>
    <t xml:space="preserve">PRESTAMO (1155297469) DE 10.000MM PARA PAGO CREDI 8906 DE DAVIVIENDA POR EL MISMO VALOR</t>
  </si>
  <si>
    <t xml:space="preserve">Pago de capital</t>
  </si>
  <si>
    <t xml:space="preserve">BANCO DE BOGOTA</t>
  </si>
  <si>
    <t xml:space="preserve">Desembolso / nueva obligación</t>
  </si>
  <si>
    <t xml:space="preserve">NB-00001016</t>
  </si>
  <si>
    <t xml:space="preserve">PRORROGA CREDITO 7469 POR EL CREDITO 1159383796 IBR TM + 0.8 VENCIMIENTO 6 MESES</t>
  </si>
  <si>
    <t xml:space="preserve">21050201</t>
  </si>
  <si>
    <t xml:space="preserve">Obg.Financiera Largo Plazo</t>
  </si>
  <si>
    <t xml:space="preserve">CL-00000354</t>
  </si>
  <si>
    <t xml:space="preserve">Causación Obligaciones Financieras</t>
  </si>
  <si>
    <t xml:space="preserve">CUOTA 94 CREDITO 453436746 MENSUAL CAPITAL 62.500.000 INTERESES 41.849.155.99</t>
  </si>
  <si>
    <t xml:space="preserve">valentina.olea</t>
  </si>
  <si>
    <t xml:space="preserve">Capital crédito LP</t>
  </si>
  <si>
    <t xml:space="preserve">CL-00000371</t>
  </si>
  <si>
    <t xml:space="preserve">CANON 95 CREDITO 453436746 MES DE FEBRERO 2026 CAPITAL 62.500.000 INTERESES 36.701.211.58</t>
  </si>
  <si>
    <t xml:space="preserve">CL-00000372</t>
  </si>
  <si>
    <t xml:space="preserve">CANON 10 CREDITO 858177259 TRIMESTRAL (DIC-ENE-FEB) GASTOS BANCARIOS 238 INTERESES 47.641.305.47</t>
  </si>
  <si>
    <t xml:space="preserve">CL-00000383</t>
  </si>
  <si>
    <t xml:space="preserve">CUOTA 11 CREDITO 856670629 TRIMESTRAL (ENE-FEB-MAR) CAPITAL 182.166.667 INTERESES 56.089.116.47 GASTOS BANCARIOS 238</t>
  </si>
  <si>
    <t xml:space="preserve">CL-00000384</t>
  </si>
  <si>
    <t xml:space="preserve">CANON 96 CREDITO 453436746 MENSUAL CAPITAL 62.500.000 INTERESES 36.314.055.32</t>
  </si>
  <si>
    <t xml:space="preserve">CL-00000395</t>
  </si>
  <si>
    <t xml:space="preserve">CANON 97 CREDITO 453436746 MENSUAL CAPITAL 62.500.000 INTERESES 40.669.577.85</t>
  </si>
  <si>
    <t xml:space="preserve">CL-00000407</t>
  </si>
  <si>
    <t xml:space="preserve">CANON 11 CREDITO 858177259 TRIMESTRAL</t>
  </si>
  <si>
    <t xml:space="preserve">CL-00000408</t>
  </si>
  <si>
    <t xml:space="preserve">CANON 98 CREDITO 453436746 MENSUAL</t>
  </si>
  <si>
    <t xml:space="preserve">CL-00000409</t>
  </si>
  <si>
    <t xml:space="preserve">CANON 99 CREDITO 453436746 CAPITAL 62.500.000 INTERESES 37.868.662.91 MENSUAL</t>
  </si>
  <si>
    <t xml:space="preserve">CL-00000410</t>
  </si>
  <si>
    <t xml:space="preserve">CANON 12 CREDITO 856670629 TRIMESTRAL (ABR-MAY-JUN) CAPITAL 182.166.667, INTERESES 59.390.887.23, GASTOS BANCARIOS 238</t>
  </si>
  <si>
    <t xml:space="preserve">CL-00000422</t>
  </si>
  <si>
    <t xml:space="preserve">CANON 100 CREDITO 453436746 CAPITAL 62.500.000 INTERESES 38.894.999.71</t>
  </si>
  <si>
    <t xml:space="preserve">BANCO POPULAR S. A.</t>
  </si>
  <si>
    <t xml:space="preserve">860007738</t>
  </si>
  <si>
    <t xml:space="preserve">CL-00000375</t>
  </si>
  <si>
    <t xml:space="preserve">CANON CREDITO 631309940 (ENE-FEB-MAR)</t>
  </si>
  <si>
    <t xml:space="preserve">CL-00000411</t>
  </si>
  <si>
    <t xml:space="preserve">CANON CREDITO 631309940 TRIMESTRAL (ABR-MAY-JUN) CAPITAL 143.750.000 INTERESES 14.419.922 INTERESES MORA 54.242</t>
  </si>
  <si>
    <t xml:space="preserve">BANCOLOMBIA S.A.</t>
  </si>
  <si>
    <t xml:space="preserve">890903938</t>
  </si>
  <si>
    <t xml:space="preserve">CL-00000399</t>
  </si>
  <si>
    <t xml:space="preserve">CANON CREDITO 12660105867 TRIMESTRAL (FEB-MAR-ABR) CAPITAL 1.666.666.666 INTERESES 137.225.000</t>
  </si>
  <si>
    <t xml:space="preserve">Tarjeta de Credito por Pagar</t>
  </si>
  <si>
    <t xml:space="preserve">AIRTABLE WORKPACE</t>
  </si>
  <si>
    <t xml:space="preserve">FC-00008721</t>
  </si>
  <si>
    <t xml:space="preserve">Factura Compra</t>
  </si>
  <si>
    <t xml:space="preserve">CE-34717 LEGALIZACION TC JUAN MANUL HERRERA</t>
  </si>
  <si>
    <t xml:space="preserve">TC</t>
  </si>
  <si>
    <t xml:space="preserve">Tarjeta de crédito</t>
  </si>
  <si>
    <t xml:space="preserve">ALPINA PRODUCTOS ALIMEN</t>
  </si>
  <si>
    <t xml:space="preserve">860025900</t>
  </si>
  <si>
    <t xml:space="preserve">FC-00008215</t>
  </si>
  <si>
    <t xml:space="preserve">FR-38590 COMPRA VASO DE HELADO</t>
  </si>
  <si>
    <t xml:space="preserve">FC-00008521</t>
  </si>
  <si>
    <t xml:space="preserve">CE-33825 LEGALIZACION TC CATALINA HERRERA MES DE MAYO 2026</t>
  </si>
  <si>
    <t xml:space="preserve">AMERICA TENIS CLUB</t>
  </si>
  <si>
    <t xml:space="preserve">860006788</t>
  </si>
  <si>
    <t xml:space="preserve">NI-00004518</t>
  </si>
  <si>
    <t xml:space="preserve">Nota Interna de Contabilidad</t>
  </si>
  <si>
    <t xml:space="preserve">AJUSTE 2335 A 2105 PAGADA POR TC Y AJUSTE DE IMPUESTOS ASUMIDOS</t>
  </si>
  <si>
    <t xml:space="preserve">FC-00008536</t>
  </si>
  <si>
    <t xml:space="preserve">CE-34026 LEGALIZACION TC JUAN MANUEL HERRERA</t>
  </si>
  <si>
    <t xml:space="preserve">FC-00008874</t>
  </si>
  <si>
    <t xml:space="preserve">FR-3374 GASTOS REUSTARANTE</t>
  </si>
  <si>
    <t xml:space="preserve">ANTHROPIC, PBC, INC</t>
  </si>
  <si>
    <t xml:space="preserve">FC-00008719</t>
  </si>
  <si>
    <t xml:space="preserve">CE-34718 LEGALIZACION TC LUIS HERRERA</t>
  </si>
  <si>
    <t xml:space="preserve">Bloomberg Finance Lp</t>
  </si>
  <si>
    <t xml:space="preserve">N4004526B</t>
  </si>
  <si>
    <t xml:space="preserve">DSF-00002201</t>
  </si>
  <si>
    <t xml:space="preserve">Documento soporte adq efectuadas financ</t>
  </si>
  <si>
    <t xml:space="preserve">DSF-2201 90183122 SUSCRIPCION RENOVACION LICENCIA LEI (PAGADA CON TC JUAM MANUEL HERRERA)</t>
  </si>
  <si>
    <t xml:space="preserve">NI-00004566</t>
  </si>
  <si>
    <t xml:space="preserve">CRUCE DE CUENTAS CxP TARJETAS DE CREDITO CON ANTICIPO BANCO DE BOGOTA</t>
  </si>
  <si>
    <t xml:space="preserve">jennifer.velasquez</t>
  </si>
  <si>
    <t xml:space="preserve">BORDA CLAVIJO RENE FRANCISO</t>
  </si>
  <si>
    <t xml:space="preserve">79140050</t>
  </si>
  <si>
    <t xml:space="preserve">FC-00007996</t>
  </si>
  <si>
    <t xml:space="preserve">FR-438206 COMBUSTIBLE</t>
  </si>
  <si>
    <t xml:space="preserve">FC-00008070</t>
  </si>
  <si>
    <t xml:space="preserve">CE-31964 LEGALIZACION TC ROBERTO HERRERA</t>
  </si>
  <si>
    <t xml:space="preserve">CENTRO DE DIAGNOSTICO AUTOMOTRIZ CAJICA S.A.S</t>
  </si>
  <si>
    <t xml:space="preserve">CLUB COLOMBO-LIBANES</t>
  </si>
  <si>
    <t xml:space="preserve">860006864</t>
  </si>
  <si>
    <t xml:space="preserve">NI-00004085</t>
  </si>
  <si>
    <t xml:space="preserve">AJUSTE A MILES CUENTAS POR PAGAR</t>
  </si>
  <si>
    <t xml:space="preserve">COLOMBIA TELECOMUNICACIONES S.A. E.S.P. BIC</t>
  </si>
  <si>
    <t xml:space="preserve">830122566</t>
  </si>
  <si>
    <t xml:space="preserve">FC-00007891</t>
  </si>
  <si>
    <t xml:space="preserve">FR-335758 PLAN DE 6/01/2026 AL 5/02/2026</t>
  </si>
  <si>
    <t xml:space="preserve">FC-00007968</t>
  </si>
  <si>
    <t xml:space="preserve">CE-31422 LEGALIZACION TC TESORERIA ENERO 2026</t>
  </si>
  <si>
    <t xml:space="preserve">FC-00008018</t>
  </si>
  <si>
    <t xml:space="preserve">FR-60380887 PLAN DE TELEFONIA DEL 6/02/2026 AL 5/03/2026</t>
  </si>
  <si>
    <t xml:space="preserve">FC-00008072</t>
  </si>
  <si>
    <t xml:space="preserve">CE-31896 LEGALIZACION TC TESORERIA</t>
  </si>
  <si>
    <t xml:space="preserve">FC-00008172</t>
  </si>
  <si>
    <t xml:space="preserve">FR-511676175 PLAN DE TELEFONIA DE 6 MAR AL 5 ABRI 2026</t>
  </si>
  <si>
    <t xml:space="preserve">FC-00008326</t>
  </si>
  <si>
    <t xml:space="preserve">FR-517447290 PLAN TELEFONICO DEL 06/04/2026 AL5/05/2026</t>
  </si>
  <si>
    <t xml:space="preserve">FC-00008363</t>
  </si>
  <si>
    <t xml:space="preserve">CE-32642 LEGALIZACION GASTOS TC TESORERIA MARZO</t>
  </si>
  <si>
    <t xml:space="preserve">FC-00008402</t>
  </si>
  <si>
    <t xml:space="preserve">CE-33151 LEGALIZACION TC TESORERIA ABRIL 2026</t>
  </si>
  <si>
    <t xml:space="preserve">FC-00008484</t>
  </si>
  <si>
    <t xml:space="preserve">FR-523179753 SERVICIO DE TELEFONO PLAN 6/06/2026 AL 5/06/2026</t>
  </si>
  <si>
    <t xml:space="preserve">FC-00008520</t>
  </si>
  <si>
    <t xml:space="preserve">CE-33826 LEGALIZACION TC TESORERIA MES DE MAYO 2026</t>
  </si>
  <si>
    <t xml:space="preserve">860040584</t>
  </si>
  <si>
    <t xml:space="preserve">FC-00008619</t>
  </si>
  <si>
    <t xml:space="preserve">AJUSTES A CUENTA TC CREDITO GUSICARAMO</t>
  </si>
  <si>
    <t xml:space="preserve">FC-00008645</t>
  </si>
  <si>
    <t xml:space="preserve">FR-528986182 PLAN DE TELEFONIA 6/06/2026 AL 5/07/2026</t>
  </si>
  <si>
    <t xml:space="preserve">FC-00008724</t>
  </si>
  <si>
    <t xml:space="preserve">CE-34714 LEGALIZACION TC TESORERIA</t>
  </si>
  <si>
    <t xml:space="preserve">FC-00008788</t>
  </si>
  <si>
    <t xml:space="preserve">FR-534674049 PLAN TELEFONICO DEL 6 JUL AL 5 DE AGOSTO 2026</t>
  </si>
  <si>
    <t xml:space="preserve">FC-00008902</t>
  </si>
  <si>
    <t xml:space="preserve">CE-35438 LEGALIZACION TESORERIA JULIO 2026</t>
  </si>
  <si>
    <t xml:space="preserve">COLOMBIANA DE COMERCIO S.A.</t>
  </si>
  <si>
    <t xml:space="preserve">890900943</t>
  </si>
  <si>
    <t xml:space="preserve">FC-00007982</t>
  </si>
  <si>
    <t xml:space="preserve">FR-8472523107 SECADORA PARA SRA. BEATRIZ</t>
  </si>
  <si>
    <t xml:space="preserve">FC-00008359</t>
  </si>
  <si>
    <t xml:space="preserve">CE-32643 LEGALIZACION TC CATALINA HERRERA MARZO</t>
  </si>
  <si>
    <t xml:space="preserve">COMBUSTIBLES H &amp; R LTDA.</t>
  </si>
  <si>
    <t xml:space="preserve">FC-00008138</t>
  </si>
  <si>
    <t xml:space="preserve">LEGALIZACION TC ROBERTO HERRERA</t>
  </si>
  <si>
    <t xml:space="preserve">900078103</t>
  </si>
  <si>
    <t xml:space="preserve">FC-00008139</t>
  </si>
  <si>
    <t xml:space="preserve">FR-188055 COMBUSTIBLE</t>
  </si>
  <si>
    <t xml:space="preserve">FC-00008892</t>
  </si>
  <si>
    <t xml:space="preserve">FR-474341 ACPM COMBUSTIBLE JUZ461</t>
  </si>
  <si>
    <t xml:space="preserve">COMERCIALIZADORA RUMBOS S A S</t>
  </si>
  <si>
    <t xml:space="preserve">830508167</t>
  </si>
  <si>
    <t xml:space="preserve">FC-00007981</t>
  </si>
  <si>
    <t xml:space="preserve">FR-1151468 COMBUSTIBLE</t>
  </si>
  <si>
    <t xml:space="preserve">FC-00008395</t>
  </si>
  <si>
    <t xml:space="preserve">FR-1171494 COMBUSTIBLE</t>
  </si>
  <si>
    <t xml:space="preserve">FC-00008400</t>
  </si>
  <si>
    <t xml:space="preserve">CE-33349 LEGALIZACION TC ROBERTO HERRERA</t>
  </si>
  <si>
    <t xml:space="preserve">FC-00008898</t>
  </si>
  <si>
    <t xml:space="preserve">FR-1197737 COMBUSTIBLE</t>
  </si>
  <si>
    <t xml:space="preserve">FC-00008897</t>
  </si>
  <si>
    <t xml:space="preserve">CE35442 LEGALIZACION ROBERTO HERRERA MES DE JULIO 2026</t>
  </si>
  <si>
    <t xml:space="preserve">COMUNICACION CELULAR S A COMCEL S A</t>
  </si>
  <si>
    <t xml:space="preserve">800153993</t>
  </si>
  <si>
    <t xml:space="preserve">DSF-00002138</t>
  </si>
  <si>
    <t xml:space="preserve">FR-6017494410 SERVICIO DE TELEFONIA BOGOTA Y ROAMING INTERNACIONAL</t>
  </si>
  <si>
    <t xml:space="preserve">FC-00007979</t>
  </si>
  <si>
    <t xml:space="preserve">FR-E6019887913 SERVICIO TE DETEFONIA PLANTA</t>
  </si>
  <si>
    <t xml:space="preserve">NSF-00000033</t>
  </si>
  <si>
    <t xml:space="preserve">Documento soporte adq Financ</t>
  </si>
  <si>
    <t xml:space="preserve">ANULACION DE DUCUMENTO ERROR</t>
  </si>
  <si>
    <t xml:space="preserve">FC-00007980</t>
  </si>
  <si>
    <t xml:space="preserve">FR-6017494410 SERVICIO DE TELEFONIA Y ROAMING INTERNACIONAL</t>
  </si>
  <si>
    <t xml:space="preserve">FC-00008041</t>
  </si>
  <si>
    <t xml:space="preserve">FR-003292488062 SERVICIO DE INTERNET OFIC BOGOTA</t>
  </si>
  <si>
    <t xml:space="preserve">CE-00031970</t>
  </si>
  <si>
    <t xml:space="preserve">liliana.celi</t>
  </si>
  <si>
    <t xml:space="preserve">NI-00004150</t>
  </si>
  <si>
    <t xml:space="preserve">RECLASIFICACION FACTURA COMCEL PAGADA CON TC</t>
  </si>
  <si>
    <t xml:space="preserve">FC-00008074</t>
  </si>
  <si>
    <t xml:space="preserve">FR-E6028262112 SERVICIO DE TELEFONIA Y ROAMING INTERNACIONAL - FACTURA BOGOTA</t>
  </si>
  <si>
    <t xml:space="preserve">899999115</t>
  </si>
  <si>
    <t xml:space="preserve">NI-00004168</t>
  </si>
  <si>
    <t xml:space="preserve">FC-00008124</t>
  </si>
  <si>
    <t xml:space="preserve">SERVICIO DE TELEFONIA PLATAN</t>
  </si>
  <si>
    <t xml:space="preserve">FC-00008253</t>
  </si>
  <si>
    <t xml:space="preserve">FR-E6041698038 SERVICIO DE TELEFONIA PLANTA</t>
  </si>
  <si>
    <t xml:space="preserve">FC-00008280</t>
  </si>
  <si>
    <t xml:space="preserve">FR-6039281858 SERVICIO DE TELEFONIA CONSUMO ROAMING</t>
  </si>
  <si>
    <t xml:space="preserve">FC-00008443</t>
  </si>
  <si>
    <t xml:space="preserve">FR-E60552578840 SERVICIO TELEFONIA PLANTA</t>
  </si>
  <si>
    <t xml:space="preserve">FC-00008501</t>
  </si>
  <si>
    <t xml:space="preserve">FR-292587204 SERVICIO DE INTERNET OFICINA BOGOTA</t>
  </si>
  <si>
    <t xml:space="preserve">FC-00008602</t>
  </si>
  <si>
    <t xml:space="preserve">FR-E6063483637 SERVICIO TELEFONICO PLANTA MAYO 2026 PAGADO TC</t>
  </si>
  <si>
    <t xml:space="preserve">FC-00008605</t>
  </si>
  <si>
    <t xml:space="preserve">FR-6061056858 ASISTENCIA CLARO, CARGO FIJO MES DE MAYO 2026</t>
  </si>
  <si>
    <t xml:space="preserve">FC-00008681</t>
  </si>
  <si>
    <t xml:space="preserve">FR-3-292619785 SERVICIO DE INTERNED DEDICADO BOGOTA</t>
  </si>
  <si>
    <t xml:space="preserve">FC-00008762</t>
  </si>
  <si>
    <t xml:space="preserve">FR-6071980820 SERVICIO DE CARGO FIJO CLARO MES DE JUNIO 2026</t>
  </si>
  <si>
    <t xml:space="preserve">FC-00008803</t>
  </si>
  <si>
    <t xml:space="preserve">FR-3292652029 SERVICIO DE INTERNET BOGOTA</t>
  </si>
  <si>
    <t xml:space="preserve">FC-00008844</t>
  </si>
  <si>
    <t xml:space="preserve">FR-6084008670  SERVICIO DE CARGO FIJO CLARO MES D JULIO 2026</t>
  </si>
  <si>
    <t xml:space="preserve">FC-00008882</t>
  </si>
  <si>
    <t xml:space="preserve">FR-E6086448534 SERVICIO DE LINEAS TELEFONICAS PLANTA JULIO 2026</t>
  </si>
  <si>
    <t xml:space="preserve">COSMETIKA S.A.S.</t>
  </si>
  <si>
    <t xml:space="preserve">830137660</t>
  </si>
  <si>
    <t xml:space="preserve">NI-00004080</t>
  </si>
  <si>
    <t xml:space="preserve">FR-46357 AJUSTE</t>
  </si>
  <si>
    <t xml:space="preserve">FC-00007969</t>
  </si>
  <si>
    <t xml:space="preserve">CE-31545 LEGALIZACION TC CATALINA HERRERA ENERO 2026</t>
  </si>
  <si>
    <t xml:space="preserve">CREPES Y WAFFLES S.A.</t>
  </si>
  <si>
    <t xml:space="preserve">DAVIS INSTRUMENTS CORPORATION</t>
  </si>
  <si>
    <t xml:space="preserve">DEKORATION HOME S.A.S</t>
  </si>
  <si>
    <t xml:space="preserve">DH COLOMBIA S A S -</t>
  </si>
  <si>
    <t xml:space="preserve">DIRECTV COLOMBIA LTDA</t>
  </si>
  <si>
    <t xml:space="preserve">805006014</t>
  </si>
  <si>
    <t xml:space="preserve">FC-00007900</t>
  </si>
  <si>
    <t xml:space="preserve">FR-139054161 SERVICIO DE TELEVISION POR CABLE 1-02-2026 AL 28-02-2026</t>
  </si>
  <si>
    <t xml:space="preserve">FC-00007901</t>
  </si>
  <si>
    <t xml:space="preserve">FR-139045457 SERVICIO DE TELEVISION POR CABLE 1/02/2026 AL 28/02/2026</t>
  </si>
  <si>
    <t xml:space="preserve">FC-00007917</t>
  </si>
  <si>
    <t xml:space="preserve">FR-139056701 SERVICIO DE TELEVISION POR CABLE 1/02/2026-28/02/2026</t>
  </si>
  <si>
    <t xml:space="preserve">FC-00007941</t>
  </si>
  <si>
    <t xml:space="preserve">FR-156870 SERVICIO DE TELEVISION POR CABLE</t>
  </si>
  <si>
    <t xml:space="preserve">FC-00007942</t>
  </si>
  <si>
    <t xml:space="preserve">FR-139156612 SERVICIO DE TRELEVISION POR CABLE</t>
  </si>
  <si>
    <t xml:space="preserve">FC-00007964</t>
  </si>
  <si>
    <t xml:space="preserve">FR-139045842 SERVICIO DE TELEVISION POR CABLE</t>
  </si>
  <si>
    <t xml:space="preserve">FC-00008054</t>
  </si>
  <si>
    <t xml:space="preserve">FR-295850 SERVICIO DE TELEVISION POR CABLE</t>
  </si>
  <si>
    <t xml:space="preserve">FC-00008055</t>
  </si>
  <si>
    <t xml:space="preserve">FR-304844 SERVICIO DE TELEVISION POR CABLE</t>
  </si>
  <si>
    <t xml:space="preserve">FC-00008063</t>
  </si>
  <si>
    <t xml:space="preserve">FR-139307535 SERVICIO DE TELEVISION POR CABLE</t>
  </si>
  <si>
    <t xml:space="preserve">FC-00008064</t>
  </si>
  <si>
    <t xml:space="preserve">FR-139295906 SERVICIO DE TELEVISION POIR CABLE</t>
  </si>
  <si>
    <t xml:space="preserve">FC-00008110</t>
  </si>
  <si>
    <t xml:space="preserve">FR-139428243 SERVICIO DE TELEVISION POR CABLE</t>
  </si>
  <si>
    <t xml:space="preserve">FC-00008111</t>
  </si>
  <si>
    <t xml:space="preserve">FR-139427691 SERVICIO DE TELEVICION POR CABLE</t>
  </si>
  <si>
    <t xml:space="preserve">FC-00008196</t>
  </si>
  <si>
    <t xml:space="preserve">FR-139542355 SEVICIO DE TELEVISION POR CABLE</t>
  </si>
  <si>
    <t xml:space="preserve">FC-00008197</t>
  </si>
  <si>
    <t xml:space="preserve">FR-139551443 SERVICIO DE TELEVISION POR CABLE</t>
  </si>
  <si>
    <t xml:space="preserve">FC-00008222</t>
  </si>
  <si>
    <t xml:space="preserve">FR-139553829 SERVICIO DE TELEVISION POR CABLE</t>
  </si>
  <si>
    <t xml:space="preserve">FC-00008285</t>
  </si>
  <si>
    <t xml:space="preserve">FR-139542926 SERVICIO DE TELEFONIA</t>
  </si>
  <si>
    <t xml:space="preserve">FC-00008235</t>
  </si>
  <si>
    <t xml:space="preserve">FR-139673663 SERVICIO DE TELEVISION POR CABLE</t>
  </si>
  <si>
    <t xml:space="preserve">FC-00008237</t>
  </si>
  <si>
    <t xml:space="preserve">FR-139673150 SERVICIO DE TELEVISION POR CABLE</t>
  </si>
  <si>
    <t xml:space="preserve">FC-00008366</t>
  </si>
  <si>
    <t xml:space="preserve">FR-139795674 SERVICIO DE TELEVISION POR CABLE</t>
  </si>
  <si>
    <t xml:space="preserve">FC-00008386</t>
  </si>
  <si>
    <t xml:space="preserve">FR-139798156 SERVICIO DE TELEVISION POR CABLE</t>
  </si>
  <si>
    <t xml:space="preserve">FC-00008387</t>
  </si>
  <si>
    <t xml:space="preserve">FR-139785291 SERVICIO TELEVISION POR CABLE</t>
  </si>
  <si>
    <t xml:space="preserve">FC-00008388</t>
  </si>
  <si>
    <t xml:space="preserve">FR-139785567 SERVICIO DE TELEVISION POR CABLE</t>
  </si>
  <si>
    <t xml:space="preserve">FC-00008425</t>
  </si>
  <si>
    <t xml:space="preserve">FR-139917099  SERVICIO DE TELEVISION POR CABLE</t>
  </si>
  <si>
    <t xml:space="preserve">FC-00008426</t>
  </si>
  <si>
    <t xml:space="preserve">FR-139917807 SERVICIO DE TELEVISION POR CABLE</t>
  </si>
  <si>
    <t xml:space="preserve">FC-00008496</t>
  </si>
  <si>
    <t xml:space="preserve">FR-140030947 SERVICIO DE TELEVICION POR CABLE</t>
  </si>
  <si>
    <t xml:space="preserve">FC-00008497</t>
  </si>
  <si>
    <t xml:space="preserve">FR-140039760 SERVICIO DE TELEVICION POR CABLE</t>
  </si>
  <si>
    <t xml:space="preserve">FC-00008603</t>
  </si>
  <si>
    <t xml:space="preserve">FR-140031136 SERVICIO DE TV POR CABLE PLANTA</t>
  </si>
  <si>
    <t xml:space="preserve">FC-00008604</t>
  </si>
  <si>
    <t xml:space="preserve">FR-14041916 SERVICIO DE TV POR CABLE PLAANTACION</t>
  </si>
  <si>
    <t xml:space="preserve">FC-00008567</t>
  </si>
  <si>
    <t xml:space="preserve">FR-140160296 SERVICIO DE TELEVISION POR CABLE</t>
  </si>
  <si>
    <t xml:space="preserve">FC-00008568</t>
  </si>
  <si>
    <t xml:space="preserve">FR-140160719 SERVICIO DE TELEVISION POR CABLE</t>
  </si>
  <si>
    <t xml:space="preserve">FC-00008680</t>
  </si>
  <si>
    <t xml:space="preserve">FR-140279349 SERVICIO DE TELEVISION POR CABLE</t>
  </si>
  <si>
    <t xml:space="preserve">FC-00008693</t>
  </si>
  <si>
    <t xml:space="preserve">FR-140290741 SERVICIO DE TELEVISION POR CABLE</t>
  </si>
  <si>
    <t xml:space="preserve">FC-00008694</t>
  </si>
  <si>
    <t xml:space="preserve">FR-140288338  SERVICIO DE TELEVISION POR CABLE</t>
  </si>
  <si>
    <t xml:space="preserve">FC-00008695</t>
  </si>
  <si>
    <t xml:space="preserve">FR-140279560  SERVICIO DE TELEVISION POR CABLE</t>
  </si>
  <si>
    <t xml:space="preserve">FC-00008731</t>
  </si>
  <si>
    <t xml:space="preserve">FR-140412871 SERVICIO DE TELEVISION POR CABLE</t>
  </si>
  <si>
    <t xml:space="preserve">FC-00008732</t>
  </si>
  <si>
    <t xml:space="preserve">FR-140413339 SERVICIO DE TELEVISION POR CABLE</t>
  </si>
  <si>
    <t xml:space="preserve">FC-00008820</t>
  </si>
  <si>
    <t xml:space="preserve">FR-140537118 SERVICIO DE TELEVISION POR CABLE</t>
  </si>
  <si>
    <t xml:space="preserve">FC-00008821</t>
  </si>
  <si>
    <t xml:space="preserve">FR-140528279 SERVICIO DE TELEVISION POR CABLE</t>
  </si>
  <si>
    <t xml:space="preserve">FC-00008860</t>
  </si>
  <si>
    <t xml:space="preserve">FR-140660984 SERVICIO DE TELEVISION POR CABLE</t>
  </si>
  <si>
    <t xml:space="preserve">FC-00008861</t>
  </si>
  <si>
    <t xml:space="preserve">FR-140660717 SERVICIO DE TELEVISION POR CABLE</t>
  </si>
  <si>
    <t xml:space="preserve">FC-00008883</t>
  </si>
  <si>
    <t xml:space="preserve">FR-140539394 SERVICIO DE TELEVISION POR CABLE</t>
  </si>
  <si>
    <t xml:space="preserve">FC-00008884</t>
  </si>
  <si>
    <t xml:space="preserve">FR-140528458 TELEVISION POR CABLE</t>
  </si>
  <si>
    <t xml:space="preserve">DISIL SERVICES SAS</t>
  </si>
  <si>
    <t xml:space="preserve">901310017</t>
  </si>
  <si>
    <t xml:space="preserve">FC-00008401</t>
  </si>
  <si>
    <t xml:space="preserve">FR-196063 GASOLINA CORRIENTE</t>
  </si>
  <si>
    <t xml:space="preserve">DISTRACOM S.A.</t>
  </si>
  <si>
    <t xml:space="preserve">811009788</t>
  </si>
  <si>
    <t xml:space="preserve">FC-00008137</t>
  </si>
  <si>
    <t xml:space="preserve">FR-419425 COMBUSTIBLE</t>
  </si>
  <si>
    <t xml:space="preserve">DUCATTOS S.A.S</t>
  </si>
  <si>
    <t xml:space="preserve">ESTACION DE SERVICIO AUTOMOTRIZ EL CAIRO SAS</t>
  </si>
  <si>
    <t xml:space="preserve">901536938</t>
  </si>
  <si>
    <t xml:space="preserve">FC-00008697</t>
  </si>
  <si>
    <t xml:space="preserve">FR-3055110 COMBUSTIBLE</t>
  </si>
  <si>
    <t xml:space="preserve">ESTACION DE SERVICIO MOBIL CODI 5 S.A.S.</t>
  </si>
  <si>
    <t xml:space="preserve">FC-00007985</t>
  </si>
  <si>
    <t xml:space="preserve">CE-31546 LEGALIZACION TC ROBERTO HERRERA</t>
  </si>
  <si>
    <t xml:space="preserve">900406613</t>
  </si>
  <si>
    <t xml:space="preserve">FC-00007984</t>
  </si>
  <si>
    <t xml:space="preserve">FR-1247168 COMBUSTIBLE</t>
  </si>
  <si>
    <t xml:space="preserve">FC-00008136</t>
  </si>
  <si>
    <t xml:space="preserve">FR-1216808 COMBUSTIBLE PAGADO CON TC</t>
  </si>
  <si>
    <t xml:space="preserve">FC-00008450</t>
  </si>
  <si>
    <t xml:space="preserve">FR-1304880 COMBUSTIBLE PAGADO TC</t>
  </si>
  <si>
    <t xml:space="preserve">FC-00008535</t>
  </si>
  <si>
    <t xml:space="preserve">CE-34028 LEGALIZACION TC ROBERTO HERRERA MES DE MAYO 2026</t>
  </si>
  <si>
    <t xml:space="preserve">FC-00008764</t>
  </si>
  <si>
    <t xml:space="preserve">FR-1324793 COMBUSTIBLE</t>
  </si>
  <si>
    <t xml:space="preserve">NI-00004728</t>
  </si>
  <si>
    <t xml:space="preserve">RECLASIFICACION 2135 A 2105 PAGADA CON TC</t>
  </si>
  <si>
    <t xml:space="preserve">FUNDACION PROVIDA COLOMBIA</t>
  </si>
  <si>
    <t xml:space="preserve">860058176</t>
  </si>
  <si>
    <t xml:space="preserve">FC-00008392</t>
  </si>
  <si>
    <t xml:space="preserve">FR-13300 BONO ALIMENTOS</t>
  </si>
  <si>
    <t xml:space="preserve">FC-00008734</t>
  </si>
  <si>
    <t xml:space="preserve">FR-13531 BONO PAN</t>
  </si>
  <si>
    <t xml:space="preserve">GEMA TOURS SAS</t>
  </si>
  <si>
    <t xml:space="preserve">890404365</t>
  </si>
  <si>
    <t xml:space="preserve">FC-00007932</t>
  </si>
  <si>
    <t xml:space="preserve">FR-19908  TIQUETES AEREOS MAURELLO GLORIA ALEJANDRA AV-55274174806 SALIDA 14/02/2026 LLEGADA 14/02/2026</t>
  </si>
  <si>
    <t xml:space="preserve">FC-00007933</t>
  </si>
  <si>
    <t xml:space="preserve">FR-19904 MEDINA POLANIA FABIO FRANCISCO AV-5527474786 SALIDA:8/02/2026 LLEGADA: 14/02/2026</t>
  </si>
  <si>
    <t xml:space="preserve">FC-00007935</t>
  </si>
  <si>
    <t xml:space="preserve">FR-19901 MEDINA POLANIA FRANCISCO AV5527474786 SALIDA 08/02/2026 LLEGADA 14/02/2026</t>
  </si>
  <si>
    <t xml:space="preserve">FC-00007936</t>
  </si>
  <si>
    <t xml:space="preserve">FR-19900 RONDON CARLOS IVAN AV-5527474784 LLEGADA 12/02/2026 SALIDA 8/02/2026</t>
  </si>
  <si>
    <t xml:space="preserve">FC-00007955</t>
  </si>
  <si>
    <t xml:space="preserve">FR-19917 MARCELA RAMIREZ 4C-2269119846 SALIDA 4/2/2026 LLEGADA 7/2/2026</t>
  </si>
  <si>
    <t xml:space="preserve">FC-00008019</t>
  </si>
  <si>
    <t xml:space="preserve">FR-20053 TIQUETES AEREOS MAURELLO GLORIA ALEJANDRA</t>
  </si>
  <si>
    <t xml:space="preserve">FC-00008083</t>
  </si>
  <si>
    <t xml:space="preserve">FR-20209 GOMEZ DE CORTES JULIETA, RUA OSPINA CLAUDIA LORENA TIQUETES</t>
  </si>
  <si>
    <t xml:space="preserve">FC-00008089</t>
  </si>
  <si>
    <t xml:space="preserve">FR-20237 HERRERA LARA MARTIN</t>
  </si>
  <si>
    <t xml:space="preserve">CE-00032103</t>
  </si>
  <si>
    <t xml:space="preserve">FC-00008195</t>
  </si>
  <si>
    <t xml:space="preserve">FR-20525 PASAJES DE AVION MONICA DURAN AUDITORA ISCC</t>
  </si>
  <si>
    <t xml:space="preserve">FC-00008225</t>
  </si>
  <si>
    <t xml:space="preserve">FR-20661 TIQUETES RAMIREZ TORRES FRANCY MILENA Y WILLIAM RODRIGUEZ</t>
  </si>
  <si>
    <t xml:space="preserve">FC-00008399</t>
  </si>
  <si>
    <t xml:space="preserve">FR-21057 GARZON LEON JUAN CAMILO (LEHERIA FORSOZA)</t>
  </si>
  <si>
    <t xml:space="preserve">FC-00008543</t>
  </si>
  <si>
    <t xml:space="preserve">FR-21394 TIQUETE DE AVION MARTIN HERRERA LARA</t>
  </si>
  <si>
    <t xml:space="preserve">FC-00008606</t>
  </si>
  <si>
    <t xml:space="preserve">FR-21448 GOMEZ JARAMILLO TIQUETES</t>
  </si>
  <si>
    <t xml:space="preserve">FC-00008607</t>
  </si>
  <si>
    <t xml:space="preserve">FR-21447 GOMEZ JARAMILLO PABLO TIQUETES</t>
  </si>
  <si>
    <t xml:space="preserve">FC-00008647</t>
  </si>
  <si>
    <t xml:space="preserve">FR-21496 HERRERA JUAN MANUEL</t>
  </si>
  <si>
    <t xml:space="preserve">FC-00008674</t>
  </si>
  <si>
    <t xml:space="preserve">FR-21634 TIQUETES HERRERA LARA MARTIN</t>
  </si>
  <si>
    <t xml:space="preserve">FC-00008675</t>
  </si>
  <si>
    <t xml:space="preserve">FR-21628 HERRERA TOMAS TIQUETES</t>
  </si>
  <si>
    <t xml:space="preserve">FC-00008676</t>
  </si>
  <si>
    <t xml:space="preserve">FR-21627 HERRERA JUAN MANUEL TIQUETES</t>
  </si>
  <si>
    <t xml:space="preserve">FC-00008727</t>
  </si>
  <si>
    <t xml:space="preserve">FR-21706 ESPINOSA MAZO MELIZA TIQUETES AEREOS</t>
  </si>
  <si>
    <t xml:space="preserve">FC-00008876</t>
  </si>
  <si>
    <t xml:space="preserve">FR-22012 NIÑO ESTUPIÑAN ANDRES TIQUETES AEREOS</t>
  </si>
  <si>
    <t xml:space="preserve">GRUPO BDC S.A.S</t>
  </si>
  <si>
    <t xml:space="preserve">900371268</t>
  </si>
  <si>
    <t xml:space="preserve">FC-00008544</t>
  </si>
  <si>
    <t xml:space="preserve">FR-33353 GASTOS DE ALIMENTACION</t>
  </si>
  <si>
    <t xml:space="preserve">FC-00008682</t>
  </si>
  <si>
    <t xml:space="preserve">FR-34412 RESTAURANTE ATENCION A CLIENTE (CATALINA HERRERA)</t>
  </si>
  <si>
    <t xml:space="preserve">GRUPO FRACOTEX S.A.S</t>
  </si>
  <si>
    <t xml:space="preserve">GRUPO HBB SAS</t>
  </si>
  <si>
    <t xml:space="preserve">GUAYMARAL 234 SAS</t>
  </si>
  <si>
    <t xml:space="preserve">FC-00008361</t>
  </si>
  <si>
    <t xml:space="preserve">CE-32641 LEGALIZACION DE GASTOS TC ROBERTO HERRERA</t>
  </si>
  <si>
    <t xml:space="preserve">900590247</t>
  </si>
  <si>
    <t xml:space="preserve">FC-00008362</t>
  </si>
  <si>
    <t xml:space="preserve">FR-111769 COMBUSTIBLE PAGADO CON TC ROBERTO HERRERA</t>
  </si>
  <si>
    <t xml:space="preserve">H&amp;G OIL PETROLEUM COMPANY S A S</t>
  </si>
  <si>
    <t xml:space="preserve">900783202</t>
  </si>
  <si>
    <t xml:space="preserve">FC-00008142</t>
  </si>
  <si>
    <t xml:space="preserve">FR-183642 COMBUSTIBLE</t>
  </si>
  <si>
    <t xml:space="preserve">HERMOLUX S.A.S</t>
  </si>
  <si>
    <t xml:space="preserve">900185820</t>
  </si>
  <si>
    <t xml:space="preserve">FC-00008396</t>
  </si>
  <si>
    <t xml:space="preserve">FR-116536 COMBUSTIBLE</t>
  </si>
  <si>
    <t xml:space="preserve">FC-00008435</t>
  </si>
  <si>
    <t xml:space="preserve">FR-126518 COMBUSTIBLE</t>
  </si>
  <si>
    <t xml:space="preserve">HOTEL BARRANQUILLA BUENAVISTA SAS</t>
  </si>
  <si>
    <t xml:space="preserve">900902403</t>
  </si>
  <si>
    <t xml:space="preserve">FC-00008678</t>
  </si>
  <si>
    <t xml:space="preserve">FR-137089 ALIMENTACION HOTEL</t>
  </si>
  <si>
    <t xml:space="preserve">INVERSIONES JOPAFA SAS</t>
  </si>
  <si>
    <t xml:space="preserve">J E RUEDA &amp; CIA S.A.</t>
  </si>
  <si>
    <t xml:space="preserve">860508988</t>
  </si>
  <si>
    <t xml:space="preserve">FC-00008024</t>
  </si>
  <si>
    <t xml:space="preserve">FR-6168 GASTO ALIMENTACION PAGADO TC LUIS HERRERA</t>
  </si>
  <si>
    <t xml:space="preserve">FC-00008043</t>
  </si>
  <si>
    <t xml:space="preserve">FR-6210 GASTO ALIMENTACION TC JUAN HERRERA</t>
  </si>
  <si>
    <t xml:space="preserve">FC-00008358</t>
  </si>
  <si>
    <t xml:space="preserve">CE-32641 LEGALIZACION TC MES DE MARZO JUAN MANUEL HERRERA</t>
  </si>
  <si>
    <t xml:space="preserve">FC-00008360</t>
  </si>
  <si>
    <t xml:space="preserve">CE-32640 LEGALIZACION TC LUIS HERRERA MARZO</t>
  </si>
  <si>
    <t xml:space="preserve">JOCKEY CLUB</t>
  </si>
  <si>
    <t xml:space="preserve">860006302</t>
  </si>
  <si>
    <t xml:space="preserve">FC-00007975</t>
  </si>
  <si>
    <t xml:space="preserve">FR-3350 GASTOS INCURRIDOS REPRESENTACION TC LUIS HERRERA OBREGON</t>
  </si>
  <si>
    <t xml:space="preserve">FC-00008069</t>
  </si>
  <si>
    <t xml:space="preserve">CE-31966 LEGALIZACION TC LUIS HERRERA</t>
  </si>
  <si>
    <t xml:space="preserve">LYL HOTELS SAS</t>
  </si>
  <si>
    <t xml:space="preserve">MALAGON PINZON VICTOR MANUEL</t>
  </si>
  <si>
    <t xml:space="preserve">3264700</t>
  </si>
  <si>
    <t xml:space="preserve">FC-00008140</t>
  </si>
  <si>
    <t xml:space="preserve">FR-827556 COMBUSTIBLE</t>
  </si>
  <si>
    <t xml:space="preserve">FC-00008894</t>
  </si>
  <si>
    <t xml:space="preserve">FR-1301937 COMBUSTIBLE</t>
  </si>
  <si>
    <t xml:space="preserve">FC-00008895</t>
  </si>
  <si>
    <t xml:space="preserve">FR-1339335 COMBUSTIBLE</t>
  </si>
  <si>
    <t xml:space="preserve">NOGA S.A.S.</t>
  </si>
  <si>
    <t xml:space="preserve">832001168</t>
  </si>
  <si>
    <t xml:space="preserve">FC-00008212</t>
  </si>
  <si>
    <t xml:space="preserve">FR-97171 CALM, JERINGA, NOVABRONCOL</t>
  </si>
  <si>
    <t xml:space="preserve">FC-00008397</t>
  </si>
  <si>
    <t xml:space="preserve">CE-33328 LEGALIZACION TC LUIS FERNANDO HERRERA</t>
  </si>
  <si>
    <t xml:space="preserve">OPUS 3 S.A.S</t>
  </si>
  <si>
    <t xml:space="preserve">PIZZA JOINT SAS</t>
  </si>
  <si>
    <t xml:space="preserve">901341732</t>
  </si>
  <si>
    <t xml:space="preserve">FC-00008278</t>
  </si>
  <si>
    <t xml:space="preserve">FR-29012 ALIMENTACION JUNTA</t>
  </si>
  <si>
    <t xml:space="preserve">PONQUES CASCABEL REPOSTERIA LTDA</t>
  </si>
  <si>
    <t xml:space="preserve">SOCIEDAD PORTUARIA REGIONAL DE BUENAVENTURA S.A. S.P.R. BUN</t>
  </si>
  <si>
    <t xml:space="preserve">SODIMAC COLOMBIA S A</t>
  </si>
  <si>
    <t xml:space="preserve">800242106</t>
  </si>
  <si>
    <t xml:space="preserve">FC-00007983</t>
  </si>
  <si>
    <t xml:space="preserve">FR-1205-100389609 SET X 5 TOALLA FACIAL</t>
  </si>
  <si>
    <t xml:space="preserve">800016505</t>
  </si>
  <si>
    <t xml:space="preserve">CIN-00000061</t>
  </si>
  <si>
    <t xml:space="preserve">Cruce Interno Intercompañias</t>
  </si>
  <si>
    <t xml:space="preserve">PRESTAMO PAGO ANTICIPO SODIMAC</t>
  </si>
  <si>
    <t xml:space="preserve">VERCEL INC</t>
  </si>
  <si>
    <t xml:space="preserve">VILLEGAS ASOCIADOS S.A.</t>
  </si>
  <si>
    <t xml:space="preserve">21202040</t>
  </si>
  <si>
    <t xml:space="preserve">Leasing Corto Plazo</t>
  </si>
  <si>
    <t xml:space="preserve">NB-00001014</t>
  </si>
  <si>
    <t xml:space="preserve">LEASING 386735 CAMION VOLKSWAGEN CONSTELLATION 31320 DOBLE TROQUE MOD 2027 IBRTV + 1.35 TRIMESTRAL</t>
  </si>
  <si>
    <t xml:space="preserve">Capital leasing CP</t>
  </si>
  <si>
    <t xml:space="preserve">VALLEY TRADING SERVICES SAS</t>
  </si>
  <si>
    <t xml:space="preserve">NIC-00000565</t>
  </si>
  <si>
    <t xml:space="preserve">Nota Interna Contable</t>
  </si>
  <si>
    <t xml:space="preserve">RECLASIFICAION CUENTA COMISIONES NO BANCARIAS</t>
  </si>
  <si>
    <t xml:space="preserve">Reclasificación / no obligación</t>
  </si>
  <si>
    <t xml:space="preserve">901835673</t>
  </si>
  <si>
    <t xml:space="preserve">FC-00008621</t>
  </si>
  <si>
    <t xml:space="preserve">FR-4 COMISION DE CORRETAJE CORRESPONDIENTE A NEGOCIO DE GOKLEN AGRI DE PKO MARZO Y ABRIL CANTIDAD PKO 300.670KG A 30USD POR TONELADA DE 3.79</t>
  </si>
  <si>
    <t xml:space="preserve">FC-00008881</t>
  </si>
  <si>
    <t xml:space="preserve">FR-7 CORRETAJE COMERCIAL</t>
  </si>
  <si>
    <t xml:space="preserve">NI-00004851</t>
  </si>
  <si>
    <t xml:space="preserve">RECLASIFICACION A CUENTA POR PAGAR ES UNA COMISION</t>
  </si>
  <si>
    <t xml:space="preserve">21202140</t>
  </si>
  <si>
    <t xml:space="preserve">Leasing Largo Plazo</t>
  </si>
  <si>
    <t xml:space="preserve">860034313</t>
  </si>
  <si>
    <t xml:space="preserve">CL-00000355</t>
  </si>
  <si>
    <t xml:space="preserve">CANON 25 LEASING 1019448-3 MES DE ENERO 2026 CAPITAL 8.322.590 INTERESES 4.321.722 SEGURO 1.263.646</t>
  </si>
  <si>
    <t xml:space="preserve">Capital leasing LP</t>
  </si>
  <si>
    <t xml:space="preserve">CL-00000356</t>
  </si>
  <si>
    <t xml:space="preserve">CANON 27 LEASING 1019441-2 MES DE ENERO 2026 CAPITAL 11.155.627 INTERES 5.303.404 SEGURO 1.263.646</t>
  </si>
  <si>
    <t xml:space="preserve">CL-00000373</t>
  </si>
  <si>
    <t xml:space="preserve">CANON 28 LEASING 1019441-2 MES DE FEBRERO 2026 CAPITAL 11.524.297 INTERESES 5.239.806 SEGURO 1.263.646</t>
  </si>
  <si>
    <t xml:space="preserve">CL-00000374</t>
  </si>
  <si>
    <t xml:space="preserve">CANON 26 LEASING 1019448-3 MES DE FEBRERO 2026</t>
  </si>
  <si>
    <t xml:space="preserve">CL-00000379</t>
  </si>
  <si>
    <t xml:space="preserve">CANON 27 LEASING 30001019448-3 MENSUAL CAPITAL 8.547.937 INTERESES 4.004.121 SEGURO 1.263.646</t>
  </si>
  <si>
    <t xml:space="preserve">CL-00000380</t>
  </si>
  <si>
    <t xml:space="preserve">CANON 29 LEASING MENSUAL 30001019441-2 CAPITAL 11.474.507 INTERESES 4.882.578 SEGURO 1.263.646</t>
  </si>
  <si>
    <t xml:space="preserve">CL-00000397</t>
  </si>
  <si>
    <t xml:space="preserve">CANON 30 LEASING 3000101441 MENSUAL CAPITAL 11.635.838 INTERESES 5.382.049 SEGURO 1.263.646|</t>
  </si>
  <si>
    <t xml:space="preserve">CL-00000398</t>
  </si>
  <si>
    <t xml:space="preserve">CANON 28 LEASING 30001019448 MENSUAL CAPITAL 8.830.873 INTERESES 4.369.021 SEGURO 1.263.646</t>
  </si>
  <si>
    <t xml:space="preserve">CL-00000404</t>
  </si>
  <si>
    <t xml:space="preserve">CANON 29 LEASING 1019448-3 CAPITAL 8.621.303 INTERESES 4.368.074 SEGURO 1.263.646</t>
  </si>
  <si>
    <t xml:space="preserve">CL-00000405</t>
  </si>
  <si>
    <t xml:space="preserve">CANON 31 LEASING 1019441 CAPITAL 12.392.508 INTERESES 5.335.810 SEGURO 1.263.646</t>
  </si>
  <si>
    <t xml:space="preserve">CL-00000415</t>
  </si>
  <si>
    <t xml:space="preserve">CANON 30 LEASING 1019448 MENSUAL CAPITAL 8.901.235, INTERESES 4.402.982, SEGURO 1.263.646</t>
  </si>
  <si>
    <t xml:space="preserve">CL-00000416</t>
  </si>
  <si>
    <t xml:space="preserve">CANON 32 LEASING 1019441 MENSUAL CAPITAL 11.973677 INTERESES 5.319.404, SEGURO 1.263.646</t>
  </si>
  <si>
    <t xml:space="preserve">NI-00004731</t>
  </si>
  <si>
    <t xml:space="preserve">CRUCE DE DOCUMENTOS INTERNOS EC-2188 DEVOLUCION ANTICIPO A CALDERAS JCT Y ANTICIPO CALDERAS</t>
  </si>
  <si>
    <t xml:space="preserve">CL-00000433</t>
  </si>
  <si>
    <t xml:space="preserve">CANON 31 LEASING 1019448 CAPITAL 8.867.342 INTERESES 4.177.893 SEGURO 1.263.646</t>
  </si>
  <si>
    <t xml:space="preserve">CL-00000434</t>
  </si>
  <si>
    <t xml:space="preserve">CANON 33 LEASING 1019441 CAPITAL 12.327.298 INTERESES 5.062.372 SEGURO 1.263.646</t>
  </si>
  <si>
    <t xml:space="preserve">CL-00000358</t>
  </si>
  <si>
    <t xml:space="preserve">CANON LEASING 556449117 TRIMESTRAL (NOV-DIC-ENE) CAPITAL 25.421.164,99 INTRESES 10.049.649.01</t>
  </si>
  <si>
    <t xml:space="preserve">CL-00000359</t>
  </si>
  <si>
    <t xml:space="preserve">CANON LEASING 556449064 TRIMESTRAL (NOV-DIC-ENE) CAPITAL 25.421.164.99 INTERESES 10.049.649.01</t>
  </si>
  <si>
    <t xml:space="preserve">CL-00000363</t>
  </si>
  <si>
    <t xml:space="preserve">CANON LEASING 556449288 MES DE ENERO 2026 TRIMESTRAL (NOV-DIC-ENE) CAPITAL 20.809.569.69 INTERESES 13.954.010.31</t>
  </si>
  <si>
    <t xml:space="preserve">CL-00000364</t>
  </si>
  <si>
    <t xml:space="preserve">CANON LEASING 557285005 TRIMESTRAL (NOV-DIC-ENE)</t>
  </si>
  <si>
    <t xml:space="preserve">CL-00000365</t>
  </si>
  <si>
    <t xml:space="preserve">CANON LEASING 556449180 TRIMESTRAL (NOV-DIC-ENE)  CAPITAL 20.805.204.47 INTERESES 13.951.119.53</t>
  </si>
  <si>
    <t xml:space="preserve">CL-00000366</t>
  </si>
  <si>
    <t xml:space="preserve">CANON LEASNG 556449224 TRIMESTRAL (NOV-DIC-ENE) CAPITAL 20.805.204.47 INTERESES 13.951.119.53</t>
  </si>
  <si>
    <t xml:space="preserve">CL-00000389</t>
  </si>
  <si>
    <t xml:space="preserve">CANON LEASING 556449117 TRIMESTRAL (FEB-MAR-ABRL) CAPITAL 26.079.255.16 INTERESES 9.564.429.84</t>
  </si>
  <si>
    <t xml:space="preserve">CL-00000390</t>
  </si>
  <si>
    <t xml:space="preserve">CANON LEASING 556449288 TRIMESTRAL (FEB-MAR-ABRI) CAPITAL 21.319.941.88 INTERES 13.637.409.12</t>
  </si>
  <si>
    <t xml:space="preserve">CL-00000391</t>
  </si>
  <si>
    <t xml:space="preserve">CANON LEASING 557285005 TRIMESTRAL (FEB-MAR-ABR) CAPITAL 62.648.860.03 INTERESES 36.783.056.97</t>
  </si>
  <si>
    <t xml:space="preserve">CL-00000392</t>
  </si>
  <si>
    <t xml:space="preserve">CANON LEASING 556449180 TRIMESTRAL (FEB-MAR-ABR) CAPITAL 21.315.470.38 INTERESES 13.634.585.62</t>
  </si>
  <si>
    <t xml:space="preserve">CL-00000393</t>
  </si>
  <si>
    <t xml:space="preserve">CANON LEASING 556449224 TRIMESTRAL (FEB-MAR-ABR) CAPITAL 34.950.056 INTERESES 13.634.585.61</t>
  </si>
  <si>
    <t xml:space="preserve">CL-00000394</t>
  </si>
  <si>
    <t xml:space="preserve">CANON LEASING 556449064 TRIMESTRAL (FEB-MAR-ABR) CAPITAL 26079255,17 INTERESES 9.564.429.83</t>
  </si>
  <si>
    <t xml:space="preserve">CL-00000424</t>
  </si>
  <si>
    <t xml:space="preserve">CANON LEASING 556449117 CAPITAL 26.602.533.71 INTERESES 9.497.274.29</t>
  </si>
  <si>
    <t xml:space="preserve">CL-00000426</t>
  </si>
  <si>
    <t xml:space="preserve">CANON LEASING 556449064 TRIMESTRAL (MAY-JUN-JUL) CAPITAL  26.602.533.70, INTERESES 9.497.274.30</t>
  </si>
  <si>
    <t xml:space="preserve">CL-00000427</t>
  </si>
  <si>
    <t xml:space="preserve">CANON LEASING 556449224 TRIMESTRAL (MAY-JUN-JUL) CAPITAL 21.538.319.02 INTERESES 14.118.857.98</t>
  </si>
  <si>
    <t xml:space="preserve">CL-00000428</t>
  </si>
  <si>
    <t xml:space="preserve">CANON LEASING 556449180 TRIMESTRAL (MAY-JUN-JUL) CAPITAL 21.538.319.01 INTERESES 14.118.857.99</t>
  </si>
  <si>
    <t xml:space="preserve">CL-00000429</t>
  </si>
  <si>
    <t xml:space="preserve">CANON LEASING 557285005 (MAY-JUN-JUL) CAPITAL 62.866.117.12 INTERESES 39.578.631.88</t>
  </si>
  <si>
    <t xml:space="preserve">CL-00000430</t>
  </si>
  <si>
    <t xml:space="preserve">CANON LEASING 556449288 (MY-JUN-JUL) CAPITAL 21.542.838.16 INTERESES 14.121.779.84</t>
  </si>
  <si>
    <t xml:space="preserve">CL-00000352</t>
  </si>
  <si>
    <t xml:space="preserve">CANON 30 LEASING 331330 MES DE ENERO 2026</t>
  </si>
  <si>
    <t xml:space="preserve">CL-00000353</t>
  </si>
  <si>
    <t xml:space="preserve">CANON 8 LEASING 336817 MES DE ENERO 2026</t>
  </si>
  <si>
    <t xml:space="preserve">CL-00000369</t>
  </si>
  <si>
    <t xml:space="preserve">CANON 9 LEASING 336817 MES DE FEBRERO 2026</t>
  </si>
  <si>
    <t xml:space="preserve">CL-00000370</t>
  </si>
  <si>
    <t xml:space="preserve">CANON 31 LEASING 331330 MES DE FEBRERO 2026</t>
  </si>
  <si>
    <t xml:space="preserve">CL-00000376</t>
  </si>
  <si>
    <t xml:space="preserve">CANON 32 LEASING 331330 MENSUAL</t>
  </si>
  <si>
    <t xml:space="preserve">CL-00000377</t>
  </si>
  <si>
    <t xml:space="preserve">CANON 10 LEASING 336817 MENSUAL</t>
  </si>
  <si>
    <t xml:space="preserve">CL-00000385</t>
  </si>
  <si>
    <t xml:space="preserve">CANON 4 LEASING 362095 TRIMESTRAL (ENE-FEB-MAR)</t>
  </si>
  <si>
    <t xml:space="preserve">CL-00000387</t>
  </si>
  <si>
    <t xml:space="preserve">CANON 33 LEASING 331330 MENSUAL CAPITAL 17.114.382 INTERESES 6.762.702 SEGURO 280.510</t>
  </si>
  <si>
    <t xml:space="preserve">CL-00000388</t>
  </si>
  <si>
    <t xml:space="preserve">CANON 11 LEASING 336817 MENSUAL CAPITAL 8.838.594 INTERES 9.646.317 SEGURO 263.047</t>
  </si>
  <si>
    <t xml:space="preserve">CL-00000402</t>
  </si>
  <si>
    <t xml:space="preserve">CANON 12 LEASING  336817  MENSUAL CAPITAL 8.838.594 INTERESES 9.575.527 SEGURO 263.047</t>
  </si>
  <si>
    <t xml:space="preserve">CL-00000403</t>
  </si>
  <si>
    <t xml:space="preserve">CANON 34 LEASING 331330 MENSUAL CAPITAL 17.114.382 INTERESES 6.615.640 SEGURO 280.510</t>
  </si>
  <si>
    <t xml:space="preserve">CL-00000413</t>
  </si>
  <si>
    <t xml:space="preserve">CANON 13 CREDITO 336817 MENSUAL CAPITAL 8.838.594, SEGURO 263.047, INTERESES 9548725</t>
  </si>
  <si>
    <t xml:space="preserve">CL-00000414</t>
  </si>
  <si>
    <t xml:space="preserve">CANON LEASING 362095 TRIMESTRAL (ABR-MAY-JUN) CAPITAL 23.832.145, INTERESES 15.043.006 SEGURO 1.013.571</t>
  </si>
  <si>
    <t xml:space="preserve">CL-00000417</t>
  </si>
  <si>
    <t xml:space="preserve">CANON CREDITO 331330 MENSUAL CAPITAL 17.114.382, INTERESES 6.446.141, SEGURO 280.510</t>
  </si>
  <si>
    <t xml:space="preserve">CL-00000420</t>
  </si>
  <si>
    <t xml:space="preserve">CANON 36 LEASING 331330 MENSUAL CAPITAL 17.114.382, INTERESES 6.236.225, SEGUROS 280.510</t>
  </si>
  <si>
    <t xml:space="preserve">CL-00000421</t>
  </si>
  <si>
    <t xml:space="preserve">CANON 14 LEASING 336817 MENSUAL CAPITAL 8.838.594, INTERESES 9.459.248, SEGURO 263.047</t>
  </si>
  <si>
    <t xml:space="preserve">21300101</t>
  </si>
  <si>
    <t xml:space="preserve">Intereses Financieros por Pagar O.F.</t>
  </si>
  <si>
    <t xml:space="preserve">NB-00000893</t>
  </si>
  <si>
    <t xml:space="preserve">INTERESES CAUSADOS ENERO CRED 4476</t>
  </si>
  <si>
    <t xml:space="preserve">Interés OF por pagar</t>
  </si>
  <si>
    <t xml:space="preserve">Causación</t>
  </si>
  <si>
    <t xml:space="preserve">NB-00000913</t>
  </si>
  <si>
    <t xml:space="preserve">INTERESES CAUSADOS FEBRERO CRED 4476 FEB</t>
  </si>
  <si>
    <t xml:space="preserve">NB-00000931</t>
  </si>
  <si>
    <t xml:space="preserve">INTERESES CAUSADOS MARZO CRED 4476</t>
  </si>
  <si>
    <t xml:space="preserve">NI-00004282</t>
  </si>
  <si>
    <t xml:space="preserve">REVERSION PROVISION INTERESES CREDITO 9600290141 ENE-FEB-MAR</t>
  </si>
  <si>
    <t xml:space="preserve">Reversión por pago</t>
  </si>
  <si>
    <t xml:space="preserve">NB-00000954</t>
  </si>
  <si>
    <t xml:space="preserve">INTERESES CAUSADOS ABRIL CRED 0141</t>
  </si>
  <si>
    <t xml:space="preserve">NB-00000972</t>
  </si>
  <si>
    <t xml:space="preserve">INTERESES CAUSADOS MAYO CRED 0141</t>
  </si>
  <si>
    <t xml:space="preserve">NI-00004668</t>
  </si>
  <si>
    <t xml:space="preserve">REVERSION PROVISION INTERESES CREDITO 9600290141 TRIMESTRAL (ABR-MAY-JUN) 141.154.577.78</t>
  </si>
  <si>
    <t xml:space="preserve">NI-00004723</t>
  </si>
  <si>
    <t xml:space="preserve">AJUSTE A MILES OBLIGACIONES FINANCIERAS</t>
  </si>
  <si>
    <t xml:space="preserve">SIN-ID</t>
  </si>
  <si>
    <t xml:space="preserve">Ajuste redondeo</t>
  </si>
  <si>
    <t xml:space="preserve">NB-00000995</t>
  </si>
  <si>
    <t xml:space="preserve">INTERESES CAUSADOS JUNIO CRED 0141</t>
  </si>
  <si>
    <t xml:space="preserve">INTERESES CAUSADOS ENERO CRED 0624</t>
  </si>
  <si>
    <t xml:space="preserve">INTERESES CAUSADOS ENERO CRED 7691</t>
  </si>
  <si>
    <t xml:space="preserve">INTERESES CAUSADOS ENERO CRED 8906</t>
  </si>
  <si>
    <t xml:space="preserve">INTERESES CAUSADOS ENERO CRED 9032</t>
  </si>
  <si>
    <t xml:space="preserve">NI-00004061</t>
  </si>
  <si>
    <t xml:space="preserve">REVERSION PROVISION INTERESES CEDITO 300607691 (AGO-SEP-OCT-NOV-DIC-ENE)</t>
  </si>
  <si>
    <t xml:space="preserve">NI-00004063</t>
  </si>
  <si>
    <t xml:space="preserve">REVERSION PROVISION INTERESES CREDITO 300569032 (AGO-SEP-OCT-NOV-DIC-ENE)</t>
  </si>
  <si>
    <t xml:space="preserve">NIC-00000301</t>
  </si>
  <si>
    <t xml:space="preserve">CANON CREDITO 457300748906 (AGO-SEP-OCT-NOV-DIC-ENE)</t>
  </si>
  <si>
    <t xml:space="preserve">NB-00000912</t>
  </si>
  <si>
    <t xml:space="preserve">INTERESES CAUSADOS ENERO CRED 8906 ENE</t>
  </si>
  <si>
    <t xml:space="preserve">INTERESES CAUSADOS FEBRERO CRED 0624 FEB</t>
  </si>
  <si>
    <t xml:space="preserve">INTERESES CAUSADOS FEBRERO CRED 7691 FEB</t>
  </si>
  <si>
    <t xml:space="preserve">INTERESES CAUSADOS FEBRERO CRED 9032 FEB</t>
  </si>
  <si>
    <t xml:space="preserve">INTERESES CAUSADOS MARZO CRED 0624</t>
  </si>
  <si>
    <t xml:space="preserve">INTERESES CAUSADOS MARZO CRED 7691</t>
  </si>
  <si>
    <t xml:space="preserve">INTERESES CAUSADOS MARZO CRED 9032</t>
  </si>
  <si>
    <t xml:space="preserve">NI-00004268</t>
  </si>
  <si>
    <t xml:space="preserve">REVERSION PROVISION INTERESES CREDITO 457300830624 SEMESTRAL (OCT-NOV-DIC-ENE-FEB-MAR)</t>
  </si>
  <si>
    <t xml:space="preserve">INTERESES CAUSADOS ABRIL CRED 0624</t>
  </si>
  <si>
    <t xml:space="preserve">INTERESES CAUSADOS ABRIL CRED 7691</t>
  </si>
  <si>
    <t xml:space="preserve">INTERESES CAUSADOS ABRIL CRED 9032</t>
  </si>
  <si>
    <t xml:space="preserve">INTERESES CAUSADOS MAYO CRED 0624</t>
  </si>
  <si>
    <t xml:space="preserve">INTERESES CAUSADOS MAYO CRED 7691</t>
  </si>
  <si>
    <t xml:space="preserve">INTERESES CAUSADOS MAYO CRED 9032</t>
  </si>
  <si>
    <t xml:space="preserve">INTERESES CAUSADOS JUNIO CRED 0624</t>
  </si>
  <si>
    <t xml:space="preserve">INTERESES CAUSADOS JUNIO CRED 7691</t>
  </si>
  <si>
    <t xml:space="preserve">INTERESES CAUSADOS JUNIO CRED 9032</t>
  </si>
  <si>
    <t xml:space="preserve">NB-00001013</t>
  </si>
  <si>
    <t xml:space="preserve">INTERESES CAUSADOS JULIO CRED 0624 JUL</t>
  </si>
  <si>
    <t xml:space="preserve">INTERESES CAUSADOS JULIO CRED 7691 JUL</t>
  </si>
  <si>
    <t xml:space="preserve">INTERESES CAUSADOS JULIO CRED 9032 JUL</t>
  </si>
  <si>
    <t xml:space="preserve">NI-00004743</t>
  </si>
  <si>
    <t xml:space="preserve">REVERSION PROVISION INTERESES CAUSADOS CREDITO  457300607691 (AGO-SEP-OCT-NOV-DIC-ENE) INTERESES 272.300.000</t>
  </si>
  <si>
    <t xml:space="preserve">NI-00004745</t>
  </si>
  <si>
    <t xml:space="preserve">REVERSION PROVISION INTERESES CAUSADOS CREDITO 300569032 (FEB-MER-ABR-MAY-JUN-JUL) INTERESES 206.288.000</t>
  </si>
  <si>
    <t xml:space="preserve">INTERESES CAUSADOS ENERO CRED 0629</t>
  </si>
  <si>
    <t xml:space="preserve">INTERESES CAUSADOS ENERO CRED 7259</t>
  </si>
  <si>
    <t xml:space="preserve">NI-00004151</t>
  </si>
  <si>
    <t xml:space="preserve">REVERSION PROVISION INTERESES CREDITO 858177259 (DIC-ENE-FEB)</t>
  </si>
  <si>
    <t xml:space="preserve">INTERESES CAUSADOS FEBRERO CRED 0629 FEB</t>
  </si>
  <si>
    <t xml:space="preserve">INTERESES CAUSADOS FEBRERO CRED 7259 FEB</t>
  </si>
  <si>
    <t xml:space="preserve">INTERESES CAUSADOS FEBRERO CRED 7469 FEB</t>
  </si>
  <si>
    <t xml:space="preserve">INTERESES CAUSADOS MARZO CRED 0629</t>
  </si>
  <si>
    <t xml:space="preserve">INTERESES CAUSADOS MARZO CRED 7259</t>
  </si>
  <si>
    <t xml:space="preserve">INTERESES CAUSADOS MARZO CRED 7469</t>
  </si>
  <si>
    <t xml:space="preserve">NI-00004260</t>
  </si>
  <si>
    <t xml:space="preserve">REVERSION PROVISION INTERESES CAUSADOS CREDITO 856670629 (ENE-FEB-MER) $56.089.116</t>
  </si>
  <si>
    <t xml:space="preserve">INTERESES CAUSADOS ABRIL CRED 0629</t>
  </si>
  <si>
    <t xml:space="preserve">INTERESES CAUSADOS ABRIL CRED 7259</t>
  </si>
  <si>
    <t xml:space="preserve">INTERESES CAUSADOS ABRIL CRED 7469</t>
  </si>
  <si>
    <t xml:space="preserve">NI-00004402</t>
  </si>
  <si>
    <t xml:space="preserve">REVERSION CREDITO 115297469 TRIMESTRAL (FEB-MAR-ABR) 254.610.556</t>
  </si>
  <si>
    <t xml:space="preserve">INTERESES CAUSADOS MAYO CRED 0629</t>
  </si>
  <si>
    <t xml:space="preserve">INTERESES CAUSADOS MAYO CRED 7259</t>
  </si>
  <si>
    <t xml:space="preserve">INTERESES CAUSADOS MAYO CRED 7469</t>
  </si>
  <si>
    <t xml:space="preserve">NI-00004526</t>
  </si>
  <si>
    <t xml:space="preserve">REVERSION PROVISION INTERESES 858177259 TRIMESTRAL (MAR-ABR-MAY)</t>
  </si>
  <si>
    <t xml:space="preserve">NI-00004662</t>
  </si>
  <si>
    <t xml:space="preserve">REVERSION PROVISION CREDITO 856670629 TRIMESTRAL (ABR-MAY-JUN)</t>
  </si>
  <si>
    <t xml:space="preserve">INTERESES CAUSADOS JUNIO CRED 0629</t>
  </si>
  <si>
    <t xml:space="preserve">INTERESES CAUSADOS JUNIO CRED 7259</t>
  </si>
  <si>
    <t xml:space="preserve">INTERESES CAUSADOS JUNIO CRED 7469</t>
  </si>
  <si>
    <t xml:space="preserve">INTERESES CAUSADOS JULIO CRED 0629 JUL</t>
  </si>
  <si>
    <t xml:space="preserve">INTERESES CAUSADOS JULIO CRED 7259 JUL</t>
  </si>
  <si>
    <t xml:space="preserve">INTERESES CAUSADOS JULIO CRED 7469 JUL</t>
  </si>
  <si>
    <t xml:space="preserve">NI-00004736</t>
  </si>
  <si>
    <t xml:space="preserve">REVERSION PROVISION INTERESES CREDITO 1155297469 INTERESES 299.617.500</t>
  </si>
  <si>
    <t xml:space="preserve">INTERESES CAUSADOS ENERO CRED 9940</t>
  </si>
  <si>
    <t xml:space="preserve">INTERESES CAUSADOS FEBRERO CRED 9940 FEB</t>
  </si>
  <si>
    <t xml:space="preserve">INTERESES CAUSADOS MARZO CRED 9940</t>
  </si>
  <si>
    <t xml:space="preserve">NI-00004261</t>
  </si>
  <si>
    <t xml:space="preserve">REVERSION PROVISION DE INTERESES CREDITO 63130940-2 (ENE-FEB-MER)</t>
  </si>
  <si>
    <t xml:space="preserve">INTERESES CAUSADOS ABRIL CRED 9940</t>
  </si>
  <si>
    <t xml:space="preserve">INTERESES CAUSADOS MAYO CRED 9940</t>
  </si>
  <si>
    <t xml:space="preserve">NI-00004663</t>
  </si>
  <si>
    <t xml:space="preserve">REVERSION PROVISION CREDITO 631309940 TRIMESTRAL (ABR-MAY-JUN)</t>
  </si>
  <si>
    <t xml:space="preserve">INTERESES CAUSADOS JUNIO CRED 9940</t>
  </si>
  <si>
    <t xml:space="preserve">INTERESES CAUSADOS JULIO CRED 9940 JUL</t>
  </si>
  <si>
    <t xml:space="preserve">INTERESES CAUSADOS ENERO CRED 5867</t>
  </si>
  <si>
    <t xml:space="preserve">NIC-00000546</t>
  </si>
  <si>
    <t xml:space="preserve">REVERSION PROVISION CREDITO 1260105867  (NOV-DIC-ENE)</t>
  </si>
  <si>
    <t xml:space="preserve">INTERESES CAUSADOS FEBRERO CRED 5867 FEB</t>
  </si>
  <si>
    <t xml:space="preserve">INTERESES CAUSADOS MARZO CRED 5867</t>
  </si>
  <si>
    <t xml:space="preserve">INTERESES CAUSADOS ABRIL CRED 5867</t>
  </si>
  <si>
    <t xml:space="preserve">NI-00004401</t>
  </si>
  <si>
    <t xml:space="preserve">REVERSION INTERESES CREDITO 1260105867 TRIMESTRAL (FEB-MAR-ABR) 137.225.000</t>
  </si>
  <si>
    <t xml:space="preserve">INTERESES CAUSADOS MAYO CRED 5867</t>
  </si>
  <si>
    <t xml:space="preserve">INTERESES CAUSADOS JUNIO CRED 5867</t>
  </si>
  <si>
    <t xml:space="preserve">INTERESES CAUSADOS JULIO CRED 5867 JUL</t>
  </si>
  <si>
    <t xml:space="preserve">NI-00004746</t>
  </si>
  <si>
    <t xml:space="preserve">REVERSION ROVISION INTERESES CAUSADOS CREDITO 1260105867</t>
  </si>
  <si>
    <t xml:space="preserve">21300102</t>
  </si>
  <si>
    <t xml:space="preserve">Intereses Leasing por Pagar</t>
  </si>
  <si>
    <t xml:space="preserve">INTERESES CAUSADOS ENERO LEAS 1275-3</t>
  </si>
  <si>
    <t xml:space="preserve">Interés leasing por pagar</t>
  </si>
  <si>
    <t xml:space="preserve">NI-00004064</t>
  </si>
  <si>
    <t xml:space="preserve">REVERSION PROVISION INTERESES LEASING 1021275-3 (NOV-DIC-ENE)</t>
  </si>
  <si>
    <t xml:space="preserve">INTERESES CAUSADOS FEBRERO LEAS 1275-3 FEB</t>
  </si>
  <si>
    <t xml:space="preserve">INTERESES CAUSADOS MARZO LEAS 1275-3</t>
  </si>
  <si>
    <t xml:space="preserve">INTERESES CAUSADOS ABRIL LEAS 1275-3</t>
  </si>
  <si>
    <t xml:space="preserve">NI-00004400</t>
  </si>
  <si>
    <t xml:space="preserve">REVERSION INTERESES CAUSADOS LEASING 3001021275-3 TRIMESTRAL (FEB-MAR-ABR) 55.427.870</t>
  </si>
  <si>
    <t xml:space="preserve">INTERESES CAUSADOS MAYO LEAS 1275-3</t>
  </si>
  <si>
    <t xml:space="preserve">INTERESES CAUSADOS JUNIO LEAS 1275-3</t>
  </si>
  <si>
    <t xml:space="preserve">INTERESES CAUSADOS JULIO LEAS 1275-3 JUL</t>
  </si>
  <si>
    <t xml:space="preserve">NI-00004744</t>
  </si>
  <si>
    <t xml:space="preserve">REVERSION PROVISION INTERESES CAUSADOS LEASING 1021275 (MAY-JUN-JUL)</t>
  </si>
  <si>
    <t xml:space="preserve">INTERESES CAUSADOS ENERO LEAS 5005</t>
  </si>
  <si>
    <t xml:space="preserve">INTERESES CAUSADOS ENERO LEAS 9064</t>
  </si>
  <si>
    <t xml:space="preserve">INTERESES CAUSADOS ENERO LEAS 9117</t>
  </si>
  <si>
    <t xml:space="preserve">INTERESES CAUSADOS ENERO LEAS 9180</t>
  </si>
  <si>
    <t xml:space="preserve">INTERESES CAUSADOS ENERO LEAS 9224</t>
  </si>
  <si>
    <t xml:space="preserve">INTERESES CAUSADOS ENERO LEAS 9288</t>
  </si>
  <si>
    <t xml:space="preserve">NI-00004055</t>
  </si>
  <si>
    <t xml:space="preserve">REVERSION PROVISION INTERESES LEASING 556449288 (NOV-DIC-ENE)</t>
  </si>
  <si>
    <t xml:space="preserve">NI-00004056</t>
  </si>
  <si>
    <t xml:space="preserve">REVERSION PROVISION INTERESES LEASING 557285005 (NOV-DIC-ENE)</t>
  </si>
  <si>
    <t xml:space="preserve">NI-00004057</t>
  </si>
  <si>
    <t xml:space="preserve">REVERSION PROVISION INTERESES LEASING 556449180 (NOV-DIC-ENE)</t>
  </si>
  <si>
    <t xml:space="preserve">NI-00004058</t>
  </si>
  <si>
    <t xml:space="preserve">REVERSION PROVISION INTERESES LEASING 556449224 (NOV-DIC-ENE)</t>
  </si>
  <si>
    <t xml:space="preserve">NI-00004059</t>
  </si>
  <si>
    <t xml:space="preserve">REVERSION PROVISION INTERESES LEASING 556449064 (NOV-DIC-ENE)</t>
  </si>
  <si>
    <t xml:space="preserve">NI-00004060</t>
  </si>
  <si>
    <t xml:space="preserve">REVERSION PROVISION INTERESES LEASING 556449117 (NOV-DIC-ENE)</t>
  </si>
  <si>
    <t xml:space="preserve">INTERESES CAUSADOS FEBRERO LEAS 5005 FEB</t>
  </si>
  <si>
    <t xml:space="preserve">INTERESES CAUSADOS FEBRERO LEAS 9064 FEB</t>
  </si>
  <si>
    <t xml:space="preserve">INTERESES CAUSADOS FEBRERO LEAS 9117 FEB</t>
  </si>
  <si>
    <t xml:space="preserve">INTERESES CAUSADOS FEBRERO LEAS 9180 FEB</t>
  </si>
  <si>
    <t xml:space="preserve">INTERESES CAUSADOS FEBRERO LEAS 9224 FEB</t>
  </si>
  <si>
    <t xml:space="preserve">INTERESES CAUSADOS FEBRERO LEAS 9288 FEB</t>
  </si>
  <si>
    <t xml:space="preserve">INTERESES CAUSADOS MARZO LEAS 5005</t>
  </si>
  <si>
    <t xml:space="preserve">INTERESES CAUSADOS MARZO LEAS 9064</t>
  </si>
  <si>
    <t xml:space="preserve">INTERESES CAUSADOS MARZO LEAS 9117</t>
  </si>
  <si>
    <t xml:space="preserve">INTERESES CAUSADOS MARZO LEAS 9180</t>
  </si>
  <si>
    <t xml:space="preserve">INTERESES CAUSADOS MARZO LEAS 9224</t>
  </si>
  <si>
    <t xml:space="preserve">INTERESES CAUSADOS MARZO LEAS 9288</t>
  </si>
  <si>
    <t xml:space="preserve">INTERESES CAUSADOS ABRIL LEAS 5005</t>
  </si>
  <si>
    <t xml:space="preserve">INTERESES CAUSADOS ABRIL LEAS 9064</t>
  </si>
  <si>
    <t xml:space="preserve">INTERESES CAUSADOS ABRIL LEAS 9117</t>
  </si>
  <si>
    <t xml:space="preserve">INTERESES CAUSADOS ABRIL LEAS 9180</t>
  </si>
  <si>
    <t xml:space="preserve">INTERESES CAUSADOS ABRIL LEAS 9224</t>
  </si>
  <si>
    <t xml:space="preserve">INTERESES CAUSADOS ABRIL LEAS 9288</t>
  </si>
  <si>
    <t xml:space="preserve">NI-00004394</t>
  </si>
  <si>
    <t xml:space="preserve">REVERSION DE INTERESES LEASING 556449117 TRIMESTRAL (FEB-MRZ-ABRI)</t>
  </si>
  <si>
    <t xml:space="preserve">NI-00004395</t>
  </si>
  <si>
    <t xml:space="preserve">REVERSION INTERESES LEASING 556449288 (FEB-MAR-ABR) $13.637.409.12</t>
  </si>
  <si>
    <t xml:space="preserve">NI-00004396</t>
  </si>
  <si>
    <t xml:space="preserve">REVERSION INTERESES LEASING 55728505 (FEB-MAR-ABR) $36.783.056</t>
  </si>
  <si>
    <t xml:space="preserve">NI-00004397</t>
  </si>
  <si>
    <t xml:space="preserve">REVERSION INTERESES LEASING 556449180 (FEB-MAR-ABR) $13.637.409.12</t>
  </si>
  <si>
    <t xml:space="preserve">NI-00004398</t>
  </si>
  <si>
    <t xml:space="preserve">REVERSION INTRESES LEASING 556449224 TRIMESTRAL (FEB-MER-ABR) $13.634.585</t>
  </si>
  <si>
    <t xml:space="preserve">NI-00004399</t>
  </si>
  <si>
    <t xml:space="preserve">REVERSION INTERESE CAUSADOS LEASING 556449064 TRIMESTRAL (FEB-MAR-ABR) $9.564.430</t>
  </si>
  <si>
    <t xml:space="preserve">INTERESES CAUSADOS MAYO LEAS 5005</t>
  </si>
  <si>
    <t xml:space="preserve">INTERESES CAUSADOS MAYO LEAS 9064</t>
  </si>
  <si>
    <t xml:space="preserve">INTERESES CAUSADOS MAYO LEAS 9117</t>
  </si>
  <si>
    <t xml:space="preserve">INTERESES CAUSADOS MAYO LEAS 9180</t>
  </si>
  <si>
    <t xml:space="preserve">INTERESES CAUSADOS MAYO LEAS 9224</t>
  </si>
  <si>
    <t xml:space="preserve">INTERESES CAUSADOS MAYO LEAS 9288</t>
  </si>
  <si>
    <t xml:space="preserve">INTERESES CAUSADOS JUNIO LEAS 5005</t>
  </si>
  <si>
    <t xml:space="preserve">INTERESES CAUSADOS JUNIO LEAS 9064</t>
  </si>
  <si>
    <t xml:space="preserve">INTERESES CAUSADOS JUNIO LEAS 9117</t>
  </si>
  <si>
    <t xml:space="preserve">INTERESES CAUSADOS JUNIO LEAS 9180</t>
  </si>
  <si>
    <t xml:space="preserve">INTERESES CAUSADOS JUNIO LEAS 9224</t>
  </si>
  <si>
    <t xml:space="preserve">INTERESES CAUSADOS JUNIO LEAS 9288</t>
  </si>
  <si>
    <t xml:space="preserve">INTERESES CAUSADOS JULIO LEAS 5005 JUL</t>
  </si>
  <si>
    <t xml:space="preserve">INTERESES CAUSADOS JULIO LEAS 9064 JUL</t>
  </si>
  <si>
    <t xml:space="preserve">INTERESES CAUSADOS JULIO LEAS 9117 JUL</t>
  </si>
  <si>
    <t xml:space="preserve">INTERESES CAUSADOS JULIO LEAS 9180 JUL</t>
  </si>
  <si>
    <t xml:space="preserve">INTERESES CAUSADOS JULIO LEAS 9224 JUL</t>
  </si>
  <si>
    <t xml:space="preserve">INTERESES CAUSADOS JULIO LEAS 9288 JUL</t>
  </si>
  <si>
    <t xml:space="preserve">NI-00004734</t>
  </si>
  <si>
    <t xml:space="preserve">REVERSION PROVISION DE INTERESES CAUSADOS (MAY, JUN,JUL) LEASING 556449117 INTERESES 9.497.274.29</t>
  </si>
  <si>
    <t xml:space="preserve">NI-00004737</t>
  </si>
  <si>
    <t xml:space="preserve">REVERSION PROVISION INTERESES CAUSADOS LEASING 556449064 INTERESES 9.497.274.30</t>
  </si>
  <si>
    <t xml:space="preserve">NI-00004738</t>
  </si>
  <si>
    <t xml:space="preserve">REVERSION PROVISION INTERESES CAUSADOS LEASING 556449224 (MAY-JUN-JUL) INTERESES 14.118.857.98</t>
  </si>
  <si>
    <t xml:space="preserve">NI-00004739</t>
  </si>
  <si>
    <t xml:space="preserve">REVERSION PROVISION INTERESES LEASING 556449180 (MAY-JUN-JUL) INTERESES 14.118.857.99</t>
  </si>
  <si>
    <t xml:space="preserve">NI-00004740</t>
  </si>
  <si>
    <t xml:space="preserve">REVERSION PROVISION INTERESES LEASING 557285005 (MY-JUN-JUL) INTERESES 39.578.631.88</t>
  </si>
  <si>
    <t xml:space="preserve">NI-00004741</t>
  </si>
  <si>
    <t xml:space="preserve">REVERSION PROVISION INTERESES LEASING 556449288 (MAY-JUN-JUL) INTERESES 14.121.779.84</t>
  </si>
  <si>
    <t xml:space="preserve">INTERESES CAUSADOS ENERO LEAS 2095</t>
  </si>
  <si>
    <t xml:space="preserve">INTERESES CAUSADOS FEBRERO LEAS 2095 FEB</t>
  </si>
  <si>
    <t xml:space="preserve">INTERESES CAUSADOS MARZO</t>
  </si>
  <si>
    <t xml:space="preserve">NI-00004262</t>
  </si>
  <si>
    <t xml:space="preserve">CANON 4 CREDITO 362095 TRIMESTRAL (ENE-FEB-MER)</t>
  </si>
  <si>
    <t xml:space="preserve">INTERESES CAUSADOS ABRIL LEAS 2095</t>
  </si>
  <si>
    <t xml:space="preserve">INTERESES CAUSADOS MAYO LEAS 2095</t>
  </si>
  <si>
    <t xml:space="preserve">INTERESES CAUSADOS JUNIO LEAS 2095</t>
  </si>
  <si>
    <t xml:space="preserve">NI-00004667</t>
  </si>
  <si>
    <t xml:space="preserve">REVERSION PROVISION INTERESES CAUSADOS LEASING 362095 TRIMESTRAL (ABR-MAY-JUN)</t>
  </si>
  <si>
    <t xml:space="preserve">INTERESES CAUSADOS JULIO LEAS 2095 JUL</t>
  </si>
  <si>
    <t xml:space="preserve">TOTAL MOVIMIENTO</t>
  </si>
  <si>
    <t xml:space="preserve">Balances de prueba – cuentas 21, 5305 y totales de clase</t>
  </si>
  <si>
    <t xml:space="preserve">Fuentes: Obl_Financieros.xlsx/Hoja1 (emitido 29-sep-2026) y Balance_2026_GUUU.xlsx (emitido 24-ago-2026). Libro NIIF, cifras en pesos; saldos crédito con signo negativo.</t>
  </si>
  <si>
    <t xml:space="preserve">Balance 29-sep-2026 (Obl_Financieros/Hoja1)</t>
  </si>
  <si>
    <t xml:space="preserve">Balance 24-ago-2026 (Balance_2026_GUUU)</t>
  </si>
  <si>
    <t xml:space="preserve">Diferencias (29-sep menos 24-ago)</t>
  </si>
  <si>
    <t xml:space="preserve">Saldo inicial 2026/01</t>
  </si>
  <si>
    <t xml:space="preserve">Débitos</t>
  </si>
  <si>
    <t xml:space="preserve">Créditos</t>
  </si>
  <si>
    <t xml:space="preserve">Saldo final 2026/07</t>
  </si>
  <si>
    <t xml:space="preserve">Dif. SI</t>
  </si>
  <si>
    <t xml:space="preserve">Dif. Déb.</t>
  </si>
  <si>
    <t xml:space="preserve">Dif. Créd.</t>
  </si>
  <si>
    <t xml:space="preserve">Dif. SF</t>
  </si>
  <si>
    <t xml:space="preserve">1</t>
  </si>
  <si>
    <t xml:space="preserve">ACTIVO</t>
  </si>
  <si>
    <t xml:space="preserve">2</t>
  </si>
  <si>
    <t xml:space="preserve">PASIVOS</t>
  </si>
  <si>
    <t xml:space="preserve">3</t>
  </si>
  <si>
    <t xml:space="preserve">PATRIMONIO</t>
  </si>
  <si>
    <t xml:space="preserve">4</t>
  </si>
  <si>
    <t xml:space="preserve">INGRESOS</t>
  </si>
  <si>
    <t xml:space="preserve">5</t>
  </si>
  <si>
    <t xml:space="preserve">GASTOS</t>
  </si>
  <si>
    <t xml:space="preserve">6</t>
  </si>
  <si>
    <t xml:space="preserve">COSTOS DE VENTAS</t>
  </si>
  <si>
    <t xml:space="preserve">7</t>
  </si>
  <si>
    <t xml:space="preserve">COSTO  DE PRODUCCION O DE OPERACION</t>
  </si>
  <si>
    <t xml:space="preserve">21</t>
  </si>
  <si>
    <t xml:space="preserve">OBLIGACIONES FINANCIERAS</t>
  </si>
  <si>
    <t xml:space="preserve">2105</t>
  </si>
  <si>
    <t xml:space="preserve">210501</t>
  </si>
  <si>
    <t xml:space="preserve">Obligaciones Financieras a Corto Plazo</t>
  </si>
  <si>
    <t xml:space="preserve">210502</t>
  </si>
  <si>
    <t xml:space="preserve">Obligaciones Financieras a Largo  Plazo</t>
  </si>
  <si>
    <t xml:space="preserve">2120</t>
  </si>
  <si>
    <t xml:space="preserve">LEASING</t>
  </si>
  <si>
    <t xml:space="preserve">212020</t>
  </si>
  <si>
    <t xml:space="preserve">212021</t>
  </si>
  <si>
    <t xml:space="preserve">Leasing Largo  Plazo</t>
  </si>
  <si>
    <t xml:space="preserve">2130</t>
  </si>
  <si>
    <t xml:space="preserve">INTERESES FINANCIEROS POR PAGAR</t>
  </si>
  <si>
    <t xml:space="preserve">Intereses Financieros por Pagar</t>
  </si>
  <si>
    <t xml:space="preserve">5305</t>
  </si>
  <si>
    <t xml:space="preserve">FINANCIEROS</t>
  </si>
  <si>
    <t xml:space="preserve">530520</t>
  </si>
  <si>
    <t xml:space="preserve">intereses financieros</t>
  </si>
  <si>
    <t xml:space="preserve">53052001</t>
  </si>
  <si>
    <t xml:space="preserve">Intereses de Sobregiro</t>
  </si>
  <si>
    <t xml:space="preserve">53052002</t>
  </si>
  <si>
    <t xml:space="preserve">Intereses de Mora</t>
  </si>
  <si>
    <t xml:space="preserve">53052010</t>
  </si>
  <si>
    <t xml:space="preserve">Intereses de Leasing Efectivamen Pagados</t>
  </si>
  <si>
    <t xml:space="preserve">53052020</t>
  </si>
  <si>
    <t xml:space="preserve">Intereses Préstamos Efectivamente Pagado</t>
  </si>
  <si>
    <t xml:space="preserve">53052030</t>
  </si>
  <si>
    <t xml:space="preserve">Intereses sobre Préstamos Causados</t>
  </si>
  <si>
    <t xml:space="preserve">53052040</t>
  </si>
  <si>
    <t xml:space="preserve">Intereses Leasing Causados</t>
  </si>
  <si>
    <t xml:space="preserve">Comparación integral de las dos versiones del balance (todas las cuentas):</t>
  </si>
  <si>
    <t xml:space="preserve">Cuentas comparadas</t>
  </si>
  <si>
    <t xml:space="preserve">Cuentas con alguna diferencia (SI, Déb., Créd. o SF)</t>
  </si>
  <si>
    <t xml:space="preserve">Cruce movimiento auxiliar (cuenta 21) vs balance de prueba – Integridad</t>
  </si>
  <si>
    <t xml:space="preserve">SI balance + Débitos movimiento − Créditos movimiento = SF calculado; se compara con SF del balance. Signo: crédito negativo.</t>
  </si>
  <si>
    <t xml:space="preserve">Saldo inicial balance</t>
  </si>
  <si>
    <t xml:space="preserve">Débitos movimiento</t>
  </si>
  <si>
    <t xml:space="preserve">Créditos movimiento</t>
  </si>
  <si>
    <t xml:space="preserve">SF calculado</t>
  </si>
  <si>
    <t xml:space="preserve">SF balance</t>
  </si>
  <si>
    <t xml:space="preserve">Diferencia SF</t>
  </si>
  <si>
    <t xml:space="preserve">Débitos balance</t>
  </si>
  <si>
    <t xml:space="preserve">Dif. débitos</t>
  </si>
  <si>
    <t xml:space="preserve">Créditos balance</t>
  </si>
  <si>
    <t xml:space="preserve">Dif. créditos</t>
  </si>
  <si>
    <t xml:space="preserve">TOTAL CUENTA 21</t>
  </si>
  <si>
    <t xml:space="preserve">Total cuenta 21 según balance (mayor)</t>
  </si>
  <si>
    <t xml:space="preserve">Diferencia suma de auxiliares vs cuenta 21</t>
  </si>
  <si>
    <t xml:space="preserve">B. Integridad del archivo de movimiento ('Gran total' del reporte vs suma de líneas)</t>
  </si>
  <si>
    <t xml:space="preserve">Gran total reporte</t>
  </si>
  <si>
    <t xml:space="preserve">Suma líneas</t>
  </si>
  <si>
    <t xml:space="preserve">Neto</t>
  </si>
  <si>
    <t xml:space="preserve">Nº de líneas del movimiento</t>
  </si>
  <si>
    <t xml:space="preserve">C. Consistencia jerárquica del balance y relación pasivo–gasto</t>
  </si>
  <si>
    <t xml:space="preserve">Comentario</t>
  </si>
  <si>
    <t xml:space="preserve">SF 21 = 2105 + 2120 + 2130</t>
  </si>
  <si>
    <t xml:space="preserve">SF 2105 = 210501 + 210502</t>
  </si>
  <si>
    <t xml:space="preserve">SF 210502 = 21050201 + 21050301 (tarjeta de crédito agrupada en LP)</t>
  </si>
  <si>
    <t xml:space="preserve">Tarjeta de crédito (pasivo corriente) agrupada dentro de 'Obligaciones financieras a largo plazo' – ver hallazgo de clasificación.</t>
  </si>
  <si>
    <t xml:space="preserve">SF 2120 = 21202040 + 21202140</t>
  </si>
  <si>
    <t xml:space="preserve">SF 2130 = 21300101 + 21300102</t>
  </si>
  <si>
    <t xml:space="preserve">Ecuación: Activo + Pasivo + Patrimonio + Resultado (4+5+6+7) = 0</t>
  </si>
  <si>
    <t xml:space="preserve">Resultado del periodo ene–jul incluido vía clases 4 a 7.</t>
  </si>
  <si>
    <t xml:space="preserve">Intereses OF por pagar (21300101) = gasto causado neto (53052030)</t>
  </si>
  <si>
    <t xml:space="preserve">El cliente reversa la causación al pagar y lleva el pago a 53052020; el saldo de 53052030 debe igualar el pasivo.</t>
  </si>
  <si>
    <t xml:space="preserve">Intereses leasing por pagar (21300102) = gasto causado neto (53052040)</t>
  </si>
  <si>
    <t xml:space="preserve">SI 21300101 = créditos 53052020 (reclasificación apertura)</t>
  </si>
  <si>
    <t xml:space="preserve">Asiento de apertura: Db 53052030 / Cr 53052020 por el saldo inicial causado.</t>
  </si>
  <si>
    <t xml:space="preserve">SI 21300102 = créditos 53052010 (reclasificación apertura)</t>
  </si>
  <si>
    <t xml:space="preserve">D. Comparación de versiones del balance</t>
  </si>
  <si>
    <t xml:space="preserve">Cuentas con diferencias entre balance 24-ago y 29-sep</t>
  </si>
  <si>
    <t xml:space="preserve">Detalle de obligaciones financieras del cliente (papel 62) a 31-jul-2026 – recálculo</t>
  </si>
  <si>
    <t xml:space="preserve">Fuente: 62._Obligaciones_Financieras.xlsx. Columnas A–Q: datos del cliente (azul). Columnas R en adelante: recálculo de auditoría.</t>
  </si>
  <si>
    <t xml:space="preserve">Tasas de referencia 31-jul-26 (cliente)</t>
  </si>
  <si>
    <t xml:space="preserve">IBR</t>
  </si>
  <si>
    <t xml:space="preserve">IBR 3 MESES</t>
  </si>
  <si>
    <t xml:space="preserve">IBR 6 MESES</t>
  </si>
  <si>
    <t xml:space="preserve">DTF</t>
  </si>
  <si>
    <t xml:space="preserve">SOFR</t>
  </si>
  <si>
    <t xml:space="preserve">TRM</t>
  </si>
  <si>
    <t xml:space="preserve">Nº obligación (cliente)</t>
  </si>
  <si>
    <t xml:space="preserve">ID auditoría</t>
  </si>
  <si>
    <t xml:space="preserve">Tipo</t>
  </si>
  <si>
    <t xml:space="preserve">Saldo deuda jul-26</t>
  </si>
  <si>
    <t xml:space="preserve">% deuda (cliente)</t>
  </si>
  <si>
    <t xml:space="preserve">Puntos adic.</t>
  </si>
  <si>
    <t xml:space="preserve">Tasa EA cliente</t>
  </si>
  <si>
    <t xml:space="preserve">Veces año</t>
  </si>
  <si>
    <t xml:space="preserve">Tipo pago</t>
  </si>
  <si>
    <t xml:space="preserve">Corto plazo (cliente)</t>
  </si>
  <si>
    <t xml:space="preserve">Largo plazo (cliente)</t>
  </si>
  <si>
    <t xml:space="preserve">Cuotas rest.</t>
  </si>
  <si>
    <t xml:space="preserve">Vencimiento</t>
  </si>
  <si>
    <t xml:space="preserve">Tasa pond. cliente</t>
  </si>
  <si>
    <t xml:space="preserve">Índice aplicado</t>
  </si>
  <si>
    <t xml:space="preserve">Tasa EA recalculada</t>
  </si>
  <si>
    <t xml:space="preserve">Dif. EA (pb)</t>
  </si>
  <si>
    <t xml:space="preserve">CP + LP − Saldo</t>
  </si>
  <si>
    <t xml:space="preserve">Estado CP/LP</t>
  </si>
  <si>
    <t xml:space="preserve">CP corregido</t>
  </si>
  <si>
    <t xml:space="preserve">LP corregido</t>
  </si>
  <si>
    <t xml:space="preserve">% deuda recalc.</t>
  </si>
  <si>
    <t xml:space="preserve">BANCO DAVIVIENDA</t>
  </si>
  <si>
    <t xml:space="preserve">LEASING 1019441</t>
  </si>
  <si>
    <t xml:space="preserve">Leasing</t>
  </si>
  <si>
    <t xml:space="preserve">CAMION LZT 927</t>
  </si>
  <si>
    <t xml:space="preserve">MENSUAL</t>
  </si>
  <si>
    <t xml:space="preserve">LEASING 1019448</t>
  </si>
  <si>
    <t xml:space="preserve">CAMION LZT 926</t>
  </si>
  <si>
    <t xml:space="preserve">LEASING 10212753</t>
  </si>
  <si>
    <t xml:space="preserve">CALDERAS-SISTEMA DE ALIMENTACION BIOMASA</t>
  </si>
  <si>
    <t xml:space="preserve">TRIMESTRAL</t>
  </si>
  <si>
    <t xml:space="preserve">CRED TESORERIA</t>
  </si>
  <si>
    <t xml:space="preserve">SEMESTRAL</t>
  </si>
  <si>
    <t xml:space="preserve">457300830624</t>
  </si>
  <si>
    <t xml:space="preserve">457300607691</t>
  </si>
  <si>
    <t xml:space="preserve">453436746</t>
  </si>
  <si>
    <t xml:space="preserve">856670629</t>
  </si>
  <si>
    <t xml:space="preserve">858177259</t>
  </si>
  <si>
    <t xml:space="preserve">LEASING 556449224</t>
  </si>
  <si>
    <t xml:space="preserve">POZO # 1</t>
  </si>
  <si>
    <t xml:space="preserve">LEASING 556449180</t>
  </si>
  <si>
    <t xml:space="preserve">POZO # 2</t>
  </si>
  <si>
    <t xml:space="preserve">LEASING 556449117</t>
  </si>
  <si>
    <t xml:space="preserve">POZO # 3</t>
  </si>
  <si>
    <t xml:space="preserve">LEASING 556449064</t>
  </si>
  <si>
    <t xml:space="preserve">POZO # 4</t>
  </si>
  <si>
    <t xml:space="preserve">LEASING 556449288</t>
  </si>
  <si>
    <t xml:space="preserve">POZO # 5</t>
  </si>
  <si>
    <t xml:space="preserve">LEASING 557285005</t>
  </si>
  <si>
    <t xml:space="preserve">PLANTA ELECTRICA JENBACHER</t>
  </si>
  <si>
    <t xml:space="preserve">BANCO POPULAR</t>
  </si>
  <si>
    <t xml:space="preserve">631309940-2</t>
  </si>
  <si>
    <t xml:space="preserve">BBVA</t>
  </si>
  <si>
    <t xml:space="preserve">IBR 6 MESES/tri INT</t>
  </si>
  <si>
    <t xml:space="preserve">CAPITAL DE TRABAJO</t>
  </si>
  <si>
    <t xml:space="preserve">LEASING 362095</t>
  </si>
  <si>
    <t xml:space="preserve">EXCAVADORA PC130-8 KOMATSU</t>
  </si>
  <si>
    <t xml:space="preserve">LEASING 336817</t>
  </si>
  <si>
    <t xml:space="preserve">TURBINA - TURBOKRAFT </t>
  </si>
  <si>
    <t xml:space="preserve">LEASING 331330</t>
  </si>
  <si>
    <t xml:space="preserve">PLANTA ELECTRICA CATERPILLAR C32-910</t>
  </si>
  <si>
    <t xml:space="preserve">TOTAL OBLIGACIONES (recalculado)</t>
  </si>
  <si>
    <t xml:space="preserve">Total obligaciones según cliente</t>
  </si>
  <si>
    <t xml:space="preserve">Diferencia (recalculado − cliente)</t>
  </si>
  <si>
    <t xml:space="preserve">Subtotales por banco – recálculo vs cliente</t>
  </si>
  <si>
    <t xml:space="preserve">Subtotal recalculado</t>
  </si>
  <si>
    <t xml:space="preserve">Subtotal cliente</t>
  </si>
  <si>
    <t xml:space="preserve">Tasa pond. recalc.</t>
  </si>
  <si>
    <t xml:space="preserve">Dif. (pb)</t>
  </si>
  <si>
    <t xml:space="preserve">Tasa EA promedio ponderada total (cliente)</t>
  </si>
  <si>
    <t xml:space="preserve">Tasa EA promedio ponderada total (recalculada)</t>
  </si>
  <si>
    <t xml:space="preserve">Nota: la tasa EA recalculada usa la convención del cliente (1 + (índice + puntos)/n)^n − 1 con n = 'Veces año'. Diferencias indican que el cliente usó una periodicidad distinta a la declarada.</t>
  </si>
  <si>
    <t xml:space="preserve">Cruce detalle 62 vs certificados / extractos bancarios (PDF adjunto)</t>
  </si>
  <si>
    <t xml:space="preserve">Fuente: ilovepdf_merged_1.pdf (25 págs.). Las págs. 3, 5, 7, 9, 11, 15, 23 y 25 son anexos/instructivos sin cifras. Capital banco 31-jul = capital certificado − abonos a capital entre corte y 31-jul.</t>
  </si>
  <si>
    <t xml:space="preserve">Pág. PDF</t>
  </si>
  <si>
    <t xml:space="preserve">Obligación (certificado)</t>
  </si>
  <si>
    <t xml:space="preserve">Fecha corte</t>
  </si>
  <si>
    <t xml:space="preserve">Capital s/certificado</t>
  </si>
  <si>
    <t xml:space="preserve">Abonos capital posteriores al corte (≤31-jul)</t>
  </si>
  <si>
    <t xml:space="preserve">Capital banco 31-jul-26</t>
  </si>
  <si>
    <t xml:space="preserve">Diferencia detalle − banco</t>
  </si>
  <si>
    <t xml:space="preserve">Tasa EA certificado</t>
  </si>
  <si>
    <t xml:space="preserve">Tasa EA detalle</t>
  </si>
  <si>
    <t xml:space="preserve">Venc. certificado</t>
  </si>
  <si>
    <t xml:space="preserve">Venc. detalle</t>
  </si>
  <si>
    <t xml:space="preserve">¿Venc. coincide?</t>
  </si>
  <si>
    <t xml:space="preserve">Observaciones</t>
  </si>
  <si>
    <t xml:space="preserve">Davivienda</t>
  </si>
  <si>
    <t xml:space="preserve">7000457300830624</t>
  </si>
  <si>
    <t xml:space="preserve">Extracto crédito corporativo</t>
  </si>
  <si>
    <t xml:space="preserve">Saldo anterior 21-sep-25 $7.499.998.630,82 − abono capital 21-mar-26 $127,57. Próximo pago 21-sep-26 sólo intereses $565.738.188,80 (IBR semestral + 3,00).</t>
  </si>
  <si>
    <t xml:space="preserve">Banco de Bogotá</t>
  </si>
  <si>
    <t xml:space="preserve">00856670629</t>
  </si>
  <si>
    <t xml:space="preserve">Extracto Sustitución Finagro</t>
  </si>
  <si>
    <t xml:space="preserve">Cuota 12 (21-jun-26): capital $182.166.667 + intereses $59.390.887,23. Valor aprobado $2.186 MM, plazo 60 meses.</t>
  </si>
  <si>
    <t xml:space="preserve">Bancolombia</t>
  </si>
  <si>
    <t xml:space="preserve">01260105867</t>
  </si>
  <si>
    <t xml:space="preserve">Detalle del crédito (Sucursal Virtual)</t>
  </si>
  <si>
    <t xml:space="preserve">Capital vigente al 11-ago-26; sin abonos entre 31-jul y 11-ago. Intereses corrientes causados $24.607.407; próximo pago 22-oct-26. IBR + 1,5.</t>
  </si>
  <si>
    <t xml:space="preserve">00453436746</t>
  </si>
  <si>
    <t xml:space="preserve">Extracto Ordinaria Comercial</t>
  </si>
  <si>
    <t xml:space="preserve">Cuota 100 (17-jul-26): capital $62.500.000 + intereses $38.894.999,71. Aprobado $7.500 MM, plazo 146 meses.</t>
  </si>
  <si>
    <t xml:space="preserve">00858177259</t>
  </si>
  <si>
    <t xml:space="preserve">Corte 31-jul-26 (fecha de auditoría). Próxima cuota 25-ago-26: capital $125.000.000 + intereses $45.166.249,86.</t>
  </si>
  <si>
    <t xml:space="preserve">01155297469 → prorrogado 1159383796</t>
  </si>
  <si>
    <t xml:space="preserve">Cuota 2 (14-jul-26) por $10.299.617.737,55 incluye capital $10.000 MM. Contabilidad registra prórroga (NB-1016, 29-jul) al crédito 1159383796 – sin certificado del nuevo crédito.</t>
  </si>
  <si>
    <t xml:space="preserve">7000457300607691</t>
  </si>
  <si>
    <t xml:space="preserve">Pago 28-jul-26 de $272.300.000 vs intereses facturados $272.299.382,05: excedente $617,95 se aplica a capital.</t>
  </si>
  <si>
    <t xml:space="preserve">7000457300569032</t>
  </si>
  <si>
    <t xml:space="preserve">Pago 28-jul-26 de $206.288.000 vs intereses facturados $206.287.213,20: excedente $786,80 se aplica a capital.</t>
  </si>
  <si>
    <t xml:space="preserve">p.14 + LEASING_1275-3_DAVIVIENDA.pdf</t>
  </si>
  <si>
    <t xml:space="preserve">Davivienda Leasing</t>
  </si>
  <si>
    <t xml:space="preserve">000030001021275-3</t>
  </si>
  <si>
    <t xml:space="preserve">Factura leasing</t>
  </si>
  <si>
    <t xml:space="preserve">Canon 006 (23-jul-26) sólo intereses $64.041.851; 16 cuotas pactadas. El extracto NO informa saldo de capital → ver saldo implícito en Recalculo_Intereses.</t>
  </si>
  <si>
    <t xml:space="preserve">Banco de Bogotá Leasing</t>
  </si>
  <si>
    <t xml:space="preserve">00557285005</t>
  </si>
  <si>
    <t xml:space="preserve">Estado de cuenta leasing</t>
  </si>
  <si>
    <t xml:space="preserve">Saldo capital tras pago 22-abr-26; canon 22-jul-26 capital $62.866.117,12 / costo financiero $39.578.631,88. Opción de compra $16.220.758.</t>
  </si>
  <si>
    <t xml:space="preserve">00556449064</t>
  </si>
  <si>
    <t xml:space="preserve">Saldo tras pago 27-abr-26; canon 27-jul-26 capital $26.602.533,70 / costo financiero $9.497.274,30. DTF.</t>
  </si>
  <si>
    <t xml:space="preserve">00556449117</t>
  </si>
  <si>
    <t xml:space="preserve">Saldo tras pago 27-abr-26; canon 27-jul-26 capital $26.602.533,71 / costo financiero $9.497.274,29. DTF.</t>
  </si>
  <si>
    <t xml:space="preserve">00556449180</t>
  </si>
  <si>
    <t xml:space="preserve">Saldo tras pago 23-abr-26; canon 23-jul-26 capital $21.538.319,01 / costo financiero $14.118.857,99. DTF.</t>
  </si>
  <si>
    <t xml:space="preserve">00556449224</t>
  </si>
  <si>
    <t xml:space="preserve">Saldo tras pago 23-abr-26; canon 23-jul-26 capital $21.538.319,02 / costo financiero $14.118.857,98. DTF.</t>
  </si>
  <si>
    <t xml:space="preserve">00556449288</t>
  </si>
  <si>
    <t xml:space="preserve">Saldo tras pago 20-abr-26; canon 20-jul-26 capital $21.542.838,16 / costo financiero $14.121.779,84. DTF.</t>
  </si>
  <si>
    <t xml:space="preserve">p.22 + LEASING_9441-2_DAVIVIENDA.pdf</t>
  </si>
  <si>
    <t xml:space="preserve">000030001019441-2</t>
  </si>
  <si>
    <t xml:space="preserve">Canon 033 (13-jul-26): capital $12.327.298, intereses $5.062.372, seguro $1.263.646. Último pago 11-jun-26 canon 032 $1.029.562 (sólo intereses). Sin saldo de capital.</t>
  </si>
  <si>
    <t xml:space="preserve">p.24 + LEASING_9448-3_DAVIVIENDA.pdf</t>
  </si>
  <si>
    <t xml:space="preserve">000030001019448-3</t>
  </si>
  <si>
    <t xml:space="preserve">Canon 031 (6-jul-26): capital $8.867.342, intereses $4.177.893. Último pago 5-jun-26 canon 030: capital $8.901.235, intereses $4.402.982. Sin saldo de capital.</t>
  </si>
  <si>
    <t xml:space="preserve">TOTAL obligaciones con saldo certificado</t>
  </si>
  <si>
    <t xml:space="preserve">Diferencia detalle − banco: leasings Banco de Bogotá</t>
  </si>
  <si>
    <t xml:space="preserve">Diferencia detalle − banco: créditos (redondeos)</t>
  </si>
  <si>
    <t xml:space="preserve">B. Cobertura de confirmación – obligaciones del detalle 62 SIN certificado/extracto en el PDF</t>
  </si>
  <si>
    <t xml:space="preserve">Obligación</t>
  </si>
  <si>
    <t xml:space="preserve">252059</t>
  </si>
  <si>
    <t xml:space="preserve">Leasing 386735 (no está en detalle 62)</t>
  </si>
  <si>
    <t xml:space="preserve">Total sin certificado (detalle 62)</t>
  </si>
  <si>
    <t xml:space="preserve">% del saldo del detalle 62 cubierto con certificado/extracto</t>
  </si>
  <si>
    <t xml:space="preserve">C. Cruce de pagos/intereses según certificado vs registro contable (comprobantes del mayor)</t>
  </si>
  <si>
    <t xml:space="preserve">Documento contable</t>
  </si>
  <si>
    <t xml:space="preserve">Valor s/certificado</t>
  </si>
  <si>
    <t xml:space="preserve">Valor s/contabilidad</t>
  </si>
  <si>
    <t xml:space="preserve">Pago 21-mar-26 total aplicado (int. 445.207.872,43 + cap. 127,57)</t>
  </si>
  <si>
    <t xml:space="preserve">El cliente reversa el total como interés; los $127,57 abonados a capital no se registran.</t>
  </si>
  <si>
    <t xml:space="preserve">Pago 28-ene-26 total aplicado (int. 243.932.730,53 + cap. 269,47)</t>
  </si>
  <si>
    <t xml:space="preserve">Capital $269,47 no registrado.</t>
  </si>
  <si>
    <t xml:space="preserve">Pago 28-ene-26 total aplicado (int. 184.797.372,21 + cap. 627,79)</t>
  </si>
  <si>
    <t xml:space="preserve">Capital $627,79 no registrado.</t>
  </si>
  <si>
    <t xml:space="preserve">Intereses 28-ene a 28-jul-26 facturados</t>
  </si>
  <si>
    <t xml:space="preserve">Contabilidad reversa $272.300.000 (pago redondeado); $617,95 corresponden a capital.</t>
  </si>
  <si>
    <t xml:space="preserve">Contabilidad reversa $206.288.000; $786,80 corresponden a capital.</t>
  </si>
  <si>
    <t xml:space="preserve">Cuota 11 – capital</t>
  </si>
  <si>
    <t xml:space="preserve">Diferencia de redondeo del banco.</t>
  </si>
  <si>
    <t xml:space="preserve">Cuota 11 – intereses</t>
  </si>
  <si>
    <t xml:space="preserve">Cuota 12 – capital</t>
  </si>
  <si>
    <t xml:space="preserve">Cuota 12 – intereses</t>
  </si>
  <si>
    <t xml:space="preserve">Cuota 99 – capital</t>
  </si>
  <si>
    <t xml:space="preserve">Cuota 100 – capital</t>
  </si>
  <si>
    <t xml:space="preserve">Intereses cuota 100 $38.894.999,71 coinciden con la descripción del CL-422 (gasto directo 53052020).</t>
  </si>
  <si>
    <t xml:space="preserve">Cuota mayo – capital</t>
  </si>
  <si>
    <t xml:space="preserve">Cuota mayo – intereses</t>
  </si>
  <si>
    <t xml:space="preserve">Crédito 1155297469 – intereses cuota 1</t>
  </si>
  <si>
    <t xml:space="preserve">Crédito 1155297469 – intereses cuota 2 (14-jul)</t>
  </si>
  <si>
    <t xml:space="preserve">Canon abr – capital</t>
  </si>
  <si>
    <t xml:space="preserve">Canon abr – costo financiero</t>
  </si>
  <si>
    <t xml:space="preserve">Canon jul – capital</t>
  </si>
  <si>
    <t xml:space="preserve">Canon jul – costo financiero</t>
  </si>
  <si>
    <t xml:space="preserve">La descripción del CL-393 indica 'CAPITAL 34.950.056' (valor total del canon) – error de glosa.</t>
  </si>
  <si>
    <t xml:space="preserve">Canon 005 (23-abr) – intereses</t>
  </si>
  <si>
    <t xml:space="preserve">Canon 006 (23-jul) – intereses</t>
  </si>
  <si>
    <t xml:space="preserve">Canon 030 (5-jun) – capital</t>
  </si>
  <si>
    <t xml:space="preserve">Canon 031 (6-jul) – capital</t>
  </si>
  <si>
    <t xml:space="preserve">Canon 032 (11-jun) – capital</t>
  </si>
  <si>
    <t xml:space="preserve">El banco reporta el canon 032 pagado el 11-jun por $1.029.562 sólo intereses (capital 0); contabilidad registró capital $11.973.677. Verificar aplicación del pago.</t>
  </si>
  <si>
    <t xml:space="preserve">Canon 033 (13-jul) – capital</t>
  </si>
  <si>
    <t xml:space="preserve">D. Documentos Davivienda Leasing recibidos por separado (LEASING_1275-3 / 9441-2 / 9448-3_DAVIVIENDA.pdf)</t>
  </si>
  <si>
    <t xml:space="preserve">Archivo</t>
  </si>
  <si>
    <t xml:space="preserve">Contrato</t>
  </si>
  <si>
    <t xml:space="preserve">Canon / fecha</t>
  </si>
  <si>
    <t xml:space="preserve">Capital canon</t>
  </si>
  <si>
    <t xml:space="preserve">Intereses canon</t>
  </si>
  <si>
    <t xml:space="preserve">Seguro</t>
  </si>
  <si>
    <t xml:space="preserve">Tasa EA cobrada</t>
  </si>
  <si>
    <t xml:space="preserve">Último pago (fecha)</t>
  </si>
  <si>
    <t xml:space="preserve">Último pago (valor)</t>
  </si>
  <si>
    <t xml:space="preserve">¿Informa saldo capital?</t>
  </si>
  <si>
    <t xml:space="preserve">Coincide intereses con papel</t>
  </si>
  <si>
    <t xml:space="preserve">Coincide capital con papel</t>
  </si>
  <si>
    <t xml:space="preserve">Coincide tasa con papel</t>
  </si>
  <si>
    <t xml:space="preserve">LEASING_1275-3_DAVIVIENDA.pdf</t>
  </si>
  <si>
    <t xml:space="preserve">006 / 2026-07-23</t>
  </si>
  <si>
    <t xml:space="preserve">NO</t>
  </si>
  <si>
    <t xml:space="preserve">Mismo documento que el PDF consolidado. Sólo factura del canon: el saldo de capital sigue sin certificar (PEND-1).</t>
  </si>
  <si>
    <t xml:space="preserve">LEASING_9441-2_DAVIVIENDA.pdf</t>
  </si>
  <si>
    <t xml:space="preserve">033 / 2026-07-13</t>
  </si>
  <si>
    <t xml:space="preserve">Mismo documento que el PDF consolidado. Sólo factura del canon: el saldo de capital sigue sin certificar (PEND-1). Reconfirma canon 032 pagado sólo con intereses $1.029.562 (PEND-7).</t>
  </si>
  <si>
    <t xml:space="preserve">LEASING_9448-3_DAVIVIENDA.pdf</t>
  </si>
  <si>
    <t xml:space="preserve">031 / 2026-07-06</t>
  </si>
  <si>
    <t xml:space="preserve">Detalle del mayor por obligación al 31-dic-2025 (saldo inicial 2026)</t>
  </si>
  <si>
    <t xml:space="preserve">Fuente: ejemplo.xlsx (PT Obligaciones Financieras al 31-dic-2025, sección 2 'Detalle suministrado por Cliente'). ID asignado por auditoría según la nota y el documento cruce.</t>
  </si>
  <si>
    <t xml:space="preserve">Fila PT 2025</t>
  </si>
  <si>
    <t xml:space="preserve">Auxiliar 2025</t>
  </si>
  <si>
    <t xml:space="preserve">Cuenta 2026</t>
  </si>
  <si>
    <t xml:space="preserve">Razón social</t>
  </si>
  <si>
    <t xml:space="preserve">Fecha docto.</t>
  </si>
  <si>
    <t xml:space="preserve">Total COP (crédito +)</t>
  </si>
  <si>
    <t xml:space="preserve">Notas</t>
  </si>
  <si>
    <t xml:space="preserve">Doc. cruce</t>
  </si>
  <si>
    <t xml:space="preserve">ID obligación</t>
  </si>
  <si>
    <t xml:space="preserve">RECLASIFICACION SALDO DE LARGO PLAZO A CORTO PLAZO</t>
  </si>
  <si>
    <t xml:space="preserve">00000000</t>
  </si>
  <si>
    <t xml:space="preserve">CRED 1260105867 POR 5.000 MM PAGO CAPITAL ANUAL Y PAGO DE INTERESES TRIMESTRAL A TSA IBR TV + 1.5%</t>
  </si>
  <si>
    <t xml:space="preserve">PRORROGA CREDITO 457300858906 POR 10.000MM A SEIS MESE VENCIMIENTO DE INTERESES SEMESTRALES</t>
  </si>
  <si>
    <t xml:space="preserve">00008906</t>
  </si>
  <si>
    <t xml:space="preserve">RENOVACION CREDITO 9600277262 6MESES CON VENCIMIENTO TRIMESTRAL DE INTERESES CON TASA DE 0.95 TV</t>
  </si>
  <si>
    <t xml:space="preserve">00277262</t>
  </si>
  <si>
    <t xml:space="preserve">SI 31/12/2021 BBVA Obf.158009 IBR+2.94% Mensual 12 Cuotas</t>
  </si>
  <si>
    <t xml:space="preserve">53436746</t>
  </si>
  <si>
    <t xml:space="preserve">858177259 CAPITAL DE TRABAJO K TRIMESTRAL POR 5 AÑOS</t>
  </si>
  <si>
    <t xml:space="preserve">85817725</t>
  </si>
  <si>
    <t xml:space="preserve">RECLASIFICACION RC 1572 - 457300830624</t>
  </si>
  <si>
    <t xml:space="preserve">856670629 K 2.186.000.000 2 AÑOS DE GRACIA PAGO TRIMESTRAL</t>
  </si>
  <si>
    <t xml:space="preserve">00001026</t>
  </si>
  <si>
    <t xml:space="preserve">SI 31/12/2021 Davivienda Obl 569032 $3.000 Obl 607691 $3.960 Largo Plazo</t>
  </si>
  <si>
    <t xml:space="preserve">00569032</t>
  </si>
  <si>
    <t xml:space="preserve">SI 31/12/2021 Davivienda Obl 607691 $3.960 IBR 6 Meses+3.40% Semestral</t>
  </si>
  <si>
    <t xml:space="preserve">00607691</t>
  </si>
  <si>
    <t xml:space="preserve">SI 31/12/2021 POPULAR Obf.3099402 IBR 3 Meses+2.40% Trimestral</t>
  </si>
  <si>
    <t xml:space="preserve">13099402</t>
  </si>
  <si>
    <t xml:space="preserve">2105020103</t>
  </si>
  <si>
    <t xml:space="preserve">N4004526B      </t>
  </si>
  <si>
    <t xml:space="preserve">N4004526B/DSF5608877226 LEI RENEWAL SUBSCRIPTION Pagado con TC JMH /Reclasifico de la cta 2335 a la cta 2105 TC</t>
  </si>
  <si>
    <t xml:space="preserve">FR-464 MACROMADERA CON ESCALERILLA REF.RUSTICA DARK NATURAL CON CENEFA Y LATERALES DE PENTAGRAMA</t>
  </si>
  <si>
    <t xml:space="preserve">00000464</t>
  </si>
  <si>
    <t xml:space="preserve">FR-583 ALIMENTACION SR. CATALINA HERRERA</t>
  </si>
  <si>
    <t xml:space="preserve">00000583</t>
  </si>
  <si>
    <t xml:space="preserve">FR-650 RECLASIFICACION CUENTAS POR PAGAR</t>
  </si>
  <si>
    <t xml:space="preserve">00000650</t>
  </si>
  <si>
    <t xml:space="preserve">FR-813 RECLASIFICACION CUENTAS POR PAGAR</t>
  </si>
  <si>
    <t xml:space="preserve">00000813</t>
  </si>
  <si>
    <t xml:space="preserve">FR-981 JUEGO AJEDREZ CUERO,JUEGO CACHO CUERO  ATENCION CLIENTES</t>
  </si>
  <si>
    <t xml:space="preserve">00000981</t>
  </si>
  <si>
    <t xml:space="preserve">RECLASIFICACION CTA X PAGAR TARJETA DE CREDITO</t>
  </si>
  <si>
    <t xml:space="preserve">00002306</t>
  </si>
  <si>
    <t xml:space="preserve">00002311</t>
  </si>
  <si>
    <t xml:space="preserve">RECLASIFICACION CTS X PAGAR A TGARJETA DE CREDITO</t>
  </si>
  <si>
    <t xml:space="preserve">00002336</t>
  </si>
  <si>
    <t xml:space="preserve">RECLASIFICACION CTA POR PAGAR A TARJETA DE CREDITO</t>
  </si>
  <si>
    <t xml:space="preserve">00002387</t>
  </si>
  <si>
    <t xml:space="preserve">FR3093, PARAISO DE COLOMBIA, BOGOTA, COLOMBIA SECRETA</t>
  </si>
  <si>
    <t xml:space="preserve">00003093</t>
  </si>
  <si>
    <t xml:space="preserve">FR-3295 RECLASIFICACION CUENTAS POR PAGAR</t>
  </si>
  <si>
    <t xml:space="preserve">00003295</t>
  </si>
  <si>
    <t xml:space="preserve">fr-43020 reclasificacion cuentas por pagar</t>
  </si>
  <si>
    <t xml:space="preserve">00043020</t>
  </si>
  <si>
    <t xml:space="preserve">FR147066, BANDEJA PLAST, BANDEJA ACACIA RECTANGULAR, BOLSA SACO TIENDA</t>
  </si>
  <si>
    <t xml:space="preserve">00147066</t>
  </si>
  <si>
    <t xml:space="preserve">FR-190397 RECLASIFICACION CUENTA POR PAGAR A CUENTA 21050301 TRAJETAS DE CREDITO</t>
  </si>
  <si>
    <t xml:space="preserve">00190397</t>
  </si>
  <si>
    <t xml:space="preserve">FR-250063 1/NOV/2025 AL 30/NOV/2025  SERVICIO DE TELEVISION POR CABLE</t>
  </si>
  <si>
    <t xml:space="preserve">00250063</t>
  </si>
  <si>
    <t xml:space="preserve">FR-250272 SERVICIO TELEVISION POR CABLE</t>
  </si>
  <si>
    <t xml:space="preserve">00250272</t>
  </si>
  <si>
    <t xml:space="preserve">FR-440139 COMPRA ANCHETA PONQUE NAVIDAD</t>
  </si>
  <si>
    <t xml:space="preserve">00440139</t>
  </si>
  <si>
    <t xml:space="preserve">FR-522655 SERVICIO DE TELEVISION POR CABLE 1 DIC/ AL 31 DIC 2025</t>
  </si>
  <si>
    <t xml:space="preserve">00522655</t>
  </si>
  <si>
    <t xml:space="preserve">FR-138651700 SERVICIO DE TELEVISION POR CABLE</t>
  </si>
  <si>
    <t xml:space="preserve">00651700</t>
  </si>
  <si>
    <t xml:space="preserve">FR-790761 SERVICIO DE TELEVISION POR CABLE</t>
  </si>
  <si>
    <t xml:space="preserve">00790761</t>
  </si>
  <si>
    <t xml:space="preserve">FR-790762 SERVICIO DE TELEVISION POR CABLE ENE/2026 AL 31/ENE/2026</t>
  </si>
  <si>
    <t xml:space="preserve">00790762</t>
  </si>
  <si>
    <t xml:space="preserve">FR-138799505 SERVICIO DE TELEVISION POR CABLE 1/ENE/2026 AL 31/ENE/2026</t>
  </si>
  <si>
    <t xml:space="preserve">00799505</t>
  </si>
  <si>
    <t xml:space="preserve">FR-138802378 SERVICIO DE TELEVICION POR CABLE</t>
  </si>
  <si>
    <t xml:space="preserve">00802378</t>
  </si>
  <si>
    <t xml:space="preserve">FR-926701 SERVICIO DE TELEVISION POR CABLE</t>
  </si>
  <si>
    <t xml:space="preserve">00926701</t>
  </si>
  <si>
    <t xml:space="preserve">FR-8927327 SERVICIO DE TELEVISION POR CABLE</t>
  </si>
  <si>
    <t xml:space="preserve">00927327</t>
  </si>
  <si>
    <t xml:space="preserve">FR-138652316 SERVICIO DE RTELEVISION POR CABLE  16-DIC AL 15/ENE</t>
  </si>
  <si>
    <t xml:space="preserve">06522316</t>
  </si>
  <si>
    <t xml:space="preserve">FR-9197849 FACTURA SERVICIO DE INTERNET Y TELEFONIA PLANTA</t>
  </si>
  <si>
    <t xml:space="preserve">09197849</t>
  </si>
  <si>
    <t xml:space="preserve">FR-494681006 SERVICIO DE TELEFONIA PLAN  DEL 6/DIC/2026 - 05/ENE/ 2026</t>
  </si>
  <si>
    <t xml:space="preserve">49467100</t>
  </si>
  <si>
    <t xml:space="preserve">RECONOCIMIENTO SALDO PDTE LEASING 336817 Y ACTIVACION LEASING CON 72 MESES 6 DE GRACIA Y UNA TASA DE IBR MV + 3.2%</t>
  </si>
  <si>
    <t xml:space="preserve">LEASING 331330 PLANTA CATERPILAR C32-2</t>
  </si>
  <si>
    <t xml:space="preserve">00002362</t>
  </si>
  <si>
    <t xml:space="preserve">LEASING 0001019441 CAMION CON VOLCO PLACA LZT927</t>
  </si>
  <si>
    <t xml:space="preserve">00002507</t>
  </si>
  <si>
    <t xml:space="preserve">LEASING 1019448-3 CAMION CON GANCHO PLACA LZT936</t>
  </si>
  <si>
    <t xml:space="preserve">01019448</t>
  </si>
  <si>
    <t xml:space="preserve">RECONOCIMIENTO ANTICIPOS BANCOLOMBIA A TURBOKRAFT PARA LEASING ANT-CT-336817</t>
  </si>
  <si>
    <t xml:space="preserve">00000518</t>
  </si>
  <si>
    <t xml:space="preserve">RECONOCIMIENTO LEASING 362095 EXCAVADORA KOMATSU PC-130-8 // IBR TV +1.85 2 AÑOS DE GRACIA</t>
  </si>
  <si>
    <t xml:space="preserve">00000626</t>
  </si>
  <si>
    <t xml:space="preserve">LEASING 336817 CESION ANTICIPO TURBOKRAFT,  MAQUINA STEAM TURBINE GENERATING SET</t>
  </si>
  <si>
    <t xml:space="preserve">00001304</t>
  </si>
  <si>
    <t xml:space="preserve">DEVOLUCION DE ANTICIPO A CALDERAS JCT Y ANTICIPO DE LEASING</t>
  </si>
  <si>
    <t xml:space="preserve">00002188</t>
  </si>
  <si>
    <t xml:space="preserve">REINTEGRO ANTICIPO REALIZADO A GECOLSA POR 2 MOTOGENERADORES CG132B-16 MARCA CATERPILLAR</t>
  </si>
  <si>
    <t xml:space="preserve">00002672</t>
  </si>
  <si>
    <t xml:space="preserve">SI 31/12/2021 OBF 556449064 Pozo 4 DTF+3.57% Trimestral</t>
  </si>
  <si>
    <t xml:space="preserve">56449064</t>
  </si>
  <si>
    <t xml:space="preserve">SI 31/12/2021 OBF 556449117 Pozo 3 DTF+3.57% Trimestral</t>
  </si>
  <si>
    <t xml:space="preserve">56449117</t>
  </si>
  <si>
    <t xml:space="preserve">OBLIGACION LEASING 556449180 DTF+3,57</t>
  </si>
  <si>
    <t xml:space="preserve">56449180</t>
  </si>
  <si>
    <t xml:space="preserve">OBLIGACION LEASING 556449224 DTF+3,57</t>
  </si>
  <si>
    <t xml:space="preserve">56449224</t>
  </si>
  <si>
    <t xml:space="preserve">OBLIGACION LEASING 556449288</t>
  </si>
  <si>
    <t xml:space="preserve">56449288</t>
  </si>
  <si>
    <t xml:space="preserve">SI 31/12/2021 OBF 557285005 Planta Jenbacher IBR 3 Meses 3.78% Trimestral</t>
  </si>
  <si>
    <t xml:space="preserve">57285005</t>
  </si>
  <si>
    <t xml:space="preserve">INTERESES CAUSADOS OCTUBRE CRED 0624 OCT</t>
  </si>
  <si>
    <t xml:space="preserve">00000624</t>
  </si>
  <si>
    <t xml:space="preserve">INTERESES CAUSADOS NOVIEMBRE CRED 0624 NOV</t>
  </si>
  <si>
    <t xml:space="preserve">INTERESES CAUSADOS DICIEMBRE CRED 0624</t>
  </si>
  <si>
    <t xml:space="preserve">INTERESES CAUSADOS AGOSTO CRED-7691</t>
  </si>
  <si>
    <t xml:space="preserve">00003638</t>
  </si>
  <si>
    <t xml:space="preserve">INTERESES CAUSADOS AGOSTO CRED-8906</t>
  </si>
  <si>
    <t xml:space="preserve">INTERESES CAUSADOS AGOSTO CRED-9032</t>
  </si>
  <si>
    <t xml:space="preserve">INTERESES CAUSADOS SEPTIEMBRE CRED 5867</t>
  </si>
  <si>
    <t xml:space="preserve">00005867</t>
  </si>
  <si>
    <t xml:space="preserve">INTERESES CAUSADOS DICIEMBRE CRED 5867</t>
  </si>
  <si>
    <t xml:space="preserve">INTERESES CAUSADOS DICIEMBRE CRED 7259</t>
  </si>
  <si>
    <t xml:space="preserve">00007259</t>
  </si>
  <si>
    <t xml:space="preserve">INTERESES CAUSADOS SEPTIEMBRE CRED 7691</t>
  </si>
  <si>
    <t xml:space="preserve">00007691</t>
  </si>
  <si>
    <t xml:space="preserve">INTERESES CAUSADOS OCTUBRE CRED 7691 OCT</t>
  </si>
  <si>
    <t xml:space="preserve">INTERESES CAUSADOS NOVIEMBRE CRED 7691 NOV</t>
  </si>
  <si>
    <t xml:space="preserve">INTERESES CAUSADOS DICIEMBRE CRED 7691</t>
  </si>
  <si>
    <t xml:space="preserve">INTERESES CAUSADOS SEPTIEMBRE CRED 8906</t>
  </si>
  <si>
    <t xml:space="preserve">INTERESES CAUSADOS OCTUBRE CRED 8906 OCT</t>
  </si>
  <si>
    <t xml:space="preserve">INTERESES CAUSADOS NOVIEMBRE CRED 8906 NOV</t>
  </si>
  <si>
    <t xml:space="preserve">INTERESES CAUSADOS DICIEMBRE CRED 8906</t>
  </si>
  <si>
    <t xml:space="preserve">INTERESES CAUSADOS SEPTIEMBRE CRED 9032</t>
  </si>
  <si>
    <t xml:space="preserve">00009032</t>
  </si>
  <si>
    <t xml:space="preserve">INTERESES CAUSADOS OCTUBRE CRED 9032 OCT</t>
  </si>
  <si>
    <t xml:space="preserve">INTERESES CAUSADOS NOVIEMBRE CRED 9032 NOV</t>
  </si>
  <si>
    <t xml:space="preserve">INTERESES CAUSADOS DICIEMBRE CRED 9032</t>
  </si>
  <si>
    <t xml:space="preserve">INTERESES CAUSADOS NOVIEMBRE LEAS 1275 NOV</t>
  </si>
  <si>
    <t xml:space="preserve">00001275</t>
  </si>
  <si>
    <t xml:space="preserve">INTERESES CAUSADOS DICIEMBRE LEAS 1275-3</t>
  </si>
  <si>
    <t xml:space="preserve">INTERESES CAUSADOS SEPTIEMBRE LEAS 5005</t>
  </si>
  <si>
    <t xml:space="preserve">00005005</t>
  </si>
  <si>
    <t xml:space="preserve">INTERESES CAUSADOS DICIEMBRE LEAS 5005</t>
  </si>
  <si>
    <t xml:space="preserve">INTERESES CAUSADOS SEPTIEMBRE LEAS 9064</t>
  </si>
  <si>
    <t xml:space="preserve">00009064</t>
  </si>
  <si>
    <t xml:space="preserve">INTERESES CAUSADOS DICIEMBRE LEAS 9064</t>
  </si>
  <si>
    <t xml:space="preserve">INTERESES CAUSADOS SEPTIEMBRE LEAS 9117</t>
  </si>
  <si>
    <t xml:space="preserve">00009117</t>
  </si>
  <si>
    <t xml:space="preserve">INTERESES CAUSADOS DICIEMBRE LEAS 9117</t>
  </si>
  <si>
    <t xml:space="preserve">INTERESES CAUSADOS SEPTIEMBRE LEAS 9180</t>
  </si>
  <si>
    <t xml:space="preserve">00009180</t>
  </si>
  <si>
    <t xml:space="preserve">INTERESES CAUSADOS DICIEMBRE LEAS 9180</t>
  </si>
  <si>
    <t xml:space="preserve">INTERESES CAUSADOS SEPTIEMBRE LEAS 9224</t>
  </si>
  <si>
    <t xml:space="preserve">00009224</t>
  </si>
  <si>
    <t xml:space="preserve">INTERESES CAUSADOS DICIEMBRE LEAS 9224</t>
  </si>
  <si>
    <t xml:space="preserve">INTERESES CAUSADOS SEPTIEMBRE LEAS 9288</t>
  </si>
  <si>
    <t xml:space="preserve">00009288</t>
  </si>
  <si>
    <t xml:space="preserve">INTERESES CAUSADOS DICIEMBRE LEAS 9288</t>
  </si>
  <si>
    <t xml:space="preserve">Cuadre del detalle 31-dic-25 contra el saldo inicial del balance 2026</t>
  </si>
  <si>
    <t xml:space="preserve">Detalle 31-dic-25</t>
  </si>
  <si>
    <t xml:space="preserve">Saldo inicial balance (signo +)</t>
  </si>
  <si>
    <t xml:space="preserve">Partidas sin ID de obligación</t>
  </si>
  <si>
    <t xml:space="preserve">Saldos de capital por obligación al 31-jul-2026 – mayor vs detalle 62 vs tabla de amortización vs banco</t>
  </si>
  <si>
    <t xml:space="preserve">Saldo mayor = detalle 31-dic-25 (PT 2025) + créditos 2026 − débitos 2026 (Mayor_Mov). Saldo banco = certificado jul-26; si no hay, extracto 31-dic-25 + movimientos 2026 (estimado, marca [E]).</t>
  </si>
  <si>
    <t xml:space="preserve">Saldo mayor 31-dic-25</t>
  </si>
  <si>
    <t xml:space="preserve">Créditos 2026 (desembolsos)</t>
  </si>
  <si>
    <t xml:space="preserve">Débitos 2026 (pagos)</t>
  </si>
  <si>
    <t xml:space="preserve">Saldo mayor 31-jul-26</t>
  </si>
  <si>
    <t xml:space="preserve">Saldo tabla amortización 31-jul</t>
  </si>
  <si>
    <t xml:space="preserve">Extracto 31-dic-25 (PT 2025)</t>
  </si>
  <si>
    <t xml:space="preserve">Saldo banco 31-jul-26</t>
  </si>
  <si>
    <t xml:space="preserve">Fuente saldo banco</t>
  </si>
  <si>
    <t xml:space="preserve">Mayor − detalle 62</t>
  </si>
  <si>
    <t xml:space="preserve">Mayor − banco</t>
  </si>
  <si>
    <t xml:space="preserve">Detalle 62 − banco</t>
  </si>
  <si>
    <t xml:space="preserve">Tabla − banco</t>
  </si>
  <si>
    <t xml:space="preserve">Crédito tesorería 457300748906 (cancelado 28-ene-26)</t>
  </si>
  <si>
    <t xml:space="preserve">457300569032 – CRED TESORERIA</t>
  </si>
  <si>
    <t xml:space="preserve">[C] Certificado / extracto 2026</t>
  </si>
  <si>
    <t xml:space="preserve">457300830624 – CRED TESORERIA</t>
  </si>
  <si>
    <t xml:space="preserve">457300607691 – CRED TESORERIA</t>
  </si>
  <si>
    <t xml:space="preserve">LEASING 1019441 – CAMION LZT 927</t>
  </si>
  <si>
    <t xml:space="preserve">LEASING 1019448 – CAMION LZT 926</t>
  </si>
  <si>
    <t xml:space="preserve">LEASING 10212753 – CALDERAS-SISTEMA DE ALIMENTACION BIOMASA</t>
  </si>
  <si>
    <t xml:space="preserve">Leasing 2 motogeneradores GECOLSA (no está en detalle 62)</t>
  </si>
  <si>
    <t xml:space="preserve">N/D</t>
  </si>
  <si>
    <t xml:space="preserve">453436746 – CRED TESORERIA</t>
  </si>
  <si>
    <t xml:space="preserve">856670629 – CRED TESORERIA</t>
  </si>
  <si>
    <t xml:space="preserve">858177259 – CRED TESORERIA</t>
  </si>
  <si>
    <t xml:space="preserve">Crédito 1155297469 → prorrogado 1159383796</t>
  </si>
  <si>
    <t xml:space="preserve">LEASING 556449224 – POZO # 1</t>
  </si>
  <si>
    <t xml:space="preserve">LEASING 556449180 – POZO # 2</t>
  </si>
  <si>
    <t xml:space="preserve">LEASING 556449117 – POZO # 3</t>
  </si>
  <si>
    <t xml:space="preserve">LEASING 556449064 – POZO # 4</t>
  </si>
  <si>
    <t xml:space="preserve">LEASING 556449288 – POZO # 5</t>
  </si>
  <si>
    <t xml:space="preserve">LEASING 557285005 – PLANTA ELECTRICA JENBACHER</t>
  </si>
  <si>
    <t xml:space="preserve">631309940-2 – CRED TESORERIA</t>
  </si>
  <si>
    <t xml:space="preserve">252059 – CRED TESORERIA</t>
  </si>
  <si>
    <t xml:space="preserve">1260105867 – CAPITAL DE TRABAJO</t>
  </si>
  <si>
    <t xml:space="preserve">LEASING 362095 – EXCAVADORA PC130-8 KOMATSU</t>
  </si>
  <si>
    <t xml:space="preserve">LEASING 336817 – TURBINA - TURBOKRAFT </t>
  </si>
  <si>
    <t xml:space="preserve">LEASING 331330 – PLANTA ELECTRICA CATERPILLAR C32-910</t>
  </si>
  <si>
    <t xml:space="preserve">Leasing 386735 camión VW Constellation (nuevo 28-jul-26)</t>
  </si>
  <si>
    <t xml:space="preserve">PARTIDAS AJENAS EN 2120 (neto cero)</t>
  </si>
  <si>
    <t xml:space="preserve">Comisiones Valley Trading registradas y reclasificadas en 21202040</t>
  </si>
  <si>
    <t xml:space="preserve">NI-4731 cruce anticipo calderas en 21202140</t>
  </si>
  <si>
    <t xml:space="preserve">TOTAL CRÉDITO</t>
  </si>
  <si>
    <t xml:space="preserve">Balance Crédito (signo +)</t>
  </si>
  <si>
    <t xml:space="preserve">Diferencia (por obligación − balance)</t>
  </si>
  <si>
    <t xml:space="preserve">TOTAL LEASING</t>
  </si>
  <si>
    <t xml:space="preserve">Balance Leasing (signo +)</t>
  </si>
  <si>
    <t xml:space="preserve">Nota: [C] cotejado con certificado/extracto 2026; [E] estimado con el extracto al 31-dic-25 del PT 2025 más los movimientos de capital 2026 del mayor (supone que el banco aplicó los mismos abonos); [P] sin soporte bancario.</t>
  </si>
  <si>
    <t xml:space="preserve">Cruce detalle 62 vs mayor (cuentas 2105 y 2120) – Integridad y exactitud</t>
  </si>
  <si>
    <t xml:space="preserve">Saldos del mayor tomados del balance con signo invertido (pasivo positivo). Movimientos de capital por obligación desde Mayor_Mov.</t>
  </si>
  <si>
    <t xml:space="preserve">A. Totales</t>
  </si>
  <si>
    <t xml:space="preserve">Cuentas mayor</t>
  </si>
  <si>
    <t xml:space="preserve">Diferencia (mayor − detalle)</t>
  </si>
  <si>
    <t xml:space="preserve">Créditos (capital)</t>
  </si>
  <si>
    <t xml:space="preserve">21050100 + 21050201</t>
  </si>
  <si>
    <t xml:space="preserve">Leasing financiero (capital)</t>
  </si>
  <si>
    <t xml:space="preserve">21202040 + 21202140</t>
  </si>
  <si>
    <t xml:space="preserve">Comprobación: total detalle = 'Total Obligaciones' del cliente</t>
  </si>
  <si>
    <t xml:space="preserve">Tarjetas de crédito (21050301) e intereses por pagar (2130) no forman parte del detalle 62.</t>
  </si>
  <si>
    <t xml:space="preserve">B. Explicación de la diferencia en leasing (mayor − detalle) por obligación – ver Saldos_x_Obligacion</t>
  </si>
  <si>
    <t xml:space="preserve">Partida</t>
  </si>
  <si>
    <t xml:space="preserve">Valor</t>
  </si>
  <si>
    <t xml:space="preserve">Soporte</t>
  </si>
  <si>
    <t xml:space="preserve">1. Leasing Bancolombia 386735 (camión VW Constellation) registrado el 28-jul-26 y omitido en el detalle 62</t>
  </si>
  <si>
    <t xml:space="preserve">NB-00001014: Cr 21202040 $572.363.196 + Cr 21202140 $103.474.304.</t>
  </si>
  <si>
    <t xml:space="preserve">2. Leasing Davivienda GECOLSA (2 motogeneradores) en el mayor desde jul-25 y omitido en el detalle 62 (tampoco validado en el PT 2025)</t>
  </si>
  <si>
    <t xml:space="preserve">Mayor_Dic25: reintegro anticipo GECOLSA, doc. 2672, $213.861.900.</t>
  </si>
  <si>
    <t xml:space="preserve">3. Leasings Banco de Bogotá: el mayor coincide con los certificados; el detalle 62 trae saldos de tablas teóricas</t>
  </si>
  <si>
    <t xml:space="preserve">Saldos_x_Obligacion: Mayor − banco ≈ 0 en los 6 contratos.</t>
  </si>
  <si>
    <t xml:space="preserve">4. Leasings Davivienda 1019441, 1019448 y 1021275: detalle 62 = tabla teórica; mayor = extracto dic-25 − pagos 2026</t>
  </si>
  <si>
    <t xml:space="preserve">1021275: la tabla capitaliza intereses; banco mantiene $1.876.684.264.</t>
  </si>
  <si>
    <t xml:space="preserve">5. Leasings Bancolombia 362095, 336817 y 331330: detalle 62 desactualizado (362095 con saldo de dic-25)</t>
  </si>
  <si>
    <t xml:space="preserve">Ver Rev_Tablas_Amort (error en tabla 362095).</t>
  </si>
  <si>
    <t xml:space="preserve">6. Diferencia residual no explicada</t>
  </si>
  <si>
    <t xml:space="preserve">Total diferencia leasing</t>
  </si>
  <si>
    <t xml:space="preserve">C. Roll-forward de capital por obligación (detalle 62 + movimiento ene–jul) → saldo inicial implícito al 1-ene-26</t>
  </si>
  <si>
    <t xml:space="preserve">Saldo detalle 62 (31-jul)</t>
  </si>
  <si>
    <t xml:space="preserve">Pagos de capital (débitos)</t>
  </si>
  <si>
    <t xml:space="preserve">Desembolsos / renovaciones (créditos)</t>
  </si>
  <si>
    <t xml:space="preserve">Saldo inicial implícito 1-ene</t>
  </si>
  <si>
    <t xml:space="preserve">En detalle 62?</t>
  </si>
  <si>
    <t xml:space="preserve">Incluye el crédito 1155297469 (desembolso 28-ene) y su prórroga al 1159383796 (29-jul).</t>
  </si>
  <si>
    <t xml:space="preserve">Renovación 30-jun-26 (CE-35090) a la par. El detalle 62 lo identifica como 252059; el mayor como 9600290141/0141 (y 4476 en ene–mar).</t>
  </si>
  <si>
    <t xml:space="preserve">Mayor glosa '12660105867' (error de digitación).</t>
  </si>
  <si>
    <t xml:space="preserve">Crédito Davivienda $10.000 MM cancelado el 28-ene-26 con el crédito Bogotá 1155297469 (refinanciación con otro banco: baja en cuentas NIIF 9.3.3.1).</t>
  </si>
  <si>
    <t xml:space="preserve">Leasing nuevo 28-jul-26 no incluido en el detalle 62 → saldo inicial implícito negativo = omisión.</t>
  </si>
  <si>
    <t xml:space="preserve">Leasing GECOLSA: sin movimiento 2026 y fuera del detalle 62; su saldo ($213,9 MM) está en el saldo inicial del mayor.</t>
  </si>
  <si>
    <t xml:space="preserve">Comisiones Valley Trading registradas y reclasificadas en 21202040 (neto 0). Partida ajena a obligaciones.</t>
  </si>
  <si>
    <t xml:space="preserve">NI-4731 'cruce anticipo calderas' en 21202140 Davivienda (neto 0). Partida ajena a obligaciones.</t>
  </si>
  <si>
    <t xml:space="preserve">Total Crédito</t>
  </si>
  <si>
    <t xml:space="preserve">Mayor Crédito (SI / Déb / Créd / —)</t>
  </si>
  <si>
    <t xml:space="preserve">Diferencia Crédito (detalle implícito − mayor)</t>
  </si>
  <si>
    <t xml:space="preserve">Total Leasing</t>
  </si>
  <si>
    <t xml:space="preserve">Mayor Leasing (SI / Déb / Créd / —)</t>
  </si>
  <si>
    <t xml:space="preserve">Diferencia Leasing (detalle implícito − mayor)</t>
  </si>
  <si>
    <t xml:space="preserve">Recálculo de intereses (NIIF 9 – costo amortizado, método del interés efectivo)</t>
  </si>
  <si>
    <t xml:space="preserve">Interés = Capital × ((1 + EA)^(días/base) − 1). Las fechas y tasas en azul provienen del certificado o del detalle 62 (ver columna 'Fuente').</t>
  </si>
  <si>
    <t xml:space="preserve">Parte 1. Recálculo de intereses liquidados por el banco (prueba de exactitud de la liquidación bancaria)</t>
  </si>
  <si>
    <t xml:space="preserve">Periodo / concepto</t>
  </si>
  <si>
    <t xml:space="preserve">Capital base</t>
  </si>
  <si>
    <t xml:space="preserve">Tasa EA</t>
  </si>
  <si>
    <t xml:space="preserve">Desde</t>
  </si>
  <si>
    <t xml:space="preserve">Hasta</t>
  </si>
  <si>
    <t xml:space="preserve">Días</t>
  </si>
  <si>
    <t xml:space="preserve">Recalc. base 365</t>
  </si>
  <si>
    <t xml:space="preserve">Recalc. base 360</t>
  </si>
  <si>
    <t xml:space="preserve">Interés banco</t>
  </si>
  <si>
    <t xml:space="preserve">Dif. mínima (recalc − banco)</t>
  </si>
  <si>
    <t xml:space="preserve">% dif.</t>
  </si>
  <si>
    <t xml:space="preserve">EA implícita (365)</t>
  </si>
  <si>
    <t xml:space="preserve">Intereses 21-mar a 21-sep-26 (próximo pago)</t>
  </si>
  <si>
    <t xml:space="preserve">Intereses 28-ene a 28-jul-26</t>
  </si>
  <si>
    <t xml:space="preserve">La tasa 'cobrada' de 12,58% EA del extracto no reconcilia con el interés facturado; la tasa implícita (~14,4% EA) es coherente con IBR 10,69% + 3,40 pts. Confirmar con Davivienda.</t>
  </si>
  <si>
    <t xml:space="preserve">Igual situación que 607691.</t>
  </si>
  <si>
    <t xml:space="preserve">Cuota 12: 21-mar a 21-jun-26</t>
  </si>
  <si>
    <t xml:space="preserve">Finagro: el banco liquida en base 360.</t>
  </si>
  <si>
    <t xml:space="preserve">Próxima cuota: 25-may a 25-ago-26</t>
  </si>
  <si>
    <t xml:space="preserve">Finagro: base 360.</t>
  </si>
  <si>
    <t xml:space="preserve">Cuota 100: 17-jun a 17-jul-26</t>
  </si>
  <si>
    <t xml:space="preserve">Ordinaria comercial: base 365.</t>
  </si>
  <si>
    <t xml:space="preserve">Crédito 1155297469 cuota 2: 14-abr a 14-jul-26</t>
  </si>
  <si>
    <t xml:space="preserve">Intereses causados 22-jul a 11-ago-26</t>
  </si>
  <si>
    <t xml:space="preserve">Canon jul: 22-abr a 22-jul-26</t>
  </si>
  <si>
    <t xml:space="preserve">Canon jul: 27-abr a 27-jul-26</t>
  </si>
  <si>
    <t xml:space="preserve">Canon jul: 23-abr a 23-jul-26</t>
  </si>
  <si>
    <t xml:space="preserve">Canon jul: 20-abr a 20-jul-26</t>
  </si>
  <si>
    <t xml:space="preserve">Parte 2. Causación de intereses al 31-jul-2026 – recálculo vs registrado en 2130 (prueba de corte y valuación)</t>
  </si>
  <si>
    <t xml:space="preserve">Fuente capital / tasa</t>
  </si>
  <si>
    <t xml:space="preserve">Capital 31-jul</t>
  </si>
  <si>
    <t xml:space="preserve">Inicio causación (último pago)</t>
  </si>
  <si>
    <t xml:space="preserve">Base días</t>
  </si>
  <si>
    <t xml:space="preserve">Interés causado recalculado</t>
  </si>
  <si>
    <t xml:space="preserve">Causado s/mayor (2130)</t>
  </si>
  <si>
    <t xml:space="preserve">No registrado (recalc − mayor)</t>
  </si>
  <si>
    <t xml:space="preserve">Cuenta 2130</t>
  </si>
  <si>
    <t xml:space="preserve">Último pago s/mayor</t>
  </si>
  <si>
    <t xml:space="preserve">Certificado</t>
  </si>
  <si>
    <t xml:space="preserve">Interés semestral vencido; el cliente causa cifras fijas mensuales hasta el día ~24 → subcausación.</t>
  </si>
  <si>
    <t xml:space="preserve">Cert. / tasa detalle 62</t>
  </si>
  <si>
    <t xml:space="preserve">3 días del nuevo semestre. Tasa del nuevo periodo no certificada: se usa la del detalle 62.</t>
  </si>
  <si>
    <t xml:space="preserve">Ídem.</t>
  </si>
  <si>
    <t xml:space="preserve">Detalle 62 (sin certificado)</t>
  </si>
  <si>
    <t xml:space="preserve">Renovado 30-jun-26 con intereses mensuales: no hay causación de julio en 2130. Verificar si el interés de julio se pagó y llevó a 53052020; si no, debe causarse.</t>
  </si>
  <si>
    <t xml:space="preserve">Crédito mensual: el cliente no causa entre cuotas (gasto al pago).</t>
  </si>
  <si>
    <t xml:space="preserve">Finagro, base 360.</t>
  </si>
  <si>
    <t xml:space="preserve">Cert. 1155297469 / tasa detalle</t>
  </si>
  <si>
    <t xml:space="preserve">Inicio estimado 22-jul (vencimiento 22-ene-27, 6 meses, según detalle 62). Sin certificado del nuevo crédito; confirmar si hubo intereses 14 a 22-jul.</t>
  </si>
  <si>
    <t xml:space="preserve">Inicio estimado 17-jun (cuotas trimestrales al 17; vence 17-dic-26). Pago registrado 30-jun con intereses de mora $54.242.</t>
  </si>
  <si>
    <t xml:space="preserve">El banco certifica $24.607.407 causados del 22-jul al 11-ago (ver Parte 1).</t>
  </si>
  <si>
    <t xml:space="preserve">Banco [E] / tasa extracto</t>
  </si>
  <si>
    <t xml:space="preserve">Banco [E] / tasa detalle 62</t>
  </si>
  <si>
    <t xml:space="preserve">Inicio según periodo 'ABR-MAY-JUN' del CL-414. Confirmar fechas de canon con Bancolombia (vencimientos al día 14).</t>
  </si>
  <si>
    <t xml:space="preserve">Inicio = fecha del último canon registrado (CL-421).</t>
  </si>
  <si>
    <t xml:space="preserve">Inicio = fecha del último canon registrado (CL-420).</t>
  </si>
  <si>
    <t xml:space="preserve">Mayor (no está en detalle 62)</t>
  </si>
  <si>
    <t xml:space="preserve">IBR TV + 1,35 según glosa NB-1014.</t>
  </si>
  <si>
    <t xml:space="preserve">  de los cuales créditos (21300101)</t>
  </si>
  <si>
    <t xml:space="preserve">  de los cuales leasing (21300102)</t>
  </si>
  <si>
    <t xml:space="preserve">Saldo 2130 según balance</t>
  </si>
  <si>
    <t xml:space="preserve">Diferencia causado por obligación vs balance 2130</t>
  </si>
  <si>
    <t xml:space="preserve">Redondeos de reversiones (p.ej. 556449288 $0,16).</t>
  </si>
  <si>
    <t xml:space="preserve">Parte 3. Saldo de capital implícito – leasings Davivienda sin saldo en el extracto</t>
  </si>
  <si>
    <t xml:space="preserve">Canon</t>
  </si>
  <si>
    <t xml:space="preserve">Interés del canon</t>
  </si>
  <si>
    <t xml:space="preserve">Capital implícito antes del canon</t>
  </si>
  <si>
    <t xml:space="preserve">Capital del canon</t>
  </si>
  <si>
    <t xml:space="preserve">Capital implícito después</t>
  </si>
  <si>
    <t xml:space="preserve">Dif. detalle − implícito</t>
  </si>
  <si>
    <t xml:space="preserve">Canon 006 (sólo intereses)</t>
  </si>
  <si>
    <t xml:space="preserve">Estimación indicativa (la tasa puede variar dentro del periodo). Solicitar certificado de saldo.</t>
  </si>
  <si>
    <t xml:space="preserve">Canon 033</t>
  </si>
  <si>
    <t xml:space="preserve">Canon 031</t>
  </si>
  <si>
    <t xml:space="preserve">Anexo A01-9441 – Tabla de amortización del cliente vs recálculo de auditoría – DAV-L1019441</t>
  </si>
  <si>
    <t xml:space="preserve">Fuente: 64._Tabla_amortización_obligaciones_financieras.xlsm, hoja '9441'. Columnas A–G: cliente [A]; H–P: recálculo auditoría [B].</t>
  </si>
  <si>
    <t xml:space="preserve">Banco / contrato</t>
  </si>
  <si>
    <t xml:space="preserve">BANCO DAVIVIENDA – _0001019441</t>
  </si>
  <si>
    <t xml:space="preserve">Resultados al 31-jul-2026</t>
  </si>
  <si>
    <t xml:space="preserve">Valor inicial</t>
  </si>
  <si>
    <t xml:space="preserve">Fecha última cuota ≤ corte</t>
  </si>
  <si>
    <t xml:space="preserve">Fecha inicio</t>
  </si>
  <si>
    <t xml:space="preserve">Saldo tabla cliente</t>
  </si>
  <si>
    <t xml:space="preserve">Plazo / tasa pactada</t>
  </si>
  <si>
    <t xml:space="preserve">60 MESES – IBR+4%</t>
  </si>
  <si>
    <t xml:space="preserve">Saldo recalculado</t>
  </si>
  <si>
    <t xml:space="preserve">Tasa periódica tabla (TIR cliente)</t>
  </si>
  <si>
    <t xml:space="preserve">Interés tabla ene–jul 26</t>
  </si>
  <si>
    <t xml:space="preserve">TIR recalculada (flujos col. M)</t>
  </si>
  <si>
    <t xml:space="preserve">Capital siguiente 12 meses (CP)</t>
  </si>
  <si>
    <t xml:space="preserve">Tasa EA equivalente</t>
  </si>
  <si>
    <t xml:space="preserve">Máx. dif. saldo |cliente − recalc.|</t>
  </si>
  <si>
    <t xml:space="preserve">Per.</t>
  </si>
  <si>
    <t xml:space="preserve">Saldo inicial</t>
  </si>
  <si>
    <t xml:space="preserve">Interés</t>
  </si>
  <si>
    <t xml:space="preserve">Capital</t>
  </si>
  <si>
    <t xml:space="preserve">Pago / cuota</t>
  </si>
  <si>
    <t xml:space="preserve">Saldo final</t>
  </si>
  <si>
    <t xml:space="preserve">Saldo inicial recalc.</t>
  </si>
  <si>
    <t xml:space="preserve">Interés recalc.</t>
  </si>
  <si>
    <t xml:space="preserve">Saldo final recalc.</t>
  </si>
  <si>
    <t xml:space="preserve">Dif. interés</t>
  </si>
  <si>
    <t xml:space="preserve">Dif. saldo</t>
  </si>
  <si>
    <t xml:space="preserve">Flujo (TIR)</t>
  </si>
  <si>
    <t xml:space="preserve">Tasa periodo</t>
  </si>
  <si>
    <t xml:space="preserve">Ene–jul 26</t>
  </si>
  <si>
    <t xml:space="preserve">CP 12m</t>
  </si>
  <si>
    <t xml:space="preserve">Anexo A02-9448 – Tabla de amortización del cliente vs recálculo de auditoría – DAV-L1019448</t>
  </si>
  <si>
    <t xml:space="preserve">Fuente: 64._Tabla_amortización_obligaciones_financieras.xlsm, hoja '9448'. Columnas A–G: cliente [A]; H–P: recálculo auditoría [B].</t>
  </si>
  <si>
    <t xml:space="preserve">BANCO DAVIVIENDA – _0001019448-3</t>
  </si>
  <si>
    <t xml:space="preserve">Anexo A03-2753 – Tabla de amortización del cliente vs recálculo de auditoría – DAV-L1021275</t>
  </si>
  <si>
    <t xml:space="preserve">Fuente: 64._Tabla_amortización_obligaciones_financieras.xlsm, hoja '2753'. Columnas A–G: cliente [A]; H–P: recálculo auditoría [B].</t>
  </si>
  <si>
    <t xml:space="preserve">BANCO DAVIVIENDA – 30001021275-3</t>
  </si>
  <si>
    <t xml:space="preserve">84 MESES – IBR TV + 2,3</t>
  </si>
  <si>
    <t xml:space="preserve">Anexo A04-D-0624 – Tabla de amortización del cliente vs recálculo de auditoría – DAV-830624</t>
  </si>
  <si>
    <t xml:space="preserve">Fuente: 64._Tabla_amortización_obligaciones_financieras.xlsm, hoja 'D-0624'. Columnas A–G: cliente [A]; H–P: recálculo auditoría [B].</t>
  </si>
  <si>
    <t xml:space="preserve">BANCO DAVIVIENDA – 457300830624</t>
  </si>
  <si>
    <t xml:space="preserve">240 meses – IBR 6MESES + 3</t>
  </si>
  <si>
    <t xml:space="preserve">Por fila (col. N)</t>
  </si>
  <si>
    <t xml:space="preserve">Anexo A05-D-7691 – Tabla de amortización del cliente vs recálculo de auditoría – DAV-607691</t>
  </si>
  <si>
    <t xml:space="preserve">Fuente: 64._Tabla_amortización_obligaciones_financieras.xlsm, hoja 'D-7691'. Columnas A–G: cliente [A]; H–P: recálculo auditoría [B].</t>
  </si>
  <si>
    <t xml:space="preserve">BANCO DAVIVIENDA – 457300607691</t>
  </si>
  <si>
    <t xml:space="preserve">240 meses – IBR 6MESES +3,4</t>
  </si>
  <si>
    <t xml:space="preserve">Anexo A06-D-9032 – Tabla de amortización del cliente vs recálculo de auditoría – DAV-569032</t>
  </si>
  <si>
    <t xml:space="preserve">Fuente: 64._Tabla_amortización_obligaciones_financieras.xlsm, hoja 'D-9032'. Columnas A–G: cliente [A]; H–P: recálculo auditoría [B].</t>
  </si>
  <si>
    <t xml:space="preserve">BANCO DAVIVIENDA – 457300569032</t>
  </si>
  <si>
    <t xml:space="preserve">Anexo A07-B-6746 – Tabla de amortización del cliente vs recálculo de auditoría – BOG-453436746</t>
  </si>
  <si>
    <t xml:space="preserve">Fuente: 64._Tabla_amortización_obligaciones_financieras.xlsm, hoja 'B-6746'. Columnas A–G: cliente [A]; H–P: recálculo auditoría [B].</t>
  </si>
  <si>
    <t xml:space="preserve">BANCO BOGOTA – 453436746</t>
  </si>
  <si>
    <t xml:space="preserve">144 meses – IBR +4,70</t>
  </si>
  <si>
    <t xml:space="preserve">Anexo A08-B-0629 – Tabla de amortización del cliente vs recálculo de auditoría – BOG-856670629</t>
  </si>
  <si>
    <t xml:space="preserve">Fuente: 64._Tabla_amortización_obligaciones_financieras.xlsm, hoja 'B-0629'. Columnas A–G: cliente [A]; H–P: recálculo auditoría [B].</t>
  </si>
  <si>
    <t xml:space="preserve">BANCO DE BOGOTA – 856670629</t>
  </si>
  <si>
    <t xml:space="preserve">60 meses – IBR(3M) + 3,2%</t>
  </si>
  <si>
    <t xml:space="preserve">Anexo A09-B-7259 – Tabla de amortización del cliente vs recálculo de auditoría – BOG-858177259</t>
  </si>
  <si>
    <t xml:space="preserve">Fuente: 64._Tabla_amortización_obligaciones_financieras.xlsm, hoja 'B-7259'. Columnas A–G: cliente [A]; H–P: recálculo auditoría [B].</t>
  </si>
  <si>
    <t xml:space="preserve">BANCO DE BOGOTA – 858177259</t>
  </si>
  <si>
    <t xml:space="preserve">60 meses – IBR(3M) + 4,6%</t>
  </si>
  <si>
    <t xml:space="preserve">Anexo A10-B-7469 – Tabla de amortización del cliente vs recálculo de auditoría – BOG-1155297469</t>
  </si>
  <si>
    <t xml:space="preserve">Fuente: 64._Tabla_amortización_obligaciones_financieras.xlsm, hoja 'B-7469'. Columnas A–G: cliente [A]; H–P: recálculo auditoría [B].</t>
  </si>
  <si>
    <t xml:space="preserve">BANCO DE BOGOTA – 1155297469</t>
  </si>
  <si>
    <t xml:space="preserve">6 meses – IBR(3M) + 0,8%</t>
  </si>
  <si>
    <t xml:space="preserve">Anexo A11-Hoja2 – Tabla de amortización del cliente vs recálculo de auditoría – BOG-1159383796</t>
  </si>
  <si>
    <t xml:space="preserve">Fuente: 64._Tabla_amortización_obligaciones_financieras.xlsm, hoja 'Hoja2'. Columnas A–G: cliente [A]; H–P: recálculo auditoría [B].</t>
  </si>
  <si>
    <t xml:space="preserve">BANCO DE BOGOTA – 1159383796</t>
  </si>
  <si>
    <t xml:space="preserve">Anexo A12-9224 – Tabla de amortización del cliente vs recálculo de auditoría – BOG-L556449224</t>
  </si>
  <si>
    <t xml:space="preserve">Fuente: 64._Tabla_amortización_obligaciones_financieras.xlsm, hoja '9224'. Columnas A–G: cliente [A]; H–P: recálculo auditoría [B].</t>
  </si>
  <si>
    <t xml:space="preserve">BANCO DE BOGOTA – 556449224</t>
  </si>
  <si>
    <t xml:space="preserve">28 TRIMESTRES – DTF+3,57%</t>
  </si>
  <si>
    <t xml:space="preserve">Anexo A13-9180 – Tabla de amortización del cliente vs recálculo de auditoría – BOG-L556449180</t>
  </si>
  <si>
    <t xml:space="preserve">Fuente: 64._Tabla_amortización_obligaciones_financieras.xlsm, hoja '9180'. Columnas A–G: cliente [A]; H–P: recálculo auditoría [B].</t>
  </si>
  <si>
    <t xml:space="preserve">BANCO DE BOGOTA – 556449180</t>
  </si>
  <si>
    <t xml:space="preserve">Anexo A14-9117 – Tabla de amortización del cliente vs recálculo de auditoría – BOG-L556449117</t>
  </si>
  <si>
    <t xml:space="preserve">Fuente: 64._Tabla_amortización_obligaciones_financieras.xlsm, hoja '9117'. Columnas A–G: cliente [A]; H–P: recálculo auditoría [B].</t>
  </si>
  <si>
    <t xml:space="preserve">BANCO DE BOGOTA – 556449117</t>
  </si>
  <si>
    <t xml:space="preserve">Anexo A15-9064 – Tabla de amortización del cliente vs recálculo de auditoría – BOG-L556449064</t>
  </si>
  <si>
    <t xml:space="preserve">Fuente: 64._Tabla_amortización_obligaciones_financieras.xlsm, hoja '9064'. Columnas A–G: cliente [A]; H–P: recálculo auditoría [B].</t>
  </si>
  <si>
    <t xml:space="preserve">BANCO DE BOGOTA – 556449064</t>
  </si>
  <si>
    <t xml:space="preserve">Anexo A16-9299 – Tabla de amortización del cliente vs recálculo de auditoría – BOG-L556449288</t>
  </si>
  <si>
    <t xml:space="preserve">Fuente: 64._Tabla_amortización_obligaciones_financieras.xlsm, hoja '9299'. Columnas A–G: cliente [A]; H–P: recálculo auditoría [B].</t>
  </si>
  <si>
    <t xml:space="preserve">BANCO DE BOGOTA – 556449288</t>
  </si>
  <si>
    <t xml:space="preserve">Anexo A17-5005 – Tabla de amortización del cliente vs recálculo de auditoría – BOG-L557285005</t>
  </si>
  <si>
    <t xml:space="preserve">Fuente: 64._Tabla_amortización_obligaciones_financieras.xlsm, hoja '5005'. Columnas A–G: cliente [A]; H–P: recálculo auditoría [B].</t>
  </si>
  <si>
    <t xml:space="preserve">BANCO DE BOGOTA – 557285005</t>
  </si>
  <si>
    <t xml:space="preserve">24 TRIMESTRES – IBR(3M)+3,78%</t>
  </si>
  <si>
    <t xml:space="preserve">Anexo A18-P-9940 – Tabla de amortización del cliente vs recálculo de auditoría – POP-631309940</t>
  </si>
  <si>
    <t xml:space="preserve">Fuente: 64._Tabla_amortización_obligaciones_financieras.xlsm, hoja 'P-9940'. Columnas A–G: cliente [A]; H–P: recálculo auditoría [B].</t>
  </si>
  <si>
    <t xml:space="preserve">BANCO POPULAR – 631309940-2</t>
  </si>
  <si>
    <t xml:space="preserve">60 meses – IBR 3MESES +2,4</t>
  </si>
  <si>
    <t xml:space="preserve">Anexo A19-V-7262 – Tabla de amortización del cliente vs recálculo de auditoría – BBVA-9600277262</t>
  </si>
  <si>
    <t xml:space="preserve">Fuente: 64._Tabla_amortización_obligaciones_financieras.xlsm, hoja 'V-7262'. Columnas A–G: cliente [A]; H–P: recálculo auditoría [B].</t>
  </si>
  <si>
    <t xml:space="preserve">BBVA – 9600277262</t>
  </si>
  <si>
    <t xml:space="preserve">6 meses – IBR 3 MESES + 0,95%</t>
  </si>
  <si>
    <t xml:space="preserve">Anexo A20-BC-5867 – Tabla de amortización del cliente vs recálculo de auditoría – BCL-1260105867</t>
  </si>
  <si>
    <t xml:space="preserve">Fuente: 64._Tabla_amortización_obligaciones_financieras.xlsm, hoja 'BC-5867'. Columnas A–G: cliente [A]; H–P: recálculo auditoría [B].</t>
  </si>
  <si>
    <t xml:space="preserve">BANCOLOMBIA – 1260105867</t>
  </si>
  <si>
    <t xml:space="preserve">36 meses – IBR 3 MESES + 1,5%</t>
  </si>
  <si>
    <t xml:space="preserve">Anexo A21-362095 – Tabla de amortización del cliente vs recálculo de auditoría – BCL-L362095</t>
  </si>
  <si>
    <t xml:space="preserve">Fuente: 64._Tabla_amortización_obligaciones_financieras.xlsm, hoja '362095'. Columnas A–G: cliente [A]; H–P: recálculo auditoría [B].</t>
  </si>
  <si>
    <t xml:space="preserve">LEASING BANCOLOMBIA S.A. – 362095</t>
  </si>
  <si>
    <t xml:space="preserve">60 MESES – IBR TV + 2,85%</t>
  </si>
  <si>
    <t xml:space="preserve">Anexo A22-336817 – Tabla de amortización del cliente vs recálculo de auditoría – BCL-L336817</t>
  </si>
  <si>
    <t xml:space="preserve">Fuente: 64._Tabla_amortización_obligaciones_financieras.xlsm, hoja '336817'. Columnas A–G: cliente [A]; H–P: recálculo auditoría [B].</t>
  </si>
  <si>
    <t xml:space="preserve">LEASING BANCOLOMBIA S.A. – 336817</t>
  </si>
  <si>
    <t xml:space="preserve">72 MESES – IBR MV + 3,2%</t>
  </si>
  <si>
    <t xml:space="preserve">Anexo A23-331330 – Tabla de amortización del cliente vs recálculo de auditoría – BCL-L331330</t>
  </si>
  <si>
    <t xml:space="preserve">Fuente: 64._Tabla_amortización_obligaciones_financieras.xlsm, hoja '331330'. Columnas A–G: cliente [A]; H–P: recálculo auditoría [B].</t>
  </si>
  <si>
    <t xml:space="preserve">LEASING BANCOLOMBIA S.A. – 331330</t>
  </si>
  <si>
    <t xml:space="preserve">60 Meses – IBR+3,75%</t>
  </si>
  <si>
    <t xml:space="preserve">Anexo A24-DD-0709 – Tabla de amortización del cliente vs recálculo de auditoría – DYP-482800190700</t>
  </si>
  <si>
    <t xml:space="preserve">Fuente: 64._Tabla_amortización_obligaciones_financieras.xlsm, hoja 'DD-0709'. Columnas A–G: cliente [A]; H–P: recálculo auditoría [B].</t>
  </si>
  <si>
    <t xml:space="preserve">DAVIVIENDA DYPSIS – 7000482800190700</t>
  </si>
  <si>
    <t xml:space="preserve">24 meses – IBR 3 MESES + 2,2%</t>
  </si>
  <si>
    <t xml:space="preserve">Anexo A25-3934 – Tabla de amortización del cliente vs recálculo de auditoría – DAV-L1013934</t>
  </si>
  <si>
    <t xml:space="preserve">Fuente: 64._Tabla_amortización_obligaciones_financieras.xlsm, hoja '3934'. Columnas A–G: cliente [A]; H–P: recálculo auditoría [B].</t>
  </si>
  <si>
    <t xml:space="preserve">BANCO DAVIVIENDA INPARME – 30001013934-6</t>
  </si>
  <si>
    <t xml:space="preserve">60 MESES – DTF MV + 6</t>
  </si>
  <si>
    <t xml:space="preserve">Revisión y recálculo de las tablas de amortización del cliente (papel 64) – corte 31-jul-2026</t>
  </si>
  <si>
    <t xml:space="preserve">Cada fila resume un anexo A01–A25. Saldo banco desde Saldos_x_Obligacion; interés registrado desde Intereses_x_Obligacion.</t>
  </si>
  <si>
    <t xml:space="preserve">Hoja cliente</t>
  </si>
  <si>
    <t xml:space="preserve">Anexo</t>
  </si>
  <si>
    <t xml:space="preserve">Tasa pactada</t>
  </si>
  <si>
    <t xml:space="preserve">TIR tabla (periodo)</t>
  </si>
  <si>
    <t xml:space="preserve">TIR recalc.</t>
  </si>
  <si>
    <t xml:space="preserve">Dif. TIR (pb)</t>
  </si>
  <si>
    <t xml:space="preserve">Última cuota ≤ corte</t>
  </si>
  <si>
    <t xml:space="preserve">Saldo tabla 31-jul</t>
  </si>
  <si>
    <t xml:space="preserve">Tabla − detalle 62</t>
  </si>
  <si>
    <t xml:space="preserve">Saldo banco 31-jul</t>
  </si>
  <si>
    <t xml:space="preserve">Interés registrado 2026</t>
  </si>
  <si>
    <t xml:space="preserve">Registrado − tabla</t>
  </si>
  <si>
    <t xml:space="preserve">CP 12m según tabla</t>
  </si>
  <si>
    <t xml:space="preserve">CP detalle 62</t>
  </si>
  <si>
    <t xml:space="preserve">CP tabla − detalle</t>
  </si>
  <si>
    <t xml:space="preserve">Máx. dif. recálculo saldo</t>
  </si>
  <si>
    <t xml:space="preserve">Costo amortizado cliente (col. W) 31-jul</t>
  </si>
  <si>
    <t xml:space="preserve">C. amortizado − saldo tabla</t>
  </si>
  <si>
    <t xml:space="preserve">Observación de auditoría</t>
  </si>
  <si>
    <t xml:space="preserve">9441</t>
  </si>
  <si>
    <t xml:space="preserve">_0001019441</t>
  </si>
  <si>
    <t xml:space="preserve">Tabla teórica a tasa fija (TIR mensual constante) y cuota fija $17.681.217; el banco liquida a tasa variable (canon 033: capital $12.327.298 / interés $5.062.372). El saldo del detalle 62 es el de esta tabla, no el del banco.</t>
  </si>
  <si>
    <t xml:space="preserve">9448</t>
  </si>
  <si>
    <t xml:space="preserve">_0001019448-3</t>
  </si>
  <si>
    <t xml:space="preserve">Tabla teórica a tasa fija y cuota constante; el banco liquida a tasa variable (canon 031: capital $8.867.342 / interés $4.177.893). Detalle 62 = saldo de la tabla.</t>
  </si>
  <si>
    <t xml:space="preserve">2753</t>
  </si>
  <si>
    <t xml:space="preserve">30001021275-3</t>
  </si>
  <si>
    <t xml:space="preserve">La TIR de la tabla supera el canon de sólo intereses de los primeros 12 trimestres: la tabla capitaliza intereses y el saldo crece ($1.876,7 MM → $1.883,7 MM). El banco mantiene el capital en $1.876.684.264 y cobra 14,41% EA ($64,0 MM en jul-26 vs $51,5 MM en la tabla).</t>
  </si>
  <si>
    <t xml:space="preserve">D-0624</t>
  </si>
  <si>
    <t xml:space="preserve">Interés mensual simple con IBR 6M + 3 pts / 12; el banco liquida semestre vencido a 15,51% EA. La columna 'medición al costo' (costo amortizado) resta los intereses del saldo: error de fórmula (ver columna Z).</t>
  </si>
  <si>
    <t xml:space="preserve">D-7691</t>
  </si>
  <si>
    <t xml:space="preserve">Interés mensual simple con IBR 6M + 3 pts; el contrato es IBR + 3,40 y el banco factura semestral. Columna de costo amortizado con el mismo error de fórmula (ver columna Z).</t>
  </si>
  <si>
    <t xml:space="preserve">D-9032</t>
  </si>
  <si>
    <t xml:space="preserve">457300569032</t>
  </si>
  <si>
    <t xml:space="preserve">Igual que 607691: puntos adicionales de la tabla (3%) distintos al contrato (3,40%); costo amortizado mal formulado.</t>
  </si>
  <si>
    <t xml:space="preserve">B-6746</t>
  </si>
  <si>
    <t xml:space="preserve">BANCO BOGOTA</t>
  </si>
  <si>
    <t xml:space="preserve">Capital fijo $62,5 MM mensual coincide con el banco; el interés de la tabla usa el IBR proyectado.</t>
  </si>
  <si>
    <t xml:space="preserve">B-0629</t>
  </si>
  <si>
    <t xml:space="preserve">Capital trimestral $182,2 MM coincide con el banco (diferencia de redondeo en el saldo).</t>
  </si>
  <si>
    <t xml:space="preserve">B-7259</t>
  </si>
  <si>
    <t xml:space="preserve">Capital trimestral $125 MM coincide con el banco.</t>
  </si>
  <si>
    <t xml:space="preserve">BOG-1155297469</t>
  </si>
  <si>
    <t xml:space="preserve">B-7469</t>
  </si>
  <si>
    <t xml:space="preserve">1155297469</t>
  </si>
  <si>
    <t xml:space="preserve">Tabla del crédito cancelado/prorrogado el 14/29-jul-26.</t>
  </si>
  <si>
    <t xml:space="preserve">Hoja2</t>
  </si>
  <si>
    <t xml:space="preserve">1159383796</t>
  </si>
  <si>
    <t xml:space="preserve">La hoja 'Hoja2' es copia de la tabla del 1155297469: fechas feb–jul 2026 anteriores al inicio (22-jul-26) y saldo cero al 14-jul. No sirve como tabla del crédito nuevo.</t>
  </si>
  <si>
    <t xml:space="preserve">9224</t>
  </si>
  <si>
    <t xml:space="preserve">556449224</t>
  </si>
  <si>
    <t xml:space="preserve">Tabla a tasa fija; el banco liquida DTF variable: saldo certificado mayor que el de la tabla.</t>
  </si>
  <si>
    <t xml:space="preserve">9180</t>
  </si>
  <si>
    <t xml:space="preserve">556449180</t>
  </si>
  <si>
    <t xml:space="preserve">9117</t>
  </si>
  <si>
    <t xml:space="preserve">556449117</t>
  </si>
  <si>
    <t xml:space="preserve">Tabla a tasa fija con TIR muy baja (0,59% trimestral) y capital acelerado: saldo $57 MM por debajo del banco.</t>
  </si>
  <si>
    <t xml:space="preserve">9064</t>
  </si>
  <si>
    <t xml:space="preserve">556449064</t>
  </si>
  <si>
    <t xml:space="preserve">9299</t>
  </si>
  <si>
    <t xml:space="preserve">556449288</t>
  </si>
  <si>
    <t xml:space="preserve">5005</t>
  </si>
  <si>
    <t xml:space="preserve">557285005</t>
  </si>
  <si>
    <t xml:space="preserve">Tabla a tasa fija; el banco liquida IBR 3M variable: saldo certificado mayor que el de la tabla.</t>
  </si>
  <si>
    <t xml:space="preserve">P-9940</t>
  </si>
  <si>
    <t xml:space="preserve">Capital trimestral $143,75 MM coincide con lo pagado; vence 17-dic-26 (todo corriente).</t>
  </si>
  <si>
    <t xml:space="preserve">BBVA-9600277262</t>
  </si>
  <si>
    <t xml:space="preserve">V-7262</t>
  </si>
  <si>
    <t xml:space="preserve">9600277262</t>
  </si>
  <si>
    <t xml:space="preserve">Tabla del crédito anterior (11-dic-25 a 11-jun-26). No hay tabla del crédito renovado el 30-jun-26 (glosa 'crédito 0141').</t>
  </si>
  <si>
    <t xml:space="preserve">BC-5867</t>
  </si>
  <si>
    <t xml:space="preserve">BANCOLOMBIA</t>
  </si>
  <si>
    <t xml:space="preserve">1260105867</t>
  </si>
  <si>
    <t xml:space="preserve">Capital anual $1.666,7 MM; coincide con el certificado (capital vigente $3.333.333.334).</t>
  </si>
  <si>
    <t xml:space="preserve">362095</t>
  </si>
  <si>
    <t xml:space="preserve">LEASING BANCOLOMBIA S.A.</t>
  </si>
  <si>
    <t xml:space="preserve">ERROR: el periodo 5 (14-jun-26) aumenta el saldo en $48,8 MM (capital negativo) y la última cuota deja saldo negativo. El detalle 62 usa el saldo de dic-25 ($497,2 MM) sin actualizar.</t>
  </si>
  <si>
    <t xml:space="preserve">336817</t>
  </si>
  <si>
    <t xml:space="preserve">Tabla a tasa fija; detalle 62 = saldo de la tabla. Sin extracto 2026.</t>
  </si>
  <si>
    <t xml:space="preserve">331330</t>
  </si>
  <si>
    <t xml:space="preserve">Tabla con amortización de capital constante $14.586.381, pero desde feb-26 se paga $17.114.382 (mayor): la tabla no refleja los pagos reales.</t>
  </si>
  <si>
    <t xml:space="preserve">DYP-482800190700</t>
  </si>
  <si>
    <t xml:space="preserve">DD-0709</t>
  </si>
  <si>
    <t xml:space="preserve">DAVIVIENDA DYPSIS</t>
  </si>
  <si>
    <t xml:space="preserve">7000482800190700</t>
  </si>
  <si>
    <t xml:space="preserve">Crédito Davivienda DYPSIS $72.300 MM (30-may-25 a 28-may-27) incluido en el archivo de tablas pero NO registrado en el mayor de Guaicaramo. Confirmar titular, vinculación y garantías otorgadas.</t>
  </si>
  <si>
    <t xml:space="preserve">DAV-L1013934</t>
  </si>
  <si>
    <t xml:space="preserve">3934</t>
  </si>
  <si>
    <t xml:space="preserve">BANCO DAVIVIENDA INPARME</t>
  </si>
  <si>
    <t xml:space="preserve">30001013934-6</t>
  </si>
  <si>
    <t xml:space="preserve">Contrato INPARME terminado; sin saldo en el mayor 2026.</t>
  </si>
  <si>
    <t xml:space="preserve">TOTAL (obligaciones en el mayor)</t>
  </si>
  <si>
    <t xml:space="preserve">Conclusiones de la revisión de tablas</t>
  </si>
  <si>
    <t xml:space="preserve">1. Los saldos del detalle 62 se toman de estas tablas teóricas (tasa fija / IBR-DTF proyectado), no de los extractos: en leasings la diferencia con el banco proviene de la tasa variable efectivamente cobrada.</t>
  </si>
  <si>
    <t xml:space="preserve">2. El recálculo aritmético (columna Y) valida la consistencia interna de cada tabla (saldo inicial + interés − pago = saldo final). Las diferencias materiales indican fórmulas alteradas o filas pegadas como valor.</t>
  </si>
  <si>
    <t xml:space="preserve">3. Las tablas de créditos Davivienda tienen la columna de costo amortizado mal formulada (resta intereses del saldo): no deben usarse para medir el pasivo bajo NIIF 9 (B5.4.1).</t>
  </si>
  <si>
    <t xml:space="preserve">4. Faltan tablas para: leasing Bancolombia 386735, leasing GECOLSA (Davivienda), BBVA renovado (0141) y el crédito Bogotá 1159383796 ('Hoja2' es una copia del crédito anterior).</t>
  </si>
  <si>
    <t xml:space="preserve">5. El archivo incluye el crédito Davivienda DYPSIS ($72.300 MM) que no está en el mayor de Guaicaramo: confirmar titular y garantías (NIC 24, NIIF 9 §2.1(e) garantías financieras, NIC 37).</t>
  </si>
  <si>
    <t xml:space="preserve">Intereses pagados directamente al gasto (obligaciones sin causación en 2130) – según glosa del comprobante</t>
  </si>
  <si>
    <t xml:space="preserve">Fuente: descripción de los comprobantes CL del Mayor_Mov. Aplica a obligaciones de pago mensual que el cliente no causa en 2130.</t>
  </si>
  <si>
    <t xml:space="preserve">Interés según glosa</t>
  </si>
  <si>
    <t xml:space="preserve">¿Dato?</t>
  </si>
  <si>
    <t xml:space="preserve">Sí</t>
  </si>
  <si>
    <t xml:space="preserve">Sin dato</t>
  </si>
  <si>
    <t xml:space="preserve">Intereses por obligación 2026 – causación (2130), pagos, gasto y recálculo al corte</t>
  </si>
  <si>
    <t xml:space="preserve">Saldo 2130 por obligación = detalle 31-dic-25 + causaciones 2026 − reversiones 2026. Gasto 2026 = causaciones 2130 + intereses pagados directo al gasto (Int_Glosas).</t>
  </si>
  <si>
    <t xml:space="preserve">2130 al 31-dic-25</t>
  </si>
  <si>
    <t xml:space="preserve">Causaciones 2026 (Cr 2130)</t>
  </si>
  <si>
    <t xml:space="preserve">Reversiones 2026 (Db 2130)</t>
  </si>
  <si>
    <t xml:space="preserve">2130 al 31-jul-26 por obligación</t>
  </si>
  <si>
    <t xml:space="preserve">Pagado directo a gasto (glosas)</t>
  </si>
  <si>
    <t xml:space="preserve">Cuotas sin dato</t>
  </si>
  <si>
    <t xml:space="preserve">Gasto intereses 2026 registrado</t>
  </si>
  <si>
    <t xml:space="preserve">Interés según tabla ene–jul 26</t>
  </si>
  <si>
    <t xml:space="preserve">Causación recalculada 31-jul</t>
  </si>
  <si>
    <t xml:space="preserve">Causación no registrada</t>
  </si>
  <si>
    <t xml:space="preserve">Cancelado ene-26: causación de 2025 reversada con el pago.</t>
  </si>
  <si>
    <t xml:space="preserve">Sin tabla ni extracto: intereses no identificados en 2026 (PEND-12).</t>
  </si>
  <si>
    <t xml:space="preserve">Paga mensual; el cliente no causa entre cuotas.</t>
  </si>
  <si>
    <t xml:space="preserve">Sin causación de julio tras la renovación (PEND-3).</t>
  </si>
  <si>
    <t xml:space="preserve">Balance 2130 (signo +)</t>
  </si>
  <si>
    <t xml:space="preserve">B. Cruce de cuentas de intereses del balance contra la suma por obligación</t>
  </si>
  <si>
    <t xml:space="preserve">Saldo / movimiento balance</t>
  </si>
  <si>
    <t xml:space="preserve">Intereses financieros por pagar O.F. (SF)</t>
  </si>
  <si>
    <t xml:space="preserve">Intereses leasing por pagar (SF)</t>
  </si>
  <si>
    <t xml:space="preserve">Intereses sobre préstamos causados (SF)</t>
  </si>
  <si>
    <t xml:space="preserve">El saldo debe igualar los intereses por pagar de créditos.</t>
  </si>
  <si>
    <t xml:space="preserve">Intereses leasing causados (SF)</t>
  </si>
  <si>
    <t xml:space="preserve">Intereses préstamos efectivamente pagados (débitos)</t>
  </si>
  <si>
    <t xml:space="preserve">Débitos = reversiones de 2130 + intereses pagados directo. La diferencia corresponde a pagos sin dato en glosa u otros intereses.</t>
  </si>
  <si>
    <t xml:space="preserve">Intereses leasing efectivamente pagados (débitos)</t>
  </si>
  <si>
    <t xml:space="preserve">Ídem para leasing.</t>
  </si>
  <si>
    <t xml:space="preserve">Gasto de intereses neto ene–jul (10+20+30+40)</t>
  </si>
  <si>
    <t xml:space="preserve">Gasto registrado vs suma por obligación (causaciones + pagos directos).</t>
  </si>
  <si>
    <t xml:space="preserve">Prueba analítica sustantiva – gasto por intereses ene–jul 2026</t>
  </si>
  <si>
    <t xml:space="preserve">Expectativa = deuda promedio × ((1 + tasa promedio ponderada)^(días/365) − 1).</t>
  </si>
  <si>
    <t xml:space="preserve">Fuente / comentario</t>
  </si>
  <si>
    <t xml:space="preserve">Deuda financiera 1-ene-26 (2105 sin TC + 2120)</t>
  </si>
  <si>
    <t xml:space="preserve">Balance de prueba.</t>
  </si>
  <si>
    <t xml:space="preserve">Deuda financiera 31-jul-26 (2105 sin TC + 2120)</t>
  </si>
  <si>
    <t xml:space="preserve">Deuda promedio simple</t>
  </si>
  <si>
    <t xml:space="preserve">Tasa EA promedio ponderada (detalle 62, tasas del cliente)</t>
  </si>
  <si>
    <t xml:space="preserve">Detalle_62.</t>
  </si>
  <si>
    <t xml:space="preserve">Días del periodo (1-ene a 31-jul-26)</t>
  </si>
  <si>
    <t xml:space="preserve">Gasto de intereses esperado</t>
  </si>
  <si>
    <t xml:space="preserve">Intereses leasing pagados (53052010)</t>
  </si>
  <si>
    <t xml:space="preserve">Intereses préstamos pagados (53052020)</t>
  </si>
  <si>
    <t xml:space="preserve">Intereses préstamos causados (53052030)</t>
  </si>
  <si>
    <t xml:space="preserve">Intereses leasing causados (53052040)</t>
  </si>
  <si>
    <t xml:space="preserve">Gasto de intereses registrado</t>
  </si>
  <si>
    <t xml:space="preserve">Excluye mora (53052002) y sobregiros (53052001).</t>
  </si>
  <si>
    <t xml:space="preserve">Causación no registrada al 31-jul (Recalculo_Intereses Parte 2)</t>
  </si>
  <si>
    <t xml:space="preserve">Gasto de intereses ajustado</t>
  </si>
  <si>
    <t xml:space="preserve">Diferencia ajustado − esperado</t>
  </si>
  <si>
    <t xml:space="preserve">% diferencia</t>
  </si>
  <si>
    <t xml:space="preserve">Umbral de expectativa (±)</t>
  </si>
  <si>
    <t xml:space="preserve">Supuesto de auditoría: ±10% para una prueba analítica de precisión moderada (tasas variables IBR/DTF).</t>
  </si>
  <si>
    <t xml:space="preserve">Intereses de mora registrados (53052002)</t>
  </si>
  <si>
    <t xml:space="preserve">Incluye $54.242 Banco Popular (CL-411).</t>
  </si>
  <si>
    <t xml:space="preserve">Clasificación corriente / no corriente (NIC 1 párr. 69–76) – por obligación con tablas de amortización</t>
  </si>
  <si>
    <t xml:space="preserve">CP auditoría = saldo total si vence ≤ 31-jul-27; si no, capital de los próximos 12 meses según la tabla (papel 64), acotado al saldo del mayor. Sin tabla: se mantiene la clasificación contable.</t>
  </si>
  <si>
    <t xml:space="preserve">CP auditoría (tablas / vencimiento)</t>
  </si>
  <si>
    <t xml:space="preserve">CP detalle 62 corregido</t>
  </si>
  <si>
    <t xml:space="preserve">Cuenta CP mayor</t>
  </si>
  <si>
    <t xml:space="preserve">Cuenta LP mayor</t>
  </si>
  <si>
    <t xml:space="preserve">Saldo total mayor</t>
  </si>
  <si>
    <t xml:space="preserve">Las cuentas CP/LP del mayor se asignan por origen del crédito, no por vencimiento.</t>
  </si>
  <si>
    <t xml:space="preserve">Leasings</t>
  </si>
  <si>
    <t xml:space="preserve">Incluye 386735 y GECOLSA sin tabla (se mantiene su clasificación contable).</t>
  </si>
  <si>
    <t xml:space="preserve">Reclasificación propuesta LP → CP (CP auditoría − cuenta CP del mayor)</t>
  </si>
  <si>
    <t xml:space="preserve">Reclasificación</t>
  </si>
  <si>
    <t xml:space="preserve">Créditos: 21050201 → 21050100</t>
  </si>
  <si>
    <t xml:space="preserve">Leasing: 21202140 → 21202040</t>
  </si>
  <si>
    <t xml:space="preserve">Negativo = el mayor tiene más corto plazo que el calculado (reclasificar CP → LP).</t>
  </si>
  <si>
    <t xml:space="preserve">Tarjetas de crédito: agrupadas en 210502 (LP) → presentar como corriente</t>
  </si>
  <si>
    <t xml:space="preserve">Porción corriente por obligación</t>
  </si>
  <si>
    <t xml:space="preserve">Vencimiento final</t>
  </si>
  <si>
    <t xml:space="preserve">CP registrado (sin tabla)</t>
  </si>
  <si>
    <t xml:space="preserve">CP auditoría</t>
  </si>
  <si>
    <t xml:space="preserve">CP auditoría − detalle</t>
  </si>
  <si>
    <t xml:space="preserve">Criterio</t>
  </si>
  <si>
    <t xml:space="preserve">Errores de clasificación en el detalle 62</t>
  </si>
  <si>
    <t xml:space="preserve">Saldo</t>
  </si>
  <si>
    <t xml:space="preserve">CP cliente</t>
  </si>
  <si>
    <t xml:space="preserve">LP cliente</t>
  </si>
  <si>
    <t xml:space="preserve">CP+LP − saldo</t>
  </si>
  <si>
    <t xml:space="preserve">Error</t>
  </si>
  <si>
    <t xml:space="preserve">CP + LP no suma el saldo (LP posiblemente copiado de otra fila).</t>
  </si>
  <si>
    <t xml:space="preserve">CP mayor que el saldo y LP negativo.</t>
  </si>
  <si>
    <t xml:space="preserve">Hallazgos, referencias NIIF y ajustes propuestos</t>
  </si>
  <si>
    <t xml:space="preserve">Montos vinculados a las hojas de trabajo. Ajustes sujetos a la materialidad del encargo (no informada).</t>
  </si>
  <si>
    <t xml:space="preserve">Afirmación</t>
  </si>
  <si>
    <t xml:space="preserve">Hallazgo</t>
  </si>
  <si>
    <t xml:space="preserve">Monto (COP)</t>
  </si>
  <si>
    <t xml:space="preserve">Referencia normativa</t>
  </si>
  <si>
    <t xml:space="preserve">Recomendación / acción</t>
  </si>
  <si>
    <t xml:space="preserve">El leasing Bancolombia 386735 (camión VW Constellation, IBR TV + 1,35) se registró en el mayor el 28-jul-26 (NB-00001014) pero NO está en el detalle 62 del cliente.</t>
  </si>
  <si>
    <t xml:space="preserve">NIIF 16 p.26; NIC 1 p.15</t>
  </si>
  <si>
    <t xml:space="preserve">Incluir el contrato en el detalle 62 con su tabla de amortización; solicitar contrato y certificado.</t>
  </si>
  <si>
    <t xml:space="preserve">Concluido</t>
  </si>
  <si>
    <t xml:space="preserve">Exactitud / Integridad</t>
  </si>
  <si>
    <t xml:space="preserve">Diferencia de capital de leasing entre el mayor (2120) y el detalle 62, explicada obligación por obligación (Saldos_x_Obligacion): 386735 y GECOLSA omitidos; Bogotá, Davivienda y Bancolombia con saldos de tablas teóricas en el detalle.</t>
  </si>
  <si>
    <t xml:space="preserve">NIIF 16 p.36; NIC 1 p.15</t>
  </si>
  <si>
    <t xml:space="preserve">Actualizar el detalle 62 con los saldos del banco y conciliar mensualmente por contrato.</t>
  </si>
  <si>
    <t xml:space="preserve">Pendiente de soporte (PEND-1, PEND-2, PEND-12)</t>
  </si>
  <si>
    <t xml:space="preserve">Exactitud</t>
  </si>
  <si>
    <t xml:space="preserve">Leasings Bancolombia: el detalle 62 difiere del saldo estimado del banco (362095 conserva el saldo de dic-25; la tabla 331330 no refleja la cuota real pagada).</t>
  </si>
  <si>
    <t xml:space="preserve">NIIF 16 p.36</t>
  </si>
  <si>
    <t xml:space="preserve">Obtener certificados Bancolombia al 31-jul-26 y actualizar tablas.</t>
  </si>
  <si>
    <t xml:space="preserve">Pendiente de soporte (PEND-2)</t>
  </si>
  <si>
    <t xml:space="preserve">Leasings Banco de Bogotá (pozos 1–5 y planta Jenbacher): el detalle 62 está por debajo del saldo certificado tras el canon de julio (p.ej. pozos 3 y 4 −$57 MM c/u).</t>
  </si>
  <si>
    <t xml:space="preserve">Actualizar el detalle 62 con los saldos certificados.</t>
  </si>
  <si>
    <t xml:space="preserve">Corte / Valuación</t>
  </si>
  <si>
    <t xml:space="preserve">Intereses causados al 31-jul-26 no registrados: el cliente causa cifras fijas hasta ~el día 24 y no causa en obligaciones de pago mensual (453436746, BBVA, leasings mensuales) ni en el periodo posterior al último pago.</t>
  </si>
  <si>
    <t xml:space="preserve">NIC 1 p.27-28 (base de acumulación); NIIF 9 p.5.4.1 y B5.4 (método del interés efectivo)</t>
  </si>
  <si>
    <t xml:space="preserve">Registrar AJE-1; implementar causación diaria con tabla de amortización por obligación.</t>
  </si>
  <si>
    <t xml:space="preserve">Pendiente de soporte (PEND-3, PEND-5, PEND-10)</t>
  </si>
  <si>
    <t xml:space="preserve">Davivienda 607691 y 569032: la tasa 'cobrada' informada (12,58% EA) no reconcilia con los intereses facturados (tasa implícita ~14,4% EA). El detalle 62 usa 16,02% EA.</t>
  </si>
  <si>
    <t xml:space="preserve">NIIF 9 p.B5.4.5 (tasas variables); NIIF 7 p.39</t>
  </si>
  <si>
    <t xml:space="preserve">Solicitar a Davivienda la liquidación detallada (IBR aplicado y spread).</t>
  </si>
  <si>
    <t xml:space="preserve">Pendiente de soporte (PEND-6)</t>
  </si>
  <si>
    <t xml:space="preserve">Exactitud (detalle)</t>
  </si>
  <si>
    <t xml:space="preserve">Tasas EA del detalle 62 calculadas con periodicidad distinta a la declarada (BBVA, Bancolombia 1260105867 y 362095) y tasas del detalle distintas a las certificadas (p.ej. 453436746: 17,52% vs 16,96%; 856670629: 15,83% vs 14,94%).</t>
  </si>
  <si>
    <t xml:space="preserve">Cualitativo</t>
  </si>
  <si>
    <t xml:space="preserve">NIIF 7 p.33-40 (riesgo de tasa)</t>
  </si>
  <si>
    <t xml:space="preserve">Usar la tasa certificada por el banco y la periodicidad contractual.</t>
  </si>
  <si>
    <t xml:space="preserve">Presentación</t>
  </si>
  <si>
    <t xml:space="preserve">Clasificación CP/LP: el detalle 62 tiene errores (Banco Popular CP $575 MM &gt; saldo $287,5 MM y LP negativo; Pozo #2 CP + LP ≠ saldo) y las cuentas CP/LP del mayor no reflejan vencimientos a 12 meses.</t>
  </si>
  <si>
    <t xml:space="preserve">NIC 1 p.69-76</t>
  </si>
  <si>
    <t xml:space="preserve">Reclasificar la porción corriente (AJE-2) calculada con tablas y vencimientos; corregir el detalle 62.</t>
  </si>
  <si>
    <t xml:space="preserve">Pendiente de soporte (PEND-8)</t>
  </si>
  <si>
    <t xml:space="preserve">Las tarjetas de crédito por pagar (21050301) están agrupadas dentro de 'Obligaciones financieras a largo plazo' (210502).</t>
  </si>
  <si>
    <t xml:space="preserve">NIC 1 p.69</t>
  </si>
  <si>
    <t xml:space="preserve">Presentar como pasivo corriente.</t>
  </si>
  <si>
    <t xml:space="preserve">Abonos a capital aplicados por Davivienda por excedentes de pago (127,57 + 269,47 + 627,79 + 617,95 + 786,80) no registrados: el cliente lleva todo el pago a intereses.</t>
  </si>
  <si>
    <t xml:space="preserve">NIIF 9 p.3.3.1</t>
  </si>
  <si>
    <t xml:space="preserve">Inmaterial; registrar en el siguiente pago.</t>
  </si>
  <si>
    <t xml:space="preserve">Ocurrencia / Exactitud</t>
  </si>
  <si>
    <t xml:space="preserve">Leasing Davivienda 1019441: el banco reporta el canon 032 (11-jun) pagado por $1.029.562, sólo intereses; la contabilidad registró capital $11.973.677 (CL-416).</t>
  </si>
  <si>
    <t xml:space="preserve">Obtener el estado de cuenta del contrato y verificar la aplicación del pago.</t>
  </si>
  <si>
    <t xml:space="preserve">Pendiente de soporte (PEND-7)</t>
  </si>
  <si>
    <t xml:space="preserve">Control interno</t>
  </si>
  <si>
    <t xml:space="preserve">Partidas ajenas registradas en cuentas de obligaciones financieras: comisiones Valley Trading en 21202040 y cruce de anticipo de calderas (NI-4731) en 21202140 (netas cero).</t>
  </si>
  <si>
    <t xml:space="preserve">NIC 1 p.32 (no compensar)</t>
  </si>
  <si>
    <t xml:space="preserve">Restringir el uso de las cuentas 2120 a contratos de leasing con tercero y número de contrato.</t>
  </si>
  <si>
    <t xml:space="preserve">Integridad / Confirmación</t>
  </si>
  <si>
    <t xml:space="preserve">Obligaciones sin certificado ni extracto en el PDF: BBVA ($4.700 MM), Banco Popular, Bogotá 1159383796 (nuevo crédito) y leasings Bancolombia.</t>
  </si>
  <si>
    <t xml:space="preserve">NIA 505</t>
  </si>
  <si>
    <t xml:space="preserve">Enviar confirmaciones bancarias.</t>
  </si>
  <si>
    <t xml:space="preserve">Pendiente de soporte (PEND-1 a PEND-5)</t>
  </si>
  <si>
    <t xml:space="preserve">Vencimientos del detalle 62 distintos a los certificados: pozos 3 y 4 (abr-2028 vs 27-jul-2028), pozos 1 y 2 (20-ene vs 23-ene-2030), Bancolombia 1260105867 (21 vs 22-abr-2028).</t>
  </si>
  <si>
    <t xml:space="preserve">NIIF 7 p.39 (análisis de vencimientos)</t>
  </si>
  <si>
    <t xml:space="preserve">Corregir; afecta la clasificación CP/LP y la revelación de liquidez.</t>
  </si>
  <si>
    <t xml:space="preserve">Valuación / Revelación</t>
  </si>
  <si>
    <t xml:space="preserve">Renovaciones y refinanciaciones (BBVA 30-jun; Bogotá 1155297469 → 1159383796 el 29-jul; Davivienda 8906 pagado con el crédito Bogotá 1155297469): se registraron a la par sin costos de transacción.</t>
  </si>
  <si>
    <t xml:space="preserve">NIIF 9 p.3.3.2 y B3.3.6 (prueba del 10%)</t>
  </si>
  <si>
    <t xml:space="preserve">Documentar la prueba del 10% (modificación sustancial) y los costos de transacción, si los hubo.</t>
  </si>
  <si>
    <t xml:space="preserve">Pendiente de soporte (PEND-11)</t>
  </si>
  <si>
    <t xml:space="preserve">Causación no sistemática de intereses de leasing (p.ej. pozos 3 y 4: feb–mar $480.943 vs abr $8,6 MM) y glosas con valores errados (CL-393, NI-4397) o números de crédito errados (BBVA 252059 vs 0141; '12660105867').</t>
  </si>
  <si>
    <t xml:space="preserve">NIC 8 p.41; NIC 1 p.27</t>
  </si>
  <si>
    <t xml:space="preserve">Usar tablas de amortización por obligación; revisar las glosas.</t>
  </si>
  <si>
    <t xml:space="preserve">Mayor vs balance: los débitos, créditos y saldos de las cuentas 21 del movimiento cuadran con los dos balances de prueba (24-ago y 29-sep), que son idénticos.</t>
  </si>
  <si>
    <t xml:space="preserve">—</t>
  </si>
  <si>
    <t xml:space="preserve">Sin excepción.</t>
  </si>
  <si>
    <t xml:space="preserve">Leasing Davivienda GECOLSA (2 motogeneradores, registrado jul-25 en 21202140) incluido en el mayor pero omitido en el detalle 62 y en la validación del PT 2025; sin tabla ni extracto.</t>
  </si>
  <si>
    <t xml:space="preserve">NIIF 16 p.26 y 47; NIA 505</t>
  </si>
  <si>
    <t xml:space="preserve">Obtener contrato, tabla y certificado; incluirlo en el detalle 62.</t>
  </si>
  <si>
    <t xml:space="preserve">Pendiente de soporte (PEND-12)</t>
  </si>
  <si>
    <t xml:space="preserve">Valuación</t>
  </si>
  <si>
    <t xml:space="preserve">Las tablas de leasing del cliente son teóricas (tasa fija / índice proyectado) y no se remiden cuando cambian IBR/DTF: el saldo de la tabla difiere del saldo bancario.</t>
  </si>
  <si>
    <t xml:space="preserve">NIIF 16 p.36, 42(b) y 43 (nueva medición por cambio en índice o tasa)</t>
  </si>
  <si>
    <t xml:space="preserve">Remedir el pasivo con la tasa vigente o usar el saldo bancario; actualizar tablas cada periodo.</t>
  </si>
  <si>
    <t xml:space="preserve">Exactitud (tabla)</t>
  </si>
  <si>
    <t xml:space="preserve">Tabla Bancolombia 362095 con error: el periodo 5 (14-jun-26) aumenta el saldo (capital negativo) y la última cuota deja saldo negativo.</t>
  </si>
  <si>
    <t xml:space="preserve">Corregir la tabla con el plan de pagos del banco.</t>
  </si>
  <si>
    <t xml:space="preserve">Pendiente de soporte (PEND-14)</t>
  </si>
  <si>
    <t xml:space="preserve">La tabla 'Hoja2' del crédito Bogotá 1159383796 es copia de la del 1155297469 (fechas feb–jul 2026 y saldo cero al 14-jul): no representa el crédito vigente.</t>
  </si>
  <si>
    <t xml:space="preserve">NIIF 9 B5.4</t>
  </si>
  <si>
    <t xml:space="preserve">Elaborar la tabla del crédito nuevo (22-jul-26 a 22-ene-27).</t>
  </si>
  <si>
    <t xml:space="preserve">Pendiente de soporte (PEND-5, PEND-14)</t>
  </si>
  <si>
    <t xml:space="preserve">Valuación (tabla)</t>
  </si>
  <si>
    <t xml:space="preserve">Columna 'medición al costo' (costo amortizado) de las tablas de créditos Davivienda mal formulada: resta los intereses del saldo (830624: costo amortizado &lt; capital).</t>
  </si>
  <si>
    <t xml:space="preserve">NIIF 9 p.4.2.1, 5.4.1 y B5.4.1</t>
  </si>
  <si>
    <t xml:space="preserve">Corregir la fórmula; no usar esa columna para medir el pasivo.</t>
  </si>
  <si>
    <t xml:space="preserve">El archivo de tablas incluye el crédito Davivienda DYPSIS 7000482800190700 por $72.300 MM (may-25 a may-27) que no está en el mayor de Guaicaramo.</t>
  </si>
  <si>
    <t xml:space="preserve">NIC 24; NIIF 9 §2.1(e) y B2.5 (garantías financieras); NIC 37 p.86</t>
  </si>
  <si>
    <t xml:space="preserve">Confirmar titular, vinculación y si Guaicaramo es garante/codeudor; revelar si aplica.</t>
  </si>
  <si>
    <t xml:space="preserve">Pendiente de soporte (PEND-13)</t>
  </si>
  <si>
    <t xml:space="preserve">Integridad (tablas)</t>
  </si>
  <si>
    <t xml:space="preserve">Faltan tablas de amortización para: leasing Bancolombia 386735, leasing GECOLSA, BBVA renovado (0141) y crédito Bogotá 1159383796.</t>
  </si>
  <si>
    <t xml:space="preserve">NIIF 7 p.39; NIC 1 p.69</t>
  </si>
  <si>
    <t xml:space="preserve">Solicitar las tablas o planes de pago bancarios.</t>
  </si>
  <si>
    <t xml:space="preserve">Ajustes propuestos (AJE)</t>
  </si>
  <si>
    <t xml:space="preserve">AJE-1</t>
  </si>
  <si>
    <t xml:space="preserve">Intereses sobre préstamos causados</t>
  </si>
  <si>
    <t xml:space="preserve">Causación de intereses de créditos al 31-jul-26</t>
  </si>
  <si>
    <t xml:space="preserve">Intereses financieros por pagar O.F.</t>
  </si>
  <si>
    <t xml:space="preserve">Intereses leasing causados</t>
  </si>
  <si>
    <t xml:space="preserve">Causación de intereses de leasing al 31-jul-26</t>
  </si>
  <si>
    <t xml:space="preserve">Intereses leasing por pagar</t>
  </si>
  <si>
    <t xml:space="preserve">AJE-2</t>
  </si>
  <si>
    <t xml:space="preserve">Obligación financiera LP</t>
  </si>
  <si>
    <t xml:space="preserve">Reclasificación de la porción corriente (presentación)</t>
  </si>
  <si>
    <t xml:space="preserve">Obligación financiera CP</t>
  </si>
  <si>
    <t xml:space="preserve">Leasing LP</t>
  </si>
  <si>
    <t xml:space="preserve">Leasing CP</t>
  </si>
  <si>
    <t xml:space="preserve">Sumas iguales</t>
  </si>
  <si>
    <t xml:space="preserve">AJE-2 se calcula con tablas de amortización y vencimientos (Clasif_CP_LP); para 386735 y GECOLSA (sin tabla) se mantiene la clasificación contable. El mayor de leasing cuadra con el banco en Bogotá; en Davivienda/Bancolombia se usa el extracto de dic-25 (estimado).</t>
  </si>
  <si>
    <t xml:space="preserve">Pendientes de soporte – el papel se emite sin esta información</t>
  </si>
  <si>
    <t xml:space="preserve">Las cifras afectadas se dejan calculadas con la información disponible y supuestos documentados; se actualizarán al recibir el soporte.</t>
  </si>
  <si>
    <t xml:space="preserve">Ref.</t>
  </si>
  <si>
    <t xml:space="preserve">Pendiente / información requerida</t>
  </si>
  <si>
    <t xml:space="preserve">Obligación (ID)</t>
  </si>
  <si>
    <t xml:space="preserve">Monto afectado (COP)</t>
  </si>
  <si>
    <t xml:space="preserve">Hallazgo relacionado</t>
  </si>
  <si>
    <t xml:space="preserve">Solicitar a</t>
  </si>
  <si>
    <t xml:space="preserve">Tratamiento provisional en este papel</t>
  </si>
  <si>
    <t xml:space="preserve">PEND-1</t>
  </si>
  <si>
    <t xml:space="preserve">Certificados de saldo de capital al 31-jul-26 de los leasings Davivienda 1019441-2, 1019448-3 y 1021275-3 (los extractos sólo traen la factura del canon).</t>
  </si>
  <si>
    <t xml:space="preserve">DAV-L1019441 / L1019448 / L1021275</t>
  </si>
  <si>
    <t xml:space="preserve">2, 3, 13</t>
  </si>
  <si>
    <t xml:space="preserve">Parcial – estimado con extracto dic-25</t>
  </si>
  <si>
    <t xml:space="preserve">Saldo banco estimado = extracto 31-dic-25 (PT 2025) + movimientos 2026 [E] (Saldos_x_Obligacion). Facturas LEASING_1275-3/9441-2/9448-3_DAVIVIENDA.pdf recibidas sin saldo de capital.</t>
  </si>
  <si>
    <t xml:space="preserve">PEND-2</t>
  </si>
  <si>
    <t xml:space="preserve">Certificados de saldo de los leasings Bancolombia 362095, 336817, 331330 y contrato + tabla de amortización del nuevo leasing 386735.</t>
  </si>
  <si>
    <t xml:space="preserve">BCL-L362095 / L336817 / L331330 / L386735</t>
  </si>
  <si>
    <t xml:space="preserve">1, 2, 3, 13</t>
  </si>
  <si>
    <t xml:space="preserve">Saldo banco estimado con extracto dic-25 (PT 2025) [E]; 386735 se toma del mayor (NB-1014). La diferencia mayor vs detalle quedó explicada por obligación.</t>
  </si>
  <si>
    <t xml:space="preserve">PEND-3</t>
  </si>
  <si>
    <t xml:space="preserve">Confirmación BBVA del crédito renovado 30-jun-26 ($4.700 MM): número de obligación, tasa y si el interés de julio se pagó (y a qué cuenta se llevó).</t>
  </si>
  <si>
    <t xml:space="preserve">5, 13</t>
  </si>
  <si>
    <t xml:space="preserve">BBVA / cliente</t>
  </si>
  <si>
    <t xml:space="preserve">Pendiente</t>
  </si>
  <si>
    <t xml:space="preserve">Se incluye en AJE-1 la causación estimada de julio; se retira si se demuestra el pago en 53052020.</t>
  </si>
  <si>
    <t xml:space="preserve">PEND-4</t>
  </si>
  <si>
    <t xml:space="preserve">Confirmación Banco Popular del crédito 631309940-2 (saldo, tasa, fechas de cuota).</t>
  </si>
  <si>
    <t xml:space="preserve">13</t>
  </si>
  <si>
    <t xml:space="preserve">Saldo del detalle 62; inicio de causación estimado 17-jun.</t>
  </si>
  <si>
    <t xml:space="preserve">PEND-5</t>
  </si>
  <si>
    <t xml:space="preserve">Certificado del nuevo crédito Bogotá 1159383796 (prórroga del 1155297469): fecha de inicio, tasa y si hubo intereses entre el 14 y el 22-jul.</t>
  </si>
  <si>
    <t xml:space="preserve">Inicio estimado 22-jul con tasa del detalle 62 (IBR 3M + 0,8).</t>
  </si>
  <si>
    <t xml:space="preserve">PEND-6</t>
  </si>
  <si>
    <t xml:space="preserve">Liquidación detallada Davivienda créditos 607691 y 569032 (IBR aplicado y spread): la tasa declarada 12,58% EA no reconcilia con lo facturado.</t>
  </si>
  <si>
    <t xml:space="preserve">DAV-607691 / DAV-569032</t>
  </si>
  <si>
    <t xml:space="preserve">Se acepta lo facturado (coincide con lo contabilizado); diferencia de tasa queda abierta.</t>
  </si>
  <si>
    <t xml:space="preserve">PEND-7</t>
  </si>
  <si>
    <t xml:space="preserve">Estado de cuenta del leasing Davivienda 1019441: aplicación del pago del canon 032 (banco: sólo intereses $1.029.562; contabilidad: capital $11.973.677).</t>
  </si>
  <si>
    <t xml:space="preserve">11</t>
  </si>
  <si>
    <t xml:space="preserve">Cliente</t>
  </si>
  <si>
    <t xml:space="preserve">Parcial – banco reconfirma</t>
  </si>
  <si>
    <t xml:space="preserve">Sin ajuste hasta verificar. LEASING_9441-2_DAVIVIENDA.pdf reconfirma el lado del banco; falta la explicación del cliente del registro CL-416.</t>
  </si>
  <si>
    <t xml:space="preserve">PEND-8</t>
  </si>
  <si>
    <t xml:space="preserve">Tablas de amortización por obligación para determinar la porción corriente a 12 meses (NIC 1.69).</t>
  </si>
  <si>
    <t xml:space="preserve">Todas</t>
  </si>
  <si>
    <t xml:space="preserve">8, 24</t>
  </si>
  <si>
    <t xml:space="preserve">Parcial – tablas recibidas</t>
  </si>
  <si>
    <t xml:space="preserve">Tablas recibidas (papel 64): CP calculado por obligación en Clasif_CP_LP. Faltan tablas de 386735, GECOLSA, BBVA 0141 y 1159383796.</t>
  </si>
  <si>
    <t xml:space="preserve">PEND-9</t>
  </si>
  <si>
    <t xml:space="preserve">Materialidad del encargo (global, de ejecución y umbral de errores triviales).</t>
  </si>
  <si>
    <t xml:space="preserve">Todos</t>
  </si>
  <si>
    <t xml:space="preserve">Socio / gerente del encargo</t>
  </si>
  <si>
    <t xml:space="preserve">Umbral de redondeo $1.000 y tolerancia de recálculo 2% (hoja Resumen, celdas amarillas).</t>
  </si>
  <si>
    <t xml:space="preserve">PEND-10</t>
  </si>
  <si>
    <t xml:space="preserve">Fechas reales de último pago/canon de Banco Popular y leasings Bancolombia (362095, 336817, 331330) para la causación al corte.</t>
  </si>
  <si>
    <t xml:space="preserve">POP / BCL-L*</t>
  </si>
  <si>
    <t xml:space="preserve">Cliente / bancos</t>
  </si>
  <si>
    <t xml:space="preserve">Fechas estimadas (anotadas en Recalculo_Intereses Parte 2).</t>
  </si>
  <si>
    <t xml:space="preserve">PEND-11</t>
  </si>
  <si>
    <t xml:space="preserve">Documentación de la prueba del 10% (NIIF 9 B3.3.6) y costos de transacción de las renovaciones BBVA y Bogotá y de la refinanciación Davivienda 8906.</t>
  </si>
  <si>
    <t xml:space="preserve">BBVA-0141 / BOG-1159383796 / DAV-8906</t>
  </si>
  <si>
    <t xml:space="preserve">15</t>
  </si>
  <si>
    <t xml:space="preserve">Se asume modificación no sustancial a la par, sin costos.</t>
  </si>
  <si>
    <t xml:space="preserve">PEND-12</t>
  </si>
  <si>
    <t xml:space="preserve">Contrato, tabla de amortización y certificado del leasing Davivienda GECOLSA (2 motogeneradores) registrado en 21202140 y no incluido en el detalle 62.</t>
  </si>
  <si>
    <t xml:space="preserve">18</t>
  </si>
  <si>
    <t xml:space="preserve">Davivienda Leasing / cliente</t>
  </si>
  <si>
    <t xml:space="preserve">Se toma el saldo del mayor; sin intereses identificados en 2026.</t>
  </si>
  <si>
    <t xml:space="preserve">PEND-13</t>
  </si>
  <si>
    <t xml:space="preserve">Aclaración del crédito Davivienda DYPSIS 7000482800190700 ($72.300 MM) incluido en el archivo de tablas: titular, vinculación y garantías de Guaicaramo.</t>
  </si>
  <si>
    <t xml:space="preserve">23</t>
  </si>
  <si>
    <t xml:space="preserve">Cliente / Davivienda</t>
  </si>
  <si>
    <t xml:space="preserve">No se incluye en el pasivo de Guaicaramo; posible revelación (NIC 24 / garantías).</t>
  </si>
  <si>
    <t xml:space="preserve">PEND-14</t>
  </si>
  <si>
    <t xml:space="preserve">Tablas de amortización corregidas: 362095 (error en periodo 5), crédito 1159383796 (Hoja2 copiada) y columna de costo amortizado de créditos Davivienda.</t>
  </si>
  <si>
    <t xml:space="preserve">BCL-L362095 / BOG-1159383796 / DAV-*</t>
  </si>
  <si>
    <t xml:space="preserve">20, 21, 22</t>
  </si>
  <si>
    <t xml:space="preserve">Se usan los saldos del mayor y del banco; las tablas no se usan para medir.</t>
  </si>
  <si>
    <t xml:space="preserve">Pendientes abiertos</t>
  </si>
  <si>
    <t xml:space="preserve">Instrucción: al recibir un soporte suficiente, cambiar el Estado a 'Recibido' (se descuenta del contador), actualizar los datos de entrada (azul) en la hoja correspondiente y recalcular.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</si>
</sst>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00;\(#,##0.00\);\-"/>
    <numFmt numFmtId="167" formatCode="0.00%;\(0.00%\);\-"/>
    <numFmt numFmtId="168" formatCode="#,##0;\(#,##0\);\-"/>
    <numFmt numFmtId="169" formatCode="0.00000"/>
    <numFmt numFmtId="170" formatCode="0.000%"/>
    <numFmt numFmtId="171" formatCode="#,##0.0&quot; pb&quot;;\(#,##0.0&quot; pb)&quot;;\-"/>
    <numFmt numFmtId="172" formatCode="yyyy\-mm\-dd;;&quot;sin reversión&quot;"/>
    <numFmt numFmtId="173" formatCode="0.0000%"/>
    <numFmt numFmtId="174" formatCode="0.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08E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T_Obligaciones_Financieras_62_Jul2026.xlsx" TargetMode="External"/><Relationship Id="rId2" Type="http://schemas.openxmlformats.org/officeDocument/2006/relationships/hyperlink" Target="PT_Obligaciones_Financieras_62_Jul2026.xlsx" TargetMode="External"/><Relationship Id="rId3" Type="http://schemas.openxmlformats.org/officeDocument/2006/relationships/hyperlink" Target="PT_Obligaciones_Financieras_62_Jul2026.xlsx" TargetMode="External"/><Relationship Id="rId4" Type="http://schemas.openxmlformats.org/officeDocument/2006/relationships/hyperlink" Target="PT_Obligaciones_Financieras_62_Jul2026.xlsx" TargetMode="External"/><Relationship Id="rId5" Type="http://schemas.openxmlformats.org/officeDocument/2006/relationships/hyperlink" Target="PT_Obligaciones_Financieras_62_Jul2026.xlsx" TargetMode="External"/><Relationship Id="rId6" Type="http://schemas.openxmlformats.org/officeDocument/2006/relationships/hyperlink" Target="PT_Obligaciones_Financieras_62_Jul2026.xlsx" TargetMode="External"/><Relationship Id="rId7" Type="http://schemas.openxmlformats.org/officeDocument/2006/relationships/hyperlink" Target="PT_Obligaciones_Financieras_62_Jul2026.xlsx" TargetMode="External"/><Relationship Id="rId8" Type="http://schemas.openxmlformats.org/officeDocument/2006/relationships/hyperlink" Target="PT_Obligaciones_Financieras_62_Jul2026.xlsx" TargetMode="External"/><Relationship Id="rId9" Type="http://schemas.openxmlformats.org/officeDocument/2006/relationships/hyperlink" Target="PT_Obligaciones_Financieras_62_Jul2026.xlsx" TargetMode="External"/><Relationship Id="rId10" Type="http://schemas.openxmlformats.org/officeDocument/2006/relationships/hyperlink" Target="PT_Obligaciones_Financieras_62_Jul2026.xlsx" TargetMode="External"/><Relationship Id="rId11" Type="http://schemas.openxmlformats.org/officeDocument/2006/relationships/hyperlink" Target="PT_Obligaciones_Financieras_62_Jul2026.xlsx" TargetMode="External"/><Relationship Id="rId12" Type="http://schemas.openxmlformats.org/officeDocument/2006/relationships/hyperlink" Target="PT_Obligaciones_Financieras_62_Jul2026.xlsx" TargetMode="External"/><Relationship Id="rId13" Type="http://schemas.openxmlformats.org/officeDocument/2006/relationships/hyperlink" Target="PT_Obligaciones_Financieras_62_Jul2026.xlsx" TargetMode="External"/><Relationship Id="rId14" Type="http://schemas.openxmlformats.org/officeDocument/2006/relationships/hyperlink" Target="PT_Obligaciones_Financieras_62_Jul2026.xlsx" TargetMode="External"/><Relationship Id="rId15" Type="http://schemas.openxmlformats.org/officeDocument/2006/relationships/hyperlink" Target="PT_Obligaciones_Financieras_62_Jul2026.xlsx" TargetMode="External"/><Relationship Id="rId16" Type="http://schemas.openxmlformats.org/officeDocument/2006/relationships/hyperlink" Target="PT_Obligaciones_Financieras_62_Jul2026.xlsx" TargetMode="External"/><Relationship Id="rId17" Type="http://schemas.openxmlformats.org/officeDocument/2006/relationships/hyperlink" Target="PT_Obligaciones_Financieras_62_Jul2026.xlsx" TargetMode="External"/><Relationship Id="rId18" Type="http://schemas.openxmlformats.org/officeDocument/2006/relationships/hyperlink" Target="PT_Obligaciones_Financieras_62_Jul2026.xlsx" TargetMode="External"/><Relationship Id="rId19" Type="http://schemas.openxmlformats.org/officeDocument/2006/relationships/hyperlink" Target="PT_Obligaciones_Financieras_62_Jul2026.xlsx" TargetMode="External"/><Relationship Id="rId20" Type="http://schemas.openxmlformats.org/officeDocument/2006/relationships/hyperlink" Target="PT_Obligaciones_Financieras_62_Jul2026.xlsx" TargetMode="External"/><Relationship Id="rId21" Type="http://schemas.openxmlformats.org/officeDocument/2006/relationships/hyperlink" Target="PT_Obligaciones_Financieras_62_Jul2026.xlsx" TargetMode="External"/><Relationship Id="rId22" Type="http://schemas.openxmlformats.org/officeDocument/2006/relationships/hyperlink" Target="PT_Obligaciones_Financieras_62_Jul2026.xlsx" TargetMode="External"/><Relationship Id="rId23" Type="http://schemas.openxmlformats.org/officeDocument/2006/relationships/hyperlink" Target="PT_Obligaciones_Financieras_62_Jul2026.xlsx" TargetMode="External"/><Relationship Id="rId24" Type="http://schemas.openxmlformats.org/officeDocument/2006/relationships/hyperlink" Target="PT_Obligaciones_Financieras_62_Jul2026.xlsx" TargetMode="External"/><Relationship Id="rId25" Type="http://schemas.openxmlformats.org/officeDocument/2006/relationships/hyperlink" Target="PT_Obligaciones_Financieras_62_Jul2026.xlsx" TargetMode="External"/><Relationship Id="rId26" Type="http://schemas.openxmlformats.org/officeDocument/2006/relationships/hyperlink" Target="PT_Obligaciones_Financieras_62_Jul2026.xlsx" TargetMode="External"/><Relationship Id="rId27" Type="http://schemas.openxmlformats.org/officeDocument/2006/relationships/hyperlink" Target="PT_Obligaciones_Financieras_62_Jul2026.xlsx" TargetMode="External"/><Relationship Id="rId28" Type="http://schemas.openxmlformats.org/officeDocument/2006/relationships/hyperlink" Target="PT_Obligaciones_Financieras_62_Jul2026.xlsx" TargetMode="External"/><Relationship Id="rId29" Type="http://schemas.openxmlformats.org/officeDocument/2006/relationships/hyperlink" Target="PT_Obligaciones_Financieras_62_Jul2026.xlsx" TargetMode="External"/><Relationship Id="rId30" Type="http://schemas.openxmlformats.org/officeDocument/2006/relationships/hyperlink" Target="PT_Obligaciones_Financieras_62_Jul2026.xlsx" TargetMode="External"/><Relationship Id="rId31" Type="http://schemas.openxmlformats.org/officeDocument/2006/relationships/hyperlink" Target="PT_Obligaciones_Financieras_62_Jul2026.xlsx" TargetMode="External"/><Relationship Id="rId32" Type="http://schemas.openxmlformats.org/officeDocument/2006/relationships/hyperlink" Target="PT_Obligaciones_Financieras_62_Jul2026.xlsx" TargetMode="External"/><Relationship Id="rId33" Type="http://schemas.openxmlformats.org/officeDocument/2006/relationships/hyperlink" Target="PT_Obligaciones_Financieras_62_Jul2026.xlsx" TargetMode="External"/><Relationship Id="rId34" Type="http://schemas.openxmlformats.org/officeDocument/2006/relationships/hyperlink" Target="PT_Obligaciones_Financieras_62_Jul2026.xlsx" TargetMode="External"/><Relationship Id="rId35" Type="http://schemas.openxmlformats.org/officeDocument/2006/relationships/hyperlink" Target="PT_Obligaciones_Financieras_62_Jul2026.xlsx" TargetMode="External"/><Relationship Id="rId36" Type="http://schemas.openxmlformats.org/officeDocument/2006/relationships/hyperlink" Target="PT_Obligaciones_Financieras_62_Jul2026.xlsx" TargetMode="External"/><Relationship Id="rId37" Type="http://schemas.openxmlformats.org/officeDocument/2006/relationships/hyperlink" Target="PT_Obligaciones_Financieras_62_Jul2026.xlsx" TargetMode="External"/><Relationship Id="rId38" Type="http://schemas.openxmlformats.org/officeDocument/2006/relationships/hyperlink" Target="PT_Obligaciones_Financieras_62_Jul2026.xlsx" TargetMode="External"/><Relationship Id="rId39" Type="http://schemas.openxmlformats.org/officeDocument/2006/relationships/hyperlink" Target="PT_Obligaciones_Financieras_62_Jul2026.xlsx" TargetMode="External"/><Relationship Id="rId40" Type="http://schemas.openxmlformats.org/officeDocument/2006/relationships/hyperlink" Target="PT_Obligaciones_Financieras_62_Jul2026.xlsx" TargetMode="External"/><Relationship Id="rId41" Type="http://schemas.openxmlformats.org/officeDocument/2006/relationships/hyperlink" Target="PT_Obligaciones_Financieras_62_Jul2026.xlsx" TargetMode="External"/><Relationship Id="rId42" Type="http://schemas.openxmlformats.org/officeDocument/2006/relationships/hyperlink" Target="PT_Obligaciones_Financieras_62_Jul2026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PT_Obligaciones_Financieras_62_Jul2026.xlsx" TargetMode="External"/><Relationship Id="rId2" Type="http://schemas.openxmlformats.org/officeDocument/2006/relationships/hyperlink" Target="PT_Obligaciones_Financieras_62_Jul2026.xlsx" TargetMode="External"/><Relationship Id="rId3" Type="http://schemas.openxmlformats.org/officeDocument/2006/relationships/hyperlink" Target="PT_Obligaciones_Financieras_62_Jul2026.xlsx" TargetMode="External"/><Relationship Id="rId4" Type="http://schemas.openxmlformats.org/officeDocument/2006/relationships/hyperlink" Target="PT_Obligaciones_Financieras_62_Jul2026.xlsx" TargetMode="External"/><Relationship Id="rId5" Type="http://schemas.openxmlformats.org/officeDocument/2006/relationships/hyperlink" Target="PT_Obligaciones_Financieras_62_Jul2026.xlsx" TargetMode="External"/><Relationship Id="rId6" Type="http://schemas.openxmlformats.org/officeDocument/2006/relationships/hyperlink" Target="PT_Obligaciones_Financieras_62_Jul2026.xlsx" TargetMode="External"/><Relationship Id="rId7" Type="http://schemas.openxmlformats.org/officeDocument/2006/relationships/hyperlink" Target="PT_Obligaciones_Financieras_62_Jul2026.xlsx" TargetMode="External"/><Relationship Id="rId8" Type="http://schemas.openxmlformats.org/officeDocument/2006/relationships/hyperlink" Target="PT_Obligaciones_Financieras_62_Jul2026.xlsx" TargetMode="External"/><Relationship Id="rId9" Type="http://schemas.openxmlformats.org/officeDocument/2006/relationships/hyperlink" Target="PT_Obligaciones_Financieras_62_Jul2026.xlsx" TargetMode="External"/><Relationship Id="rId10" Type="http://schemas.openxmlformats.org/officeDocument/2006/relationships/hyperlink" Target="PT_Obligaciones_Financieras_62_Jul2026.xlsx" TargetMode="External"/><Relationship Id="rId11" Type="http://schemas.openxmlformats.org/officeDocument/2006/relationships/hyperlink" Target="PT_Obligaciones_Financieras_62_Jul2026.xlsx" TargetMode="External"/><Relationship Id="rId12" Type="http://schemas.openxmlformats.org/officeDocument/2006/relationships/hyperlink" Target="PT_Obligaciones_Financieras_62_Jul2026.xlsx" TargetMode="External"/><Relationship Id="rId13" Type="http://schemas.openxmlformats.org/officeDocument/2006/relationships/hyperlink" Target="PT_Obligaciones_Financieras_62_Jul2026.xlsx" TargetMode="External"/><Relationship Id="rId14" Type="http://schemas.openxmlformats.org/officeDocument/2006/relationships/hyperlink" Target="PT_Obligaciones_Financieras_62_Jul2026.xlsx" TargetMode="External"/><Relationship Id="rId15" Type="http://schemas.openxmlformats.org/officeDocument/2006/relationships/hyperlink" Target="PT_Obligaciones_Financieras_62_Jul2026.xlsx" TargetMode="External"/><Relationship Id="rId16" Type="http://schemas.openxmlformats.org/officeDocument/2006/relationships/hyperlink" Target="PT_Obligaciones_Financieras_62_Jul2026.xlsx" TargetMode="External"/><Relationship Id="rId17" Type="http://schemas.openxmlformats.org/officeDocument/2006/relationships/hyperlink" Target="PT_Obligaciones_Financieras_62_Jul2026.xlsx" TargetMode="External"/><Relationship Id="rId18" Type="http://schemas.openxmlformats.org/officeDocument/2006/relationships/hyperlink" Target="PT_Obligaciones_Financieras_62_Jul2026.xlsx" TargetMode="External"/><Relationship Id="rId19" Type="http://schemas.openxmlformats.org/officeDocument/2006/relationships/hyperlink" Target="PT_Obligaciones_Financieras_62_Jul2026.xlsx" TargetMode="External"/><Relationship Id="rId20" Type="http://schemas.openxmlformats.org/officeDocument/2006/relationships/hyperlink" Target="PT_Obligaciones_Financieras_62_Jul2026.xlsx" TargetMode="External"/><Relationship Id="rId21" Type="http://schemas.openxmlformats.org/officeDocument/2006/relationships/hyperlink" Target="PT_Obligaciones_Financieras_62_Jul2026.xlsx" TargetMode="External"/><Relationship Id="rId22" Type="http://schemas.openxmlformats.org/officeDocument/2006/relationships/hyperlink" Target="PT_Obligaciones_Financieras_62_Jul2026.xlsx" TargetMode="External"/><Relationship Id="rId23" Type="http://schemas.openxmlformats.org/officeDocument/2006/relationships/hyperlink" Target="PT_Obligaciones_Financieras_62_Jul2026.xlsx" TargetMode="External"/><Relationship Id="rId24" Type="http://schemas.openxmlformats.org/officeDocument/2006/relationships/hyperlink" Target="PT_Obligaciones_Financieras_62_Jul2026.xlsx" TargetMode="External"/><Relationship Id="rId25" Type="http://schemas.openxmlformats.org/officeDocument/2006/relationships/hyperlink" Target="PT_Obligaciones_Financieras_62_Jul2026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Q1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9" min="5" style="0" width="17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18"/>
    <col collapsed="false" customWidth="true" hidden="false" outlineLevel="0" max="18" min="15" style="0" width="16"/>
  </cols>
  <sheetData>
    <row r="2" customFormat="false" ht="16.15" hidden="false" customHeight="true" outlineLevel="0" collapsed="false">
      <c r="C2" s="1" t="s">
        <v>0</v>
      </c>
      <c r="D2" s="1"/>
      <c r="E2" s="1"/>
      <c r="F2" s="1"/>
      <c r="G2" s="1"/>
      <c r="H2" s="1"/>
      <c r="I2" s="1"/>
    </row>
    <row r="4" customFormat="false" ht="15" hidden="false" customHeight="true" outlineLevel="0" collapsed="false">
      <c r="C4" s="2" t="s">
        <v>1</v>
      </c>
      <c r="D4" s="3" t="s">
        <v>0</v>
      </c>
      <c r="E4" s="3"/>
      <c r="F4" s="3"/>
      <c r="G4" s="3"/>
      <c r="H4" s="3"/>
      <c r="I4" s="3"/>
      <c r="N4" s="4" t="s">
        <v>2</v>
      </c>
      <c r="O4" s="4" t="s">
        <v>3</v>
      </c>
      <c r="P4" s="4" t="s">
        <v>4</v>
      </c>
    </row>
    <row r="5" customFormat="false" ht="15" hidden="false" customHeight="true" outlineLevel="0" collapsed="false">
      <c r="C5" s="2" t="s">
        <v>5</v>
      </c>
      <c r="D5" s="3" t="s">
        <v>6</v>
      </c>
      <c r="E5" s="3"/>
      <c r="F5" s="3"/>
      <c r="G5" s="3"/>
      <c r="H5" s="3"/>
      <c r="I5" s="3"/>
      <c r="N5" s="5"/>
      <c r="O5" s="5"/>
      <c r="P5" s="6" t="s">
        <v>7</v>
      </c>
    </row>
    <row r="6" customFormat="false" ht="15" hidden="false" customHeight="true" outlineLevel="0" collapsed="false">
      <c r="C6" s="2" t="s">
        <v>8</v>
      </c>
      <c r="D6" s="3" t="s">
        <v>9</v>
      </c>
      <c r="E6" s="3"/>
      <c r="F6" s="3"/>
      <c r="G6" s="3"/>
      <c r="H6" s="3"/>
      <c r="I6" s="3"/>
      <c r="N6" s="7" t="s">
        <v>10</v>
      </c>
      <c r="O6" s="7" t="s">
        <v>10</v>
      </c>
    </row>
    <row r="7" customFormat="false" ht="15" hidden="false" customHeight="true" outlineLevel="0" collapsed="false">
      <c r="C7" s="2" t="s">
        <v>11</v>
      </c>
      <c r="D7" s="8" t="n">
        <f aca="false">Resumen!C5</f>
        <v>46234</v>
      </c>
      <c r="E7" s="8"/>
      <c r="F7" s="8"/>
      <c r="G7" s="8"/>
      <c r="H7" s="8"/>
      <c r="I7" s="8"/>
      <c r="N7" s="9" t="s">
        <v>12</v>
      </c>
      <c r="O7" s="9"/>
      <c r="P7" s="9"/>
    </row>
    <row r="8" customFormat="false" ht="15" hidden="false" customHeight="true" outlineLevel="0" collapsed="false">
      <c r="C8" s="2" t="s">
        <v>13</v>
      </c>
      <c r="D8" s="3" t="s">
        <v>14</v>
      </c>
      <c r="E8" s="3"/>
      <c r="F8" s="3"/>
      <c r="G8" s="3"/>
      <c r="H8" s="3"/>
      <c r="I8" s="3"/>
    </row>
    <row r="9" customFormat="false" ht="15" hidden="false" customHeight="true" outlineLevel="0" collapsed="false">
      <c r="C9" s="2" t="s">
        <v>15</v>
      </c>
      <c r="D9" s="3" t="s">
        <v>16</v>
      </c>
      <c r="E9" s="3"/>
      <c r="F9" s="3"/>
      <c r="G9" s="3"/>
      <c r="H9" s="3"/>
      <c r="I9" s="3"/>
    </row>
    <row r="10" customFormat="false" ht="15" hidden="false" customHeight="true" outlineLevel="0" collapsed="false">
      <c r="C10" s="2" t="s">
        <v>17</v>
      </c>
      <c r="D10" s="3" t="s">
        <v>18</v>
      </c>
      <c r="E10" s="3"/>
      <c r="F10" s="3"/>
      <c r="G10" s="3"/>
      <c r="H10" s="3"/>
      <c r="I10" s="3"/>
    </row>
    <row r="12" customFormat="false" ht="15" hidden="false" customHeight="true" outlineLevel="0" collapsed="false">
      <c r="C12" s="10" t="s">
        <v>19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customFormat="false" ht="51.75" hidden="false" customHeight="true" outlineLevel="0" collapsed="false">
      <c r="C13" s="11" t="s">
        <v>20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5" customFormat="false" ht="15" hidden="false" customHeight="true" outlineLevel="0" collapsed="false">
      <c r="C15" s="10" t="s">
        <v>21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customFormat="false" ht="39.75" hidden="false" customHeight="true" outlineLevel="0" collapsed="false">
      <c r="C16" s="11" t="str">
        <f aca="false">"Se emite con "&amp;Pendientes!$D$20&amp;" pendientes de soporte (hoja Pendientes): certificados de saldo al 31-jul-26 de leasings Davivienda y Bancolombia, confirmaciones BBVA y Banco Popular, certificado del crédito Bogotá 1159383796, tablas del leasing 386735/GECOLSA y materialidad del encargo. Las conclusiones afectadas se marcan [P]."</f>
        <v>Se emite con 14 pendientes de soporte (hoja Pendientes): certificados de saldo al 31-jul-26 de leasings Davivienda y Bancolombia, confirmaciones BBVA y Banco Popular, certificado del crédito Bogotá 1159383796, tablas del leasing 386735/GECOLSA y materialidad del encargo. Las conclusiones afectadas se marcan [P].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8" customFormat="false" ht="15" hidden="false" customHeight="true" outlineLevel="0" collapsed="false">
      <c r="C18" s="10" t="s">
        <v>22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true" outlineLevel="0" collapsed="false">
      <c r="C19" s="4" t="s">
        <v>23</v>
      </c>
      <c r="D19" s="4" t="s">
        <v>24</v>
      </c>
      <c r="E19" s="4" t="s">
        <v>25</v>
      </c>
      <c r="F19" s="4"/>
      <c r="G19" s="4"/>
      <c r="H19" s="4"/>
      <c r="I19" s="4" t="s">
        <v>26</v>
      </c>
      <c r="J19" s="4"/>
      <c r="K19" s="4"/>
      <c r="L19" s="4"/>
      <c r="M19" s="4"/>
      <c r="N19" s="4"/>
      <c r="O19" s="4"/>
      <c r="P19" s="4"/>
    </row>
    <row r="20" customFormat="false" ht="36" hidden="false" customHeight="true" outlineLevel="0" collapsed="false">
      <c r="C20" s="12" t="s">
        <v>27</v>
      </c>
      <c r="D20" s="13" t="s">
        <v>28</v>
      </c>
      <c r="E20" s="14" t="s">
        <v>29</v>
      </c>
      <c r="F20" s="14"/>
      <c r="G20" s="14"/>
      <c r="H20" s="14"/>
      <c r="I20" s="13" t="str">
        <f aca="false">"Cobertura con extracto 2026: "&amp;TEXT(Certificados!$K$35,"0%")&amp;"; diferencias de pagos: "&amp;TEXT(Certificados!J79,"#,##0")</f>
        <v>Cobertura con extracto 2026: 85%; diferencias de pagos: 11,975,072</v>
      </c>
      <c r="J20" s="13"/>
      <c r="K20" s="13"/>
      <c r="L20" s="13"/>
      <c r="M20" s="13"/>
      <c r="N20" s="13"/>
      <c r="O20" s="13"/>
      <c r="P20" s="13"/>
    </row>
    <row r="21" customFormat="false" ht="36" hidden="false" customHeight="true" outlineLevel="0" collapsed="false">
      <c r="C21" s="12" t="s">
        <v>30</v>
      </c>
      <c r="D21" s="13" t="s">
        <v>31</v>
      </c>
      <c r="E21" s="14" t="s">
        <v>32</v>
      </c>
      <c r="F21" s="14"/>
      <c r="G21" s="14"/>
      <c r="H21" s="14"/>
      <c r="I21" s="13" t="str">
        <f aca="false">"Mayor vs balance: "&amp;Resumen!F11&amp;". Leasing mayor − detalle 62: "&amp;TEXT(Cruce_Detalle_Mayor!F7,"#,##0")&amp;" (386735 y GECOLSA no están en el detalle)."</f>
        <v>Mayor vs balance: OK. Leasing mayor − detalle 62: 1,018,266,177 (386735 y GECOLSA no están en el detalle).</v>
      </c>
      <c r="J21" s="13"/>
      <c r="K21" s="13"/>
      <c r="L21" s="13"/>
      <c r="M21" s="13"/>
      <c r="N21" s="13"/>
      <c r="O21" s="13"/>
      <c r="P21" s="13"/>
    </row>
    <row r="22" customFormat="false" ht="36" hidden="false" customHeight="true" outlineLevel="0" collapsed="false">
      <c r="C22" s="12" t="s">
        <v>33</v>
      </c>
      <c r="D22" s="13" t="s">
        <v>34</v>
      </c>
      <c r="E22" s="14" t="s">
        <v>35</v>
      </c>
      <c r="F22" s="14"/>
      <c r="G22" s="14"/>
      <c r="H22" s="14"/>
      <c r="I22" s="13" t="str">
        <f aca="false">"Causación no registrada al 31-jul: "&amp;TEXT(Recalculo_Intereses!K47,"#,##0")&amp;"; tablas con error: 362095, Hoja2 (1159383796), costo amortizado Davivienda."</f>
        <v>Causación no registrada al 31-jul: 187,705,390; tablas con error: 362095, Hoja2 (1159383796), costo amortizado Davivienda.</v>
      </c>
      <c r="J22" s="13"/>
      <c r="K22" s="13"/>
      <c r="L22" s="13"/>
      <c r="M22" s="13"/>
      <c r="N22" s="13"/>
      <c r="O22" s="13"/>
      <c r="P22" s="13"/>
    </row>
    <row r="23" customFormat="false" ht="36" hidden="false" customHeight="true" outlineLevel="0" collapsed="false">
      <c r="C23" s="12" t="s">
        <v>36</v>
      </c>
      <c r="D23" s="13" t="s">
        <v>37</v>
      </c>
      <c r="E23" s="14" t="s">
        <v>38</v>
      </c>
      <c r="F23" s="14"/>
      <c r="G23" s="14"/>
      <c r="H23" s="14"/>
      <c r="I23" s="13" t="str">
        <f aca="false">"AJE-1 por "&amp;TEXT(Recalculo_Intereses!K47,"#,##0")</f>
        <v>AJE-1 por 187,705,390</v>
      </c>
      <c r="J23" s="13"/>
      <c r="K23" s="13"/>
      <c r="L23" s="13"/>
      <c r="M23" s="13"/>
      <c r="N23" s="13"/>
      <c r="O23" s="13"/>
      <c r="P23" s="13"/>
    </row>
    <row r="24" customFormat="false" ht="36" hidden="false" customHeight="true" outlineLevel="0" collapsed="false">
      <c r="C24" s="12" t="s">
        <v>39</v>
      </c>
      <c r="D24" s="13" t="s">
        <v>40</v>
      </c>
      <c r="E24" s="14" t="s">
        <v>41</v>
      </c>
      <c r="F24" s="14"/>
      <c r="G24" s="14"/>
      <c r="H24" s="14"/>
      <c r="I24" s="13" t="str">
        <f aca="false">"Crédito DYPSIS $72.300 MM en el archivo de tablas no está en el mayor: confirmar titular/garantías [P]."</f>
        <v>Crédito DYPSIS $72.300 MM en el archivo de tablas no está en el mayor: confirmar titular/garantías [P].</v>
      </c>
      <c r="J24" s="13"/>
      <c r="K24" s="13"/>
      <c r="L24" s="13"/>
      <c r="M24" s="13"/>
      <c r="N24" s="13"/>
      <c r="O24" s="13"/>
      <c r="P24" s="13"/>
    </row>
    <row r="25" customFormat="false" ht="36" hidden="false" customHeight="true" outlineLevel="0" collapsed="false">
      <c r="C25" s="12" t="s">
        <v>42</v>
      </c>
      <c r="D25" s="13" t="s">
        <v>43</v>
      </c>
      <c r="E25" s="14" t="s">
        <v>44</v>
      </c>
      <c r="F25" s="14"/>
      <c r="G25" s="14"/>
      <c r="H25" s="14"/>
      <c r="I25" s="13" t="str">
        <f aca="false">"Reclasificación LP→CP propuesta: "&amp;TEXT(Clasif_CP_LP!B11+Clasif_CP_LP!B12,"#,##0")</f>
        <v>Reclasificación LP→CP propuesta: 1,576,635,656</v>
      </c>
      <c r="J25" s="13"/>
      <c r="K25" s="13"/>
      <c r="L25" s="13"/>
      <c r="M25" s="13"/>
      <c r="N25" s="13"/>
      <c r="O25" s="13"/>
      <c r="P25" s="13"/>
    </row>
    <row r="26" customFormat="false" ht="36" hidden="false" customHeight="true" outlineLevel="0" collapsed="false">
      <c r="C26" s="12" t="s">
        <v>45</v>
      </c>
      <c r="D26" s="13" t="s">
        <v>46</v>
      </c>
      <c r="E26" s="14" t="s">
        <v>47</v>
      </c>
      <c r="F26" s="14"/>
      <c r="G26" s="14"/>
      <c r="H26" s="14"/>
      <c r="I26" s="13" t="str">
        <f aca="false">"Tasas y vencimientos del detalle 62 difieren de los certificados en varias obligaciones (hallazgos 7 y 14)."</f>
        <v>Tasas y vencimientos del detalle 62 difieren de los certificados en varias obligaciones (hallazgos 7 y 14).</v>
      </c>
      <c r="J26" s="13"/>
      <c r="K26" s="13"/>
      <c r="L26" s="13"/>
      <c r="M26" s="13"/>
      <c r="N26" s="13"/>
      <c r="O26" s="13"/>
      <c r="P26" s="13"/>
    </row>
    <row r="28" customFormat="false" ht="15" hidden="false" customHeight="true" outlineLevel="0" collapsed="false">
      <c r="C28" s="10" t="s">
        <v>48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customFormat="false" ht="18" hidden="false" customHeight="true" outlineLevel="0" collapsed="false">
      <c r="C29" s="11" t="s">
        <v>49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1" customFormat="false" ht="15" hidden="false" customHeight="true" outlineLevel="0" collapsed="false">
      <c r="C31" s="10" t="s">
        <v>50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true" outlineLevel="0" collapsed="false">
      <c r="B32" s="4" t="s">
        <v>51</v>
      </c>
      <c r="C32" s="4" t="s">
        <v>52</v>
      </c>
      <c r="D32" s="4"/>
      <c r="E32" s="4"/>
      <c r="F32" s="4"/>
      <c r="G32" s="4"/>
      <c r="H32" s="4"/>
      <c r="I32" s="4" t="s">
        <v>53</v>
      </c>
      <c r="J32" s="4"/>
      <c r="K32" s="4"/>
      <c r="L32" s="4" t="s">
        <v>26</v>
      </c>
      <c r="M32" s="4"/>
      <c r="N32" s="4"/>
      <c r="O32" s="4"/>
      <c r="P32" s="4"/>
    </row>
    <row r="33" customFormat="false" ht="27.75" hidden="false" customHeight="true" outlineLevel="0" collapsed="false">
      <c r="B33" s="13" t="n">
        <v>1</v>
      </c>
      <c r="C33" s="13" t="s">
        <v>54</v>
      </c>
      <c r="D33" s="13"/>
      <c r="E33" s="13"/>
      <c r="F33" s="13"/>
      <c r="G33" s="13"/>
      <c r="H33" s="13"/>
      <c r="I33" s="14" t="s">
        <v>55</v>
      </c>
      <c r="J33" s="14"/>
      <c r="K33" s="14"/>
      <c r="L33" s="12" t="str">
        <f aca="false">Resumen!F11</f>
        <v>OK</v>
      </c>
      <c r="M33" s="12"/>
      <c r="N33" s="12"/>
      <c r="O33" s="12"/>
      <c r="P33" s="12"/>
    </row>
    <row r="34" customFormat="false" ht="27.75" hidden="false" customHeight="true" outlineLevel="0" collapsed="false">
      <c r="B34" s="13" t="n">
        <v>2</v>
      </c>
      <c r="C34" s="13" t="s">
        <v>56</v>
      </c>
      <c r="D34" s="13"/>
      <c r="E34" s="13"/>
      <c r="F34" s="13"/>
      <c r="G34" s="13"/>
      <c r="H34" s="13"/>
      <c r="I34" s="14" t="s">
        <v>32</v>
      </c>
      <c r="J34" s="14"/>
      <c r="K34" s="14"/>
      <c r="L34" s="12" t="str">
        <f aca="false">IF(ABS(Saldos_x_Obligacion!H34)+ABS(Saldos_x_Obligacion!H38)&lt;=Resumen!$C$6,"Por obligación cuadra con balance","Revisar")</f>
        <v>Por obligación cuadra con balance</v>
      </c>
      <c r="M34" s="12"/>
      <c r="N34" s="12"/>
      <c r="O34" s="12"/>
      <c r="P34" s="12"/>
    </row>
    <row r="35" customFormat="false" ht="27.75" hidden="false" customHeight="true" outlineLevel="0" collapsed="false">
      <c r="B35" s="13" t="n">
        <v>3</v>
      </c>
      <c r="C35" s="13" t="s">
        <v>57</v>
      </c>
      <c r="D35" s="13"/>
      <c r="E35" s="13"/>
      <c r="F35" s="13"/>
      <c r="G35" s="13"/>
      <c r="H35" s="13"/>
      <c r="I35" s="14" t="s">
        <v>29</v>
      </c>
      <c r="J35" s="14"/>
      <c r="K35" s="14"/>
      <c r="L35" s="12" t="str">
        <f aca="false">Resumen!F16</f>
        <v>DIFERENCIA</v>
      </c>
      <c r="M35" s="12"/>
      <c r="N35" s="12"/>
      <c r="O35" s="12"/>
      <c r="P35" s="12"/>
    </row>
    <row r="36" customFormat="false" ht="27.75" hidden="false" customHeight="true" outlineLevel="0" collapsed="false">
      <c r="B36" s="13" t="n">
        <v>4</v>
      </c>
      <c r="C36" s="13" t="s">
        <v>58</v>
      </c>
      <c r="D36" s="13"/>
      <c r="E36" s="13"/>
      <c r="F36" s="13"/>
      <c r="G36" s="13"/>
      <c r="H36" s="13"/>
      <c r="I36" s="14" t="s">
        <v>59</v>
      </c>
      <c r="J36" s="14"/>
      <c r="K36" s="14"/>
      <c r="L36" s="12" t="str">
        <f aca="false">"Tablas con hallazgos: 362095, Hoja2 (1159383796), costo amortizado Davivienda; "&amp;COUNTIF(Rev_Tablas_Amort!R5:R29,"N/D")&amp;" sin saldo banco"</f>
        <v>Tablas con hallazgos: 362095, Hoja2 (1159383796), costo amortizado Davivienda; 4 sin saldo banco</v>
      </c>
      <c r="M36" s="12"/>
      <c r="N36" s="12"/>
      <c r="O36" s="12"/>
      <c r="P36" s="12"/>
    </row>
    <row r="37" customFormat="false" ht="27.75" hidden="false" customHeight="true" outlineLevel="0" collapsed="false">
      <c r="B37" s="13" t="n">
        <v>5</v>
      </c>
      <c r="C37" s="13" t="s">
        <v>60</v>
      </c>
      <c r="D37" s="13"/>
      <c r="E37" s="13"/>
      <c r="F37" s="13"/>
      <c r="G37" s="13"/>
      <c r="H37" s="13"/>
      <c r="I37" s="14" t="s">
        <v>61</v>
      </c>
      <c r="J37" s="14"/>
      <c r="K37" s="14"/>
      <c r="L37" s="12" t="str">
        <f aca="false">Resumen!F18</f>
        <v>DIFERENCIA</v>
      </c>
      <c r="M37" s="12"/>
      <c r="N37" s="12"/>
      <c r="O37" s="12"/>
      <c r="P37" s="12"/>
    </row>
    <row r="38" customFormat="false" ht="27.75" hidden="false" customHeight="true" outlineLevel="0" collapsed="false">
      <c r="B38" s="13" t="n">
        <v>6</v>
      </c>
      <c r="C38" s="13" t="s">
        <v>62</v>
      </c>
      <c r="D38" s="13"/>
      <c r="E38" s="13"/>
      <c r="F38" s="13"/>
      <c r="G38" s="13"/>
      <c r="H38" s="13"/>
      <c r="I38" s="14" t="s">
        <v>63</v>
      </c>
      <c r="J38" s="14"/>
      <c r="K38" s="14"/>
      <c r="L38" s="12" t="str">
        <f aca="false">IF(ABS(Intereses_x_Obligacion!E38)&lt;=Resumen!$C$6,"2130 cuadra por obligación","Revisar")</f>
        <v>2130 cuadra por obligación</v>
      </c>
      <c r="M38" s="12"/>
      <c r="N38" s="12"/>
      <c r="O38" s="12"/>
      <c r="P38" s="12"/>
    </row>
    <row r="39" customFormat="false" ht="27.75" hidden="false" customHeight="true" outlineLevel="0" collapsed="false">
      <c r="B39" s="13" t="n">
        <v>7</v>
      </c>
      <c r="C39" s="13" t="s">
        <v>64</v>
      </c>
      <c r="D39" s="13"/>
      <c r="E39" s="13"/>
      <c r="F39" s="13"/>
      <c r="G39" s="13"/>
      <c r="H39" s="13"/>
      <c r="I39" s="14" t="s">
        <v>65</v>
      </c>
      <c r="J39" s="14"/>
      <c r="K39" s="14"/>
      <c r="L39" s="12" t="str">
        <f aca="false">Gasto_Intereses!B20</f>
        <v>Gasto razonable dentro del umbral</v>
      </c>
      <c r="M39" s="12"/>
      <c r="N39" s="12"/>
      <c r="O39" s="12"/>
      <c r="P39" s="12"/>
    </row>
    <row r="40" customFormat="false" ht="27.75" hidden="false" customHeight="true" outlineLevel="0" collapsed="false">
      <c r="B40" s="13" t="n">
        <v>8</v>
      </c>
      <c r="C40" s="13" t="s">
        <v>66</v>
      </c>
      <c r="D40" s="13"/>
      <c r="E40" s="13"/>
      <c r="F40" s="13"/>
      <c r="G40" s="13"/>
      <c r="H40" s="13"/>
      <c r="I40" s="14" t="s">
        <v>44</v>
      </c>
      <c r="J40" s="14"/>
      <c r="K40" s="14"/>
      <c r="L40" s="12" t="str">
        <f aca="false">"Ver reclasificación AJE-2"</f>
        <v>Ver reclasificación AJE-2</v>
      </c>
      <c r="M40" s="12"/>
      <c r="N40" s="12"/>
      <c r="O40" s="12"/>
      <c r="P40" s="12"/>
    </row>
    <row r="41" customFormat="false" ht="27.75" hidden="false" customHeight="true" outlineLevel="0" collapsed="false">
      <c r="B41" s="13" t="n">
        <v>9</v>
      </c>
      <c r="C41" s="13" t="s">
        <v>67</v>
      </c>
      <c r="D41" s="13"/>
      <c r="E41" s="13"/>
      <c r="F41" s="13"/>
      <c r="G41" s="13"/>
      <c r="H41" s="13"/>
      <c r="I41" s="14" t="s">
        <v>68</v>
      </c>
      <c r="J41" s="14"/>
      <c r="K41" s="14"/>
      <c r="L41" s="12" t="str">
        <f aca="false">Pendientes!$D$20&amp;" pendientes abiertos"</f>
        <v>14 pendientes abiertos</v>
      </c>
      <c r="M41" s="12"/>
      <c r="N41" s="12"/>
      <c r="O41" s="12"/>
      <c r="P41" s="12"/>
    </row>
    <row r="43" customFormat="false" ht="15" hidden="false" customHeight="true" outlineLevel="0" collapsed="false">
      <c r="C43" s="10" t="s">
        <v>69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customFormat="false" ht="15" hidden="false" customHeight="true" outlineLevel="0" collapsed="false">
      <c r="C44" s="11" t="s">
        <v>70</v>
      </c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customFormat="false" ht="15" hidden="false" customHeight="true" outlineLevel="0" collapsed="false">
      <c r="C45" s="11" t="s">
        <v>71</v>
      </c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customFormat="false" ht="15" hidden="false" customHeight="true" outlineLevel="0" collapsed="false">
      <c r="C46" s="11" t="s">
        <v>72</v>
      </c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customFormat="false" ht="15" hidden="false" customHeight="true" outlineLevel="0" collapsed="false">
      <c r="C47" s="11" t="s">
        <v>73</v>
      </c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C48" s="11" t="s">
        <v>74</v>
      </c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customFormat="false" ht="15" hidden="false" customHeight="true" outlineLevel="0" collapsed="false">
      <c r="C49" s="11" t="s">
        <v>75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1" customFormat="false" ht="15" hidden="false" customHeight="true" outlineLevel="0" collapsed="false">
      <c r="C51" s="10" t="s">
        <v>76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customFormat="false" ht="30" hidden="false" customHeight="true" outlineLevel="0" collapsed="false">
      <c r="C52" s="4" t="s">
        <v>77</v>
      </c>
      <c r="D52" s="4" t="s">
        <v>78</v>
      </c>
      <c r="E52" s="4" t="s">
        <v>79</v>
      </c>
      <c r="F52" s="4" t="s">
        <v>80</v>
      </c>
      <c r="G52" s="4" t="s">
        <v>81</v>
      </c>
      <c r="H52" s="4" t="s">
        <v>82</v>
      </c>
      <c r="I52" s="4" t="s">
        <v>83</v>
      </c>
      <c r="J52" s="4" t="s">
        <v>84</v>
      </c>
    </row>
    <row r="53" customFormat="false" ht="15" hidden="false" customHeight="false" outlineLevel="0" collapsed="false">
      <c r="C53" s="6" t="s">
        <v>85</v>
      </c>
      <c r="D53" s="13" t="s">
        <v>86</v>
      </c>
      <c r="E53" s="15" t="n">
        <f aca="false">-(Balance_21!$F$16+Balance_21!$F$18)</f>
        <v>38300666666</v>
      </c>
      <c r="F53" s="15" t="n">
        <f aca="false">SUMIFS(Detalle_62!$F$14:$F$35,Detalle_62!$D$14:$D$35,"Crédito")</f>
        <v>38300666665.3333</v>
      </c>
      <c r="G53" s="15" t="n">
        <f aca="false">Saldos_x_Obligacion!H32</f>
        <v>38300666666</v>
      </c>
      <c r="H53" s="16" t="n">
        <f aca="false">IF(AND(ISNUMBER(E53),ISNUMBER(F53)),E53-F53,"N/A")</f>
        <v>0.666664123535156</v>
      </c>
      <c r="I53" s="16" t="n">
        <f aca="false">IF(AND(ISNUMBER(E53),ISNUMBER(G53)),E53-G53,"N/A")</f>
        <v>0</v>
      </c>
      <c r="J53" s="7" t="s">
        <v>87</v>
      </c>
    </row>
    <row r="54" customFormat="false" ht="15" hidden="false" customHeight="false" outlineLevel="0" collapsed="false">
      <c r="C54" s="6" t="s">
        <v>88</v>
      </c>
      <c r="D54" s="13" t="s">
        <v>89</v>
      </c>
      <c r="E54" s="15" t="n">
        <f aca="false">-(Balance_21!$F$22+Balance_21!$F$24)</f>
        <v>7903511628.33</v>
      </c>
      <c r="F54" s="15" t="n">
        <f aca="false">SUMIFS(Detalle_62!$F$14:$F$35,Detalle_62!$D$14:$D$35,"Leasing")</f>
        <v>6885245451.62914</v>
      </c>
      <c r="G54" s="15" t="n">
        <f aca="false">Saldos_x_Obligacion!H36</f>
        <v>7903511628.33</v>
      </c>
      <c r="H54" s="16" t="n">
        <f aca="false">IF(AND(ISNUMBER(E54),ISNUMBER(F54)),E54-F54,"N/A")</f>
        <v>1018266176.70086</v>
      </c>
      <c r="I54" s="16" t="n">
        <f aca="false">IF(AND(ISNUMBER(E54),ISNUMBER(G54)),E54-G54,"N/A")</f>
        <v>0</v>
      </c>
      <c r="J54" s="7" t="s">
        <v>87</v>
      </c>
    </row>
    <row r="55" customFormat="false" ht="15" hidden="false" customHeight="false" outlineLevel="0" collapsed="false">
      <c r="C55" s="6" t="s">
        <v>90</v>
      </c>
      <c r="D55" s="13" t="s">
        <v>91</v>
      </c>
      <c r="E55" s="15" t="n">
        <f aca="false">-Balance_21!$F$25</f>
        <v>427389017.16</v>
      </c>
      <c r="F55" s="16" t="s">
        <v>92</v>
      </c>
      <c r="G55" s="15" t="n">
        <f aca="false">Intereses_x_Obligacion!F32</f>
        <v>427389018.38</v>
      </c>
      <c r="H55" s="16" t="str">
        <f aca="false">IF(AND(ISNUMBER(E55),ISNUMBER(F55)),E55-F55,"N/A")</f>
        <v>N/A</v>
      </c>
      <c r="I55" s="16" t="n">
        <f aca="false">IF(AND(ISNUMBER(E55),ISNUMBER(G55)),E55-G55,"N/A")</f>
        <v>-1.21999996900558</v>
      </c>
      <c r="J55" s="7" t="s">
        <v>87</v>
      </c>
    </row>
    <row r="56" customFormat="false" ht="15" hidden="false" customHeight="false" outlineLevel="0" collapsed="false">
      <c r="C56" s="6" t="s">
        <v>93</v>
      </c>
      <c r="D56" s="13" t="s">
        <v>94</v>
      </c>
      <c r="E56" s="15" t="n">
        <f aca="false">-Balance_21!$F$19</f>
        <v>31135731.73</v>
      </c>
      <c r="F56" s="16" t="s">
        <v>92</v>
      </c>
      <c r="G56" s="16" t="s">
        <v>95</v>
      </c>
      <c r="H56" s="16" t="str">
        <f aca="false">IF(AND(ISNUMBER(E56),ISNUMBER(F56)),E56-F56,"N/A")</f>
        <v>N/A</v>
      </c>
      <c r="I56" s="16" t="str">
        <f aca="false">IF(AND(ISNUMBER(E56),ISNUMBER(G56)),E56-G56,"N/A")</f>
        <v>N/A</v>
      </c>
      <c r="J56" s="7" t="s">
        <v>87</v>
      </c>
    </row>
    <row r="57" customFormat="false" ht="15" hidden="false" customHeight="false" outlineLevel="0" collapsed="false">
      <c r="D57" s="17" t="s">
        <v>96</v>
      </c>
      <c r="E57" s="18" t="n">
        <f aca="false">SUM(E53:E56)</f>
        <v>46662703043.22</v>
      </c>
      <c r="F57" s="18" t="n">
        <f aca="false">SUM(F53:F56)</f>
        <v>45185912116.9625</v>
      </c>
      <c r="G57" s="18" t="n">
        <f aca="false">SUM(G53:G56)</f>
        <v>46631567312.71</v>
      </c>
      <c r="H57" s="18" t="n">
        <f aca="false">SUM(H53:H56)</f>
        <v>1018266177.36753</v>
      </c>
      <c r="I57" s="18" t="n">
        <f aca="false">SUM(I53:I56)</f>
        <v>-1.21999996900558</v>
      </c>
    </row>
    <row r="59" customFormat="false" ht="15" hidden="false" customHeight="true" outlineLevel="0" collapsed="false">
      <c r="C59" s="10" t="s">
        <v>97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</row>
    <row r="60" customFormat="false" ht="15" hidden="false" customHeight="false" outlineLevel="0" collapsed="false">
      <c r="C60" s="19" t="s">
        <v>98</v>
      </c>
    </row>
    <row r="61" customFormat="false" ht="30" hidden="false" customHeight="true" outlineLevel="0" collapsed="false">
      <c r="C61" s="4" t="s">
        <v>99</v>
      </c>
      <c r="D61" s="4" t="s">
        <v>100</v>
      </c>
      <c r="E61" s="4" t="s">
        <v>101</v>
      </c>
      <c r="F61" s="4" t="s">
        <v>102</v>
      </c>
      <c r="G61" s="4" t="s">
        <v>103</v>
      </c>
      <c r="H61" s="4" t="s">
        <v>104</v>
      </c>
      <c r="I61" s="4" t="s">
        <v>105</v>
      </c>
      <c r="J61" s="4" t="s">
        <v>106</v>
      </c>
      <c r="K61" s="4" t="s">
        <v>107</v>
      </c>
      <c r="L61" s="4" t="s">
        <v>108</v>
      </c>
      <c r="M61" s="4" t="s">
        <v>109</v>
      </c>
      <c r="N61" s="4" t="s">
        <v>110</v>
      </c>
      <c r="O61" s="4" t="s">
        <v>111</v>
      </c>
      <c r="P61" s="4" t="s">
        <v>112</v>
      </c>
      <c r="Q61" s="4" t="s">
        <v>113</v>
      </c>
    </row>
    <row r="62" customFormat="false" ht="22.35" hidden="false" customHeight="false" outlineLevel="0" collapsed="false">
      <c r="C62" s="12" t="s">
        <v>114</v>
      </c>
      <c r="D62" s="14" t="str">
        <f aca="false">Saldos_x_Obligacion!D5</f>
        <v>Crédito tesorería 457300748906 (cancelado 28-ene-26)</v>
      </c>
      <c r="E62" s="15" t="n">
        <f aca="false">Saldos_x_Obligacion!H5</f>
        <v>0</v>
      </c>
      <c r="F62" s="15" t="n">
        <f aca="false">Saldos_x_Obligacion!I5</f>
        <v>0</v>
      </c>
      <c r="G62" s="15" t="str">
        <f aca="false">Saldos_x_Obligacion!J5</f>
        <v>Sin tabla</v>
      </c>
      <c r="H62" s="15" t="n">
        <f aca="false">Saldos_x_Obligacion!L5</f>
        <v>0</v>
      </c>
      <c r="I62" s="15" t="n">
        <f aca="false">Saldos_x_Obligacion!O5</f>
        <v>0</v>
      </c>
      <c r="J62" s="14" t="str">
        <f aca="false">IFERROR(INDEX(Detalle_62!$H$14:$H$35,MATCH(C62,Detalle_62!$C$14:$C$35,0)),"—")</f>
        <v>—</v>
      </c>
      <c r="K62" s="14" t="str">
        <f aca="false">IFERROR(INDEX(Detalle_62!$L$14:$L$35,MATCH(C62,Detalle_62!$C$14:$C$35,0)),"—")</f>
        <v>—</v>
      </c>
      <c r="L62" s="20" t="str">
        <f aca="false">IFERROR(INDEX(Detalle_62!$P$14:$P$35,MATCH(C62,Detalle_62!$C$14:$C$35,0)),"—")</f>
        <v>—</v>
      </c>
      <c r="M62" s="21" t="str">
        <f aca="false">IFERROR(INDEX(Certificados!$M:$M,MATCH(C62,Certificados!$E:$E,0)),"—")</f>
        <v>—</v>
      </c>
      <c r="N62" s="15" t="n">
        <f aca="false">INDEX(Intereses_x_Obligacion!$I:$I,MATCH(C62,Intereses_x_Obligacion!$A:$A,0))</f>
        <v>66026667</v>
      </c>
      <c r="O62" s="15" t="n">
        <f aca="false">INDEX(Intereses_x_Obligacion!$F:$F,MATCH(C62,Intereses_x_Obligacion!$A:$A,0))</f>
        <v>0</v>
      </c>
      <c r="P62" s="15" t="n">
        <f aca="false">INDEX(Intereses_x_Obligacion!$L:$L,MATCH(C62,Intereses_x_Obligacion!$A:$A,0))</f>
        <v>0</v>
      </c>
      <c r="Q62" s="13" t="str">
        <f aca="false">IF(LEFT(Saldos_x_Obligacion!M5,3)="[C]","[C] [B]",IF(LEFT(Saldos_x_Obligacion!M5,3)="[E]","[E] [B]","[P]"))</f>
        <v>[E] [B]</v>
      </c>
    </row>
    <row r="63" customFormat="false" ht="15" hidden="false" customHeight="false" outlineLevel="0" collapsed="false">
      <c r="C63" s="12" t="s">
        <v>115</v>
      </c>
      <c r="D63" s="14" t="str">
        <f aca="false">Saldos_x_Obligacion!D6</f>
        <v>457300569032 – CRED TESORERIA</v>
      </c>
      <c r="E63" s="15" t="n">
        <f aca="false">Saldos_x_Obligacion!H6</f>
        <v>3000000000</v>
      </c>
      <c r="F63" s="15" t="n">
        <f aca="false">Saldos_x_Obligacion!I6</f>
        <v>3000000000</v>
      </c>
      <c r="G63" s="15" t="n">
        <f aca="false">Saldos_x_Obligacion!J6</f>
        <v>3000000000</v>
      </c>
      <c r="H63" s="15" t="n">
        <f aca="false">Saldos_x_Obligacion!L6</f>
        <v>2999995157</v>
      </c>
      <c r="I63" s="15" t="n">
        <f aca="false">Saldos_x_Obligacion!O6</f>
        <v>4843</v>
      </c>
      <c r="J63" s="14" t="str">
        <f aca="false">IFERROR(INDEX(Detalle_62!$H$14:$H$35,MATCH(C63,Detalle_62!$C$14:$C$35,0)),"—")</f>
        <v>IBR 6 MESES</v>
      </c>
      <c r="K63" s="14" t="str">
        <f aca="false">IFERROR(INDEX(Detalle_62!$L$14:$L$35,MATCH(C63,Detalle_62!$C$14:$C$35,0)),"—")</f>
        <v>SEMESTRAL</v>
      </c>
      <c r="L63" s="20" t="n">
        <f aca="false">IFERROR(INDEX(Detalle_62!$P$14:$P$35,MATCH(C63,Detalle_62!$C$14:$C$35,0)),"—")</f>
        <v>51710</v>
      </c>
      <c r="M63" s="21" t="n">
        <f aca="false">IFERROR(INDEX(Certificados!$M:$M,MATCH(C63,Certificados!$E:$E,0)),"—")</f>
        <v>0.1258</v>
      </c>
      <c r="N63" s="15" t="n">
        <f aca="false">INDEX(Intereses_x_Obligacion!$I:$I,MATCH(C63,Intereses_x_Obligacion!$A:$A,0))</f>
        <v>234581000</v>
      </c>
      <c r="O63" s="15" t="n">
        <f aca="false">INDEX(Intereses_x_Obligacion!$F:$F,MATCH(C63,Intereses_x_Obligacion!$A:$A,0))</f>
        <v>0</v>
      </c>
      <c r="P63" s="15" t="n">
        <f aca="false">INDEX(Intereses_x_Obligacion!$L:$L,MATCH(C63,Intereses_x_Obligacion!$A:$A,0))</f>
        <v>3666117.76672668</v>
      </c>
      <c r="Q63" s="13" t="str">
        <f aca="false">IF(LEFT(Saldos_x_Obligacion!M6,3)="[C]","[C] [B]",IF(LEFT(Saldos_x_Obligacion!M6,3)="[E]","[E] [B]","[P]"))</f>
        <v>[C] [B]</v>
      </c>
    </row>
    <row r="64" customFormat="false" ht="15" hidden="false" customHeight="false" outlineLevel="0" collapsed="false">
      <c r="C64" s="12" t="s">
        <v>116</v>
      </c>
      <c r="D64" s="14" t="str">
        <f aca="false">Saldos_x_Obligacion!D7</f>
        <v>457300830624 – CRED TESORERIA</v>
      </c>
      <c r="E64" s="15" t="n">
        <f aca="false">Saldos_x_Obligacion!H7</f>
        <v>7500000000</v>
      </c>
      <c r="F64" s="15" t="n">
        <f aca="false">Saldos_x_Obligacion!I7</f>
        <v>7500000000</v>
      </c>
      <c r="G64" s="15" t="n">
        <f aca="false">Saldos_x_Obligacion!J7</f>
        <v>7500000000</v>
      </c>
      <c r="H64" s="15" t="n">
        <f aca="false">Saldos_x_Obligacion!L7</f>
        <v>7499998503.25</v>
      </c>
      <c r="I64" s="15" t="n">
        <f aca="false">Saldos_x_Obligacion!O7</f>
        <v>1496.75</v>
      </c>
      <c r="J64" s="14" t="str">
        <f aca="false">IFERROR(INDEX(Detalle_62!$H$14:$H$35,MATCH(C64,Detalle_62!$C$14:$C$35,0)),"—")</f>
        <v>IBR 6 MESES</v>
      </c>
      <c r="K64" s="14" t="str">
        <f aca="false">IFERROR(INDEX(Detalle_62!$L$14:$L$35,MATCH(C64,Detalle_62!$C$14:$C$35,0)),"—")</f>
        <v>SEMESTRAL</v>
      </c>
      <c r="L64" s="20" t="n">
        <f aca="false">IFERROR(INDEX(Detalle_62!$P$14:$P$35,MATCH(C64,Detalle_62!$C$14:$C$35,0)),"—")</f>
        <v>52677</v>
      </c>
      <c r="M64" s="21" t="n">
        <f aca="false">IFERROR(INDEX(Certificados!$M:$M,MATCH(C64,Certificados!$E:$E,0)),"—")</f>
        <v>0.1551</v>
      </c>
      <c r="N64" s="15" t="n">
        <f aca="false">INDEX(Intereses_x_Obligacion!$I:$I,MATCH(C64,Intereses_x_Obligacion!$A:$A,0))</f>
        <v>586251750</v>
      </c>
      <c r="O64" s="15" t="n">
        <f aca="false">INDEX(Intereses_x_Obligacion!$F:$F,MATCH(C64,Intereses_x_Obligacion!$A:$A,0))</f>
        <v>372400000</v>
      </c>
      <c r="P64" s="15" t="n">
        <f aca="false">INDEX(Intereses_x_Obligacion!$L:$L,MATCH(C64,Intereses_x_Obligacion!$A:$A,0))</f>
        <v>401458173.071409</v>
      </c>
      <c r="Q64" s="13" t="str">
        <f aca="false">IF(LEFT(Saldos_x_Obligacion!M7,3)="[C]","[C] [B]",IF(LEFT(Saldos_x_Obligacion!M7,3)="[E]","[E] [B]","[P]"))</f>
        <v>[C] [B]</v>
      </c>
    </row>
    <row r="65" customFormat="false" ht="15" hidden="false" customHeight="false" outlineLevel="0" collapsed="false">
      <c r="C65" s="12" t="s">
        <v>117</v>
      </c>
      <c r="D65" s="14" t="str">
        <f aca="false">Saldos_x_Obligacion!D8</f>
        <v>457300607691 – CRED TESORERIA</v>
      </c>
      <c r="E65" s="15" t="n">
        <f aca="false">Saldos_x_Obligacion!H8</f>
        <v>3960000000</v>
      </c>
      <c r="F65" s="15" t="n">
        <f aca="false">Saldos_x_Obligacion!I8</f>
        <v>3960000000</v>
      </c>
      <c r="G65" s="15" t="n">
        <f aca="false">Saldos_x_Obligacion!J8</f>
        <v>3960000000</v>
      </c>
      <c r="H65" s="15" t="n">
        <f aca="false">Saldos_x_Obligacion!L8</f>
        <v>3959997817.95</v>
      </c>
      <c r="I65" s="15" t="n">
        <f aca="false">Saldos_x_Obligacion!O8</f>
        <v>2182.0499997139</v>
      </c>
      <c r="J65" s="14" t="str">
        <f aca="false">IFERROR(INDEX(Detalle_62!$H$14:$H$35,MATCH(C65,Detalle_62!$C$14:$C$35,0)),"—")</f>
        <v>IBR 6 MESES</v>
      </c>
      <c r="K65" s="14" t="str">
        <f aca="false">IFERROR(INDEX(Detalle_62!$L$14:$L$35,MATCH(C65,Detalle_62!$C$14:$C$35,0)),"—")</f>
        <v>SEMESTRAL</v>
      </c>
      <c r="L65" s="20" t="n">
        <f aca="false">IFERROR(INDEX(Detalle_62!$P$14:$P$35,MATCH(C65,Detalle_62!$C$14:$C$35,0)),"—")</f>
        <v>51710</v>
      </c>
      <c r="M65" s="21" t="n">
        <f aca="false">IFERROR(INDEX(Certificados!$M:$M,MATCH(C65,Certificados!$E:$E,0)),"—")</f>
        <v>0.1258</v>
      </c>
      <c r="N65" s="15" t="n">
        <f aca="false">INDEX(Intereses_x_Obligacion!$I:$I,MATCH(C65,Intereses_x_Obligacion!$A:$A,0))</f>
        <v>309646400</v>
      </c>
      <c r="O65" s="15" t="n">
        <f aca="false">INDEX(Intereses_x_Obligacion!$F:$F,MATCH(C65,Intereses_x_Obligacion!$A:$A,0))</f>
        <v>0</v>
      </c>
      <c r="P65" s="15" t="n">
        <f aca="false">INDEX(Intereses_x_Obligacion!$L:$L,MATCH(C65,Intereses_x_Obligacion!$A:$A,0))</f>
        <v>4839280.59774044</v>
      </c>
      <c r="Q65" s="13" t="str">
        <f aca="false">IF(LEFT(Saldos_x_Obligacion!M8,3)="[C]","[C] [B]",IF(LEFT(Saldos_x_Obligacion!M8,3)="[E]","[E] [B]","[P]"))</f>
        <v>[C] [B]</v>
      </c>
    </row>
    <row r="66" customFormat="false" ht="15" hidden="false" customHeight="false" outlineLevel="0" collapsed="false">
      <c r="C66" s="12" t="s">
        <v>118</v>
      </c>
      <c r="D66" s="14" t="str">
        <f aca="false">Saldos_x_Obligacion!D9</f>
        <v>LEASING 1019441 – CAMION LZT 927</v>
      </c>
      <c r="E66" s="15" t="n">
        <f aca="false">Saldos_x_Obligacion!H9</f>
        <v>399387154</v>
      </c>
      <c r="F66" s="15" t="n">
        <f aca="false">Saldos_x_Obligacion!I9</f>
        <v>398582167.21439</v>
      </c>
      <c r="G66" s="15" t="n">
        <f aca="false">Saldos_x_Obligacion!J9</f>
        <v>398582167.21439</v>
      </c>
      <c r="H66" s="15" t="n">
        <f aca="false">Saldos_x_Obligacion!L9</f>
        <v>399387154</v>
      </c>
      <c r="I66" s="15" t="n">
        <f aca="false">Saldos_x_Obligacion!O9</f>
        <v>0</v>
      </c>
      <c r="J66" s="14" t="str">
        <f aca="false">IFERROR(INDEX(Detalle_62!$H$14:$H$35,MATCH(C66,Detalle_62!$C$14:$C$35,0)),"—")</f>
        <v>IBR</v>
      </c>
      <c r="K66" s="14" t="str">
        <f aca="false">IFERROR(INDEX(Detalle_62!$L$14:$L$35,MATCH(C66,Detalle_62!$C$14:$C$35,0)),"—")</f>
        <v>MENSUAL</v>
      </c>
      <c r="L66" s="20" t="n">
        <f aca="false">IFERROR(INDEX(Detalle_62!$P$14:$P$35,MATCH(C66,Detalle_62!$C$14:$C$35,0)),"—")</f>
        <v>47037</v>
      </c>
      <c r="M66" s="21" t="n">
        <f aca="false">IFERROR(INDEX(Certificados!$M:$M,MATCH(C66,Certificados!$E:$E,0)),"—")</f>
        <v>0.1603</v>
      </c>
      <c r="N66" s="15" t="n">
        <f aca="false">INDEX(Intereses_x_Obligacion!$I:$I,MATCH(C66,Intereses_x_Obligacion!$A:$A,0))</f>
        <v>31222019</v>
      </c>
      <c r="O66" s="15" t="n">
        <f aca="false">INDEX(Intereses_x_Obligacion!$F:$F,MATCH(C66,Intereses_x_Obligacion!$A:$A,0))</f>
        <v>0</v>
      </c>
      <c r="P66" s="15" t="n">
        <f aca="false">INDEX(Intereses_x_Obligacion!$L:$L,MATCH(C66,Intereses_x_Obligacion!$A:$A,0))</f>
        <v>2939106.2775128</v>
      </c>
      <c r="Q66" s="13" t="str">
        <f aca="false">IF(LEFT(Saldos_x_Obligacion!M9,3)="[C]","[C] [B]",IF(LEFT(Saldos_x_Obligacion!M9,3)="[E]","[E] [B]","[P]"))</f>
        <v>[E] [B]</v>
      </c>
    </row>
    <row r="67" customFormat="false" ht="15" hidden="false" customHeight="false" outlineLevel="0" collapsed="false">
      <c r="C67" s="12" t="s">
        <v>119</v>
      </c>
      <c r="D67" s="14" t="str">
        <f aca="false">Saldos_x_Obligacion!D10</f>
        <v>LEASING 1019448 – CAMION LZT 926</v>
      </c>
      <c r="E67" s="15" t="n">
        <f aca="false">Saldos_x_Obligacion!H10</f>
        <v>332999135</v>
      </c>
      <c r="F67" s="15" t="n">
        <f aca="false">Saldos_x_Obligacion!I10</f>
        <v>323529688.533944</v>
      </c>
      <c r="G67" s="15" t="n">
        <f aca="false">Saldos_x_Obligacion!J10</f>
        <v>323529688.533944</v>
      </c>
      <c r="H67" s="15" t="n">
        <f aca="false">Saldos_x_Obligacion!L10</f>
        <v>332999135</v>
      </c>
      <c r="I67" s="15" t="n">
        <f aca="false">Saldos_x_Obligacion!O10</f>
        <v>0</v>
      </c>
      <c r="J67" s="14" t="str">
        <f aca="false">IFERROR(INDEX(Detalle_62!$H$14:$H$35,MATCH(C67,Detalle_62!$C$14:$C$35,0)),"—")</f>
        <v>IBR</v>
      </c>
      <c r="K67" s="14" t="str">
        <f aca="false">IFERROR(INDEX(Detalle_62!$L$14:$L$35,MATCH(C67,Detalle_62!$C$14:$C$35,0)),"—")</f>
        <v>MENSUAL</v>
      </c>
      <c r="L67" s="20" t="n">
        <f aca="false">IFERROR(INDEX(Detalle_62!$P$14:$P$35,MATCH(C67,Detalle_62!$C$14:$C$35,0)),"—")</f>
        <v>47098</v>
      </c>
      <c r="M67" s="21" t="n">
        <f aca="false">IFERROR(INDEX(Certificados!$M:$M,MATCH(C67,Certificados!$E:$E,0)),"—")</f>
        <v>0.1593</v>
      </c>
      <c r="N67" s="15" t="n">
        <f aca="false">INDEX(Intereses_x_Obligacion!$I:$I,MATCH(C67,Intereses_x_Obligacion!$A:$A,0))</f>
        <v>25643813</v>
      </c>
      <c r="O67" s="15" t="n">
        <f aca="false">INDEX(Intereses_x_Obligacion!$F:$F,MATCH(C67,Intereses_x_Obligacion!$A:$A,0))</f>
        <v>0</v>
      </c>
      <c r="P67" s="15" t="n">
        <f aca="false">INDEX(Intereses_x_Obligacion!$L:$L,MATCH(C67,Intereses_x_Obligacion!$A:$A,0))</f>
        <v>3388544.07316055</v>
      </c>
      <c r="Q67" s="13" t="str">
        <f aca="false">IF(LEFT(Saldos_x_Obligacion!M10,3)="[C]","[C] [B]",IF(LEFT(Saldos_x_Obligacion!M10,3)="[E]","[E] [B]","[P]"))</f>
        <v>[E] [B]</v>
      </c>
    </row>
    <row r="68" customFormat="false" ht="22.35" hidden="false" customHeight="false" outlineLevel="0" collapsed="false">
      <c r="C68" s="12" t="s">
        <v>120</v>
      </c>
      <c r="D68" s="14" t="str">
        <f aca="false">Saldos_x_Obligacion!D11</f>
        <v>LEASING 10212753 – CALDERAS-SISTEMA DE ALIMENTACION BIOMASA</v>
      </c>
      <c r="E68" s="15" t="n">
        <f aca="false">Saldos_x_Obligacion!H11</f>
        <v>1876684264</v>
      </c>
      <c r="F68" s="15" t="n">
        <f aca="false">Saldos_x_Obligacion!I11</f>
        <v>1883712218.08706</v>
      </c>
      <c r="G68" s="15" t="n">
        <f aca="false">Saldos_x_Obligacion!J11</f>
        <v>1883712218.08706</v>
      </c>
      <c r="H68" s="15" t="n">
        <f aca="false">Saldos_x_Obligacion!L11</f>
        <v>1876684264</v>
      </c>
      <c r="I68" s="15" t="n">
        <f aca="false">Saldos_x_Obligacion!O11</f>
        <v>0</v>
      </c>
      <c r="J68" s="14" t="str">
        <f aca="false">IFERROR(INDEX(Detalle_62!$H$14:$H$35,MATCH(C68,Detalle_62!$C$14:$C$35,0)),"—")</f>
        <v>IBR 3 MESES</v>
      </c>
      <c r="K68" s="14" t="str">
        <f aca="false">IFERROR(INDEX(Detalle_62!$L$14:$L$35,MATCH(C68,Detalle_62!$C$14:$C$35,0)),"—")</f>
        <v>TRIMESTRAL</v>
      </c>
      <c r="L68" s="20" t="n">
        <f aca="false">IFERROR(INDEX(Detalle_62!$P$14:$P$35,MATCH(C68,Detalle_62!$C$14:$C$35,0)),"—")</f>
        <v>48235</v>
      </c>
      <c r="M68" s="21" t="n">
        <f aca="false">IFERROR(INDEX(Certificados!$M:$M,MATCH(C68,Certificados!$E:$E,0)),"—")</f>
        <v>0.1441</v>
      </c>
      <c r="N68" s="15" t="n">
        <f aca="false">INDEX(Intereses_x_Obligacion!$I:$I,MATCH(C68,Intereses_x_Obligacion!$A:$A,0))</f>
        <v>138538864</v>
      </c>
      <c r="O68" s="15" t="n">
        <f aca="false">INDEX(Intereses_x_Obligacion!$F:$F,MATCH(C68,Intereses_x_Obligacion!$A:$A,0))</f>
        <v>0</v>
      </c>
      <c r="P68" s="15" t="n">
        <f aca="false">INDEX(Intereses_x_Obligacion!$L:$L,MATCH(C68,Intereses_x_Obligacion!$A:$A,0))</f>
        <v>5545405.40210023</v>
      </c>
      <c r="Q68" s="13" t="str">
        <f aca="false">IF(LEFT(Saldos_x_Obligacion!M11,3)="[C]","[C] [B]",IF(LEFT(Saldos_x_Obligacion!M11,3)="[E]","[E] [B]","[P]"))</f>
        <v>[E] [B]</v>
      </c>
    </row>
    <row r="69" customFormat="false" ht="22.35" hidden="false" customHeight="false" outlineLevel="0" collapsed="false">
      <c r="C69" s="12" t="s">
        <v>121</v>
      </c>
      <c r="D69" s="14" t="str">
        <f aca="false">Saldos_x_Obligacion!D12</f>
        <v>Leasing 2 motogeneradores GECOLSA (no está en detalle 62)</v>
      </c>
      <c r="E69" s="15" t="n">
        <f aca="false">Saldos_x_Obligacion!H12</f>
        <v>213861900</v>
      </c>
      <c r="F69" s="15" t="n">
        <f aca="false">Saldos_x_Obligacion!I12</f>
        <v>0</v>
      </c>
      <c r="G69" s="15" t="str">
        <f aca="false">Saldos_x_Obligacion!J12</f>
        <v>Sin tabla</v>
      </c>
      <c r="H69" s="15" t="str">
        <f aca="false">Saldos_x_Obligacion!L12</f>
        <v>N/D</v>
      </c>
      <c r="I69" s="15" t="str">
        <f aca="false">Saldos_x_Obligacion!O12</f>
        <v>N/D</v>
      </c>
      <c r="J69" s="14" t="str">
        <f aca="false">IFERROR(INDEX(Detalle_62!$H$14:$H$35,MATCH(C69,Detalle_62!$C$14:$C$35,0)),"—")</f>
        <v>—</v>
      </c>
      <c r="K69" s="14" t="str">
        <f aca="false">IFERROR(INDEX(Detalle_62!$L$14:$L$35,MATCH(C69,Detalle_62!$C$14:$C$35,0)),"—")</f>
        <v>—</v>
      </c>
      <c r="L69" s="20" t="str">
        <f aca="false">IFERROR(INDEX(Detalle_62!$P$14:$P$35,MATCH(C69,Detalle_62!$C$14:$C$35,0)),"—")</f>
        <v>—</v>
      </c>
      <c r="M69" s="21" t="str">
        <f aca="false">IFERROR(INDEX(Certificados!$M:$M,MATCH(C69,Certificados!$E:$E,0)),"—")</f>
        <v>—</v>
      </c>
      <c r="N69" s="15" t="n">
        <f aca="false">INDEX(Intereses_x_Obligacion!$I:$I,MATCH(C69,Intereses_x_Obligacion!$A:$A,0))</f>
        <v>0</v>
      </c>
      <c r="O69" s="15" t="n">
        <f aca="false">INDEX(Intereses_x_Obligacion!$F:$F,MATCH(C69,Intereses_x_Obligacion!$A:$A,0))</f>
        <v>0</v>
      </c>
      <c r="P69" s="15" t="n">
        <f aca="false">INDEX(Intereses_x_Obligacion!$L:$L,MATCH(C69,Intereses_x_Obligacion!$A:$A,0))</f>
        <v>0</v>
      </c>
      <c r="Q69" s="13" t="str">
        <f aca="false">IF(LEFT(Saldos_x_Obligacion!M12,3)="[C]","[C] [B]",IF(LEFT(Saldos_x_Obligacion!M12,3)="[E]","[E] [B]","[P]"))</f>
        <v>[P]</v>
      </c>
    </row>
    <row r="70" customFormat="false" ht="15" hidden="false" customHeight="false" outlineLevel="0" collapsed="false">
      <c r="D70" s="17" t="s">
        <v>122</v>
      </c>
      <c r="E70" s="18" t="n">
        <f aca="false">SUM(E62:E69)</f>
        <v>17282932453</v>
      </c>
      <c r="F70" s="18" t="n">
        <f aca="false">SUM(F62:F69)</f>
        <v>17065824073.8354</v>
      </c>
      <c r="G70" s="18" t="n">
        <f aca="false">SUM(G62:G69)</f>
        <v>17065824073.8354</v>
      </c>
      <c r="H70" s="18" t="n">
        <f aca="false">SUM(H62:H69)</f>
        <v>17069062031.2</v>
      </c>
      <c r="I70" s="18" t="n">
        <f aca="false">SUM(I62:I69)</f>
        <v>8521.7999997139</v>
      </c>
      <c r="N70" s="18" t="n">
        <f aca="false">SUM(N62:N69)</f>
        <v>1391910513</v>
      </c>
      <c r="O70" s="18" t="n">
        <f aca="false">SUM(O62:O69)</f>
        <v>372400000</v>
      </c>
      <c r="P70" s="18" t="n">
        <f aca="false">SUM(P62:P69)</f>
        <v>421836627.18865</v>
      </c>
    </row>
    <row r="72" customFormat="false" ht="15" hidden="false" customHeight="false" outlineLevel="0" collapsed="false">
      <c r="C72" s="19" t="s">
        <v>123</v>
      </c>
    </row>
    <row r="73" customFormat="false" ht="30" hidden="false" customHeight="true" outlineLevel="0" collapsed="false">
      <c r="C73" s="4" t="s">
        <v>99</v>
      </c>
      <c r="D73" s="4" t="s">
        <v>100</v>
      </c>
      <c r="E73" s="4" t="s">
        <v>101</v>
      </c>
      <c r="F73" s="4" t="s">
        <v>102</v>
      </c>
      <c r="G73" s="4" t="s">
        <v>103</v>
      </c>
      <c r="H73" s="4" t="s">
        <v>104</v>
      </c>
      <c r="I73" s="4" t="s">
        <v>105</v>
      </c>
      <c r="J73" s="4" t="s">
        <v>106</v>
      </c>
      <c r="K73" s="4" t="s">
        <v>107</v>
      </c>
      <c r="L73" s="4" t="s">
        <v>108</v>
      </c>
      <c r="M73" s="4" t="s">
        <v>109</v>
      </c>
      <c r="N73" s="4" t="s">
        <v>110</v>
      </c>
      <c r="O73" s="4" t="s">
        <v>111</v>
      </c>
      <c r="P73" s="4" t="s">
        <v>112</v>
      </c>
      <c r="Q73" s="4" t="s">
        <v>113</v>
      </c>
    </row>
    <row r="74" customFormat="false" ht="15" hidden="false" customHeight="false" outlineLevel="0" collapsed="false">
      <c r="C74" s="12" t="s">
        <v>124</v>
      </c>
      <c r="D74" s="14" t="str">
        <f aca="false">Saldos_x_Obligacion!D13</f>
        <v>453436746 – CRED TESORERIA</v>
      </c>
      <c r="E74" s="15" t="n">
        <f aca="false">Saldos_x_Obligacion!H13</f>
        <v>2937500000</v>
      </c>
      <c r="F74" s="15" t="n">
        <f aca="false">Saldos_x_Obligacion!I13</f>
        <v>2937500000</v>
      </c>
      <c r="G74" s="15" t="n">
        <f aca="false">Saldos_x_Obligacion!J13</f>
        <v>2937500000</v>
      </c>
      <c r="H74" s="15" t="n">
        <f aca="false">Saldos_x_Obligacion!L13</f>
        <v>2937499977.39</v>
      </c>
      <c r="I74" s="15" t="n">
        <f aca="false">Saldos_x_Obligacion!O13</f>
        <v>22.6100001335144</v>
      </c>
      <c r="J74" s="14" t="str">
        <f aca="false">IFERROR(INDEX(Detalle_62!$H$14:$H$35,MATCH(C74,Detalle_62!$C$14:$C$35,0)),"—")</f>
        <v>IBR</v>
      </c>
      <c r="K74" s="14" t="str">
        <f aca="false">IFERROR(INDEX(Detalle_62!$L$14:$L$35,MATCH(C74,Detalle_62!$C$14:$C$35,0)),"—")</f>
        <v>MENSUAL</v>
      </c>
      <c r="L74" s="20" t="n">
        <f aca="false">IFERROR(INDEX(Detalle_62!$P$14:$P$35,MATCH(C74,Detalle_62!$C$14:$C$35,0)),"—")</f>
        <v>47651</v>
      </c>
      <c r="M74" s="21" t="n">
        <f aca="false">IFERROR(INDEX(Certificados!$M:$M,MATCH(C74,Certificados!$E:$E,0)),"—")</f>
        <v>0.1696</v>
      </c>
      <c r="N74" s="15" t="n">
        <f aca="false">INDEX(Intereses_x_Obligacion!$I:$I,MATCH(C74,Intereses_x_Obligacion!$A:$A,0))</f>
        <v>232297663.36</v>
      </c>
      <c r="O74" s="15" t="n">
        <f aca="false">INDEX(Intereses_x_Obligacion!$F:$F,MATCH(C74,Intereses_x_Obligacion!$A:$A,0))</f>
        <v>0</v>
      </c>
      <c r="P74" s="15" t="n">
        <f aca="false">INDEX(Intereses_x_Obligacion!$L:$L,MATCH(C74,Intereses_x_Obligacion!$A:$A,0))</f>
        <v>17704418.3193534</v>
      </c>
      <c r="Q74" s="13" t="str">
        <f aca="false">IF(LEFT(Saldos_x_Obligacion!M13,3)="[C]","[C] [B]",IF(LEFT(Saldos_x_Obligacion!M13,3)="[E]","[E] [B]","[P]"))</f>
        <v>[C] [B]</v>
      </c>
    </row>
    <row r="75" customFormat="false" ht="15" hidden="false" customHeight="false" outlineLevel="0" collapsed="false">
      <c r="C75" s="12" t="s">
        <v>125</v>
      </c>
      <c r="D75" s="14" t="str">
        <f aca="false">Saldos_x_Obligacion!D14</f>
        <v>856670629 – CRED TESORERIA</v>
      </c>
      <c r="E75" s="15" t="n">
        <f aca="false">Saldos_x_Obligacion!H14</f>
        <v>1457333332</v>
      </c>
      <c r="F75" s="15" t="n">
        <f aca="false">Saldos_x_Obligacion!I14</f>
        <v>1457333332</v>
      </c>
      <c r="G75" s="15" t="n">
        <f aca="false">Saldos_x_Obligacion!J14</f>
        <v>1457333336</v>
      </c>
      <c r="H75" s="15" t="n">
        <f aca="false">Saldos_x_Obligacion!L14</f>
        <v>1457333325.59</v>
      </c>
      <c r="I75" s="15" t="n">
        <f aca="false">Saldos_x_Obligacion!O14</f>
        <v>6.41000008583069</v>
      </c>
      <c r="J75" s="14" t="str">
        <f aca="false">IFERROR(INDEX(Detalle_62!$H$14:$H$35,MATCH(C75,Detalle_62!$C$14:$C$35,0)),"—")</f>
        <v>IBR 3 MESES</v>
      </c>
      <c r="K75" s="14" t="str">
        <f aca="false">IFERROR(INDEX(Detalle_62!$L$14:$L$35,MATCH(C75,Detalle_62!$C$14:$C$35,0)),"—")</f>
        <v>TRIMESTRAL</v>
      </c>
      <c r="L75" s="20" t="n">
        <f aca="false">IFERROR(INDEX(Detalle_62!$P$14:$P$35,MATCH(C75,Detalle_62!$C$14:$C$35,0)),"—")</f>
        <v>46925</v>
      </c>
      <c r="M75" s="21" t="n">
        <f aca="false">IFERROR(INDEX(Certificados!$M:$M,MATCH(C75,Certificados!$E:$E,0)),"—")</f>
        <v>0.1494</v>
      </c>
      <c r="N75" s="15" t="n">
        <f aca="false">INDEX(Intereses_x_Obligacion!$I:$I,MATCH(C75,Intereses_x_Obligacion!$A:$A,0))</f>
        <v>133305619</v>
      </c>
      <c r="O75" s="15" t="n">
        <f aca="false">INDEX(Intereses_x_Obligacion!$F:$F,MATCH(C75,Intereses_x_Obligacion!$A:$A,0))</f>
        <v>17825616</v>
      </c>
      <c r="P75" s="15" t="n">
        <f aca="false">INDEX(Intereses_x_Obligacion!$L:$L,MATCH(C75,Intereses_x_Obligacion!$A:$A,0))</f>
        <v>22721889.9812955</v>
      </c>
      <c r="Q75" s="13" t="str">
        <f aca="false">IF(LEFT(Saldos_x_Obligacion!M14,3)="[C]","[C] [B]",IF(LEFT(Saldos_x_Obligacion!M14,3)="[E]","[E] [B]","[P]"))</f>
        <v>[C] [B]</v>
      </c>
    </row>
    <row r="76" customFormat="false" ht="15" hidden="false" customHeight="false" outlineLevel="0" collapsed="false">
      <c r="C76" s="12" t="s">
        <v>126</v>
      </c>
      <c r="D76" s="14" t="str">
        <f aca="false">Saldos_x_Obligacion!D15</f>
        <v>858177259 – CRED TESORERIA</v>
      </c>
      <c r="E76" s="15" t="n">
        <f aca="false">Saldos_x_Obligacion!H15</f>
        <v>1125000000</v>
      </c>
      <c r="F76" s="15" t="n">
        <f aca="false">Saldos_x_Obligacion!I15</f>
        <v>1125000000</v>
      </c>
      <c r="G76" s="15" t="n">
        <f aca="false">Saldos_x_Obligacion!J15</f>
        <v>1125000000</v>
      </c>
      <c r="H76" s="15" t="n">
        <f aca="false">Saldos_x_Obligacion!L15</f>
        <v>1124999996.41</v>
      </c>
      <c r="I76" s="15" t="n">
        <f aca="false">Saldos_x_Obligacion!O15</f>
        <v>3.58999991416931</v>
      </c>
      <c r="J76" s="14" t="str">
        <f aca="false">IFERROR(INDEX(Detalle_62!$H$14:$H$35,MATCH(C76,Detalle_62!$C$14:$C$35,0)),"—")</f>
        <v>IBR 3 MESES</v>
      </c>
      <c r="K76" s="14" t="str">
        <f aca="false">IFERROR(INDEX(Detalle_62!$L$14:$L$35,MATCH(C76,Detalle_62!$C$14:$C$35,0)),"—")</f>
        <v>TRIMESTRAL</v>
      </c>
      <c r="L76" s="20" t="n">
        <f aca="false">IFERROR(INDEX(Detalle_62!$P$14:$P$35,MATCH(C76,Detalle_62!$C$14:$C$35,0)),"—")</f>
        <v>46990</v>
      </c>
      <c r="M76" s="21" t="n">
        <f aca="false">IFERROR(INDEX(Certificados!$M:$M,MATCH(C76,Certificados!$E:$E,0)),"—")</f>
        <v>0.1665</v>
      </c>
      <c r="N76" s="15" t="n">
        <f aca="false">INDEX(Intereses_x_Obligacion!$I:$I,MATCH(C76,Intereses_x_Obligacion!$A:$A,0))</f>
        <v>108941341</v>
      </c>
      <c r="O76" s="15" t="n">
        <f aca="false">INDEX(Intereses_x_Obligacion!$F:$F,MATCH(C76,Intereses_x_Obligacion!$A:$A,0))</f>
        <v>30088126</v>
      </c>
      <c r="P76" s="15" t="n">
        <f aca="false">INDEX(Intereses_x_Obligacion!$L:$L,MATCH(C76,Intereses_x_Obligacion!$A:$A,0))</f>
        <v>32711950.3469859</v>
      </c>
      <c r="Q76" s="13" t="str">
        <f aca="false">IF(LEFT(Saldos_x_Obligacion!M15,3)="[C]","[C] [B]",IF(LEFT(Saldos_x_Obligacion!M15,3)="[E]","[E] [B]","[P]"))</f>
        <v>[C] [B]</v>
      </c>
    </row>
    <row r="77" customFormat="false" ht="15" hidden="false" customHeight="false" outlineLevel="0" collapsed="false">
      <c r="C77" s="12" t="s">
        <v>127</v>
      </c>
      <c r="D77" s="14" t="str">
        <f aca="false">Saldos_x_Obligacion!D16</f>
        <v>Crédito 1155297469 → prorrogado 1159383796</v>
      </c>
      <c r="E77" s="15" t="n">
        <f aca="false">Saldos_x_Obligacion!H16</f>
        <v>10000000000</v>
      </c>
      <c r="F77" s="15" t="n">
        <f aca="false">Saldos_x_Obligacion!I16</f>
        <v>10000000000</v>
      </c>
      <c r="G77" s="15" t="n">
        <f aca="false">Saldos_x_Obligacion!J16</f>
        <v>10000000000</v>
      </c>
      <c r="H77" s="15" t="n">
        <f aca="false">Saldos_x_Obligacion!L16</f>
        <v>10000000000</v>
      </c>
      <c r="I77" s="15" t="n">
        <f aca="false">Saldos_x_Obligacion!O16</f>
        <v>0</v>
      </c>
      <c r="J77" s="14" t="str">
        <f aca="false">IFERROR(INDEX(Detalle_62!$H$14:$H$35,MATCH(C77,Detalle_62!$C$14:$C$35,0)),"—")</f>
        <v>IBR 3 MESES</v>
      </c>
      <c r="K77" s="14" t="str">
        <f aca="false">IFERROR(INDEX(Detalle_62!$L$14:$L$35,MATCH(C77,Detalle_62!$C$14:$C$35,0)),"—")</f>
        <v>SEMESTRAL</v>
      </c>
      <c r="L77" s="20" t="n">
        <f aca="false">IFERROR(INDEX(Detalle_62!$P$14:$P$35,MATCH(C77,Detalle_62!$C$14:$C$35,0)),"—")</f>
        <v>46409</v>
      </c>
      <c r="M77" s="21" t="n">
        <f aca="false">IFERROR(INDEX(Certificados!$M:$M,MATCH(C77,Certificados!$E:$E,0)),"—")</f>
        <v>0.1239</v>
      </c>
      <c r="N77" s="15" t="n">
        <f aca="false">INDEX(Intereses_x_Obligacion!$I:$I,MATCH(C77,Intereses_x_Obligacion!$A:$A,0))</f>
        <v>554228055</v>
      </c>
      <c r="O77" s="15" t="n">
        <f aca="false">INDEX(Intereses_x_Obligacion!$F:$F,MATCH(C77,Intereses_x_Obligacion!$A:$A,0))</f>
        <v>0</v>
      </c>
      <c r="P77" s="15" t="n">
        <f aca="false">INDEX(Intereses_x_Obligacion!$L:$L,MATCH(C77,Intereses_x_Obligacion!$A:$A,0))</f>
        <v>30518760.5171553</v>
      </c>
      <c r="Q77" s="13" t="str">
        <f aca="false">IF(LEFT(Saldos_x_Obligacion!M16,3)="[C]","[C] [B]",IF(LEFT(Saldos_x_Obligacion!M16,3)="[E]","[E] [B]","[P]"))</f>
        <v>[C] [B]</v>
      </c>
    </row>
    <row r="78" customFormat="false" ht="15" hidden="false" customHeight="false" outlineLevel="0" collapsed="false">
      <c r="C78" s="12" t="s">
        <v>128</v>
      </c>
      <c r="D78" s="14" t="str">
        <f aca="false">Saldos_x_Obligacion!D17</f>
        <v>LEASING 556449224 – POZO # 1</v>
      </c>
      <c r="E78" s="15" t="n">
        <f aca="false">Saldos_x_Obligacion!H17</f>
        <v>396112029.98</v>
      </c>
      <c r="F78" s="15" t="n">
        <f aca="false">Saldos_x_Obligacion!I17</f>
        <v>381845387.419314</v>
      </c>
      <c r="G78" s="15" t="n">
        <f aca="false">Saldos_x_Obligacion!J17</f>
        <v>381845387.419314</v>
      </c>
      <c r="H78" s="15" t="n">
        <f aca="false">Saldos_x_Obligacion!L17</f>
        <v>396112029.65</v>
      </c>
      <c r="I78" s="15" t="n">
        <f aca="false">Saldos_x_Obligacion!O17</f>
        <v>0.329999983310699</v>
      </c>
      <c r="J78" s="14" t="str">
        <f aca="false">IFERROR(INDEX(Detalle_62!$H$14:$H$35,MATCH(C78,Detalle_62!$C$14:$C$35,0)),"—")</f>
        <v>DTF</v>
      </c>
      <c r="K78" s="14" t="str">
        <f aca="false">IFERROR(INDEX(Detalle_62!$L$14:$L$35,MATCH(C78,Detalle_62!$C$14:$C$35,0)),"—")</f>
        <v>TRIMESTRAL</v>
      </c>
      <c r="L78" s="20" t="n">
        <f aca="false">IFERROR(INDEX(Detalle_62!$P$14:$P$35,MATCH(C78,Detalle_62!$C$14:$C$35,0)),"—")</f>
        <v>47503</v>
      </c>
      <c r="M78" s="21" t="n">
        <f aca="false">IFERROR(INDEX(Certificados!$M:$M,MATCH(C78,Certificados!$E:$E,0)),"—")</f>
        <v>0.1422</v>
      </c>
      <c r="N78" s="15" t="n">
        <f aca="false">INDEX(Intereses_x_Obligacion!$I:$I,MATCH(C78,Intereses_x_Obligacion!$A:$A,0))</f>
        <v>31068671</v>
      </c>
      <c r="O78" s="15" t="n">
        <f aca="false">INDEX(Intereses_x_Obligacion!$F:$F,MATCH(C78,Intereses_x_Obligacion!$A:$A,0))</f>
        <v>0</v>
      </c>
      <c r="P78" s="15" t="n">
        <f aca="false">INDEX(Intereses_x_Obligacion!$L:$L,MATCH(C78,Intereses_x_Obligacion!$A:$A,0))</f>
        <v>1155997.19932213</v>
      </c>
      <c r="Q78" s="13" t="str">
        <f aca="false">IF(LEFT(Saldos_x_Obligacion!M17,3)="[C]","[C] [B]",IF(LEFT(Saldos_x_Obligacion!M17,3)="[E]","[E] [B]","[P]"))</f>
        <v>[C] [B]</v>
      </c>
    </row>
    <row r="79" customFormat="false" ht="15" hidden="false" customHeight="false" outlineLevel="0" collapsed="false">
      <c r="C79" s="12" t="s">
        <v>129</v>
      </c>
      <c r="D79" s="14" t="str">
        <f aca="false">Saldos_x_Obligacion!D18</f>
        <v>LEASING 556449180 – POZO # 2</v>
      </c>
      <c r="E79" s="15" t="n">
        <f aca="false">Saldos_x_Obligacion!H18</f>
        <v>396112030.02</v>
      </c>
      <c r="F79" s="15" t="n">
        <f aca="false">Saldos_x_Obligacion!I18</f>
        <v>381845387.419314</v>
      </c>
      <c r="G79" s="15" t="n">
        <f aca="false">Saldos_x_Obligacion!J18</f>
        <v>381845387.419314</v>
      </c>
      <c r="H79" s="15" t="n">
        <f aca="false">Saldos_x_Obligacion!L18</f>
        <v>396112029.8</v>
      </c>
      <c r="I79" s="15" t="n">
        <f aca="false">Saldos_x_Obligacion!O18</f>
        <v>0.219999969005585</v>
      </c>
      <c r="J79" s="14" t="str">
        <f aca="false">IFERROR(INDEX(Detalle_62!$H$14:$H$35,MATCH(C79,Detalle_62!$C$14:$C$35,0)),"—")</f>
        <v>DTF</v>
      </c>
      <c r="K79" s="14" t="str">
        <f aca="false">IFERROR(INDEX(Detalle_62!$L$14:$L$35,MATCH(C79,Detalle_62!$C$14:$C$35,0)),"—")</f>
        <v>TRIMESTRAL</v>
      </c>
      <c r="L79" s="20" t="n">
        <f aca="false">IFERROR(INDEX(Detalle_62!$P$14:$P$35,MATCH(C79,Detalle_62!$C$14:$C$35,0)),"—")</f>
        <v>47503</v>
      </c>
      <c r="M79" s="21" t="n">
        <f aca="false">IFERROR(INDEX(Certificados!$M:$M,MATCH(C79,Certificados!$E:$E,0)),"—")</f>
        <v>0.1422</v>
      </c>
      <c r="N79" s="15" t="n">
        <f aca="false">INDEX(Intereses_x_Obligacion!$I:$I,MATCH(C79,Intereses_x_Obligacion!$A:$A,0))</f>
        <v>31068672</v>
      </c>
      <c r="O79" s="15" t="n">
        <f aca="false">INDEX(Intereses_x_Obligacion!$F:$F,MATCH(C79,Intereses_x_Obligacion!$A:$A,0))</f>
        <v>0</v>
      </c>
      <c r="P79" s="15" t="n">
        <f aca="false">INDEX(Intereses_x_Obligacion!$L:$L,MATCH(C79,Intereses_x_Obligacion!$A:$A,0))</f>
        <v>1155997.19975989</v>
      </c>
      <c r="Q79" s="13" t="str">
        <f aca="false">IF(LEFT(Saldos_x_Obligacion!M18,3)="[C]","[C] [B]",IF(LEFT(Saldos_x_Obligacion!M18,3)="[E]","[E] [B]","[P]"))</f>
        <v>[C] [B]</v>
      </c>
    </row>
    <row r="80" customFormat="false" ht="15" hidden="false" customHeight="false" outlineLevel="0" collapsed="false">
      <c r="C80" s="12" t="s">
        <v>130</v>
      </c>
      <c r="D80" s="14" t="str">
        <f aca="false">Saldos_x_Obligacion!D19</f>
        <v>LEASING 556449117 – POZO # 3</v>
      </c>
      <c r="E80" s="15" t="n">
        <f aca="false">Saldos_x_Obligacion!H19</f>
        <v>253672104.96</v>
      </c>
      <c r="F80" s="15" t="n">
        <f aca="false">Saldos_x_Obligacion!I19</f>
        <v>196720178.445431</v>
      </c>
      <c r="G80" s="15" t="n">
        <f aca="false">Saldos_x_Obligacion!J19</f>
        <v>196720178.445431</v>
      </c>
      <c r="H80" s="15" t="n">
        <f aca="false">Saldos_x_Obligacion!L19</f>
        <v>253672105.02</v>
      </c>
      <c r="I80" s="15" t="n">
        <f aca="false">Saldos_x_Obligacion!O19</f>
        <v>-0.0600000321865082</v>
      </c>
      <c r="J80" s="14" t="str">
        <f aca="false">IFERROR(INDEX(Detalle_62!$H$14:$H$35,MATCH(C80,Detalle_62!$C$14:$C$35,0)),"—")</f>
        <v>DTF</v>
      </c>
      <c r="K80" s="14" t="str">
        <f aca="false">IFERROR(INDEX(Detalle_62!$L$14:$L$35,MATCH(C80,Detalle_62!$C$14:$C$35,0)),"—")</f>
        <v>TRIMESTRAL</v>
      </c>
      <c r="L80" s="20" t="n">
        <f aca="false">IFERROR(INDEX(Detalle_62!$P$14:$P$35,MATCH(C80,Detalle_62!$C$14:$C$35,0)),"—")</f>
        <v>46870</v>
      </c>
      <c r="M80" s="21" t="n">
        <f aca="false">IFERROR(INDEX(Certificados!$M:$M,MATCH(C80,Certificados!$E:$E,0)),"—")</f>
        <v>0.1425</v>
      </c>
      <c r="N80" s="15" t="n">
        <f aca="false">INDEX(Intereses_x_Obligacion!$I:$I,MATCH(C80,Intereses_x_Obligacion!$A:$A,0))</f>
        <v>28058555</v>
      </c>
      <c r="O80" s="15" t="n">
        <f aca="false">INDEX(Intereses_x_Obligacion!$F:$F,MATCH(C80,Intereses_x_Obligacion!$A:$A,0))</f>
        <v>0</v>
      </c>
      <c r="P80" s="15" t="n">
        <f aca="false">INDEX(Intereses_x_Obligacion!$L:$L,MATCH(C80,Intereses_x_Obligacion!$A:$A,0))</f>
        <v>370614.629600578</v>
      </c>
      <c r="Q80" s="13" t="str">
        <f aca="false">IF(LEFT(Saldos_x_Obligacion!M19,3)="[C]","[C] [B]",IF(LEFT(Saldos_x_Obligacion!M19,3)="[E]","[E] [B]","[P]"))</f>
        <v>[C] [B]</v>
      </c>
    </row>
    <row r="81" customFormat="false" ht="15" hidden="false" customHeight="false" outlineLevel="0" collapsed="false">
      <c r="C81" s="12" t="s">
        <v>131</v>
      </c>
      <c r="D81" s="14" t="str">
        <f aca="false">Saldos_x_Obligacion!D20</f>
        <v>LEASING 556449064 – POZO # 4</v>
      </c>
      <c r="E81" s="15" t="n">
        <f aca="false">Saldos_x_Obligacion!H20</f>
        <v>253672104.16</v>
      </c>
      <c r="F81" s="15" t="n">
        <f aca="false">Saldos_x_Obligacion!I20</f>
        <v>196720178.445431</v>
      </c>
      <c r="G81" s="15" t="n">
        <f aca="false">Saldos_x_Obligacion!J20</f>
        <v>196720178.445431</v>
      </c>
      <c r="H81" s="15" t="n">
        <f aca="false">Saldos_x_Obligacion!L20</f>
        <v>253672104.94</v>
      </c>
      <c r="I81" s="15" t="n">
        <f aca="false">Saldos_x_Obligacion!O20</f>
        <v>-0.780000030994415</v>
      </c>
      <c r="J81" s="14" t="str">
        <f aca="false">IFERROR(INDEX(Detalle_62!$H$14:$H$35,MATCH(C81,Detalle_62!$C$14:$C$35,0)),"—")</f>
        <v>DTF</v>
      </c>
      <c r="K81" s="14" t="str">
        <f aca="false">IFERROR(INDEX(Detalle_62!$L$14:$L$35,MATCH(C81,Detalle_62!$C$14:$C$35,0)),"—")</f>
        <v>TRIMESTRAL</v>
      </c>
      <c r="L81" s="20" t="n">
        <f aca="false">IFERROR(INDEX(Detalle_62!$P$14:$P$35,MATCH(C81,Detalle_62!$C$14:$C$35,0)),"—")</f>
        <v>46870</v>
      </c>
      <c r="M81" s="21" t="n">
        <f aca="false">IFERROR(INDEX(Certificados!$M:$M,MATCH(C81,Certificados!$E:$E,0)),"—")</f>
        <v>0.1425</v>
      </c>
      <c r="N81" s="15" t="n">
        <f aca="false">INDEX(Intereses_x_Obligacion!$I:$I,MATCH(C81,Intereses_x_Obligacion!$A:$A,0))</f>
        <v>28058555</v>
      </c>
      <c r="O81" s="15" t="n">
        <f aca="false">INDEX(Intereses_x_Obligacion!$F:$F,MATCH(C81,Intereses_x_Obligacion!$A:$A,0))</f>
        <v>0</v>
      </c>
      <c r="P81" s="15" t="n">
        <f aca="false">INDEX(Intereses_x_Obligacion!$L:$L,MATCH(C81,Intereses_x_Obligacion!$A:$A,0))</f>
        <v>370614.629483698</v>
      </c>
      <c r="Q81" s="13" t="str">
        <f aca="false">IF(LEFT(Saldos_x_Obligacion!M20,3)="[C]","[C] [B]",IF(LEFT(Saldos_x_Obligacion!M20,3)="[E]","[E] [B]","[P]"))</f>
        <v>[C] [B]</v>
      </c>
    </row>
    <row r="82" customFormat="false" ht="15" hidden="false" customHeight="false" outlineLevel="0" collapsed="false">
      <c r="C82" s="12" t="s">
        <v>132</v>
      </c>
      <c r="D82" s="14" t="str">
        <f aca="false">Saldos_x_Obligacion!D21</f>
        <v>LEASING 556449288 – POZO # 5</v>
      </c>
      <c r="E82" s="15" t="n">
        <f aca="false">Saldos_x_Obligacion!H21</f>
        <v>396193943.4</v>
      </c>
      <c r="F82" s="15" t="n">
        <f aca="false">Saldos_x_Obligacion!I21</f>
        <v>382649239.487494</v>
      </c>
      <c r="G82" s="15" t="n">
        <f aca="false">Saldos_x_Obligacion!J21</f>
        <v>382649239.487494</v>
      </c>
      <c r="H82" s="15" t="n">
        <f aca="false">Saldos_x_Obligacion!L21</f>
        <v>396193942.08</v>
      </c>
      <c r="I82" s="15" t="n">
        <f aca="false">Saldos_x_Obligacion!O21</f>
        <v>1.31999999284744</v>
      </c>
      <c r="J82" s="14" t="str">
        <f aca="false">IFERROR(INDEX(Detalle_62!$H$14:$H$35,MATCH(C82,Detalle_62!$C$14:$C$35,0)),"—")</f>
        <v>DTF</v>
      </c>
      <c r="K82" s="14" t="str">
        <f aca="false">IFERROR(INDEX(Detalle_62!$L$14:$L$35,MATCH(C82,Detalle_62!$C$14:$C$35,0)),"—")</f>
        <v>TRIMESTRAL</v>
      </c>
      <c r="L82" s="20" t="n">
        <f aca="false">IFERROR(INDEX(Detalle_62!$P$14:$P$35,MATCH(C82,Detalle_62!$C$14:$C$35,0)),"—")</f>
        <v>47503</v>
      </c>
      <c r="M82" s="21" t="n">
        <f aca="false">IFERROR(INDEX(Certificados!$M:$M,MATCH(C82,Certificados!$E:$E,0)),"—")</f>
        <v>0.1422</v>
      </c>
      <c r="N82" s="15" t="n">
        <f aca="false">INDEX(Intereses_x_Obligacion!$I:$I,MATCH(C82,Intereses_x_Obligacion!$A:$A,0))</f>
        <v>30902950</v>
      </c>
      <c r="O82" s="15" t="n">
        <f aca="false">INDEX(Intereses_x_Obligacion!$F:$F,MATCH(C82,Intereses_x_Obligacion!$A:$A,0))</f>
        <v>0.159999996423721</v>
      </c>
      <c r="P82" s="15" t="n">
        <f aca="false">INDEX(Intereses_x_Obligacion!$L:$L,MATCH(C82,Intereses_x_Obligacion!$A:$A,0))</f>
        <v>1590694.25438737</v>
      </c>
      <c r="Q82" s="13" t="str">
        <f aca="false">IF(LEFT(Saldos_x_Obligacion!M21,3)="[C]","[C] [B]",IF(LEFT(Saldos_x_Obligacion!M21,3)="[E]","[E] [B]","[P]"))</f>
        <v>[C] [B]</v>
      </c>
    </row>
    <row r="83" customFormat="false" ht="22.35" hidden="false" customHeight="false" outlineLevel="0" collapsed="false">
      <c r="C83" s="12" t="s">
        <v>133</v>
      </c>
      <c r="D83" s="14" t="str">
        <f aca="false">Saldos_x_Obligacion!D22</f>
        <v>LEASING 557285005 – PLANTA ELECTRICA JENBACHER</v>
      </c>
      <c r="E83" s="15" t="n">
        <f aca="false">Saldos_x_Obligacion!H22</f>
        <v>984246886.81</v>
      </c>
      <c r="F83" s="15" t="n">
        <f aca="false">Saldos_x_Obligacion!I22</f>
        <v>968620472.418459</v>
      </c>
      <c r="G83" s="15" t="n">
        <f aca="false">Saldos_x_Obligacion!J22</f>
        <v>968620472.418459</v>
      </c>
      <c r="H83" s="15" t="n">
        <f aca="false">Saldos_x_Obligacion!L22</f>
        <v>984246886.51</v>
      </c>
      <c r="I83" s="15" t="n">
        <f aca="false">Saldos_x_Obligacion!O22</f>
        <v>0.300000190734863</v>
      </c>
      <c r="J83" s="14" t="str">
        <f aca="false">IFERROR(INDEX(Detalle_62!$H$14:$H$35,MATCH(C83,Detalle_62!$C$14:$C$35,0)),"—")</f>
        <v>IBR 3 MESES</v>
      </c>
      <c r="K83" s="14" t="str">
        <f aca="false">IFERROR(INDEX(Detalle_62!$L$14:$L$35,MATCH(C83,Detalle_62!$C$14:$C$35,0)),"—")</f>
        <v>TRIMESTRAL</v>
      </c>
      <c r="L83" s="20" t="n">
        <f aca="false">IFERROR(INDEX(Detalle_62!$P$14:$P$35,MATCH(C83,Detalle_62!$C$14:$C$35,0)),"—")</f>
        <v>47321</v>
      </c>
      <c r="M83" s="21" t="n">
        <f aca="false">IFERROR(INDEX(Certificados!$M:$M,MATCH(C83,Certificados!$E:$E,0)),"—")</f>
        <v>0.1604</v>
      </c>
      <c r="N83" s="15" t="n">
        <f aca="false">INDEX(Intereses_x_Obligacion!$I:$I,MATCH(C83,Intereses_x_Obligacion!$A:$A,0))</f>
        <v>89512386</v>
      </c>
      <c r="O83" s="15" t="n">
        <f aca="false">INDEX(Intereses_x_Obligacion!$F:$F,MATCH(C83,Intereses_x_Obligacion!$A:$A,0))</f>
        <v>0</v>
      </c>
      <c r="P83" s="15" t="n">
        <f aca="false">INDEX(Intereses_x_Obligacion!$L:$L,MATCH(C83,Intereses_x_Obligacion!$A:$A,0))</f>
        <v>3617017.21971566</v>
      </c>
      <c r="Q83" s="13" t="str">
        <f aca="false">IF(LEFT(Saldos_x_Obligacion!M22,3)="[C]","[C] [B]",IF(LEFT(Saldos_x_Obligacion!M22,3)="[E]","[E] [B]","[P]"))</f>
        <v>[C] [B]</v>
      </c>
    </row>
    <row r="84" customFormat="false" ht="15" hidden="false" customHeight="false" outlineLevel="0" collapsed="false">
      <c r="D84" s="17" t="s">
        <v>122</v>
      </c>
      <c r="E84" s="18" t="n">
        <f aca="false">SUM(E74:E83)</f>
        <v>18199842431.33</v>
      </c>
      <c r="F84" s="18" t="n">
        <f aca="false">SUM(F74:F83)</f>
        <v>18028234175.6354</v>
      </c>
      <c r="G84" s="18" t="n">
        <f aca="false">SUM(G74:G83)</f>
        <v>18028234179.6354</v>
      </c>
      <c r="H84" s="18" t="n">
        <f aca="false">SUM(H74:H83)</f>
        <v>18199842397.39</v>
      </c>
      <c r="I84" s="18" t="n">
        <f aca="false">SUM(I74:I83)</f>
        <v>33.9400002062321</v>
      </c>
      <c r="N84" s="18" t="n">
        <f aca="false">SUM(N74:N83)</f>
        <v>1267442467.36</v>
      </c>
      <c r="O84" s="18" t="n">
        <f aca="false">SUM(O74:O83)</f>
        <v>47913742.16</v>
      </c>
      <c r="P84" s="18" t="n">
        <f aca="false">SUM(P74:P83)</f>
        <v>111917954.297059</v>
      </c>
    </row>
    <row r="86" customFormat="false" ht="15" hidden="false" customHeight="false" outlineLevel="0" collapsed="false">
      <c r="C86" s="19" t="s">
        <v>134</v>
      </c>
    </row>
    <row r="87" customFormat="false" ht="30" hidden="false" customHeight="true" outlineLevel="0" collapsed="false">
      <c r="C87" s="4" t="s">
        <v>99</v>
      </c>
      <c r="D87" s="4" t="s">
        <v>100</v>
      </c>
      <c r="E87" s="4" t="s">
        <v>101</v>
      </c>
      <c r="F87" s="4" t="s">
        <v>102</v>
      </c>
      <c r="G87" s="4" t="s">
        <v>103</v>
      </c>
      <c r="H87" s="4" t="s">
        <v>104</v>
      </c>
      <c r="I87" s="4" t="s">
        <v>105</v>
      </c>
      <c r="J87" s="4" t="s">
        <v>106</v>
      </c>
      <c r="K87" s="4" t="s">
        <v>107</v>
      </c>
      <c r="L87" s="4" t="s">
        <v>108</v>
      </c>
      <c r="M87" s="4" t="s">
        <v>109</v>
      </c>
      <c r="N87" s="4" t="s">
        <v>110</v>
      </c>
      <c r="O87" s="4" t="s">
        <v>111</v>
      </c>
      <c r="P87" s="4" t="s">
        <v>112</v>
      </c>
      <c r="Q87" s="4" t="s">
        <v>113</v>
      </c>
    </row>
    <row r="88" customFormat="false" ht="15" hidden="false" customHeight="false" outlineLevel="0" collapsed="false">
      <c r="C88" s="12" t="s">
        <v>135</v>
      </c>
      <c r="D88" s="14" t="str">
        <f aca="false">Saldos_x_Obligacion!D23</f>
        <v>631309940-2 – CRED TESORERIA</v>
      </c>
      <c r="E88" s="15" t="n">
        <f aca="false">Saldos_x_Obligacion!H23</f>
        <v>287500000</v>
      </c>
      <c r="F88" s="15" t="n">
        <f aca="false">Saldos_x_Obligacion!I23</f>
        <v>287500000</v>
      </c>
      <c r="G88" s="15" t="n">
        <f aca="false">Saldos_x_Obligacion!J23</f>
        <v>287500000</v>
      </c>
      <c r="H88" s="15" t="n">
        <f aca="false">Saldos_x_Obligacion!L23</f>
        <v>287500000</v>
      </c>
      <c r="I88" s="15" t="n">
        <f aca="false">Saldos_x_Obligacion!O23</f>
        <v>0</v>
      </c>
      <c r="J88" s="14" t="str">
        <f aca="false">IFERROR(INDEX(Detalle_62!$H$14:$H$35,MATCH(C88,Detalle_62!$C$14:$C$35,0)),"—")</f>
        <v>IBR 3 MESES</v>
      </c>
      <c r="K88" s="14" t="str">
        <f aca="false">IFERROR(INDEX(Detalle_62!$L$14:$L$35,MATCH(C88,Detalle_62!$C$14:$C$35,0)),"—")</f>
        <v>TRIMESTRAL</v>
      </c>
      <c r="L88" s="20" t="n">
        <f aca="false">IFERROR(INDEX(Detalle_62!$P$14:$P$35,MATCH(C88,Detalle_62!$C$14:$C$35,0)),"—")</f>
        <v>46373</v>
      </c>
      <c r="M88" s="21" t="n">
        <f aca="false">IFERROR(INDEX(Certificados!$M:$M,MATCH(C88,Certificados!$E:$E,0)),"—")</f>
        <v>0</v>
      </c>
      <c r="N88" s="15" t="n">
        <f aca="false">INDEX(Intereses_x_Obligacion!$I:$I,MATCH(C88,Intereses_x_Obligacion!$A:$A,0))</f>
        <v>34304862</v>
      </c>
      <c r="O88" s="15" t="n">
        <f aca="false">INDEX(Intereses_x_Obligacion!$F:$F,MATCH(C88,Intereses_x_Obligacion!$A:$A,0))</f>
        <v>3324939</v>
      </c>
      <c r="P88" s="15" t="n">
        <f aca="false">INDEX(Intereses_x_Obligacion!$L:$L,MATCH(C88,Intereses_x_Obligacion!$A:$A,0))</f>
        <v>4866039.68585017</v>
      </c>
      <c r="Q88" s="13" t="str">
        <f aca="false">IF(LEFT(Saldos_x_Obligacion!M23,3)="[C]","[C] [B]",IF(LEFT(Saldos_x_Obligacion!M23,3)="[E]","[E] [B]","[P]"))</f>
        <v>[E] [B]</v>
      </c>
    </row>
    <row r="89" customFormat="false" ht="15" hidden="false" customHeight="false" outlineLevel="0" collapsed="false">
      <c r="D89" s="17" t="s">
        <v>122</v>
      </c>
      <c r="E89" s="18" t="n">
        <f aca="false">SUM(E88:E88)</f>
        <v>287500000</v>
      </c>
      <c r="F89" s="18" t="n">
        <f aca="false">SUM(F88:F88)</f>
        <v>287500000</v>
      </c>
      <c r="G89" s="18" t="n">
        <f aca="false">SUM(G88:G88)</f>
        <v>287500000</v>
      </c>
      <c r="H89" s="18" t="n">
        <f aca="false">SUM(H88:H88)</f>
        <v>287500000</v>
      </c>
      <c r="I89" s="18" t="n">
        <f aca="false">SUM(I88:I88)</f>
        <v>0</v>
      </c>
      <c r="N89" s="18" t="n">
        <f aca="false">SUM(N88:N88)</f>
        <v>34304862</v>
      </c>
      <c r="O89" s="18" t="n">
        <f aca="false">SUM(O88:O88)</f>
        <v>3324939</v>
      </c>
      <c r="P89" s="18" t="n">
        <f aca="false">SUM(P88:P88)</f>
        <v>4866039.68585017</v>
      </c>
    </row>
    <row r="91" customFormat="false" ht="15" hidden="false" customHeight="false" outlineLevel="0" collapsed="false">
      <c r="C91" s="19" t="s">
        <v>136</v>
      </c>
    </row>
    <row r="92" customFormat="false" ht="30" hidden="false" customHeight="true" outlineLevel="0" collapsed="false">
      <c r="C92" s="4" t="s">
        <v>99</v>
      </c>
      <c r="D92" s="4" t="s">
        <v>100</v>
      </c>
      <c r="E92" s="4" t="s">
        <v>101</v>
      </c>
      <c r="F92" s="4" t="s">
        <v>102</v>
      </c>
      <c r="G92" s="4" t="s">
        <v>103</v>
      </c>
      <c r="H92" s="4" t="s">
        <v>104</v>
      </c>
      <c r="I92" s="4" t="s">
        <v>105</v>
      </c>
      <c r="J92" s="4" t="s">
        <v>106</v>
      </c>
      <c r="K92" s="4" t="s">
        <v>107</v>
      </c>
      <c r="L92" s="4" t="s">
        <v>108</v>
      </c>
      <c r="M92" s="4" t="s">
        <v>109</v>
      </c>
      <c r="N92" s="4" t="s">
        <v>110</v>
      </c>
      <c r="O92" s="4" t="s">
        <v>111</v>
      </c>
      <c r="P92" s="4" t="s">
        <v>112</v>
      </c>
      <c r="Q92" s="4" t="s">
        <v>113</v>
      </c>
    </row>
    <row r="93" customFormat="false" ht="15" hidden="false" customHeight="false" outlineLevel="0" collapsed="false">
      <c r="C93" s="12" t="s">
        <v>137</v>
      </c>
      <c r="D93" s="14" t="str">
        <f aca="false">Saldos_x_Obligacion!D24</f>
        <v>252059 – CRED TESORERIA</v>
      </c>
      <c r="E93" s="15" t="n">
        <f aca="false">Saldos_x_Obligacion!H24</f>
        <v>4700000000</v>
      </c>
      <c r="F93" s="15" t="n">
        <f aca="false">Saldos_x_Obligacion!I24</f>
        <v>4700000000</v>
      </c>
      <c r="G93" s="15" t="str">
        <f aca="false">Saldos_x_Obligacion!J24</f>
        <v>Sin tabla</v>
      </c>
      <c r="H93" s="15" t="n">
        <f aca="false">Saldos_x_Obligacion!L24</f>
        <v>4700000000</v>
      </c>
      <c r="I93" s="15" t="n">
        <f aca="false">Saldos_x_Obligacion!O24</f>
        <v>0</v>
      </c>
      <c r="J93" s="14" t="str">
        <f aca="false">IFERROR(INDEX(Detalle_62!$H$14:$H$35,MATCH(C93,Detalle_62!$C$14:$C$35,0)),"—")</f>
        <v>IBR 6 MESES/tri INT</v>
      </c>
      <c r="K93" s="14" t="str">
        <f aca="false">IFERROR(INDEX(Detalle_62!$L$14:$L$35,MATCH(C93,Detalle_62!$C$14:$C$35,0)),"—")</f>
        <v>SEMESTRAL</v>
      </c>
      <c r="L93" s="20" t="n">
        <f aca="false">IFERROR(INDEX(Detalle_62!$P$14:$P$35,MATCH(C93,Detalle_62!$C$14:$C$35,0)),"—")</f>
        <v>46367</v>
      </c>
      <c r="M93" s="21" t="n">
        <f aca="false">IFERROR(INDEX(Certificados!$M:$M,MATCH(C93,Certificados!$E:$E,0)),"—")</f>
        <v>0</v>
      </c>
      <c r="N93" s="15" t="n">
        <f aca="false">INDEX(Intereses_x_Obligacion!$I:$I,MATCH(C93,Intereses_x_Obligacion!$A:$A,0))</f>
        <v>258396078</v>
      </c>
      <c r="O93" s="15" t="n">
        <f aca="false">INDEX(Intereses_x_Obligacion!$F:$F,MATCH(C93,Intereses_x_Obligacion!$A:$A,0))</f>
        <v>0.219999998807907</v>
      </c>
      <c r="P93" s="15" t="n">
        <f aca="false">INDEX(Intereses_x_Obligacion!$L:$L,MATCH(C93,Intereses_x_Obligacion!$A:$A,0))</f>
        <v>50972239.5760856</v>
      </c>
      <c r="Q93" s="13" t="str">
        <f aca="false">IF(LEFT(Saldos_x_Obligacion!M24,3)="[C]","[C] [B]",IF(LEFT(Saldos_x_Obligacion!M24,3)="[E]","[E] [B]","[P]"))</f>
        <v>[E] [B]</v>
      </c>
    </row>
    <row r="94" customFormat="false" ht="15" hidden="false" customHeight="false" outlineLevel="0" collapsed="false">
      <c r="D94" s="17" t="s">
        <v>122</v>
      </c>
      <c r="E94" s="18" t="n">
        <f aca="false">SUM(E93:E93)</f>
        <v>4700000000</v>
      </c>
      <c r="F94" s="18" t="n">
        <f aca="false">SUM(F93:F93)</f>
        <v>4700000000</v>
      </c>
      <c r="G94" s="18" t="n">
        <f aca="false">SUM(G93:G93)</f>
        <v>0</v>
      </c>
      <c r="H94" s="18" t="n">
        <f aca="false">SUM(H93:H93)</f>
        <v>4700000000</v>
      </c>
      <c r="I94" s="18" t="n">
        <f aca="false">SUM(I93:I93)</f>
        <v>0</v>
      </c>
      <c r="N94" s="18" t="n">
        <f aca="false">SUM(N93:N93)</f>
        <v>258396078</v>
      </c>
      <c r="O94" s="18" t="n">
        <f aca="false">SUM(O93:O93)</f>
        <v>0.219999998807907</v>
      </c>
      <c r="P94" s="18" t="n">
        <f aca="false">SUM(P93:P93)</f>
        <v>50972239.5760856</v>
      </c>
    </row>
    <row r="96" customFormat="false" ht="15" hidden="false" customHeight="false" outlineLevel="0" collapsed="false">
      <c r="C96" s="19" t="s">
        <v>138</v>
      </c>
    </row>
    <row r="97" customFormat="false" ht="30" hidden="false" customHeight="true" outlineLevel="0" collapsed="false">
      <c r="C97" s="4" t="s">
        <v>99</v>
      </c>
      <c r="D97" s="4" t="s">
        <v>100</v>
      </c>
      <c r="E97" s="4" t="s">
        <v>101</v>
      </c>
      <c r="F97" s="4" t="s">
        <v>102</v>
      </c>
      <c r="G97" s="4" t="s">
        <v>103</v>
      </c>
      <c r="H97" s="4" t="s">
        <v>104</v>
      </c>
      <c r="I97" s="4" t="s">
        <v>105</v>
      </c>
      <c r="J97" s="4" t="s">
        <v>106</v>
      </c>
      <c r="K97" s="4" t="s">
        <v>107</v>
      </c>
      <c r="L97" s="4" t="s">
        <v>108</v>
      </c>
      <c r="M97" s="4" t="s">
        <v>109</v>
      </c>
      <c r="N97" s="4" t="s">
        <v>110</v>
      </c>
      <c r="O97" s="4" t="s">
        <v>111</v>
      </c>
      <c r="P97" s="4" t="s">
        <v>112</v>
      </c>
      <c r="Q97" s="4" t="s">
        <v>113</v>
      </c>
    </row>
    <row r="98" customFormat="false" ht="15" hidden="false" customHeight="false" outlineLevel="0" collapsed="false">
      <c r="C98" s="12" t="s">
        <v>139</v>
      </c>
      <c r="D98" s="14" t="str">
        <f aca="false">Saldos_x_Obligacion!D25</f>
        <v>1260105867 – CAPITAL DE TRABAJO</v>
      </c>
      <c r="E98" s="15" t="n">
        <f aca="false">Saldos_x_Obligacion!H25</f>
        <v>3333333334</v>
      </c>
      <c r="F98" s="15" t="n">
        <f aca="false">Saldos_x_Obligacion!I25</f>
        <v>3333333333.33333</v>
      </c>
      <c r="G98" s="15" t="n">
        <f aca="false">Saldos_x_Obligacion!J25</f>
        <v>3333333333.33333</v>
      </c>
      <c r="H98" s="15" t="n">
        <f aca="false">Saldos_x_Obligacion!L25</f>
        <v>3333333334</v>
      </c>
      <c r="I98" s="15" t="n">
        <f aca="false">Saldos_x_Obligacion!O25</f>
        <v>0</v>
      </c>
      <c r="J98" s="14" t="str">
        <f aca="false">IFERROR(INDEX(Detalle_62!$H$14:$H$35,MATCH(C98,Detalle_62!$C$14:$C$35,0)),"—")</f>
        <v>IBR 3 MESES</v>
      </c>
      <c r="K98" s="14" t="str">
        <f aca="false">IFERROR(INDEX(Detalle_62!$L$14:$L$35,MATCH(C98,Detalle_62!$C$14:$C$35,0)),"—")</f>
        <v>TRIMESTRAL</v>
      </c>
      <c r="L98" s="20" t="n">
        <f aca="false">IFERROR(INDEX(Detalle_62!$P$14:$P$35,MATCH(C98,Detalle_62!$C$14:$C$35,0)),"—")</f>
        <v>46864</v>
      </c>
      <c r="M98" s="21" t="n">
        <f aca="false">IFERROR(INDEX(Certificados!$M:$M,MATCH(C98,Certificados!$E:$E,0)),"—")</f>
        <v>0.1417</v>
      </c>
      <c r="N98" s="15" t="n">
        <f aca="false">INDEX(Intereses_x_Obligacion!$I:$I,MATCH(C98,Intereses_x_Obligacion!$A:$A,0))</f>
        <v>287833704</v>
      </c>
      <c r="O98" s="15" t="n">
        <f aca="false">INDEX(Intereses_x_Obligacion!$F:$F,MATCH(C98,Intereses_x_Obligacion!$A:$A,0))</f>
        <v>0</v>
      </c>
      <c r="P98" s="15" t="n">
        <f aca="false">INDEX(Intereses_x_Obligacion!$L:$L,MATCH(C98,Intereses_x_Obligacion!$A:$A,0))</f>
        <v>10909736.1129754</v>
      </c>
      <c r="Q98" s="13" t="str">
        <f aca="false">IF(LEFT(Saldos_x_Obligacion!M25,3)="[C]","[C] [B]",IF(LEFT(Saldos_x_Obligacion!M25,3)="[E]","[E] [B]","[P]"))</f>
        <v>[C] [B]</v>
      </c>
    </row>
    <row r="99" customFormat="false" ht="22.35" hidden="false" customHeight="false" outlineLevel="0" collapsed="false">
      <c r="C99" s="12" t="s">
        <v>140</v>
      </c>
      <c r="D99" s="14" t="str">
        <f aca="false">Saldos_x_Obligacion!D26</f>
        <v>LEASING 362095 – EXCAVADORA PC130-8 KOMATSU</v>
      </c>
      <c r="E99" s="15" t="n">
        <f aca="false">Saldos_x_Obligacion!H26</f>
        <v>448477372</v>
      </c>
      <c r="F99" s="15" t="n">
        <f aca="false">Saldos_x_Obligacion!I26</f>
        <v>497241599</v>
      </c>
      <c r="G99" s="15" t="n">
        <f aca="false">Saldos_x_Obligacion!J26</f>
        <v>524519291.134113</v>
      </c>
      <c r="H99" s="15" t="n">
        <f aca="false">Saldos_x_Obligacion!L26</f>
        <v>448477372</v>
      </c>
      <c r="I99" s="15" t="n">
        <f aca="false">Saldos_x_Obligacion!O26</f>
        <v>0</v>
      </c>
      <c r="J99" s="14" t="str">
        <f aca="false">IFERROR(INDEX(Detalle_62!$H$14:$H$35,MATCH(C99,Detalle_62!$C$14:$C$35,0)),"—")</f>
        <v>IBR 3 MESES</v>
      </c>
      <c r="K99" s="14" t="str">
        <f aca="false">IFERROR(INDEX(Detalle_62!$L$14:$L$35,MATCH(C99,Detalle_62!$C$14:$C$35,0)),"—")</f>
        <v>TRIMESTRAL</v>
      </c>
      <c r="L99" s="20" t="n">
        <f aca="false">IFERROR(INDEX(Detalle_62!$P$14:$P$35,MATCH(C99,Detalle_62!$C$14:$C$35,0)),"—")</f>
        <v>47528</v>
      </c>
      <c r="M99" s="21" t="n">
        <f aca="false">IFERROR(INDEX(Certificados!$M:$M,MATCH(C99,Certificados!$E:$E,0)),"—")</f>
        <v>0</v>
      </c>
      <c r="N99" s="15" t="n">
        <f aca="false">INDEX(Intereses_x_Obligacion!$I:$I,MATCH(C99,Intereses_x_Obligacion!$A:$A,0))</f>
        <v>32199918</v>
      </c>
      <c r="O99" s="15" t="n">
        <f aca="false">INDEX(Intereses_x_Obligacion!$F:$F,MATCH(C99,Intereses_x_Obligacion!$A:$A,0))</f>
        <v>3750337</v>
      </c>
      <c r="P99" s="15" t="n">
        <f aca="false">INDEX(Intereses_x_Obligacion!$L:$L,MATCH(C99,Intereses_x_Obligacion!$A:$A,0))</f>
        <v>5568623.41062859</v>
      </c>
      <c r="Q99" s="13" t="str">
        <f aca="false">IF(LEFT(Saldos_x_Obligacion!M26,3)="[C]","[C] [B]",IF(LEFT(Saldos_x_Obligacion!M26,3)="[E]","[E] [B]","[P]"))</f>
        <v>[E] [B]</v>
      </c>
    </row>
    <row r="100" customFormat="false" ht="15" hidden="false" customHeight="false" outlineLevel="0" collapsed="false">
      <c r="C100" s="12" t="s">
        <v>141</v>
      </c>
      <c r="D100" s="14" t="str">
        <f aca="false">Saldos_x_Obligacion!D27</f>
        <v>LEASING 336817 – TURBINA - TURBOKRAFT </v>
      </c>
      <c r="E100" s="15" t="n">
        <f aca="false">Saldos_x_Obligacion!H27</f>
        <v>787729700</v>
      </c>
      <c r="F100" s="15" t="n">
        <f aca="false">Saldos_x_Obligacion!I27</f>
        <v>770085425.158301</v>
      </c>
      <c r="G100" s="15" t="n">
        <f aca="false">Saldos_x_Obligacion!J27</f>
        <v>770085425.158301</v>
      </c>
      <c r="H100" s="15" t="n">
        <f aca="false">Saldos_x_Obligacion!L27</f>
        <v>787729700</v>
      </c>
      <c r="I100" s="15" t="n">
        <f aca="false">Saldos_x_Obligacion!O27</f>
        <v>0</v>
      </c>
      <c r="J100" s="14" t="str">
        <f aca="false">IFERROR(INDEX(Detalle_62!$H$14:$H$35,MATCH(C100,Detalle_62!$C$14:$C$35,0)),"—")</f>
        <v>IBR</v>
      </c>
      <c r="K100" s="14" t="str">
        <f aca="false">IFERROR(INDEX(Detalle_62!$L$14:$L$35,MATCH(C100,Detalle_62!$C$14:$C$35,0)),"—")</f>
        <v>MENSUAL</v>
      </c>
      <c r="L100" s="20" t="n">
        <f aca="false">IFERROR(INDEX(Detalle_62!$P$14:$P$35,MATCH(C100,Detalle_62!$C$14:$C$35,0)),"—")</f>
        <v>47995</v>
      </c>
      <c r="M100" s="21" t="n">
        <f aca="false">IFERROR(INDEX(Certificados!$M:$M,MATCH(C100,Certificados!$E:$E,0)),"—")</f>
        <v>0</v>
      </c>
      <c r="N100" s="15" t="n">
        <f aca="false">INDEX(Intereses_x_Obligacion!$I:$I,MATCH(C100,Intereses_x_Obligacion!$A:$A,0))</f>
        <v>28583500</v>
      </c>
      <c r="O100" s="15" t="n">
        <f aca="false">INDEX(Intereses_x_Obligacion!$F:$F,MATCH(C100,Intereses_x_Obligacion!$A:$A,0))</f>
        <v>0</v>
      </c>
      <c r="P100" s="15" t="n">
        <f aca="false">INDEX(Intereses_x_Obligacion!$L:$L,MATCH(C100,Intereses_x_Obligacion!$A:$A,0))</f>
        <v>3807112.91633949</v>
      </c>
      <c r="Q100" s="13" t="str">
        <f aca="false">IF(LEFT(Saldos_x_Obligacion!M27,3)="[C]","[C] [B]",IF(LEFT(Saldos_x_Obligacion!M27,3)="[E]","[E] [B]","[P]"))</f>
        <v>[E] [B]</v>
      </c>
    </row>
    <row r="101" customFormat="false" ht="22.35" hidden="false" customHeight="false" outlineLevel="0" collapsed="false">
      <c r="C101" s="12" t="s">
        <v>142</v>
      </c>
      <c r="D101" s="14" t="str">
        <f aca="false">Saldos_x_Obligacion!D28</f>
        <v>LEASING 331330 – PLANTA ELECTRICA CATERPILLAR C32-910</v>
      </c>
      <c r="E101" s="15" t="n">
        <f aca="false">Saldos_x_Obligacion!H28</f>
        <v>488525504</v>
      </c>
      <c r="F101" s="15" t="n">
        <f aca="false">Saldos_x_Obligacion!I28</f>
        <v>503693510</v>
      </c>
      <c r="G101" s="15" t="n">
        <f aca="false">Saldos_x_Obligacion!J28</f>
        <v>503693510</v>
      </c>
      <c r="H101" s="15" t="n">
        <f aca="false">Saldos_x_Obligacion!L28</f>
        <v>488525504</v>
      </c>
      <c r="I101" s="15" t="n">
        <f aca="false">Saldos_x_Obligacion!O28</f>
        <v>0</v>
      </c>
      <c r="J101" s="14" t="str">
        <f aca="false">IFERROR(INDEX(Detalle_62!$H$14:$H$35,MATCH(C101,Detalle_62!$C$14:$C$35,0)),"—")</f>
        <v>IBR</v>
      </c>
      <c r="K101" s="14" t="str">
        <f aca="false">IFERROR(INDEX(Detalle_62!$L$14:$L$35,MATCH(C101,Detalle_62!$C$14:$C$35,0)),"—")</f>
        <v>MENSUAL</v>
      </c>
      <c r="L101" s="20" t="n">
        <f aca="false">IFERROR(INDEX(Detalle_62!$P$14:$P$35,MATCH(C101,Detalle_62!$C$14:$C$35,0)),"—")</f>
        <v>46960</v>
      </c>
      <c r="M101" s="21" t="n">
        <f aca="false">IFERROR(INDEX(Certificados!$M:$M,MATCH(C101,Certificados!$E:$E,0)),"—")</f>
        <v>0</v>
      </c>
      <c r="N101" s="15" t="n">
        <f aca="false">INDEX(Intereses_x_Obligacion!$I:$I,MATCH(C101,Intereses_x_Obligacion!$A:$A,0))</f>
        <v>26060708</v>
      </c>
      <c r="O101" s="15" t="n">
        <f aca="false">INDEX(Intereses_x_Obligacion!$F:$F,MATCH(C101,Intereses_x_Obligacion!$A:$A,0))</f>
        <v>0</v>
      </c>
      <c r="P101" s="15" t="n">
        <f aca="false">INDEX(Intereses_x_Obligacion!$L:$L,MATCH(C101,Intereses_x_Obligacion!$A:$A,0))</f>
        <v>4498704.71647143</v>
      </c>
      <c r="Q101" s="13" t="str">
        <f aca="false">IF(LEFT(Saldos_x_Obligacion!M28,3)="[C]","[C] [B]",IF(LEFT(Saldos_x_Obligacion!M28,3)="[E]","[E] [B]","[P]"))</f>
        <v>[E] [B]</v>
      </c>
    </row>
    <row r="102" customFormat="false" ht="22.35" hidden="false" customHeight="false" outlineLevel="0" collapsed="false">
      <c r="C102" s="12" t="s">
        <v>143</v>
      </c>
      <c r="D102" s="14" t="str">
        <f aca="false">Saldos_x_Obligacion!D29</f>
        <v>Leasing 386735 camión VW Constellation (nuevo 28-jul-26)</v>
      </c>
      <c r="E102" s="15" t="n">
        <f aca="false">Saldos_x_Obligacion!H29</f>
        <v>675837500</v>
      </c>
      <c r="F102" s="15" t="n">
        <f aca="false">Saldos_x_Obligacion!I29</f>
        <v>0</v>
      </c>
      <c r="G102" s="15" t="str">
        <f aca="false">Saldos_x_Obligacion!J29</f>
        <v>Sin tabla</v>
      </c>
      <c r="H102" s="15" t="str">
        <f aca="false">Saldos_x_Obligacion!L29</f>
        <v>N/D</v>
      </c>
      <c r="I102" s="15" t="str">
        <f aca="false">Saldos_x_Obligacion!O29</f>
        <v>N/D</v>
      </c>
      <c r="J102" s="14" t="str">
        <f aca="false">IFERROR(INDEX(Detalle_62!$H$14:$H$35,MATCH(C102,Detalle_62!$C$14:$C$35,0)),"—")</f>
        <v>—</v>
      </c>
      <c r="K102" s="14" t="str">
        <f aca="false">IFERROR(INDEX(Detalle_62!$L$14:$L$35,MATCH(C102,Detalle_62!$C$14:$C$35,0)),"—")</f>
        <v>—</v>
      </c>
      <c r="L102" s="20" t="str">
        <f aca="false">IFERROR(INDEX(Detalle_62!$P$14:$P$35,MATCH(C102,Detalle_62!$C$14:$C$35,0)),"—")</f>
        <v>—</v>
      </c>
      <c r="M102" s="21" t="n">
        <f aca="false">IFERROR(INDEX(Certificados!$M:$M,MATCH(C102,Certificados!$E:$E,0)),"—")</f>
        <v>0</v>
      </c>
      <c r="N102" s="15" t="n">
        <f aca="false">INDEX(Intereses_x_Obligacion!$I:$I,MATCH(C102,Intereses_x_Obligacion!$A:$A,0))</f>
        <v>0</v>
      </c>
      <c r="O102" s="15" t="n">
        <f aca="false">INDEX(Intereses_x_Obligacion!$F:$F,MATCH(C102,Intereses_x_Obligacion!$A:$A,0))</f>
        <v>0</v>
      </c>
      <c r="P102" s="15" t="n">
        <f aca="false">INDEX(Intereses_x_Obligacion!$L:$L,MATCH(C102,Intereses_x_Obligacion!$A:$A,0))</f>
        <v>717369.299115863</v>
      </c>
      <c r="Q102" s="13" t="str">
        <f aca="false">IF(LEFT(Saldos_x_Obligacion!M29,3)="[C]","[C] [B]",IF(LEFT(Saldos_x_Obligacion!M29,3)="[E]","[E] [B]","[P]"))</f>
        <v>[P]</v>
      </c>
    </row>
    <row r="103" customFormat="false" ht="15" hidden="false" customHeight="false" outlineLevel="0" collapsed="false">
      <c r="D103" s="17" t="s">
        <v>122</v>
      </c>
      <c r="E103" s="18" t="n">
        <f aca="false">SUM(E98:E102)</f>
        <v>5733903410</v>
      </c>
      <c r="F103" s="18" t="n">
        <f aca="false">SUM(F98:F102)</f>
        <v>5104353867.49163</v>
      </c>
      <c r="G103" s="18" t="n">
        <f aca="false">SUM(G98:G102)</f>
        <v>5131631559.62575</v>
      </c>
      <c r="H103" s="18" t="n">
        <f aca="false">SUM(H98:H102)</f>
        <v>5058065910</v>
      </c>
      <c r="I103" s="18" t="n">
        <f aca="false">SUM(I98:I102)</f>
        <v>0</v>
      </c>
      <c r="N103" s="18" t="n">
        <f aca="false">SUM(N98:N102)</f>
        <v>374677830</v>
      </c>
      <c r="O103" s="18" t="n">
        <f aca="false">SUM(O98:O102)</f>
        <v>3750337</v>
      </c>
      <c r="P103" s="18" t="n">
        <f aca="false">SUM(P98:P102)</f>
        <v>25501546.4555308</v>
      </c>
    </row>
    <row r="105" customFormat="false" ht="22.35" hidden="false" customHeight="false" outlineLevel="0" collapsed="false">
      <c r="C105" s="19" t="s">
        <v>144</v>
      </c>
    </row>
    <row r="106" customFormat="false" ht="30" hidden="false" customHeight="true" outlineLevel="0" collapsed="false">
      <c r="C106" s="4" t="s">
        <v>99</v>
      </c>
      <c r="D106" s="4" t="s">
        <v>100</v>
      </c>
      <c r="E106" s="4" t="s">
        <v>101</v>
      </c>
      <c r="F106" s="4" t="s">
        <v>102</v>
      </c>
      <c r="G106" s="4" t="s">
        <v>103</v>
      </c>
      <c r="H106" s="4" t="s">
        <v>104</v>
      </c>
      <c r="I106" s="4" t="s">
        <v>105</v>
      </c>
      <c r="J106" s="4" t="s">
        <v>106</v>
      </c>
      <c r="K106" s="4" t="s">
        <v>107</v>
      </c>
      <c r="L106" s="4" t="s">
        <v>108</v>
      </c>
      <c r="M106" s="4" t="s">
        <v>109</v>
      </c>
      <c r="N106" s="4" t="s">
        <v>110</v>
      </c>
      <c r="O106" s="4" t="s">
        <v>111</v>
      </c>
      <c r="P106" s="4" t="s">
        <v>112</v>
      </c>
      <c r="Q106" s="4" t="s">
        <v>113</v>
      </c>
    </row>
    <row r="107" customFormat="false" ht="22.35" hidden="false" customHeight="false" outlineLevel="0" collapsed="false">
      <c r="C107" s="12" t="s">
        <v>145</v>
      </c>
      <c r="D107" s="14" t="str">
        <f aca="false">Saldos_x_Obligacion!D30</f>
        <v>Comisiones Valley Trading registradas y reclasificadas en 21202040</v>
      </c>
      <c r="E107" s="15" t="n">
        <f aca="false">Saldos_x_Obligacion!H30</f>
        <v>0</v>
      </c>
      <c r="F107" s="15" t="n">
        <f aca="false">Saldos_x_Obligacion!I30</f>
        <v>0</v>
      </c>
      <c r="G107" s="15" t="str">
        <f aca="false">Saldos_x_Obligacion!J30</f>
        <v>Sin tabla</v>
      </c>
      <c r="H107" s="15" t="str">
        <f aca="false">Saldos_x_Obligacion!L30</f>
        <v>N/D</v>
      </c>
      <c r="I107" s="15" t="str">
        <f aca="false">Saldos_x_Obligacion!O30</f>
        <v>N/D</v>
      </c>
      <c r="J107" s="14" t="str">
        <f aca="false">IFERROR(INDEX(Detalle_62!$H$14:$H$35,MATCH(C107,Detalle_62!$C$14:$C$35,0)),"—")</f>
        <v>—</v>
      </c>
      <c r="K107" s="14" t="str">
        <f aca="false">IFERROR(INDEX(Detalle_62!$L$14:$L$35,MATCH(C107,Detalle_62!$C$14:$C$35,0)),"—")</f>
        <v>—</v>
      </c>
      <c r="L107" s="20" t="str">
        <f aca="false">IFERROR(INDEX(Detalle_62!$P$14:$P$35,MATCH(C107,Detalle_62!$C$14:$C$35,0)),"—")</f>
        <v>—</v>
      </c>
      <c r="M107" s="21" t="str">
        <f aca="false">IFERROR(INDEX(Certificados!$M:$M,MATCH(C107,Certificados!$E:$E,0)),"—")</f>
        <v>—</v>
      </c>
      <c r="N107" s="15" t="n">
        <f aca="false">INDEX(Intereses_x_Obligacion!$I:$I,MATCH(C107,Intereses_x_Obligacion!$A:$A,0))</f>
        <v>0</v>
      </c>
      <c r="O107" s="15" t="n">
        <f aca="false">INDEX(Intereses_x_Obligacion!$F:$F,MATCH(C107,Intereses_x_Obligacion!$A:$A,0))</f>
        <v>0</v>
      </c>
      <c r="P107" s="15" t="n">
        <f aca="false">INDEX(Intereses_x_Obligacion!$L:$L,MATCH(C107,Intereses_x_Obligacion!$A:$A,0))</f>
        <v>0</v>
      </c>
      <c r="Q107" s="13" t="str">
        <f aca="false">IF(LEFT(Saldos_x_Obligacion!M30,3)="[C]","[C] [B]",IF(LEFT(Saldos_x_Obligacion!M30,3)="[E]","[E] [B]","[P]"))</f>
        <v>[P]</v>
      </c>
    </row>
    <row r="108" customFormat="false" ht="15" hidden="false" customHeight="false" outlineLevel="0" collapsed="false">
      <c r="C108" s="12" t="s">
        <v>146</v>
      </c>
      <c r="D108" s="14" t="str">
        <f aca="false">Saldos_x_Obligacion!D31</f>
        <v>NI-4731 cruce anticipo calderas en 21202140</v>
      </c>
      <c r="E108" s="15" t="n">
        <f aca="false">Saldos_x_Obligacion!H31</f>
        <v>0</v>
      </c>
      <c r="F108" s="15" t="n">
        <f aca="false">Saldos_x_Obligacion!I31</f>
        <v>0</v>
      </c>
      <c r="G108" s="15" t="str">
        <f aca="false">Saldos_x_Obligacion!J31</f>
        <v>Sin tabla</v>
      </c>
      <c r="H108" s="15" t="str">
        <f aca="false">Saldos_x_Obligacion!L31</f>
        <v>N/D</v>
      </c>
      <c r="I108" s="15" t="str">
        <f aca="false">Saldos_x_Obligacion!O31</f>
        <v>N/D</v>
      </c>
      <c r="J108" s="14" t="str">
        <f aca="false">IFERROR(INDEX(Detalle_62!$H$14:$H$35,MATCH(C108,Detalle_62!$C$14:$C$35,0)),"—")</f>
        <v>—</v>
      </c>
      <c r="K108" s="14" t="str">
        <f aca="false">IFERROR(INDEX(Detalle_62!$L$14:$L$35,MATCH(C108,Detalle_62!$C$14:$C$35,0)),"—")</f>
        <v>—</v>
      </c>
      <c r="L108" s="20" t="str">
        <f aca="false">IFERROR(INDEX(Detalle_62!$P$14:$P$35,MATCH(C108,Detalle_62!$C$14:$C$35,0)),"—")</f>
        <v>—</v>
      </c>
      <c r="M108" s="21" t="str">
        <f aca="false">IFERROR(INDEX(Certificados!$M:$M,MATCH(C108,Certificados!$E:$E,0)),"—")</f>
        <v>—</v>
      </c>
      <c r="N108" s="15" t="n">
        <f aca="false">INDEX(Intereses_x_Obligacion!$I:$I,MATCH(C108,Intereses_x_Obligacion!$A:$A,0))</f>
        <v>0</v>
      </c>
      <c r="O108" s="15" t="n">
        <f aca="false">INDEX(Intereses_x_Obligacion!$F:$F,MATCH(C108,Intereses_x_Obligacion!$A:$A,0))</f>
        <v>0</v>
      </c>
      <c r="P108" s="15" t="n">
        <f aca="false">INDEX(Intereses_x_Obligacion!$L:$L,MATCH(C108,Intereses_x_Obligacion!$A:$A,0))</f>
        <v>0</v>
      </c>
      <c r="Q108" s="13" t="str">
        <f aca="false">IF(LEFT(Saldos_x_Obligacion!M31,3)="[C]","[C] [B]",IF(LEFT(Saldos_x_Obligacion!M31,3)="[E]","[E] [B]","[P]"))</f>
        <v>[P]</v>
      </c>
    </row>
    <row r="109" customFormat="false" ht="15" hidden="false" customHeight="false" outlineLevel="0" collapsed="false">
      <c r="D109" s="17" t="s">
        <v>122</v>
      </c>
      <c r="E109" s="18" t="n">
        <f aca="false">SUM(E107:E108)</f>
        <v>0</v>
      </c>
      <c r="F109" s="18" t="n">
        <f aca="false">SUM(F107:F108)</f>
        <v>0</v>
      </c>
      <c r="G109" s="18" t="n">
        <f aca="false">SUM(G107:G108)</f>
        <v>0</v>
      </c>
      <c r="H109" s="18" t="n">
        <f aca="false">SUM(H107:H108)</f>
        <v>0</v>
      </c>
      <c r="I109" s="18" t="n">
        <f aca="false">SUM(I107:I108)</f>
        <v>0</v>
      </c>
      <c r="N109" s="18" t="n">
        <f aca="false">SUM(N107:N108)</f>
        <v>0</v>
      </c>
      <c r="O109" s="18" t="n">
        <f aca="false">SUM(O107:O108)</f>
        <v>0</v>
      </c>
      <c r="P109" s="18" t="n">
        <f aca="false">SUM(P107:P108)</f>
        <v>0</v>
      </c>
    </row>
    <row r="111" customFormat="false" ht="15" hidden="false" customHeight="true" outlineLevel="0" collapsed="false">
      <c r="C111" s="10" t="s">
        <v>147</v>
      </c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customFormat="false" ht="15" hidden="false" customHeight="false" outlineLevel="0" collapsed="false">
      <c r="C112" s="4" t="s">
        <v>148</v>
      </c>
      <c r="D112" s="4" t="s">
        <v>149</v>
      </c>
      <c r="E112" s="4" t="s">
        <v>150</v>
      </c>
      <c r="F112" s="4" t="s">
        <v>151</v>
      </c>
      <c r="G112" s="4" t="s">
        <v>152</v>
      </c>
    </row>
    <row r="113" customFormat="false" ht="15" hidden="false" customHeight="false" outlineLevel="0" collapsed="false">
      <c r="C113" s="14" t="str">
        <f aca="false">Intereses_x_Obligacion!A38</f>
        <v>21300101</v>
      </c>
      <c r="D113" s="14" t="str">
        <f aca="false">Intereses_x_Obligacion!B38</f>
        <v>Intereses financieros por pagar O.F. (SF)</v>
      </c>
      <c r="E113" s="15" t="n">
        <f aca="false">Intereses_x_Obligacion!C38</f>
        <v>423638680</v>
      </c>
      <c r="F113" s="15" t="n">
        <f aca="false">Intereses_x_Obligacion!D38</f>
        <v>423638681.22</v>
      </c>
      <c r="G113" s="15" t="n">
        <f aca="false">Intereses_x_Obligacion!E38</f>
        <v>-1.22000002861023</v>
      </c>
    </row>
    <row r="114" customFormat="false" ht="15" hidden="false" customHeight="false" outlineLevel="0" collapsed="false">
      <c r="C114" s="14" t="str">
        <f aca="false">Intereses_x_Obligacion!A39</f>
        <v>21300102</v>
      </c>
      <c r="D114" s="14" t="str">
        <f aca="false">Intereses_x_Obligacion!B39</f>
        <v>Intereses leasing por pagar (SF)</v>
      </c>
      <c r="E114" s="15" t="n">
        <f aca="false">Intereses_x_Obligacion!C39</f>
        <v>3750337.16</v>
      </c>
      <c r="F114" s="15" t="n">
        <f aca="false">Intereses_x_Obligacion!D39</f>
        <v>3750337.16</v>
      </c>
      <c r="G114" s="15" t="n">
        <f aca="false">Intereses_x_Obligacion!E39</f>
        <v>0</v>
      </c>
    </row>
    <row r="115" customFormat="false" ht="15" hidden="false" customHeight="false" outlineLevel="0" collapsed="false">
      <c r="C115" s="14" t="str">
        <f aca="false">Intereses_x_Obligacion!A40</f>
        <v>53052030</v>
      </c>
      <c r="D115" s="14" t="str">
        <f aca="false">Intereses_x_Obligacion!B40</f>
        <v>Intereses sobre préstamos causados (SF)</v>
      </c>
      <c r="E115" s="15" t="n">
        <f aca="false">Intereses_x_Obligacion!C40</f>
        <v>423638680</v>
      </c>
      <c r="F115" s="15" t="n">
        <f aca="false">Intereses_x_Obligacion!D40</f>
        <v>423638681.22</v>
      </c>
      <c r="G115" s="15" t="n">
        <f aca="false">Intereses_x_Obligacion!E40</f>
        <v>-1.22000002861023</v>
      </c>
    </row>
    <row r="116" customFormat="false" ht="15" hidden="false" customHeight="false" outlineLevel="0" collapsed="false">
      <c r="C116" s="14" t="str">
        <f aca="false">Intereses_x_Obligacion!A41</f>
        <v>53052040</v>
      </c>
      <c r="D116" s="14" t="str">
        <f aca="false">Intereses_x_Obligacion!B41</f>
        <v>Intereses leasing causados (SF)</v>
      </c>
      <c r="E116" s="15" t="n">
        <f aca="false">Intereses_x_Obligacion!C41</f>
        <v>3750337.32</v>
      </c>
      <c r="F116" s="15" t="n">
        <f aca="false">Intereses_x_Obligacion!D41</f>
        <v>3750337.16</v>
      </c>
      <c r="G116" s="15" t="n">
        <f aca="false">Intereses_x_Obligacion!E41</f>
        <v>0.160000003408641</v>
      </c>
    </row>
    <row r="117" customFormat="false" ht="22.35" hidden="false" customHeight="false" outlineLevel="0" collapsed="false">
      <c r="C117" s="14" t="str">
        <f aca="false">Intereses_x_Obligacion!A42</f>
        <v>53052020</v>
      </c>
      <c r="D117" s="14" t="str">
        <f aca="false">Intereses_x_Obligacion!B42</f>
        <v>Intereses préstamos efectivamente pagados (débitos)</v>
      </c>
      <c r="E117" s="15" t="n">
        <f aca="false">Intereses_x_Obligacion!C42</f>
        <v>3610639745.89</v>
      </c>
      <c r="F117" s="15" t="n">
        <f aca="false">Intereses_x_Obligacion!D42</f>
        <v>3489342828.14</v>
      </c>
      <c r="G117" s="15" t="n">
        <f aca="false">Intereses_x_Obligacion!E42</f>
        <v>121296917.75</v>
      </c>
    </row>
    <row r="118" customFormat="false" ht="22.35" hidden="false" customHeight="false" outlineLevel="0" collapsed="false">
      <c r="C118" s="14" t="str">
        <f aca="false">Intereses_x_Obligacion!A43</f>
        <v>53052010</v>
      </c>
      <c r="D118" s="14" t="str">
        <f aca="false">Intereses_x_Obligacion!B43</f>
        <v>Intereses leasing efectivamente pagados (débitos)</v>
      </c>
      <c r="E118" s="15" t="n">
        <f aca="false">Intereses_x_Obligacion!C43</f>
        <v>708087053.99</v>
      </c>
      <c r="F118" s="15" t="n">
        <f aca="false">Intereses_x_Obligacion!D43</f>
        <v>610222787.84</v>
      </c>
      <c r="G118" s="15" t="n">
        <f aca="false">Intereses_x_Obligacion!E43</f>
        <v>97864266.15</v>
      </c>
    </row>
    <row r="119" customFormat="false" ht="15" hidden="false" customHeight="false" outlineLevel="0" collapsed="false">
      <c r="C119" s="14" t="str">
        <f aca="false">Intereses_x_Obligacion!A44</f>
        <v>5305</v>
      </c>
      <c r="D119" s="14" t="str">
        <f aca="false">Intereses_x_Obligacion!B44</f>
        <v>Gasto de intereses neto ene–jul (10+20+30+40)</v>
      </c>
      <c r="E119" s="15" t="n">
        <f aca="false">Intereses_x_Obligacion!C44</f>
        <v>3545892933.2</v>
      </c>
      <c r="F119" s="15" t="n">
        <f aca="false">Intereses_x_Obligacion!D44</f>
        <v>3326731750.36</v>
      </c>
      <c r="G119" s="15" t="n">
        <f aca="false">Intereses_x_Obligacion!E44</f>
        <v>219161182.84</v>
      </c>
    </row>
    <row r="121" customFormat="false" ht="15" hidden="false" customHeight="true" outlineLevel="0" collapsed="false">
      <c r="C121" s="10" t="s">
        <v>153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customFormat="false" ht="15" hidden="false" customHeight="false" outlineLevel="0" collapsed="false">
      <c r="C122" s="4" t="s">
        <v>154</v>
      </c>
      <c r="D122" s="4"/>
      <c r="E122" s="4" t="s">
        <v>155</v>
      </c>
      <c r="F122" s="4" t="s">
        <v>156</v>
      </c>
      <c r="G122" s="4" t="s">
        <v>157</v>
      </c>
      <c r="H122" s="4" t="s">
        <v>152</v>
      </c>
    </row>
    <row r="123" customFormat="false" ht="15" hidden="false" customHeight="true" outlineLevel="0" collapsed="false">
      <c r="C123" s="13" t="s">
        <v>158</v>
      </c>
      <c r="D123" s="13"/>
      <c r="E123" s="15" t="n">
        <f aca="false">Rev_Tablas_Amort!N30</f>
        <v>40513189813.0966</v>
      </c>
      <c r="F123" s="15" t="n">
        <f aca="false">Rev_Tablas_Amort!O30</f>
        <v>40485912116.9625</v>
      </c>
      <c r="G123" s="15" t="n">
        <f aca="false">Rev_Tablas_Amort!Q30</f>
        <v>40614470338.59</v>
      </c>
      <c r="H123" s="16" t="n">
        <f aca="false">IF(ISNUMBER(G123),E123-G123,IF(ISNUMBER(F123),E123-F123,"N/A"))</f>
        <v>-101280525.493423</v>
      </c>
    </row>
    <row r="124" customFormat="false" ht="15" hidden="false" customHeight="true" outlineLevel="0" collapsed="false">
      <c r="C124" s="13" t="s">
        <v>159</v>
      </c>
      <c r="D124" s="13"/>
      <c r="E124" s="15" t="n">
        <f aca="false">Rev_Tablas_Amort!S30</f>
        <v>3379246978.79818</v>
      </c>
      <c r="F124" s="15"/>
      <c r="G124" s="15" t="n">
        <f aca="false">Rev_Tablas_Amort!T30</f>
        <v>3002309005.36</v>
      </c>
      <c r="H124" s="16" t="n">
        <f aca="false">IF(ISNUMBER(G124),E124-G124,IF(ISNUMBER(F124),E124-F124,"N/A"))</f>
        <v>376937973.438176</v>
      </c>
    </row>
    <row r="125" customFormat="false" ht="15" hidden="false" customHeight="true" outlineLevel="0" collapsed="false">
      <c r="C125" s="13" t="s">
        <v>160</v>
      </c>
      <c r="D125" s="13"/>
      <c r="E125" s="15" t="n">
        <f aca="false">Rev_Tablas_Amort!V30</f>
        <v>5400849180.41412</v>
      </c>
      <c r="F125" s="15" t="n">
        <f aca="false">Rev_Tablas_Amort!W30</f>
        <v>16928998619.5403</v>
      </c>
      <c r="G125" s="15"/>
      <c r="H125" s="16" t="n">
        <f aca="false">IF(ISNUMBER(G125),E125-G125,IF(ISNUMBER(F125),E125-F125,"N/A"))</f>
        <v>-11528149439.1262</v>
      </c>
    </row>
    <row r="127" customFormat="false" ht="15" hidden="false" customHeight="true" outlineLevel="0" collapsed="false">
      <c r="C127" s="10" t="s">
        <v>161</v>
      </c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customFormat="false" ht="15" hidden="false" customHeight="false" outlineLevel="0" collapsed="false">
      <c r="C128" s="4" t="s">
        <v>162</v>
      </c>
      <c r="D128" s="4" t="s">
        <v>163</v>
      </c>
      <c r="E128" s="4" t="s">
        <v>100</v>
      </c>
      <c r="F128" s="4" t="s">
        <v>164</v>
      </c>
      <c r="G128" s="4" t="s">
        <v>165</v>
      </c>
    </row>
    <row r="129" customFormat="false" ht="22.35" hidden="false" customHeight="false" outlineLevel="0" collapsed="false">
      <c r="C129" s="14" t="str">
        <f aca="false">IF(Hallazgos!A32="","",Hallazgos!A32)</f>
        <v>AJE-1</v>
      </c>
      <c r="D129" s="14" t="str">
        <f aca="false">IF(Hallazgos!B32="","",Hallazgos!B32)</f>
        <v>53052030</v>
      </c>
      <c r="E129" s="14" t="str">
        <f aca="false">IF(Hallazgos!C32="","",Hallazgos!C32)</f>
        <v>Intereses sobre préstamos causados</v>
      </c>
      <c r="F129" s="15" t="n">
        <f aca="false">IF(Hallazgos!D32="","",Hallazgos!D32)</f>
        <v>156729925.975577</v>
      </c>
      <c r="G129" s="15" t="str">
        <f aca="false">IF(Hallazgos!E32="","",Hallazgos!E32)</f>
        <v/>
      </c>
    </row>
    <row r="130" customFormat="false" ht="22.35" hidden="false" customHeight="false" outlineLevel="0" collapsed="false">
      <c r="C130" s="14" t="str">
        <f aca="false">IF(Hallazgos!A33="","",Hallazgos!A33)</f>
        <v>AJE-1</v>
      </c>
      <c r="D130" s="14" t="str">
        <f aca="false">IF(Hallazgos!B33="","",Hallazgos!B33)</f>
        <v>21300101</v>
      </c>
      <c r="E130" s="14" t="str">
        <f aca="false">IF(Hallazgos!C33="","",Hallazgos!C33)</f>
        <v>Intereses financieros por pagar O.F.</v>
      </c>
      <c r="F130" s="15" t="str">
        <f aca="false">IF(Hallazgos!D33="","",Hallazgos!D33)</f>
        <v/>
      </c>
      <c r="G130" s="15" t="n">
        <f aca="false">IF(Hallazgos!E33="","",Hallazgos!E33)</f>
        <v>156729925.975577</v>
      </c>
    </row>
    <row r="131" customFormat="false" ht="15" hidden="false" customHeight="false" outlineLevel="0" collapsed="false">
      <c r="C131" s="14" t="str">
        <f aca="false">IF(Hallazgos!A34="","",Hallazgos!A34)</f>
        <v>AJE-1</v>
      </c>
      <c r="D131" s="14" t="str">
        <f aca="false">IF(Hallazgos!B34="","",Hallazgos!B34)</f>
        <v>53052040</v>
      </c>
      <c r="E131" s="14" t="str">
        <f aca="false">IF(Hallazgos!C34="","",Hallazgos!C34)</f>
        <v>Intereses leasing causados</v>
      </c>
      <c r="F131" s="15" t="n">
        <f aca="false">IF(Hallazgos!D34="","",Hallazgos!D34)</f>
        <v>30975464.2275983</v>
      </c>
      <c r="G131" s="15" t="str">
        <f aca="false">IF(Hallazgos!E34="","",Hallazgos!E34)</f>
        <v/>
      </c>
    </row>
    <row r="132" customFormat="false" ht="15" hidden="false" customHeight="false" outlineLevel="0" collapsed="false">
      <c r="C132" s="14" t="str">
        <f aca="false">IF(Hallazgos!A35="","",Hallazgos!A35)</f>
        <v>AJE-1</v>
      </c>
      <c r="D132" s="14" t="str">
        <f aca="false">IF(Hallazgos!B35="","",Hallazgos!B35)</f>
        <v>21300102</v>
      </c>
      <c r="E132" s="14" t="str">
        <f aca="false">IF(Hallazgos!C35="","",Hallazgos!C35)</f>
        <v>Intereses leasing por pagar</v>
      </c>
      <c r="F132" s="15" t="str">
        <f aca="false">IF(Hallazgos!D35="","",Hallazgos!D35)</f>
        <v/>
      </c>
      <c r="G132" s="15" t="n">
        <f aca="false">IF(Hallazgos!E35="","",Hallazgos!E35)</f>
        <v>30975464.2275983</v>
      </c>
    </row>
    <row r="133" customFormat="false" ht="15" hidden="false" customHeight="false" outlineLevel="0" collapsed="false">
      <c r="C133" s="14" t="str">
        <f aca="false">IF(Hallazgos!A36="","",Hallazgos!A36)</f>
        <v>AJE-2</v>
      </c>
      <c r="D133" s="14" t="str">
        <f aca="false">IF(Hallazgos!B36="","",Hallazgos!B36)</f>
        <v>21050201</v>
      </c>
      <c r="E133" s="14" t="str">
        <f aca="false">IF(Hallazgos!C36="","",Hallazgos!C36)</f>
        <v>Obligación financiera LP</v>
      </c>
      <c r="F133" s="15" t="n">
        <f aca="false">IF(Hallazgos!D36="","",Hallazgos!D36)</f>
        <v>694500001.666668</v>
      </c>
      <c r="G133" s="15" t="str">
        <f aca="false">IF(Hallazgos!E36="","",Hallazgos!E36)</f>
        <v/>
      </c>
    </row>
    <row r="134" customFormat="false" ht="15" hidden="false" customHeight="false" outlineLevel="0" collapsed="false">
      <c r="C134" s="14" t="str">
        <f aca="false">IF(Hallazgos!A37="","",Hallazgos!A37)</f>
        <v>AJE-2</v>
      </c>
      <c r="D134" s="14" t="str">
        <f aca="false">IF(Hallazgos!B37="","",Hallazgos!B37)</f>
        <v>21050100</v>
      </c>
      <c r="E134" s="14" t="str">
        <f aca="false">IF(Hallazgos!C37="","",Hallazgos!C37)</f>
        <v>Obligación financiera CP</v>
      </c>
      <c r="F134" s="15" t="str">
        <f aca="false">IF(Hallazgos!D37="","",Hallazgos!D37)</f>
        <v/>
      </c>
      <c r="G134" s="15" t="n">
        <f aca="false">IF(Hallazgos!E37="","",Hallazgos!E37)</f>
        <v>694500001.666668</v>
      </c>
    </row>
    <row r="135" customFormat="false" ht="15" hidden="false" customHeight="false" outlineLevel="0" collapsed="false">
      <c r="C135" s="14" t="str">
        <f aca="false">IF(Hallazgos!A38="","",Hallazgos!A38)</f>
        <v>AJE-2</v>
      </c>
      <c r="D135" s="14" t="str">
        <f aca="false">IF(Hallazgos!B38="","",Hallazgos!B38)</f>
        <v>21202140</v>
      </c>
      <c r="E135" s="14" t="str">
        <f aca="false">IF(Hallazgos!C38="","",Hallazgos!C38)</f>
        <v>Leasing LP</v>
      </c>
      <c r="F135" s="15" t="n">
        <f aca="false">IF(Hallazgos!D38="","",Hallazgos!D38)</f>
        <v>882135654.347453</v>
      </c>
      <c r="G135" s="15" t="str">
        <f aca="false">IF(Hallazgos!E38="","",Hallazgos!E38)</f>
        <v/>
      </c>
    </row>
    <row r="136" customFormat="false" ht="15" hidden="false" customHeight="false" outlineLevel="0" collapsed="false">
      <c r="C136" s="14" t="str">
        <f aca="false">IF(Hallazgos!A39="","",Hallazgos!A39)</f>
        <v>AJE-2</v>
      </c>
      <c r="D136" s="14" t="str">
        <f aca="false">IF(Hallazgos!B39="","",Hallazgos!B39)</f>
        <v>21202040</v>
      </c>
      <c r="E136" s="14" t="str">
        <f aca="false">IF(Hallazgos!C39="","",Hallazgos!C39)</f>
        <v>Leasing CP</v>
      </c>
      <c r="F136" s="15" t="str">
        <f aca="false">IF(Hallazgos!D39="","",Hallazgos!D39)</f>
        <v/>
      </c>
      <c r="G136" s="15" t="n">
        <f aca="false">IF(Hallazgos!E39="","",Hallazgos!E39)</f>
        <v>882135654.347453</v>
      </c>
    </row>
    <row r="138" customFormat="false" ht="15" hidden="false" customHeight="true" outlineLevel="0" collapsed="false">
      <c r="C138" s="10" t="s">
        <v>166</v>
      </c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customFormat="false" ht="69.75" hidden="false" customHeight="true" outlineLevel="0" collapsed="false">
      <c r="C139" s="11" t="str">
        <f aca="false">"Con base en los procedimientos aplicados, el auxiliar de la cuenta 21 cuadra con el balance y el saldo reconstruido por obligación explica el 100% del balance. El detalle 62 del cliente NO es confiable para leasing: proviene de tablas teóricas (tasa fija) y omite el leasing Bancolombia 386735 y el leasing GECOLSA (Davivienda). Los créditos cuadran con los extractos (redondeos). Se proponen el AJE-1 por "&amp;TEXT(Recalculo_Intereses!K47,"$#,##0")&amp;" de intereses no causados al corte y el AJE-2 de reclasificación a corto plazo. La conclusión queda sujeta a los "&amp;Pendientes!$D$20&amp;" pendientes de soporte."</f>
        <v>Con base en los procedimientos aplicados, el auxiliar de la cuenta 21 cuadra con el balance y el saldo reconstruido por obligación explica el 100% del balance. El detalle 62 del cliente NO es confiable para leasing: proviene de tablas teóricas (tasa fija) y omite el leasing Bancolombia 386735 y el leasing GECOLSA (Davivienda). Los créditos cuadran con los extractos (redondeos). Se proponen el AJE-1 por $187,705,390 de intereses no causados al corte y el AJE-2 de reclasificación a corto plazo. La conclusión queda sujeta a los 14 pendientes de soporte.</v>
      </c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</row>
    <row r="141" customFormat="false" ht="15" hidden="false" customHeight="true" outlineLevel="0" collapsed="false">
      <c r="C141" s="10" t="s">
        <v>167</v>
      </c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customFormat="false" ht="15" hidden="false" customHeight="true" outlineLevel="0" collapsed="false">
      <c r="B142" s="2" t="s">
        <v>168</v>
      </c>
      <c r="C142" s="11" t="s">
        <v>169</v>
      </c>
      <c r="D142" s="11"/>
      <c r="E142" s="11"/>
      <c r="F142" s="11"/>
      <c r="G142" s="11"/>
      <c r="H142" s="11"/>
      <c r="I142" s="11"/>
      <c r="J142" s="11"/>
    </row>
    <row r="143" customFormat="false" ht="15" hidden="false" customHeight="true" outlineLevel="0" collapsed="false">
      <c r="B143" s="2" t="s">
        <v>170</v>
      </c>
      <c r="C143" s="11" t="s">
        <v>171</v>
      </c>
      <c r="D143" s="11"/>
      <c r="E143" s="11"/>
      <c r="F143" s="11"/>
      <c r="G143" s="11"/>
      <c r="H143" s="11"/>
      <c r="I143" s="11"/>
      <c r="J143" s="11"/>
    </row>
    <row r="144" customFormat="false" ht="15" hidden="false" customHeight="true" outlineLevel="0" collapsed="false">
      <c r="B144" s="2" t="s">
        <v>172</v>
      </c>
      <c r="C144" s="11" t="s">
        <v>173</v>
      </c>
      <c r="D144" s="11"/>
      <c r="E144" s="11"/>
      <c r="F144" s="11"/>
      <c r="G144" s="11"/>
      <c r="H144" s="11"/>
      <c r="I144" s="11"/>
      <c r="J144" s="11"/>
    </row>
    <row r="145" customFormat="false" ht="15" hidden="false" customHeight="true" outlineLevel="0" collapsed="false">
      <c r="B145" s="2" t="s">
        <v>174</v>
      </c>
      <c r="C145" s="11" t="s">
        <v>175</v>
      </c>
      <c r="D145" s="11"/>
      <c r="E145" s="11"/>
      <c r="F145" s="11"/>
      <c r="G145" s="11"/>
      <c r="H145" s="11"/>
      <c r="I145" s="11"/>
      <c r="J145" s="11"/>
    </row>
    <row r="146" customFormat="false" ht="15" hidden="false" customHeight="true" outlineLevel="0" collapsed="false">
      <c r="B146" s="2" t="s">
        <v>176</v>
      </c>
      <c r="C146" s="11" t="s">
        <v>177</v>
      </c>
      <c r="D146" s="11"/>
      <c r="E146" s="11"/>
      <c r="F146" s="11"/>
      <c r="G146" s="11"/>
      <c r="H146" s="11"/>
      <c r="I146" s="11"/>
      <c r="J146" s="11"/>
    </row>
    <row r="147" customFormat="false" ht="15" hidden="false" customHeight="true" outlineLevel="0" collapsed="false">
      <c r="B147" s="2" t="s">
        <v>178</v>
      </c>
      <c r="C147" s="11" t="s">
        <v>179</v>
      </c>
      <c r="D147" s="11"/>
      <c r="E147" s="11"/>
      <c r="F147" s="11"/>
      <c r="G147" s="11"/>
      <c r="H147" s="11"/>
      <c r="I147" s="11"/>
      <c r="J147" s="11"/>
    </row>
    <row r="149" customFormat="false" ht="15" hidden="false" customHeight="true" outlineLevel="0" collapsed="false">
      <c r="C149" s="10" t="s">
        <v>180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customFormat="false" ht="15" hidden="false" customHeight="false" outlineLevel="0" collapsed="false">
      <c r="C150" s="22" t="s">
        <v>181</v>
      </c>
      <c r="F150" s="22" t="s">
        <v>182</v>
      </c>
      <c r="I150" s="22" t="s">
        <v>183</v>
      </c>
      <c r="L150" s="22" t="s">
        <v>32</v>
      </c>
    </row>
    <row r="151" customFormat="false" ht="15" hidden="false" customHeight="false" outlineLevel="0" collapsed="false">
      <c r="C151" s="22" t="s">
        <v>184</v>
      </c>
      <c r="F151" s="22" t="s">
        <v>29</v>
      </c>
      <c r="I151" s="22" t="s">
        <v>41</v>
      </c>
      <c r="L151" s="22" t="s">
        <v>63</v>
      </c>
    </row>
    <row r="152" customFormat="false" ht="15" hidden="false" customHeight="false" outlineLevel="0" collapsed="false">
      <c r="C152" s="22" t="s">
        <v>185</v>
      </c>
      <c r="F152" s="22" t="s">
        <v>38</v>
      </c>
      <c r="I152" s="22" t="s">
        <v>44</v>
      </c>
      <c r="L152" s="22" t="s">
        <v>65</v>
      </c>
    </row>
    <row r="153" customFormat="false" ht="15" hidden="false" customHeight="false" outlineLevel="0" collapsed="false">
      <c r="C153" s="22" t="s">
        <v>186</v>
      </c>
      <c r="F153" s="22" t="s">
        <v>55</v>
      </c>
      <c r="I153" s="22" t="s">
        <v>187</v>
      </c>
      <c r="L153" s="22" t="s">
        <v>188</v>
      </c>
    </row>
    <row r="154" customFormat="false" ht="15" hidden="false" customHeight="false" outlineLevel="0" collapsed="false">
      <c r="C154" s="22" t="s">
        <v>189</v>
      </c>
      <c r="F154" s="22" t="s">
        <v>190</v>
      </c>
      <c r="I154" s="22" t="s">
        <v>191</v>
      </c>
      <c r="L154" s="22" t="s">
        <v>192</v>
      </c>
    </row>
    <row r="155" customFormat="false" ht="15" hidden="false" customHeight="false" outlineLevel="0" collapsed="false">
      <c r="C155" s="22" t="s">
        <v>193</v>
      </c>
      <c r="F155" s="22" t="s">
        <v>194</v>
      </c>
      <c r="I155" s="22" t="s">
        <v>195</v>
      </c>
      <c r="L155" s="22" t="s">
        <v>196</v>
      </c>
    </row>
    <row r="156" customFormat="false" ht="15" hidden="false" customHeight="false" outlineLevel="0" collapsed="false">
      <c r="C156" s="22" t="s">
        <v>197</v>
      </c>
      <c r="F156" s="22" t="s">
        <v>198</v>
      </c>
      <c r="I156" s="22" t="s">
        <v>199</v>
      </c>
      <c r="L156" s="22" t="s">
        <v>200</v>
      </c>
    </row>
    <row r="157" customFormat="false" ht="15" hidden="false" customHeight="false" outlineLevel="0" collapsed="false">
      <c r="C157" s="22" t="s">
        <v>201</v>
      </c>
      <c r="F157" s="22" t="s">
        <v>202</v>
      </c>
      <c r="I157" s="22" t="s">
        <v>203</v>
      </c>
      <c r="L157" s="22" t="s">
        <v>204</v>
      </c>
    </row>
    <row r="158" customFormat="false" ht="15" hidden="false" customHeight="false" outlineLevel="0" collapsed="false">
      <c r="C158" s="22" t="s">
        <v>205</v>
      </c>
      <c r="F158" s="22" t="s">
        <v>206</v>
      </c>
      <c r="I158" s="22" t="s">
        <v>207</v>
      </c>
      <c r="L158" s="22" t="s">
        <v>208</v>
      </c>
    </row>
    <row r="159" customFormat="false" ht="15" hidden="false" customHeight="false" outlineLevel="0" collapsed="false">
      <c r="C159" s="22" t="s">
        <v>209</v>
      </c>
      <c r="F159" s="22" t="s">
        <v>210</v>
      </c>
      <c r="I159" s="22" t="s">
        <v>211</v>
      </c>
      <c r="L159" s="22" t="s">
        <v>212</v>
      </c>
    </row>
    <row r="160" customFormat="false" ht="15" hidden="false" customHeight="false" outlineLevel="0" collapsed="false">
      <c r="C160" s="22" t="s">
        <v>213</v>
      </c>
      <c r="F160" s="22" t="s">
        <v>214</v>
      </c>
    </row>
  </sheetData>
  <mergeCells count="88">
    <mergeCell ref="C2:I2"/>
    <mergeCell ref="D4:I4"/>
    <mergeCell ref="D5:I5"/>
    <mergeCell ref="D6:I6"/>
    <mergeCell ref="D7:I7"/>
    <mergeCell ref="N7:P7"/>
    <mergeCell ref="D8:I8"/>
    <mergeCell ref="D9:I9"/>
    <mergeCell ref="D10:I10"/>
    <mergeCell ref="C12:P12"/>
    <mergeCell ref="C13:P13"/>
    <mergeCell ref="C15:P15"/>
    <mergeCell ref="C16:P16"/>
    <mergeCell ref="C18:P18"/>
    <mergeCell ref="E19:H19"/>
    <mergeCell ref="I19:P19"/>
    <mergeCell ref="E20:H20"/>
    <mergeCell ref="I20:P20"/>
    <mergeCell ref="E21:H21"/>
    <mergeCell ref="I21:P21"/>
    <mergeCell ref="E22:H22"/>
    <mergeCell ref="I22:P22"/>
    <mergeCell ref="E23:H23"/>
    <mergeCell ref="I23:P23"/>
    <mergeCell ref="E24:H24"/>
    <mergeCell ref="I24:P24"/>
    <mergeCell ref="E25:H25"/>
    <mergeCell ref="I25:P25"/>
    <mergeCell ref="E26:H26"/>
    <mergeCell ref="I26:P26"/>
    <mergeCell ref="C28:P28"/>
    <mergeCell ref="C29:P29"/>
    <mergeCell ref="C31:P31"/>
    <mergeCell ref="C32:H32"/>
    <mergeCell ref="I32:K32"/>
    <mergeCell ref="L32:P32"/>
    <mergeCell ref="C33:H33"/>
    <mergeCell ref="I33:K33"/>
    <mergeCell ref="L33:P33"/>
    <mergeCell ref="C34:H34"/>
    <mergeCell ref="I34:K34"/>
    <mergeCell ref="L34:P34"/>
    <mergeCell ref="C35:H35"/>
    <mergeCell ref="I35:K35"/>
    <mergeCell ref="L35:P35"/>
    <mergeCell ref="C36:H36"/>
    <mergeCell ref="I36:K36"/>
    <mergeCell ref="L36:P36"/>
    <mergeCell ref="C37:H37"/>
    <mergeCell ref="I37:K37"/>
    <mergeCell ref="L37:P37"/>
    <mergeCell ref="C38:H38"/>
    <mergeCell ref="I38:K38"/>
    <mergeCell ref="L38:P38"/>
    <mergeCell ref="C39:H39"/>
    <mergeCell ref="I39:K39"/>
    <mergeCell ref="L39:P39"/>
    <mergeCell ref="C40:H40"/>
    <mergeCell ref="I40:K40"/>
    <mergeCell ref="L40:P40"/>
    <mergeCell ref="C41:H41"/>
    <mergeCell ref="I41:K41"/>
    <mergeCell ref="L41:P41"/>
    <mergeCell ref="C43:P43"/>
    <mergeCell ref="C44:P44"/>
    <mergeCell ref="C45:P45"/>
    <mergeCell ref="C46:P46"/>
    <mergeCell ref="C47:P47"/>
    <mergeCell ref="C48:P48"/>
    <mergeCell ref="C49:P49"/>
    <mergeCell ref="C51:P51"/>
    <mergeCell ref="C59:P59"/>
    <mergeCell ref="C111:P111"/>
    <mergeCell ref="C121:P121"/>
    <mergeCell ref="C123:D123"/>
    <mergeCell ref="C124:D124"/>
    <mergeCell ref="C125:D125"/>
    <mergeCell ref="C127:P127"/>
    <mergeCell ref="C138:P138"/>
    <mergeCell ref="C139:P139"/>
    <mergeCell ref="C141:P141"/>
    <mergeCell ref="C142:J142"/>
    <mergeCell ref="C143:J143"/>
    <mergeCell ref="C144:J144"/>
    <mergeCell ref="C145:J145"/>
    <mergeCell ref="C146:J146"/>
    <mergeCell ref="C147:J147"/>
    <mergeCell ref="C149:P149"/>
  </mergeCells>
  <hyperlinks>
    <hyperlink ref="C150" r:id="rId1" location="'Resumen'!A1" display="Resumen"/>
    <hyperlink ref="F150" r:id="rId2" location="'Hallazgos'!A1" display="Hallazgos"/>
    <hyperlink ref="I150" r:id="rId3" location="'Pendientes'!A1" display="Pendientes"/>
    <hyperlink ref="L150" r:id="rId4" location="'Saldos_x_Obligacion'!A1" display="Saldos_x_Obligacion"/>
    <hyperlink ref="C151" r:id="rId5" location="'Mayor_Dic25'!A1" display="Mayor_Dic25"/>
    <hyperlink ref="F151" r:id="rId6" location="'Certificados'!A1" display="Certificados"/>
    <hyperlink ref="I151" r:id="rId7" location="'Rev_Tablas_Amort'!A1" display="Rev_Tablas_Amort"/>
    <hyperlink ref="L151" r:id="rId8" location="'Intereses_x_Obligacion'!A1" display="Intereses_x_Obligacion"/>
    <hyperlink ref="C152" r:id="rId9" location="'Int_Glosas'!A1" display="Int_Glosas"/>
    <hyperlink ref="F152" r:id="rId10" location="'Recalculo_Intereses'!A1" display="Recalculo_Intereses"/>
    <hyperlink ref="I152" r:id="rId11" location="'Clasif_CP_LP'!A1" display="Clasif_CP_LP"/>
    <hyperlink ref="L152" r:id="rId12" location="'Gasto_Intereses'!A1" display="Gasto_Intereses"/>
    <hyperlink ref="C153" r:id="rId13" location="'Cruce_Detalle_Mayor'!A1" display="Cruce_Detalle_Mayor"/>
    <hyperlink ref="F153" r:id="rId14" location="'Cruce_Mov_Balance'!A1" display="Cruce_Mov_Balance"/>
    <hyperlink ref="I153" r:id="rId15" location="'Detalle_62'!A1" display="Detalle_62"/>
    <hyperlink ref="L153" r:id="rId16" location="'Mayor_Mov'!A1" display="Mayor_Mov"/>
    <hyperlink ref="C154" r:id="rId17" location="'Balance_21'!A1" display="Balance_21"/>
    <hyperlink ref="F154" r:id="rId18" location="'A01-9441'!A1" display="A01-9441"/>
    <hyperlink ref="I154" r:id="rId19" location="'A02-9448'!A1" display="A02-9448"/>
    <hyperlink ref="L154" r:id="rId20" location="'A03-2753'!A1" display="A03-2753"/>
    <hyperlink ref="C155" r:id="rId21" location="'A04-D-0624'!A1" display="A04-D-0624"/>
    <hyperlink ref="F155" r:id="rId22" location="'A05-D-7691'!A1" display="A05-D-7691"/>
    <hyperlink ref="I155" r:id="rId23" location="'A06-D-9032'!A1" display="A06-D-9032"/>
    <hyperlink ref="L155" r:id="rId24" location="'A07-B-6746'!A1" display="A07-B-6746"/>
    <hyperlink ref="C156" r:id="rId25" location="'A08-B-0629'!A1" display="A08-B-0629"/>
    <hyperlink ref="F156" r:id="rId26" location="'A09-B-7259'!A1" display="A09-B-7259"/>
    <hyperlink ref="I156" r:id="rId27" location="'A10-B-7469'!A1" display="A10-B-7469"/>
    <hyperlink ref="L156" r:id="rId28" location="'A11-Hoja2'!A1" display="A11-Hoja2"/>
    <hyperlink ref="C157" r:id="rId29" location="'A12-9224'!A1" display="A12-9224"/>
    <hyperlink ref="F157" r:id="rId30" location="'A13-9180'!A1" display="A13-9180"/>
    <hyperlink ref="I157" r:id="rId31" location="'A14-9117'!A1" display="A14-9117"/>
    <hyperlink ref="L157" r:id="rId32" location="'A15-9064'!A1" display="A15-9064"/>
    <hyperlink ref="C158" r:id="rId33" location="'A16-9299'!A1" display="A16-9299"/>
    <hyperlink ref="F158" r:id="rId34" location="'A17-5005'!A1" display="A17-5005"/>
    <hyperlink ref="I158" r:id="rId35" location="'A18-P-9940'!A1" display="A18-P-9940"/>
    <hyperlink ref="L158" r:id="rId36" location="'A19-V-7262'!A1" display="A19-V-7262"/>
    <hyperlink ref="C159" r:id="rId37" location="'A20-BC-5867'!A1" display="A20-BC-5867"/>
    <hyperlink ref="F159" r:id="rId38" location="'A21-362095'!A1" display="A21-362095"/>
    <hyperlink ref="I159" r:id="rId39" location="'A22-336817'!A1" display="A22-336817"/>
    <hyperlink ref="L159" r:id="rId40" location="'A23-331330'!A1" display="A23-331330"/>
    <hyperlink ref="C160" r:id="rId41" location="'A24-DD-0709'!A1" display="A24-DD-0709"/>
    <hyperlink ref="F160" r:id="rId42" location="'A25-3934'!A1" display="A25-3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2"/>
    <col collapsed="false" customWidth="true" hidden="false" outlineLevel="0" max="5" min="3" style="0" width="20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23" t="s">
        <v>215</v>
      </c>
    </row>
    <row r="2" customFormat="false" ht="15" hidden="false" customHeight="false" outlineLevel="0" collapsed="false">
      <c r="A2" s="24" t="s">
        <v>216</v>
      </c>
    </row>
    <row r="4" customFormat="false" ht="15" hidden="false" customHeight="false" outlineLevel="0" collapsed="false">
      <c r="B4" s="25" t="s">
        <v>217</v>
      </c>
      <c r="E4" s="25" t="s">
        <v>218</v>
      </c>
    </row>
    <row r="5" customFormat="false" ht="15" hidden="false" customHeight="false" outlineLevel="0" collapsed="false">
      <c r="B5" s="26" t="s">
        <v>219</v>
      </c>
      <c r="C5" s="27" t="n">
        <v>46234</v>
      </c>
      <c r="E5" s="28" t="str">
        <f aca="false">"Emitido con " &amp; Pendientes!$D$20 &amp; " pendientes"</f>
        <v>Emitido con 14 pendientes</v>
      </c>
      <c r="F5" s="28"/>
    </row>
    <row r="6" customFormat="false" ht="15" hidden="false" customHeight="false" outlineLevel="0" collapsed="false">
      <c r="B6" s="26" t="s">
        <v>220</v>
      </c>
      <c r="C6" s="29" t="n">
        <v>1000</v>
      </c>
      <c r="E6" s="24" t="s">
        <v>221</v>
      </c>
    </row>
    <row r="7" customFormat="false" ht="15" hidden="false" customHeight="false" outlineLevel="0" collapsed="false">
      <c r="B7" s="26" t="s">
        <v>222</v>
      </c>
      <c r="C7" s="30" t="n">
        <v>0.02</v>
      </c>
    </row>
    <row r="9" customFormat="false" ht="15" hidden="false" customHeight="false" outlineLevel="0" collapsed="false">
      <c r="B9" s="25" t="s">
        <v>223</v>
      </c>
    </row>
    <row r="10" customFormat="false" ht="30" hidden="false" customHeight="true" outlineLevel="0" collapsed="false">
      <c r="A10" s="31"/>
      <c r="B10" s="31" t="s">
        <v>224</v>
      </c>
      <c r="C10" s="31" t="s">
        <v>225</v>
      </c>
      <c r="D10" s="31" t="s">
        <v>226</v>
      </c>
      <c r="E10" s="31" t="s">
        <v>152</v>
      </c>
      <c r="F10" s="31" t="s">
        <v>227</v>
      </c>
    </row>
    <row r="11" customFormat="false" ht="25.5" hidden="false" customHeight="true" outlineLevel="0" collapsed="false">
      <c r="B11" s="13" t="s">
        <v>228</v>
      </c>
      <c r="C11" s="32" t="n">
        <f aca="false">Cruce_Mov_Balance!F12</f>
        <v>-46662703043.22</v>
      </c>
      <c r="D11" s="32" t="n">
        <f aca="false">Cruce_Mov_Balance!G12</f>
        <v>-46662703043.22</v>
      </c>
      <c r="E11" s="33" t="n">
        <f aca="false">C11-D11</f>
        <v>0</v>
      </c>
      <c r="F11" s="34" t="str">
        <f aca="false">IF(ABS(E11)&lt;=$C$6,"OK","DIFERENCIA")</f>
        <v>OK</v>
      </c>
    </row>
    <row r="12" customFormat="false" ht="25.5" hidden="false" customHeight="true" outlineLevel="0" collapsed="false">
      <c r="B12" s="13" t="s">
        <v>229</v>
      </c>
      <c r="C12" s="32" t="n">
        <f aca="false">Balance_21!$C$40</f>
        <v>0</v>
      </c>
      <c r="D12" s="33" t="n">
        <f aca="false">0</f>
        <v>0</v>
      </c>
      <c r="E12" s="33" t="n">
        <f aca="false">C12-D12</f>
        <v>0</v>
      </c>
      <c r="F12" s="34" t="str">
        <f aca="false">IF(ABS(E12)&lt;=$C$6,"OK","DIFERENCIA")</f>
        <v>OK</v>
      </c>
    </row>
    <row r="13" customFormat="false" ht="25.5" hidden="false" customHeight="true" outlineLevel="0" collapsed="false">
      <c r="B13" s="13" t="s">
        <v>230</v>
      </c>
      <c r="C13" s="32" t="n">
        <f aca="false">Detalle_62!F36</f>
        <v>45185912116.9625</v>
      </c>
      <c r="D13" s="32" t="n">
        <f aca="false">Detalle_62!F37</f>
        <v>45185912116.9625</v>
      </c>
      <c r="E13" s="33" t="n">
        <f aca="false">C13-D13</f>
        <v>0</v>
      </c>
      <c r="F13" s="34" t="str">
        <f aca="false">IF(ABS(E13)&lt;=$C$6,"OK","DIFERENCIA")</f>
        <v>OK</v>
      </c>
    </row>
    <row r="14" customFormat="false" ht="25.5" hidden="false" customHeight="true" outlineLevel="0" collapsed="false">
      <c r="B14" s="13" t="s">
        <v>231</v>
      </c>
      <c r="C14" s="32" t="n">
        <f aca="false">Cruce_Detalle_Mayor!D6</f>
        <v>38300666665.3333</v>
      </c>
      <c r="D14" s="32" t="n">
        <f aca="false">Cruce_Detalle_Mayor!E6</f>
        <v>38300666666</v>
      </c>
      <c r="E14" s="33" t="n">
        <f aca="false">C14-D14</f>
        <v>-0.666664123535156</v>
      </c>
      <c r="F14" s="34" t="str">
        <f aca="false">IF(ABS(E14)&lt;=$C$6,"OK","DIFERENCIA")</f>
        <v>OK</v>
      </c>
    </row>
    <row r="15" customFormat="false" ht="25.5" hidden="false" customHeight="true" outlineLevel="0" collapsed="false">
      <c r="B15" s="13" t="s">
        <v>232</v>
      </c>
      <c r="C15" s="32" t="n">
        <f aca="false">Cruce_Detalle_Mayor!D7</f>
        <v>6885245451.62914</v>
      </c>
      <c r="D15" s="32" t="n">
        <f aca="false">Cruce_Detalle_Mayor!E7</f>
        <v>7903511628.33</v>
      </c>
      <c r="E15" s="33" t="n">
        <f aca="false">C15-D15</f>
        <v>-1018266176.70086</v>
      </c>
      <c r="F15" s="34" t="str">
        <f aca="false">IF(ABS(E15)&lt;=$C$6,"OK","DIFERENCIA")</f>
        <v>DIFERENCIA</v>
      </c>
    </row>
    <row r="16" customFormat="false" ht="25.5" hidden="false" customHeight="true" outlineLevel="0" collapsed="false">
      <c r="B16" s="13" t="s">
        <v>233</v>
      </c>
      <c r="C16" s="32" t="n">
        <f aca="false">SUMIFS(Certificados!J5:J21,Certificados!H5:H21,"&lt;&gt;")</f>
        <v>35993167209.59</v>
      </c>
      <c r="D16" s="32" t="n">
        <f aca="false">SUMIFS(Certificados!K5:K21,Certificados!H5:H21,"&lt;&gt;")</f>
        <v>35821567508.9688</v>
      </c>
      <c r="E16" s="33" t="n">
        <f aca="false">C16-D16</f>
        <v>171599700.621231</v>
      </c>
      <c r="F16" s="34" t="str">
        <f aca="false">IF(ABS(E16)&lt;=$C$6,"OK","DIFERENCIA")</f>
        <v>DIFERENCIA</v>
      </c>
    </row>
    <row r="17" customFormat="false" ht="25.5" hidden="false" customHeight="true" outlineLevel="0" collapsed="false">
      <c r="B17" s="13" t="s">
        <v>234</v>
      </c>
      <c r="C17" s="32" t="n">
        <f aca="false">Certificados!H79</f>
        <v>3329917163.1</v>
      </c>
      <c r="D17" s="32" t="n">
        <f aca="false">Certificados!I79</f>
        <v>3341892235.57</v>
      </c>
      <c r="E17" s="33" t="n">
        <f aca="false">C17-D17</f>
        <v>-11975072.4700003</v>
      </c>
      <c r="F17" s="34" t="str">
        <f aca="false">IF(ABS(E17)&lt;=$C$6,"OK","DIFERENCIA")</f>
        <v>DIFERENCIA</v>
      </c>
    </row>
    <row r="18" customFormat="false" ht="25.5" hidden="false" customHeight="true" outlineLevel="0" collapsed="false">
      <c r="B18" s="13" t="s">
        <v>235</v>
      </c>
      <c r="C18" s="32" t="n">
        <f aca="false">Recalculo_Intereses!J20+Recalculo_Intereses!K20</f>
        <v>1561142009.06015</v>
      </c>
      <c r="D18" s="32" t="n">
        <f aca="false">Recalculo_Intereses!J20</f>
        <v>1612934504.13</v>
      </c>
      <c r="E18" s="33" t="n">
        <f aca="false">C18-D18</f>
        <v>-51792495.0698545</v>
      </c>
      <c r="F18" s="34" t="str">
        <f aca="false">IF(ABS(E18)&lt;=$C$6,"OK","DIFERENCIA")</f>
        <v>DIFERENCIA</v>
      </c>
    </row>
    <row r="19" customFormat="false" ht="25.5" hidden="false" customHeight="true" outlineLevel="0" collapsed="false">
      <c r="B19" s="13" t="s">
        <v>236</v>
      </c>
      <c r="C19" s="32" t="n">
        <f aca="false">Recalculo_Intereses!I47</f>
        <v>615094407.203176</v>
      </c>
      <c r="D19" s="32" t="n">
        <f aca="false">Recalculo_Intereses!J47</f>
        <v>427389017</v>
      </c>
      <c r="E19" s="33" t="n">
        <f aca="false">C19-D19</f>
        <v>187705390.203176</v>
      </c>
      <c r="F19" s="34" t="str">
        <f aca="false">IF(ABS(E19)&lt;=$C$6,"OK","DIFERENCIA")</f>
        <v>DIFERENCIA</v>
      </c>
    </row>
    <row r="20" customFormat="false" ht="25.5" hidden="false" customHeight="true" outlineLevel="0" collapsed="false">
      <c r="B20" s="13" t="s">
        <v>237</v>
      </c>
      <c r="C20" s="32" t="n">
        <f aca="false">Recalculo_Intereses!J47</f>
        <v>427389017</v>
      </c>
      <c r="D20" s="32" t="n">
        <f aca="false">-Balance_21!$F$25</f>
        <v>427389017.16</v>
      </c>
      <c r="E20" s="33" t="n">
        <f aca="false">C20-D20</f>
        <v>-0.160000026226044</v>
      </c>
      <c r="F20" s="34" t="str">
        <f aca="false">IF(ABS(E20)&lt;=$C$6,"OK","DIFERENCIA")</f>
        <v>OK</v>
      </c>
    </row>
    <row r="22" customFormat="false" ht="15" hidden="false" customHeight="false" outlineLevel="0" collapsed="false">
      <c r="B22" s="25" t="s">
        <v>238</v>
      </c>
    </row>
    <row r="23" customFormat="false" ht="15" hidden="false" customHeight="false" outlineLevel="0" collapsed="false">
      <c r="B23" s="26" t="s">
        <v>239</v>
      </c>
      <c r="C23" s="35" t="n">
        <f aca="false">Gasto_Intereses!B5</f>
        <v>46204178294.33</v>
      </c>
    </row>
    <row r="24" customFormat="false" ht="15" hidden="false" customHeight="false" outlineLevel="0" collapsed="false">
      <c r="B24" s="26" t="s">
        <v>240</v>
      </c>
      <c r="C24" s="35" t="n">
        <f aca="false">Detalle_62!F36</f>
        <v>45185912116.9625</v>
      </c>
    </row>
    <row r="25" customFormat="false" ht="15" hidden="false" customHeight="false" outlineLevel="0" collapsed="false">
      <c r="B25" s="26" t="s">
        <v>241</v>
      </c>
      <c r="C25" s="35" t="n">
        <f aca="false">Cruce_Detalle_Mayor!F14</f>
        <v>675837500</v>
      </c>
    </row>
    <row r="26" customFormat="false" ht="15" hidden="false" customHeight="false" outlineLevel="0" collapsed="false">
      <c r="B26" s="26" t="s">
        <v>242</v>
      </c>
      <c r="C26" s="35" t="n">
        <f aca="false">Cruce_Detalle_Mayor!F15</f>
        <v>213861900</v>
      </c>
    </row>
    <row r="27" customFormat="false" ht="15" hidden="false" customHeight="false" outlineLevel="0" collapsed="false">
      <c r="B27" s="26" t="s">
        <v>243</v>
      </c>
      <c r="C27" s="35" t="n">
        <f aca="false">Cruce_Detalle_Mayor!F16</f>
        <v>171608255.694557</v>
      </c>
    </row>
    <row r="28" customFormat="false" ht="15" hidden="false" customHeight="false" outlineLevel="0" collapsed="false">
      <c r="B28" s="26" t="s">
        <v>244</v>
      </c>
      <c r="C28" s="35" t="n">
        <f aca="false">Cruce_Detalle_Mayor!F19</f>
        <v>0</v>
      </c>
    </row>
    <row r="29" customFormat="false" ht="15" hidden="false" customHeight="false" outlineLevel="0" collapsed="false">
      <c r="B29" s="26" t="s">
        <v>245</v>
      </c>
      <c r="C29" s="36" t="n">
        <f aca="false">Certificados!$K$35</f>
        <v>0.850428591179834</v>
      </c>
    </row>
    <row r="30" customFormat="false" ht="15" hidden="false" customHeight="false" outlineLevel="0" collapsed="false">
      <c r="B30" s="26" t="s">
        <v>246</v>
      </c>
      <c r="C30" s="35" t="n">
        <f aca="false">Recalculo_Intereses!K47</f>
        <v>187705390.203176</v>
      </c>
    </row>
    <row r="31" customFormat="false" ht="15" hidden="false" customHeight="false" outlineLevel="0" collapsed="false">
      <c r="B31" s="26" t="s">
        <v>247</v>
      </c>
      <c r="C31" s="35" t="n">
        <f aca="false">Clasif_CP_LP!B11+Clasif_CP_LP!B12</f>
        <v>1576635656.01412</v>
      </c>
    </row>
    <row r="32" customFormat="false" ht="15" hidden="false" customHeight="false" outlineLevel="0" collapsed="false">
      <c r="B32" s="26" t="s">
        <v>248</v>
      </c>
      <c r="C32" s="36" t="n">
        <f aca="false">Gasto_Intereses!$B$18</f>
        <v>-0.0712621527718563</v>
      </c>
    </row>
    <row r="33" customFormat="false" ht="15" hidden="false" customHeight="false" outlineLevel="0" collapsed="false">
      <c r="B33" s="26" t="s">
        <v>249</v>
      </c>
      <c r="C33" s="37" t="str">
        <f aca="false">Gasto_Intereses!$B$20</f>
        <v>Gasto razonable dentro del umbral</v>
      </c>
    </row>
    <row r="35" customFormat="false" ht="15" hidden="false" customHeight="false" outlineLevel="0" collapsed="false">
      <c r="B35" s="25" t="s">
        <v>250</v>
      </c>
    </row>
    <row r="36" customFormat="false" ht="39.75" hidden="false" customHeight="true" outlineLevel="0" collapsed="false">
      <c r="B36" s="13" t="s">
        <v>251</v>
      </c>
      <c r="C36" s="13"/>
      <c r="D36" s="13"/>
      <c r="E36" s="13"/>
      <c r="F36" s="13"/>
    </row>
    <row r="37" customFormat="false" ht="39.75" hidden="false" customHeight="true" outlineLevel="0" collapsed="false">
      <c r="B37" s="13" t="s">
        <v>252</v>
      </c>
      <c r="C37" s="13"/>
      <c r="D37" s="13"/>
      <c r="E37" s="13"/>
      <c r="F37" s="13"/>
    </row>
    <row r="38" customFormat="false" ht="39.75" hidden="false" customHeight="true" outlineLevel="0" collapsed="false">
      <c r="B38" s="13" t="s">
        <v>253</v>
      </c>
      <c r="C38" s="13"/>
      <c r="D38" s="13"/>
      <c r="E38" s="13"/>
      <c r="F38" s="13"/>
    </row>
    <row r="39" customFormat="false" ht="39.75" hidden="false" customHeight="true" outlineLevel="0" collapsed="false">
      <c r="B39" s="13" t="s">
        <v>254</v>
      </c>
      <c r="C39" s="13"/>
      <c r="D39" s="13"/>
      <c r="E39" s="13"/>
      <c r="F39" s="13"/>
    </row>
    <row r="40" customFormat="false" ht="39.75" hidden="false" customHeight="true" outlineLevel="0" collapsed="false">
      <c r="B40" s="13" t="s">
        <v>255</v>
      </c>
      <c r="C40" s="13"/>
      <c r="D40" s="13"/>
      <c r="E40" s="13"/>
      <c r="F40" s="13"/>
    </row>
    <row r="41" customFormat="false" ht="39.75" hidden="false" customHeight="true" outlineLevel="0" collapsed="false">
      <c r="B41" s="13" t="s">
        <v>256</v>
      </c>
      <c r="C41" s="13"/>
      <c r="D41" s="13"/>
      <c r="E41" s="13"/>
      <c r="F41" s="13"/>
    </row>
    <row r="43" customFormat="false" ht="15" hidden="false" customHeight="false" outlineLevel="0" collapsed="false">
      <c r="B43" s="25" t="s">
        <v>257</v>
      </c>
    </row>
    <row r="44" customFormat="false" ht="15" hidden="false" customHeight="false" outlineLevel="0" collapsed="false">
      <c r="B44" s="34" t="s">
        <v>188</v>
      </c>
      <c r="C44" s="26" t="s">
        <v>258</v>
      </c>
      <c r="D44" s="26"/>
      <c r="E44" s="26"/>
      <c r="F44" s="26"/>
    </row>
    <row r="45" customFormat="false" ht="15" hidden="false" customHeight="false" outlineLevel="0" collapsed="false">
      <c r="B45" s="34" t="s">
        <v>189</v>
      </c>
      <c r="C45" s="26" t="s">
        <v>259</v>
      </c>
      <c r="D45" s="26"/>
      <c r="E45" s="26"/>
      <c r="F45" s="26"/>
    </row>
    <row r="46" customFormat="false" ht="15" hidden="false" customHeight="false" outlineLevel="0" collapsed="false">
      <c r="B46" s="34" t="s">
        <v>55</v>
      </c>
      <c r="C46" s="26" t="s">
        <v>260</v>
      </c>
      <c r="D46" s="26"/>
      <c r="E46" s="26"/>
      <c r="F46" s="26"/>
    </row>
    <row r="47" customFormat="false" ht="15" hidden="false" customHeight="false" outlineLevel="0" collapsed="false">
      <c r="B47" s="34" t="s">
        <v>187</v>
      </c>
      <c r="C47" s="26" t="s">
        <v>261</v>
      </c>
      <c r="D47" s="26"/>
      <c r="E47" s="26"/>
      <c r="F47" s="26"/>
    </row>
    <row r="48" customFormat="false" ht="15" hidden="false" customHeight="false" outlineLevel="0" collapsed="false">
      <c r="B48" s="34" t="s">
        <v>186</v>
      </c>
      <c r="C48" s="26" t="s">
        <v>262</v>
      </c>
      <c r="D48" s="26"/>
      <c r="E48" s="26"/>
      <c r="F48" s="26"/>
    </row>
    <row r="49" customFormat="false" ht="15" hidden="false" customHeight="false" outlineLevel="0" collapsed="false">
      <c r="B49" s="34" t="s">
        <v>29</v>
      </c>
      <c r="C49" s="26" t="s">
        <v>263</v>
      </c>
      <c r="D49" s="26"/>
      <c r="E49" s="26"/>
      <c r="F49" s="26"/>
    </row>
    <row r="50" customFormat="false" ht="15" hidden="false" customHeight="false" outlineLevel="0" collapsed="false">
      <c r="B50" s="34" t="s">
        <v>38</v>
      </c>
      <c r="C50" s="26" t="s">
        <v>264</v>
      </c>
      <c r="D50" s="26"/>
      <c r="E50" s="26"/>
      <c r="F50" s="26"/>
    </row>
    <row r="51" customFormat="false" ht="15" hidden="false" customHeight="false" outlineLevel="0" collapsed="false">
      <c r="B51" s="34" t="s">
        <v>65</v>
      </c>
      <c r="C51" s="26" t="s">
        <v>265</v>
      </c>
      <c r="D51" s="26"/>
      <c r="E51" s="26"/>
      <c r="F51" s="26"/>
    </row>
    <row r="52" customFormat="false" ht="15" hidden="false" customHeight="false" outlineLevel="0" collapsed="false">
      <c r="B52" s="34" t="s">
        <v>44</v>
      </c>
      <c r="C52" s="26" t="s">
        <v>266</v>
      </c>
      <c r="D52" s="26"/>
      <c r="E52" s="26"/>
      <c r="F52" s="26"/>
    </row>
    <row r="53" customFormat="false" ht="15" hidden="false" customHeight="false" outlineLevel="0" collapsed="false">
      <c r="B53" s="34" t="s">
        <v>182</v>
      </c>
      <c r="C53" s="26" t="s">
        <v>267</v>
      </c>
      <c r="D53" s="26"/>
      <c r="E53" s="26"/>
      <c r="F53" s="26"/>
    </row>
    <row r="54" customFormat="false" ht="15" hidden="false" customHeight="false" outlineLevel="0" collapsed="false">
      <c r="B54" s="34" t="s">
        <v>183</v>
      </c>
      <c r="C54" s="26" t="s">
        <v>268</v>
      </c>
      <c r="D54" s="26"/>
      <c r="E54" s="26"/>
      <c r="F54" s="26"/>
    </row>
    <row r="55" customFormat="false" ht="15" hidden="false" customHeight="false" outlineLevel="0" collapsed="false">
      <c r="B55" s="34" t="s">
        <v>269</v>
      </c>
      <c r="C55" s="26" t="s">
        <v>270</v>
      </c>
      <c r="D55" s="26"/>
      <c r="E55" s="26"/>
      <c r="F55" s="26"/>
    </row>
    <row r="56" customFormat="false" ht="15" hidden="false" customHeight="false" outlineLevel="0" collapsed="false">
      <c r="B56" s="34" t="s">
        <v>32</v>
      </c>
      <c r="C56" s="26" t="s">
        <v>271</v>
      </c>
      <c r="D56" s="26"/>
      <c r="E56" s="26"/>
      <c r="F56" s="26"/>
    </row>
    <row r="57" customFormat="false" ht="15" hidden="false" customHeight="false" outlineLevel="0" collapsed="false">
      <c r="B57" s="34" t="s">
        <v>184</v>
      </c>
      <c r="C57" s="26" t="s">
        <v>272</v>
      </c>
      <c r="D57" s="26"/>
      <c r="E57" s="26"/>
      <c r="F57" s="26"/>
    </row>
    <row r="58" customFormat="false" ht="15" hidden="false" customHeight="false" outlineLevel="0" collapsed="false">
      <c r="B58" s="34" t="s">
        <v>41</v>
      </c>
      <c r="C58" s="26" t="s">
        <v>273</v>
      </c>
      <c r="D58" s="26"/>
      <c r="E58" s="26"/>
      <c r="F58" s="26"/>
    </row>
    <row r="59" customFormat="false" ht="15" hidden="false" customHeight="false" outlineLevel="0" collapsed="false">
      <c r="B59" s="34" t="s">
        <v>63</v>
      </c>
      <c r="C59" s="26" t="s">
        <v>274</v>
      </c>
      <c r="D59" s="26"/>
      <c r="E59" s="26"/>
      <c r="F59" s="26"/>
    </row>
    <row r="60" customFormat="false" ht="15" hidden="false" customHeight="false" outlineLevel="0" collapsed="false">
      <c r="B60" s="34" t="s">
        <v>185</v>
      </c>
      <c r="C60" s="26" t="s">
        <v>275</v>
      </c>
      <c r="D60" s="26"/>
      <c r="E60" s="26"/>
      <c r="F60" s="26"/>
    </row>
  </sheetData>
  <mergeCells count="24">
    <mergeCell ref="E5:F5"/>
    <mergeCell ref="B36:F36"/>
    <mergeCell ref="B37:F37"/>
    <mergeCell ref="B38:F38"/>
    <mergeCell ref="B39:F39"/>
    <mergeCell ref="B40:F40"/>
    <mergeCell ref="B41:F41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C58:F58"/>
    <mergeCell ref="C59:F59"/>
    <mergeCell ref="C60:F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P4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7" min="5" style="0" width="16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60"/>
    <col collapsed="false" customWidth="true" hidden="false" outlineLevel="0" max="13" min="13" style="0" width="13"/>
    <col collapsed="false" customWidth="true" hidden="false" outlineLevel="0" max="14" min="14" style="0" width="17"/>
    <col collapsed="false" customWidth="true" hidden="false" outlineLevel="0" max="15" min="15" style="0" width="21"/>
    <col collapsed="false" customWidth="true" hidden="false" outlineLevel="0" max="16" min="16" style="0" width="20"/>
  </cols>
  <sheetData>
    <row r="1" customFormat="false" ht="16.15" hidden="false" customHeight="false" outlineLevel="0" collapsed="false">
      <c r="A1" s="23" t="s">
        <v>276</v>
      </c>
    </row>
    <row r="2" customFormat="false" ht="15" hidden="false" customHeight="false" outlineLevel="0" collapsed="false">
      <c r="A2" s="24" t="s">
        <v>277</v>
      </c>
    </row>
    <row r="4" customFormat="false" ht="30" hidden="false" customHeight="true" outlineLevel="0" collapsed="false">
      <c r="A4" s="31" t="s">
        <v>278</v>
      </c>
      <c r="B4" s="31" t="s">
        <v>163</v>
      </c>
      <c r="C4" s="31" t="s">
        <v>279</v>
      </c>
      <c r="D4" s="31" t="s">
        <v>280</v>
      </c>
      <c r="E4" s="31" t="s">
        <v>164</v>
      </c>
      <c r="F4" s="31" t="s">
        <v>165</v>
      </c>
      <c r="G4" s="31" t="s">
        <v>281</v>
      </c>
      <c r="H4" s="31" t="s">
        <v>282</v>
      </c>
      <c r="I4" s="31" t="s">
        <v>283</v>
      </c>
      <c r="J4" s="31" t="s">
        <v>284</v>
      </c>
      <c r="K4" s="31" t="s">
        <v>285</v>
      </c>
      <c r="L4" s="31" t="s">
        <v>100</v>
      </c>
      <c r="M4" s="31" t="s">
        <v>286</v>
      </c>
      <c r="N4" s="31" t="s">
        <v>287</v>
      </c>
      <c r="O4" s="31" t="s">
        <v>288</v>
      </c>
      <c r="P4" s="31" t="s">
        <v>289</v>
      </c>
    </row>
    <row r="5" customFormat="false" ht="15" hidden="false" customHeight="false" outlineLevel="0" collapsed="false">
      <c r="A5" s="38" t="n">
        <v>2</v>
      </c>
      <c r="B5" s="38" t="s">
        <v>290</v>
      </c>
      <c r="C5" s="38" t="s">
        <v>291</v>
      </c>
      <c r="D5" s="38" t="s">
        <v>292</v>
      </c>
      <c r="E5" s="39" t="n">
        <v>4700000000</v>
      </c>
      <c r="F5" s="39" t="n">
        <v>4700000000</v>
      </c>
      <c r="G5" s="33" t="n">
        <f aca="false">E5-F5</f>
        <v>0</v>
      </c>
      <c r="H5" s="27" t="n">
        <v>46203</v>
      </c>
      <c r="I5" s="38" t="s">
        <v>293</v>
      </c>
      <c r="J5" s="38" t="s">
        <v>294</v>
      </c>
      <c r="K5" s="38" t="s">
        <v>295</v>
      </c>
      <c r="L5" s="38" t="s">
        <v>296</v>
      </c>
      <c r="M5" s="38" t="s">
        <v>297</v>
      </c>
      <c r="N5" s="34" t="s">
        <v>137</v>
      </c>
      <c r="O5" s="26" t="s">
        <v>298</v>
      </c>
      <c r="P5" s="26" t="s">
        <v>299</v>
      </c>
    </row>
    <row r="6" customFormat="false" ht="15" hidden="false" customHeight="false" outlineLevel="0" collapsed="false">
      <c r="A6" s="38" t="n">
        <v>3</v>
      </c>
      <c r="B6" s="38" t="s">
        <v>290</v>
      </c>
      <c r="C6" s="38" t="s">
        <v>291</v>
      </c>
      <c r="D6" s="38" t="s">
        <v>300</v>
      </c>
      <c r="E6" s="39" t="n">
        <v>10000000000</v>
      </c>
      <c r="F6" s="39" t="n">
        <v>0</v>
      </c>
      <c r="G6" s="33" t="n">
        <f aca="false">E6-F6</f>
        <v>10000000000</v>
      </c>
      <c r="H6" s="27" t="n">
        <v>46050</v>
      </c>
      <c r="I6" s="38" t="s">
        <v>301</v>
      </c>
      <c r="J6" s="38" t="s">
        <v>302</v>
      </c>
      <c r="K6" s="38" t="s">
        <v>303</v>
      </c>
      <c r="L6" s="38" t="s">
        <v>304</v>
      </c>
      <c r="M6" s="38" t="s">
        <v>297</v>
      </c>
      <c r="N6" s="34" t="s">
        <v>114</v>
      </c>
      <c r="O6" s="26" t="s">
        <v>298</v>
      </c>
      <c r="P6" s="26" t="s">
        <v>305</v>
      </c>
    </row>
    <row r="7" customFormat="false" ht="15" hidden="false" customHeight="false" outlineLevel="0" collapsed="false">
      <c r="A7" s="38" t="n">
        <v>4</v>
      </c>
      <c r="B7" s="38" t="s">
        <v>290</v>
      </c>
      <c r="C7" s="38" t="s">
        <v>291</v>
      </c>
      <c r="D7" s="38" t="s">
        <v>306</v>
      </c>
      <c r="E7" s="39" t="n">
        <v>0</v>
      </c>
      <c r="F7" s="39" t="n">
        <v>10000000000</v>
      </c>
      <c r="G7" s="33" t="n">
        <f aca="false">E7-F7</f>
        <v>-10000000000</v>
      </c>
      <c r="H7" s="27" t="n">
        <v>46050</v>
      </c>
      <c r="I7" s="38" t="s">
        <v>301</v>
      </c>
      <c r="J7" s="38" t="s">
        <v>302</v>
      </c>
      <c r="K7" s="38" t="s">
        <v>303</v>
      </c>
      <c r="L7" s="38" t="s">
        <v>304</v>
      </c>
      <c r="M7" s="38" t="s">
        <v>297</v>
      </c>
      <c r="N7" s="34" t="s">
        <v>127</v>
      </c>
      <c r="O7" s="26" t="s">
        <v>298</v>
      </c>
      <c r="P7" s="26" t="s">
        <v>307</v>
      </c>
    </row>
    <row r="8" customFormat="false" ht="15" hidden="false" customHeight="false" outlineLevel="0" collapsed="false">
      <c r="A8" s="38" t="n">
        <v>5</v>
      </c>
      <c r="B8" s="38" t="s">
        <v>290</v>
      </c>
      <c r="C8" s="38" t="s">
        <v>291</v>
      </c>
      <c r="D8" s="38" t="s">
        <v>306</v>
      </c>
      <c r="E8" s="39" t="n">
        <v>10000000000</v>
      </c>
      <c r="F8" s="39" t="n">
        <v>10000000000</v>
      </c>
      <c r="G8" s="33" t="n">
        <f aca="false">E8-F8</f>
        <v>0</v>
      </c>
      <c r="H8" s="27" t="n">
        <v>46232</v>
      </c>
      <c r="I8" s="38" t="s">
        <v>301</v>
      </c>
      <c r="J8" s="38" t="s">
        <v>308</v>
      </c>
      <c r="K8" s="38" t="s">
        <v>303</v>
      </c>
      <c r="L8" s="38" t="s">
        <v>309</v>
      </c>
      <c r="M8" s="38" t="s">
        <v>297</v>
      </c>
      <c r="N8" s="34" t="s">
        <v>127</v>
      </c>
      <c r="O8" s="26" t="s">
        <v>298</v>
      </c>
      <c r="P8" s="26" t="s">
        <v>299</v>
      </c>
    </row>
    <row r="9" customFormat="false" ht="15" hidden="false" customHeight="false" outlineLevel="0" collapsed="false">
      <c r="A9" s="38" t="n">
        <v>6</v>
      </c>
      <c r="B9" s="38" t="s">
        <v>310</v>
      </c>
      <c r="C9" s="38" t="s">
        <v>311</v>
      </c>
      <c r="D9" s="38" t="s">
        <v>306</v>
      </c>
      <c r="E9" s="39" t="n">
        <v>62500000</v>
      </c>
      <c r="F9" s="39" t="n">
        <v>0</v>
      </c>
      <c r="G9" s="33" t="n">
        <f aca="false">E9-F9</f>
        <v>62500000</v>
      </c>
      <c r="H9" s="27" t="n">
        <v>46050</v>
      </c>
      <c r="I9" s="38" t="s">
        <v>301</v>
      </c>
      <c r="J9" s="38" t="s">
        <v>312</v>
      </c>
      <c r="K9" s="38" t="s">
        <v>313</v>
      </c>
      <c r="L9" s="38" t="s">
        <v>314</v>
      </c>
      <c r="M9" s="38" t="s">
        <v>315</v>
      </c>
      <c r="N9" s="34" t="s">
        <v>124</v>
      </c>
      <c r="O9" s="26" t="s">
        <v>316</v>
      </c>
      <c r="P9" s="26" t="s">
        <v>305</v>
      </c>
    </row>
    <row r="10" customFormat="false" ht="15" hidden="false" customHeight="false" outlineLevel="0" collapsed="false">
      <c r="A10" s="38" t="n">
        <v>7</v>
      </c>
      <c r="B10" s="38" t="s">
        <v>310</v>
      </c>
      <c r="C10" s="38" t="s">
        <v>311</v>
      </c>
      <c r="D10" s="38" t="s">
        <v>306</v>
      </c>
      <c r="E10" s="39" t="n">
        <v>62500000</v>
      </c>
      <c r="F10" s="39" t="n">
        <v>0</v>
      </c>
      <c r="G10" s="33" t="n">
        <f aca="false">E10-F10</f>
        <v>62500000</v>
      </c>
      <c r="H10" s="27" t="n">
        <v>46071</v>
      </c>
      <c r="I10" s="38" t="s">
        <v>301</v>
      </c>
      <c r="J10" s="38" t="s">
        <v>317</v>
      </c>
      <c r="K10" s="38" t="s">
        <v>313</v>
      </c>
      <c r="L10" s="38" t="s">
        <v>318</v>
      </c>
      <c r="M10" s="38" t="s">
        <v>315</v>
      </c>
      <c r="N10" s="34" t="s">
        <v>124</v>
      </c>
      <c r="O10" s="26" t="s">
        <v>316</v>
      </c>
      <c r="P10" s="26" t="s">
        <v>305</v>
      </c>
    </row>
    <row r="11" customFormat="false" ht="15" hidden="false" customHeight="false" outlineLevel="0" collapsed="false">
      <c r="A11" s="38" t="n">
        <v>8</v>
      </c>
      <c r="B11" s="38" t="s">
        <v>310</v>
      </c>
      <c r="C11" s="38" t="s">
        <v>311</v>
      </c>
      <c r="D11" s="38" t="s">
        <v>306</v>
      </c>
      <c r="E11" s="39" t="n">
        <v>125000000</v>
      </c>
      <c r="F11" s="39" t="n">
        <v>0</v>
      </c>
      <c r="G11" s="33" t="n">
        <f aca="false">E11-F11</f>
        <v>125000000</v>
      </c>
      <c r="H11" s="27" t="n">
        <v>46071</v>
      </c>
      <c r="I11" s="38" t="s">
        <v>301</v>
      </c>
      <c r="J11" s="38" t="s">
        <v>319</v>
      </c>
      <c r="K11" s="38" t="s">
        <v>313</v>
      </c>
      <c r="L11" s="38" t="s">
        <v>320</v>
      </c>
      <c r="M11" s="38" t="s">
        <v>315</v>
      </c>
      <c r="N11" s="34" t="s">
        <v>126</v>
      </c>
      <c r="O11" s="26" t="s">
        <v>316</v>
      </c>
      <c r="P11" s="26" t="s">
        <v>305</v>
      </c>
    </row>
    <row r="12" customFormat="false" ht="15" hidden="false" customHeight="false" outlineLevel="0" collapsed="false">
      <c r="A12" s="38" t="n">
        <v>9</v>
      </c>
      <c r="B12" s="38" t="s">
        <v>310</v>
      </c>
      <c r="C12" s="38" t="s">
        <v>311</v>
      </c>
      <c r="D12" s="38" t="s">
        <v>306</v>
      </c>
      <c r="E12" s="39" t="n">
        <v>182166667</v>
      </c>
      <c r="F12" s="39" t="n">
        <v>0</v>
      </c>
      <c r="G12" s="33" t="n">
        <f aca="false">E12-F12</f>
        <v>182166667</v>
      </c>
      <c r="H12" s="27" t="n">
        <v>46100</v>
      </c>
      <c r="I12" s="38" t="s">
        <v>301</v>
      </c>
      <c r="J12" s="38" t="s">
        <v>321</v>
      </c>
      <c r="K12" s="38" t="s">
        <v>313</v>
      </c>
      <c r="L12" s="38" t="s">
        <v>322</v>
      </c>
      <c r="M12" s="38" t="s">
        <v>315</v>
      </c>
      <c r="N12" s="34" t="s">
        <v>125</v>
      </c>
      <c r="O12" s="26" t="s">
        <v>316</v>
      </c>
      <c r="P12" s="26" t="s">
        <v>305</v>
      </c>
    </row>
    <row r="13" customFormat="false" ht="15" hidden="false" customHeight="false" outlineLevel="0" collapsed="false">
      <c r="A13" s="38" t="n">
        <v>10</v>
      </c>
      <c r="B13" s="38" t="s">
        <v>310</v>
      </c>
      <c r="C13" s="38" t="s">
        <v>311</v>
      </c>
      <c r="D13" s="38" t="s">
        <v>306</v>
      </c>
      <c r="E13" s="39" t="n">
        <v>62500000</v>
      </c>
      <c r="F13" s="39" t="n">
        <v>0</v>
      </c>
      <c r="G13" s="33" t="n">
        <f aca="false">E13-F13</f>
        <v>62500000</v>
      </c>
      <c r="H13" s="27" t="n">
        <v>46100</v>
      </c>
      <c r="I13" s="38" t="s">
        <v>301</v>
      </c>
      <c r="J13" s="38" t="s">
        <v>323</v>
      </c>
      <c r="K13" s="38" t="s">
        <v>313</v>
      </c>
      <c r="L13" s="38" t="s">
        <v>324</v>
      </c>
      <c r="M13" s="38" t="s">
        <v>315</v>
      </c>
      <c r="N13" s="34" t="s">
        <v>124</v>
      </c>
      <c r="O13" s="26" t="s">
        <v>316</v>
      </c>
      <c r="P13" s="26" t="s">
        <v>305</v>
      </c>
    </row>
    <row r="14" customFormat="false" ht="15" hidden="false" customHeight="false" outlineLevel="0" collapsed="false">
      <c r="A14" s="38" t="n">
        <v>11</v>
      </c>
      <c r="B14" s="38" t="s">
        <v>310</v>
      </c>
      <c r="C14" s="38" t="s">
        <v>311</v>
      </c>
      <c r="D14" s="38" t="s">
        <v>306</v>
      </c>
      <c r="E14" s="39" t="n">
        <v>62500000</v>
      </c>
      <c r="F14" s="39" t="n">
        <v>0</v>
      </c>
      <c r="G14" s="33" t="n">
        <f aca="false">E14-F14</f>
        <v>62500000</v>
      </c>
      <c r="H14" s="27" t="n">
        <v>46136</v>
      </c>
      <c r="I14" s="38" t="s">
        <v>301</v>
      </c>
      <c r="J14" s="38" t="s">
        <v>325</v>
      </c>
      <c r="K14" s="38" t="s">
        <v>313</v>
      </c>
      <c r="L14" s="38" t="s">
        <v>326</v>
      </c>
      <c r="M14" s="38" t="s">
        <v>315</v>
      </c>
      <c r="N14" s="34" t="s">
        <v>124</v>
      </c>
      <c r="O14" s="26" t="s">
        <v>316</v>
      </c>
      <c r="P14" s="26" t="s">
        <v>305</v>
      </c>
    </row>
    <row r="15" customFormat="false" ht="15" hidden="false" customHeight="false" outlineLevel="0" collapsed="false">
      <c r="A15" s="38" t="n">
        <v>12</v>
      </c>
      <c r="B15" s="38" t="s">
        <v>310</v>
      </c>
      <c r="C15" s="38" t="s">
        <v>311</v>
      </c>
      <c r="D15" s="38" t="s">
        <v>306</v>
      </c>
      <c r="E15" s="39" t="n">
        <v>125000000</v>
      </c>
      <c r="F15" s="39" t="n">
        <v>0</v>
      </c>
      <c r="G15" s="33" t="n">
        <f aca="false">E15-F15</f>
        <v>125000000</v>
      </c>
      <c r="H15" s="27" t="n">
        <v>46164</v>
      </c>
      <c r="I15" s="38" t="s">
        <v>301</v>
      </c>
      <c r="J15" s="38" t="s">
        <v>327</v>
      </c>
      <c r="K15" s="38" t="s">
        <v>313</v>
      </c>
      <c r="L15" s="38" t="s">
        <v>328</v>
      </c>
      <c r="M15" s="38" t="s">
        <v>315</v>
      </c>
      <c r="N15" s="34" t="s">
        <v>126</v>
      </c>
      <c r="O15" s="26" t="s">
        <v>316</v>
      </c>
      <c r="P15" s="26" t="s">
        <v>305</v>
      </c>
    </row>
    <row r="16" customFormat="false" ht="15" hidden="false" customHeight="false" outlineLevel="0" collapsed="false">
      <c r="A16" s="38" t="n">
        <v>13</v>
      </c>
      <c r="B16" s="38" t="s">
        <v>310</v>
      </c>
      <c r="C16" s="38" t="s">
        <v>311</v>
      </c>
      <c r="D16" s="38" t="s">
        <v>306</v>
      </c>
      <c r="E16" s="39" t="n">
        <v>62500000</v>
      </c>
      <c r="F16" s="39" t="n">
        <v>0</v>
      </c>
      <c r="G16" s="33" t="n">
        <f aca="false">E16-F16</f>
        <v>62500000</v>
      </c>
      <c r="H16" s="27" t="n">
        <v>46164</v>
      </c>
      <c r="I16" s="38" t="s">
        <v>301</v>
      </c>
      <c r="J16" s="38" t="s">
        <v>329</v>
      </c>
      <c r="K16" s="38" t="s">
        <v>313</v>
      </c>
      <c r="L16" s="38" t="s">
        <v>330</v>
      </c>
      <c r="M16" s="38" t="s">
        <v>315</v>
      </c>
      <c r="N16" s="34" t="s">
        <v>124</v>
      </c>
      <c r="O16" s="26" t="s">
        <v>316</v>
      </c>
      <c r="P16" s="26" t="s">
        <v>305</v>
      </c>
    </row>
    <row r="17" customFormat="false" ht="15" hidden="false" customHeight="false" outlineLevel="0" collapsed="false">
      <c r="A17" s="38" t="n">
        <v>14</v>
      </c>
      <c r="B17" s="38" t="s">
        <v>310</v>
      </c>
      <c r="C17" s="38" t="s">
        <v>311</v>
      </c>
      <c r="D17" s="38" t="s">
        <v>306</v>
      </c>
      <c r="E17" s="39" t="n">
        <v>62500000</v>
      </c>
      <c r="F17" s="39" t="n">
        <v>0</v>
      </c>
      <c r="G17" s="33" t="n">
        <f aca="false">E17-F17</f>
        <v>62500000</v>
      </c>
      <c r="H17" s="27" t="n">
        <v>46197</v>
      </c>
      <c r="I17" s="38" t="s">
        <v>301</v>
      </c>
      <c r="J17" s="38" t="s">
        <v>331</v>
      </c>
      <c r="K17" s="38" t="s">
        <v>313</v>
      </c>
      <c r="L17" s="38" t="s">
        <v>332</v>
      </c>
      <c r="M17" s="38" t="s">
        <v>315</v>
      </c>
      <c r="N17" s="34" t="s">
        <v>124</v>
      </c>
      <c r="O17" s="26" t="s">
        <v>316</v>
      </c>
      <c r="P17" s="26" t="s">
        <v>305</v>
      </c>
    </row>
    <row r="18" customFormat="false" ht="15" hidden="false" customHeight="false" outlineLevel="0" collapsed="false">
      <c r="A18" s="38" t="n">
        <v>15</v>
      </c>
      <c r="B18" s="38" t="s">
        <v>310</v>
      </c>
      <c r="C18" s="38" t="s">
        <v>311</v>
      </c>
      <c r="D18" s="38" t="s">
        <v>306</v>
      </c>
      <c r="E18" s="39" t="n">
        <v>182166667</v>
      </c>
      <c r="F18" s="39" t="n">
        <v>0</v>
      </c>
      <c r="G18" s="33" t="n">
        <f aca="false">E18-F18</f>
        <v>182166667</v>
      </c>
      <c r="H18" s="27" t="n">
        <v>46197</v>
      </c>
      <c r="I18" s="38" t="s">
        <v>301</v>
      </c>
      <c r="J18" s="38" t="s">
        <v>333</v>
      </c>
      <c r="K18" s="38" t="s">
        <v>313</v>
      </c>
      <c r="L18" s="38" t="s">
        <v>334</v>
      </c>
      <c r="M18" s="38" t="s">
        <v>315</v>
      </c>
      <c r="N18" s="34" t="s">
        <v>125</v>
      </c>
      <c r="O18" s="26" t="s">
        <v>316</v>
      </c>
      <c r="P18" s="26" t="s">
        <v>305</v>
      </c>
    </row>
    <row r="19" customFormat="false" ht="15" hidden="false" customHeight="false" outlineLevel="0" collapsed="false">
      <c r="A19" s="38" t="n">
        <v>16</v>
      </c>
      <c r="B19" s="38" t="s">
        <v>310</v>
      </c>
      <c r="C19" s="38" t="s">
        <v>311</v>
      </c>
      <c r="D19" s="38" t="s">
        <v>306</v>
      </c>
      <c r="E19" s="39" t="n">
        <v>62500000</v>
      </c>
      <c r="F19" s="39" t="n">
        <v>0</v>
      </c>
      <c r="G19" s="33" t="n">
        <f aca="false">E19-F19</f>
        <v>62500000</v>
      </c>
      <c r="H19" s="27" t="n">
        <v>46230</v>
      </c>
      <c r="I19" s="38" t="s">
        <v>301</v>
      </c>
      <c r="J19" s="38" t="s">
        <v>335</v>
      </c>
      <c r="K19" s="38" t="s">
        <v>313</v>
      </c>
      <c r="L19" s="38" t="s">
        <v>336</v>
      </c>
      <c r="M19" s="38" t="s">
        <v>315</v>
      </c>
      <c r="N19" s="34" t="s">
        <v>124</v>
      </c>
      <c r="O19" s="26" t="s">
        <v>316</v>
      </c>
      <c r="P19" s="26" t="s">
        <v>305</v>
      </c>
    </row>
    <row r="20" customFormat="false" ht="15" hidden="false" customHeight="false" outlineLevel="0" collapsed="false">
      <c r="A20" s="38" t="n">
        <v>17</v>
      </c>
      <c r="B20" s="38" t="s">
        <v>310</v>
      </c>
      <c r="C20" s="38" t="s">
        <v>311</v>
      </c>
      <c r="D20" s="38" t="s">
        <v>337</v>
      </c>
      <c r="E20" s="39" t="n">
        <v>143750000</v>
      </c>
      <c r="F20" s="39" t="n">
        <v>0</v>
      </c>
      <c r="G20" s="33" t="n">
        <f aca="false">E20-F20</f>
        <v>143750000</v>
      </c>
      <c r="H20" s="27" t="n">
        <v>46094</v>
      </c>
      <c r="I20" s="38" t="s">
        <v>338</v>
      </c>
      <c r="J20" s="38" t="s">
        <v>339</v>
      </c>
      <c r="K20" s="38" t="s">
        <v>313</v>
      </c>
      <c r="L20" s="38" t="s">
        <v>340</v>
      </c>
      <c r="M20" s="38" t="s">
        <v>315</v>
      </c>
      <c r="N20" s="34" t="s">
        <v>135</v>
      </c>
      <c r="O20" s="26" t="s">
        <v>316</v>
      </c>
      <c r="P20" s="26" t="s">
        <v>305</v>
      </c>
    </row>
    <row r="21" customFormat="false" ht="15" hidden="false" customHeight="false" outlineLevel="0" collapsed="false">
      <c r="A21" s="38" t="n">
        <v>18</v>
      </c>
      <c r="B21" s="38" t="s">
        <v>310</v>
      </c>
      <c r="C21" s="38" t="s">
        <v>311</v>
      </c>
      <c r="D21" s="38" t="s">
        <v>337</v>
      </c>
      <c r="E21" s="39" t="n">
        <v>143750000</v>
      </c>
      <c r="F21" s="39" t="n">
        <v>0</v>
      </c>
      <c r="G21" s="33" t="n">
        <f aca="false">E21-F21</f>
        <v>143750000</v>
      </c>
      <c r="H21" s="27" t="n">
        <v>46203</v>
      </c>
      <c r="I21" s="38" t="s">
        <v>338</v>
      </c>
      <c r="J21" s="38" t="s">
        <v>341</v>
      </c>
      <c r="K21" s="38" t="s">
        <v>313</v>
      </c>
      <c r="L21" s="38" t="s">
        <v>342</v>
      </c>
      <c r="M21" s="38" t="s">
        <v>315</v>
      </c>
      <c r="N21" s="34" t="s">
        <v>135</v>
      </c>
      <c r="O21" s="26" t="s">
        <v>316</v>
      </c>
      <c r="P21" s="26" t="s">
        <v>305</v>
      </c>
    </row>
    <row r="22" customFormat="false" ht="15" hidden="false" customHeight="false" outlineLevel="0" collapsed="false">
      <c r="A22" s="38" t="n">
        <v>19</v>
      </c>
      <c r="B22" s="38" t="s">
        <v>310</v>
      </c>
      <c r="C22" s="38" t="s">
        <v>311</v>
      </c>
      <c r="D22" s="38" t="s">
        <v>343</v>
      </c>
      <c r="E22" s="39" t="n">
        <v>1666666666</v>
      </c>
      <c r="F22" s="39" t="n">
        <v>0</v>
      </c>
      <c r="G22" s="33" t="n">
        <f aca="false">E22-F22</f>
        <v>1666666666</v>
      </c>
      <c r="H22" s="27" t="n">
        <v>46136</v>
      </c>
      <c r="I22" s="38" t="s">
        <v>344</v>
      </c>
      <c r="J22" s="38" t="s">
        <v>345</v>
      </c>
      <c r="K22" s="38" t="s">
        <v>313</v>
      </c>
      <c r="L22" s="38" t="s">
        <v>346</v>
      </c>
      <c r="M22" s="38" t="s">
        <v>315</v>
      </c>
      <c r="N22" s="34" t="s">
        <v>139</v>
      </c>
      <c r="O22" s="26" t="s">
        <v>316</v>
      </c>
      <c r="P22" s="26" t="s">
        <v>305</v>
      </c>
    </row>
    <row r="23" customFormat="false" ht="15" hidden="false" customHeight="false" outlineLevel="0" collapsed="false">
      <c r="A23" s="38" t="n">
        <v>20</v>
      </c>
      <c r="B23" s="38" t="s">
        <v>93</v>
      </c>
      <c r="C23" s="38" t="s">
        <v>347</v>
      </c>
      <c r="D23" s="38" t="s">
        <v>348</v>
      </c>
      <c r="E23" s="39" t="n">
        <v>92449</v>
      </c>
      <c r="F23" s="39" t="n">
        <v>92449</v>
      </c>
      <c r="G23" s="33" t="n">
        <f aca="false">E23-F23</f>
        <v>0</v>
      </c>
      <c r="H23" s="27" t="n">
        <v>46198</v>
      </c>
      <c r="I23" s="38" t="s">
        <v>301</v>
      </c>
      <c r="J23" s="38" t="s">
        <v>349</v>
      </c>
      <c r="K23" s="38" t="s">
        <v>350</v>
      </c>
      <c r="L23" s="38" t="s">
        <v>351</v>
      </c>
      <c r="M23" s="38" t="s">
        <v>315</v>
      </c>
      <c r="N23" s="34" t="s">
        <v>352</v>
      </c>
      <c r="O23" s="26" t="s">
        <v>353</v>
      </c>
      <c r="P23" s="26" t="s">
        <v>353</v>
      </c>
    </row>
    <row r="24" customFormat="false" ht="15" hidden="false" customHeight="false" outlineLevel="0" collapsed="false">
      <c r="A24" s="38" t="n">
        <v>21</v>
      </c>
      <c r="B24" s="38" t="s">
        <v>93</v>
      </c>
      <c r="C24" s="38" t="s">
        <v>347</v>
      </c>
      <c r="D24" s="38" t="s">
        <v>354</v>
      </c>
      <c r="E24" s="39" t="n">
        <v>0</v>
      </c>
      <c r="F24" s="39" t="n">
        <v>297500</v>
      </c>
      <c r="G24" s="33" t="n">
        <f aca="false">E24-F24</f>
        <v>-297500</v>
      </c>
      <c r="H24" s="27" t="n">
        <v>46107</v>
      </c>
      <c r="I24" s="38" t="s">
        <v>355</v>
      </c>
      <c r="J24" s="38" t="s">
        <v>356</v>
      </c>
      <c r="K24" s="38" t="s">
        <v>350</v>
      </c>
      <c r="L24" s="38" t="s">
        <v>357</v>
      </c>
      <c r="M24" s="38" t="s">
        <v>315</v>
      </c>
      <c r="N24" s="34" t="s">
        <v>352</v>
      </c>
      <c r="O24" s="26" t="s">
        <v>353</v>
      </c>
      <c r="P24" s="26" t="s">
        <v>353</v>
      </c>
    </row>
    <row r="25" customFormat="false" ht="15" hidden="false" customHeight="false" outlineLevel="0" collapsed="false">
      <c r="A25" s="38" t="n">
        <v>22</v>
      </c>
      <c r="B25" s="38" t="s">
        <v>93</v>
      </c>
      <c r="C25" s="38" t="s">
        <v>347</v>
      </c>
      <c r="D25" s="38" t="s">
        <v>354</v>
      </c>
      <c r="E25" s="39" t="n">
        <v>297500</v>
      </c>
      <c r="F25" s="39" t="n">
        <v>0</v>
      </c>
      <c r="G25" s="33" t="n">
        <f aca="false">E25-F25</f>
        <v>297500</v>
      </c>
      <c r="H25" s="27" t="n">
        <v>46163</v>
      </c>
      <c r="I25" s="38" t="s">
        <v>301</v>
      </c>
      <c r="J25" s="38" t="s">
        <v>358</v>
      </c>
      <c r="K25" s="38" t="s">
        <v>350</v>
      </c>
      <c r="L25" s="38" t="s">
        <v>359</v>
      </c>
      <c r="M25" s="38" t="s">
        <v>315</v>
      </c>
      <c r="N25" s="34" t="s">
        <v>352</v>
      </c>
      <c r="O25" s="26" t="s">
        <v>353</v>
      </c>
      <c r="P25" s="26" t="s">
        <v>353</v>
      </c>
    </row>
    <row r="26" customFormat="false" ht="15" hidden="false" customHeight="false" outlineLevel="0" collapsed="false">
      <c r="A26" s="38" t="n">
        <v>23</v>
      </c>
      <c r="B26" s="38" t="s">
        <v>93</v>
      </c>
      <c r="C26" s="38" t="s">
        <v>347</v>
      </c>
      <c r="D26" s="38" t="s">
        <v>360</v>
      </c>
      <c r="E26" s="39" t="n">
        <v>0</v>
      </c>
      <c r="F26" s="39" t="n">
        <v>1752720</v>
      </c>
      <c r="G26" s="33" t="n">
        <f aca="false">E26-F26</f>
        <v>-1752720</v>
      </c>
      <c r="H26" s="27" t="n">
        <v>46162</v>
      </c>
      <c r="I26" s="38" t="s">
        <v>361</v>
      </c>
      <c r="J26" s="38" t="s">
        <v>362</v>
      </c>
      <c r="K26" s="38" t="s">
        <v>363</v>
      </c>
      <c r="L26" s="38" t="s">
        <v>364</v>
      </c>
      <c r="M26" s="38" t="s">
        <v>315</v>
      </c>
      <c r="N26" s="34" t="s">
        <v>352</v>
      </c>
      <c r="O26" s="26" t="s">
        <v>353</v>
      </c>
      <c r="P26" s="26" t="s">
        <v>353</v>
      </c>
    </row>
    <row r="27" customFormat="false" ht="15" hidden="false" customHeight="false" outlineLevel="0" collapsed="false">
      <c r="A27" s="38" t="n">
        <v>24</v>
      </c>
      <c r="B27" s="38" t="s">
        <v>93</v>
      </c>
      <c r="C27" s="38" t="s">
        <v>347</v>
      </c>
      <c r="D27" s="38" t="s">
        <v>360</v>
      </c>
      <c r="E27" s="39" t="n">
        <v>1752720</v>
      </c>
      <c r="F27" s="39" t="n">
        <v>0</v>
      </c>
      <c r="G27" s="33" t="n">
        <f aca="false">E27-F27</f>
        <v>1752720</v>
      </c>
      <c r="H27" s="27" t="n">
        <v>46167</v>
      </c>
      <c r="I27" s="38" t="s">
        <v>301</v>
      </c>
      <c r="J27" s="38" t="s">
        <v>365</v>
      </c>
      <c r="K27" s="38" t="s">
        <v>350</v>
      </c>
      <c r="L27" s="38" t="s">
        <v>366</v>
      </c>
      <c r="M27" s="38" t="s">
        <v>315</v>
      </c>
      <c r="N27" s="34" t="s">
        <v>352</v>
      </c>
      <c r="O27" s="26" t="s">
        <v>353</v>
      </c>
      <c r="P27" s="26" t="s">
        <v>353</v>
      </c>
    </row>
    <row r="28" customFormat="false" ht="15" hidden="false" customHeight="false" outlineLevel="0" collapsed="false">
      <c r="A28" s="38" t="n">
        <v>25</v>
      </c>
      <c r="B28" s="38" t="s">
        <v>93</v>
      </c>
      <c r="C28" s="38" t="s">
        <v>347</v>
      </c>
      <c r="D28" s="38" t="s">
        <v>360</v>
      </c>
      <c r="E28" s="39" t="n">
        <v>0</v>
      </c>
      <c r="F28" s="39" t="n">
        <v>1746709.94</v>
      </c>
      <c r="G28" s="33" t="n">
        <f aca="false">E28-F28</f>
        <v>-1746709.94</v>
      </c>
      <c r="H28" s="27" t="n">
        <v>46234</v>
      </c>
      <c r="I28" s="38" t="s">
        <v>361</v>
      </c>
      <c r="J28" s="38" t="s">
        <v>367</v>
      </c>
      <c r="K28" s="38" t="s">
        <v>350</v>
      </c>
      <c r="L28" s="38" t="s">
        <v>368</v>
      </c>
      <c r="M28" s="38" t="s">
        <v>315</v>
      </c>
      <c r="N28" s="34" t="s">
        <v>352</v>
      </c>
      <c r="O28" s="26" t="s">
        <v>353</v>
      </c>
      <c r="P28" s="26" t="s">
        <v>353</v>
      </c>
    </row>
    <row r="29" customFormat="false" ht="15" hidden="false" customHeight="false" outlineLevel="0" collapsed="false">
      <c r="A29" s="38" t="n">
        <v>26</v>
      </c>
      <c r="B29" s="38" t="s">
        <v>93</v>
      </c>
      <c r="C29" s="38" t="s">
        <v>347</v>
      </c>
      <c r="D29" s="38" t="s">
        <v>369</v>
      </c>
      <c r="E29" s="39" t="n">
        <v>1722360</v>
      </c>
      <c r="F29" s="39" t="n">
        <v>1722360</v>
      </c>
      <c r="G29" s="33" t="n">
        <f aca="false">E29-F29</f>
        <v>0</v>
      </c>
      <c r="H29" s="27" t="n">
        <v>46198</v>
      </c>
      <c r="I29" s="38" t="s">
        <v>301</v>
      </c>
      <c r="J29" s="38" t="s">
        <v>349</v>
      </c>
      <c r="K29" s="38" t="s">
        <v>350</v>
      </c>
      <c r="L29" s="38" t="s">
        <v>351</v>
      </c>
      <c r="M29" s="38" t="s">
        <v>315</v>
      </c>
      <c r="N29" s="34" t="s">
        <v>352</v>
      </c>
      <c r="O29" s="26" t="s">
        <v>353</v>
      </c>
      <c r="P29" s="26" t="s">
        <v>353</v>
      </c>
    </row>
    <row r="30" customFormat="false" ht="15" hidden="false" customHeight="false" outlineLevel="0" collapsed="false">
      <c r="A30" s="38" t="n">
        <v>27</v>
      </c>
      <c r="B30" s="38" t="s">
        <v>93</v>
      </c>
      <c r="C30" s="38" t="s">
        <v>347</v>
      </c>
      <c r="D30" s="38" t="s">
        <v>306</v>
      </c>
      <c r="E30" s="39" t="n">
        <v>0</v>
      </c>
      <c r="F30" s="39" t="n">
        <v>9315.75</v>
      </c>
      <c r="G30" s="33" t="n">
        <f aca="false">E30-F30</f>
        <v>-9315.75</v>
      </c>
      <c r="H30" s="27" t="n">
        <v>46198</v>
      </c>
      <c r="I30" s="38" t="s">
        <v>301</v>
      </c>
      <c r="J30" s="38" t="s">
        <v>370</v>
      </c>
      <c r="K30" s="38" t="s">
        <v>350</v>
      </c>
      <c r="L30" s="38" t="s">
        <v>371</v>
      </c>
      <c r="M30" s="38" t="s">
        <v>315</v>
      </c>
      <c r="N30" s="34" t="s">
        <v>352</v>
      </c>
      <c r="O30" s="26" t="s">
        <v>353</v>
      </c>
      <c r="P30" s="26" t="s">
        <v>353</v>
      </c>
    </row>
    <row r="31" customFormat="false" ht="15" hidden="false" customHeight="false" outlineLevel="0" collapsed="false">
      <c r="A31" s="38" t="n">
        <v>28</v>
      </c>
      <c r="B31" s="38" t="s">
        <v>93</v>
      </c>
      <c r="C31" s="38" t="s">
        <v>347</v>
      </c>
      <c r="D31" s="38" t="s">
        <v>372</v>
      </c>
      <c r="E31" s="39" t="n">
        <v>0</v>
      </c>
      <c r="F31" s="39" t="n">
        <v>133586.24</v>
      </c>
      <c r="G31" s="33" t="n">
        <f aca="false">E31-F31</f>
        <v>-133586.24</v>
      </c>
      <c r="H31" s="27" t="n">
        <v>46126</v>
      </c>
      <c r="I31" s="38" t="s">
        <v>373</v>
      </c>
      <c r="J31" s="38" t="s">
        <v>374</v>
      </c>
      <c r="K31" s="38" t="s">
        <v>375</v>
      </c>
      <c r="L31" s="38" t="s">
        <v>376</v>
      </c>
      <c r="M31" s="38" t="s">
        <v>315</v>
      </c>
      <c r="N31" s="34" t="s">
        <v>352</v>
      </c>
      <c r="O31" s="26" t="s">
        <v>353</v>
      </c>
      <c r="P31" s="26" t="s">
        <v>353</v>
      </c>
    </row>
    <row r="32" customFormat="false" ht="15" hidden="false" customHeight="false" outlineLevel="0" collapsed="false">
      <c r="A32" s="38" t="n">
        <v>29</v>
      </c>
      <c r="B32" s="38" t="s">
        <v>93</v>
      </c>
      <c r="C32" s="38" t="s">
        <v>347</v>
      </c>
      <c r="D32" s="38" t="s">
        <v>372</v>
      </c>
      <c r="E32" s="39" t="n">
        <v>170408.8</v>
      </c>
      <c r="F32" s="39" t="n">
        <v>0</v>
      </c>
      <c r="G32" s="33" t="n">
        <f aca="false">E32-F32</f>
        <v>170408.8</v>
      </c>
      <c r="H32" s="27" t="n">
        <v>46173</v>
      </c>
      <c r="I32" s="38" t="s">
        <v>301</v>
      </c>
      <c r="J32" s="38" t="s">
        <v>377</v>
      </c>
      <c r="K32" s="38" t="s">
        <v>363</v>
      </c>
      <c r="L32" s="38" t="s">
        <v>378</v>
      </c>
      <c r="M32" s="38" t="s">
        <v>379</v>
      </c>
      <c r="N32" s="34" t="s">
        <v>352</v>
      </c>
      <c r="O32" s="26" t="s">
        <v>353</v>
      </c>
      <c r="P32" s="26" t="s">
        <v>353</v>
      </c>
    </row>
    <row r="33" customFormat="false" ht="15" hidden="false" customHeight="false" outlineLevel="0" collapsed="false">
      <c r="A33" s="38" t="n">
        <v>30</v>
      </c>
      <c r="B33" s="38" t="s">
        <v>93</v>
      </c>
      <c r="C33" s="38" t="s">
        <v>347</v>
      </c>
      <c r="D33" s="38" t="s">
        <v>380</v>
      </c>
      <c r="E33" s="39" t="n">
        <v>0</v>
      </c>
      <c r="F33" s="39" t="n">
        <v>315014</v>
      </c>
      <c r="G33" s="33" t="n">
        <f aca="false">E33-F33</f>
        <v>-315014</v>
      </c>
      <c r="H33" s="27" t="n">
        <v>46053</v>
      </c>
      <c r="I33" s="38" t="s">
        <v>381</v>
      </c>
      <c r="J33" s="38" t="s">
        <v>382</v>
      </c>
      <c r="K33" s="38" t="s">
        <v>350</v>
      </c>
      <c r="L33" s="38" t="s">
        <v>383</v>
      </c>
      <c r="M33" s="38" t="s">
        <v>315</v>
      </c>
      <c r="N33" s="34" t="s">
        <v>352</v>
      </c>
      <c r="O33" s="26" t="s">
        <v>353</v>
      </c>
      <c r="P33" s="26" t="s">
        <v>353</v>
      </c>
    </row>
    <row r="34" customFormat="false" ht="15" hidden="false" customHeight="false" outlineLevel="0" collapsed="false">
      <c r="A34" s="38" t="n">
        <v>31</v>
      </c>
      <c r="B34" s="38" t="s">
        <v>93</v>
      </c>
      <c r="C34" s="38" t="s">
        <v>347</v>
      </c>
      <c r="D34" s="38" t="s">
        <v>380</v>
      </c>
      <c r="E34" s="39" t="n">
        <v>315014</v>
      </c>
      <c r="F34" s="39" t="n">
        <v>0</v>
      </c>
      <c r="G34" s="33" t="n">
        <f aca="false">E34-F34</f>
        <v>315014</v>
      </c>
      <c r="H34" s="27" t="n">
        <v>46072</v>
      </c>
      <c r="I34" s="38" t="s">
        <v>301</v>
      </c>
      <c r="J34" s="38" t="s">
        <v>384</v>
      </c>
      <c r="K34" s="38" t="s">
        <v>350</v>
      </c>
      <c r="L34" s="38" t="s">
        <v>385</v>
      </c>
      <c r="M34" s="38" t="s">
        <v>315</v>
      </c>
      <c r="N34" s="34" t="s">
        <v>352</v>
      </c>
      <c r="O34" s="26" t="s">
        <v>353</v>
      </c>
      <c r="P34" s="26" t="s">
        <v>353</v>
      </c>
    </row>
    <row r="35" customFormat="false" ht="15" hidden="false" customHeight="false" outlineLevel="0" collapsed="false">
      <c r="A35" s="38" t="n">
        <v>32</v>
      </c>
      <c r="B35" s="38" t="s">
        <v>93</v>
      </c>
      <c r="C35" s="38" t="s">
        <v>347</v>
      </c>
      <c r="D35" s="38" t="s">
        <v>386</v>
      </c>
      <c r="E35" s="39" t="n">
        <v>329935.88</v>
      </c>
      <c r="F35" s="39" t="n">
        <v>0</v>
      </c>
      <c r="G35" s="33" t="n">
        <f aca="false">E35-F35</f>
        <v>329935.88</v>
      </c>
      <c r="H35" s="27" t="n">
        <v>46173</v>
      </c>
      <c r="I35" s="38" t="s">
        <v>301</v>
      </c>
      <c r="J35" s="38" t="s">
        <v>377</v>
      </c>
      <c r="K35" s="38" t="s">
        <v>363</v>
      </c>
      <c r="L35" s="38" t="s">
        <v>378</v>
      </c>
      <c r="M35" s="38" t="s">
        <v>379</v>
      </c>
      <c r="N35" s="34" t="s">
        <v>352</v>
      </c>
      <c r="O35" s="26" t="s">
        <v>353</v>
      </c>
      <c r="P35" s="26" t="s">
        <v>353</v>
      </c>
    </row>
    <row r="36" customFormat="false" ht="15" hidden="false" customHeight="false" outlineLevel="0" collapsed="false">
      <c r="A36" s="38" t="n">
        <v>33</v>
      </c>
      <c r="B36" s="38" t="s">
        <v>93</v>
      </c>
      <c r="C36" s="38" t="s">
        <v>347</v>
      </c>
      <c r="D36" s="38" t="s">
        <v>387</v>
      </c>
      <c r="E36" s="39" t="n">
        <v>0.65</v>
      </c>
      <c r="F36" s="39" t="n">
        <v>0</v>
      </c>
      <c r="G36" s="33" t="n">
        <f aca="false">E36-F36</f>
        <v>0.65</v>
      </c>
      <c r="H36" s="27" t="n">
        <v>46052</v>
      </c>
      <c r="I36" s="38" t="s">
        <v>388</v>
      </c>
      <c r="J36" s="38" t="s">
        <v>389</v>
      </c>
      <c r="K36" s="38" t="s">
        <v>363</v>
      </c>
      <c r="L36" s="38" t="s">
        <v>390</v>
      </c>
      <c r="M36" s="38" t="s">
        <v>379</v>
      </c>
      <c r="N36" s="34" t="s">
        <v>352</v>
      </c>
      <c r="O36" s="26" t="s">
        <v>353</v>
      </c>
      <c r="P36" s="26" t="s">
        <v>353</v>
      </c>
    </row>
    <row r="37" customFormat="false" ht="15" hidden="false" customHeight="false" outlineLevel="0" collapsed="false">
      <c r="A37" s="38" t="n">
        <v>34</v>
      </c>
      <c r="B37" s="38" t="s">
        <v>93</v>
      </c>
      <c r="C37" s="38" t="s">
        <v>347</v>
      </c>
      <c r="D37" s="38" t="s">
        <v>391</v>
      </c>
      <c r="E37" s="39" t="n">
        <v>0</v>
      </c>
      <c r="F37" s="39" t="n">
        <v>2184823.68</v>
      </c>
      <c r="G37" s="33" t="n">
        <f aca="false">E37-F37</f>
        <v>-2184823.68</v>
      </c>
      <c r="H37" s="27" t="n">
        <v>46041</v>
      </c>
      <c r="I37" s="38" t="s">
        <v>392</v>
      </c>
      <c r="J37" s="38" t="s">
        <v>393</v>
      </c>
      <c r="K37" s="38" t="s">
        <v>350</v>
      </c>
      <c r="L37" s="38" t="s">
        <v>394</v>
      </c>
      <c r="M37" s="38" t="s">
        <v>315</v>
      </c>
      <c r="N37" s="34" t="s">
        <v>352</v>
      </c>
      <c r="O37" s="26" t="s">
        <v>353</v>
      </c>
      <c r="P37" s="26" t="s">
        <v>353</v>
      </c>
    </row>
    <row r="38" customFormat="false" ht="15" hidden="false" customHeight="false" outlineLevel="0" collapsed="false">
      <c r="A38" s="38" t="n">
        <v>35</v>
      </c>
      <c r="B38" s="38" t="s">
        <v>93</v>
      </c>
      <c r="C38" s="38" t="s">
        <v>347</v>
      </c>
      <c r="D38" s="38" t="s">
        <v>391</v>
      </c>
      <c r="E38" s="39" t="n">
        <v>2182529.47</v>
      </c>
      <c r="F38" s="39" t="n">
        <v>0</v>
      </c>
      <c r="G38" s="33" t="n">
        <f aca="false">E38-F38</f>
        <v>2182529.47</v>
      </c>
      <c r="H38" s="27" t="n">
        <v>46052</v>
      </c>
      <c r="I38" s="38" t="s">
        <v>301</v>
      </c>
      <c r="J38" s="38" t="s">
        <v>395</v>
      </c>
      <c r="K38" s="38" t="s">
        <v>350</v>
      </c>
      <c r="L38" s="38" t="s">
        <v>396</v>
      </c>
      <c r="M38" s="38" t="s">
        <v>315</v>
      </c>
      <c r="N38" s="34" t="s">
        <v>352</v>
      </c>
      <c r="O38" s="26" t="s">
        <v>353</v>
      </c>
      <c r="P38" s="26" t="s">
        <v>353</v>
      </c>
    </row>
    <row r="39" customFormat="false" ht="15" hidden="false" customHeight="false" outlineLevel="0" collapsed="false">
      <c r="A39" s="38" t="n">
        <v>36</v>
      </c>
      <c r="B39" s="38" t="s">
        <v>93</v>
      </c>
      <c r="C39" s="38" t="s">
        <v>347</v>
      </c>
      <c r="D39" s="38" t="s">
        <v>391</v>
      </c>
      <c r="E39" s="39" t="n">
        <v>0</v>
      </c>
      <c r="F39" s="39" t="n">
        <v>2334066.53</v>
      </c>
      <c r="G39" s="33" t="n">
        <f aca="false">E39-F39</f>
        <v>-2334066.53</v>
      </c>
      <c r="H39" s="27" t="n">
        <v>46063</v>
      </c>
      <c r="I39" s="38" t="s">
        <v>392</v>
      </c>
      <c r="J39" s="38" t="s">
        <v>397</v>
      </c>
      <c r="K39" s="38" t="s">
        <v>350</v>
      </c>
      <c r="L39" s="38" t="s">
        <v>398</v>
      </c>
      <c r="M39" s="38" t="s">
        <v>315</v>
      </c>
      <c r="N39" s="34" t="s">
        <v>352</v>
      </c>
      <c r="O39" s="26" t="s">
        <v>353</v>
      </c>
      <c r="P39" s="26" t="s">
        <v>353</v>
      </c>
    </row>
    <row r="40" customFormat="false" ht="15" hidden="false" customHeight="false" outlineLevel="0" collapsed="false">
      <c r="A40" s="38" t="n">
        <v>37</v>
      </c>
      <c r="B40" s="38" t="s">
        <v>93</v>
      </c>
      <c r="C40" s="38" t="s">
        <v>347</v>
      </c>
      <c r="D40" s="38" t="s">
        <v>391</v>
      </c>
      <c r="E40" s="39" t="n">
        <v>2184823.68</v>
      </c>
      <c r="F40" s="39" t="n">
        <v>0</v>
      </c>
      <c r="G40" s="33" t="n">
        <f aca="false">E40-F40</f>
        <v>2184823.68</v>
      </c>
      <c r="H40" s="27" t="n">
        <v>46072</v>
      </c>
      <c r="I40" s="38" t="s">
        <v>301</v>
      </c>
      <c r="J40" s="38" t="s">
        <v>399</v>
      </c>
      <c r="K40" s="38" t="s">
        <v>350</v>
      </c>
      <c r="L40" s="38" t="s">
        <v>400</v>
      </c>
      <c r="M40" s="38" t="s">
        <v>315</v>
      </c>
      <c r="N40" s="34" t="s">
        <v>352</v>
      </c>
      <c r="O40" s="26" t="s">
        <v>353</v>
      </c>
      <c r="P40" s="26" t="s">
        <v>353</v>
      </c>
    </row>
    <row r="41" customFormat="false" ht="15" hidden="false" customHeight="false" outlineLevel="0" collapsed="false">
      <c r="A41" s="38" t="n">
        <v>38</v>
      </c>
      <c r="B41" s="38" t="s">
        <v>93</v>
      </c>
      <c r="C41" s="38" t="s">
        <v>347</v>
      </c>
      <c r="D41" s="38" t="s">
        <v>391</v>
      </c>
      <c r="E41" s="39" t="n">
        <v>0</v>
      </c>
      <c r="F41" s="39" t="n">
        <v>2346053</v>
      </c>
      <c r="G41" s="33" t="n">
        <f aca="false">E41-F41</f>
        <v>-2346053</v>
      </c>
      <c r="H41" s="27" t="n">
        <v>46093</v>
      </c>
      <c r="I41" s="38" t="s">
        <v>392</v>
      </c>
      <c r="J41" s="38" t="s">
        <v>401</v>
      </c>
      <c r="K41" s="38" t="s">
        <v>350</v>
      </c>
      <c r="L41" s="38" t="s">
        <v>402</v>
      </c>
      <c r="M41" s="38" t="s">
        <v>315</v>
      </c>
      <c r="N41" s="34" t="s">
        <v>352</v>
      </c>
      <c r="O41" s="26" t="s">
        <v>353</v>
      </c>
      <c r="P41" s="26" t="s">
        <v>353</v>
      </c>
    </row>
    <row r="42" customFormat="false" ht="15" hidden="false" customHeight="false" outlineLevel="0" collapsed="false">
      <c r="A42" s="38" t="n">
        <v>39</v>
      </c>
      <c r="B42" s="38" t="s">
        <v>93</v>
      </c>
      <c r="C42" s="38" t="s">
        <v>347</v>
      </c>
      <c r="D42" s="38" t="s">
        <v>391</v>
      </c>
      <c r="E42" s="39" t="n">
        <v>0</v>
      </c>
      <c r="F42" s="39" t="n">
        <v>2334066.53</v>
      </c>
      <c r="G42" s="33" t="n">
        <f aca="false">E42-F42</f>
        <v>-2334066.53</v>
      </c>
      <c r="H42" s="27" t="n">
        <v>46127</v>
      </c>
      <c r="I42" s="38" t="s">
        <v>392</v>
      </c>
      <c r="J42" s="38" t="s">
        <v>403</v>
      </c>
      <c r="K42" s="38" t="s">
        <v>350</v>
      </c>
      <c r="L42" s="38" t="s">
        <v>404</v>
      </c>
      <c r="M42" s="38" t="s">
        <v>315</v>
      </c>
      <c r="N42" s="34" t="s">
        <v>352</v>
      </c>
      <c r="O42" s="26" t="s">
        <v>353</v>
      </c>
      <c r="P42" s="26" t="s">
        <v>353</v>
      </c>
    </row>
    <row r="43" customFormat="false" ht="15" hidden="false" customHeight="false" outlineLevel="0" collapsed="false">
      <c r="A43" s="38" t="n">
        <v>40</v>
      </c>
      <c r="B43" s="38" t="s">
        <v>93</v>
      </c>
      <c r="C43" s="38" t="s">
        <v>347</v>
      </c>
      <c r="D43" s="38" t="s">
        <v>391</v>
      </c>
      <c r="E43" s="39" t="n">
        <v>2334066.53</v>
      </c>
      <c r="F43" s="39" t="n">
        <v>0</v>
      </c>
      <c r="G43" s="33" t="n">
        <f aca="false">E43-F43</f>
        <v>2334066.53</v>
      </c>
      <c r="H43" s="27" t="n">
        <v>46129</v>
      </c>
      <c r="I43" s="38" t="s">
        <v>301</v>
      </c>
      <c r="J43" s="38" t="s">
        <v>405</v>
      </c>
      <c r="K43" s="38" t="s">
        <v>350</v>
      </c>
      <c r="L43" s="38" t="s">
        <v>406</v>
      </c>
      <c r="M43" s="38" t="s">
        <v>315</v>
      </c>
      <c r="N43" s="34" t="s">
        <v>352</v>
      </c>
      <c r="O43" s="26" t="s">
        <v>353</v>
      </c>
      <c r="P43" s="26" t="s">
        <v>353</v>
      </c>
    </row>
    <row r="44" customFormat="false" ht="15" hidden="false" customHeight="false" outlineLevel="0" collapsed="false">
      <c r="A44" s="38" t="n">
        <v>41</v>
      </c>
      <c r="B44" s="38" t="s">
        <v>93</v>
      </c>
      <c r="C44" s="38" t="s">
        <v>347</v>
      </c>
      <c r="D44" s="38" t="s">
        <v>391</v>
      </c>
      <c r="E44" s="39" t="n">
        <v>2346053</v>
      </c>
      <c r="F44" s="39" t="n">
        <v>0</v>
      </c>
      <c r="G44" s="33" t="n">
        <f aca="false">E44-F44</f>
        <v>2346053</v>
      </c>
      <c r="H44" s="27" t="n">
        <v>46135</v>
      </c>
      <c r="I44" s="38" t="s">
        <v>301</v>
      </c>
      <c r="J44" s="38" t="s">
        <v>407</v>
      </c>
      <c r="K44" s="38" t="s">
        <v>350</v>
      </c>
      <c r="L44" s="38" t="s">
        <v>408</v>
      </c>
      <c r="M44" s="38" t="s">
        <v>315</v>
      </c>
      <c r="N44" s="34" t="s">
        <v>352</v>
      </c>
      <c r="O44" s="26" t="s">
        <v>353</v>
      </c>
      <c r="P44" s="26" t="s">
        <v>353</v>
      </c>
    </row>
    <row r="45" customFormat="false" ht="15" hidden="false" customHeight="false" outlineLevel="0" collapsed="false">
      <c r="A45" s="38" t="n">
        <v>42</v>
      </c>
      <c r="B45" s="38" t="s">
        <v>93</v>
      </c>
      <c r="C45" s="38" t="s">
        <v>347</v>
      </c>
      <c r="D45" s="38" t="s">
        <v>391</v>
      </c>
      <c r="E45" s="39" t="n">
        <v>0</v>
      </c>
      <c r="F45" s="39" t="n">
        <v>2336459.05</v>
      </c>
      <c r="G45" s="33" t="n">
        <f aca="false">E45-F45</f>
        <v>-2336459.05</v>
      </c>
      <c r="H45" s="27" t="n">
        <v>46155</v>
      </c>
      <c r="I45" s="38" t="s">
        <v>392</v>
      </c>
      <c r="J45" s="38" t="s">
        <v>409</v>
      </c>
      <c r="K45" s="38" t="s">
        <v>350</v>
      </c>
      <c r="L45" s="38" t="s">
        <v>410</v>
      </c>
      <c r="M45" s="38" t="s">
        <v>315</v>
      </c>
      <c r="N45" s="34" t="s">
        <v>352</v>
      </c>
      <c r="O45" s="26" t="s">
        <v>353</v>
      </c>
      <c r="P45" s="26" t="s">
        <v>353</v>
      </c>
    </row>
    <row r="46" customFormat="false" ht="15" hidden="false" customHeight="false" outlineLevel="0" collapsed="false">
      <c r="A46" s="38" t="n">
        <v>43</v>
      </c>
      <c r="B46" s="38" t="s">
        <v>93</v>
      </c>
      <c r="C46" s="38" t="s">
        <v>347</v>
      </c>
      <c r="D46" s="38" t="s">
        <v>391</v>
      </c>
      <c r="E46" s="39" t="n">
        <v>2334076</v>
      </c>
      <c r="F46" s="39" t="n">
        <v>0</v>
      </c>
      <c r="G46" s="33" t="n">
        <f aca="false">E46-F46</f>
        <v>2334076</v>
      </c>
      <c r="H46" s="27" t="n">
        <v>46163</v>
      </c>
      <c r="I46" s="38" t="s">
        <v>301</v>
      </c>
      <c r="J46" s="38" t="s">
        <v>411</v>
      </c>
      <c r="K46" s="38" t="s">
        <v>350</v>
      </c>
      <c r="L46" s="38" t="s">
        <v>412</v>
      </c>
      <c r="M46" s="38" t="s">
        <v>315</v>
      </c>
      <c r="N46" s="34" t="s">
        <v>352</v>
      </c>
      <c r="O46" s="26" t="s">
        <v>353</v>
      </c>
      <c r="P46" s="26" t="s">
        <v>353</v>
      </c>
    </row>
    <row r="47" customFormat="false" ht="15" hidden="false" customHeight="false" outlineLevel="0" collapsed="false">
      <c r="A47" s="38" t="n">
        <v>44</v>
      </c>
      <c r="B47" s="38" t="s">
        <v>93</v>
      </c>
      <c r="C47" s="38" t="s">
        <v>347</v>
      </c>
      <c r="D47" s="38" t="s">
        <v>391</v>
      </c>
      <c r="E47" s="39" t="n">
        <v>0</v>
      </c>
      <c r="F47" s="39" t="n">
        <v>2466205.95</v>
      </c>
      <c r="G47" s="33" t="n">
        <f aca="false">E47-F47</f>
        <v>-2466205.95</v>
      </c>
      <c r="H47" s="27" t="n">
        <v>46172</v>
      </c>
      <c r="I47" s="38" t="s">
        <v>413</v>
      </c>
      <c r="J47" s="38" t="s">
        <v>414</v>
      </c>
      <c r="K47" s="38" t="s">
        <v>350</v>
      </c>
      <c r="L47" s="38" t="s">
        <v>415</v>
      </c>
      <c r="M47" s="38" t="s">
        <v>315</v>
      </c>
      <c r="N47" s="34" t="s">
        <v>352</v>
      </c>
      <c r="O47" s="26" t="s">
        <v>353</v>
      </c>
      <c r="P47" s="26" t="s">
        <v>353</v>
      </c>
    </row>
    <row r="48" customFormat="false" ht="15" hidden="false" customHeight="false" outlineLevel="0" collapsed="false">
      <c r="A48" s="38" t="n">
        <v>45</v>
      </c>
      <c r="B48" s="38" t="s">
        <v>93</v>
      </c>
      <c r="C48" s="38" t="s">
        <v>347</v>
      </c>
      <c r="D48" s="38" t="s">
        <v>391</v>
      </c>
      <c r="E48" s="39" t="n">
        <v>0</v>
      </c>
      <c r="F48" s="39" t="n">
        <v>2334066.53</v>
      </c>
      <c r="G48" s="33" t="n">
        <f aca="false">E48-F48</f>
        <v>-2334066.53</v>
      </c>
      <c r="H48" s="27" t="n">
        <v>46185</v>
      </c>
      <c r="I48" s="38" t="s">
        <v>392</v>
      </c>
      <c r="J48" s="38" t="s">
        <v>416</v>
      </c>
      <c r="K48" s="38" t="s">
        <v>350</v>
      </c>
      <c r="L48" s="38" t="s">
        <v>417</v>
      </c>
      <c r="M48" s="38" t="s">
        <v>315</v>
      </c>
      <c r="N48" s="34" t="s">
        <v>352</v>
      </c>
      <c r="O48" s="26" t="s">
        <v>353</v>
      </c>
      <c r="P48" s="26" t="s">
        <v>353</v>
      </c>
    </row>
    <row r="49" customFormat="false" ht="15" hidden="false" customHeight="false" outlineLevel="0" collapsed="false">
      <c r="A49" s="38" t="n">
        <v>46</v>
      </c>
      <c r="B49" s="38" t="s">
        <v>93</v>
      </c>
      <c r="C49" s="38" t="s">
        <v>347</v>
      </c>
      <c r="D49" s="38" t="s">
        <v>391</v>
      </c>
      <c r="E49" s="39" t="n">
        <v>2336449.58</v>
      </c>
      <c r="F49" s="39" t="n">
        <v>0</v>
      </c>
      <c r="G49" s="33" t="n">
        <f aca="false">E49-F49</f>
        <v>2336449.58</v>
      </c>
      <c r="H49" s="27" t="n">
        <v>46203</v>
      </c>
      <c r="I49" s="38" t="s">
        <v>301</v>
      </c>
      <c r="J49" s="38" t="s">
        <v>418</v>
      </c>
      <c r="K49" s="38" t="s">
        <v>350</v>
      </c>
      <c r="L49" s="38" t="s">
        <v>419</v>
      </c>
      <c r="M49" s="38" t="s">
        <v>315</v>
      </c>
      <c r="N49" s="34" t="s">
        <v>352</v>
      </c>
      <c r="O49" s="26" t="s">
        <v>353</v>
      </c>
      <c r="P49" s="26" t="s">
        <v>353</v>
      </c>
    </row>
    <row r="50" customFormat="false" ht="15" hidden="false" customHeight="false" outlineLevel="0" collapsed="false">
      <c r="A50" s="38" t="n">
        <v>47</v>
      </c>
      <c r="B50" s="38" t="s">
        <v>93</v>
      </c>
      <c r="C50" s="38" t="s">
        <v>347</v>
      </c>
      <c r="D50" s="38" t="s">
        <v>391</v>
      </c>
      <c r="E50" s="39" t="n">
        <v>0</v>
      </c>
      <c r="F50" s="39" t="n">
        <v>2334066.53</v>
      </c>
      <c r="G50" s="33" t="n">
        <f aca="false">E50-F50</f>
        <v>-2334066.53</v>
      </c>
      <c r="H50" s="27" t="n">
        <v>46213</v>
      </c>
      <c r="I50" s="38" t="s">
        <v>392</v>
      </c>
      <c r="J50" s="38" t="s">
        <v>420</v>
      </c>
      <c r="K50" s="38" t="s">
        <v>350</v>
      </c>
      <c r="L50" s="38" t="s">
        <v>421</v>
      </c>
      <c r="M50" s="38" t="s">
        <v>315</v>
      </c>
      <c r="N50" s="34" t="s">
        <v>352</v>
      </c>
      <c r="O50" s="26" t="s">
        <v>353</v>
      </c>
      <c r="P50" s="26" t="s">
        <v>353</v>
      </c>
    </row>
    <row r="51" customFormat="false" ht="15" hidden="false" customHeight="false" outlineLevel="0" collapsed="false">
      <c r="A51" s="38" t="n">
        <v>48</v>
      </c>
      <c r="B51" s="38" t="s">
        <v>93</v>
      </c>
      <c r="C51" s="38" t="s">
        <v>347</v>
      </c>
      <c r="D51" s="38" t="s">
        <v>391</v>
      </c>
      <c r="E51" s="39" t="n">
        <v>2334066.53</v>
      </c>
      <c r="F51" s="39" t="n">
        <v>0</v>
      </c>
      <c r="G51" s="33" t="n">
        <f aca="false">E51-F51</f>
        <v>2334066.53</v>
      </c>
      <c r="H51" s="27" t="n">
        <v>46234</v>
      </c>
      <c r="I51" s="38" t="s">
        <v>301</v>
      </c>
      <c r="J51" s="38" t="s">
        <v>422</v>
      </c>
      <c r="K51" s="38" t="s">
        <v>350</v>
      </c>
      <c r="L51" s="38" t="s">
        <v>423</v>
      </c>
      <c r="M51" s="38" t="s">
        <v>315</v>
      </c>
      <c r="N51" s="34" t="s">
        <v>352</v>
      </c>
      <c r="O51" s="26" t="s">
        <v>353</v>
      </c>
      <c r="P51" s="26" t="s">
        <v>353</v>
      </c>
    </row>
    <row r="52" customFormat="false" ht="15" hidden="false" customHeight="false" outlineLevel="0" collapsed="false">
      <c r="A52" s="38" t="n">
        <v>49</v>
      </c>
      <c r="B52" s="38" t="s">
        <v>93</v>
      </c>
      <c r="C52" s="38" t="s">
        <v>347</v>
      </c>
      <c r="D52" s="38" t="s">
        <v>424</v>
      </c>
      <c r="E52" s="39" t="n">
        <v>0</v>
      </c>
      <c r="F52" s="39" t="n">
        <v>4259050</v>
      </c>
      <c r="G52" s="33" t="n">
        <f aca="false">E52-F52</f>
        <v>-4259050</v>
      </c>
      <c r="H52" s="27" t="n">
        <v>46053</v>
      </c>
      <c r="I52" s="38" t="s">
        <v>425</v>
      </c>
      <c r="J52" s="38" t="s">
        <v>426</v>
      </c>
      <c r="K52" s="38" t="s">
        <v>350</v>
      </c>
      <c r="L52" s="38" t="s">
        <v>427</v>
      </c>
      <c r="M52" s="38" t="s">
        <v>315</v>
      </c>
      <c r="N52" s="34" t="s">
        <v>352</v>
      </c>
      <c r="O52" s="26" t="s">
        <v>353</v>
      </c>
      <c r="P52" s="26" t="s">
        <v>353</v>
      </c>
    </row>
    <row r="53" customFormat="false" ht="15" hidden="false" customHeight="false" outlineLevel="0" collapsed="false">
      <c r="A53" s="38" t="n">
        <v>50</v>
      </c>
      <c r="B53" s="38" t="s">
        <v>93</v>
      </c>
      <c r="C53" s="38" t="s">
        <v>347</v>
      </c>
      <c r="D53" s="38" t="s">
        <v>424</v>
      </c>
      <c r="E53" s="39" t="n">
        <v>4259050</v>
      </c>
      <c r="F53" s="39" t="n">
        <v>0</v>
      </c>
      <c r="G53" s="33" t="n">
        <f aca="false">E53-F53</f>
        <v>4259050</v>
      </c>
      <c r="H53" s="27" t="n">
        <v>46129</v>
      </c>
      <c r="I53" s="38" t="s">
        <v>301</v>
      </c>
      <c r="J53" s="38" t="s">
        <v>428</v>
      </c>
      <c r="K53" s="38" t="s">
        <v>350</v>
      </c>
      <c r="L53" s="38" t="s">
        <v>429</v>
      </c>
      <c r="M53" s="38" t="s">
        <v>315</v>
      </c>
      <c r="N53" s="34" t="s">
        <v>352</v>
      </c>
      <c r="O53" s="26" t="s">
        <v>353</v>
      </c>
      <c r="P53" s="26" t="s">
        <v>353</v>
      </c>
    </row>
    <row r="54" customFormat="false" ht="15" hidden="false" customHeight="false" outlineLevel="0" collapsed="false">
      <c r="A54" s="38" t="n">
        <v>51</v>
      </c>
      <c r="B54" s="38" t="s">
        <v>93</v>
      </c>
      <c r="C54" s="38" t="s">
        <v>347</v>
      </c>
      <c r="D54" s="38" t="s">
        <v>430</v>
      </c>
      <c r="E54" s="39" t="n">
        <v>320919</v>
      </c>
      <c r="F54" s="39" t="n">
        <v>0</v>
      </c>
      <c r="G54" s="33" t="n">
        <f aca="false">E54-F54</f>
        <v>320919</v>
      </c>
      <c r="H54" s="27" t="n">
        <v>46081</v>
      </c>
      <c r="I54" s="38" t="s">
        <v>301</v>
      </c>
      <c r="J54" s="38" t="s">
        <v>431</v>
      </c>
      <c r="K54" s="38" t="s">
        <v>350</v>
      </c>
      <c r="L54" s="38" t="s">
        <v>432</v>
      </c>
      <c r="M54" s="38" t="s">
        <v>315</v>
      </c>
      <c r="N54" s="34" t="s">
        <v>352</v>
      </c>
      <c r="O54" s="26" t="s">
        <v>353</v>
      </c>
      <c r="P54" s="26" t="s">
        <v>353</v>
      </c>
    </row>
    <row r="55" customFormat="false" ht="15" hidden="false" customHeight="false" outlineLevel="0" collapsed="false">
      <c r="A55" s="38" t="n">
        <v>52</v>
      </c>
      <c r="B55" s="38" t="s">
        <v>93</v>
      </c>
      <c r="C55" s="38" t="s">
        <v>347</v>
      </c>
      <c r="D55" s="38" t="s">
        <v>430</v>
      </c>
      <c r="E55" s="39" t="n">
        <v>0</v>
      </c>
      <c r="F55" s="39" t="n">
        <v>320919</v>
      </c>
      <c r="G55" s="33" t="n">
        <f aca="false">E55-F55</f>
        <v>-320919</v>
      </c>
      <c r="H55" s="27" t="n">
        <v>46081</v>
      </c>
      <c r="I55" s="38" t="s">
        <v>433</v>
      </c>
      <c r="J55" s="38" t="s">
        <v>434</v>
      </c>
      <c r="K55" s="38" t="s">
        <v>350</v>
      </c>
      <c r="L55" s="38" t="s">
        <v>435</v>
      </c>
      <c r="M55" s="38" t="s">
        <v>315</v>
      </c>
      <c r="N55" s="34" t="s">
        <v>352</v>
      </c>
      <c r="O55" s="26" t="s">
        <v>353</v>
      </c>
      <c r="P55" s="26" t="s">
        <v>353</v>
      </c>
    </row>
    <row r="56" customFormat="false" ht="15" hidden="false" customHeight="false" outlineLevel="0" collapsed="false">
      <c r="A56" s="38" t="n">
        <v>53</v>
      </c>
      <c r="B56" s="38" t="s">
        <v>93</v>
      </c>
      <c r="C56" s="38" t="s">
        <v>347</v>
      </c>
      <c r="D56" s="38" t="s">
        <v>430</v>
      </c>
      <c r="E56" s="39" t="n">
        <v>0</v>
      </c>
      <c r="F56" s="39" t="n">
        <v>120000</v>
      </c>
      <c r="G56" s="33" t="n">
        <f aca="false">E56-F56</f>
        <v>-120000</v>
      </c>
      <c r="H56" s="27" t="n">
        <v>46234</v>
      </c>
      <c r="I56" s="38" t="s">
        <v>433</v>
      </c>
      <c r="J56" s="38" t="s">
        <v>436</v>
      </c>
      <c r="K56" s="38" t="s">
        <v>350</v>
      </c>
      <c r="L56" s="38" t="s">
        <v>437</v>
      </c>
      <c r="M56" s="38" t="s">
        <v>315</v>
      </c>
      <c r="N56" s="34" t="s">
        <v>352</v>
      </c>
      <c r="O56" s="26" t="s">
        <v>353</v>
      </c>
      <c r="P56" s="26" t="s">
        <v>353</v>
      </c>
    </row>
    <row r="57" customFormat="false" ht="15" hidden="false" customHeight="false" outlineLevel="0" collapsed="false">
      <c r="A57" s="38" t="n">
        <v>54</v>
      </c>
      <c r="B57" s="38" t="s">
        <v>93</v>
      </c>
      <c r="C57" s="38" t="s">
        <v>347</v>
      </c>
      <c r="D57" s="38" t="s">
        <v>438</v>
      </c>
      <c r="E57" s="39" t="n">
        <v>0</v>
      </c>
      <c r="F57" s="39" t="n">
        <v>251636</v>
      </c>
      <c r="G57" s="33" t="n">
        <f aca="false">E57-F57</f>
        <v>-251636</v>
      </c>
      <c r="H57" s="27" t="n">
        <v>46053</v>
      </c>
      <c r="I57" s="38" t="s">
        <v>439</v>
      </c>
      <c r="J57" s="38" t="s">
        <v>440</v>
      </c>
      <c r="K57" s="38" t="s">
        <v>350</v>
      </c>
      <c r="L57" s="38" t="s">
        <v>441</v>
      </c>
      <c r="M57" s="38" t="s">
        <v>315</v>
      </c>
      <c r="N57" s="34" t="s">
        <v>352</v>
      </c>
      <c r="O57" s="26" t="s">
        <v>353</v>
      </c>
      <c r="P57" s="26" t="s">
        <v>353</v>
      </c>
    </row>
    <row r="58" customFormat="false" ht="15" hidden="false" customHeight="false" outlineLevel="0" collapsed="false">
      <c r="A58" s="38" t="n">
        <v>55</v>
      </c>
      <c r="B58" s="38" t="s">
        <v>93</v>
      </c>
      <c r="C58" s="38" t="s">
        <v>347</v>
      </c>
      <c r="D58" s="38" t="s">
        <v>438</v>
      </c>
      <c r="E58" s="39" t="n">
        <v>251636</v>
      </c>
      <c r="F58" s="39" t="n">
        <v>0</v>
      </c>
      <c r="G58" s="33" t="n">
        <f aca="false">E58-F58</f>
        <v>251636</v>
      </c>
      <c r="H58" s="27" t="n">
        <v>46072</v>
      </c>
      <c r="I58" s="38" t="s">
        <v>301</v>
      </c>
      <c r="J58" s="38" t="s">
        <v>384</v>
      </c>
      <c r="K58" s="38" t="s">
        <v>350</v>
      </c>
      <c r="L58" s="38" t="s">
        <v>385</v>
      </c>
      <c r="M58" s="38" t="s">
        <v>315</v>
      </c>
      <c r="N58" s="34" t="s">
        <v>352</v>
      </c>
      <c r="O58" s="26" t="s">
        <v>353</v>
      </c>
      <c r="P58" s="26" t="s">
        <v>353</v>
      </c>
    </row>
    <row r="59" customFormat="false" ht="15" hidden="false" customHeight="false" outlineLevel="0" collapsed="false">
      <c r="A59" s="38" t="n">
        <v>56</v>
      </c>
      <c r="B59" s="38" t="s">
        <v>93</v>
      </c>
      <c r="C59" s="38" t="s">
        <v>347</v>
      </c>
      <c r="D59" s="38" t="s">
        <v>438</v>
      </c>
      <c r="E59" s="39" t="n">
        <v>0</v>
      </c>
      <c r="F59" s="39" t="n">
        <v>286346</v>
      </c>
      <c r="G59" s="33" t="n">
        <f aca="false">E59-F59</f>
        <v>-286346</v>
      </c>
      <c r="H59" s="27" t="n">
        <v>46134</v>
      </c>
      <c r="I59" s="38" t="s">
        <v>439</v>
      </c>
      <c r="J59" s="38" t="s">
        <v>442</v>
      </c>
      <c r="K59" s="38" t="s">
        <v>350</v>
      </c>
      <c r="L59" s="38" t="s">
        <v>443</v>
      </c>
      <c r="M59" s="38" t="s">
        <v>315</v>
      </c>
      <c r="N59" s="34" t="s">
        <v>352</v>
      </c>
      <c r="O59" s="26" t="s">
        <v>353</v>
      </c>
      <c r="P59" s="26" t="s">
        <v>353</v>
      </c>
    </row>
    <row r="60" customFormat="false" ht="15" hidden="false" customHeight="false" outlineLevel="0" collapsed="false">
      <c r="A60" s="38" t="n">
        <v>57</v>
      </c>
      <c r="B60" s="38" t="s">
        <v>93</v>
      </c>
      <c r="C60" s="38" t="s">
        <v>347</v>
      </c>
      <c r="D60" s="38" t="s">
        <v>438</v>
      </c>
      <c r="E60" s="39" t="n">
        <v>286346</v>
      </c>
      <c r="F60" s="39" t="n">
        <v>0</v>
      </c>
      <c r="G60" s="33" t="n">
        <f aca="false">E60-F60</f>
        <v>286346</v>
      </c>
      <c r="H60" s="27" t="n">
        <v>46135</v>
      </c>
      <c r="I60" s="38" t="s">
        <v>301</v>
      </c>
      <c r="J60" s="38" t="s">
        <v>444</v>
      </c>
      <c r="K60" s="38" t="s">
        <v>350</v>
      </c>
      <c r="L60" s="38" t="s">
        <v>445</v>
      </c>
      <c r="M60" s="38" t="s">
        <v>315</v>
      </c>
      <c r="N60" s="34" t="s">
        <v>352</v>
      </c>
      <c r="O60" s="26" t="s">
        <v>353</v>
      </c>
      <c r="P60" s="26" t="s">
        <v>353</v>
      </c>
    </row>
    <row r="61" customFormat="false" ht="15" hidden="false" customHeight="false" outlineLevel="0" collapsed="false">
      <c r="A61" s="38" t="n">
        <v>58</v>
      </c>
      <c r="B61" s="38" t="s">
        <v>93</v>
      </c>
      <c r="C61" s="38" t="s">
        <v>347</v>
      </c>
      <c r="D61" s="38" t="s">
        <v>438</v>
      </c>
      <c r="E61" s="39" t="n">
        <v>0</v>
      </c>
      <c r="F61" s="39" t="n">
        <v>251760</v>
      </c>
      <c r="G61" s="33" t="n">
        <f aca="false">E61-F61</f>
        <v>-251760</v>
      </c>
      <c r="H61" s="27" t="n">
        <v>46234</v>
      </c>
      <c r="I61" s="38" t="s">
        <v>439</v>
      </c>
      <c r="J61" s="38" t="s">
        <v>446</v>
      </c>
      <c r="K61" s="38" t="s">
        <v>350</v>
      </c>
      <c r="L61" s="38" t="s">
        <v>447</v>
      </c>
      <c r="M61" s="38" t="s">
        <v>315</v>
      </c>
      <c r="N61" s="34" t="s">
        <v>352</v>
      </c>
      <c r="O61" s="26" t="s">
        <v>353</v>
      </c>
      <c r="P61" s="26" t="s">
        <v>353</v>
      </c>
    </row>
    <row r="62" customFormat="false" ht="15" hidden="false" customHeight="false" outlineLevel="0" collapsed="false">
      <c r="A62" s="38" t="n">
        <v>59</v>
      </c>
      <c r="B62" s="38" t="s">
        <v>93</v>
      </c>
      <c r="C62" s="38" t="s">
        <v>347</v>
      </c>
      <c r="D62" s="38" t="s">
        <v>438</v>
      </c>
      <c r="E62" s="39" t="n">
        <v>251760</v>
      </c>
      <c r="F62" s="39" t="n">
        <v>0</v>
      </c>
      <c r="G62" s="33" t="n">
        <f aca="false">E62-F62</f>
        <v>251760</v>
      </c>
      <c r="H62" s="27" t="n">
        <v>46234</v>
      </c>
      <c r="I62" s="38" t="s">
        <v>301</v>
      </c>
      <c r="J62" s="38" t="s">
        <v>448</v>
      </c>
      <c r="K62" s="38" t="s">
        <v>350</v>
      </c>
      <c r="L62" s="38" t="s">
        <v>449</v>
      </c>
      <c r="M62" s="38" t="s">
        <v>315</v>
      </c>
      <c r="N62" s="34" t="s">
        <v>352</v>
      </c>
      <c r="O62" s="26" t="s">
        <v>353</v>
      </c>
      <c r="P62" s="26" t="s">
        <v>353</v>
      </c>
    </row>
    <row r="63" customFormat="false" ht="15" hidden="false" customHeight="false" outlineLevel="0" collapsed="false">
      <c r="A63" s="38" t="n">
        <v>60</v>
      </c>
      <c r="B63" s="38" t="s">
        <v>93</v>
      </c>
      <c r="C63" s="38" t="s">
        <v>347</v>
      </c>
      <c r="D63" s="38" t="s">
        <v>450</v>
      </c>
      <c r="E63" s="39" t="n">
        <v>0</v>
      </c>
      <c r="F63" s="39" t="n">
        <v>1950112.76</v>
      </c>
      <c r="G63" s="33" t="n">
        <f aca="false">E63-F63</f>
        <v>-1950112.76</v>
      </c>
      <c r="H63" s="27" t="n">
        <v>46052</v>
      </c>
      <c r="I63" s="38" t="s">
        <v>451</v>
      </c>
      <c r="J63" s="38" t="s">
        <v>452</v>
      </c>
      <c r="K63" s="38" t="s">
        <v>375</v>
      </c>
      <c r="L63" s="38" t="s">
        <v>453</v>
      </c>
      <c r="M63" s="38" t="s">
        <v>315</v>
      </c>
      <c r="N63" s="34" t="s">
        <v>352</v>
      </c>
      <c r="O63" s="26" t="s">
        <v>353</v>
      </c>
      <c r="P63" s="26" t="s">
        <v>353</v>
      </c>
    </row>
    <row r="64" customFormat="false" ht="15" hidden="false" customHeight="false" outlineLevel="0" collapsed="false">
      <c r="A64" s="38" t="n">
        <v>61</v>
      </c>
      <c r="B64" s="38" t="s">
        <v>93</v>
      </c>
      <c r="C64" s="38" t="s">
        <v>347</v>
      </c>
      <c r="D64" s="38" t="s">
        <v>450</v>
      </c>
      <c r="E64" s="39" t="n">
        <v>0</v>
      </c>
      <c r="F64" s="39" t="n">
        <v>1500092</v>
      </c>
      <c r="G64" s="33" t="n">
        <f aca="false">E64-F64</f>
        <v>-1500092</v>
      </c>
      <c r="H64" s="27" t="n">
        <v>46052</v>
      </c>
      <c r="I64" s="38" t="s">
        <v>451</v>
      </c>
      <c r="J64" s="38" t="s">
        <v>454</v>
      </c>
      <c r="K64" s="38" t="s">
        <v>350</v>
      </c>
      <c r="L64" s="38" t="s">
        <v>455</v>
      </c>
      <c r="M64" s="38" t="s">
        <v>315</v>
      </c>
      <c r="N64" s="34" t="s">
        <v>352</v>
      </c>
      <c r="O64" s="26" t="s">
        <v>353</v>
      </c>
      <c r="P64" s="26" t="s">
        <v>353</v>
      </c>
    </row>
    <row r="65" customFormat="false" ht="15" hidden="false" customHeight="false" outlineLevel="0" collapsed="false">
      <c r="A65" s="38" t="n">
        <v>62</v>
      </c>
      <c r="B65" s="38" t="s">
        <v>93</v>
      </c>
      <c r="C65" s="38" t="s">
        <v>347</v>
      </c>
      <c r="D65" s="38" t="s">
        <v>450</v>
      </c>
      <c r="E65" s="39" t="n">
        <v>1950112.76</v>
      </c>
      <c r="F65" s="39" t="n">
        <v>0</v>
      </c>
      <c r="G65" s="33" t="n">
        <f aca="false">E65-F65</f>
        <v>1950112.76</v>
      </c>
      <c r="H65" s="27" t="n">
        <v>46052</v>
      </c>
      <c r="I65" s="38" t="s">
        <v>451</v>
      </c>
      <c r="J65" s="38" t="s">
        <v>456</v>
      </c>
      <c r="K65" s="38" t="s">
        <v>457</v>
      </c>
      <c r="L65" s="38" t="s">
        <v>458</v>
      </c>
      <c r="M65" s="38" t="s">
        <v>315</v>
      </c>
      <c r="N65" s="34" t="s">
        <v>352</v>
      </c>
      <c r="O65" s="26" t="s">
        <v>353</v>
      </c>
      <c r="P65" s="26" t="s">
        <v>353</v>
      </c>
    </row>
    <row r="66" customFormat="false" ht="15" hidden="false" customHeight="false" outlineLevel="0" collapsed="false">
      <c r="A66" s="38" t="n">
        <v>63</v>
      </c>
      <c r="B66" s="38" t="s">
        <v>93</v>
      </c>
      <c r="C66" s="38" t="s">
        <v>347</v>
      </c>
      <c r="D66" s="38" t="s">
        <v>450</v>
      </c>
      <c r="E66" s="39" t="n">
        <v>1388670.94</v>
      </c>
      <c r="F66" s="39" t="n">
        <v>0</v>
      </c>
      <c r="G66" s="33" t="n">
        <f aca="false">E66-F66</f>
        <v>1388670.94</v>
      </c>
      <c r="H66" s="27" t="n">
        <v>46052</v>
      </c>
      <c r="I66" s="38" t="s">
        <v>301</v>
      </c>
      <c r="J66" s="38" t="s">
        <v>395</v>
      </c>
      <c r="K66" s="38" t="s">
        <v>350</v>
      </c>
      <c r="L66" s="38" t="s">
        <v>396</v>
      </c>
      <c r="M66" s="38" t="s">
        <v>315</v>
      </c>
      <c r="N66" s="34" t="s">
        <v>352</v>
      </c>
      <c r="O66" s="26" t="s">
        <v>353</v>
      </c>
      <c r="P66" s="26" t="s">
        <v>353</v>
      </c>
    </row>
    <row r="67" customFormat="false" ht="15" hidden="false" customHeight="false" outlineLevel="0" collapsed="false">
      <c r="A67" s="38" t="n">
        <v>64</v>
      </c>
      <c r="B67" s="38" t="s">
        <v>93</v>
      </c>
      <c r="C67" s="38" t="s">
        <v>347</v>
      </c>
      <c r="D67" s="38" t="s">
        <v>450</v>
      </c>
      <c r="E67" s="39" t="n">
        <v>0</v>
      </c>
      <c r="F67" s="39" t="n">
        <v>1950111.76</v>
      </c>
      <c r="G67" s="33" t="n">
        <f aca="false">E67-F67</f>
        <v>-1950111.76</v>
      </c>
      <c r="H67" s="27" t="n">
        <v>46053</v>
      </c>
      <c r="I67" s="38" t="s">
        <v>451</v>
      </c>
      <c r="J67" s="38" t="s">
        <v>459</v>
      </c>
      <c r="K67" s="38" t="s">
        <v>350</v>
      </c>
      <c r="L67" s="38" t="s">
        <v>460</v>
      </c>
      <c r="M67" s="38" t="s">
        <v>315</v>
      </c>
      <c r="N67" s="34" t="s">
        <v>352</v>
      </c>
      <c r="O67" s="26" t="s">
        <v>353</v>
      </c>
      <c r="P67" s="26" t="s">
        <v>353</v>
      </c>
    </row>
    <row r="68" customFormat="false" ht="15" hidden="false" customHeight="false" outlineLevel="0" collapsed="false">
      <c r="A68" s="38" t="n">
        <v>65</v>
      </c>
      <c r="B68" s="38" t="s">
        <v>93</v>
      </c>
      <c r="C68" s="38" t="s">
        <v>347</v>
      </c>
      <c r="D68" s="38" t="s">
        <v>450</v>
      </c>
      <c r="E68" s="39" t="n">
        <v>0</v>
      </c>
      <c r="F68" s="39" t="n">
        <v>3717293.44</v>
      </c>
      <c r="G68" s="33" t="n">
        <f aca="false">E68-F68</f>
        <v>-3717293.44</v>
      </c>
      <c r="H68" s="27" t="n">
        <v>46066</v>
      </c>
      <c r="I68" s="38" t="s">
        <v>451</v>
      </c>
      <c r="J68" s="38" t="s">
        <v>461</v>
      </c>
      <c r="K68" s="38" t="s">
        <v>350</v>
      </c>
      <c r="L68" s="38" t="s">
        <v>462</v>
      </c>
      <c r="M68" s="38" t="s">
        <v>315</v>
      </c>
      <c r="N68" s="34" t="s">
        <v>352</v>
      </c>
      <c r="O68" s="26" t="s">
        <v>353</v>
      </c>
      <c r="P68" s="26" t="s">
        <v>353</v>
      </c>
    </row>
    <row r="69" customFormat="false" ht="15" hidden="false" customHeight="false" outlineLevel="0" collapsed="false">
      <c r="A69" s="38" t="n">
        <v>66</v>
      </c>
      <c r="B69" s="38" t="s">
        <v>93</v>
      </c>
      <c r="C69" s="38" t="s">
        <v>347</v>
      </c>
      <c r="D69" s="38" t="s">
        <v>450</v>
      </c>
      <c r="E69" s="39" t="n">
        <v>3717293</v>
      </c>
      <c r="F69" s="39" t="n">
        <v>0</v>
      </c>
      <c r="G69" s="33" t="n">
        <f aca="false">E69-F69</f>
        <v>3717293</v>
      </c>
      <c r="H69" s="27" t="n">
        <v>46071</v>
      </c>
      <c r="I69" s="38" t="s">
        <v>451</v>
      </c>
      <c r="J69" s="38" t="s">
        <v>463</v>
      </c>
      <c r="K69" s="38" t="s">
        <v>295</v>
      </c>
      <c r="L69" s="38" t="s">
        <v>462</v>
      </c>
      <c r="M69" s="38" t="s">
        <v>464</v>
      </c>
      <c r="N69" s="34" t="s">
        <v>352</v>
      </c>
      <c r="O69" s="26" t="s">
        <v>353</v>
      </c>
      <c r="P69" s="26" t="s">
        <v>353</v>
      </c>
    </row>
    <row r="70" customFormat="false" ht="15" hidden="false" customHeight="false" outlineLevel="0" collapsed="false">
      <c r="A70" s="38" t="n">
        <v>67</v>
      </c>
      <c r="B70" s="38" t="s">
        <v>93</v>
      </c>
      <c r="C70" s="38" t="s">
        <v>347</v>
      </c>
      <c r="D70" s="38" t="s">
        <v>450</v>
      </c>
      <c r="E70" s="39" t="n">
        <v>1960029.8</v>
      </c>
      <c r="F70" s="39" t="n">
        <v>0</v>
      </c>
      <c r="G70" s="33" t="n">
        <f aca="false">E70-F70</f>
        <v>1960029.8</v>
      </c>
      <c r="H70" s="27" t="n">
        <v>46072</v>
      </c>
      <c r="I70" s="38" t="s">
        <v>301</v>
      </c>
      <c r="J70" s="38" t="s">
        <v>399</v>
      </c>
      <c r="K70" s="38" t="s">
        <v>350</v>
      </c>
      <c r="L70" s="38" t="s">
        <v>400</v>
      </c>
      <c r="M70" s="38" t="s">
        <v>315</v>
      </c>
      <c r="N70" s="34" t="s">
        <v>352</v>
      </c>
      <c r="O70" s="26" t="s">
        <v>353</v>
      </c>
      <c r="P70" s="26" t="s">
        <v>353</v>
      </c>
    </row>
    <row r="71" customFormat="false" ht="15" hidden="false" customHeight="false" outlineLevel="0" collapsed="false">
      <c r="A71" s="38" t="n">
        <v>68</v>
      </c>
      <c r="B71" s="38" t="s">
        <v>93</v>
      </c>
      <c r="C71" s="38" t="s">
        <v>347</v>
      </c>
      <c r="D71" s="38" t="s">
        <v>450</v>
      </c>
      <c r="E71" s="39" t="n">
        <v>0</v>
      </c>
      <c r="F71" s="39" t="n">
        <v>1960029.8</v>
      </c>
      <c r="G71" s="33" t="n">
        <f aca="false">E71-F71</f>
        <v>-1960029.8</v>
      </c>
      <c r="H71" s="27" t="n">
        <v>46072</v>
      </c>
      <c r="I71" s="38" t="s">
        <v>301</v>
      </c>
      <c r="J71" s="38" t="s">
        <v>465</v>
      </c>
      <c r="K71" s="38" t="s">
        <v>363</v>
      </c>
      <c r="L71" s="38" t="s">
        <v>466</v>
      </c>
      <c r="M71" s="38" t="s">
        <v>315</v>
      </c>
      <c r="N71" s="34" t="s">
        <v>352</v>
      </c>
      <c r="O71" s="26" t="s">
        <v>353</v>
      </c>
      <c r="P71" s="26" t="s">
        <v>353</v>
      </c>
    </row>
    <row r="72" customFormat="false" ht="15" hidden="false" customHeight="false" outlineLevel="0" collapsed="false">
      <c r="A72" s="38" t="n">
        <v>69</v>
      </c>
      <c r="B72" s="38" t="s">
        <v>93</v>
      </c>
      <c r="C72" s="38" t="s">
        <v>347</v>
      </c>
      <c r="D72" s="38" t="s">
        <v>450</v>
      </c>
      <c r="E72" s="39" t="n">
        <v>0</v>
      </c>
      <c r="F72" s="39" t="n">
        <v>2107288.1</v>
      </c>
      <c r="G72" s="33" t="n">
        <f aca="false">E72-F72</f>
        <v>-2107288.1</v>
      </c>
      <c r="H72" s="27" t="n">
        <v>46073</v>
      </c>
      <c r="I72" s="38" t="s">
        <v>451</v>
      </c>
      <c r="J72" s="38" t="s">
        <v>467</v>
      </c>
      <c r="K72" s="38" t="s">
        <v>350</v>
      </c>
      <c r="L72" s="38" t="s">
        <v>468</v>
      </c>
      <c r="M72" s="38" t="s">
        <v>315</v>
      </c>
      <c r="N72" s="34" t="s">
        <v>352</v>
      </c>
      <c r="O72" s="26" t="s">
        <v>353</v>
      </c>
      <c r="P72" s="26" t="s">
        <v>353</v>
      </c>
    </row>
    <row r="73" customFormat="false" ht="15" hidden="false" customHeight="false" outlineLevel="0" collapsed="false">
      <c r="A73" s="38" t="n">
        <v>70</v>
      </c>
      <c r="B73" s="38" t="s">
        <v>93</v>
      </c>
      <c r="C73" s="38" t="s">
        <v>347</v>
      </c>
      <c r="D73" s="38" t="s">
        <v>450</v>
      </c>
      <c r="E73" s="39" t="n">
        <v>0.44</v>
      </c>
      <c r="F73" s="39" t="n">
        <v>0</v>
      </c>
      <c r="G73" s="33" t="n">
        <f aca="false">E73-F73</f>
        <v>0.44</v>
      </c>
      <c r="H73" s="27" t="n">
        <v>46080</v>
      </c>
      <c r="I73" s="38" t="s">
        <v>469</v>
      </c>
      <c r="J73" s="38" t="s">
        <v>470</v>
      </c>
      <c r="K73" s="38" t="s">
        <v>363</v>
      </c>
      <c r="L73" s="38" t="s">
        <v>390</v>
      </c>
      <c r="M73" s="38" t="s">
        <v>379</v>
      </c>
      <c r="N73" s="34" t="s">
        <v>352</v>
      </c>
      <c r="O73" s="26" t="s">
        <v>353</v>
      </c>
      <c r="P73" s="26" t="s">
        <v>353</v>
      </c>
    </row>
    <row r="74" customFormat="false" ht="15" hidden="false" customHeight="false" outlineLevel="0" collapsed="false">
      <c r="A74" s="38" t="n">
        <v>71</v>
      </c>
      <c r="B74" s="38" t="s">
        <v>93</v>
      </c>
      <c r="C74" s="38" t="s">
        <v>347</v>
      </c>
      <c r="D74" s="38" t="s">
        <v>450</v>
      </c>
      <c r="E74" s="39" t="n">
        <v>0</v>
      </c>
      <c r="F74" s="39" t="n">
        <v>1457760</v>
      </c>
      <c r="G74" s="33" t="n">
        <f aca="false">E74-F74</f>
        <v>-1457760</v>
      </c>
      <c r="H74" s="27" t="n">
        <v>46081</v>
      </c>
      <c r="I74" s="38" t="s">
        <v>451</v>
      </c>
      <c r="J74" s="38" t="s">
        <v>471</v>
      </c>
      <c r="K74" s="38" t="s">
        <v>350</v>
      </c>
      <c r="L74" s="38" t="s">
        <v>472</v>
      </c>
      <c r="M74" s="38" t="s">
        <v>315</v>
      </c>
      <c r="N74" s="34" t="s">
        <v>352</v>
      </c>
      <c r="O74" s="26" t="s">
        <v>353</v>
      </c>
      <c r="P74" s="26" t="s">
        <v>353</v>
      </c>
    </row>
    <row r="75" customFormat="false" ht="15" hidden="false" customHeight="false" outlineLevel="0" collapsed="false">
      <c r="A75" s="38" t="n">
        <v>72</v>
      </c>
      <c r="B75" s="38" t="s">
        <v>93</v>
      </c>
      <c r="C75" s="38" t="s">
        <v>347</v>
      </c>
      <c r="D75" s="38" t="s">
        <v>450</v>
      </c>
      <c r="E75" s="39" t="n">
        <v>0</v>
      </c>
      <c r="F75" s="39" t="n">
        <v>1307801</v>
      </c>
      <c r="G75" s="33" t="n">
        <f aca="false">E75-F75</f>
        <v>-1307801</v>
      </c>
      <c r="H75" s="27" t="n">
        <v>46111</v>
      </c>
      <c r="I75" s="38" t="s">
        <v>451</v>
      </c>
      <c r="J75" s="38" t="s">
        <v>473</v>
      </c>
      <c r="K75" s="38" t="s">
        <v>350</v>
      </c>
      <c r="L75" s="38" t="s">
        <v>474</v>
      </c>
      <c r="M75" s="38" t="s">
        <v>315</v>
      </c>
      <c r="N75" s="34" t="s">
        <v>352</v>
      </c>
      <c r="O75" s="26" t="s">
        <v>353</v>
      </c>
      <c r="P75" s="26" t="s">
        <v>353</v>
      </c>
    </row>
    <row r="76" customFormat="false" ht="15" hidden="false" customHeight="false" outlineLevel="0" collapsed="false">
      <c r="A76" s="38" t="n">
        <v>73</v>
      </c>
      <c r="B76" s="38" t="s">
        <v>93</v>
      </c>
      <c r="C76" s="38" t="s">
        <v>347</v>
      </c>
      <c r="D76" s="38" t="s">
        <v>450</v>
      </c>
      <c r="E76" s="39" t="n">
        <v>0</v>
      </c>
      <c r="F76" s="39" t="n">
        <v>2097577.22</v>
      </c>
      <c r="G76" s="33" t="n">
        <f aca="false">E76-F76</f>
        <v>-2097577.22</v>
      </c>
      <c r="H76" s="27" t="n">
        <v>46111</v>
      </c>
      <c r="I76" s="38" t="s">
        <v>451</v>
      </c>
      <c r="J76" s="38" t="s">
        <v>475</v>
      </c>
      <c r="K76" s="38" t="s">
        <v>350</v>
      </c>
      <c r="L76" s="38" t="s">
        <v>476</v>
      </c>
      <c r="M76" s="38" t="s">
        <v>315</v>
      </c>
      <c r="N76" s="34" t="s">
        <v>352</v>
      </c>
      <c r="O76" s="26" t="s">
        <v>353</v>
      </c>
      <c r="P76" s="26" t="s">
        <v>353</v>
      </c>
    </row>
    <row r="77" customFormat="false" ht="15" hidden="false" customHeight="false" outlineLevel="0" collapsed="false">
      <c r="A77" s="38" t="n">
        <v>74</v>
      </c>
      <c r="B77" s="38" t="s">
        <v>93</v>
      </c>
      <c r="C77" s="38" t="s">
        <v>347</v>
      </c>
      <c r="D77" s="38" t="s">
        <v>450</v>
      </c>
      <c r="E77" s="39" t="n">
        <v>3450203.76</v>
      </c>
      <c r="F77" s="39" t="n">
        <v>0</v>
      </c>
      <c r="G77" s="33" t="n">
        <f aca="false">E77-F77</f>
        <v>3450203.76</v>
      </c>
      <c r="H77" s="27" t="n">
        <v>46129</v>
      </c>
      <c r="I77" s="38" t="s">
        <v>301</v>
      </c>
      <c r="J77" s="38" t="s">
        <v>405</v>
      </c>
      <c r="K77" s="38" t="s">
        <v>350</v>
      </c>
      <c r="L77" s="38" t="s">
        <v>406</v>
      </c>
      <c r="M77" s="38" t="s">
        <v>315</v>
      </c>
      <c r="N77" s="34" t="s">
        <v>352</v>
      </c>
      <c r="O77" s="26" t="s">
        <v>353</v>
      </c>
      <c r="P77" s="26" t="s">
        <v>353</v>
      </c>
    </row>
    <row r="78" customFormat="false" ht="15" hidden="false" customHeight="false" outlineLevel="0" collapsed="false">
      <c r="A78" s="38" t="n">
        <v>75</v>
      </c>
      <c r="B78" s="38" t="s">
        <v>93</v>
      </c>
      <c r="C78" s="38" t="s">
        <v>347</v>
      </c>
      <c r="D78" s="38" t="s">
        <v>450</v>
      </c>
      <c r="E78" s="39" t="n">
        <v>3565048.1</v>
      </c>
      <c r="F78" s="39" t="n">
        <v>0</v>
      </c>
      <c r="G78" s="33" t="n">
        <f aca="false">E78-F78</f>
        <v>3565048.1</v>
      </c>
      <c r="H78" s="27" t="n">
        <v>46135</v>
      </c>
      <c r="I78" s="38" t="s">
        <v>301</v>
      </c>
      <c r="J78" s="38" t="s">
        <v>407</v>
      </c>
      <c r="K78" s="38" t="s">
        <v>350</v>
      </c>
      <c r="L78" s="38" t="s">
        <v>408</v>
      </c>
      <c r="M78" s="38" t="s">
        <v>315</v>
      </c>
      <c r="N78" s="34" t="s">
        <v>352</v>
      </c>
      <c r="O78" s="26" t="s">
        <v>353</v>
      </c>
      <c r="P78" s="26" t="s">
        <v>353</v>
      </c>
    </row>
    <row r="79" customFormat="false" ht="15" hidden="false" customHeight="false" outlineLevel="0" collapsed="false">
      <c r="A79" s="38" t="n">
        <v>76</v>
      </c>
      <c r="B79" s="38" t="s">
        <v>93</v>
      </c>
      <c r="C79" s="38" t="s">
        <v>347</v>
      </c>
      <c r="D79" s="38" t="s">
        <v>450</v>
      </c>
      <c r="E79" s="39" t="n">
        <v>0</v>
      </c>
      <c r="F79" s="39" t="n">
        <v>1381414.76</v>
      </c>
      <c r="G79" s="33" t="n">
        <f aca="false">E79-F79</f>
        <v>-1381414.76</v>
      </c>
      <c r="H79" s="27" t="n">
        <v>46142</v>
      </c>
      <c r="I79" s="38" t="s">
        <v>451</v>
      </c>
      <c r="J79" s="38" t="s">
        <v>477</v>
      </c>
      <c r="K79" s="38" t="s">
        <v>350</v>
      </c>
      <c r="L79" s="38" t="s">
        <v>478</v>
      </c>
      <c r="M79" s="38" t="s">
        <v>315</v>
      </c>
      <c r="N79" s="34" t="s">
        <v>352</v>
      </c>
      <c r="O79" s="26" t="s">
        <v>353</v>
      </c>
      <c r="P79" s="26" t="s">
        <v>353</v>
      </c>
    </row>
    <row r="80" customFormat="false" ht="15" hidden="false" customHeight="false" outlineLevel="0" collapsed="false">
      <c r="A80" s="38" t="n">
        <v>77</v>
      </c>
      <c r="B80" s="38" t="s">
        <v>93</v>
      </c>
      <c r="C80" s="38" t="s">
        <v>347</v>
      </c>
      <c r="D80" s="38" t="s">
        <v>450</v>
      </c>
      <c r="E80" s="39" t="n">
        <v>0</v>
      </c>
      <c r="F80" s="39" t="n">
        <v>3717293.44</v>
      </c>
      <c r="G80" s="33" t="n">
        <f aca="false">E80-F80</f>
        <v>-3717293.44</v>
      </c>
      <c r="H80" s="27" t="n">
        <v>46157</v>
      </c>
      <c r="I80" s="38" t="s">
        <v>451</v>
      </c>
      <c r="J80" s="38" t="s">
        <v>479</v>
      </c>
      <c r="K80" s="38" t="s">
        <v>350</v>
      </c>
      <c r="L80" s="38" t="s">
        <v>480</v>
      </c>
      <c r="M80" s="38" t="s">
        <v>315</v>
      </c>
      <c r="N80" s="34" t="s">
        <v>352</v>
      </c>
      <c r="O80" s="26" t="s">
        <v>353</v>
      </c>
      <c r="P80" s="26" t="s">
        <v>353</v>
      </c>
    </row>
    <row r="81" customFormat="false" ht="15" hidden="false" customHeight="false" outlineLevel="0" collapsed="false">
      <c r="A81" s="38" t="n">
        <v>78</v>
      </c>
      <c r="B81" s="38" t="s">
        <v>93</v>
      </c>
      <c r="C81" s="38" t="s">
        <v>347</v>
      </c>
      <c r="D81" s="38" t="s">
        <v>450</v>
      </c>
      <c r="E81" s="39" t="n">
        <v>3405378.22</v>
      </c>
      <c r="F81" s="39" t="n">
        <v>0</v>
      </c>
      <c r="G81" s="33" t="n">
        <f aca="false">E81-F81</f>
        <v>3405378.22</v>
      </c>
      <c r="H81" s="27" t="n">
        <v>46163</v>
      </c>
      <c r="I81" s="38" t="s">
        <v>301</v>
      </c>
      <c r="J81" s="38" t="s">
        <v>411</v>
      </c>
      <c r="K81" s="38" t="s">
        <v>350</v>
      </c>
      <c r="L81" s="38" t="s">
        <v>412</v>
      </c>
      <c r="M81" s="38" t="s">
        <v>315</v>
      </c>
      <c r="N81" s="34" t="s">
        <v>352</v>
      </c>
      <c r="O81" s="26" t="s">
        <v>353</v>
      </c>
      <c r="P81" s="26" t="s">
        <v>353</v>
      </c>
    </row>
    <row r="82" customFormat="false" ht="15" hidden="false" customHeight="false" outlineLevel="0" collapsed="false">
      <c r="A82" s="38" t="n">
        <v>79</v>
      </c>
      <c r="B82" s="38" t="s">
        <v>93</v>
      </c>
      <c r="C82" s="38" t="s">
        <v>347</v>
      </c>
      <c r="D82" s="38" t="s">
        <v>450</v>
      </c>
      <c r="E82" s="39" t="n">
        <v>0</v>
      </c>
      <c r="F82" s="39" t="n">
        <v>1382561</v>
      </c>
      <c r="G82" s="33" t="n">
        <f aca="false">E82-F82</f>
        <v>-1382561</v>
      </c>
      <c r="H82" s="27" t="n">
        <v>46172</v>
      </c>
      <c r="I82" s="38" t="s">
        <v>451</v>
      </c>
      <c r="J82" s="38" t="s">
        <v>481</v>
      </c>
      <c r="K82" s="38" t="s">
        <v>350</v>
      </c>
      <c r="L82" s="38" t="s">
        <v>482</v>
      </c>
      <c r="M82" s="38" t="s">
        <v>315</v>
      </c>
      <c r="N82" s="34" t="s">
        <v>352</v>
      </c>
      <c r="O82" s="26" t="s">
        <v>353</v>
      </c>
      <c r="P82" s="26" t="s">
        <v>353</v>
      </c>
    </row>
    <row r="83" customFormat="false" ht="15" hidden="false" customHeight="false" outlineLevel="0" collapsed="false">
      <c r="A83" s="38" t="n">
        <v>80</v>
      </c>
      <c r="B83" s="38" t="s">
        <v>93</v>
      </c>
      <c r="C83" s="38" t="s">
        <v>347</v>
      </c>
      <c r="D83" s="38" t="s">
        <v>450</v>
      </c>
      <c r="E83" s="39" t="n">
        <v>0</v>
      </c>
      <c r="F83" s="39" t="n">
        <v>1999850.62</v>
      </c>
      <c r="G83" s="33" t="n">
        <f aca="false">E83-F83</f>
        <v>-1999850.62</v>
      </c>
      <c r="H83" s="27" t="n">
        <v>46172</v>
      </c>
      <c r="I83" s="38" t="s">
        <v>451</v>
      </c>
      <c r="J83" s="38" t="s">
        <v>483</v>
      </c>
      <c r="K83" s="38" t="s">
        <v>350</v>
      </c>
      <c r="L83" s="38" t="s">
        <v>484</v>
      </c>
      <c r="M83" s="38" t="s">
        <v>315</v>
      </c>
      <c r="N83" s="34" t="s">
        <v>352</v>
      </c>
      <c r="O83" s="26" t="s">
        <v>353</v>
      </c>
      <c r="P83" s="26" t="s">
        <v>353</v>
      </c>
    </row>
    <row r="84" customFormat="false" ht="15" hidden="false" customHeight="false" outlineLevel="0" collapsed="false">
      <c r="A84" s="38" t="n">
        <v>81</v>
      </c>
      <c r="B84" s="38" t="s">
        <v>93</v>
      </c>
      <c r="C84" s="38" t="s">
        <v>347</v>
      </c>
      <c r="D84" s="38" t="s">
        <v>450</v>
      </c>
      <c r="E84" s="39" t="n">
        <v>0</v>
      </c>
      <c r="F84" s="39" t="n">
        <v>2152877.48</v>
      </c>
      <c r="G84" s="33" t="n">
        <f aca="false">E84-F84</f>
        <v>-2152877.48</v>
      </c>
      <c r="H84" s="27" t="n">
        <v>46172</v>
      </c>
      <c r="I84" s="38" t="s">
        <v>413</v>
      </c>
      <c r="J84" s="38" t="s">
        <v>414</v>
      </c>
      <c r="K84" s="38" t="s">
        <v>350</v>
      </c>
      <c r="L84" s="38" t="s">
        <v>415</v>
      </c>
      <c r="M84" s="38" t="s">
        <v>315</v>
      </c>
      <c r="N84" s="34" t="s">
        <v>352</v>
      </c>
      <c r="O84" s="26" t="s">
        <v>353</v>
      </c>
      <c r="P84" s="26" t="s">
        <v>353</v>
      </c>
    </row>
    <row r="85" customFormat="false" ht="15" hidden="false" customHeight="false" outlineLevel="0" collapsed="false">
      <c r="A85" s="38" t="n">
        <v>82</v>
      </c>
      <c r="B85" s="38" t="s">
        <v>93</v>
      </c>
      <c r="C85" s="38" t="s">
        <v>347</v>
      </c>
      <c r="D85" s="38" t="s">
        <v>450</v>
      </c>
      <c r="E85" s="39" t="n">
        <v>0</v>
      </c>
      <c r="F85" s="39" t="n">
        <v>3717293.44</v>
      </c>
      <c r="G85" s="33" t="n">
        <f aca="false">E85-F85</f>
        <v>-3717293.44</v>
      </c>
      <c r="H85" s="27" t="n">
        <v>46191</v>
      </c>
      <c r="I85" s="38" t="s">
        <v>451</v>
      </c>
      <c r="J85" s="38" t="s">
        <v>485</v>
      </c>
      <c r="K85" s="38" t="s">
        <v>350</v>
      </c>
      <c r="L85" s="38" t="s">
        <v>486</v>
      </c>
      <c r="M85" s="38" t="s">
        <v>315</v>
      </c>
      <c r="N85" s="34" t="s">
        <v>352</v>
      </c>
      <c r="O85" s="26" t="s">
        <v>353</v>
      </c>
      <c r="P85" s="26" t="s">
        <v>353</v>
      </c>
    </row>
    <row r="86" customFormat="false" ht="15" hidden="false" customHeight="false" outlineLevel="0" collapsed="false">
      <c r="A86" s="38" t="n">
        <v>83</v>
      </c>
      <c r="B86" s="38" t="s">
        <v>93</v>
      </c>
      <c r="C86" s="38" t="s">
        <v>347</v>
      </c>
      <c r="D86" s="38" t="s">
        <v>450</v>
      </c>
      <c r="E86" s="39" t="n">
        <v>0</v>
      </c>
      <c r="F86" s="39" t="n">
        <v>2012362.93</v>
      </c>
      <c r="G86" s="33" t="n">
        <f aca="false">E86-F86</f>
        <v>-2012362.93</v>
      </c>
      <c r="H86" s="27" t="n">
        <v>46203</v>
      </c>
      <c r="I86" s="38" t="s">
        <v>451</v>
      </c>
      <c r="J86" s="38" t="s">
        <v>487</v>
      </c>
      <c r="K86" s="38" t="s">
        <v>350</v>
      </c>
      <c r="L86" s="38" t="s">
        <v>488</v>
      </c>
      <c r="M86" s="38" t="s">
        <v>315</v>
      </c>
      <c r="N86" s="34" t="s">
        <v>352</v>
      </c>
      <c r="O86" s="26" t="s">
        <v>353</v>
      </c>
      <c r="P86" s="26" t="s">
        <v>353</v>
      </c>
    </row>
    <row r="87" customFormat="false" ht="15" hidden="false" customHeight="false" outlineLevel="0" collapsed="false">
      <c r="A87" s="38" t="n">
        <v>84</v>
      </c>
      <c r="B87" s="38" t="s">
        <v>93</v>
      </c>
      <c r="C87" s="38" t="s">
        <v>347</v>
      </c>
      <c r="D87" s="38" t="s">
        <v>450</v>
      </c>
      <c r="E87" s="39" t="n">
        <v>0</v>
      </c>
      <c r="F87" s="39" t="n">
        <v>3717293.44</v>
      </c>
      <c r="G87" s="33" t="n">
        <f aca="false">E87-F87</f>
        <v>-3717293.44</v>
      </c>
      <c r="H87" s="27" t="n">
        <v>46213</v>
      </c>
      <c r="I87" s="38" t="s">
        <v>451</v>
      </c>
      <c r="J87" s="38" t="s">
        <v>489</v>
      </c>
      <c r="K87" s="38" t="s">
        <v>350</v>
      </c>
      <c r="L87" s="38" t="s">
        <v>490</v>
      </c>
      <c r="M87" s="38" t="s">
        <v>315</v>
      </c>
      <c r="N87" s="34" t="s">
        <v>352</v>
      </c>
      <c r="O87" s="26" t="s">
        <v>353</v>
      </c>
      <c r="P87" s="26" t="s">
        <v>353</v>
      </c>
    </row>
    <row r="88" customFormat="false" ht="15" hidden="false" customHeight="false" outlineLevel="0" collapsed="false">
      <c r="A88" s="38" t="n">
        <v>85</v>
      </c>
      <c r="B88" s="38" t="s">
        <v>93</v>
      </c>
      <c r="C88" s="38" t="s">
        <v>347</v>
      </c>
      <c r="D88" s="38" t="s">
        <v>450</v>
      </c>
      <c r="E88" s="39" t="n">
        <v>0</v>
      </c>
      <c r="F88" s="39" t="n">
        <v>2159083.25</v>
      </c>
      <c r="G88" s="33" t="n">
        <f aca="false">E88-F88</f>
        <v>-2159083.25</v>
      </c>
      <c r="H88" s="27" t="n">
        <v>46230</v>
      </c>
      <c r="I88" s="38" t="s">
        <v>451</v>
      </c>
      <c r="J88" s="38" t="s">
        <v>491</v>
      </c>
      <c r="K88" s="38" t="s">
        <v>350</v>
      </c>
      <c r="L88" s="38" t="s">
        <v>492</v>
      </c>
      <c r="M88" s="38" t="s">
        <v>315</v>
      </c>
      <c r="N88" s="34" t="s">
        <v>352</v>
      </c>
      <c r="O88" s="26" t="s">
        <v>353</v>
      </c>
      <c r="P88" s="26" t="s">
        <v>353</v>
      </c>
    </row>
    <row r="89" customFormat="false" ht="15" hidden="false" customHeight="false" outlineLevel="0" collapsed="false">
      <c r="A89" s="38" t="n">
        <v>86</v>
      </c>
      <c r="B89" s="38" t="s">
        <v>93</v>
      </c>
      <c r="C89" s="38" t="s">
        <v>347</v>
      </c>
      <c r="D89" s="38" t="s">
        <v>450</v>
      </c>
      <c r="E89" s="39" t="n">
        <v>0</v>
      </c>
      <c r="F89" s="39" t="n">
        <v>1381417</v>
      </c>
      <c r="G89" s="33" t="n">
        <f aca="false">E89-F89</f>
        <v>-1381417</v>
      </c>
      <c r="H89" s="27" t="n">
        <v>46234</v>
      </c>
      <c r="I89" s="38" t="s">
        <v>451</v>
      </c>
      <c r="J89" s="38" t="s">
        <v>493</v>
      </c>
      <c r="K89" s="38" t="s">
        <v>350</v>
      </c>
      <c r="L89" s="38" t="s">
        <v>494</v>
      </c>
      <c r="M89" s="38" t="s">
        <v>315</v>
      </c>
      <c r="N89" s="34" t="s">
        <v>352</v>
      </c>
      <c r="O89" s="26" t="s">
        <v>353</v>
      </c>
      <c r="P89" s="26" t="s">
        <v>353</v>
      </c>
    </row>
    <row r="90" customFormat="false" ht="15" hidden="false" customHeight="false" outlineLevel="0" collapsed="false">
      <c r="A90" s="38" t="n">
        <v>87</v>
      </c>
      <c r="B90" s="38" t="s">
        <v>93</v>
      </c>
      <c r="C90" s="38" t="s">
        <v>347</v>
      </c>
      <c r="D90" s="38" t="s">
        <v>450</v>
      </c>
      <c r="E90" s="39" t="n">
        <v>10633994</v>
      </c>
      <c r="F90" s="39" t="n">
        <v>0</v>
      </c>
      <c r="G90" s="33" t="n">
        <f aca="false">E90-F90</f>
        <v>10633994</v>
      </c>
      <c r="H90" s="27" t="n">
        <v>46234</v>
      </c>
      <c r="I90" s="38" t="s">
        <v>301</v>
      </c>
      <c r="J90" s="38" t="s">
        <v>422</v>
      </c>
      <c r="K90" s="38" t="s">
        <v>350</v>
      </c>
      <c r="L90" s="38" t="s">
        <v>423</v>
      </c>
      <c r="M90" s="38" t="s">
        <v>315</v>
      </c>
      <c r="N90" s="34" t="s">
        <v>352</v>
      </c>
      <c r="O90" s="26" t="s">
        <v>353</v>
      </c>
      <c r="P90" s="26" t="s">
        <v>353</v>
      </c>
    </row>
    <row r="91" customFormat="false" ht="15" hidden="false" customHeight="false" outlineLevel="0" collapsed="false">
      <c r="A91" s="38" t="n">
        <v>88</v>
      </c>
      <c r="B91" s="38" t="s">
        <v>93</v>
      </c>
      <c r="C91" s="38" t="s">
        <v>347</v>
      </c>
      <c r="D91" s="38" t="s">
        <v>495</v>
      </c>
      <c r="E91" s="39" t="n">
        <v>0</v>
      </c>
      <c r="F91" s="39" t="n">
        <v>301900</v>
      </c>
      <c r="G91" s="33" t="n">
        <f aca="false">E91-F91</f>
        <v>-301900</v>
      </c>
      <c r="H91" s="27" t="n">
        <v>46052</v>
      </c>
      <c r="I91" s="38" t="s">
        <v>496</v>
      </c>
      <c r="J91" s="38" t="s">
        <v>497</v>
      </c>
      <c r="K91" s="38" t="s">
        <v>363</v>
      </c>
      <c r="L91" s="38" t="s">
        <v>498</v>
      </c>
      <c r="M91" s="38" t="s">
        <v>315</v>
      </c>
      <c r="N91" s="34" t="s">
        <v>352</v>
      </c>
      <c r="O91" s="26" t="s">
        <v>353</v>
      </c>
      <c r="P91" s="26" t="s">
        <v>353</v>
      </c>
    </row>
    <row r="92" customFormat="false" ht="15" hidden="false" customHeight="false" outlineLevel="0" collapsed="false">
      <c r="A92" s="38" t="n">
        <v>89</v>
      </c>
      <c r="B92" s="38" t="s">
        <v>93</v>
      </c>
      <c r="C92" s="38" t="s">
        <v>347</v>
      </c>
      <c r="D92" s="38" t="s">
        <v>495</v>
      </c>
      <c r="E92" s="39" t="n">
        <v>301900</v>
      </c>
      <c r="F92" s="39" t="n">
        <v>0</v>
      </c>
      <c r="G92" s="33" t="n">
        <f aca="false">E92-F92</f>
        <v>301900</v>
      </c>
      <c r="H92" s="27" t="n">
        <v>46053</v>
      </c>
      <c r="I92" s="38" t="s">
        <v>301</v>
      </c>
      <c r="J92" s="38" t="s">
        <v>499</v>
      </c>
      <c r="K92" s="38" t="s">
        <v>350</v>
      </c>
      <c r="L92" s="38" t="s">
        <v>500</v>
      </c>
      <c r="M92" s="38" t="s">
        <v>315</v>
      </c>
      <c r="N92" s="34" t="s">
        <v>352</v>
      </c>
      <c r="O92" s="26" t="s">
        <v>353</v>
      </c>
      <c r="P92" s="26" t="s">
        <v>353</v>
      </c>
    </row>
    <row r="93" customFormat="false" ht="15" hidden="false" customHeight="false" outlineLevel="0" collapsed="false">
      <c r="A93" s="38" t="n">
        <v>90</v>
      </c>
      <c r="B93" s="38" t="s">
        <v>93</v>
      </c>
      <c r="C93" s="38" t="s">
        <v>347</v>
      </c>
      <c r="D93" s="38" t="s">
        <v>501</v>
      </c>
      <c r="E93" s="39" t="n">
        <v>547100</v>
      </c>
      <c r="F93" s="39" t="n">
        <v>0</v>
      </c>
      <c r="G93" s="33" t="n">
        <f aca="false">E93-F93</f>
        <v>547100</v>
      </c>
      <c r="H93" s="27" t="n">
        <v>46173</v>
      </c>
      <c r="I93" s="38" t="s">
        <v>301</v>
      </c>
      <c r="J93" s="38" t="s">
        <v>377</v>
      </c>
      <c r="K93" s="38" t="s">
        <v>363</v>
      </c>
      <c r="L93" s="38" t="s">
        <v>378</v>
      </c>
      <c r="M93" s="38" t="s">
        <v>379</v>
      </c>
      <c r="N93" s="34" t="s">
        <v>352</v>
      </c>
      <c r="O93" s="26" t="s">
        <v>353</v>
      </c>
      <c r="P93" s="26" t="s">
        <v>353</v>
      </c>
    </row>
    <row r="94" customFormat="false" ht="15" hidden="false" customHeight="false" outlineLevel="0" collapsed="false">
      <c r="A94" s="38" t="n">
        <v>91</v>
      </c>
      <c r="B94" s="38" t="s">
        <v>93</v>
      </c>
      <c r="C94" s="38" t="s">
        <v>347</v>
      </c>
      <c r="D94" s="38" t="s">
        <v>502</v>
      </c>
      <c r="E94" s="39" t="n">
        <v>4349883.43</v>
      </c>
      <c r="F94" s="39" t="n">
        <v>0</v>
      </c>
      <c r="G94" s="33" t="n">
        <f aca="false">E94-F94</f>
        <v>4349883.43</v>
      </c>
      <c r="H94" s="27" t="n">
        <v>46173</v>
      </c>
      <c r="I94" s="38" t="s">
        <v>301</v>
      </c>
      <c r="J94" s="38" t="s">
        <v>377</v>
      </c>
      <c r="K94" s="38" t="s">
        <v>363</v>
      </c>
      <c r="L94" s="38" t="s">
        <v>378</v>
      </c>
      <c r="M94" s="38" t="s">
        <v>379</v>
      </c>
      <c r="N94" s="34" t="s">
        <v>352</v>
      </c>
      <c r="O94" s="26" t="s">
        <v>353</v>
      </c>
      <c r="P94" s="26" t="s">
        <v>353</v>
      </c>
    </row>
    <row r="95" customFormat="false" ht="15" hidden="false" customHeight="false" outlineLevel="0" collapsed="false">
      <c r="A95" s="38" t="n">
        <v>92</v>
      </c>
      <c r="B95" s="38" t="s">
        <v>93</v>
      </c>
      <c r="C95" s="38" t="s">
        <v>347</v>
      </c>
      <c r="D95" s="38" t="s">
        <v>503</v>
      </c>
      <c r="E95" s="39" t="n">
        <v>5510003.45</v>
      </c>
      <c r="F95" s="39" t="n">
        <v>0</v>
      </c>
      <c r="G95" s="33" t="n">
        <f aca="false">E95-F95</f>
        <v>5510003.45</v>
      </c>
      <c r="H95" s="27" t="n">
        <v>46173</v>
      </c>
      <c r="I95" s="38" t="s">
        <v>301</v>
      </c>
      <c r="J95" s="38" t="s">
        <v>377</v>
      </c>
      <c r="K95" s="38" t="s">
        <v>363</v>
      </c>
      <c r="L95" s="38" t="s">
        <v>378</v>
      </c>
      <c r="M95" s="38" t="s">
        <v>379</v>
      </c>
      <c r="N95" s="34" t="s">
        <v>352</v>
      </c>
      <c r="O95" s="26" t="s">
        <v>353</v>
      </c>
      <c r="P95" s="26" t="s">
        <v>353</v>
      </c>
    </row>
    <row r="96" customFormat="false" ht="15" hidden="false" customHeight="false" outlineLevel="0" collapsed="false">
      <c r="A96" s="38" t="n">
        <v>93</v>
      </c>
      <c r="B96" s="38" t="s">
        <v>93</v>
      </c>
      <c r="C96" s="38" t="s">
        <v>347</v>
      </c>
      <c r="D96" s="38" t="s">
        <v>504</v>
      </c>
      <c r="E96" s="39" t="n">
        <v>190699.88</v>
      </c>
      <c r="F96" s="39" t="n">
        <v>0</v>
      </c>
      <c r="G96" s="33" t="n">
        <f aca="false">E96-F96</f>
        <v>190699.88</v>
      </c>
      <c r="H96" s="27" t="n">
        <v>46173</v>
      </c>
      <c r="I96" s="38" t="s">
        <v>301</v>
      </c>
      <c r="J96" s="38" t="s">
        <v>377</v>
      </c>
      <c r="K96" s="38" t="s">
        <v>363</v>
      </c>
      <c r="L96" s="38" t="s">
        <v>378</v>
      </c>
      <c r="M96" s="38" t="s">
        <v>379</v>
      </c>
      <c r="N96" s="34" t="s">
        <v>352</v>
      </c>
      <c r="O96" s="26" t="s">
        <v>353</v>
      </c>
      <c r="P96" s="26" t="s">
        <v>353</v>
      </c>
    </row>
    <row r="97" customFormat="false" ht="15" hidden="false" customHeight="false" outlineLevel="0" collapsed="false">
      <c r="A97" s="38" t="n">
        <v>94</v>
      </c>
      <c r="B97" s="38" t="s">
        <v>93</v>
      </c>
      <c r="C97" s="38" t="s">
        <v>347</v>
      </c>
      <c r="D97" s="38" t="s">
        <v>505</v>
      </c>
      <c r="E97" s="39" t="n">
        <v>0</v>
      </c>
      <c r="F97" s="39" t="n">
        <v>415900</v>
      </c>
      <c r="G97" s="33" t="n">
        <f aca="false">E97-F97</f>
        <v>-415900</v>
      </c>
      <c r="H97" s="27" t="n">
        <v>46041</v>
      </c>
      <c r="I97" s="38" t="s">
        <v>506</v>
      </c>
      <c r="J97" s="38" t="s">
        <v>507</v>
      </c>
      <c r="K97" s="38" t="s">
        <v>350</v>
      </c>
      <c r="L97" s="38" t="s">
        <v>508</v>
      </c>
      <c r="M97" s="38" t="s">
        <v>315</v>
      </c>
      <c r="N97" s="34" t="s">
        <v>352</v>
      </c>
      <c r="O97" s="26" t="s">
        <v>353</v>
      </c>
      <c r="P97" s="26" t="s">
        <v>353</v>
      </c>
    </row>
    <row r="98" customFormat="false" ht="15" hidden="false" customHeight="false" outlineLevel="0" collapsed="false">
      <c r="A98" s="38" t="n">
        <v>95</v>
      </c>
      <c r="B98" s="38" t="s">
        <v>93</v>
      </c>
      <c r="C98" s="38" t="s">
        <v>347</v>
      </c>
      <c r="D98" s="38" t="s">
        <v>505</v>
      </c>
      <c r="E98" s="39" t="n">
        <v>0</v>
      </c>
      <c r="F98" s="39" t="n">
        <v>304600</v>
      </c>
      <c r="G98" s="33" t="n">
        <f aca="false">E98-F98</f>
        <v>-304600</v>
      </c>
      <c r="H98" s="27" t="n">
        <v>46041</v>
      </c>
      <c r="I98" s="38" t="s">
        <v>506</v>
      </c>
      <c r="J98" s="38" t="s">
        <v>509</v>
      </c>
      <c r="K98" s="38" t="s">
        <v>350</v>
      </c>
      <c r="L98" s="38" t="s">
        <v>510</v>
      </c>
      <c r="M98" s="38" t="s">
        <v>315</v>
      </c>
      <c r="N98" s="34" t="s">
        <v>352</v>
      </c>
      <c r="O98" s="26" t="s">
        <v>353</v>
      </c>
      <c r="P98" s="26" t="s">
        <v>353</v>
      </c>
    </row>
    <row r="99" customFormat="false" ht="15" hidden="false" customHeight="false" outlineLevel="0" collapsed="false">
      <c r="A99" s="38" t="n">
        <v>96</v>
      </c>
      <c r="B99" s="38" t="s">
        <v>93</v>
      </c>
      <c r="C99" s="38" t="s">
        <v>347</v>
      </c>
      <c r="D99" s="38" t="s">
        <v>505</v>
      </c>
      <c r="E99" s="39" t="n">
        <v>0</v>
      </c>
      <c r="F99" s="39" t="n">
        <v>501700</v>
      </c>
      <c r="G99" s="33" t="n">
        <f aca="false">E99-F99</f>
        <v>-501700</v>
      </c>
      <c r="H99" s="27" t="n">
        <v>46043</v>
      </c>
      <c r="I99" s="38" t="s">
        <v>506</v>
      </c>
      <c r="J99" s="38" t="s">
        <v>511</v>
      </c>
      <c r="K99" s="38" t="s">
        <v>350</v>
      </c>
      <c r="L99" s="38" t="s">
        <v>512</v>
      </c>
      <c r="M99" s="38" t="s">
        <v>315</v>
      </c>
      <c r="N99" s="34" t="s">
        <v>352</v>
      </c>
      <c r="O99" s="26" t="s">
        <v>353</v>
      </c>
      <c r="P99" s="26" t="s">
        <v>353</v>
      </c>
    </row>
    <row r="100" customFormat="false" ht="15" hidden="false" customHeight="false" outlineLevel="0" collapsed="false">
      <c r="A100" s="38" t="n">
        <v>97</v>
      </c>
      <c r="B100" s="38" t="s">
        <v>93</v>
      </c>
      <c r="C100" s="38" t="s">
        <v>347</v>
      </c>
      <c r="D100" s="38" t="s">
        <v>505</v>
      </c>
      <c r="E100" s="39" t="n">
        <v>0</v>
      </c>
      <c r="F100" s="39" t="n">
        <v>285700</v>
      </c>
      <c r="G100" s="33" t="n">
        <f aca="false">E100-F100</f>
        <v>-285700</v>
      </c>
      <c r="H100" s="27" t="n">
        <v>46050</v>
      </c>
      <c r="I100" s="38" t="s">
        <v>506</v>
      </c>
      <c r="J100" s="38" t="s">
        <v>513</v>
      </c>
      <c r="K100" s="38" t="s">
        <v>350</v>
      </c>
      <c r="L100" s="38" t="s">
        <v>514</v>
      </c>
      <c r="M100" s="38" t="s">
        <v>315</v>
      </c>
      <c r="N100" s="34" t="s">
        <v>352</v>
      </c>
      <c r="O100" s="26" t="s">
        <v>353</v>
      </c>
      <c r="P100" s="26" t="s">
        <v>353</v>
      </c>
    </row>
    <row r="101" customFormat="false" ht="15" hidden="false" customHeight="false" outlineLevel="0" collapsed="false">
      <c r="A101" s="38" t="n">
        <v>98</v>
      </c>
      <c r="B101" s="38" t="s">
        <v>93</v>
      </c>
      <c r="C101" s="38" t="s">
        <v>347</v>
      </c>
      <c r="D101" s="38" t="s">
        <v>505</v>
      </c>
      <c r="E101" s="39" t="n">
        <v>0</v>
      </c>
      <c r="F101" s="39" t="n">
        <v>331700</v>
      </c>
      <c r="G101" s="33" t="n">
        <f aca="false">E101-F101</f>
        <v>-331700</v>
      </c>
      <c r="H101" s="27" t="n">
        <v>46050</v>
      </c>
      <c r="I101" s="38" t="s">
        <v>506</v>
      </c>
      <c r="J101" s="38" t="s">
        <v>515</v>
      </c>
      <c r="K101" s="38" t="s">
        <v>350</v>
      </c>
      <c r="L101" s="38" t="s">
        <v>516</v>
      </c>
      <c r="M101" s="38" t="s">
        <v>315</v>
      </c>
      <c r="N101" s="34" t="s">
        <v>352</v>
      </c>
      <c r="O101" s="26" t="s">
        <v>353</v>
      </c>
      <c r="P101" s="26" t="s">
        <v>353</v>
      </c>
    </row>
    <row r="102" customFormat="false" ht="15" hidden="false" customHeight="false" outlineLevel="0" collapsed="false">
      <c r="A102" s="38" t="n">
        <v>99</v>
      </c>
      <c r="B102" s="38" t="s">
        <v>93</v>
      </c>
      <c r="C102" s="38" t="s">
        <v>347</v>
      </c>
      <c r="D102" s="38" t="s">
        <v>505</v>
      </c>
      <c r="E102" s="39" t="n">
        <v>1531600</v>
      </c>
      <c r="F102" s="39" t="n">
        <v>0</v>
      </c>
      <c r="G102" s="33" t="n">
        <f aca="false">E102-F102</f>
        <v>1531600</v>
      </c>
      <c r="H102" s="27" t="n">
        <v>46052</v>
      </c>
      <c r="I102" s="38" t="s">
        <v>301</v>
      </c>
      <c r="J102" s="38" t="s">
        <v>395</v>
      </c>
      <c r="K102" s="38" t="s">
        <v>350</v>
      </c>
      <c r="L102" s="38" t="s">
        <v>396</v>
      </c>
      <c r="M102" s="38" t="s">
        <v>315</v>
      </c>
      <c r="N102" s="34" t="s">
        <v>352</v>
      </c>
      <c r="O102" s="26" t="s">
        <v>353</v>
      </c>
      <c r="P102" s="26" t="s">
        <v>353</v>
      </c>
    </row>
    <row r="103" customFormat="false" ht="15" hidden="false" customHeight="false" outlineLevel="0" collapsed="false">
      <c r="A103" s="38" t="n">
        <v>100</v>
      </c>
      <c r="B103" s="38" t="s">
        <v>93</v>
      </c>
      <c r="C103" s="38" t="s">
        <v>347</v>
      </c>
      <c r="D103" s="38" t="s">
        <v>505</v>
      </c>
      <c r="E103" s="39" t="n">
        <v>0</v>
      </c>
      <c r="F103" s="39" t="n">
        <v>216999.95</v>
      </c>
      <c r="G103" s="33" t="n">
        <f aca="false">E103-F103</f>
        <v>-216999.95</v>
      </c>
      <c r="H103" s="27" t="n">
        <v>46053</v>
      </c>
      <c r="I103" s="38" t="s">
        <v>506</v>
      </c>
      <c r="J103" s="38" t="s">
        <v>517</v>
      </c>
      <c r="K103" s="38" t="s">
        <v>350</v>
      </c>
      <c r="L103" s="38" t="s">
        <v>518</v>
      </c>
      <c r="M103" s="38" t="s">
        <v>315</v>
      </c>
      <c r="N103" s="34" t="s">
        <v>352</v>
      </c>
      <c r="O103" s="26" t="s">
        <v>353</v>
      </c>
      <c r="P103" s="26" t="s">
        <v>353</v>
      </c>
    </row>
    <row r="104" customFormat="false" ht="15" hidden="false" customHeight="false" outlineLevel="0" collapsed="false">
      <c r="A104" s="38" t="n">
        <v>101</v>
      </c>
      <c r="B104" s="38" t="s">
        <v>93</v>
      </c>
      <c r="C104" s="38" t="s">
        <v>347</v>
      </c>
      <c r="D104" s="38" t="s">
        <v>505</v>
      </c>
      <c r="E104" s="39" t="n">
        <v>0</v>
      </c>
      <c r="F104" s="39" t="n">
        <v>316100</v>
      </c>
      <c r="G104" s="33" t="n">
        <f aca="false">E104-F104</f>
        <v>-316100</v>
      </c>
      <c r="H104" s="27" t="n">
        <v>46069</v>
      </c>
      <c r="I104" s="38" t="s">
        <v>506</v>
      </c>
      <c r="J104" s="38" t="s">
        <v>519</v>
      </c>
      <c r="K104" s="38" t="s">
        <v>350</v>
      </c>
      <c r="L104" s="38" t="s">
        <v>520</v>
      </c>
      <c r="M104" s="38" t="s">
        <v>315</v>
      </c>
      <c r="N104" s="34" t="s">
        <v>352</v>
      </c>
      <c r="O104" s="26" t="s">
        <v>353</v>
      </c>
      <c r="P104" s="26" t="s">
        <v>353</v>
      </c>
    </row>
    <row r="105" customFormat="false" ht="15" hidden="false" customHeight="false" outlineLevel="0" collapsed="false">
      <c r="A105" s="38" t="n">
        <v>102</v>
      </c>
      <c r="B105" s="38" t="s">
        <v>93</v>
      </c>
      <c r="C105" s="38" t="s">
        <v>347</v>
      </c>
      <c r="D105" s="38" t="s">
        <v>505</v>
      </c>
      <c r="E105" s="39" t="n">
        <v>0</v>
      </c>
      <c r="F105" s="39" t="n">
        <v>434100</v>
      </c>
      <c r="G105" s="33" t="n">
        <f aca="false">E105-F105</f>
        <v>-434100</v>
      </c>
      <c r="H105" s="27" t="n">
        <v>46069</v>
      </c>
      <c r="I105" s="38" t="s">
        <v>506</v>
      </c>
      <c r="J105" s="38" t="s">
        <v>521</v>
      </c>
      <c r="K105" s="38" t="s">
        <v>350</v>
      </c>
      <c r="L105" s="38" t="s">
        <v>522</v>
      </c>
      <c r="M105" s="38" t="s">
        <v>315</v>
      </c>
      <c r="N105" s="34" t="s">
        <v>352</v>
      </c>
      <c r="O105" s="26" t="s">
        <v>353</v>
      </c>
      <c r="P105" s="26" t="s">
        <v>353</v>
      </c>
    </row>
    <row r="106" customFormat="false" ht="15" hidden="false" customHeight="false" outlineLevel="0" collapsed="false">
      <c r="A106" s="38" t="n">
        <v>103</v>
      </c>
      <c r="B106" s="38" t="s">
        <v>93</v>
      </c>
      <c r="C106" s="38" t="s">
        <v>347</v>
      </c>
      <c r="D106" s="38" t="s">
        <v>505</v>
      </c>
      <c r="E106" s="39" t="n">
        <v>0</v>
      </c>
      <c r="F106" s="39" t="n">
        <v>521200</v>
      </c>
      <c r="G106" s="33" t="n">
        <f aca="false">E106-F106</f>
        <v>-521200</v>
      </c>
      <c r="H106" s="27" t="n">
        <v>46070</v>
      </c>
      <c r="I106" s="38" t="s">
        <v>506</v>
      </c>
      <c r="J106" s="38" t="s">
        <v>523</v>
      </c>
      <c r="K106" s="38" t="s">
        <v>350</v>
      </c>
      <c r="L106" s="38" t="s">
        <v>524</v>
      </c>
      <c r="M106" s="38" t="s">
        <v>315</v>
      </c>
      <c r="N106" s="34" t="s">
        <v>352</v>
      </c>
      <c r="O106" s="26" t="s">
        <v>353</v>
      </c>
      <c r="P106" s="26" t="s">
        <v>353</v>
      </c>
    </row>
    <row r="107" customFormat="false" ht="15" hidden="false" customHeight="false" outlineLevel="0" collapsed="false">
      <c r="A107" s="38" t="n">
        <v>104</v>
      </c>
      <c r="B107" s="38" t="s">
        <v>93</v>
      </c>
      <c r="C107" s="38" t="s">
        <v>347</v>
      </c>
      <c r="D107" s="38" t="s">
        <v>505</v>
      </c>
      <c r="E107" s="39" t="n">
        <v>0</v>
      </c>
      <c r="F107" s="39" t="n">
        <v>227900</v>
      </c>
      <c r="G107" s="33" t="n">
        <f aca="false">E107-F107</f>
        <v>-227900</v>
      </c>
      <c r="H107" s="27" t="n">
        <v>46070</v>
      </c>
      <c r="I107" s="38" t="s">
        <v>506</v>
      </c>
      <c r="J107" s="38" t="s">
        <v>525</v>
      </c>
      <c r="K107" s="38" t="s">
        <v>350</v>
      </c>
      <c r="L107" s="38" t="s">
        <v>526</v>
      </c>
      <c r="M107" s="38" t="s">
        <v>315</v>
      </c>
      <c r="N107" s="34" t="s">
        <v>352</v>
      </c>
      <c r="O107" s="26" t="s">
        <v>353</v>
      </c>
      <c r="P107" s="26" t="s">
        <v>353</v>
      </c>
    </row>
    <row r="108" customFormat="false" ht="15" hidden="false" customHeight="false" outlineLevel="0" collapsed="false">
      <c r="A108" s="38" t="n">
        <v>105</v>
      </c>
      <c r="B108" s="38" t="s">
        <v>93</v>
      </c>
      <c r="C108" s="38" t="s">
        <v>347</v>
      </c>
      <c r="D108" s="38" t="s">
        <v>505</v>
      </c>
      <c r="E108" s="39" t="n">
        <v>594100</v>
      </c>
      <c r="F108" s="39" t="n">
        <v>0</v>
      </c>
      <c r="G108" s="33" t="n">
        <f aca="false">E108-F108</f>
        <v>594100</v>
      </c>
      <c r="H108" s="27" t="n">
        <v>46072</v>
      </c>
      <c r="I108" s="38" t="s">
        <v>301</v>
      </c>
      <c r="J108" s="38" t="s">
        <v>399</v>
      </c>
      <c r="K108" s="38" t="s">
        <v>350</v>
      </c>
      <c r="L108" s="38" t="s">
        <v>400</v>
      </c>
      <c r="M108" s="38" t="s">
        <v>315</v>
      </c>
      <c r="N108" s="34" t="s">
        <v>352</v>
      </c>
      <c r="O108" s="26" t="s">
        <v>353</v>
      </c>
      <c r="P108" s="26" t="s">
        <v>353</v>
      </c>
    </row>
    <row r="109" customFormat="false" ht="15" hidden="false" customHeight="false" outlineLevel="0" collapsed="false">
      <c r="A109" s="38" t="n">
        <v>106</v>
      </c>
      <c r="B109" s="38" t="s">
        <v>93</v>
      </c>
      <c r="C109" s="38" t="s">
        <v>347</v>
      </c>
      <c r="D109" s="38" t="s">
        <v>505</v>
      </c>
      <c r="E109" s="39" t="n">
        <v>0</v>
      </c>
      <c r="F109" s="39" t="n">
        <v>285700</v>
      </c>
      <c r="G109" s="33" t="n">
        <f aca="false">E109-F109</f>
        <v>-285700</v>
      </c>
      <c r="H109" s="27" t="n">
        <v>46081</v>
      </c>
      <c r="I109" s="38" t="s">
        <v>506</v>
      </c>
      <c r="J109" s="38" t="s">
        <v>527</v>
      </c>
      <c r="K109" s="38" t="s">
        <v>350</v>
      </c>
      <c r="L109" s="38" t="s">
        <v>528</v>
      </c>
      <c r="M109" s="38" t="s">
        <v>315</v>
      </c>
      <c r="N109" s="34" t="s">
        <v>352</v>
      </c>
      <c r="O109" s="26" t="s">
        <v>353</v>
      </c>
      <c r="P109" s="26" t="s">
        <v>353</v>
      </c>
    </row>
    <row r="110" customFormat="false" ht="15" hidden="false" customHeight="false" outlineLevel="0" collapsed="false">
      <c r="A110" s="38" t="n">
        <v>107</v>
      </c>
      <c r="B110" s="38" t="s">
        <v>93</v>
      </c>
      <c r="C110" s="38" t="s">
        <v>347</v>
      </c>
      <c r="D110" s="38" t="s">
        <v>505</v>
      </c>
      <c r="E110" s="39" t="n">
        <v>0</v>
      </c>
      <c r="F110" s="39" t="n">
        <v>331700</v>
      </c>
      <c r="G110" s="33" t="n">
        <f aca="false">E110-F110</f>
        <v>-331700</v>
      </c>
      <c r="H110" s="27" t="n">
        <v>46081</v>
      </c>
      <c r="I110" s="38" t="s">
        <v>506</v>
      </c>
      <c r="J110" s="38" t="s">
        <v>529</v>
      </c>
      <c r="K110" s="38" t="s">
        <v>350</v>
      </c>
      <c r="L110" s="38" t="s">
        <v>530</v>
      </c>
      <c r="M110" s="38" t="s">
        <v>315</v>
      </c>
      <c r="N110" s="34" t="s">
        <v>352</v>
      </c>
      <c r="O110" s="26" t="s">
        <v>353</v>
      </c>
      <c r="P110" s="26" t="s">
        <v>353</v>
      </c>
    </row>
    <row r="111" customFormat="false" ht="15" hidden="false" customHeight="false" outlineLevel="0" collapsed="false">
      <c r="A111" s="38" t="n">
        <v>108</v>
      </c>
      <c r="B111" s="38" t="s">
        <v>93</v>
      </c>
      <c r="C111" s="38" t="s">
        <v>347</v>
      </c>
      <c r="D111" s="38" t="s">
        <v>505</v>
      </c>
      <c r="E111" s="39" t="n">
        <v>0</v>
      </c>
      <c r="F111" s="39" t="n">
        <v>316100</v>
      </c>
      <c r="G111" s="33" t="n">
        <f aca="false">E111-F111</f>
        <v>-316100</v>
      </c>
      <c r="H111" s="27" t="n">
        <v>46098</v>
      </c>
      <c r="I111" s="38" t="s">
        <v>506</v>
      </c>
      <c r="J111" s="38" t="s">
        <v>531</v>
      </c>
      <c r="K111" s="38" t="s">
        <v>350</v>
      </c>
      <c r="L111" s="38" t="s">
        <v>532</v>
      </c>
      <c r="M111" s="38" t="s">
        <v>315</v>
      </c>
      <c r="N111" s="34" t="s">
        <v>352</v>
      </c>
      <c r="O111" s="26" t="s">
        <v>353</v>
      </c>
      <c r="P111" s="26" t="s">
        <v>353</v>
      </c>
    </row>
    <row r="112" customFormat="false" ht="15" hidden="false" customHeight="false" outlineLevel="0" collapsed="false">
      <c r="A112" s="38" t="n">
        <v>109</v>
      </c>
      <c r="B112" s="38" t="s">
        <v>93</v>
      </c>
      <c r="C112" s="38" t="s">
        <v>347</v>
      </c>
      <c r="D112" s="38" t="s">
        <v>505</v>
      </c>
      <c r="E112" s="39" t="n">
        <v>0</v>
      </c>
      <c r="F112" s="39" t="n">
        <v>434100</v>
      </c>
      <c r="G112" s="33" t="n">
        <f aca="false">E112-F112</f>
        <v>-434100</v>
      </c>
      <c r="H112" s="27" t="n">
        <v>46098</v>
      </c>
      <c r="I112" s="38" t="s">
        <v>506</v>
      </c>
      <c r="J112" s="38" t="s">
        <v>533</v>
      </c>
      <c r="K112" s="38" t="s">
        <v>350</v>
      </c>
      <c r="L112" s="38" t="s">
        <v>534</v>
      </c>
      <c r="M112" s="38" t="s">
        <v>315</v>
      </c>
      <c r="N112" s="34" t="s">
        <v>352</v>
      </c>
      <c r="O112" s="26" t="s">
        <v>353</v>
      </c>
      <c r="P112" s="26" t="s">
        <v>353</v>
      </c>
    </row>
    <row r="113" customFormat="false" ht="15" hidden="false" customHeight="false" outlineLevel="0" collapsed="false">
      <c r="A113" s="38" t="n">
        <v>110</v>
      </c>
      <c r="B113" s="38" t="s">
        <v>93</v>
      </c>
      <c r="C113" s="38" t="s">
        <v>347</v>
      </c>
      <c r="D113" s="38" t="s">
        <v>505</v>
      </c>
      <c r="E113" s="39" t="n">
        <v>0</v>
      </c>
      <c r="F113" s="39" t="n">
        <v>521200</v>
      </c>
      <c r="G113" s="33" t="n">
        <f aca="false">E113-F113</f>
        <v>-521200</v>
      </c>
      <c r="H113" s="27" t="n">
        <v>46107</v>
      </c>
      <c r="I113" s="38" t="s">
        <v>506</v>
      </c>
      <c r="J113" s="38" t="s">
        <v>535</v>
      </c>
      <c r="K113" s="38" t="s">
        <v>350</v>
      </c>
      <c r="L113" s="38" t="s">
        <v>536</v>
      </c>
      <c r="M113" s="38" t="s">
        <v>315</v>
      </c>
      <c r="N113" s="34" t="s">
        <v>352</v>
      </c>
      <c r="O113" s="26" t="s">
        <v>353</v>
      </c>
      <c r="P113" s="26" t="s">
        <v>353</v>
      </c>
    </row>
    <row r="114" customFormat="false" ht="15" hidden="false" customHeight="false" outlineLevel="0" collapsed="false">
      <c r="A114" s="38" t="n">
        <v>111</v>
      </c>
      <c r="B114" s="38" t="s">
        <v>93</v>
      </c>
      <c r="C114" s="38" t="s">
        <v>347</v>
      </c>
      <c r="D114" s="38" t="s">
        <v>505</v>
      </c>
      <c r="E114" s="39" t="n">
        <v>0</v>
      </c>
      <c r="F114" s="39" t="n">
        <v>227900</v>
      </c>
      <c r="G114" s="33" t="n">
        <f aca="false">E114-F114</f>
        <v>-227900</v>
      </c>
      <c r="H114" s="27" t="n">
        <v>46111</v>
      </c>
      <c r="I114" s="38" t="s">
        <v>506</v>
      </c>
      <c r="J114" s="38" t="s">
        <v>537</v>
      </c>
      <c r="K114" s="38" t="s">
        <v>350</v>
      </c>
      <c r="L114" s="38" t="s">
        <v>538</v>
      </c>
      <c r="M114" s="38" t="s">
        <v>315</v>
      </c>
      <c r="N114" s="34" t="s">
        <v>352</v>
      </c>
      <c r="O114" s="26" t="s">
        <v>353</v>
      </c>
      <c r="P114" s="26" t="s">
        <v>353</v>
      </c>
    </row>
    <row r="115" customFormat="false" ht="15" hidden="false" customHeight="false" outlineLevel="0" collapsed="false">
      <c r="A115" s="38" t="n">
        <v>112</v>
      </c>
      <c r="B115" s="38" t="s">
        <v>93</v>
      </c>
      <c r="C115" s="38" t="s">
        <v>347</v>
      </c>
      <c r="D115" s="38" t="s">
        <v>505</v>
      </c>
      <c r="E115" s="39" t="n">
        <v>0</v>
      </c>
      <c r="F115" s="39" t="n">
        <v>285700</v>
      </c>
      <c r="G115" s="33" t="n">
        <f aca="false">E115-F115</f>
        <v>-285700</v>
      </c>
      <c r="H115" s="27" t="n">
        <v>46112</v>
      </c>
      <c r="I115" s="38" t="s">
        <v>506</v>
      </c>
      <c r="J115" s="38" t="s">
        <v>539</v>
      </c>
      <c r="K115" s="38" t="s">
        <v>350</v>
      </c>
      <c r="L115" s="38" t="s">
        <v>540</v>
      </c>
      <c r="M115" s="38" t="s">
        <v>315</v>
      </c>
      <c r="N115" s="34" t="s">
        <v>352</v>
      </c>
      <c r="O115" s="26" t="s">
        <v>353</v>
      </c>
      <c r="P115" s="26" t="s">
        <v>353</v>
      </c>
    </row>
    <row r="116" customFormat="false" ht="15" hidden="false" customHeight="false" outlineLevel="0" collapsed="false">
      <c r="A116" s="38" t="n">
        <v>113</v>
      </c>
      <c r="B116" s="38" t="s">
        <v>93</v>
      </c>
      <c r="C116" s="38" t="s">
        <v>347</v>
      </c>
      <c r="D116" s="38" t="s">
        <v>505</v>
      </c>
      <c r="E116" s="39" t="n">
        <v>0</v>
      </c>
      <c r="F116" s="39" t="n">
        <v>331700</v>
      </c>
      <c r="G116" s="33" t="n">
        <f aca="false">E116-F116</f>
        <v>-331700</v>
      </c>
      <c r="H116" s="27" t="n">
        <v>46112</v>
      </c>
      <c r="I116" s="38" t="s">
        <v>506</v>
      </c>
      <c r="J116" s="38" t="s">
        <v>541</v>
      </c>
      <c r="K116" s="38" t="s">
        <v>350</v>
      </c>
      <c r="L116" s="38" t="s">
        <v>542</v>
      </c>
      <c r="M116" s="38" t="s">
        <v>315</v>
      </c>
      <c r="N116" s="34" t="s">
        <v>352</v>
      </c>
      <c r="O116" s="26" t="s">
        <v>353</v>
      </c>
      <c r="P116" s="26" t="s">
        <v>353</v>
      </c>
    </row>
    <row r="117" customFormat="false" ht="15" hidden="false" customHeight="false" outlineLevel="0" collapsed="false">
      <c r="A117" s="38" t="n">
        <v>114</v>
      </c>
      <c r="B117" s="38" t="s">
        <v>93</v>
      </c>
      <c r="C117" s="38" t="s">
        <v>347</v>
      </c>
      <c r="D117" s="38" t="s">
        <v>505</v>
      </c>
      <c r="E117" s="39" t="n">
        <v>2878399.95</v>
      </c>
      <c r="F117" s="39" t="n">
        <v>0</v>
      </c>
      <c r="G117" s="33" t="n">
        <f aca="false">E117-F117</f>
        <v>2878399.95</v>
      </c>
      <c r="H117" s="27" t="n">
        <v>46129</v>
      </c>
      <c r="I117" s="38" t="s">
        <v>301</v>
      </c>
      <c r="J117" s="38" t="s">
        <v>405</v>
      </c>
      <c r="K117" s="38" t="s">
        <v>350</v>
      </c>
      <c r="L117" s="38" t="s">
        <v>406</v>
      </c>
      <c r="M117" s="38" t="s">
        <v>315</v>
      </c>
      <c r="N117" s="34" t="s">
        <v>352</v>
      </c>
      <c r="O117" s="26" t="s">
        <v>353</v>
      </c>
      <c r="P117" s="26" t="s">
        <v>353</v>
      </c>
    </row>
    <row r="118" customFormat="false" ht="15" hidden="false" customHeight="false" outlineLevel="0" collapsed="false">
      <c r="A118" s="38" t="n">
        <v>115</v>
      </c>
      <c r="B118" s="38" t="s">
        <v>93</v>
      </c>
      <c r="C118" s="38" t="s">
        <v>347</v>
      </c>
      <c r="D118" s="38" t="s">
        <v>505</v>
      </c>
      <c r="E118" s="39" t="n">
        <v>0</v>
      </c>
      <c r="F118" s="39" t="n">
        <v>434100</v>
      </c>
      <c r="G118" s="33" t="n">
        <f aca="false">E118-F118</f>
        <v>-434100</v>
      </c>
      <c r="H118" s="27" t="n">
        <v>46132</v>
      </c>
      <c r="I118" s="38" t="s">
        <v>506</v>
      </c>
      <c r="J118" s="38" t="s">
        <v>543</v>
      </c>
      <c r="K118" s="38" t="s">
        <v>350</v>
      </c>
      <c r="L118" s="38" t="s">
        <v>544</v>
      </c>
      <c r="M118" s="38" t="s">
        <v>315</v>
      </c>
      <c r="N118" s="34" t="s">
        <v>352</v>
      </c>
      <c r="O118" s="26" t="s">
        <v>353</v>
      </c>
      <c r="P118" s="26" t="s">
        <v>353</v>
      </c>
    </row>
    <row r="119" customFormat="false" ht="15" hidden="false" customHeight="false" outlineLevel="0" collapsed="false">
      <c r="A119" s="38" t="n">
        <v>116</v>
      </c>
      <c r="B119" s="38" t="s">
        <v>93</v>
      </c>
      <c r="C119" s="38" t="s">
        <v>347</v>
      </c>
      <c r="D119" s="38" t="s">
        <v>505</v>
      </c>
      <c r="E119" s="39" t="n">
        <v>0</v>
      </c>
      <c r="F119" s="39" t="n">
        <v>521200</v>
      </c>
      <c r="G119" s="33" t="n">
        <f aca="false">E119-F119</f>
        <v>-521200</v>
      </c>
      <c r="H119" s="27" t="n">
        <v>46133</v>
      </c>
      <c r="I119" s="38" t="s">
        <v>506</v>
      </c>
      <c r="J119" s="38" t="s">
        <v>545</v>
      </c>
      <c r="K119" s="38" t="s">
        <v>350</v>
      </c>
      <c r="L119" s="38" t="s">
        <v>546</v>
      </c>
      <c r="M119" s="38" t="s">
        <v>315</v>
      </c>
      <c r="N119" s="34" t="s">
        <v>352</v>
      </c>
      <c r="O119" s="26" t="s">
        <v>353</v>
      </c>
      <c r="P119" s="26" t="s">
        <v>353</v>
      </c>
    </row>
    <row r="120" customFormat="false" ht="15" hidden="false" customHeight="false" outlineLevel="0" collapsed="false">
      <c r="A120" s="38" t="n">
        <v>117</v>
      </c>
      <c r="B120" s="38" t="s">
        <v>93</v>
      </c>
      <c r="C120" s="38" t="s">
        <v>347</v>
      </c>
      <c r="D120" s="38" t="s">
        <v>505</v>
      </c>
      <c r="E120" s="39" t="n">
        <v>0</v>
      </c>
      <c r="F120" s="39" t="n">
        <v>316100</v>
      </c>
      <c r="G120" s="33" t="n">
        <f aca="false">E120-F120</f>
        <v>-316100</v>
      </c>
      <c r="H120" s="27" t="n">
        <v>46133</v>
      </c>
      <c r="I120" s="38" t="s">
        <v>506</v>
      </c>
      <c r="J120" s="38" t="s">
        <v>547</v>
      </c>
      <c r="K120" s="38" t="s">
        <v>350</v>
      </c>
      <c r="L120" s="38" t="s">
        <v>548</v>
      </c>
      <c r="M120" s="38" t="s">
        <v>315</v>
      </c>
      <c r="N120" s="34" t="s">
        <v>352</v>
      </c>
      <c r="O120" s="26" t="s">
        <v>353</v>
      </c>
      <c r="P120" s="26" t="s">
        <v>353</v>
      </c>
    </row>
    <row r="121" customFormat="false" ht="15" hidden="false" customHeight="false" outlineLevel="0" collapsed="false">
      <c r="A121" s="38" t="n">
        <v>118</v>
      </c>
      <c r="B121" s="38" t="s">
        <v>93</v>
      </c>
      <c r="C121" s="38" t="s">
        <v>347</v>
      </c>
      <c r="D121" s="38" t="s">
        <v>505</v>
      </c>
      <c r="E121" s="39" t="n">
        <v>0</v>
      </c>
      <c r="F121" s="39" t="n">
        <v>227900</v>
      </c>
      <c r="G121" s="33" t="n">
        <f aca="false">E121-F121</f>
        <v>-227900</v>
      </c>
      <c r="H121" s="27" t="n">
        <v>46133</v>
      </c>
      <c r="I121" s="38" t="s">
        <v>506</v>
      </c>
      <c r="J121" s="38" t="s">
        <v>549</v>
      </c>
      <c r="K121" s="38" t="s">
        <v>350</v>
      </c>
      <c r="L121" s="38" t="s">
        <v>550</v>
      </c>
      <c r="M121" s="38" t="s">
        <v>315</v>
      </c>
      <c r="N121" s="34" t="s">
        <v>352</v>
      </c>
      <c r="O121" s="26" t="s">
        <v>353</v>
      </c>
      <c r="P121" s="26" t="s">
        <v>353</v>
      </c>
    </row>
    <row r="122" customFormat="false" ht="15" hidden="false" customHeight="false" outlineLevel="0" collapsed="false">
      <c r="A122" s="38" t="n">
        <v>119</v>
      </c>
      <c r="B122" s="38" t="s">
        <v>93</v>
      </c>
      <c r="C122" s="38" t="s">
        <v>347</v>
      </c>
      <c r="D122" s="38" t="s">
        <v>505</v>
      </c>
      <c r="E122" s="39" t="n">
        <v>2116700</v>
      </c>
      <c r="F122" s="39" t="n">
        <v>0</v>
      </c>
      <c r="G122" s="33" t="n">
        <f aca="false">E122-F122</f>
        <v>2116700</v>
      </c>
      <c r="H122" s="27" t="n">
        <v>46135</v>
      </c>
      <c r="I122" s="38" t="s">
        <v>301</v>
      </c>
      <c r="J122" s="38" t="s">
        <v>407</v>
      </c>
      <c r="K122" s="38" t="s">
        <v>350</v>
      </c>
      <c r="L122" s="38" t="s">
        <v>408</v>
      </c>
      <c r="M122" s="38" t="s">
        <v>315</v>
      </c>
      <c r="N122" s="34" t="s">
        <v>352</v>
      </c>
      <c r="O122" s="26" t="s">
        <v>353</v>
      </c>
      <c r="P122" s="26" t="s">
        <v>353</v>
      </c>
    </row>
    <row r="123" customFormat="false" ht="15" hidden="false" customHeight="false" outlineLevel="0" collapsed="false">
      <c r="A123" s="38" t="n">
        <v>120</v>
      </c>
      <c r="B123" s="38" t="s">
        <v>93</v>
      </c>
      <c r="C123" s="38" t="s">
        <v>347</v>
      </c>
      <c r="D123" s="38" t="s">
        <v>505</v>
      </c>
      <c r="E123" s="39" t="n">
        <v>0</v>
      </c>
      <c r="F123" s="39" t="n">
        <v>331700</v>
      </c>
      <c r="G123" s="33" t="n">
        <f aca="false">E123-F123</f>
        <v>-331700</v>
      </c>
      <c r="H123" s="27" t="n">
        <v>46142</v>
      </c>
      <c r="I123" s="38" t="s">
        <v>506</v>
      </c>
      <c r="J123" s="38" t="s">
        <v>551</v>
      </c>
      <c r="K123" s="38" t="s">
        <v>350</v>
      </c>
      <c r="L123" s="38" t="s">
        <v>552</v>
      </c>
      <c r="M123" s="38" t="s">
        <v>315</v>
      </c>
      <c r="N123" s="34" t="s">
        <v>352</v>
      </c>
      <c r="O123" s="26" t="s">
        <v>353</v>
      </c>
      <c r="P123" s="26" t="s">
        <v>353</v>
      </c>
    </row>
    <row r="124" customFormat="false" ht="15" hidden="false" customHeight="false" outlineLevel="0" collapsed="false">
      <c r="A124" s="38" t="n">
        <v>121</v>
      </c>
      <c r="B124" s="38" t="s">
        <v>93</v>
      </c>
      <c r="C124" s="38" t="s">
        <v>347</v>
      </c>
      <c r="D124" s="38" t="s">
        <v>505</v>
      </c>
      <c r="E124" s="39" t="n">
        <v>0</v>
      </c>
      <c r="F124" s="39" t="n">
        <v>285700</v>
      </c>
      <c r="G124" s="33" t="n">
        <f aca="false">E124-F124</f>
        <v>-285700</v>
      </c>
      <c r="H124" s="27" t="n">
        <v>46142</v>
      </c>
      <c r="I124" s="38" t="s">
        <v>506</v>
      </c>
      <c r="J124" s="38" t="s">
        <v>553</v>
      </c>
      <c r="K124" s="38" t="s">
        <v>350</v>
      </c>
      <c r="L124" s="38" t="s">
        <v>554</v>
      </c>
      <c r="M124" s="38" t="s">
        <v>315</v>
      </c>
      <c r="N124" s="34" t="s">
        <v>352</v>
      </c>
      <c r="O124" s="26" t="s">
        <v>353</v>
      </c>
      <c r="P124" s="26" t="s">
        <v>353</v>
      </c>
    </row>
    <row r="125" customFormat="false" ht="15" hidden="false" customHeight="false" outlineLevel="0" collapsed="false">
      <c r="A125" s="38" t="n">
        <v>122</v>
      </c>
      <c r="B125" s="38" t="s">
        <v>93</v>
      </c>
      <c r="C125" s="38" t="s">
        <v>347</v>
      </c>
      <c r="D125" s="38" t="s">
        <v>505</v>
      </c>
      <c r="E125" s="39" t="n">
        <v>0</v>
      </c>
      <c r="F125" s="39" t="n">
        <v>316100</v>
      </c>
      <c r="G125" s="33" t="n">
        <f aca="false">E125-F125</f>
        <v>-316100</v>
      </c>
      <c r="H125" s="27" t="n">
        <v>46157</v>
      </c>
      <c r="I125" s="38" t="s">
        <v>506</v>
      </c>
      <c r="J125" s="38" t="s">
        <v>555</v>
      </c>
      <c r="K125" s="38" t="s">
        <v>350</v>
      </c>
      <c r="L125" s="38" t="s">
        <v>556</v>
      </c>
      <c r="M125" s="38" t="s">
        <v>315</v>
      </c>
      <c r="N125" s="34" t="s">
        <v>352</v>
      </c>
      <c r="O125" s="26" t="s">
        <v>353</v>
      </c>
      <c r="P125" s="26" t="s">
        <v>353</v>
      </c>
    </row>
    <row r="126" customFormat="false" ht="15" hidden="false" customHeight="false" outlineLevel="0" collapsed="false">
      <c r="A126" s="38" t="n">
        <v>123</v>
      </c>
      <c r="B126" s="38" t="s">
        <v>93</v>
      </c>
      <c r="C126" s="38" t="s">
        <v>347</v>
      </c>
      <c r="D126" s="38" t="s">
        <v>505</v>
      </c>
      <c r="E126" s="39" t="n">
        <v>0</v>
      </c>
      <c r="F126" s="39" t="n">
        <v>434100</v>
      </c>
      <c r="G126" s="33" t="n">
        <f aca="false">E126-F126</f>
        <v>-434100</v>
      </c>
      <c r="H126" s="27" t="n">
        <v>46157</v>
      </c>
      <c r="I126" s="38" t="s">
        <v>506</v>
      </c>
      <c r="J126" s="38" t="s">
        <v>557</v>
      </c>
      <c r="K126" s="38" t="s">
        <v>350</v>
      </c>
      <c r="L126" s="38" t="s">
        <v>558</v>
      </c>
      <c r="M126" s="38" t="s">
        <v>315</v>
      </c>
      <c r="N126" s="34" t="s">
        <v>352</v>
      </c>
      <c r="O126" s="26" t="s">
        <v>353</v>
      </c>
      <c r="P126" s="26" t="s">
        <v>353</v>
      </c>
    </row>
    <row r="127" customFormat="false" ht="15" hidden="false" customHeight="false" outlineLevel="0" collapsed="false">
      <c r="A127" s="38" t="n">
        <v>124</v>
      </c>
      <c r="B127" s="38" t="s">
        <v>93</v>
      </c>
      <c r="C127" s="38" t="s">
        <v>347</v>
      </c>
      <c r="D127" s="38" t="s">
        <v>505</v>
      </c>
      <c r="E127" s="39" t="n">
        <v>2116700</v>
      </c>
      <c r="F127" s="39" t="n">
        <v>0</v>
      </c>
      <c r="G127" s="33" t="n">
        <f aca="false">E127-F127</f>
        <v>2116700</v>
      </c>
      <c r="H127" s="27" t="n">
        <v>46163</v>
      </c>
      <c r="I127" s="38" t="s">
        <v>301</v>
      </c>
      <c r="J127" s="38" t="s">
        <v>411</v>
      </c>
      <c r="K127" s="38" t="s">
        <v>350</v>
      </c>
      <c r="L127" s="38" t="s">
        <v>412</v>
      </c>
      <c r="M127" s="38" t="s">
        <v>315</v>
      </c>
      <c r="N127" s="34" t="s">
        <v>352</v>
      </c>
      <c r="O127" s="26" t="s">
        <v>353</v>
      </c>
      <c r="P127" s="26" t="s">
        <v>353</v>
      </c>
    </row>
    <row r="128" customFormat="false" ht="15" hidden="false" customHeight="false" outlineLevel="0" collapsed="false">
      <c r="A128" s="38" t="n">
        <v>125</v>
      </c>
      <c r="B128" s="38" t="s">
        <v>93</v>
      </c>
      <c r="C128" s="38" t="s">
        <v>347</v>
      </c>
      <c r="D128" s="38" t="s">
        <v>505</v>
      </c>
      <c r="E128" s="39" t="n">
        <v>0</v>
      </c>
      <c r="F128" s="39" t="n">
        <v>227900</v>
      </c>
      <c r="G128" s="33" t="n">
        <f aca="false">E128-F128</f>
        <v>-227900</v>
      </c>
      <c r="H128" s="27" t="n">
        <v>46172</v>
      </c>
      <c r="I128" s="38" t="s">
        <v>506</v>
      </c>
      <c r="J128" s="38" t="s">
        <v>559</v>
      </c>
      <c r="K128" s="38" t="s">
        <v>350</v>
      </c>
      <c r="L128" s="38" t="s">
        <v>560</v>
      </c>
      <c r="M128" s="38" t="s">
        <v>315</v>
      </c>
      <c r="N128" s="34" t="s">
        <v>352</v>
      </c>
      <c r="O128" s="26" t="s">
        <v>353</v>
      </c>
      <c r="P128" s="26" t="s">
        <v>353</v>
      </c>
    </row>
    <row r="129" customFormat="false" ht="15" hidden="false" customHeight="false" outlineLevel="0" collapsed="false">
      <c r="A129" s="38" t="n">
        <v>126</v>
      </c>
      <c r="B129" s="38" t="s">
        <v>93</v>
      </c>
      <c r="C129" s="38" t="s">
        <v>347</v>
      </c>
      <c r="D129" s="38" t="s">
        <v>505</v>
      </c>
      <c r="E129" s="39" t="n">
        <v>0</v>
      </c>
      <c r="F129" s="39" t="n">
        <v>521200</v>
      </c>
      <c r="G129" s="33" t="n">
        <f aca="false">E129-F129</f>
        <v>-521200</v>
      </c>
      <c r="H129" s="27" t="n">
        <v>46172</v>
      </c>
      <c r="I129" s="38" t="s">
        <v>506</v>
      </c>
      <c r="J129" s="38" t="s">
        <v>561</v>
      </c>
      <c r="K129" s="38" t="s">
        <v>350</v>
      </c>
      <c r="L129" s="38" t="s">
        <v>562</v>
      </c>
      <c r="M129" s="38" t="s">
        <v>315</v>
      </c>
      <c r="N129" s="34" t="s">
        <v>352</v>
      </c>
      <c r="O129" s="26" t="s">
        <v>353</v>
      </c>
      <c r="P129" s="26" t="s">
        <v>353</v>
      </c>
    </row>
    <row r="130" customFormat="false" ht="15" hidden="false" customHeight="false" outlineLevel="0" collapsed="false">
      <c r="A130" s="38" t="n">
        <v>127</v>
      </c>
      <c r="B130" s="38" t="s">
        <v>93</v>
      </c>
      <c r="C130" s="38" t="s">
        <v>347</v>
      </c>
      <c r="D130" s="38" t="s">
        <v>505</v>
      </c>
      <c r="E130" s="39" t="n">
        <v>0</v>
      </c>
      <c r="F130" s="39" t="n">
        <v>285700</v>
      </c>
      <c r="G130" s="33" t="n">
        <f aca="false">E130-F130</f>
        <v>-285700</v>
      </c>
      <c r="H130" s="27" t="n">
        <v>46173</v>
      </c>
      <c r="I130" s="38" t="s">
        <v>506</v>
      </c>
      <c r="J130" s="38" t="s">
        <v>563</v>
      </c>
      <c r="K130" s="38" t="s">
        <v>350</v>
      </c>
      <c r="L130" s="38" t="s">
        <v>564</v>
      </c>
      <c r="M130" s="38" t="s">
        <v>315</v>
      </c>
      <c r="N130" s="34" t="s">
        <v>352</v>
      </c>
      <c r="O130" s="26" t="s">
        <v>353</v>
      </c>
      <c r="P130" s="26" t="s">
        <v>353</v>
      </c>
    </row>
    <row r="131" customFormat="false" ht="15" hidden="false" customHeight="false" outlineLevel="0" collapsed="false">
      <c r="A131" s="38" t="n">
        <v>128</v>
      </c>
      <c r="B131" s="38" t="s">
        <v>93</v>
      </c>
      <c r="C131" s="38" t="s">
        <v>347</v>
      </c>
      <c r="D131" s="38" t="s">
        <v>505</v>
      </c>
      <c r="E131" s="39" t="n">
        <v>0</v>
      </c>
      <c r="F131" s="39" t="n">
        <v>331700</v>
      </c>
      <c r="G131" s="33" t="n">
        <f aca="false">E131-F131</f>
        <v>-331700</v>
      </c>
      <c r="H131" s="27" t="n">
        <v>46173</v>
      </c>
      <c r="I131" s="38" t="s">
        <v>506</v>
      </c>
      <c r="J131" s="38" t="s">
        <v>565</v>
      </c>
      <c r="K131" s="38" t="s">
        <v>350</v>
      </c>
      <c r="L131" s="38" t="s">
        <v>566</v>
      </c>
      <c r="M131" s="38" t="s">
        <v>315</v>
      </c>
      <c r="N131" s="34" t="s">
        <v>352</v>
      </c>
      <c r="O131" s="26" t="s">
        <v>353</v>
      </c>
      <c r="P131" s="26" t="s">
        <v>353</v>
      </c>
    </row>
    <row r="132" customFormat="false" ht="15" hidden="false" customHeight="false" outlineLevel="0" collapsed="false">
      <c r="A132" s="38" t="n">
        <v>129</v>
      </c>
      <c r="B132" s="38" t="s">
        <v>93</v>
      </c>
      <c r="C132" s="38" t="s">
        <v>347</v>
      </c>
      <c r="D132" s="38" t="s">
        <v>505</v>
      </c>
      <c r="E132" s="39" t="n">
        <v>0</v>
      </c>
      <c r="F132" s="39" t="n">
        <v>316100</v>
      </c>
      <c r="G132" s="33" t="n">
        <f aca="false">E132-F132</f>
        <v>-316100</v>
      </c>
      <c r="H132" s="27" t="n">
        <v>46191</v>
      </c>
      <c r="I132" s="38" t="s">
        <v>506</v>
      </c>
      <c r="J132" s="38" t="s">
        <v>567</v>
      </c>
      <c r="K132" s="38" t="s">
        <v>350</v>
      </c>
      <c r="L132" s="38" t="s">
        <v>568</v>
      </c>
      <c r="M132" s="38" t="s">
        <v>315</v>
      </c>
      <c r="N132" s="34" t="s">
        <v>352</v>
      </c>
      <c r="O132" s="26" t="s">
        <v>353</v>
      </c>
      <c r="P132" s="26" t="s">
        <v>353</v>
      </c>
    </row>
    <row r="133" customFormat="false" ht="15" hidden="false" customHeight="false" outlineLevel="0" collapsed="false">
      <c r="A133" s="38" t="n">
        <v>130</v>
      </c>
      <c r="B133" s="38" t="s">
        <v>93</v>
      </c>
      <c r="C133" s="38" t="s">
        <v>347</v>
      </c>
      <c r="D133" s="38" t="s">
        <v>505</v>
      </c>
      <c r="E133" s="39" t="n">
        <v>0</v>
      </c>
      <c r="F133" s="39" t="n">
        <v>521200</v>
      </c>
      <c r="G133" s="33" t="n">
        <f aca="false">E133-F133</f>
        <v>-521200</v>
      </c>
      <c r="H133" s="27" t="n">
        <v>46191</v>
      </c>
      <c r="I133" s="38" t="s">
        <v>506</v>
      </c>
      <c r="J133" s="38" t="s">
        <v>569</v>
      </c>
      <c r="K133" s="38" t="s">
        <v>350</v>
      </c>
      <c r="L133" s="38" t="s">
        <v>570</v>
      </c>
      <c r="M133" s="38" t="s">
        <v>315</v>
      </c>
      <c r="N133" s="34" t="s">
        <v>352</v>
      </c>
      <c r="O133" s="26" t="s">
        <v>353</v>
      </c>
      <c r="P133" s="26" t="s">
        <v>353</v>
      </c>
    </row>
    <row r="134" customFormat="false" ht="15" hidden="false" customHeight="false" outlineLevel="0" collapsed="false">
      <c r="A134" s="38" t="n">
        <v>131</v>
      </c>
      <c r="B134" s="38" t="s">
        <v>93</v>
      </c>
      <c r="C134" s="38" t="s">
        <v>347</v>
      </c>
      <c r="D134" s="38" t="s">
        <v>505</v>
      </c>
      <c r="E134" s="39" t="n">
        <v>0</v>
      </c>
      <c r="F134" s="39" t="n">
        <v>434100</v>
      </c>
      <c r="G134" s="33" t="n">
        <f aca="false">E134-F134</f>
        <v>-434100</v>
      </c>
      <c r="H134" s="27" t="n">
        <v>46191</v>
      </c>
      <c r="I134" s="38" t="s">
        <v>506</v>
      </c>
      <c r="J134" s="38" t="s">
        <v>571</v>
      </c>
      <c r="K134" s="38" t="s">
        <v>350</v>
      </c>
      <c r="L134" s="38" t="s">
        <v>572</v>
      </c>
      <c r="M134" s="38" t="s">
        <v>315</v>
      </c>
      <c r="N134" s="34" t="s">
        <v>352</v>
      </c>
      <c r="O134" s="26" t="s">
        <v>353</v>
      </c>
      <c r="P134" s="26" t="s">
        <v>353</v>
      </c>
    </row>
    <row r="135" customFormat="false" ht="15" hidden="false" customHeight="false" outlineLevel="0" collapsed="false">
      <c r="A135" s="38" t="n">
        <v>132</v>
      </c>
      <c r="B135" s="38" t="s">
        <v>93</v>
      </c>
      <c r="C135" s="38" t="s">
        <v>347</v>
      </c>
      <c r="D135" s="38" t="s">
        <v>505</v>
      </c>
      <c r="E135" s="39" t="n">
        <v>0</v>
      </c>
      <c r="F135" s="39" t="n">
        <v>227900</v>
      </c>
      <c r="G135" s="33" t="n">
        <f aca="false">E135-F135</f>
        <v>-227900</v>
      </c>
      <c r="H135" s="27" t="n">
        <v>46191</v>
      </c>
      <c r="I135" s="38" t="s">
        <v>506</v>
      </c>
      <c r="J135" s="38" t="s">
        <v>573</v>
      </c>
      <c r="K135" s="38" t="s">
        <v>350</v>
      </c>
      <c r="L135" s="38" t="s">
        <v>574</v>
      </c>
      <c r="M135" s="38" t="s">
        <v>315</v>
      </c>
      <c r="N135" s="34" t="s">
        <v>352</v>
      </c>
      <c r="O135" s="26" t="s">
        <v>353</v>
      </c>
      <c r="P135" s="26" t="s">
        <v>353</v>
      </c>
    </row>
    <row r="136" customFormat="false" ht="15" hidden="false" customHeight="false" outlineLevel="0" collapsed="false">
      <c r="A136" s="38" t="n">
        <v>133</v>
      </c>
      <c r="B136" s="38" t="s">
        <v>93</v>
      </c>
      <c r="C136" s="38" t="s">
        <v>347</v>
      </c>
      <c r="D136" s="38" t="s">
        <v>505</v>
      </c>
      <c r="E136" s="39" t="n">
        <v>0</v>
      </c>
      <c r="F136" s="39" t="n">
        <v>331700</v>
      </c>
      <c r="G136" s="33" t="n">
        <f aca="false">E136-F136</f>
        <v>-331700</v>
      </c>
      <c r="H136" s="27" t="n">
        <v>46203</v>
      </c>
      <c r="I136" s="38" t="s">
        <v>506</v>
      </c>
      <c r="J136" s="38" t="s">
        <v>575</v>
      </c>
      <c r="K136" s="38" t="s">
        <v>350</v>
      </c>
      <c r="L136" s="38" t="s">
        <v>576</v>
      </c>
      <c r="M136" s="38" t="s">
        <v>315</v>
      </c>
      <c r="N136" s="34" t="s">
        <v>352</v>
      </c>
      <c r="O136" s="26" t="s">
        <v>353</v>
      </c>
      <c r="P136" s="26" t="s">
        <v>353</v>
      </c>
    </row>
    <row r="137" customFormat="false" ht="15" hidden="false" customHeight="false" outlineLevel="0" collapsed="false">
      <c r="A137" s="38" t="n">
        <v>134</v>
      </c>
      <c r="B137" s="38" t="s">
        <v>93</v>
      </c>
      <c r="C137" s="38" t="s">
        <v>347</v>
      </c>
      <c r="D137" s="38" t="s">
        <v>505</v>
      </c>
      <c r="E137" s="39" t="n">
        <v>0</v>
      </c>
      <c r="F137" s="39" t="n">
        <v>285700</v>
      </c>
      <c r="G137" s="33" t="n">
        <f aca="false">E137-F137</f>
        <v>-285700</v>
      </c>
      <c r="H137" s="27" t="n">
        <v>46203</v>
      </c>
      <c r="I137" s="38" t="s">
        <v>506</v>
      </c>
      <c r="J137" s="38" t="s">
        <v>577</v>
      </c>
      <c r="K137" s="38" t="s">
        <v>350</v>
      </c>
      <c r="L137" s="38" t="s">
        <v>578</v>
      </c>
      <c r="M137" s="38" t="s">
        <v>315</v>
      </c>
      <c r="N137" s="34" t="s">
        <v>352</v>
      </c>
      <c r="O137" s="26" t="s">
        <v>353</v>
      </c>
      <c r="P137" s="26" t="s">
        <v>353</v>
      </c>
    </row>
    <row r="138" customFormat="false" ht="15" hidden="false" customHeight="false" outlineLevel="0" collapsed="false">
      <c r="A138" s="38" t="n">
        <v>135</v>
      </c>
      <c r="B138" s="38" t="s">
        <v>93</v>
      </c>
      <c r="C138" s="38" t="s">
        <v>347</v>
      </c>
      <c r="D138" s="38" t="s">
        <v>505</v>
      </c>
      <c r="E138" s="39" t="n">
        <v>2116700</v>
      </c>
      <c r="F138" s="39" t="n">
        <v>0</v>
      </c>
      <c r="G138" s="33" t="n">
        <f aca="false">E138-F138</f>
        <v>2116700</v>
      </c>
      <c r="H138" s="27" t="n">
        <v>46203</v>
      </c>
      <c r="I138" s="38" t="s">
        <v>301</v>
      </c>
      <c r="J138" s="38" t="s">
        <v>418</v>
      </c>
      <c r="K138" s="38" t="s">
        <v>350</v>
      </c>
      <c r="L138" s="38" t="s">
        <v>419</v>
      </c>
      <c r="M138" s="38" t="s">
        <v>315</v>
      </c>
      <c r="N138" s="34" t="s">
        <v>352</v>
      </c>
      <c r="O138" s="26" t="s">
        <v>353</v>
      </c>
      <c r="P138" s="26" t="s">
        <v>353</v>
      </c>
    </row>
    <row r="139" customFormat="false" ht="15" hidden="false" customHeight="false" outlineLevel="0" collapsed="false">
      <c r="A139" s="38" t="n">
        <v>136</v>
      </c>
      <c r="B139" s="38" t="s">
        <v>93</v>
      </c>
      <c r="C139" s="38" t="s">
        <v>347</v>
      </c>
      <c r="D139" s="38" t="s">
        <v>505</v>
      </c>
      <c r="E139" s="39" t="n">
        <v>0</v>
      </c>
      <c r="F139" s="39" t="n">
        <v>434100</v>
      </c>
      <c r="G139" s="33" t="n">
        <f aca="false">E139-F139</f>
        <v>-434100</v>
      </c>
      <c r="H139" s="27" t="n">
        <v>46221</v>
      </c>
      <c r="I139" s="38" t="s">
        <v>506</v>
      </c>
      <c r="J139" s="38" t="s">
        <v>579</v>
      </c>
      <c r="K139" s="38" t="s">
        <v>350</v>
      </c>
      <c r="L139" s="38" t="s">
        <v>580</v>
      </c>
      <c r="M139" s="38" t="s">
        <v>315</v>
      </c>
      <c r="N139" s="34" t="s">
        <v>352</v>
      </c>
      <c r="O139" s="26" t="s">
        <v>353</v>
      </c>
      <c r="P139" s="26" t="s">
        <v>353</v>
      </c>
    </row>
    <row r="140" customFormat="false" ht="15" hidden="false" customHeight="false" outlineLevel="0" collapsed="false">
      <c r="A140" s="38" t="n">
        <v>137</v>
      </c>
      <c r="B140" s="38" t="s">
        <v>93</v>
      </c>
      <c r="C140" s="38" t="s">
        <v>347</v>
      </c>
      <c r="D140" s="38" t="s">
        <v>505</v>
      </c>
      <c r="E140" s="39" t="n">
        <v>0</v>
      </c>
      <c r="F140" s="39" t="n">
        <v>316100</v>
      </c>
      <c r="G140" s="33" t="n">
        <f aca="false">E140-F140</f>
        <v>-316100</v>
      </c>
      <c r="H140" s="27" t="n">
        <v>46221</v>
      </c>
      <c r="I140" s="38" t="s">
        <v>506</v>
      </c>
      <c r="J140" s="38" t="s">
        <v>581</v>
      </c>
      <c r="K140" s="38" t="s">
        <v>350</v>
      </c>
      <c r="L140" s="38" t="s">
        <v>582</v>
      </c>
      <c r="M140" s="38" t="s">
        <v>315</v>
      </c>
      <c r="N140" s="34" t="s">
        <v>352</v>
      </c>
      <c r="O140" s="26" t="s">
        <v>353</v>
      </c>
      <c r="P140" s="26" t="s">
        <v>353</v>
      </c>
    </row>
    <row r="141" customFormat="false" ht="15" hidden="false" customHeight="false" outlineLevel="0" collapsed="false">
      <c r="A141" s="38" t="n">
        <v>138</v>
      </c>
      <c r="B141" s="38" t="s">
        <v>93</v>
      </c>
      <c r="C141" s="38" t="s">
        <v>347</v>
      </c>
      <c r="D141" s="38" t="s">
        <v>505</v>
      </c>
      <c r="E141" s="39" t="n">
        <v>0</v>
      </c>
      <c r="F141" s="39" t="n">
        <v>285700</v>
      </c>
      <c r="G141" s="33" t="n">
        <f aca="false">E141-F141</f>
        <v>-285700</v>
      </c>
      <c r="H141" s="27" t="n">
        <v>46234</v>
      </c>
      <c r="I141" s="38" t="s">
        <v>506</v>
      </c>
      <c r="J141" s="38" t="s">
        <v>583</v>
      </c>
      <c r="K141" s="38" t="s">
        <v>350</v>
      </c>
      <c r="L141" s="38" t="s">
        <v>584</v>
      </c>
      <c r="M141" s="38" t="s">
        <v>315</v>
      </c>
      <c r="N141" s="34" t="s">
        <v>352</v>
      </c>
      <c r="O141" s="26" t="s">
        <v>353</v>
      </c>
      <c r="P141" s="26" t="s">
        <v>353</v>
      </c>
    </row>
    <row r="142" customFormat="false" ht="15" hidden="false" customHeight="false" outlineLevel="0" collapsed="false">
      <c r="A142" s="38" t="n">
        <v>139</v>
      </c>
      <c r="B142" s="38" t="s">
        <v>93</v>
      </c>
      <c r="C142" s="38" t="s">
        <v>347</v>
      </c>
      <c r="D142" s="38" t="s">
        <v>505</v>
      </c>
      <c r="E142" s="39" t="n">
        <v>0</v>
      </c>
      <c r="F142" s="39" t="n">
        <v>331700</v>
      </c>
      <c r="G142" s="33" t="n">
        <f aca="false">E142-F142</f>
        <v>-331700</v>
      </c>
      <c r="H142" s="27" t="n">
        <v>46234</v>
      </c>
      <c r="I142" s="38" t="s">
        <v>506</v>
      </c>
      <c r="J142" s="38" t="s">
        <v>585</v>
      </c>
      <c r="K142" s="38" t="s">
        <v>350</v>
      </c>
      <c r="L142" s="38" t="s">
        <v>586</v>
      </c>
      <c r="M142" s="38" t="s">
        <v>315</v>
      </c>
      <c r="N142" s="34" t="s">
        <v>352</v>
      </c>
      <c r="O142" s="26" t="s">
        <v>353</v>
      </c>
      <c r="P142" s="26" t="s">
        <v>353</v>
      </c>
    </row>
    <row r="143" customFormat="false" ht="15" hidden="false" customHeight="false" outlineLevel="0" collapsed="false">
      <c r="A143" s="38" t="n">
        <v>140</v>
      </c>
      <c r="B143" s="38" t="s">
        <v>93</v>
      </c>
      <c r="C143" s="38" t="s">
        <v>347</v>
      </c>
      <c r="D143" s="38" t="s">
        <v>505</v>
      </c>
      <c r="E143" s="39" t="n">
        <v>0</v>
      </c>
      <c r="F143" s="39" t="n">
        <v>521200</v>
      </c>
      <c r="G143" s="33" t="n">
        <f aca="false">E143-F143</f>
        <v>-521200</v>
      </c>
      <c r="H143" s="27" t="n">
        <v>46234</v>
      </c>
      <c r="I143" s="38" t="s">
        <v>506</v>
      </c>
      <c r="J143" s="38" t="s">
        <v>587</v>
      </c>
      <c r="K143" s="38" t="s">
        <v>350</v>
      </c>
      <c r="L143" s="38" t="s">
        <v>588</v>
      </c>
      <c r="M143" s="38" t="s">
        <v>315</v>
      </c>
      <c r="N143" s="34" t="s">
        <v>352</v>
      </c>
      <c r="O143" s="26" t="s">
        <v>353</v>
      </c>
      <c r="P143" s="26" t="s">
        <v>353</v>
      </c>
    </row>
    <row r="144" customFormat="false" ht="15" hidden="false" customHeight="false" outlineLevel="0" collapsed="false">
      <c r="A144" s="38" t="n">
        <v>141</v>
      </c>
      <c r="B144" s="38" t="s">
        <v>93</v>
      </c>
      <c r="C144" s="38" t="s">
        <v>347</v>
      </c>
      <c r="D144" s="38" t="s">
        <v>505</v>
      </c>
      <c r="E144" s="39" t="n">
        <v>0</v>
      </c>
      <c r="F144" s="39" t="n">
        <v>227900</v>
      </c>
      <c r="G144" s="33" t="n">
        <f aca="false">E144-F144</f>
        <v>-227900</v>
      </c>
      <c r="H144" s="27" t="n">
        <v>46234</v>
      </c>
      <c r="I144" s="38" t="s">
        <v>506</v>
      </c>
      <c r="J144" s="38" t="s">
        <v>589</v>
      </c>
      <c r="K144" s="38" t="s">
        <v>350</v>
      </c>
      <c r="L144" s="38" t="s">
        <v>590</v>
      </c>
      <c r="M144" s="38" t="s">
        <v>315</v>
      </c>
      <c r="N144" s="34" t="s">
        <v>352</v>
      </c>
      <c r="O144" s="26" t="s">
        <v>353</v>
      </c>
      <c r="P144" s="26" t="s">
        <v>353</v>
      </c>
    </row>
    <row r="145" customFormat="false" ht="15" hidden="false" customHeight="false" outlineLevel="0" collapsed="false">
      <c r="A145" s="38" t="n">
        <v>142</v>
      </c>
      <c r="B145" s="38" t="s">
        <v>93</v>
      </c>
      <c r="C145" s="38" t="s">
        <v>347</v>
      </c>
      <c r="D145" s="38" t="s">
        <v>505</v>
      </c>
      <c r="E145" s="39" t="n">
        <v>2116700</v>
      </c>
      <c r="F145" s="39" t="n">
        <v>0</v>
      </c>
      <c r="G145" s="33" t="n">
        <f aca="false">E145-F145</f>
        <v>2116700</v>
      </c>
      <c r="H145" s="27" t="n">
        <v>46234</v>
      </c>
      <c r="I145" s="38" t="s">
        <v>301</v>
      </c>
      <c r="J145" s="38" t="s">
        <v>422</v>
      </c>
      <c r="K145" s="38" t="s">
        <v>350</v>
      </c>
      <c r="L145" s="38" t="s">
        <v>423</v>
      </c>
      <c r="M145" s="38" t="s">
        <v>315</v>
      </c>
      <c r="N145" s="34" t="s">
        <v>352</v>
      </c>
      <c r="O145" s="26" t="s">
        <v>353</v>
      </c>
      <c r="P145" s="26" t="s">
        <v>353</v>
      </c>
    </row>
    <row r="146" customFormat="false" ht="15" hidden="false" customHeight="false" outlineLevel="0" collapsed="false">
      <c r="A146" s="38" t="n">
        <v>143</v>
      </c>
      <c r="B146" s="38" t="s">
        <v>93</v>
      </c>
      <c r="C146" s="38" t="s">
        <v>347</v>
      </c>
      <c r="D146" s="38" t="s">
        <v>591</v>
      </c>
      <c r="E146" s="39" t="n">
        <v>309341</v>
      </c>
      <c r="F146" s="39" t="n">
        <v>0</v>
      </c>
      <c r="G146" s="33" t="n">
        <f aca="false">E146-F146</f>
        <v>309341</v>
      </c>
      <c r="H146" s="27" t="n">
        <v>46135</v>
      </c>
      <c r="I146" s="38" t="s">
        <v>301</v>
      </c>
      <c r="J146" s="38" t="s">
        <v>444</v>
      </c>
      <c r="K146" s="38" t="s">
        <v>350</v>
      </c>
      <c r="L146" s="38" t="s">
        <v>445</v>
      </c>
      <c r="M146" s="38" t="s">
        <v>315</v>
      </c>
      <c r="N146" s="34" t="s">
        <v>352</v>
      </c>
      <c r="O146" s="26" t="s">
        <v>353</v>
      </c>
      <c r="P146" s="26" t="s">
        <v>353</v>
      </c>
    </row>
    <row r="147" customFormat="false" ht="15" hidden="false" customHeight="false" outlineLevel="0" collapsed="false">
      <c r="A147" s="38" t="n">
        <v>144</v>
      </c>
      <c r="B147" s="38" t="s">
        <v>93</v>
      </c>
      <c r="C147" s="38" t="s">
        <v>347</v>
      </c>
      <c r="D147" s="38" t="s">
        <v>591</v>
      </c>
      <c r="E147" s="39" t="n">
        <v>0</v>
      </c>
      <c r="F147" s="39" t="n">
        <v>309341</v>
      </c>
      <c r="G147" s="33" t="n">
        <f aca="false">E147-F147</f>
        <v>-309341</v>
      </c>
      <c r="H147" s="27" t="n">
        <v>46135</v>
      </c>
      <c r="I147" s="38" t="s">
        <v>592</v>
      </c>
      <c r="J147" s="38" t="s">
        <v>593</v>
      </c>
      <c r="K147" s="38" t="s">
        <v>350</v>
      </c>
      <c r="L147" s="38" t="s">
        <v>594</v>
      </c>
      <c r="M147" s="38" t="s">
        <v>315</v>
      </c>
      <c r="N147" s="34" t="s">
        <v>352</v>
      </c>
      <c r="O147" s="26" t="s">
        <v>353</v>
      </c>
      <c r="P147" s="26" t="s">
        <v>353</v>
      </c>
    </row>
    <row r="148" customFormat="false" ht="15" hidden="false" customHeight="false" outlineLevel="0" collapsed="false">
      <c r="A148" s="38" t="n">
        <v>145</v>
      </c>
      <c r="B148" s="38" t="s">
        <v>93</v>
      </c>
      <c r="C148" s="38" t="s">
        <v>347</v>
      </c>
      <c r="D148" s="38" t="s">
        <v>595</v>
      </c>
      <c r="E148" s="39" t="n">
        <v>0</v>
      </c>
      <c r="F148" s="39" t="n">
        <v>315302</v>
      </c>
      <c r="G148" s="33" t="n">
        <f aca="false">E148-F148</f>
        <v>-315302</v>
      </c>
      <c r="H148" s="27" t="n">
        <v>46081</v>
      </c>
      <c r="I148" s="38" t="s">
        <v>596</v>
      </c>
      <c r="J148" s="38" t="s">
        <v>597</v>
      </c>
      <c r="K148" s="38" t="s">
        <v>350</v>
      </c>
      <c r="L148" s="38" t="s">
        <v>598</v>
      </c>
      <c r="M148" s="38" t="s">
        <v>315</v>
      </c>
      <c r="N148" s="34" t="s">
        <v>352</v>
      </c>
      <c r="O148" s="26" t="s">
        <v>353</v>
      </c>
      <c r="P148" s="26" t="s">
        <v>353</v>
      </c>
    </row>
    <row r="149" customFormat="false" ht="15" hidden="false" customHeight="false" outlineLevel="0" collapsed="false">
      <c r="A149" s="38" t="n">
        <v>146</v>
      </c>
      <c r="B149" s="38" t="s">
        <v>93</v>
      </c>
      <c r="C149" s="38" t="s">
        <v>347</v>
      </c>
      <c r="D149" s="38" t="s">
        <v>595</v>
      </c>
      <c r="E149" s="39" t="n">
        <v>315302</v>
      </c>
      <c r="F149" s="39" t="n">
        <v>0</v>
      </c>
      <c r="G149" s="33" t="n">
        <f aca="false">E149-F149</f>
        <v>315302</v>
      </c>
      <c r="H149" s="27" t="n">
        <v>46081</v>
      </c>
      <c r="I149" s="38" t="s">
        <v>301</v>
      </c>
      <c r="J149" s="38" t="s">
        <v>431</v>
      </c>
      <c r="K149" s="38" t="s">
        <v>350</v>
      </c>
      <c r="L149" s="38" t="s">
        <v>432</v>
      </c>
      <c r="M149" s="38" t="s">
        <v>315</v>
      </c>
      <c r="N149" s="34" t="s">
        <v>352</v>
      </c>
      <c r="O149" s="26" t="s">
        <v>353</v>
      </c>
      <c r="P149" s="26" t="s">
        <v>353</v>
      </c>
    </row>
    <row r="150" customFormat="false" ht="15" hidden="false" customHeight="false" outlineLevel="0" collapsed="false">
      <c r="A150" s="38" t="n">
        <v>147</v>
      </c>
      <c r="B150" s="38" t="s">
        <v>93</v>
      </c>
      <c r="C150" s="38" t="s">
        <v>347</v>
      </c>
      <c r="D150" s="38" t="s">
        <v>599</v>
      </c>
      <c r="E150" s="39" t="n">
        <v>190500</v>
      </c>
      <c r="F150" s="39" t="n">
        <v>0</v>
      </c>
      <c r="G150" s="33" t="n">
        <f aca="false">E150-F150</f>
        <v>190500</v>
      </c>
      <c r="H150" s="27" t="n">
        <v>46173</v>
      </c>
      <c r="I150" s="38" t="s">
        <v>301</v>
      </c>
      <c r="J150" s="38" t="s">
        <v>377</v>
      </c>
      <c r="K150" s="38" t="s">
        <v>363</v>
      </c>
      <c r="L150" s="38" t="s">
        <v>378</v>
      </c>
      <c r="M150" s="38" t="s">
        <v>379</v>
      </c>
      <c r="N150" s="34" t="s">
        <v>352</v>
      </c>
      <c r="O150" s="26" t="s">
        <v>353</v>
      </c>
      <c r="P150" s="26" t="s">
        <v>353</v>
      </c>
    </row>
    <row r="151" customFormat="false" ht="15" hidden="false" customHeight="false" outlineLevel="0" collapsed="false">
      <c r="A151" s="38" t="n">
        <v>148</v>
      </c>
      <c r="B151" s="38" t="s">
        <v>93</v>
      </c>
      <c r="C151" s="38" t="s">
        <v>347</v>
      </c>
      <c r="D151" s="38" t="s">
        <v>600</v>
      </c>
      <c r="E151" s="39" t="n">
        <v>0</v>
      </c>
      <c r="F151" s="39" t="n">
        <v>69962</v>
      </c>
      <c r="G151" s="33" t="n">
        <f aca="false">E151-F151</f>
        <v>-69962</v>
      </c>
      <c r="H151" s="27" t="n">
        <v>46191</v>
      </c>
      <c r="I151" s="38" t="s">
        <v>601</v>
      </c>
      <c r="J151" s="38" t="s">
        <v>602</v>
      </c>
      <c r="K151" s="38" t="s">
        <v>350</v>
      </c>
      <c r="L151" s="38" t="s">
        <v>603</v>
      </c>
      <c r="M151" s="38" t="s">
        <v>315</v>
      </c>
      <c r="N151" s="34" t="s">
        <v>352</v>
      </c>
      <c r="O151" s="26" t="s">
        <v>353</v>
      </c>
      <c r="P151" s="26" t="s">
        <v>353</v>
      </c>
    </row>
    <row r="152" customFormat="false" ht="15" hidden="false" customHeight="false" outlineLevel="0" collapsed="false">
      <c r="A152" s="38" t="n">
        <v>149</v>
      </c>
      <c r="B152" s="38" t="s">
        <v>93</v>
      </c>
      <c r="C152" s="38" t="s">
        <v>347</v>
      </c>
      <c r="D152" s="38" t="s">
        <v>604</v>
      </c>
      <c r="E152" s="39" t="n">
        <v>405339</v>
      </c>
      <c r="F152" s="39" t="n">
        <v>0</v>
      </c>
      <c r="G152" s="33" t="n">
        <f aca="false">E152-F152</f>
        <v>405339</v>
      </c>
      <c r="H152" s="27" t="n">
        <v>46053</v>
      </c>
      <c r="I152" s="38" t="s">
        <v>301</v>
      </c>
      <c r="J152" s="38" t="s">
        <v>605</v>
      </c>
      <c r="K152" s="38" t="s">
        <v>350</v>
      </c>
      <c r="L152" s="38" t="s">
        <v>606</v>
      </c>
      <c r="M152" s="38" t="s">
        <v>315</v>
      </c>
      <c r="N152" s="34" t="s">
        <v>352</v>
      </c>
      <c r="O152" s="26" t="s">
        <v>353</v>
      </c>
      <c r="P152" s="26" t="s">
        <v>353</v>
      </c>
    </row>
    <row r="153" customFormat="false" ht="15" hidden="false" customHeight="false" outlineLevel="0" collapsed="false">
      <c r="A153" s="38" t="n">
        <v>150</v>
      </c>
      <c r="B153" s="38" t="s">
        <v>93</v>
      </c>
      <c r="C153" s="38" t="s">
        <v>347</v>
      </c>
      <c r="D153" s="38" t="s">
        <v>604</v>
      </c>
      <c r="E153" s="39" t="n">
        <v>0</v>
      </c>
      <c r="F153" s="39" t="n">
        <v>405339</v>
      </c>
      <c r="G153" s="33" t="n">
        <f aca="false">E153-F153</f>
        <v>-405339</v>
      </c>
      <c r="H153" s="27" t="n">
        <v>46053</v>
      </c>
      <c r="I153" s="38" t="s">
        <v>607</v>
      </c>
      <c r="J153" s="38" t="s">
        <v>608</v>
      </c>
      <c r="K153" s="38" t="s">
        <v>350</v>
      </c>
      <c r="L153" s="38" t="s">
        <v>609</v>
      </c>
      <c r="M153" s="38" t="s">
        <v>315</v>
      </c>
      <c r="N153" s="34" t="s">
        <v>352</v>
      </c>
      <c r="O153" s="26" t="s">
        <v>353</v>
      </c>
      <c r="P153" s="26" t="s">
        <v>353</v>
      </c>
    </row>
    <row r="154" customFormat="false" ht="15" hidden="false" customHeight="false" outlineLevel="0" collapsed="false">
      <c r="A154" s="38" t="n">
        <v>151</v>
      </c>
      <c r="B154" s="38" t="s">
        <v>93</v>
      </c>
      <c r="C154" s="38" t="s">
        <v>347</v>
      </c>
      <c r="D154" s="38" t="s">
        <v>604</v>
      </c>
      <c r="E154" s="39" t="n">
        <v>263288</v>
      </c>
      <c r="F154" s="39" t="n">
        <v>0</v>
      </c>
      <c r="G154" s="33" t="n">
        <f aca="false">E154-F154</f>
        <v>263288</v>
      </c>
      <c r="H154" s="27" t="n">
        <v>46081</v>
      </c>
      <c r="I154" s="38" t="s">
        <v>301</v>
      </c>
      <c r="J154" s="38" t="s">
        <v>431</v>
      </c>
      <c r="K154" s="38" t="s">
        <v>350</v>
      </c>
      <c r="L154" s="38" t="s">
        <v>432</v>
      </c>
      <c r="M154" s="38" t="s">
        <v>315</v>
      </c>
      <c r="N154" s="34" t="s">
        <v>352</v>
      </c>
      <c r="O154" s="26" t="s">
        <v>353</v>
      </c>
      <c r="P154" s="26" t="s">
        <v>353</v>
      </c>
    </row>
    <row r="155" customFormat="false" ht="15" hidden="false" customHeight="false" outlineLevel="0" collapsed="false">
      <c r="A155" s="38" t="n">
        <v>152</v>
      </c>
      <c r="B155" s="38" t="s">
        <v>93</v>
      </c>
      <c r="C155" s="38" t="s">
        <v>347</v>
      </c>
      <c r="D155" s="38" t="s">
        <v>604</v>
      </c>
      <c r="E155" s="39" t="n">
        <v>0</v>
      </c>
      <c r="F155" s="39" t="n">
        <v>263288</v>
      </c>
      <c r="G155" s="33" t="n">
        <f aca="false">E155-F155</f>
        <v>-263288</v>
      </c>
      <c r="H155" s="27" t="n">
        <v>46081</v>
      </c>
      <c r="I155" s="38" t="s">
        <v>607</v>
      </c>
      <c r="J155" s="38" t="s">
        <v>610</v>
      </c>
      <c r="K155" s="38" t="s">
        <v>350</v>
      </c>
      <c r="L155" s="38" t="s">
        <v>611</v>
      </c>
      <c r="M155" s="38" t="s">
        <v>315</v>
      </c>
      <c r="N155" s="34" t="s">
        <v>352</v>
      </c>
      <c r="O155" s="26" t="s">
        <v>353</v>
      </c>
      <c r="P155" s="26" t="s">
        <v>353</v>
      </c>
    </row>
    <row r="156" customFormat="false" ht="15" hidden="false" customHeight="false" outlineLevel="0" collapsed="false">
      <c r="A156" s="38" t="n">
        <v>153</v>
      </c>
      <c r="B156" s="38" t="s">
        <v>93</v>
      </c>
      <c r="C156" s="38" t="s">
        <v>347</v>
      </c>
      <c r="D156" s="38" t="s">
        <v>604</v>
      </c>
      <c r="E156" s="39" t="n">
        <v>0</v>
      </c>
      <c r="F156" s="39" t="n">
        <v>307043</v>
      </c>
      <c r="G156" s="33" t="n">
        <f aca="false">E156-F156</f>
        <v>-307043</v>
      </c>
      <c r="H156" s="27" t="n">
        <v>46142</v>
      </c>
      <c r="I156" s="38" t="s">
        <v>607</v>
      </c>
      <c r="J156" s="38" t="s">
        <v>612</v>
      </c>
      <c r="K156" s="38" t="s">
        <v>350</v>
      </c>
      <c r="L156" s="38" t="s">
        <v>613</v>
      </c>
      <c r="M156" s="38" t="s">
        <v>315</v>
      </c>
      <c r="N156" s="34" t="s">
        <v>352</v>
      </c>
      <c r="O156" s="26" t="s">
        <v>353</v>
      </c>
      <c r="P156" s="26" t="s">
        <v>353</v>
      </c>
    </row>
    <row r="157" customFormat="false" ht="15" hidden="false" customHeight="false" outlineLevel="0" collapsed="false">
      <c r="A157" s="38" t="n">
        <v>154</v>
      </c>
      <c r="B157" s="38" t="s">
        <v>93</v>
      </c>
      <c r="C157" s="38" t="s">
        <v>347</v>
      </c>
      <c r="D157" s="38" t="s">
        <v>604</v>
      </c>
      <c r="E157" s="39" t="n">
        <v>603854</v>
      </c>
      <c r="F157" s="39" t="n">
        <v>296811</v>
      </c>
      <c r="G157" s="33" t="n">
        <f aca="false">E157-F157</f>
        <v>307043</v>
      </c>
      <c r="H157" s="27" t="n">
        <v>46167</v>
      </c>
      <c r="I157" s="38" t="s">
        <v>301</v>
      </c>
      <c r="J157" s="38" t="s">
        <v>614</v>
      </c>
      <c r="K157" s="38" t="s">
        <v>350</v>
      </c>
      <c r="L157" s="38" t="s">
        <v>615</v>
      </c>
      <c r="M157" s="38" t="s">
        <v>315</v>
      </c>
      <c r="N157" s="34" t="s">
        <v>352</v>
      </c>
      <c r="O157" s="26" t="s">
        <v>353</v>
      </c>
      <c r="P157" s="26" t="s">
        <v>353</v>
      </c>
    </row>
    <row r="158" customFormat="false" ht="15" hidden="false" customHeight="false" outlineLevel="0" collapsed="false">
      <c r="A158" s="38" t="n">
        <v>155</v>
      </c>
      <c r="B158" s="38" t="s">
        <v>93</v>
      </c>
      <c r="C158" s="38" t="s">
        <v>347</v>
      </c>
      <c r="D158" s="38" t="s">
        <v>604</v>
      </c>
      <c r="E158" s="39" t="n">
        <v>0</v>
      </c>
      <c r="F158" s="39" t="n">
        <v>316383</v>
      </c>
      <c r="G158" s="33" t="n">
        <f aca="false">E158-F158</f>
        <v>-316383</v>
      </c>
      <c r="H158" s="27" t="n">
        <v>46203</v>
      </c>
      <c r="I158" s="38" t="s">
        <v>607</v>
      </c>
      <c r="J158" s="38" t="s">
        <v>616</v>
      </c>
      <c r="K158" s="38" t="s">
        <v>350</v>
      </c>
      <c r="L158" s="38" t="s">
        <v>617</v>
      </c>
      <c r="M158" s="38" t="s">
        <v>315</v>
      </c>
      <c r="N158" s="34" t="s">
        <v>352</v>
      </c>
      <c r="O158" s="26" t="s">
        <v>353</v>
      </c>
      <c r="P158" s="26" t="s">
        <v>353</v>
      </c>
    </row>
    <row r="159" customFormat="false" ht="15" hidden="false" customHeight="false" outlineLevel="0" collapsed="false">
      <c r="A159" s="38" t="n">
        <v>156</v>
      </c>
      <c r="B159" s="38" t="s">
        <v>93</v>
      </c>
      <c r="C159" s="38" t="s">
        <v>347</v>
      </c>
      <c r="D159" s="38" t="s">
        <v>604</v>
      </c>
      <c r="E159" s="39" t="n">
        <v>0</v>
      </c>
      <c r="F159" s="39" t="n">
        <v>229142</v>
      </c>
      <c r="G159" s="33" t="n">
        <f aca="false">E159-F159</f>
        <v>-229142</v>
      </c>
      <c r="H159" s="27" t="n">
        <v>46203</v>
      </c>
      <c r="I159" s="38" t="s">
        <v>607</v>
      </c>
      <c r="J159" s="38" t="s">
        <v>618</v>
      </c>
      <c r="K159" s="38" t="s">
        <v>363</v>
      </c>
      <c r="L159" s="38" t="s">
        <v>619</v>
      </c>
      <c r="M159" s="38" t="s">
        <v>315</v>
      </c>
      <c r="N159" s="34" t="s">
        <v>352</v>
      </c>
      <c r="O159" s="26" t="s">
        <v>353</v>
      </c>
      <c r="P159" s="26" t="s">
        <v>353</v>
      </c>
    </row>
    <row r="160" customFormat="false" ht="15" hidden="false" customHeight="false" outlineLevel="0" collapsed="false">
      <c r="A160" s="38" t="n">
        <v>157</v>
      </c>
      <c r="B160" s="38" t="s">
        <v>93</v>
      </c>
      <c r="C160" s="38" t="s">
        <v>347</v>
      </c>
      <c r="D160" s="38" t="s">
        <v>604</v>
      </c>
      <c r="E160" s="39" t="n">
        <v>545525</v>
      </c>
      <c r="F160" s="39" t="n">
        <v>0</v>
      </c>
      <c r="G160" s="33" t="n">
        <f aca="false">E160-F160</f>
        <v>545525</v>
      </c>
      <c r="H160" s="27" t="n">
        <v>46234</v>
      </c>
      <c r="I160" s="38" t="s">
        <v>301</v>
      </c>
      <c r="J160" s="38" t="s">
        <v>448</v>
      </c>
      <c r="K160" s="38" t="s">
        <v>350</v>
      </c>
      <c r="L160" s="38" t="s">
        <v>449</v>
      </c>
      <c r="M160" s="38" t="s">
        <v>315</v>
      </c>
      <c r="N160" s="34" t="s">
        <v>352</v>
      </c>
      <c r="O160" s="26" t="s">
        <v>353</v>
      </c>
      <c r="P160" s="26" t="s">
        <v>353</v>
      </c>
    </row>
    <row r="161" customFormat="false" ht="15" hidden="false" customHeight="false" outlineLevel="0" collapsed="false">
      <c r="A161" s="38" t="n">
        <v>158</v>
      </c>
      <c r="B161" s="38" t="s">
        <v>93</v>
      </c>
      <c r="C161" s="38" t="s">
        <v>347</v>
      </c>
      <c r="D161" s="38" t="s">
        <v>620</v>
      </c>
      <c r="E161" s="39" t="n">
        <v>0</v>
      </c>
      <c r="F161" s="39" t="n">
        <v>250000</v>
      </c>
      <c r="G161" s="33" t="n">
        <f aca="false">E161-F161</f>
        <v>-250000</v>
      </c>
      <c r="H161" s="27" t="n">
        <v>46134</v>
      </c>
      <c r="I161" s="38" t="s">
        <v>621</v>
      </c>
      <c r="J161" s="38" t="s">
        <v>622</v>
      </c>
      <c r="K161" s="38" t="s">
        <v>350</v>
      </c>
      <c r="L161" s="38" t="s">
        <v>623</v>
      </c>
      <c r="M161" s="38" t="s">
        <v>315</v>
      </c>
      <c r="N161" s="34" t="s">
        <v>352</v>
      </c>
      <c r="O161" s="26" t="s">
        <v>353</v>
      </c>
      <c r="P161" s="26" t="s">
        <v>353</v>
      </c>
    </row>
    <row r="162" customFormat="false" ht="15" hidden="false" customHeight="false" outlineLevel="0" collapsed="false">
      <c r="A162" s="38" t="n">
        <v>159</v>
      </c>
      <c r="B162" s="38" t="s">
        <v>93</v>
      </c>
      <c r="C162" s="38" t="s">
        <v>347</v>
      </c>
      <c r="D162" s="38" t="s">
        <v>620</v>
      </c>
      <c r="E162" s="39" t="n">
        <v>250000</v>
      </c>
      <c r="F162" s="39" t="n">
        <v>0</v>
      </c>
      <c r="G162" s="33" t="n">
        <f aca="false">E162-F162</f>
        <v>250000</v>
      </c>
      <c r="H162" s="27" t="n">
        <v>46203</v>
      </c>
      <c r="I162" s="38" t="s">
        <v>301</v>
      </c>
      <c r="J162" s="38" t="s">
        <v>418</v>
      </c>
      <c r="K162" s="38" t="s">
        <v>350</v>
      </c>
      <c r="L162" s="38" t="s">
        <v>419</v>
      </c>
      <c r="M162" s="38" t="s">
        <v>315</v>
      </c>
      <c r="N162" s="34" t="s">
        <v>352</v>
      </c>
      <c r="O162" s="26" t="s">
        <v>353</v>
      </c>
      <c r="P162" s="26" t="s">
        <v>353</v>
      </c>
    </row>
    <row r="163" customFormat="false" ht="15" hidden="false" customHeight="false" outlineLevel="0" collapsed="false">
      <c r="A163" s="38" t="n">
        <v>160</v>
      </c>
      <c r="B163" s="38" t="s">
        <v>93</v>
      </c>
      <c r="C163" s="38" t="s">
        <v>347</v>
      </c>
      <c r="D163" s="38" t="s">
        <v>620</v>
      </c>
      <c r="E163" s="39" t="n">
        <v>0</v>
      </c>
      <c r="F163" s="39" t="n">
        <v>250000</v>
      </c>
      <c r="G163" s="33" t="n">
        <f aca="false">E163-F163</f>
        <v>-250000</v>
      </c>
      <c r="H163" s="27" t="n">
        <v>46203</v>
      </c>
      <c r="I163" s="38" t="s">
        <v>621</v>
      </c>
      <c r="J163" s="38" t="s">
        <v>624</v>
      </c>
      <c r="K163" s="38" t="s">
        <v>350</v>
      </c>
      <c r="L163" s="38" t="s">
        <v>625</v>
      </c>
      <c r="M163" s="38" t="s">
        <v>315</v>
      </c>
      <c r="N163" s="34" t="s">
        <v>352</v>
      </c>
      <c r="O163" s="26" t="s">
        <v>353</v>
      </c>
      <c r="P163" s="26" t="s">
        <v>353</v>
      </c>
    </row>
    <row r="164" customFormat="false" ht="15" hidden="false" customHeight="false" outlineLevel="0" collapsed="false">
      <c r="A164" s="38" t="n">
        <v>161</v>
      </c>
      <c r="B164" s="38" t="s">
        <v>93</v>
      </c>
      <c r="C164" s="38" t="s">
        <v>347</v>
      </c>
      <c r="D164" s="38" t="s">
        <v>626</v>
      </c>
      <c r="E164" s="39" t="n">
        <v>0</v>
      </c>
      <c r="F164" s="39" t="n">
        <v>592106</v>
      </c>
      <c r="G164" s="33" t="n">
        <f aca="false">E164-F164</f>
        <v>-592106</v>
      </c>
      <c r="H164" s="27" t="n">
        <v>46049</v>
      </c>
      <c r="I164" s="38" t="s">
        <v>627</v>
      </c>
      <c r="J164" s="38" t="s">
        <v>628</v>
      </c>
      <c r="K164" s="38" t="s">
        <v>350</v>
      </c>
      <c r="L164" s="38" t="s">
        <v>629</v>
      </c>
      <c r="M164" s="38" t="s">
        <v>315</v>
      </c>
      <c r="N164" s="34" t="s">
        <v>352</v>
      </c>
      <c r="O164" s="26" t="s">
        <v>353</v>
      </c>
      <c r="P164" s="26" t="s">
        <v>353</v>
      </c>
    </row>
    <row r="165" customFormat="false" ht="15" hidden="false" customHeight="false" outlineLevel="0" collapsed="false">
      <c r="A165" s="38" t="n">
        <v>162</v>
      </c>
      <c r="B165" s="38" t="s">
        <v>93</v>
      </c>
      <c r="C165" s="38" t="s">
        <v>347</v>
      </c>
      <c r="D165" s="38" t="s">
        <v>626</v>
      </c>
      <c r="E165" s="39" t="n">
        <v>0</v>
      </c>
      <c r="F165" s="39" t="n">
        <v>98770</v>
      </c>
      <c r="G165" s="33" t="n">
        <f aca="false">E165-F165</f>
        <v>-98770</v>
      </c>
      <c r="H165" s="27" t="n">
        <v>46049</v>
      </c>
      <c r="I165" s="38" t="s">
        <v>627</v>
      </c>
      <c r="J165" s="38" t="s">
        <v>630</v>
      </c>
      <c r="K165" s="38" t="s">
        <v>350</v>
      </c>
      <c r="L165" s="38" t="s">
        <v>631</v>
      </c>
      <c r="M165" s="38" t="s">
        <v>315</v>
      </c>
      <c r="N165" s="34" t="s">
        <v>352</v>
      </c>
      <c r="O165" s="26" t="s">
        <v>353</v>
      </c>
      <c r="P165" s="26" t="s">
        <v>353</v>
      </c>
    </row>
    <row r="166" customFormat="false" ht="15" hidden="false" customHeight="false" outlineLevel="0" collapsed="false">
      <c r="A166" s="38" t="n">
        <v>163</v>
      </c>
      <c r="B166" s="38" t="s">
        <v>93</v>
      </c>
      <c r="C166" s="38" t="s">
        <v>347</v>
      </c>
      <c r="D166" s="38" t="s">
        <v>626</v>
      </c>
      <c r="E166" s="39" t="n">
        <v>0</v>
      </c>
      <c r="F166" s="39" t="n">
        <v>1166719</v>
      </c>
      <c r="G166" s="33" t="n">
        <f aca="false">E166-F166</f>
        <v>-1166719</v>
      </c>
      <c r="H166" s="27" t="n">
        <v>46049</v>
      </c>
      <c r="I166" s="38" t="s">
        <v>627</v>
      </c>
      <c r="J166" s="38" t="s">
        <v>632</v>
      </c>
      <c r="K166" s="38" t="s">
        <v>350</v>
      </c>
      <c r="L166" s="38" t="s">
        <v>633</v>
      </c>
      <c r="M166" s="38" t="s">
        <v>315</v>
      </c>
      <c r="N166" s="34" t="s">
        <v>352</v>
      </c>
      <c r="O166" s="26" t="s">
        <v>353</v>
      </c>
      <c r="P166" s="26" t="s">
        <v>353</v>
      </c>
    </row>
    <row r="167" customFormat="false" ht="15" hidden="false" customHeight="false" outlineLevel="0" collapsed="false">
      <c r="A167" s="38" t="n">
        <v>164</v>
      </c>
      <c r="B167" s="38" t="s">
        <v>93</v>
      </c>
      <c r="C167" s="38" t="s">
        <v>347</v>
      </c>
      <c r="D167" s="38" t="s">
        <v>626</v>
      </c>
      <c r="E167" s="39" t="n">
        <v>0</v>
      </c>
      <c r="F167" s="39" t="n">
        <v>1237067</v>
      </c>
      <c r="G167" s="33" t="n">
        <f aca="false">E167-F167</f>
        <v>-1237067</v>
      </c>
      <c r="H167" s="27" t="n">
        <v>46049</v>
      </c>
      <c r="I167" s="38" t="s">
        <v>627</v>
      </c>
      <c r="J167" s="38" t="s">
        <v>634</v>
      </c>
      <c r="K167" s="38" t="s">
        <v>350</v>
      </c>
      <c r="L167" s="38" t="s">
        <v>635</v>
      </c>
      <c r="M167" s="38" t="s">
        <v>315</v>
      </c>
      <c r="N167" s="34" t="s">
        <v>352</v>
      </c>
      <c r="O167" s="26" t="s">
        <v>353</v>
      </c>
      <c r="P167" s="26" t="s">
        <v>353</v>
      </c>
    </row>
    <row r="168" customFormat="false" ht="15" hidden="false" customHeight="false" outlineLevel="0" collapsed="false">
      <c r="A168" s="38" t="n">
        <v>165</v>
      </c>
      <c r="B168" s="38" t="s">
        <v>93</v>
      </c>
      <c r="C168" s="38" t="s">
        <v>347</v>
      </c>
      <c r="D168" s="38" t="s">
        <v>626</v>
      </c>
      <c r="E168" s="39" t="n">
        <v>0</v>
      </c>
      <c r="F168" s="39" t="n">
        <v>927186</v>
      </c>
      <c r="G168" s="33" t="n">
        <f aca="false">E168-F168</f>
        <v>-927186</v>
      </c>
      <c r="H168" s="27" t="n">
        <v>46052</v>
      </c>
      <c r="I168" s="38" t="s">
        <v>627</v>
      </c>
      <c r="J168" s="38" t="s">
        <v>636</v>
      </c>
      <c r="K168" s="38" t="s">
        <v>350</v>
      </c>
      <c r="L168" s="38" t="s">
        <v>637</v>
      </c>
      <c r="M168" s="38" t="s">
        <v>315</v>
      </c>
      <c r="N168" s="34" t="s">
        <v>352</v>
      </c>
      <c r="O168" s="26" t="s">
        <v>353</v>
      </c>
      <c r="P168" s="26" t="s">
        <v>353</v>
      </c>
    </row>
    <row r="169" customFormat="false" ht="15" hidden="false" customHeight="false" outlineLevel="0" collapsed="false">
      <c r="A169" s="38" t="n">
        <v>166</v>
      </c>
      <c r="B169" s="38" t="s">
        <v>93</v>
      </c>
      <c r="C169" s="38" t="s">
        <v>347</v>
      </c>
      <c r="D169" s="38" t="s">
        <v>626</v>
      </c>
      <c r="E169" s="39" t="n">
        <v>0</v>
      </c>
      <c r="F169" s="39" t="n">
        <v>647189</v>
      </c>
      <c r="G169" s="33" t="n">
        <f aca="false">E169-F169</f>
        <v>-647189</v>
      </c>
      <c r="H169" s="27" t="n">
        <v>46063</v>
      </c>
      <c r="I169" s="38" t="s">
        <v>627</v>
      </c>
      <c r="J169" s="38" t="s">
        <v>638</v>
      </c>
      <c r="K169" s="38" t="s">
        <v>350</v>
      </c>
      <c r="L169" s="38" t="s">
        <v>639</v>
      </c>
      <c r="M169" s="38" t="s">
        <v>315</v>
      </c>
      <c r="N169" s="34" t="s">
        <v>352</v>
      </c>
      <c r="O169" s="26" t="s">
        <v>353</v>
      </c>
      <c r="P169" s="26" t="s">
        <v>353</v>
      </c>
    </row>
    <row r="170" customFormat="false" ht="15" hidden="false" customHeight="false" outlineLevel="0" collapsed="false">
      <c r="A170" s="38" t="n">
        <v>167</v>
      </c>
      <c r="B170" s="38" t="s">
        <v>93</v>
      </c>
      <c r="C170" s="38" t="s">
        <v>347</v>
      </c>
      <c r="D170" s="38" t="s">
        <v>626</v>
      </c>
      <c r="E170" s="39" t="n">
        <v>0</v>
      </c>
      <c r="F170" s="39" t="n">
        <v>2160887</v>
      </c>
      <c r="G170" s="33" t="n">
        <f aca="false">E170-F170</f>
        <v>-2160887</v>
      </c>
      <c r="H170" s="27" t="n">
        <v>46073</v>
      </c>
      <c r="I170" s="38" t="s">
        <v>627</v>
      </c>
      <c r="J170" s="38" t="s">
        <v>640</v>
      </c>
      <c r="K170" s="38" t="s">
        <v>350</v>
      </c>
      <c r="L170" s="38" t="s">
        <v>641</v>
      </c>
      <c r="M170" s="38" t="s">
        <v>315</v>
      </c>
      <c r="N170" s="34" t="s">
        <v>352</v>
      </c>
      <c r="O170" s="26" t="s">
        <v>353</v>
      </c>
      <c r="P170" s="26" t="s">
        <v>353</v>
      </c>
    </row>
    <row r="171" customFormat="false" ht="15" hidden="false" customHeight="false" outlineLevel="0" collapsed="false">
      <c r="A171" s="38" t="n">
        <v>168</v>
      </c>
      <c r="B171" s="38" t="s">
        <v>93</v>
      </c>
      <c r="C171" s="38" t="s">
        <v>347</v>
      </c>
      <c r="D171" s="38" t="s">
        <v>626</v>
      </c>
      <c r="E171" s="39" t="n">
        <v>0</v>
      </c>
      <c r="F171" s="39" t="n">
        <v>4789492.16</v>
      </c>
      <c r="G171" s="33" t="n">
        <f aca="false">E171-F171</f>
        <v>-4789492.16</v>
      </c>
      <c r="H171" s="27" t="n">
        <v>46076</v>
      </c>
      <c r="I171" s="38" t="s">
        <v>627</v>
      </c>
      <c r="J171" s="38" t="s">
        <v>642</v>
      </c>
      <c r="K171" s="38" t="s">
        <v>350</v>
      </c>
      <c r="L171" s="38" t="s">
        <v>643</v>
      </c>
      <c r="M171" s="38" t="s">
        <v>315</v>
      </c>
      <c r="N171" s="34" t="s">
        <v>352</v>
      </c>
      <c r="O171" s="26" t="s">
        <v>353</v>
      </c>
      <c r="P171" s="26" t="s">
        <v>353</v>
      </c>
    </row>
    <row r="172" customFormat="false" ht="15" hidden="false" customHeight="false" outlineLevel="0" collapsed="false">
      <c r="A172" s="38" t="n">
        <v>169</v>
      </c>
      <c r="B172" s="38" t="s">
        <v>93</v>
      </c>
      <c r="C172" s="38" t="s">
        <v>347</v>
      </c>
      <c r="D172" s="38" t="s">
        <v>626</v>
      </c>
      <c r="E172" s="39" t="n">
        <v>2160887</v>
      </c>
      <c r="F172" s="39" t="n">
        <v>0</v>
      </c>
      <c r="G172" s="33" t="n">
        <f aca="false">E172-F172</f>
        <v>2160887</v>
      </c>
      <c r="H172" s="27" t="n">
        <v>46079</v>
      </c>
      <c r="I172" s="38" t="s">
        <v>627</v>
      </c>
      <c r="J172" s="38" t="s">
        <v>644</v>
      </c>
      <c r="K172" s="38" t="s">
        <v>295</v>
      </c>
      <c r="L172" s="38" t="s">
        <v>641</v>
      </c>
      <c r="M172" s="38" t="s">
        <v>464</v>
      </c>
      <c r="N172" s="34" t="s">
        <v>352</v>
      </c>
      <c r="O172" s="26" t="s">
        <v>353</v>
      </c>
      <c r="P172" s="26" t="s">
        <v>353</v>
      </c>
    </row>
    <row r="173" customFormat="false" ht="15" hidden="false" customHeight="false" outlineLevel="0" collapsed="false">
      <c r="A173" s="38" t="n">
        <v>170</v>
      </c>
      <c r="B173" s="38" t="s">
        <v>93</v>
      </c>
      <c r="C173" s="38" t="s">
        <v>347</v>
      </c>
      <c r="D173" s="38" t="s">
        <v>626</v>
      </c>
      <c r="E173" s="39" t="n">
        <v>0</v>
      </c>
      <c r="F173" s="39" t="n">
        <v>1460992</v>
      </c>
      <c r="G173" s="33" t="n">
        <f aca="false">E173-F173</f>
        <v>-1460992</v>
      </c>
      <c r="H173" s="27" t="n">
        <v>46098</v>
      </c>
      <c r="I173" s="38" t="s">
        <v>627</v>
      </c>
      <c r="J173" s="38" t="s">
        <v>645</v>
      </c>
      <c r="K173" s="38" t="s">
        <v>350</v>
      </c>
      <c r="L173" s="38" t="s">
        <v>646</v>
      </c>
      <c r="M173" s="38" t="s">
        <v>315</v>
      </c>
      <c r="N173" s="34" t="s">
        <v>352</v>
      </c>
      <c r="O173" s="26" t="s">
        <v>353</v>
      </c>
      <c r="P173" s="26" t="s">
        <v>353</v>
      </c>
    </row>
    <row r="174" customFormat="false" ht="15" hidden="false" customHeight="false" outlineLevel="0" collapsed="false">
      <c r="A174" s="38" t="n">
        <v>171</v>
      </c>
      <c r="B174" s="38" t="s">
        <v>93</v>
      </c>
      <c r="C174" s="38" t="s">
        <v>347</v>
      </c>
      <c r="D174" s="38" t="s">
        <v>626</v>
      </c>
      <c r="E174" s="39" t="n">
        <v>0</v>
      </c>
      <c r="F174" s="39" t="n">
        <v>1188372</v>
      </c>
      <c r="G174" s="33" t="n">
        <f aca="false">E174-F174</f>
        <v>-1188372</v>
      </c>
      <c r="H174" s="27" t="n">
        <v>46108</v>
      </c>
      <c r="I174" s="38" t="s">
        <v>627</v>
      </c>
      <c r="J174" s="38" t="s">
        <v>647</v>
      </c>
      <c r="K174" s="38" t="s">
        <v>350</v>
      </c>
      <c r="L174" s="38" t="s">
        <v>648</v>
      </c>
      <c r="M174" s="38" t="s">
        <v>315</v>
      </c>
      <c r="N174" s="34" t="s">
        <v>352</v>
      </c>
      <c r="O174" s="26" t="s">
        <v>353</v>
      </c>
      <c r="P174" s="26" t="s">
        <v>353</v>
      </c>
    </row>
    <row r="175" customFormat="false" ht="15" hidden="false" customHeight="false" outlineLevel="0" collapsed="false">
      <c r="A175" s="38" t="n">
        <v>172</v>
      </c>
      <c r="B175" s="38" t="s">
        <v>93</v>
      </c>
      <c r="C175" s="38" t="s">
        <v>347</v>
      </c>
      <c r="D175" s="38" t="s">
        <v>626</v>
      </c>
      <c r="E175" s="39" t="n">
        <v>4669037</v>
      </c>
      <c r="F175" s="39" t="n">
        <v>0</v>
      </c>
      <c r="G175" s="33" t="n">
        <f aca="false">E175-F175</f>
        <v>4669037</v>
      </c>
      <c r="H175" s="27" t="n">
        <v>46129</v>
      </c>
      <c r="I175" s="38" t="s">
        <v>301</v>
      </c>
      <c r="J175" s="38" t="s">
        <v>405</v>
      </c>
      <c r="K175" s="38" t="s">
        <v>350</v>
      </c>
      <c r="L175" s="38" t="s">
        <v>406</v>
      </c>
      <c r="M175" s="38" t="s">
        <v>315</v>
      </c>
      <c r="N175" s="34" t="s">
        <v>352</v>
      </c>
      <c r="O175" s="26" t="s">
        <v>353</v>
      </c>
      <c r="P175" s="26" t="s">
        <v>353</v>
      </c>
    </row>
    <row r="176" customFormat="false" ht="15" hidden="false" customHeight="false" outlineLevel="0" collapsed="false">
      <c r="A176" s="38" t="n">
        <v>173</v>
      </c>
      <c r="B176" s="38" t="s">
        <v>93</v>
      </c>
      <c r="C176" s="38" t="s">
        <v>347</v>
      </c>
      <c r="D176" s="38" t="s">
        <v>626</v>
      </c>
      <c r="E176" s="39" t="n">
        <v>7438856.16</v>
      </c>
      <c r="F176" s="39" t="n">
        <v>0</v>
      </c>
      <c r="G176" s="33" t="n">
        <f aca="false">E176-F176</f>
        <v>7438856.16</v>
      </c>
      <c r="H176" s="27" t="n">
        <v>46135</v>
      </c>
      <c r="I176" s="38" t="s">
        <v>301</v>
      </c>
      <c r="J176" s="38" t="s">
        <v>407</v>
      </c>
      <c r="K176" s="38" t="s">
        <v>350</v>
      </c>
      <c r="L176" s="38" t="s">
        <v>408</v>
      </c>
      <c r="M176" s="38" t="s">
        <v>315</v>
      </c>
      <c r="N176" s="34" t="s">
        <v>352</v>
      </c>
      <c r="O176" s="26" t="s">
        <v>353</v>
      </c>
      <c r="P176" s="26" t="s">
        <v>353</v>
      </c>
    </row>
    <row r="177" customFormat="false" ht="15" hidden="false" customHeight="false" outlineLevel="0" collapsed="false">
      <c r="A177" s="38" t="n">
        <v>174</v>
      </c>
      <c r="B177" s="38" t="s">
        <v>93</v>
      </c>
      <c r="C177" s="38" t="s">
        <v>347</v>
      </c>
      <c r="D177" s="38" t="s">
        <v>626</v>
      </c>
      <c r="E177" s="39" t="n">
        <v>0</v>
      </c>
      <c r="F177" s="39" t="n">
        <v>1152872</v>
      </c>
      <c r="G177" s="33" t="n">
        <f aca="false">E177-F177</f>
        <v>-1152872</v>
      </c>
      <c r="H177" s="27" t="n">
        <v>46135</v>
      </c>
      <c r="I177" s="38" t="s">
        <v>627</v>
      </c>
      <c r="J177" s="38" t="s">
        <v>649</v>
      </c>
      <c r="K177" s="38" t="s">
        <v>350</v>
      </c>
      <c r="L177" s="38" t="s">
        <v>650</v>
      </c>
      <c r="M177" s="38" t="s">
        <v>315</v>
      </c>
      <c r="N177" s="34" t="s">
        <v>352</v>
      </c>
      <c r="O177" s="26" t="s">
        <v>353</v>
      </c>
      <c r="P177" s="26" t="s">
        <v>353</v>
      </c>
    </row>
    <row r="178" customFormat="false" ht="15" hidden="false" customHeight="false" outlineLevel="0" collapsed="false">
      <c r="A178" s="38" t="n">
        <v>175</v>
      </c>
      <c r="B178" s="38" t="s">
        <v>93</v>
      </c>
      <c r="C178" s="38" t="s">
        <v>347</v>
      </c>
      <c r="D178" s="38" t="s">
        <v>626</v>
      </c>
      <c r="E178" s="39" t="n">
        <v>0</v>
      </c>
      <c r="F178" s="39" t="n">
        <v>527546</v>
      </c>
      <c r="G178" s="33" t="n">
        <f aca="false">E178-F178</f>
        <v>-527546</v>
      </c>
      <c r="H178" s="27" t="n">
        <v>46167</v>
      </c>
      <c r="I178" s="38" t="s">
        <v>627</v>
      </c>
      <c r="J178" s="38" t="s">
        <v>651</v>
      </c>
      <c r="K178" s="38" t="s">
        <v>350</v>
      </c>
      <c r="L178" s="38" t="s">
        <v>652</v>
      </c>
      <c r="M178" s="38" t="s">
        <v>315</v>
      </c>
      <c r="N178" s="34" t="s">
        <v>352</v>
      </c>
      <c r="O178" s="26" t="s">
        <v>353</v>
      </c>
      <c r="P178" s="26" t="s">
        <v>353</v>
      </c>
    </row>
    <row r="179" customFormat="false" ht="15" hidden="false" customHeight="false" outlineLevel="0" collapsed="false">
      <c r="A179" s="38" t="n">
        <v>176</v>
      </c>
      <c r="B179" s="38" t="s">
        <v>93</v>
      </c>
      <c r="C179" s="38" t="s">
        <v>347</v>
      </c>
      <c r="D179" s="38" t="s">
        <v>626</v>
      </c>
      <c r="E179" s="39" t="n">
        <v>0</v>
      </c>
      <c r="F179" s="39" t="n">
        <v>1556203.96</v>
      </c>
      <c r="G179" s="33" t="n">
        <f aca="false">E179-F179</f>
        <v>-1556203.96</v>
      </c>
      <c r="H179" s="27" t="n">
        <v>46172</v>
      </c>
      <c r="I179" s="38" t="s">
        <v>627</v>
      </c>
      <c r="J179" s="38" t="s">
        <v>653</v>
      </c>
      <c r="K179" s="38" t="s">
        <v>350</v>
      </c>
      <c r="L179" s="38" t="s">
        <v>654</v>
      </c>
      <c r="M179" s="38" t="s">
        <v>315</v>
      </c>
      <c r="N179" s="34" t="s">
        <v>352</v>
      </c>
      <c r="O179" s="26" t="s">
        <v>353</v>
      </c>
      <c r="P179" s="26" t="s">
        <v>353</v>
      </c>
    </row>
    <row r="180" customFormat="false" ht="15" hidden="false" customHeight="false" outlineLevel="0" collapsed="false">
      <c r="A180" s="38" t="n">
        <v>177</v>
      </c>
      <c r="B180" s="38" t="s">
        <v>93</v>
      </c>
      <c r="C180" s="38" t="s">
        <v>347</v>
      </c>
      <c r="D180" s="38" t="s">
        <v>626</v>
      </c>
      <c r="E180" s="39" t="n">
        <v>0</v>
      </c>
      <c r="F180" s="39" t="n">
        <v>2625505.96</v>
      </c>
      <c r="G180" s="33" t="n">
        <f aca="false">E180-F180</f>
        <v>-2625505.96</v>
      </c>
      <c r="H180" s="27" t="n">
        <v>46172</v>
      </c>
      <c r="I180" s="38" t="s">
        <v>627</v>
      </c>
      <c r="J180" s="38" t="s">
        <v>655</v>
      </c>
      <c r="K180" s="38" t="s">
        <v>350</v>
      </c>
      <c r="L180" s="38" t="s">
        <v>656</v>
      </c>
      <c r="M180" s="38" t="s">
        <v>315</v>
      </c>
      <c r="N180" s="34" t="s">
        <v>352</v>
      </c>
      <c r="O180" s="26" t="s">
        <v>353</v>
      </c>
      <c r="P180" s="26" t="s">
        <v>353</v>
      </c>
    </row>
    <row r="181" customFormat="false" ht="15" hidden="false" customHeight="false" outlineLevel="0" collapsed="false">
      <c r="A181" s="38" t="n">
        <v>178</v>
      </c>
      <c r="B181" s="38" t="s">
        <v>93</v>
      </c>
      <c r="C181" s="38" t="s">
        <v>347</v>
      </c>
      <c r="D181" s="38" t="s">
        <v>626</v>
      </c>
      <c r="E181" s="39" t="n">
        <v>0</v>
      </c>
      <c r="F181" s="39" t="n">
        <v>2397832</v>
      </c>
      <c r="G181" s="33" t="n">
        <f aca="false">E181-F181</f>
        <v>-2397832</v>
      </c>
      <c r="H181" s="27" t="n">
        <v>46185</v>
      </c>
      <c r="I181" s="38" t="s">
        <v>627</v>
      </c>
      <c r="J181" s="38" t="s">
        <v>657</v>
      </c>
      <c r="K181" s="38" t="s">
        <v>350</v>
      </c>
      <c r="L181" s="38" t="s">
        <v>658</v>
      </c>
      <c r="M181" s="38" t="s">
        <v>315</v>
      </c>
      <c r="N181" s="34" t="s">
        <v>352</v>
      </c>
      <c r="O181" s="26" t="s">
        <v>353</v>
      </c>
      <c r="P181" s="26" t="s">
        <v>353</v>
      </c>
    </row>
    <row r="182" customFormat="false" ht="15" hidden="false" customHeight="false" outlineLevel="0" collapsed="false">
      <c r="A182" s="38" t="n">
        <v>179</v>
      </c>
      <c r="B182" s="38" t="s">
        <v>93</v>
      </c>
      <c r="C182" s="38" t="s">
        <v>347</v>
      </c>
      <c r="D182" s="38" t="s">
        <v>626</v>
      </c>
      <c r="E182" s="39" t="n">
        <v>0</v>
      </c>
      <c r="F182" s="39" t="n">
        <v>668276</v>
      </c>
      <c r="G182" s="33" t="n">
        <f aca="false">E182-F182</f>
        <v>-668276</v>
      </c>
      <c r="H182" s="27" t="n">
        <v>46191</v>
      </c>
      <c r="I182" s="38" t="s">
        <v>627</v>
      </c>
      <c r="J182" s="38" t="s">
        <v>659</v>
      </c>
      <c r="K182" s="38" t="s">
        <v>350</v>
      </c>
      <c r="L182" s="38" t="s">
        <v>660</v>
      </c>
      <c r="M182" s="38" t="s">
        <v>315</v>
      </c>
      <c r="N182" s="34" t="s">
        <v>352</v>
      </c>
      <c r="O182" s="26" t="s">
        <v>353</v>
      </c>
      <c r="P182" s="26" t="s">
        <v>353</v>
      </c>
    </row>
    <row r="183" customFormat="false" ht="15" hidden="false" customHeight="false" outlineLevel="0" collapsed="false">
      <c r="A183" s="38" t="n">
        <v>180</v>
      </c>
      <c r="B183" s="38" t="s">
        <v>93</v>
      </c>
      <c r="C183" s="38" t="s">
        <v>347</v>
      </c>
      <c r="D183" s="38" t="s">
        <v>626</v>
      </c>
      <c r="E183" s="39" t="n">
        <v>0</v>
      </c>
      <c r="F183" s="39" t="n">
        <v>196350</v>
      </c>
      <c r="G183" s="33" t="n">
        <f aca="false">E183-F183</f>
        <v>-196350</v>
      </c>
      <c r="H183" s="27" t="n">
        <v>46191</v>
      </c>
      <c r="I183" s="38" t="s">
        <v>627</v>
      </c>
      <c r="J183" s="38" t="s">
        <v>661</v>
      </c>
      <c r="K183" s="38" t="s">
        <v>350</v>
      </c>
      <c r="L183" s="38" t="s">
        <v>662</v>
      </c>
      <c r="M183" s="38" t="s">
        <v>315</v>
      </c>
      <c r="N183" s="34" t="s">
        <v>352</v>
      </c>
      <c r="O183" s="26" t="s">
        <v>353</v>
      </c>
      <c r="P183" s="26" t="s">
        <v>353</v>
      </c>
    </row>
    <row r="184" customFormat="false" ht="15" hidden="false" customHeight="false" outlineLevel="0" collapsed="false">
      <c r="A184" s="38" t="n">
        <v>181</v>
      </c>
      <c r="B184" s="38" t="s">
        <v>93</v>
      </c>
      <c r="C184" s="38" t="s">
        <v>347</v>
      </c>
      <c r="D184" s="38" t="s">
        <v>626</v>
      </c>
      <c r="E184" s="39" t="n">
        <v>0</v>
      </c>
      <c r="F184" s="39" t="n">
        <v>196350</v>
      </c>
      <c r="G184" s="33" t="n">
        <f aca="false">E184-F184</f>
        <v>-196350</v>
      </c>
      <c r="H184" s="27" t="n">
        <v>46191</v>
      </c>
      <c r="I184" s="38" t="s">
        <v>627</v>
      </c>
      <c r="J184" s="38" t="s">
        <v>663</v>
      </c>
      <c r="K184" s="38" t="s">
        <v>350</v>
      </c>
      <c r="L184" s="38" t="s">
        <v>664</v>
      </c>
      <c r="M184" s="38" t="s">
        <v>315</v>
      </c>
      <c r="N184" s="34" t="s">
        <v>352</v>
      </c>
      <c r="O184" s="26" t="s">
        <v>353</v>
      </c>
      <c r="P184" s="26" t="s">
        <v>353</v>
      </c>
    </row>
    <row r="185" customFormat="false" ht="15" hidden="false" customHeight="false" outlineLevel="0" collapsed="false">
      <c r="A185" s="38" t="n">
        <v>182</v>
      </c>
      <c r="B185" s="38" t="s">
        <v>93</v>
      </c>
      <c r="C185" s="38" t="s">
        <v>347</v>
      </c>
      <c r="D185" s="38" t="s">
        <v>626</v>
      </c>
      <c r="E185" s="39" t="n">
        <v>1152872</v>
      </c>
      <c r="F185" s="39" t="n">
        <v>0</v>
      </c>
      <c r="G185" s="33" t="n">
        <f aca="false">E185-F185</f>
        <v>1152872</v>
      </c>
      <c r="H185" s="27" t="n">
        <v>46203</v>
      </c>
      <c r="I185" s="38" t="s">
        <v>301</v>
      </c>
      <c r="J185" s="38" t="s">
        <v>418</v>
      </c>
      <c r="K185" s="38" t="s">
        <v>350</v>
      </c>
      <c r="L185" s="38" t="s">
        <v>419</v>
      </c>
      <c r="M185" s="38" t="s">
        <v>315</v>
      </c>
      <c r="N185" s="34" t="s">
        <v>352</v>
      </c>
      <c r="O185" s="26" t="s">
        <v>353</v>
      </c>
      <c r="P185" s="26" t="s">
        <v>353</v>
      </c>
    </row>
    <row r="186" customFormat="false" ht="15" hidden="false" customHeight="false" outlineLevel="0" collapsed="false">
      <c r="A186" s="38" t="n">
        <v>183</v>
      </c>
      <c r="B186" s="38" t="s">
        <v>93</v>
      </c>
      <c r="C186" s="38" t="s">
        <v>347</v>
      </c>
      <c r="D186" s="38" t="s">
        <v>626</v>
      </c>
      <c r="E186" s="39" t="n">
        <v>0</v>
      </c>
      <c r="F186" s="39" t="n">
        <v>1301642</v>
      </c>
      <c r="G186" s="33" t="n">
        <f aca="false">E186-F186</f>
        <v>-1301642</v>
      </c>
      <c r="H186" s="27" t="n">
        <v>46203</v>
      </c>
      <c r="I186" s="38" t="s">
        <v>627</v>
      </c>
      <c r="J186" s="38" t="s">
        <v>665</v>
      </c>
      <c r="K186" s="38" t="s">
        <v>350</v>
      </c>
      <c r="L186" s="38" t="s">
        <v>666</v>
      </c>
      <c r="M186" s="38" t="s">
        <v>315</v>
      </c>
      <c r="N186" s="34" t="s">
        <v>352</v>
      </c>
      <c r="O186" s="26" t="s">
        <v>353</v>
      </c>
      <c r="P186" s="26" t="s">
        <v>353</v>
      </c>
    </row>
    <row r="187" customFormat="false" ht="15" hidden="false" customHeight="false" outlineLevel="0" collapsed="false">
      <c r="A187" s="38" t="n">
        <v>184</v>
      </c>
      <c r="B187" s="38" t="s">
        <v>93</v>
      </c>
      <c r="C187" s="38" t="s">
        <v>347</v>
      </c>
      <c r="D187" s="38" t="s">
        <v>626</v>
      </c>
      <c r="E187" s="39" t="n">
        <v>6611859.96</v>
      </c>
      <c r="F187" s="39" t="n">
        <v>0</v>
      </c>
      <c r="G187" s="33" t="n">
        <f aca="false">E187-F187</f>
        <v>6611859.96</v>
      </c>
      <c r="H187" s="27" t="n">
        <v>46234</v>
      </c>
      <c r="I187" s="38" t="s">
        <v>301</v>
      </c>
      <c r="J187" s="38" t="s">
        <v>422</v>
      </c>
      <c r="K187" s="38" t="s">
        <v>350</v>
      </c>
      <c r="L187" s="38" t="s">
        <v>423</v>
      </c>
      <c r="M187" s="38" t="s">
        <v>315</v>
      </c>
      <c r="N187" s="34" t="s">
        <v>352</v>
      </c>
      <c r="O187" s="26" t="s">
        <v>353</v>
      </c>
      <c r="P187" s="26" t="s">
        <v>353</v>
      </c>
    </row>
    <row r="188" customFormat="false" ht="15" hidden="false" customHeight="false" outlineLevel="0" collapsed="false">
      <c r="A188" s="38" t="n">
        <v>185</v>
      </c>
      <c r="B188" s="38" t="s">
        <v>93</v>
      </c>
      <c r="C188" s="38" t="s">
        <v>347</v>
      </c>
      <c r="D188" s="38" t="s">
        <v>626</v>
      </c>
      <c r="E188" s="39" t="n">
        <v>0</v>
      </c>
      <c r="F188" s="39" t="n">
        <v>1426849</v>
      </c>
      <c r="G188" s="33" t="n">
        <f aca="false">E188-F188</f>
        <v>-1426849</v>
      </c>
      <c r="H188" s="27" t="n">
        <v>46234</v>
      </c>
      <c r="I188" s="38" t="s">
        <v>627</v>
      </c>
      <c r="J188" s="38" t="s">
        <v>667</v>
      </c>
      <c r="K188" s="38" t="s">
        <v>350</v>
      </c>
      <c r="L188" s="38" t="s">
        <v>668</v>
      </c>
      <c r="M188" s="38" t="s">
        <v>315</v>
      </c>
      <c r="N188" s="34" t="s">
        <v>352</v>
      </c>
      <c r="O188" s="26" t="s">
        <v>353</v>
      </c>
      <c r="P188" s="26" t="s">
        <v>353</v>
      </c>
    </row>
    <row r="189" customFormat="false" ht="15" hidden="false" customHeight="false" outlineLevel="0" collapsed="false">
      <c r="A189" s="38" t="n">
        <v>186</v>
      </c>
      <c r="B189" s="38" t="s">
        <v>93</v>
      </c>
      <c r="C189" s="38" t="s">
        <v>347</v>
      </c>
      <c r="D189" s="38" t="s">
        <v>669</v>
      </c>
      <c r="E189" s="39" t="n">
        <v>0</v>
      </c>
      <c r="F189" s="39" t="n">
        <v>839111</v>
      </c>
      <c r="G189" s="33" t="n">
        <f aca="false">E189-F189</f>
        <v>-839111</v>
      </c>
      <c r="H189" s="27" t="n">
        <v>46168</v>
      </c>
      <c r="I189" s="38" t="s">
        <v>670</v>
      </c>
      <c r="J189" s="38" t="s">
        <v>671</v>
      </c>
      <c r="K189" s="38" t="s">
        <v>350</v>
      </c>
      <c r="L189" s="38" t="s">
        <v>672</v>
      </c>
      <c r="M189" s="38" t="s">
        <v>315</v>
      </c>
      <c r="N189" s="34" t="s">
        <v>352</v>
      </c>
      <c r="O189" s="26" t="s">
        <v>353</v>
      </c>
      <c r="P189" s="26" t="s">
        <v>353</v>
      </c>
    </row>
    <row r="190" customFormat="false" ht="15" hidden="false" customHeight="false" outlineLevel="0" collapsed="false">
      <c r="A190" s="38" t="n">
        <v>187</v>
      </c>
      <c r="B190" s="38" t="s">
        <v>93</v>
      </c>
      <c r="C190" s="38" t="s">
        <v>347</v>
      </c>
      <c r="D190" s="38" t="s">
        <v>669</v>
      </c>
      <c r="E190" s="39" t="n">
        <v>0</v>
      </c>
      <c r="F190" s="39" t="n">
        <v>1027037</v>
      </c>
      <c r="G190" s="33" t="n">
        <f aca="false">E190-F190</f>
        <v>-1027037</v>
      </c>
      <c r="H190" s="27" t="n">
        <v>46191</v>
      </c>
      <c r="I190" s="38" t="s">
        <v>670</v>
      </c>
      <c r="J190" s="38" t="s">
        <v>673</v>
      </c>
      <c r="K190" s="38" t="s">
        <v>350</v>
      </c>
      <c r="L190" s="38" t="s">
        <v>674</v>
      </c>
      <c r="M190" s="38" t="s">
        <v>315</v>
      </c>
      <c r="N190" s="34" t="s">
        <v>352</v>
      </c>
      <c r="O190" s="26" t="s">
        <v>353</v>
      </c>
      <c r="P190" s="26" t="s">
        <v>353</v>
      </c>
    </row>
    <row r="191" customFormat="false" ht="15" hidden="false" customHeight="false" outlineLevel="0" collapsed="false">
      <c r="A191" s="38" t="n">
        <v>188</v>
      </c>
      <c r="B191" s="38" t="s">
        <v>93</v>
      </c>
      <c r="C191" s="38" t="s">
        <v>347</v>
      </c>
      <c r="D191" s="38" t="s">
        <v>669</v>
      </c>
      <c r="E191" s="39" t="n">
        <v>839111</v>
      </c>
      <c r="F191" s="39" t="n">
        <v>0</v>
      </c>
      <c r="G191" s="33" t="n">
        <f aca="false">E191-F191</f>
        <v>839111</v>
      </c>
      <c r="H191" s="27" t="n">
        <v>46198</v>
      </c>
      <c r="I191" s="38" t="s">
        <v>301</v>
      </c>
      <c r="J191" s="38" t="s">
        <v>349</v>
      </c>
      <c r="K191" s="38" t="s">
        <v>350</v>
      </c>
      <c r="L191" s="38" t="s">
        <v>351</v>
      </c>
      <c r="M191" s="38" t="s">
        <v>315</v>
      </c>
      <c r="N191" s="34" t="s">
        <v>352</v>
      </c>
      <c r="O191" s="26" t="s">
        <v>353</v>
      </c>
      <c r="P191" s="26" t="s">
        <v>353</v>
      </c>
    </row>
    <row r="192" customFormat="false" ht="15" hidden="false" customHeight="false" outlineLevel="0" collapsed="false">
      <c r="A192" s="38" t="n">
        <v>189</v>
      </c>
      <c r="B192" s="38" t="s">
        <v>93</v>
      </c>
      <c r="C192" s="38" t="s">
        <v>347</v>
      </c>
      <c r="D192" s="38" t="s">
        <v>675</v>
      </c>
      <c r="E192" s="39" t="n">
        <v>389899.93</v>
      </c>
      <c r="F192" s="39" t="n">
        <v>0</v>
      </c>
      <c r="G192" s="33" t="n">
        <f aca="false">E192-F192</f>
        <v>389899.93</v>
      </c>
      <c r="H192" s="27" t="n">
        <v>46173</v>
      </c>
      <c r="I192" s="38" t="s">
        <v>301</v>
      </c>
      <c r="J192" s="38" t="s">
        <v>377</v>
      </c>
      <c r="K192" s="38" t="s">
        <v>363</v>
      </c>
      <c r="L192" s="38" t="s">
        <v>378</v>
      </c>
      <c r="M192" s="38" t="s">
        <v>379</v>
      </c>
      <c r="N192" s="34" t="s">
        <v>352</v>
      </c>
      <c r="O192" s="26" t="s">
        <v>353</v>
      </c>
      <c r="P192" s="26" t="s">
        <v>353</v>
      </c>
    </row>
    <row r="193" customFormat="false" ht="15" hidden="false" customHeight="false" outlineLevel="0" collapsed="false">
      <c r="A193" s="38" t="n">
        <v>190</v>
      </c>
      <c r="B193" s="38" t="s">
        <v>93</v>
      </c>
      <c r="C193" s="38" t="s">
        <v>347</v>
      </c>
      <c r="D193" s="38" t="s">
        <v>676</v>
      </c>
      <c r="E193" s="39" t="n">
        <v>1100000.3</v>
      </c>
      <c r="F193" s="39" t="n">
        <v>0</v>
      </c>
      <c r="G193" s="33" t="n">
        <f aca="false">E193-F193</f>
        <v>1100000.3</v>
      </c>
      <c r="H193" s="27" t="n">
        <v>46173</v>
      </c>
      <c r="I193" s="38" t="s">
        <v>301</v>
      </c>
      <c r="J193" s="38" t="s">
        <v>377</v>
      </c>
      <c r="K193" s="38" t="s">
        <v>363</v>
      </c>
      <c r="L193" s="38" t="s">
        <v>378</v>
      </c>
      <c r="M193" s="38" t="s">
        <v>379</v>
      </c>
      <c r="N193" s="34" t="s">
        <v>352</v>
      </c>
      <c r="O193" s="26" t="s">
        <v>353</v>
      </c>
      <c r="P193" s="26" t="s">
        <v>353</v>
      </c>
    </row>
    <row r="194" customFormat="false" ht="15" hidden="false" customHeight="false" outlineLevel="0" collapsed="false">
      <c r="A194" s="38" t="n">
        <v>191</v>
      </c>
      <c r="B194" s="38" t="s">
        <v>93</v>
      </c>
      <c r="C194" s="38" t="s">
        <v>347</v>
      </c>
      <c r="D194" s="38" t="s">
        <v>677</v>
      </c>
      <c r="E194" s="39" t="n">
        <v>241902</v>
      </c>
      <c r="F194" s="39" t="n">
        <v>0</v>
      </c>
      <c r="G194" s="33" t="n">
        <f aca="false">E194-F194</f>
        <v>241902</v>
      </c>
      <c r="H194" s="27" t="n">
        <v>46129</v>
      </c>
      <c r="I194" s="38" t="s">
        <v>301</v>
      </c>
      <c r="J194" s="38" t="s">
        <v>678</v>
      </c>
      <c r="K194" s="38" t="s">
        <v>350</v>
      </c>
      <c r="L194" s="38" t="s">
        <v>679</v>
      </c>
      <c r="M194" s="38" t="s">
        <v>315</v>
      </c>
      <c r="N194" s="34" t="s">
        <v>352</v>
      </c>
      <c r="O194" s="26" t="s">
        <v>353</v>
      </c>
      <c r="P194" s="26" t="s">
        <v>353</v>
      </c>
    </row>
    <row r="195" customFormat="false" ht="15" hidden="false" customHeight="false" outlineLevel="0" collapsed="false">
      <c r="A195" s="38" t="n">
        <v>192</v>
      </c>
      <c r="B195" s="38" t="s">
        <v>93</v>
      </c>
      <c r="C195" s="38" t="s">
        <v>347</v>
      </c>
      <c r="D195" s="38" t="s">
        <v>677</v>
      </c>
      <c r="E195" s="39" t="n">
        <v>0</v>
      </c>
      <c r="F195" s="39" t="n">
        <v>241902</v>
      </c>
      <c r="G195" s="33" t="n">
        <f aca="false">E195-F195</f>
        <v>-241902</v>
      </c>
      <c r="H195" s="27" t="n">
        <v>46129</v>
      </c>
      <c r="I195" s="38" t="s">
        <v>680</v>
      </c>
      <c r="J195" s="38" t="s">
        <v>681</v>
      </c>
      <c r="K195" s="38" t="s">
        <v>350</v>
      </c>
      <c r="L195" s="38" t="s">
        <v>682</v>
      </c>
      <c r="M195" s="38" t="s">
        <v>315</v>
      </c>
      <c r="N195" s="34" t="s">
        <v>352</v>
      </c>
      <c r="O195" s="26" t="s">
        <v>353</v>
      </c>
      <c r="P195" s="26" t="s">
        <v>353</v>
      </c>
    </row>
    <row r="196" customFormat="false" ht="15" hidden="false" customHeight="false" outlineLevel="0" collapsed="false">
      <c r="A196" s="38" t="n">
        <v>193</v>
      </c>
      <c r="B196" s="38" t="s">
        <v>93</v>
      </c>
      <c r="C196" s="38" t="s">
        <v>347</v>
      </c>
      <c r="D196" s="38" t="s">
        <v>683</v>
      </c>
      <c r="E196" s="39" t="n">
        <v>0</v>
      </c>
      <c r="F196" s="39" t="n">
        <v>309569</v>
      </c>
      <c r="G196" s="33" t="n">
        <f aca="false">E196-F196</f>
        <v>-309569</v>
      </c>
      <c r="H196" s="27" t="n">
        <v>46081</v>
      </c>
      <c r="I196" s="38" t="s">
        <v>684</v>
      </c>
      <c r="J196" s="38" t="s">
        <v>685</v>
      </c>
      <c r="K196" s="38" t="s">
        <v>350</v>
      </c>
      <c r="L196" s="38" t="s">
        <v>686</v>
      </c>
      <c r="M196" s="38" t="s">
        <v>315</v>
      </c>
      <c r="N196" s="34" t="s">
        <v>352</v>
      </c>
      <c r="O196" s="26" t="s">
        <v>353</v>
      </c>
      <c r="P196" s="26" t="s">
        <v>353</v>
      </c>
    </row>
    <row r="197" customFormat="false" ht="15" hidden="false" customHeight="false" outlineLevel="0" collapsed="false">
      <c r="A197" s="38" t="n">
        <v>194</v>
      </c>
      <c r="B197" s="38" t="s">
        <v>93</v>
      </c>
      <c r="C197" s="38" t="s">
        <v>347</v>
      </c>
      <c r="D197" s="38" t="s">
        <v>683</v>
      </c>
      <c r="E197" s="39" t="n">
        <v>309569</v>
      </c>
      <c r="F197" s="39" t="n">
        <v>0</v>
      </c>
      <c r="G197" s="33" t="n">
        <f aca="false">E197-F197</f>
        <v>309569</v>
      </c>
      <c r="H197" s="27" t="n">
        <v>46129</v>
      </c>
      <c r="I197" s="38" t="s">
        <v>301</v>
      </c>
      <c r="J197" s="38" t="s">
        <v>678</v>
      </c>
      <c r="K197" s="38" t="s">
        <v>350</v>
      </c>
      <c r="L197" s="38" t="s">
        <v>679</v>
      </c>
      <c r="M197" s="38" t="s">
        <v>315</v>
      </c>
      <c r="N197" s="34" t="s">
        <v>352</v>
      </c>
      <c r="O197" s="26" t="s">
        <v>353</v>
      </c>
      <c r="P197" s="26" t="s">
        <v>353</v>
      </c>
    </row>
    <row r="198" customFormat="false" ht="15" hidden="false" customHeight="false" outlineLevel="0" collapsed="false">
      <c r="A198" s="38" t="n">
        <v>195</v>
      </c>
      <c r="B198" s="38" t="s">
        <v>93</v>
      </c>
      <c r="C198" s="38" t="s">
        <v>347</v>
      </c>
      <c r="D198" s="38" t="s">
        <v>687</v>
      </c>
      <c r="E198" s="39" t="n">
        <v>0</v>
      </c>
      <c r="F198" s="39" t="n">
        <v>281483</v>
      </c>
      <c r="G198" s="33" t="n">
        <f aca="false">E198-F198</f>
        <v>-281483</v>
      </c>
      <c r="H198" s="27" t="n">
        <v>46134</v>
      </c>
      <c r="I198" s="38" t="s">
        <v>688</v>
      </c>
      <c r="J198" s="38" t="s">
        <v>689</v>
      </c>
      <c r="K198" s="38" t="s">
        <v>350</v>
      </c>
      <c r="L198" s="38" t="s">
        <v>690</v>
      </c>
      <c r="M198" s="38" t="s">
        <v>315</v>
      </c>
      <c r="N198" s="34" t="s">
        <v>352</v>
      </c>
      <c r="O198" s="26" t="s">
        <v>353</v>
      </c>
      <c r="P198" s="26" t="s">
        <v>353</v>
      </c>
    </row>
    <row r="199" customFormat="false" ht="15" hidden="false" customHeight="false" outlineLevel="0" collapsed="false">
      <c r="A199" s="38" t="n">
        <v>196</v>
      </c>
      <c r="B199" s="38" t="s">
        <v>93</v>
      </c>
      <c r="C199" s="38" t="s">
        <v>347</v>
      </c>
      <c r="D199" s="38" t="s">
        <v>687</v>
      </c>
      <c r="E199" s="39" t="n">
        <v>281483</v>
      </c>
      <c r="F199" s="39" t="n">
        <v>0</v>
      </c>
      <c r="G199" s="33" t="n">
        <f aca="false">E199-F199</f>
        <v>281483</v>
      </c>
      <c r="H199" s="27" t="n">
        <v>46135</v>
      </c>
      <c r="I199" s="38" t="s">
        <v>301</v>
      </c>
      <c r="J199" s="38" t="s">
        <v>444</v>
      </c>
      <c r="K199" s="38" t="s">
        <v>350</v>
      </c>
      <c r="L199" s="38" t="s">
        <v>445</v>
      </c>
      <c r="M199" s="38" t="s">
        <v>315</v>
      </c>
      <c r="N199" s="34" t="s">
        <v>352</v>
      </c>
      <c r="O199" s="26" t="s">
        <v>353</v>
      </c>
      <c r="P199" s="26" t="s">
        <v>353</v>
      </c>
    </row>
    <row r="200" customFormat="false" ht="15" hidden="false" customHeight="false" outlineLevel="0" collapsed="false">
      <c r="A200" s="38" t="n">
        <v>197</v>
      </c>
      <c r="B200" s="38" t="s">
        <v>93</v>
      </c>
      <c r="C200" s="38" t="s">
        <v>347</v>
      </c>
      <c r="D200" s="38" t="s">
        <v>687</v>
      </c>
      <c r="E200" s="39" t="n">
        <v>0</v>
      </c>
      <c r="F200" s="39" t="n">
        <v>280240</v>
      </c>
      <c r="G200" s="33" t="n">
        <f aca="false">E200-F200</f>
        <v>-280240</v>
      </c>
      <c r="H200" s="27" t="n">
        <v>46142</v>
      </c>
      <c r="I200" s="38" t="s">
        <v>688</v>
      </c>
      <c r="J200" s="38" t="s">
        <v>691</v>
      </c>
      <c r="K200" s="38" t="s">
        <v>350</v>
      </c>
      <c r="L200" s="38" t="s">
        <v>692</v>
      </c>
      <c r="M200" s="38" t="s">
        <v>315</v>
      </c>
      <c r="N200" s="34" t="s">
        <v>352</v>
      </c>
      <c r="O200" s="26" t="s">
        <v>353</v>
      </c>
      <c r="P200" s="26" t="s">
        <v>353</v>
      </c>
    </row>
    <row r="201" customFormat="false" ht="15" hidden="false" customHeight="false" outlineLevel="0" collapsed="false">
      <c r="A201" s="38" t="n">
        <v>198</v>
      </c>
      <c r="B201" s="38" t="s">
        <v>93</v>
      </c>
      <c r="C201" s="38" t="s">
        <v>347</v>
      </c>
      <c r="D201" s="38" t="s">
        <v>687</v>
      </c>
      <c r="E201" s="39" t="n">
        <v>280240</v>
      </c>
      <c r="F201" s="39" t="n">
        <v>0</v>
      </c>
      <c r="G201" s="33" t="n">
        <f aca="false">E201-F201</f>
        <v>280240</v>
      </c>
      <c r="H201" s="27" t="n">
        <v>46167</v>
      </c>
      <c r="I201" s="38" t="s">
        <v>301</v>
      </c>
      <c r="J201" s="38" t="s">
        <v>614</v>
      </c>
      <c r="K201" s="38" t="s">
        <v>350</v>
      </c>
      <c r="L201" s="38" t="s">
        <v>615</v>
      </c>
      <c r="M201" s="38" t="s">
        <v>315</v>
      </c>
      <c r="N201" s="34" t="s">
        <v>352</v>
      </c>
      <c r="O201" s="26" t="s">
        <v>353</v>
      </c>
      <c r="P201" s="26" t="s">
        <v>353</v>
      </c>
    </row>
    <row r="202" customFormat="false" ht="15" hidden="false" customHeight="false" outlineLevel="0" collapsed="false">
      <c r="A202" s="38" t="n">
        <v>199</v>
      </c>
      <c r="B202" s="38" t="s">
        <v>93</v>
      </c>
      <c r="C202" s="38" t="s">
        <v>347</v>
      </c>
      <c r="D202" s="38" t="s">
        <v>693</v>
      </c>
      <c r="E202" s="39" t="n">
        <v>0</v>
      </c>
      <c r="F202" s="39" t="n">
        <v>396000</v>
      </c>
      <c r="G202" s="33" t="n">
        <f aca="false">E202-F202</f>
        <v>-396000</v>
      </c>
      <c r="H202" s="27" t="n">
        <v>46191</v>
      </c>
      <c r="I202" s="38" t="s">
        <v>694</v>
      </c>
      <c r="J202" s="38" t="s">
        <v>695</v>
      </c>
      <c r="K202" s="38" t="s">
        <v>350</v>
      </c>
      <c r="L202" s="38" t="s">
        <v>696</v>
      </c>
      <c r="M202" s="38" t="s">
        <v>315</v>
      </c>
      <c r="N202" s="34" t="s">
        <v>352</v>
      </c>
      <c r="O202" s="26" t="s">
        <v>353</v>
      </c>
      <c r="P202" s="26" t="s">
        <v>353</v>
      </c>
    </row>
    <row r="203" customFormat="false" ht="15" hidden="false" customHeight="false" outlineLevel="0" collapsed="false">
      <c r="A203" s="38" t="n">
        <v>200</v>
      </c>
      <c r="B203" s="38" t="s">
        <v>93</v>
      </c>
      <c r="C203" s="38" t="s">
        <v>347</v>
      </c>
      <c r="D203" s="38" t="s">
        <v>697</v>
      </c>
      <c r="E203" s="39" t="n">
        <v>177500</v>
      </c>
      <c r="F203" s="39" t="n">
        <v>0</v>
      </c>
      <c r="G203" s="33" t="n">
        <f aca="false">E203-F203</f>
        <v>177500</v>
      </c>
      <c r="H203" s="27" t="n">
        <v>46173</v>
      </c>
      <c r="I203" s="38" t="s">
        <v>301</v>
      </c>
      <c r="J203" s="38" t="s">
        <v>377</v>
      </c>
      <c r="K203" s="38" t="s">
        <v>363</v>
      </c>
      <c r="L203" s="38" t="s">
        <v>378</v>
      </c>
      <c r="M203" s="38" t="s">
        <v>379</v>
      </c>
      <c r="N203" s="34" t="s">
        <v>352</v>
      </c>
      <c r="O203" s="26" t="s">
        <v>353</v>
      </c>
      <c r="P203" s="26" t="s">
        <v>353</v>
      </c>
    </row>
    <row r="204" customFormat="false" ht="15" hidden="false" customHeight="false" outlineLevel="0" collapsed="false">
      <c r="A204" s="38" t="n">
        <v>201</v>
      </c>
      <c r="B204" s="38" t="s">
        <v>93</v>
      </c>
      <c r="C204" s="38" t="s">
        <v>347</v>
      </c>
      <c r="D204" s="38" t="s">
        <v>698</v>
      </c>
      <c r="E204" s="39" t="n">
        <v>0</v>
      </c>
      <c r="F204" s="39" t="n">
        <v>490528.36</v>
      </c>
      <c r="G204" s="33" t="n">
        <f aca="false">E204-F204</f>
        <v>-490528.36</v>
      </c>
      <c r="H204" s="27" t="n">
        <v>46064</v>
      </c>
      <c r="I204" s="38" t="s">
        <v>699</v>
      </c>
      <c r="J204" s="38" t="s">
        <v>700</v>
      </c>
      <c r="K204" s="38" t="s">
        <v>350</v>
      </c>
      <c r="L204" s="38" t="s">
        <v>701</v>
      </c>
      <c r="M204" s="38" t="s">
        <v>315</v>
      </c>
      <c r="N204" s="34" t="s">
        <v>352</v>
      </c>
      <c r="O204" s="26" t="s">
        <v>353</v>
      </c>
      <c r="P204" s="26" t="s">
        <v>353</v>
      </c>
    </row>
    <row r="205" customFormat="false" ht="15" hidden="false" customHeight="false" outlineLevel="0" collapsed="false">
      <c r="A205" s="38" t="n">
        <v>202</v>
      </c>
      <c r="B205" s="38" t="s">
        <v>93</v>
      </c>
      <c r="C205" s="38" t="s">
        <v>347</v>
      </c>
      <c r="D205" s="38" t="s">
        <v>698</v>
      </c>
      <c r="E205" s="39" t="n">
        <v>0</v>
      </c>
      <c r="F205" s="39" t="n">
        <v>355309.8</v>
      </c>
      <c r="G205" s="33" t="n">
        <f aca="false">E205-F205</f>
        <v>-355309.8</v>
      </c>
      <c r="H205" s="27" t="n">
        <v>46066</v>
      </c>
      <c r="I205" s="38" t="s">
        <v>699</v>
      </c>
      <c r="J205" s="38" t="s">
        <v>702</v>
      </c>
      <c r="K205" s="38" t="s">
        <v>350</v>
      </c>
      <c r="L205" s="38" t="s">
        <v>703</v>
      </c>
      <c r="M205" s="38" t="s">
        <v>315</v>
      </c>
      <c r="N205" s="34" t="s">
        <v>352</v>
      </c>
      <c r="O205" s="26" t="s">
        <v>353</v>
      </c>
      <c r="P205" s="26" t="s">
        <v>353</v>
      </c>
    </row>
    <row r="206" customFormat="false" ht="15" hidden="false" customHeight="false" outlineLevel="0" collapsed="false">
      <c r="A206" s="38" t="n">
        <v>203</v>
      </c>
      <c r="B206" s="38" t="s">
        <v>93</v>
      </c>
      <c r="C206" s="38" t="s">
        <v>347</v>
      </c>
      <c r="D206" s="38" t="s">
        <v>698</v>
      </c>
      <c r="E206" s="39" t="n">
        <v>355309.8</v>
      </c>
      <c r="F206" s="39" t="n">
        <v>0</v>
      </c>
      <c r="G206" s="33" t="n">
        <f aca="false">E206-F206</f>
        <v>355309.8</v>
      </c>
      <c r="H206" s="27" t="n">
        <v>46129</v>
      </c>
      <c r="I206" s="38" t="s">
        <v>301</v>
      </c>
      <c r="J206" s="38" t="s">
        <v>704</v>
      </c>
      <c r="K206" s="38" t="s">
        <v>350</v>
      </c>
      <c r="L206" s="38" t="s">
        <v>705</v>
      </c>
      <c r="M206" s="38" t="s">
        <v>315</v>
      </c>
      <c r="N206" s="34" t="s">
        <v>352</v>
      </c>
      <c r="O206" s="26" t="s">
        <v>353</v>
      </c>
      <c r="P206" s="26" t="s">
        <v>353</v>
      </c>
    </row>
    <row r="207" customFormat="false" ht="15" hidden="false" customHeight="false" outlineLevel="0" collapsed="false">
      <c r="A207" s="38" t="n">
        <v>204</v>
      </c>
      <c r="B207" s="38" t="s">
        <v>93</v>
      </c>
      <c r="C207" s="38" t="s">
        <v>347</v>
      </c>
      <c r="D207" s="38" t="s">
        <v>698</v>
      </c>
      <c r="E207" s="39" t="n">
        <v>490528.36</v>
      </c>
      <c r="F207" s="39" t="n">
        <v>0</v>
      </c>
      <c r="G207" s="33" t="n">
        <f aca="false">E207-F207</f>
        <v>490528.36</v>
      </c>
      <c r="H207" s="27" t="n">
        <v>46129</v>
      </c>
      <c r="I207" s="38" t="s">
        <v>301</v>
      </c>
      <c r="J207" s="38" t="s">
        <v>706</v>
      </c>
      <c r="K207" s="38" t="s">
        <v>350</v>
      </c>
      <c r="L207" s="38" t="s">
        <v>707</v>
      </c>
      <c r="M207" s="38" t="s">
        <v>315</v>
      </c>
      <c r="N207" s="34" t="s">
        <v>352</v>
      </c>
      <c r="O207" s="26" t="s">
        <v>353</v>
      </c>
      <c r="P207" s="26" t="s">
        <v>353</v>
      </c>
    </row>
    <row r="208" customFormat="false" ht="15" hidden="false" customHeight="false" outlineLevel="0" collapsed="false">
      <c r="A208" s="38" t="n">
        <v>205</v>
      </c>
      <c r="B208" s="38" t="s">
        <v>93</v>
      </c>
      <c r="C208" s="38" t="s">
        <v>347</v>
      </c>
      <c r="D208" s="38" t="s">
        <v>708</v>
      </c>
      <c r="E208" s="39" t="n">
        <v>0</v>
      </c>
      <c r="F208" s="39" t="n">
        <v>857764.76</v>
      </c>
      <c r="G208" s="33" t="n">
        <f aca="false">E208-F208</f>
        <v>-857764.76</v>
      </c>
      <c r="H208" s="27" t="n">
        <v>46052</v>
      </c>
      <c r="I208" s="38" t="s">
        <v>709</v>
      </c>
      <c r="J208" s="38" t="s">
        <v>710</v>
      </c>
      <c r="K208" s="38" t="s">
        <v>350</v>
      </c>
      <c r="L208" s="38" t="s">
        <v>711</v>
      </c>
      <c r="M208" s="38" t="s">
        <v>315</v>
      </c>
      <c r="N208" s="34" t="s">
        <v>352</v>
      </c>
      <c r="O208" s="26" t="s">
        <v>353</v>
      </c>
      <c r="P208" s="26" t="s">
        <v>353</v>
      </c>
    </row>
    <row r="209" customFormat="false" ht="15" hidden="false" customHeight="false" outlineLevel="0" collapsed="false">
      <c r="A209" s="38" t="n">
        <v>206</v>
      </c>
      <c r="B209" s="38" t="s">
        <v>93</v>
      </c>
      <c r="C209" s="38" t="s">
        <v>347</v>
      </c>
      <c r="D209" s="38" t="s">
        <v>708</v>
      </c>
      <c r="E209" s="39" t="n">
        <v>857764.76</v>
      </c>
      <c r="F209" s="39" t="n">
        <v>0</v>
      </c>
      <c r="G209" s="33" t="n">
        <f aca="false">E209-F209</f>
        <v>857764.76</v>
      </c>
      <c r="H209" s="27" t="n">
        <v>46072</v>
      </c>
      <c r="I209" s="38" t="s">
        <v>301</v>
      </c>
      <c r="J209" s="38" t="s">
        <v>712</v>
      </c>
      <c r="K209" s="38" t="s">
        <v>350</v>
      </c>
      <c r="L209" s="38" t="s">
        <v>713</v>
      </c>
      <c r="M209" s="38" t="s">
        <v>315</v>
      </c>
      <c r="N209" s="34" t="s">
        <v>352</v>
      </c>
      <c r="O209" s="26" t="s">
        <v>353</v>
      </c>
      <c r="P209" s="26" t="s">
        <v>353</v>
      </c>
    </row>
    <row r="210" customFormat="false" ht="15" hidden="false" customHeight="false" outlineLevel="0" collapsed="false">
      <c r="A210" s="38" t="n">
        <v>207</v>
      </c>
      <c r="B210" s="38" t="s">
        <v>93</v>
      </c>
      <c r="C210" s="38" t="s">
        <v>347</v>
      </c>
      <c r="D210" s="38" t="s">
        <v>714</v>
      </c>
      <c r="E210" s="39" t="n">
        <v>521382.47</v>
      </c>
      <c r="F210" s="39" t="n">
        <v>0</v>
      </c>
      <c r="G210" s="33" t="n">
        <f aca="false">E210-F210</f>
        <v>521382.47</v>
      </c>
      <c r="H210" s="27" t="n">
        <v>46173</v>
      </c>
      <c r="I210" s="38" t="s">
        <v>301</v>
      </c>
      <c r="J210" s="38" t="s">
        <v>377</v>
      </c>
      <c r="K210" s="38" t="s">
        <v>363</v>
      </c>
      <c r="L210" s="38" t="s">
        <v>378</v>
      </c>
      <c r="M210" s="38" t="s">
        <v>379</v>
      </c>
      <c r="N210" s="34" t="s">
        <v>352</v>
      </c>
      <c r="O210" s="26" t="s">
        <v>353</v>
      </c>
      <c r="P210" s="26" t="s">
        <v>353</v>
      </c>
    </row>
    <row r="211" customFormat="false" ht="15" hidden="false" customHeight="false" outlineLevel="0" collapsed="false">
      <c r="A211" s="38" t="n">
        <v>208</v>
      </c>
      <c r="B211" s="38" t="s">
        <v>93</v>
      </c>
      <c r="C211" s="38" t="s">
        <v>347</v>
      </c>
      <c r="D211" s="38" t="s">
        <v>715</v>
      </c>
      <c r="E211" s="39" t="n">
        <v>0</v>
      </c>
      <c r="F211" s="39" t="n">
        <v>290582</v>
      </c>
      <c r="G211" s="33" t="n">
        <f aca="false">E211-F211</f>
        <v>-290582</v>
      </c>
      <c r="H211" s="27" t="n">
        <v>46081</v>
      </c>
      <c r="I211" s="38" t="s">
        <v>716</v>
      </c>
      <c r="J211" s="38" t="s">
        <v>717</v>
      </c>
      <c r="K211" s="38" t="s">
        <v>350</v>
      </c>
      <c r="L211" s="38" t="s">
        <v>718</v>
      </c>
      <c r="M211" s="38" t="s">
        <v>315</v>
      </c>
      <c r="N211" s="34" t="s">
        <v>352</v>
      </c>
      <c r="O211" s="26" t="s">
        <v>353</v>
      </c>
      <c r="P211" s="26" t="s">
        <v>353</v>
      </c>
    </row>
    <row r="212" customFormat="false" ht="15" hidden="false" customHeight="false" outlineLevel="0" collapsed="false">
      <c r="A212" s="38" t="n">
        <v>209</v>
      </c>
      <c r="B212" s="38" t="s">
        <v>93</v>
      </c>
      <c r="C212" s="38" t="s">
        <v>347</v>
      </c>
      <c r="D212" s="38" t="s">
        <v>715</v>
      </c>
      <c r="E212" s="39" t="n">
        <v>290582</v>
      </c>
      <c r="F212" s="39" t="n">
        <v>0</v>
      </c>
      <c r="G212" s="33" t="n">
        <f aca="false">E212-F212</f>
        <v>290582</v>
      </c>
      <c r="H212" s="27" t="n">
        <v>46081</v>
      </c>
      <c r="I212" s="38" t="s">
        <v>301</v>
      </c>
      <c r="J212" s="38" t="s">
        <v>431</v>
      </c>
      <c r="K212" s="38" t="s">
        <v>350</v>
      </c>
      <c r="L212" s="38" t="s">
        <v>432</v>
      </c>
      <c r="M212" s="38" t="s">
        <v>315</v>
      </c>
      <c r="N212" s="34" t="s">
        <v>352</v>
      </c>
      <c r="O212" s="26" t="s">
        <v>353</v>
      </c>
      <c r="P212" s="26" t="s">
        <v>353</v>
      </c>
    </row>
    <row r="213" customFormat="false" ht="15" hidden="false" customHeight="false" outlineLevel="0" collapsed="false">
      <c r="A213" s="38" t="n">
        <v>210</v>
      </c>
      <c r="B213" s="38" t="s">
        <v>93</v>
      </c>
      <c r="C213" s="38" t="s">
        <v>347</v>
      </c>
      <c r="D213" s="38" t="s">
        <v>715</v>
      </c>
      <c r="E213" s="39" t="n">
        <v>0</v>
      </c>
      <c r="F213" s="39" t="n">
        <v>302387</v>
      </c>
      <c r="G213" s="33" t="n">
        <f aca="false">E213-F213</f>
        <v>-302387</v>
      </c>
      <c r="H213" s="27" t="n">
        <v>46234</v>
      </c>
      <c r="I213" s="38" t="s">
        <v>716</v>
      </c>
      <c r="J213" s="38" t="s">
        <v>719</v>
      </c>
      <c r="K213" s="38" t="s">
        <v>350</v>
      </c>
      <c r="L213" s="38" t="s">
        <v>720</v>
      </c>
      <c r="M213" s="38" t="s">
        <v>315</v>
      </c>
      <c r="N213" s="34" t="s">
        <v>352</v>
      </c>
      <c r="O213" s="26" t="s">
        <v>353</v>
      </c>
      <c r="P213" s="26" t="s">
        <v>353</v>
      </c>
    </row>
    <row r="214" customFormat="false" ht="15" hidden="false" customHeight="false" outlineLevel="0" collapsed="false">
      <c r="A214" s="38" t="n">
        <v>211</v>
      </c>
      <c r="B214" s="38" t="s">
        <v>93</v>
      </c>
      <c r="C214" s="38" t="s">
        <v>347</v>
      </c>
      <c r="D214" s="38" t="s">
        <v>715</v>
      </c>
      <c r="E214" s="39" t="n">
        <v>0</v>
      </c>
      <c r="F214" s="39" t="n">
        <v>300089</v>
      </c>
      <c r="G214" s="33" t="n">
        <f aca="false">E214-F214</f>
        <v>-300089</v>
      </c>
      <c r="H214" s="27" t="n">
        <v>46234</v>
      </c>
      <c r="I214" s="38" t="s">
        <v>716</v>
      </c>
      <c r="J214" s="38" t="s">
        <v>721</v>
      </c>
      <c r="K214" s="38" t="s">
        <v>350</v>
      </c>
      <c r="L214" s="38" t="s">
        <v>722</v>
      </c>
      <c r="M214" s="38" t="s">
        <v>315</v>
      </c>
      <c r="N214" s="34" t="s">
        <v>352</v>
      </c>
      <c r="O214" s="26" t="s">
        <v>353</v>
      </c>
      <c r="P214" s="26" t="s">
        <v>353</v>
      </c>
    </row>
    <row r="215" customFormat="false" ht="15" hidden="false" customHeight="false" outlineLevel="0" collapsed="false">
      <c r="A215" s="38" t="n">
        <v>212</v>
      </c>
      <c r="B215" s="38" t="s">
        <v>93</v>
      </c>
      <c r="C215" s="38" t="s">
        <v>347</v>
      </c>
      <c r="D215" s="38" t="s">
        <v>715</v>
      </c>
      <c r="E215" s="39" t="n">
        <v>602476</v>
      </c>
      <c r="F215" s="39" t="n">
        <v>0</v>
      </c>
      <c r="G215" s="33" t="n">
        <f aca="false">E215-F215</f>
        <v>602476</v>
      </c>
      <c r="H215" s="27" t="n">
        <v>46234</v>
      </c>
      <c r="I215" s="38" t="s">
        <v>301</v>
      </c>
      <c r="J215" s="38" t="s">
        <v>448</v>
      </c>
      <c r="K215" s="38" t="s">
        <v>350</v>
      </c>
      <c r="L215" s="38" t="s">
        <v>449</v>
      </c>
      <c r="M215" s="38" t="s">
        <v>315</v>
      </c>
      <c r="N215" s="34" t="s">
        <v>352</v>
      </c>
      <c r="O215" s="26" t="s">
        <v>353</v>
      </c>
      <c r="P215" s="26" t="s">
        <v>353</v>
      </c>
    </row>
    <row r="216" customFormat="false" ht="15" hidden="false" customHeight="false" outlineLevel="0" collapsed="false">
      <c r="A216" s="38" t="n">
        <v>213</v>
      </c>
      <c r="B216" s="38" t="s">
        <v>93</v>
      </c>
      <c r="C216" s="38" t="s">
        <v>347</v>
      </c>
      <c r="D216" s="38" t="s">
        <v>723</v>
      </c>
      <c r="E216" s="39" t="n">
        <v>0</v>
      </c>
      <c r="F216" s="39" t="n">
        <v>258926.3</v>
      </c>
      <c r="G216" s="33" t="n">
        <f aca="false">E216-F216</f>
        <v>-258926.3</v>
      </c>
      <c r="H216" s="27" t="n">
        <v>46102</v>
      </c>
      <c r="I216" s="38" t="s">
        <v>724</v>
      </c>
      <c r="J216" s="38" t="s">
        <v>725</v>
      </c>
      <c r="K216" s="38" t="s">
        <v>350</v>
      </c>
      <c r="L216" s="38" t="s">
        <v>726</v>
      </c>
      <c r="M216" s="38" t="s">
        <v>315</v>
      </c>
      <c r="N216" s="34" t="s">
        <v>352</v>
      </c>
      <c r="O216" s="26" t="s">
        <v>353</v>
      </c>
      <c r="P216" s="26" t="s">
        <v>353</v>
      </c>
    </row>
    <row r="217" customFormat="false" ht="15" hidden="false" customHeight="false" outlineLevel="0" collapsed="false">
      <c r="A217" s="38" t="n">
        <v>214</v>
      </c>
      <c r="B217" s="38" t="s">
        <v>93</v>
      </c>
      <c r="C217" s="38" t="s">
        <v>347</v>
      </c>
      <c r="D217" s="38" t="s">
        <v>723</v>
      </c>
      <c r="E217" s="39" t="n">
        <v>258926.3</v>
      </c>
      <c r="F217" s="39" t="n">
        <v>0</v>
      </c>
      <c r="G217" s="33" t="n">
        <f aca="false">E217-F217</f>
        <v>258926.3</v>
      </c>
      <c r="H217" s="27" t="n">
        <v>46134</v>
      </c>
      <c r="I217" s="38" t="s">
        <v>301</v>
      </c>
      <c r="J217" s="38" t="s">
        <v>727</v>
      </c>
      <c r="K217" s="38" t="s">
        <v>350</v>
      </c>
      <c r="L217" s="38" t="s">
        <v>728</v>
      </c>
      <c r="M217" s="38" t="s">
        <v>315</v>
      </c>
      <c r="N217" s="34" t="s">
        <v>352</v>
      </c>
      <c r="O217" s="26" t="s">
        <v>353</v>
      </c>
      <c r="P217" s="26" t="s">
        <v>353</v>
      </c>
    </row>
    <row r="218" customFormat="false" ht="15" hidden="false" customHeight="false" outlineLevel="0" collapsed="false">
      <c r="A218" s="38" t="n">
        <v>215</v>
      </c>
      <c r="B218" s="38" t="s">
        <v>93</v>
      </c>
      <c r="C218" s="38" t="s">
        <v>347</v>
      </c>
      <c r="D218" s="38" t="s">
        <v>729</v>
      </c>
      <c r="E218" s="39" t="n">
        <v>2480005.22</v>
      </c>
      <c r="F218" s="39" t="n">
        <v>0</v>
      </c>
      <c r="G218" s="33" t="n">
        <f aca="false">E218-F218</f>
        <v>2480005.22</v>
      </c>
      <c r="H218" s="27" t="n">
        <v>46173</v>
      </c>
      <c r="I218" s="38" t="s">
        <v>301</v>
      </c>
      <c r="J218" s="38" t="s">
        <v>377</v>
      </c>
      <c r="K218" s="38" t="s">
        <v>363</v>
      </c>
      <c r="L218" s="38" t="s">
        <v>378</v>
      </c>
      <c r="M218" s="38" t="s">
        <v>379</v>
      </c>
      <c r="N218" s="34" t="s">
        <v>352</v>
      </c>
      <c r="O218" s="26" t="s">
        <v>353</v>
      </c>
      <c r="P218" s="26" t="s">
        <v>353</v>
      </c>
    </row>
    <row r="219" customFormat="false" ht="15" hidden="false" customHeight="false" outlineLevel="0" collapsed="false">
      <c r="A219" s="38" t="n">
        <v>216</v>
      </c>
      <c r="B219" s="38" t="s">
        <v>93</v>
      </c>
      <c r="C219" s="38" t="s">
        <v>347</v>
      </c>
      <c r="D219" s="38" t="s">
        <v>730</v>
      </c>
      <c r="E219" s="39" t="n">
        <v>0</v>
      </c>
      <c r="F219" s="39" t="n">
        <v>485899</v>
      </c>
      <c r="G219" s="33" t="n">
        <f aca="false">E219-F219</f>
        <v>-485899</v>
      </c>
      <c r="H219" s="27" t="n">
        <v>46111</v>
      </c>
      <c r="I219" s="38" t="s">
        <v>731</v>
      </c>
      <c r="J219" s="38" t="s">
        <v>732</v>
      </c>
      <c r="K219" s="38" t="s">
        <v>350</v>
      </c>
      <c r="L219" s="38" t="s">
        <v>733</v>
      </c>
      <c r="M219" s="38" t="s">
        <v>315</v>
      </c>
      <c r="N219" s="34" t="s">
        <v>352</v>
      </c>
      <c r="O219" s="26" t="s">
        <v>353</v>
      </c>
      <c r="P219" s="26" t="s">
        <v>353</v>
      </c>
    </row>
    <row r="220" customFormat="false" ht="15" hidden="false" customHeight="false" outlineLevel="0" collapsed="false">
      <c r="A220" s="38" t="n">
        <v>217</v>
      </c>
      <c r="B220" s="38" t="s">
        <v>93</v>
      </c>
      <c r="C220" s="38" t="s">
        <v>347</v>
      </c>
      <c r="D220" s="38" t="s">
        <v>730</v>
      </c>
      <c r="E220" s="39" t="n">
        <v>485899</v>
      </c>
      <c r="F220" s="39" t="n">
        <v>0</v>
      </c>
      <c r="G220" s="33" t="n">
        <f aca="false">E220-F220</f>
        <v>485899</v>
      </c>
      <c r="H220" s="27" t="n">
        <v>46163</v>
      </c>
      <c r="I220" s="38" t="s">
        <v>301</v>
      </c>
      <c r="J220" s="38" t="s">
        <v>358</v>
      </c>
      <c r="K220" s="38" t="s">
        <v>350</v>
      </c>
      <c r="L220" s="38" t="s">
        <v>359</v>
      </c>
      <c r="M220" s="38" t="s">
        <v>315</v>
      </c>
      <c r="N220" s="34" t="s">
        <v>352</v>
      </c>
      <c r="O220" s="26" t="s">
        <v>353</v>
      </c>
      <c r="P220" s="26" t="s">
        <v>353</v>
      </c>
    </row>
    <row r="221" customFormat="false" ht="15" hidden="false" customHeight="false" outlineLevel="0" collapsed="false">
      <c r="A221" s="38" t="n">
        <v>218</v>
      </c>
      <c r="B221" s="38" t="s">
        <v>93</v>
      </c>
      <c r="C221" s="38" t="s">
        <v>347</v>
      </c>
      <c r="D221" s="38" t="s">
        <v>734</v>
      </c>
      <c r="E221" s="39" t="n">
        <v>1046849.43</v>
      </c>
      <c r="F221" s="39" t="n">
        <v>0</v>
      </c>
      <c r="G221" s="33" t="n">
        <f aca="false">E221-F221</f>
        <v>1046849.43</v>
      </c>
      <c r="H221" s="27" t="n">
        <v>46052</v>
      </c>
      <c r="I221" s="38" t="s">
        <v>301</v>
      </c>
      <c r="J221" s="38" t="s">
        <v>395</v>
      </c>
      <c r="K221" s="38" t="s">
        <v>350</v>
      </c>
      <c r="L221" s="38" t="s">
        <v>396</v>
      </c>
      <c r="M221" s="38" t="s">
        <v>315</v>
      </c>
      <c r="N221" s="34" t="s">
        <v>352</v>
      </c>
      <c r="O221" s="26" t="s">
        <v>353</v>
      </c>
      <c r="P221" s="26" t="s">
        <v>353</v>
      </c>
    </row>
    <row r="222" customFormat="false" ht="15" hidden="false" customHeight="false" outlineLevel="0" collapsed="false">
      <c r="A222" s="38" t="n">
        <v>219</v>
      </c>
      <c r="B222" s="38" t="s">
        <v>93</v>
      </c>
      <c r="C222" s="38" t="s">
        <v>347</v>
      </c>
      <c r="D222" s="38" t="s">
        <v>735</v>
      </c>
      <c r="E222" s="39" t="n">
        <v>290912.57</v>
      </c>
      <c r="F222" s="39" t="n">
        <v>0</v>
      </c>
      <c r="G222" s="33" t="n">
        <f aca="false">E222-F222</f>
        <v>290912.57</v>
      </c>
      <c r="H222" s="27" t="n">
        <v>46173</v>
      </c>
      <c r="I222" s="38" t="s">
        <v>301</v>
      </c>
      <c r="J222" s="38" t="s">
        <v>377</v>
      </c>
      <c r="K222" s="38" t="s">
        <v>363</v>
      </c>
      <c r="L222" s="38" t="s">
        <v>378</v>
      </c>
      <c r="M222" s="38" t="s">
        <v>379</v>
      </c>
      <c r="N222" s="34" t="s">
        <v>352</v>
      </c>
      <c r="O222" s="26" t="s">
        <v>353</v>
      </c>
      <c r="P222" s="26" t="s">
        <v>353</v>
      </c>
    </row>
    <row r="223" customFormat="false" ht="15" hidden="false" customHeight="false" outlineLevel="0" collapsed="false">
      <c r="A223" s="38" t="n">
        <v>220</v>
      </c>
      <c r="B223" s="38" t="s">
        <v>93</v>
      </c>
      <c r="C223" s="38" t="s">
        <v>347</v>
      </c>
      <c r="D223" s="38" t="s">
        <v>736</v>
      </c>
      <c r="E223" s="39" t="n">
        <v>0</v>
      </c>
      <c r="F223" s="39" t="n">
        <v>164500</v>
      </c>
      <c r="G223" s="33" t="n">
        <f aca="false">E223-F223</f>
        <v>-164500</v>
      </c>
      <c r="H223" s="27" t="n">
        <v>46053</v>
      </c>
      <c r="I223" s="38" t="s">
        <v>737</v>
      </c>
      <c r="J223" s="38" t="s">
        <v>738</v>
      </c>
      <c r="K223" s="38" t="s">
        <v>350</v>
      </c>
      <c r="L223" s="38" t="s">
        <v>739</v>
      </c>
      <c r="M223" s="38" t="s">
        <v>315</v>
      </c>
      <c r="N223" s="34" t="s">
        <v>352</v>
      </c>
      <c r="O223" s="26" t="s">
        <v>353</v>
      </c>
      <c r="P223" s="26" t="s">
        <v>353</v>
      </c>
    </row>
    <row r="224" customFormat="false" ht="15" hidden="false" customHeight="false" outlineLevel="0" collapsed="false">
      <c r="A224" s="38" t="n">
        <v>221</v>
      </c>
      <c r="B224" s="38" t="s">
        <v>93</v>
      </c>
      <c r="C224" s="38" t="s">
        <v>347</v>
      </c>
      <c r="D224" s="38" t="s">
        <v>736</v>
      </c>
      <c r="E224" s="39" t="n">
        <v>164500</v>
      </c>
      <c r="F224" s="39" t="n">
        <v>0</v>
      </c>
      <c r="G224" s="33" t="n">
        <f aca="false">E224-F224</f>
        <v>164500</v>
      </c>
      <c r="H224" s="27" t="n">
        <v>46053</v>
      </c>
      <c r="I224" s="38" t="s">
        <v>301</v>
      </c>
      <c r="J224" s="38" t="s">
        <v>605</v>
      </c>
      <c r="K224" s="38" t="s">
        <v>350</v>
      </c>
      <c r="L224" s="38" t="s">
        <v>606</v>
      </c>
      <c r="M224" s="38" t="s">
        <v>315</v>
      </c>
      <c r="N224" s="34" t="s">
        <v>352</v>
      </c>
      <c r="O224" s="26" t="s">
        <v>353</v>
      </c>
      <c r="P224" s="26" t="s">
        <v>353</v>
      </c>
    </row>
    <row r="225" customFormat="false" ht="15" hidden="false" customHeight="false" outlineLevel="0" collapsed="false">
      <c r="A225" s="38" t="n">
        <v>222</v>
      </c>
      <c r="B225" s="38" t="s">
        <v>93</v>
      </c>
      <c r="C225" s="38" t="s">
        <v>347</v>
      </c>
      <c r="D225" s="38" t="s">
        <v>736</v>
      </c>
      <c r="E225" s="39" t="n">
        <v>0</v>
      </c>
      <c r="F225" s="39" t="n">
        <v>459900</v>
      </c>
      <c r="G225" s="33" t="n">
        <f aca="false">E225-F225</f>
        <v>-459900</v>
      </c>
      <c r="H225" s="27" t="n">
        <v>46233</v>
      </c>
      <c r="I225" s="38" t="s">
        <v>740</v>
      </c>
      <c r="J225" s="38" t="s">
        <v>741</v>
      </c>
      <c r="K225" s="38" t="s">
        <v>742</v>
      </c>
      <c r="L225" s="38" t="s">
        <v>743</v>
      </c>
      <c r="M225" s="38" t="s">
        <v>297</v>
      </c>
      <c r="N225" s="34" t="s">
        <v>352</v>
      </c>
      <c r="O225" s="26" t="s">
        <v>353</v>
      </c>
      <c r="P225" s="26" t="s">
        <v>353</v>
      </c>
    </row>
    <row r="226" customFormat="false" ht="15" hidden="false" customHeight="false" outlineLevel="0" collapsed="false">
      <c r="A226" s="38" t="n">
        <v>223</v>
      </c>
      <c r="B226" s="38" t="s">
        <v>93</v>
      </c>
      <c r="C226" s="38" t="s">
        <v>347</v>
      </c>
      <c r="D226" s="38" t="s">
        <v>744</v>
      </c>
      <c r="E226" s="39" t="n">
        <v>77286</v>
      </c>
      <c r="F226" s="39" t="n">
        <v>77286</v>
      </c>
      <c r="G226" s="33" t="n">
        <f aca="false">E226-F226</f>
        <v>0</v>
      </c>
      <c r="H226" s="27" t="n">
        <v>46198</v>
      </c>
      <c r="I226" s="38" t="s">
        <v>301</v>
      </c>
      <c r="J226" s="38" t="s">
        <v>349</v>
      </c>
      <c r="K226" s="38" t="s">
        <v>350</v>
      </c>
      <c r="L226" s="38" t="s">
        <v>351</v>
      </c>
      <c r="M226" s="38" t="s">
        <v>315</v>
      </c>
      <c r="N226" s="34" t="s">
        <v>352</v>
      </c>
      <c r="O226" s="26" t="s">
        <v>353</v>
      </c>
      <c r="P226" s="26" t="s">
        <v>353</v>
      </c>
    </row>
    <row r="227" customFormat="false" ht="15" hidden="false" customHeight="false" outlineLevel="0" collapsed="false">
      <c r="A227" s="38" t="n">
        <v>224</v>
      </c>
      <c r="B227" s="38" t="s">
        <v>93</v>
      </c>
      <c r="C227" s="38" t="s">
        <v>347</v>
      </c>
      <c r="D227" s="38" t="s">
        <v>745</v>
      </c>
      <c r="E227" s="39" t="n">
        <v>933400</v>
      </c>
      <c r="F227" s="39" t="n">
        <v>0</v>
      </c>
      <c r="G227" s="33" t="n">
        <f aca="false">E227-F227</f>
        <v>933400</v>
      </c>
      <c r="H227" s="27" t="n">
        <v>46173</v>
      </c>
      <c r="I227" s="38" t="s">
        <v>301</v>
      </c>
      <c r="J227" s="38" t="s">
        <v>377</v>
      </c>
      <c r="K227" s="38" t="s">
        <v>363</v>
      </c>
      <c r="L227" s="38" t="s">
        <v>378</v>
      </c>
      <c r="M227" s="38" t="s">
        <v>379</v>
      </c>
      <c r="N227" s="34" t="s">
        <v>352</v>
      </c>
      <c r="O227" s="26" t="s">
        <v>353</v>
      </c>
      <c r="P227" s="26" t="s">
        <v>353</v>
      </c>
    </row>
    <row r="228" customFormat="false" ht="15" hidden="false" customHeight="false" outlineLevel="0" collapsed="false">
      <c r="A228" s="38" t="n">
        <v>225</v>
      </c>
      <c r="B228" s="38" t="s">
        <v>746</v>
      </c>
      <c r="C228" s="38" t="s">
        <v>747</v>
      </c>
      <c r="D228" s="38" t="s">
        <v>343</v>
      </c>
      <c r="E228" s="39" t="n">
        <v>0</v>
      </c>
      <c r="F228" s="39" t="n">
        <v>572363196</v>
      </c>
      <c r="G228" s="33" t="n">
        <f aca="false">E228-F228</f>
        <v>-572363196</v>
      </c>
      <c r="H228" s="27" t="n">
        <v>46231</v>
      </c>
      <c r="I228" s="38" t="s">
        <v>344</v>
      </c>
      <c r="J228" s="38" t="s">
        <v>748</v>
      </c>
      <c r="K228" s="38" t="s">
        <v>303</v>
      </c>
      <c r="L228" s="38" t="s">
        <v>749</v>
      </c>
      <c r="M228" s="38" t="s">
        <v>297</v>
      </c>
      <c r="N228" s="34" t="s">
        <v>143</v>
      </c>
      <c r="O228" s="26" t="s">
        <v>750</v>
      </c>
      <c r="P228" s="26" t="s">
        <v>307</v>
      </c>
    </row>
    <row r="229" customFormat="false" ht="15" hidden="false" customHeight="false" outlineLevel="0" collapsed="false">
      <c r="A229" s="38" t="n">
        <v>226</v>
      </c>
      <c r="B229" s="38" t="s">
        <v>746</v>
      </c>
      <c r="C229" s="38" t="s">
        <v>747</v>
      </c>
      <c r="D229" s="38" t="s">
        <v>751</v>
      </c>
      <c r="E229" s="39" t="n">
        <v>4068134</v>
      </c>
      <c r="F229" s="39" t="n">
        <v>0</v>
      </c>
      <c r="G229" s="33" t="n">
        <f aca="false">E229-F229</f>
        <v>4068134</v>
      </c>
      <c r="H229" s="27" t="n">
        <v>46172</v>
      </c>
      <c r="I229" s="38" t="s">
        <v>413</v>
      </c>
      <c r="J229" s="38" t="s">
        <v>752</v>
      </c>
      <c r="K229" s="38" t="s">
        <v>753</v>
      </c>
      <c r="L229" s="38" t="s">
        <v>754</v>
      </c>
      <c r="M229" s="38" t="s">
        <v>315</v>
      </c>
      <c r="N229" s="34" t="s">
        <v>145</v>
      </c>
      <c r="O229" s="26" t="s">
        <v>750</v>
      </c>
      <c r="P229" s="26" t="s">
        <v>755</v>
      </c>
    </row>
    <row r="230" customFormat="false" ht="15" hidden="false" customHeight="false" outlineLevel="0" collapsed="false">
      <c r="A230" s="38" t="n">
        <v>227</v>
      </c>
      <c r="B230" s="38" t="s">
        <v>746</v>
      </c>
      <c r="C230" s="38" t="s">
        <v>747</v>
      </c>
      <c r="D230" s="38" t="s">
        <v>751</v>
      </c>
      <c r="E230" s="39" t="n">
        <v>0</v>
      </c>
      <c r="F230" s="39" t="n">
        <v>4068134</v>
      </c>
      <c r="G230" s="33" t="n">
        <f aca="false">E230-F230</f>
        <v>-4068134</v>
      </c>
      <c r="H230" s="27" t="n">
        <v>46172</v>
      </c>
      <c r="I230" s="38" t="s">
        <v>756</v>
      </c>
      <c r="J230" s="38" t="s">
        <v>757</v>
      </c>
      <c r="K230" s="38" t="s">
        <v>350</v>
      </c>
      <c r="L230" s="38" t="s">
        <v>758</v>
      </c>
      <c r="M230" s="38" t="s">
        <v>315</v>
      </c>
      <c r="N230" s="34" t="s">
        <v>145</v>
      </c>
      <c r="O230" s="26" t="s">
        <v>750</v>
      </c>
      <c r="P230" s="26" t="s">
        <v>755</v>
      </c>
    </row>
    <row r="231" customFormat="false" ht="15" hidden="false" customHeight="false" outlineLevel="0" collapsed="false">
      <c r="A231" s="38" t="n">
        <v>228</v>
      </c>
      <c r="B231" s="38" t="s">
        <v>746</v>
      </c>
      <c r="C231" s="38" t="s">
        <v>747</v>
      </c>
      <c r="D231" s="38" t="s">
        <v>751</v>
      </c>
      <c r="E231" s="39" t="n">
        <v>0</v>
      </c>
      <c r="F231" s="39" t="n">
        <v>31360500</v>
      </c>
      <c r="G231" s="33" t="n">
        <f aca="false">E231-F231</f>
        <v>-31360500</v>
      </c>
      <c r="H231" s="27" t="n">
        <v>46234</v>
      </c>
      <c r="I231" s="38" t="s">
        <v>756</v>
      </c>
      <c r="J231" s="38" t="s">
        <v>759</v>
      </c>
      <c r="K231" s="38" t="s">
        <v>350</v>
      </c>
      <c r="L231" s="38" t="s">
        <v>760</v>
      </c>
      <c r="M231" s="38" t="s">
        <v>315</v>
      </c>
      <c r="N231" s="34" t="s">
        <v>145</v>
      </c>
      <c r="O231" s="26" t="s">
        <v>750</v>
      </c>
      <c r="P231" s="26" t="s">
        <v>755</v>
      </c>
    </row>
    <row r="232" customFormat="false" ht="15" hidden="false" customHeight="false" outlineLevel="0" collapsed="false">
      <c r="A232" s="38" t="n">
        <v>229</v>
      </c>
      <c r="B232" s="38" t="s">
        <v>746</v>
      </c>
      <c r="C232" s="38" t="s">
        <v>747</v>
      </c>
      <c r="D232" s="38" t="s">
        <v>751</v>
      </c>
      <c r="E232" s="39" t="n">
        <v>31360500</v>
      </c>
      <c r="F232" s="39" t="n">
        <v>0</v>
      </c>
      <c r="G232" s="33" t="n">
        <f aca="false">E232-F232</f>
        <v>31360500</v>
      </c>
      <c r="H232" s="27" t="n">
        <v>46234</v>
      </c>
      <c r="I232" s="38" t="s">
        <v>756</v>
      </c>
      <c r="J232" s="38" t="s">
        <v>761</v>
      </c>
      <c r="K232" s="38" t="s">
        <v>363</v>
      </c>
      <c r="L232" s="38" t="s">
        <v>762</v>
      </c>
      <c r="M232" s="38" t="s">
        <v>315</v>
      </c>
      <c r="N232" s="34" t="s">
        <v>145</v>
      </c>
      <c r="O232" s="26" t="s">
        <v>750</v>
      </c>
      <c r="P232" s="26" t="s">
        <v>755</v>
      </c>
    </row>
    <row r="233" customFormat="false" ht="15" hidden="false" customHeight="false" outlineLevel="0" collapsed="false">
      <c r="A233" s="38" t="n">
        <v>230</v>
      </c>
      <c r="B233" s="38" t="s">
        <v>763</v>
      </c>
      <c r="C233" s="38" t="s">
        <v>764</v>
      </c>
      <c r="D233" s="38" t="s">
        <v>300</v>
      </c>
      <c r="E233" s="39" t="n">
        <v>8322590</v>
      </c>
      <c r="F233" s="39" t="n">
        <v>0</v>
      </c>
      <c r="G233" s="33" t="n">
        <f aca="false">E233-F233</f>
        <v>8322590</v>
      </c>
      <c r="H233" s="27" t="n">
        <v>46050</v>
      </c>
      <c r="I233" s="38" t="s">
        <v>765</v>
      </c>
      <c r="J233" s="38" t="s">
        <v>766</v>
      </c>
      <c r="K233" s="38" t="s">
        <v>313</v>
      </c>
      <c r="L233" s="38" t="s">
        <v>767</v>
      </c>
      <c r="M233" s="38" t="s">
        <v>315</v>
      </c>
      <c r="N233" s="34" t="s">
        <v>119</v>
      </c>
      <c r="O233" s="26" t="s">
        <v>768</v>
      </c>
      <c r="P233" s="26" t="s">
        <v>305</v>
      </c>
    </row>
    <row r="234" customFormat="false" ht="15" hidden="false" customHeight="false" outlineLevel="0" collapsed="false">
      <c r="A234" s="38" t="n">
        <v>231</v>
      </c>
      <c r="B234" s="38" t="s">
        <v>763</v>
      </c>
      <c r="C234" s="38" t="s">
        <v>764</v>
      </c>
      <c r="D234" s="38" t="s">
        <v>300</v>
      </c>
      <c r="E234" s="39" t="n">
        <v>11155627</v>
      </c>
      <c r="F234" s="39" t="n">
        <v>0</v>
      </c>
      <c r="G234" s="33" t="n">
        <f aca="false">E234-F234</f>
        <v>11155627</v>
      </c>
      <c r="H234" s="27" t="n">
        <v>46050</v>
      </c>
      <c r="I234" s="38" t="s">
        <v>765</v>
      </c>
      <c r="J234" s="38" t="s">
        <v>769</v>
      </c>
      <c r="K234" s="38" t="s">
        <v>313</v>
      </c>
      <c r="L234" s="38" t="s">
        <v>770</v>
      </c>
      <c r="M234" s="38" t="s">
        <v>315</v>
      </c>
      <c r="N234" s="34" t="s">
        <v>118</v>
      </c>
      <c r="O234" s="26" t="s">
        <v>768</v>
      </c>
      <c r="P234" s="26" t="s">
        <v>305</v>
      </c>
    </row>
    <row r="235" customFormat="false" ht="15" hidden="false" customHeight="false" outlineLevel="0" collapsed="false">
      <c r="A235" s="38" t="n">
        <v>232</v>
      </c>
      <c r="B235" s="38" t="s">
        <v>763</v>
      </c>
      <c r="C235" s="38" t="s">
        <v>764</v>
      </c>
      <c r="D235" s="38" t="s">
        <v>300</v>
      </c>
      <c r="E235" s="39" t="n">
        <v>11524297</v>
      </c>
      <c r="F235" s="39" t="n">
        <v>0</v>
      </c>
      <c r="G235" s="33" t="n">
        <f aca="false">E235-F235</f>
        <v>11524297</v>
      </c>
      <c r="H235" s="27" t="n">
        <v>46071</v>
      </c>
      <c r="I235" s="38" t="s">
        <v>765</v>
      </c>
      <c r="J235" s="38" t="s">
        <v>771</v>
      </c>
      <c r="K235" s="38" t="s">
        <v>313</v>
      </c>
      <c r="L235" s="38" t="s">
        <v>772</v>
      </c>
      <c r="M235" s="38" t="s">
        <v>315</v>
      </c>
      <c r="N235" s="34" t="s">
        <v>118</v>
      </c>
      <c r="O235" s="26" t="s">
        <v>768</v>
      </c>
      <c r="P235" s="26" t="s">
        <v>305</v>
      </c>
    </row>
    <row r="236" customFormat="false" ht="15" hidden="false" customHeight="false" outlineLevel="0" collapsed="false">
      <c r="A236" s="38" t="n">
        <v>233</v>
      </c>
      <c r="B236" s="38" t="s">
        <v>763</v>
      </c>
      <c r="C236" s="38" t="s">
        <v>764</v>
      </c>
      <c r="D236" s="38" t="s">
        <v>300</v>
      </c>
      <c r="E236" s="39" t="n">
        <v>8261283</v>
      </c>
      <c r="F236" s="39" t="n">
        <v>0</v>
      </c>
      <c r="G236" s="33" t="n">
        <f aca="false">E236-F236</f>
        <v>8261283</v>
      </c>
      <c r="H236" s="27" t="n">
        <v>46071</v>
      </c>
      <c r="I236" s="38" t="s">
        <v>765</v>
      </c>
      <c r="J236" s="38" t="s">
        <v>773</v>
      </c>
      <c r="K236" s="38" t="s">
        <v>313</v>
      </c>
      <c r="L236" s="38" t="s">
        <v>774</v>
      </c>
      <c r="M236" s="38" t="s">
        <v>315</v>
      </c>
      <c r="N236" s="34" t="s">
        <v>119</v>
      </c>
      <c r="O236" s="26" t="s">
        <v>768</v>
      </c>
      <c r="P236" s="26" t="s">
        <v>305</v>
      </c>
    </row>
    <row r="237" customFormat="false" ht="15" hidden="false" customHeight="false" outlineLevel="0" collapsed="false">
      <c r="A237" s="38" t="n">
        <v>234</v>
      </c>
      <c r="B237" s="38" t="s">
        <v>763</v>
      </c>
      <c r="C237" s="38" t="s">
        <v>764</v>
      </c>
      <c r="D237" s="38" t="s">
        <v>300</v>
      </c>
      <c r="E237" s="39" t="n">
        <v>8547937</v>
      </c>
      <c r="F237" s="39" t="n">
        <v>0</v>
      </c>
      <c r="G237" s="33" t="n">
        <f aca="false">E237-F237</f>
        <v>8547937</v>
      </c>
      <c r="H237" s="27" t="n">
        <v>46095</v>
      </c>
      <c r="I237" s="38" t="s">
        <v>765</v>
      </c>
      <c r="J237" s="38" t="s">
        <v>775</v>
      </c>
      <c r="K237" s="38" t="s">
        <v>313</v>
      </c>
      <c r="L237" s="38" t="s">
        <v>776</v>
      </c>
      <c r="M237" s="38" t="s">
        <v>315</v>
      </c>
      <c r="N237" s="34" t="s">
        <v>119</v>
      </c>
      <c r="O237" s="26" t="s">
        <v>768</v>
      </c>
      <c r="P237" s="26" t="s">
        <v>305</v>
      </c>
    </row>
    <row r="238" customFormat="false" ht="15" hidden="false" customHeight="false" outlineLevel="0" collapsed="false">
      <c r="A238" s="38" t="n">
        <v>235</v>
      </c>
      <c r="B238" s="38" t="s">
        <v>763</v>
      </c>
      <c r="C238" s="38" t="s">
        <v>764</v>
      </c>
      <c r="D238" s="38" t="s">
        <v>300</v>
      </c>
      <c r="E238" s="39" t="n">
        <v>11474507</v>
      </c>
      <c r="F238" s="39" t="n">
        <v>0</v>
      </c>
      <c r="G238" s="33" t="n">
        <f aca="false">E238-F238</f>
        <v>11474507</v>
      </c>
      <c r="H238" s="27" t="n">
        <v>46095</v>
      </c>
      <c r="I238" s="38" t="s">
        <v>765</v>
      </c>
      <c r="J238" s="38" t="s">
        <v>777</v>
      </c>
      <c r="K238" s="38" t="s">
        <v>313</v>
      </c>
      <c r="L238" s="38" t="s">
        <v>778</v>
      </c>
      <c r="M238" s="38" t="s">
        <v>315</v>
      </c>
      <c r="N238" s="34" t="s">
        <v>118</v>
      </c>
      <c r="O238" s="26" t="s">
        <v>768</v>
      </c>
      <c r="P238" s="26" t="s">
        <v>305</v>
      </c>
    </row>
    <row r="239" customFormat="false" ht="15" hidden="false" customHeight="false" outlineLevel="0" collapsed="false">
      <c r="A239" s="38" t="n">
        <v>236</v>
      </c>
      <c r="B239" s="38" t="s">
        <v>763</v>
      </c>
      <c r="C239" s="38" t="s">
        <v>764</v>
      </c>
      <c r="D239" s="38" t="s">
        <v>300</v>
      </c>
      <c r="E239" s="39" t="n">
        <v>11635838</v>
      </c>
      <c r="F239" s="39" t="n">
        <v>0</v>
      </c>
      <c r="G239" s="33" t="n">
        <f aca="false">E239-F239</f>
        <v>11635838</v>
      </c>
      <c r="H239" s="27" t="n">
        <v>46136</v>
      </c>
      <c r="I239" s="38" t="s">
        <v>765</v>
      </c>
      <c r="J239" s="38" t="s">
        <v>779</v>
      </c>
      <c r="K239" s="38" t="s">
        <v>313</v>
      </c>
      <c r="L239" s="38" t="s">
        <v>780</v>
      </c>
      <c r="M239" s="38" t="s">
        <v>315</v>
      </c>
      <c r="N239" s="34" t="s">
        <v>118</v>
      </c>
      <c r="O239" s="26" t="s">
        <v>768</v>
      </c>
      <c r="P239" s="26" t="s">
        <v>305</v>
      </c>
    </row>
    <row r="240" customFormat="false" ht="15" hidden="false" customHeight="false" outlineLevel="0" collapsed="false">
      <c r="A240" s="38" t="n">
        <v>237</v>
      </c>
      <c r="B240" s="38" t="s">
        <v>763</v>
      </c>
      <c r="C240" s="38" t="s">
        <v>764</v>
      </c>
      <c r="D240" s="38" t="s">
        <v>300</v>
      </c>
      <c r="E240" s="39" t="n">
        <v>8830873</v>
      </c>
      <c r="F240" s="39" t="n">
        <v>0</v>
      </c>
      <c r="G240" s="33" t="n">
        <f aca="false">E240-F240</f>
        <v>8830873</v>
      </c>
      <c r="H240" s="27" t="n">
        <v>46136</v>
      </c>
      <c r="I240" s="38" t="s">
        <v>765</v>
      </c>
      <c r="J240" s="38" t="s">
        <v>781</v>
      </c>
      <c r="K240" s="38" t="s">
        <v>313</v>
      </c>
      <c r="L240" s="38" t="s">
        <v>782</v>
      </c>
      <c r="M240" s="38" t="s">
        <v>315</v>
      </c>
      <c r="N240" s="34" t="s">
        <v>119</v>
      </c>
      <c r="O240" s="26" t="s">
        <v>768</v>
      </c>
      <c r="P240" s="26" t="s">
        <v>305</v>
      </c>
    </row>
    <row r="241" customFormat="false" ht="15" hidden="false" customHeight="false" outlineLevel="0" collapsed="false">
      <c r="A241" s="38" t="n">
        <v>238</v>
      </c>
      <c r="B241" s="38" t="s">
        <v>763</v>
      </c>
      <c r="C241" s="38" t="s">
        <v>764</v>
      </c>
      <c r="D241" s="38" t="s">
        <v>300</v>
      </c>
      <c r="E241" s="39" t="n">
        <v>8621303</v>
      </c>
      <c r="F241" s="39" t="n">
        <v>0</v>
      </c>
      <c r="G241" s="33" t="n">
        <f aca="false">E241-F241</f>
        <v>8621303</v>
      </c>
      <c r="H241" s="27" t="n">
        <v>46164</v>
      </c>
      <c r="I241" s="38" t="s">
        <v>765</v>
      </c>
      <c r="J241" s="38" t="s">
        <v>783</v>
      </c>
      <c r="K241" s="38" t="s">
        <v>313</v>
      </c>
      <c r="L241" s="38" t="s">
        <v>784</v>
      </c>
      <c r="M241" s="38" t="s">
        <v>315</v>
      </c>
      <c r="N241" s="34" t="s">
        <v>119</v>
      </c>
      <c r="O241" s="26" t="s">
        <v>768</v>
      </c>
      <c r="P241" s="26" t="s">
        <v>305</v>
      </c>
    </row>
    <row r="242" customFormat="false" ht="15" hidden="false" customHeight="false" outlineLevel="0" collapsed="false">
      <c r="A242" s="38" t="n">
        <v>239</v>
      </c>
      <c r="B242" s="38" t="s">
        <v>763</v>
      </c>
      <c r="C242" s="38" t="s">
        <v>764</v>
      </c>
      <c r="D242" s="38" t="s">
        <v>300</v>
      </c>
      <c r="E242" s="39" t="n">
        <v>12392508</v>
      </c>
      <c r="F242" s="39" t="n">
        <v>0</v>
      </c>
      <c r="G242" s="33" t="n">
        <f aca="false">E242-F242</f>
        <v>12392508</v>
      </c>
      <c r="H242" s="27" t="n">
        <v>46164</v>
      </c>
      <c r="I242" s="38" t="s">
        <v>765</v>
      </c>
      <c r="J242" s="38" t="s">
        <v>785</v>
      </c>
      <c r="K242" s="38" t="s">
        <v>313</v>
      </c>
      <c r="L242" s="38" t="s">
        <v>786</v>
      </c>
      <c r="M242" s="38" t="s">
        <v>315</v>
      </c>
      <c r="N242" s="34" t="s">
        <v>118</v>
      </c>
      <c r="O242" s="26" t="s">
        <v>768</v>
      </c>
      <c r="P242" s="26" t="s">
        <v>305</v>
      </c>
    </row>
    <row r="243" customFormat="false" ht="15" hidden="false" customHeight="false" outlineLevel="0" collapsed="false">
      <c r="A243" s="38" t="n">
        <v>240</v>
      </c>
      <c r="B243" s="38" t="s">
        <v>763</v>
      </c>
      <c r="C243" s="38" t="s">
        <v>764</v>
      </c>
      <c r="D243" s="38" t="s">
        <v>300</v>
      </c>
      <c r="E243" s="39" t="n">
        <v>8901235</v>
      </c>
      <c r="F243" s="39" t="n">
        <v>0</v>
      </c>
      <c r="G243" s="33" t="n">
        <f aca="false">E243-F243</f>
        <v>8901235</v>
      </c>
      <c r="H243" s="27" t="n">
        <v>46203</v>
      </c>
      <c r="I243" s="38" t="s">
        <v>765</v>
      </c>
      <c r="J243" s="38" t="s">
        <v>787</v>
      </c>
      <c r="K243" s="38" t="s">
        <v>313</v>
      </c>
      <c r="L243" s="38" t="s">
        <v>788</v>
      </c>
      <c r="M243" s="38" t="s">
        <v>315</v>
      </c>
      <c r="N243" s="34" t="s">
        <v>119</v>
      </c>
      <c r="O243" s="26" t="s">
        <v>768</v>
      </c>
      <c r="P243" s="26" t="s">
        <v>305</v>
      </c>
    </row>
    <row r="244" customFormat="false" ht="15" hidden="false" customHeight="false" outlineLevel="0" collapsed="false">
      <c r="A244" s="38" t="n">
        <v>241</v>
      </c>
      <c r="B244" s="38" t="s">
        <v>763</v>
      </c>
      <c r="C244" s="38" t="s">
        <v>764</v>
      </c>
      <c r="D244" s="38" t="s">
        <v>300</v>
      </c>
      <c r="E244" s="39" t="n">
        <v>11973677</v>
      </c>
      <c r="F244" s="39" t="n">
        <v>0</v>
      </c>
      <c r="G244" s="33" t="n">
        <f aca="false">E244-F244</f>
        <v>11973677</v>
      </c>
      <c r="H244" s="27" t="n">
        <v>46203</v>
      </c>
      <c r="I244" s="38" t="s">
        <v>765</v>
      </c>
      <c r="J244" s="38" t="s">
        <v>789</v>
      </c>
      <c r="K244" s="38" t="s">
        <v>313</v>
      </c>
      <c r="L244" s="38" t="s">
        <v>790</v>
      </c>
      <c r="M244" s="38" t="s">
        <v>315</v>
      </c>
      <c r="N244" s="34" t="s">
        <v>118</v>
      </c>
      <c r="O244" s="26" t="s">
        <v>768</v>
      </c>
      <c r="P244" s="26" t="s">
        <v>305</v>
      </c>
    </row>
    <row r="245" customFormat="false" ht="15" hidden="false" customHeight="false" outlineLevel="0" collapsed="false">
      <c r="A245" s="38" t="n">
        <v>242</v>
      </c>
      <c r="B245" s="38" t="s">
        <v>763</v>
      </c>
      <c r="C245" s="38" t="s">
        <v>764</v>
      </c>
      <c r="D245" s="38" t="s">
        <v>300</v>
      </c>
      <c r="E245" s="39" t="n">
        <v>8261283</v>
      </c>
      <c r="F245" s="39" t="n">
        <v>8261283</v>
      </c>
      <c r="G245" s="33" t="n">
        <f aca="false">E245-F245</f>
        <v>0</v>
      </c>
      <c r="H245" s="27" t="n">
        <v>46225</v>
      </c>
      <c r="I245" s="38" t="s">
        <v>765</v>
      </c>
      <c r="J245" s="38" t="s">
        <v>791</v>
      </c>
      <c r="K245" s="38" t="s">
        <v>363</v>
      </c>
      <c r="L245" s="38" t="s">
        <v>792</v>
      </c>
      <c r="M245" s="38" t="s">
        <v>379</v>
      </c>
      <c r="N245" s="34" t="s">
        <v>146</v>
      </c>
      <c r="O245" s="26" t="s">
        <v>768</v>
      </c>
      <c r="P245" s="26" t="s">
        <v>755</v>
      </c>
    </row>
    <row r="246" customFormat="false" ht="15" hidden="false" customHeight="false" outlineLevel="0" collapsed="false">
      <c r="A246" s="38" t="n">
        <v>243</v>
      </c>
      <c r="B246" s="38" t="s">
        <v>763</v>
      </c>
      <c r="C246" s="38" t="s">
        <v>764</v>
      </c>
      <c r="D246" s="38" t="s">
        <v>300</v>
      </c>
      <c r="E246" s="39" t="n">
        <v>8867342</v>
      </c>
      <c r="F246" s="39" t="n">
        <v>0</v>
      </c>
      <c r="G246" s="33" t="n">
        <f aca="false">E246-F246</f>
        <v>8867342</v>
      </c>
      <c r="H246" s="27" t="n">
        <v>46231</v>
      </c>
      <c r="I246" s="38" t="s">
        <v>765</v>
      </c>
      <c r="J246" s="38" t="s">
        <v>793</v>
      </c>
      <c r="K246" s="38" t="s">
        <v>313</v>
      </c>
      <c r="L246" s="38" t="s">
        <v>794</v>
      </c>
      <c r="M246" s="38" t="s">
        <v>315</v>
      </c>
      <c r="N246" s="34" t="s">
        <v>119</v>
      </c>
      <c r="O246" s="26" t="s">
        <v>768</v>
      </c>
      <c r="P246" s="26" t="s">
        <v>305</v>
      </c>
    </row>
    <row r="247" customFormat="false" ht="15" hidden="false" customHeight="false" outlineLevel="0" collapsed="false">
      <c r="A247" s="38" t="n">
        <v>244</v>
      </c>
      <c r="B247" s="38" t="s">
        <v>763</v>
      </c>
      <c r="C247" s="38" t="s">
        <v>764</v>
      </c>
      <c r="D247" s="38" t="s">
        <v>300</v>
      </c>
      <c r="E247" s="39" t="n">
        <v>12327298</v>
      </c>
      <c r="F247" s="39" t="n">
        <v>0</v>
      </c>
      <c r="G247" s="33" t="n">
        <f aca="false">E247-F247</f>
        <v>12327298</v>
      </c>
      <c r="H247" s="27" t="n">
        <v>46231</v>
      </c>
      <c r="I247" s="38" t="s">
        <v>765</v>
      </c>
      <c r="J247" s="38" t="s">
        <v>795</v>
      </c>
      <c r="K247" s="38" t="s">
        <v>313</v>
      </c>
      <c r="L247" s="38" t="s">
        <v>796</v>
      </c>
      <c r="M247" s="38" t="s">
        <v>315</v>
      </c>
      <c r="N247" s="34" t="s">
        <v>118</v>
      </c>
      <c r="O247" s="26" t="s">
        <v>768</v>
      </c>
      <c r="P247" s="26" t="s">
        <v>305</v>
      </c>
    </row>
    <row r="248" customFormat="false" ht="15" hidden="false" customHeight="false" outlineLevel="0" collapsed="false">
      <c r="A248" s="38" t="n">
        <v>245</v>
      </c>
      <c r="B248" s="38" t="s">
        <v>763</v>
      </c>
      <c r="C248" s="38" t="s">
        <v>764</v>
      </c>
      <c r="D248" s="38" t="s">
        <v>306</v>
      </c>
      <c r="E248" s="39" t="n">
        <v>25421164.99</v>
      </c>
      <c r="F248" s="39" t="n">
        <v>0</v>
      </c>
      <c r="G248" s="33" t="n">
        <f aca="false">E248-F248</f>
        <v>25421164.99</v>
      </c>
      <c r="H248" s="27" t="n">
        <v>46050</v>
      </c>
      <c r="I248" s="38" t="s">
        <v>301</v>
      </c>
      <c r="J248" s="38" t="s">
        <v>797</v>
      </c>
      <c r="K248" s="38" t="s">
        <v>313</v>
      </c>
      <c r="L248" s="38" t="s">
        <v>798</v>
      </c>
      <c r="M248" s="38" t="s">
        <v>315</v>
      </c>
      <c r="N248" s="34" t="s">
        <v>130</v>
      </c>
      <c r="O248" s="26" t="s">
        <v>768</v>
      </c>
      <c r="P248" s="26" t="s">
        <v>305</v>
      </c>
    </row>
    <row r="249" customFormat="false" ht="15" hidden="false" customHeight="false" outlineLevel="0" collapsed="false">
      <c r="A249" s="38" t="n">
        <v>246</v>
      </c>
      <c r="B249" s="38" t="s">
        <v>763</v>
      </c>
      <c r="C249" s="38" t="s">
        <v>764</v>
      </c>
      <c r="D249" s="38" t="s">
        <v>306</v>
      </c>
      <c r="E249" s="39" t="n">
        <v>25421164.99</v>
      </c>
      <c r="F249" s="39" t="n">
        <v>0</v>
      </c>
      <c r="G249" s="33" t="n">
        <f aca="false">E249-F249</f>
        <v>25421164.99</v>
      </c>
      <c r="H249" s="27" t="n">
        <v>46050</v>
      </c>
      <c r="I249" s="38" t="s">
        <v>301</v>
      </c>
      <c r="J249" s="38" t="s">
        <v>799</v>
      </c>
      <c r="K249" s="38" t="s">
        <v>313</v>
      </c>
      <c r="L249" s="38" t="s">
        <v>800</v>
      </c>
      <c r="M249" s="38" t="s">
        <v>315</v>
      </c>
      <c r="N249" s="34" t="s">
        <v>131</v>
      </c>
      <c r="O249" s="26" t="s">
        <v>768</v>
      </c>
      <c r="P249" s="26" t="s">
        <v>305</v>
      </c>
    </row>
    <row r="250" customFormat="false" ht="15" hidden="false" customHeight="false" outlineLevel="0" collapsed="false">
      <c r="A250" s="38" t="n">
        <v>247</v>
      </c>
      <c r="B250" s="38" t="s">
        <v>763</v>
      </c>
      <c r="C250" s="38" t="s">
        <v>764</v>
      </c>
      <c r="D250" s="38" t="s">
        <v>306</v>
      </c>
      <c r="E250" s="39" t="n">
        <v>20809569.69</v>
      </c>
      <c r="F250" s="39" t="n">
        <v>0</v>
      </c>
      <c r="G250" s="33" t="n">
        <f aca="false">E250-F250</f>
        <v>20809569.69</v>
      </c>
      <c r="H250" s="27" t="n">
        <v>46051</v>
      </c>
      <c r="I250" s="38" t="s">
        <v>301</v>
      </c>
      <c r="J250" s="38" t="s">
        <v>801</v>
      </c>
      <c r="K250" s="38" t="s">
        <v>313</v>
      </c>
      <c r="L250" s="38" t="s">
        <v>802</v>
      </c>
      <c r="M250" s="38" t="s">
        <v>315</v>
      </c>
      <c r="N250" s="34" t="s">
        <v>132</v>
      </c>
      <c r="O250" s="26" t="s">
        <v>768</v>
      </c>
      <c r="P250" s="26" t="s">
        <v>305</v>
      </c>
    </row>
    <row r="251" customFormat="false" ht="15" hidden="false" customHeight="false" outlineLevel="0" collapsed="false">
      <c r="A251" s="38" t="n">
        <v>248</v>
      </c>
      <c r="B251" s="38" t="s">
        <v>763</v>
      </c>
      <c r="C251" s="38" t="s">
        <v>764</v>
      </c>
      <c r="D251" s="38" t="s">
        <v>306</v>
      </c>
      <c r="E251" s="39" t="n">
        <v>61077245.67</v>
      </c>
      <c r="F251" s="39" t="n">
        <v>0</v>
      </c>
      <c r="G251" s="33" t="n">
        <f aca="false">E251-F251</f>
        <v>61077245.67</v>
      </c>
      <c r="H251" s="27" t="n">
        <v>46051</v>
      </c>
      <c r="I251" s="38" t="s">
        <v>301</v>
      </c>
      <c r="J251" s="38" t="s">
        <v>803</v>
      </c>
      <c r="K251" s="38" t="s">
        <v>313</v>
      </c>
      <c r="L251" s="38" t="s">
        <v>804</v>
      </c>
      <c r="M251" s="38" t="s">
        <v>315</v>
      </c>
      <c r="N251" s="34" t="s">
        <v>133</v>
      </c>
      <c r="O251" s="26" t="s">
        <v>768</v>
      </c>
      <c r="P251" s="26" t="s">
        <v>305</v>
      </c>
    </row>
    <row r="252" customFormat="false" ht="15" hidden="false" customHeight="false" outlineLevel="0" collapsed="false">
      <c r="A252" s="38" t="n">
        <v>249</v>
      </c>
      <c r="B252" s="38" t="s">
        <v>763</v>
      </c>
      <c r="C252" s="38" t="s">
        <v>764</v>
      </c>
      <c r="D252" s="38" t="s">
        <v>306</v>
      </c>
      <c r="E252" s="39" t="n">
        <v>20805204.47</v>
      </c>
      <c r="F252" s="39" t="n">
        <v>0</v>
      </c>
      <c r="G252" s="33" t="n">
        <f aca="false">E252-F252</f>
        <v>20805204.47</v>
      </c>
      <c r="H252" s="27" t="n">
        <v>46051</v>
      </c>
      <c r="I252" s="38" t="s">
        <v>301</v>
      </c>
      <c r="J252" s="38" t="s">
        <v>805</v>
      </c>
      <c r="K252" s="38" t="s">
        <v>313</v>
      </c>
      <c r="L252" s="38" t="s">
        <v>806</v>
      </c>
      <c r="M252" s="38" t="s">
        <v>315</v>
      </c>
      <c r="N252" s="34" t="s">
        <v>129</v>
      </c>
      <c r="O252" s="26" t="s">
        <v>768</v>
      </c>
      <c r="P252" s="26" t="s">
        <v>305</v>
      </c>
    </row>
    <row r="253" customFormat="false" ht="15" hidden="false" customHeight="false" outlineLevel="0" collapsed="false">
      <c r="A253" s="38" t="n">
        <v>250</v>
      </c>
      <c r="B253" s="38" t="s">
        <v>763</v>
      </c>
      <c r="C253" s="38" t="s">
        <v>764</v>
      </c>
      <c r="D253" s="38" t="s">
        <v>306</v>
      </c>
      <c r="E253" s="39" t="n">
        <v>20805204.47</v>
      </c>
      <c r="F253" s="39" t="n">
        <v>0</v>
      </c>
      <c r="G253" s="33" t="n">
        <f aca="false">E253-F253</f>
        <v>20805204.47</v>
      </c>
      <c r="H253" s="27" t="n">
        <v>46051</v>
      </c>
      <c r="I253" s="38" t="s">
        <v>301</v>
      </c>
      <c r="J253" s="38" t="s">
        <v>807</v>
      </c>
      <c r="K253" s="38" t="s">
        <v>313</v>
      </c>
      <c r="L253" s="38" t="s">
        <v>808</v>
      </c>
      <c r="M253" s="38" t="s">
        <v>315</v>
      </c>
      <c r="N253" s="34" t="s">
        <v>128</v>
      </c>
      <c r="O253" s="26" t="s">
        <v>768</v>
      </c>
      <c r="P253" s="26" t="s">
        <v>305</v>
      </c>
    </row>
    <row r="254" customFormat="false" ht="15" hidden="false" customHeight="false" outlineLevel="0" collapsed="false">
      <c r="A254" s="38" t="n">
        <v>251</v>
      </c>
      <c r="B254" s="38" t="s">
        <v>763</v>
      </c>
      <c r="C254" s="38" t="s">
        <v>764</v>
      </c>
      <c r="D254" s="38" t="s">
        <v>306</v>
      </c>
      <c r="E254" s="39" t="n">
        <v>26079255.16</v>
      </c>
      <c r="F254" s="39" t="n">
        <v>0</v>
      </c>
      <c r="G254" s="33" t="n">
        <f aca="false">E254-F254</f>
        <v>26079255.16</v>
      </c>
      <c r="H254" s="27" t="n">
        <v>46136</v>
      </c>
      <c r="I254" s="38" t="s">
        <v>301</v>
      </c>
      <c r="J254" s="38" t="s">
        <v>809</v>
      </c>
      <c r="K254" s="38" t="s">
        <v>313</v>
      </c>
      <c r="L254" s="38" t="s">
        <v>810</v>
      </c>
      <c r="M254" s="38" t="s">
        <v>315</v>
      </c>
      <c r="N254" s="34" t="s">
        <v>130</v>
      </c>
      <c r="O254" s="26" t="s">
        <v>768</v>
      </c>
      <c r="P254" s="26" t="s">
        <v>305</v>
      </c>
    </row>
    <row r="255" customFormat="false" ht="15" hidden="false" customHeight="false" outlineLevel="0" collapsed="false">
      <c r="A255" s="38" t="n">
        <v>252</v>
      </c>
      <c r="B255" s="38" t="s">
        <v>763</v>
      </c>
      <c r="C255" s="38" t="s">
        <v>764</v>
      </c>
      <c r="D255" s="38" t="s">
        <v>306</v>
      </c>
      <c r="E255" s="39" t="n">
        <v>21319941.88</v>
      </c>
      <c r="F255" s="39" t="n">
        <v>0</v>
      </c>
      <c r="G255" s="33" t="n">
        <f aca="false">E255-F255</f>
        <v>21319941.88</v>
      </c>
      <c r="H255" s="27" t="n">
        <v>46136</v>
      </c>
      <c r="I255" s="38" t="s">
        <v>301</v>
      </c>
      <c r="J255" s="38" t="s">
        <v>811</v>
      </c>
      <c r="K255" s="38" t="s">
        <v>313</v>
      </c>
      <c r="L255" s="38" t="s">
        <v>812</v>
      </c>
      <c r="M255" s="38" t="s">
        <v>315</v>
      </c>
      <c r="N255" s="34" t="s">
        <v>132</v>
      </c>
      <c r="O255" s="26" t="s">
        <v>768</v>
      </c>
      <c r="P255" s="26" t="s">
        <v>305</v>
      </c>
    </row>
    <row r="256" customFormat="false" ht="15" hidden="false" customHeight="false" outlineLevel="0" collapsed="false">
      <c r="A256" s="38" t="n">
        <v>253</v>
      </c>
      <c r="B256" s="38" t="s">
        <v>763</v>
      </c>
      <c r="C256" s="38" t="s">
        <v>764</v>
      </c>
      <c r="D256" s="38" t="s">
        <v>306</v>
      </c>
      <c r="E256" s="39" t="n">
        <v>62648860.03</v>
      </c>
      <c r="F256" s="39" t="n">
        <v>0</v>
      </c>
      <c r="G256" s="33" t="n">
        <f aca="false">E256-F256</f>
        <v>62648860.03</v>
      </c>
      <c r="H256" s="27" t="n">
        <v>46136</v>
      </c>
      <c r="I256" s="38" t="s">
        <v>301</v>
      </c>
      <c r="J256" s="38" t="s">
        <v>813</v>
      </c>
      <c r="K256" s="38" t="s">
        <v>313</v>
      </c>
      <c r="L256" s="38" t="s">
        <v>814</v>
      </c>
      <c r="M256" s="38" t="s">
        <v>315</v>
      </c>
      <c r="N256" s="34" t="s">
        <v>133</v>
      </c>
      <c r="O256" s="26" t="s">
        <v>768</v>
      </c>
      <c r="P256" s="26" t="s">
        <v>305</v>
      </c>
    </row>
    <row r="257" customFormat="false" ht="15" hidden="false" customHeight="false" outlineLevel="0" collapsed="false">
      <c r="A257" s="38" t="n">
        <v>254</v>
      </c>
      <c r="B257" s="38" t="s">
        <v>763</v>
      </c>
      <c r="C257" s="38" t="s">
        <v>764</v>
      </c>
      <c r="D257" s="38" t="s">
        <v>306</v>
      </c>
      <c r="E257" s="39" t="n">
        <v>21315470.38</v>
      </c>
      <c r="F257" s="39" t="n">
        <v>0</v>
      </c>
      <c r="G257" s="33" t="n">
        <f aca="false">E257-F257</f>
        <v>21315470.38</v>
      </c>
      <c r="H257" s="27" t="n">
        <v>46136</v>
      </c>
      <c r="I257" s="38" t="s">
        <v>301</v>
      </c>
      <c r="J257" s="38" t="s">
        <v>815</v>
      </c>
      <c r="K257" s="38" t="s">
        <v>313</v>
      </c>
      <c r="L257" s="38" t="s">
        <v>816</v>
      </c>
      <c r="M257" s="38" t="s">
        <v>315</v>
      </c>
      <c r="N257" s="34" t="s">
        <v>129</v>
      </c>
      <c r="O257" s="26" t="s">
        <v>768</v>
      </c>
      <c r="P257" s="26" t="s">
        <v>305</v>
      </c>
    </row>
    <row r="258" customFormat="false" ht="15" hidden="false" customHeight="false" outlineLevel="0" collapsed="false">
      <c r="A258" s="38" t="n">
        <v>255</v>
      </c>
      <c r="B258" s="38" t="s">
        <v>763</v>
      </c>
      <c r="C258" s="38" t="s">
        <v>764</v>
      </c>
      <c r="D258" s="38" t="s">
        <v>306</v>
      </c>
      <c r="E258" s="39" t="n">
        <v>21315470.39</v>
      </c>
      <c r="F258" s="39" t="n">
        <v>0</v>
      </c>
      <c r="G258" s="33" t="n">
        <f aca="false">E258-F258</f>
        <v>21315470.39</v>
      </c>
      <c r="H258" s="27" t="n">
        <v>46136</v>
      </c>
      <c r="I258" s="38" t="s">
        <v>301</v>
      </c>
      <c r="J258" s="38" t="s">
        <v>817</v>
      </c>
      <c r="K258" s="38" t="s">
        <v>313</v>
      </c>
      <c r="L258" s="38" t="s">
        <v>818</v>
      </c>
      <c r="M258" s="38" t="s">
        <v>315</v>
      </c>
      <c r="N258" s="34" t="s">
        <v>128</v>
      </c>
      <c r="O258" s="26" t="s">
        <v>768</v>
      </c>
      <c r="P258" s="26" t="s">
        <v>305</v>
      </c>
    </row>
    <row r="259" customFormat="false" ht="15" hidden="false" customHeight="false" outlineLevel="0" collapsed="false">
      <c r="A259" s="38" t="n">
        <v>256</v>
      </c>
      <c r="B259" s="38" t="s">
        <v>763</v>
      </c>
      <c r="C259" s="38" t="s">
        <v>764</v>
      </c>
      <c r="D259" s="38" t="s">
        <v>306</v>
      </c>
      <c r="E259" s="39" t="n">
        <v>26079255.17</v>
      </c>
      <c r="F259" s="39" t="n">
        <v>0</v>
      </c>
      <c r="G259" s="33" t="n">
        <f aca="false">E259-F259</f>
        <v>26079255.17</v>
      </c>
      <c r="H259" s="27" t="n">
        <v>46136</v>
      </c>
      <c r="I259" s="38" t="s">
        <v>301</v>
      </c>
      <c r="J259" s="38" t="s">
        <v>819</v>
      </c>
      <c r="K259" s="38" t="s">
        <v>313</v>
      </c>
      <c r="L259" s="38" t="s">
        <v>820</v>
      </c>
      <c r="M259" s="38" t="s">
        <v>315</v>
      </c>
      <c r="N259" s="34" t="s">
        <v>131</v>
      </c>
      <c r="O259" s="26" t="s">
        <v>768</v>
      </c>
      <c r="P259" s="26" t="s">
        <v>305</v>
      </c>
    </row>
    <row r="260" customFormat="false" ht="15" hidden="false" customHeight="false" outlineLevel="0" collapsed="false">
      <c r="A260" s="38" t="n">
        <v>257</v>
      </c>
      <c r="B260" s="38" t="s">
        <v>763</v>
      </c>
      <c r="C260" s="38" t="s">
        <v>764</v>
      </c>
      <c r="D260" s="38" t="s">
        <v>306</v>
      </c>
      <c r="E260" s="39" t="n">
        <v>26602533.71</v>
      </c>
      <c r="F260" s="39" t="n">
        <v>0</v>
      </c>
      <c r="G260" s="33" t="n">
        <f aca="false">E260-F260</f>
        <v>26602533.71</v>
      </c>
      <c r="H260" s="27" t="n">
        <v>46230</v>
      </c>
      <c r="I260" s="38" t="s">
        <v>301</v>
      </c>
      <c r="J260" s="38" t="s">
        <v>821</v>
      </c>
      <c r="K260" s="38" t="s">
        <v>313</v>
      </c>
      <c r="L260" s="38" t="s">
        <v>822</v>
      </c>
      <c r="M260" s="38" t="s">
        <v>315</v>
      </c>
      <c r="N260" s="34" t="s">
        <v>130</v>
      </c>
      <c r="O260" s="26" t="s">
        <v>768</v>
      </c>
      <c r="P260" s="26" t="s">
        <v>305</v>
      </c>
    </row>
    <row r="261" customFormat="false" ht="15" hidden="false" customHeight="false" outlineLevel="0" collapsed="false">
      <c r="A261" s="38" t="n">
        <v>258</v>
      </c>
      <c r="B261" s="38" t="s">
        <v>763</v>
      </c>
      <c r="C261" s="38" t="s">
        <v>764</v>
      </c>
      <c r="D261" s="38" t="s">
        <v>306</v>
      </c>
      <c r="E261" s="39" t="n">
        <v>26602533.7</v>
      </c>
      <c r="F261" s="39" t="n">
        <v>0</v>
      </c>
      <c r="G261" s="33" t="n">
        <f aca="false">E261-F261</f>
        <v>26602533.7</v>
      </c>
      <c r="H261" s="27" t="n">
        <v>46230</v>
      </c>
      <c r="I261" s="38" t="s">
        <v>301</v>
      </c>
      <c r="J261" s="38" t="s">
        <v>823</v>
      </c>
      <c r="K261" s="38" t="s">
        <v>313</v>
      </c>
      <c r="L261" s="38" t="s">
        <v>824</v>
      </c>
      <c r="M261" s="38" t="s">
        <v>315</v>
      </c>
      <c r="N261" s="34" t="s">
        <v>131</v>
      </c>
      <c r="O261" s="26" t="s">
        <v>768</v>
      </c>
      <c r="P261" s="26" t="s">
        <v>305</v>
      </c>
    </row>
    <row r="262" customFormat="false" ht="15" hidden="false" customHeight="false" outlineLevel="0" collapsed="false">
      <c r="A262" s="38" t="n">
        <v>259</v>
      </c>
      <c r="B262" s="38" t="s">
        <v>763</v>
      </c>
      <c r="C262" s="38" t="s">
        <v>764</v>
      </c>
      <c r="D262" s="38" t="s">
        <v>306</v>
      </c>
      <c r="E262" s="39" t="n">
        <v>21538319.02</v>
      </c>
      <c r="F262" s="39" t="n">
        <v>0</v>
      </c>
      <c r="G262" s="33" t="n">
        <f aca="false">E262-F262</f>
        <v>21538319.02</v>
      </c>
      <c r="H262" s="27" t="n">
        <v>46231</v>
      </c>
      <c r="I262" s="38" t="s">
        <v>301</v>
      </c>
      <c r="J262" s="38" t="s">
        <v>825</v>
      </c>
      <c r="K262" s="38" t="s">
        <v>313</v>
      </c>
      <c r="L262" s="38" t="s">
        <v>826</v>
      </c>
      <c r="M262" s="38" t="s">
        <v>315</v>
      </c>
      <c r="N262" s="34" t="s">
        <v>128</v>
      </c>
      <c r="O262" s="26" t="s">
        <v>768</v>
      </c>
      <c r="P262" s="26" t="s">
        <v>305</v>
      </c>
    </row>
    <row r="263" customFormat="false" ht="15" hidden="false" customHeight="false" outlineLevel="0" collapsed="false">
      <c r="A263" s="38" t="n">
        <v>260</v>
      </c>
      <c r="B263" s="38" t="s">
        <v>763</v>
      </c>
      <c r="C263" s="38" t="s">
        <v>764</v>
      </c>
      <c r="D263" s="38" t="s">
        <v>306</v>
      </c>
      <c r="E263" s="39" t="n">
        <v>21538319.01</v>
      </c>
      <c r="F263" s="39" t="n">
        <v>0</v>
      </c>
      <c r="G263" s="33" t="n">
        <f aca="false">E263-F263</f>
        <v>21538319.01</v>
      </c>
      <c r="H263" s="27" t="n">
        <v>46231</v>
      </c>
      <c r="I263" s="38" t="s">
        <v>301</v>
      </c>
      <c r="J263" s="38" t="s">
        <v>827</v>
      </c>
      <c r="K263" s="38" t="s">
        <v>313</v>
      </c>
      <c r="L263" s="38" t="s">
        <v>828</v>
      </c>
      <c r="M263" s="38" t="s">
        <v>315</v>
      </c>
      <c r="N263" s="34" t="s">
        <v>129</v>
      </c>
      <c r="O263" s="26" t="s">
        <v>768</v>
      </c>
      <c r="P263" s="26" t="s">
        <v>305</v>
      </c>
    </row>
    <row r="264" customFormat="false" ht="15" hidden="false" customHeight="false" outlineLevel="0" collapsed="false">
      <c r="A264" s="38" t="n">
        <v>261</v>
      </c>
      <c r="B264" s="38" t="s">
        <v>763</v>
      </c>
      <c r="C264" s="38" t="s">
        <v>764</v>
      </c>
      <c r="D264" s="38" t="s">
        <v>306</v>
      </c>
      <c r="E264" s="39" t="n">
        <v>62866117.12</v>
      </c>
      <c r="F264" s="39" t="n">
        <v>0</v>
      </c>
      <c r="G264" s="33" t="n">
        <f aca="false">E264-F264</f>
        <v>62866117.12</v>
      </c>
      <c r="H264" s="27" t="n">
        <v>46231</v>
      </c>
      <c r="I264" s="38" t="s">
        <v>301</v>
      </c>
      <c r="J264" s="38" t="s">
        <v>829</v>
      </c>
      <c r="K264" s="38" t="s">
        <v>313</v>
      </c>
      <c r="L264" s="38" t="s">
        <v>830</v>
      </c>
      <c r="M264" s="38" t="s">
        <v>315</v>
      </c>
      <c r="N264" s="34" t="s">
        <v>133</v>
      </c>
      <c r="O264" s="26" t="s">
        <v>768</v>
      </c>
      <c r="P264" s="26" t="s">
        <v>305</v>
      </c>
    </row>
    <row r="265" customFormat="false" ht="15" hidden="false" customHeight="false" outlineLevel="0" collapsed="false">
      <c r="A265" s="38" t="n">
        <v>262</v>
      </c>
      <c r="B265" s="38" t="s">
        <v>763</v>
      </c>
      <c r="C265" s="38" t="s">
        <v>764</v>
      </c>
      <c r="D265" s="38" t="s">
        <v>306</v>
      </c>
      <c r="E265" s="39" t="n">
        <v>21542838.16</v>
      </c>
      <c r="F265" s="39" t="n">
        <v>0</v>
      </c>
      <c r="G265" s="33" t="n">
        <f aca="false">E265-F265</f>
        <v>21542838.16</v>
      </c>
      <c r="H265" s="27" t="n">
        <v>46231</v>
      </c>
      <c r="I265" s="38" t="s">
        <v>301</v>
      </c>
      <c r="J265" s="38" t="s">
        <v>831</v>
      </c>
      <c r="K265" s="38" t="s">
        <v>313</v>
      </c>
      <c r="L265" s="38" t="s">
        <v>832</v>
      </c>
      <c r="M265" s="38" t="s">
        <v>315</v>
      </c>
      <c r="N265" s="34" t="s">
        <v>132</v>
      </c>
      <c r="O265" s="26" t="s">
        <v>768</v>
      </c>
      <c r="P265" s="26" t="s">
        <v>305</v>
      </c>
    </row>
    <row r="266" customFormat="false" ht="15" hidden="false" customHeight="false" outlineLevel="0" collapsed="false">
      <c r="A266" s="38" t="n">
        <v>263</v>
      </c>
      <c r="B266" s="38" t="s">
        <v>763</v>
      </c>
      <c r="C266" s="38" t="s">
        <v>764</v>
      </c>
      <c r="D266" s="38" t="s">
        <v>343</v>
      </c>
      <c r="E266" s="39" t="n">
        <v>14586381</v>
      </c>
      <c r="F266" s="39" t="n">
        <v>0</v>
      </c>
      <c r="G266" s="33" t="n">
        <f aca="false">E266-F266</f>
        <v>14586381</v>
      </c>
      <c r="H266" s="27" t="n">
        <v>46041</v>
      </c>
      <c r="I266" s="38" t="s">
        <v>344</v>
      </c>
      <c r="J266" s="38" t="s">
        <v>833</v>
      </c>
      <c r="K266" s="38" t="s">
        <v>313</v>
      </c>
      <c r="L266" s="38" t="s">
        <v>834</v>
      </c>
      <c r="M266" s="38" t="s">
        <v>315</v>
      </c>
      <c r="N266" s="34" t="s">
        <v>142</v>
      </c>
      <c r="O266" s="26" t="s">
        <v>768</v>
      </c>
      <c r="P266" s="26" t="s">
        <v>305</v>
      </c>
    </row>
    <row r="267" customFormat="false" ht="15" hidden="false" customHeight="false" outlineLevel="0" collapsed="false">
      <c r="A267" s="38" t="n">
        <v>264</v>
      </c>
      <c r="B267" s="38" t="s">
        <v>763</v>
      </c>
      <c r="C267" s="38" t="s">
        <v>764</v>
      </c>
      <c r="D267" s="38" t="s">
        <v>343</v>
      </c>
      <c r="E267" s="39" t="n">
        <v>8838594</v>
      </c>
      <c r="F267" s="39" t="n">
        <v>0</v>
      </c>
      <c r="G267" s="33" t="n">
        <f aca="false">E267-F267</f>
        <v>8838594</v>
      </c>
      <c r="H267" s="27" t="n">
        <v>46041</v>
      </c>
      <c r="I267" s="38" t="s">
        <v>344</v>
      </c>
      <c r="J267" s="38" t="s">
        <v>835</v>
      </c>
      <c r="K267" s="38" t="s">
        <v>313</v>
      </c>
      <c r="L267" s="38" t="s">
        <v>836</v>
      </c>
      <c r="M267" s="38" t="s">
        <v>315</v>
      </c>
      <c r="N267" s="34" t="s">
        <v>141</v>
      </c>
      <c r="O267" s="26" t="s">
        <v>768</v>
      </c>
      <c r="P267" s="26" t="s">
        <v>305</v>
      </c>
    </row>
    <row r="268" customFormat="false" ht="15" hidden="false" customHeight="false" outlineLevel="0" collapsed="false">
      <c r="A268" s="38" t="n">
        <v>265</v>
      </c>
      <c r="B268" s="38" t="s">
        <v>763</v>
      </c>
      <c r="C268" s="38" t="s">
        <v>764</v>
      </c>
      <c r="D268" s="38" t="s">
        <v>343</v>
      </c>
      <c r="E268" s="39" t="n">
        <v>8838594</v>
      </c>
      <c r="F268" s="39" t="n">
        <v>0</v>
      </c>
      <c r="G268" s="33" t="n">
        <f aca="false">E268-F268</f>
        <v>8838594</v>
      </c>
      <c r="H268" s="27" t="n">
        <v>46066</v>
      </c>
      <c r="I268" s="38" t="s">
        <v>344</v>
      </c>
      <c r="J268" s="38" t="s">
        <v>837</v>
      </c>
      <c r="K268" s="38" t="s">
        <v>313</v>
      </c>
      <c r="L268" s="38" t="s">
        <v>838</v>
      </c>
      <c r="M268" s="38" t="s">
        <v>315</v>
      </c>
      <c r="N268" s="34" t="s">
        <v>141</v>
      </c>
      <c r="O268" s="26" t="s">
        <v>768</v>
      </c>
      <c r="P268" s="26" t="s">
        <v>305</v>
      </c>
    </row>
    <row r="269" customFormat="false" ht="15" hidden="false" customHeight="false" outlineLevel="0" collapsed="false">
      <c r="A269" s="38" t="n">
        <v>266</v>
      </c>
      <c r="B269" s="38" t="s">
        <v>763</v>
      </c>
      <c r="C269" s="38" t="s">
        <v>764</v>
      </c>
      <c r="D269" s="38" t="s">
        <v>343</v>
      </c>
      <c r="E269" s="39" t="n">
        <v>17114382</v>
      </c>
      <c r="F269" s="39" t="n">
        <v>0</v>
      </c>
      <c r="G269" s="33" t="n">
        <f aca="false">E269-F269</f>
        <v>17114382</v>
      </c>
      <c r="H269" s="27" t="n">
        <v>46066</v>
      </c>
      <c r="I269" s="38" t="s">
        <v>344</v>
      </c>
      <c r="J269" s="38" t="s">
        <v>839</v>
      </c>
      <c r="K269" s="38" t="s">
        <v>313</v>
      </c>
      <c r="L269" s="38" t="s">
        <v>840</v>
      </c>
      <c r="M269" s="38" t="s">
        <v>315</v>
      </c>
      <c r="N269" s="34" t="s">
        <v>142</v>
      </c>
      <c r="O269" s="26" t="s">
        <v>768</v>
      </c>
      <c r="P269" s="26" t="s">
        <v>305</v>
      </c>
    </row>
    <row r="270" customFormat="false" ht="15" hidden="false" customHeight="false" outlineLevel="0" collapsed="false">
      <c r="A270" s="38" t="n">
        <v>267</v>
      </c>
      <c r="B270" s="38" t="s">
        <v>763</v>
      </c>
      <c r="C270" s="38" t="s">
        <v>764</v>
      </c>
      <c r="D270" s="38" t="s">
        <v>343</v>
      </c>
      <c r="E270" s="39" t="n">
        <v>17114382</v>
      </c>
      <c r="F270" s="39" t="n">
        <v>0</v>
      </c>
      <c r="G270" s="33" t="n">
        <f aca="false">E270-F270</f>
        <v>17114382</v>
      </c>
      <c r="H270" s="27" t="n">
        <v>46094</v>
      </c>
      <c r="I270" s="38" t="s">
        <v>344</v>
      </c>
      <c r="J270" s="38" t="s">
        <v>841</v>
      </c>
      <c r="K270" s="38" t="s">
        <v>313</v>
      </c>
      <c r="L270" s="38" t="s">
        <v>842</v>
      </c>
      <c r="M270" s="38" t="s">
        <v>315</v>
      </c>
      <c r="N270" s="34" t="s">
        <v>142</v>
      </c>
      <c r="O270" s="26" t="s">
        <v>768</v>
      </c>
      <c r="P270" s="26" t="s">
        <v>305</v>
      </c>
    </row>
    <row r="271" customFormat="false" ht="15" hidden="false" customHeight="false" outlineLevel="0" collapsed="false">
      <c r="A271" s="38" t="n">
        <v>268</v>
      </c>
      <c r="B271" s="38" t="s">
        <v>763</v>
      </c>
      <c r="C271" s="38" t="s">
        <v>764</v>
      </c>
      <c r="D271" s="38" t="s">
        <v>343</v>
      </c>
      <c r="E271" s="39" t="n">
        <v>8838594</v>
      </c>
      <c r="F271" s="39" t="n">
        <v>0</v>
      </c>
      <c r="G271" s="33" t="n">
        <f aca="false">E271-F271</f>
        <v>8838594</v>
      </c>
      <c r="H271" s="27" t="n">
        <v>46094</v>
      </c>
      <c r="I271" s="38" t="s">
        <v>344</v>
      </c>
      <c r="J271" s="38" t="s">
        <v>843</v>
      </c>
      <c r="K271" s="38" t="s">
        <v>313</v>
      </c>
      <c r="L271" s="38" t="s">
        <v>844</v>
      </c>
      <c r="M271" s="38" t="s">
        <v>315</v>
      </c>
      <c r="N271" s="34" t="s">
        <v>141</v>
      </c>
      <c r="O271" s="26" t="s">
        <v>768</v>
      </c>
      <c r="P271" s="26" t="s">
        <v>305</v>
      </c>
    </row>
    <row r="272" customFormat="false" ht="15" hidden="false" customHeight="false" outlineLevel="0" collapsed="false">
      <c r="A272" s="38" t="n">
        <v>269</v>
      </c>
      <c r="B272" s="38" t="s">
        <v>763</v>
      </c>
      <c r="C272" s="38" t="s">
        <v>764</v>
      </c>
      <c r="D272" s="38" t="s">
        <v>343</v>
      </c>
      <c r="E272" s="39" t="n">
        <v>23220856</v>
      </c>
      <c r="F272" s="39" t="n">
        <v>0</v>
      </c>
      <c r="G272" s="33" t="n">
        <f aca="false">E272-F272</f>
        <v>23220856</v>
      </c>
      <c r="H272" s="27" t="n">
        <v>46100</v>
      </c>
      <c r="I272" s="38" t="s">
        <v>344</v>
      </c>
      <c r="J272" s="38" t="s">
        <v>845</v>
      </c>
      <c r="K272" s="38" t="s">
        <v>313</v>
      </c>
      <c r="L272" s="38" t="s">
        <v>846</v>
      </c>
      <c r="M272" s="38" t="s">
        <v>315</v>
      </c>
      <c r="N272" s="34" t="s">
        <v>140</v>
      </c>
      <c r="O272" s="26" t="s">
        <v>768</v>
      </c>
      <c r="P272" s="26" t="s">
        <v>305</v>
      </c>
    </row>
    <row r="273" customFormat="false" ht="15" hidden="false" customHeight="false" outlineLevel="0" collapsed="false">
      <c r="A273" s="38" t="n">
        <v>270</v>
      </c>
      <c r="B273" s="38" t="s">
        <v>763</v>
      </c>
      <c r="C273" s="38" t="s">
        <v>764</v>
      </c>
      <c r="D273" s="38" t="s">
        <v>343</v>
      </c>
      <c r="E273" s="39" t="n">
        <v>17114382</v>
      </c>
      <c r="F273" s="39" t="n">
        <v>0</v>
      </c>
      <c r="G273" s="33" t="n">
        <f aca="false">E273-F273</f>
        <v>17114382</v>
      </c>
      <c r="H273" s="27" t="n">
        <v>46127</v>
      </c>
      <c r="I273" s="38" t="s">
        <v>344</v>
      </c>
      <c r="J273" s="38" t="s">
        <v>847</v>
      </c>
      <c r="K273" s="38" t="s">
        <v>313</v>
      </c>
      <c r="L273" s="38" t="s">
        <v>848</v>
      </c>
      <c r="M273" s="38" t="s">
        <v>315</v>
      </c>
      <c r="N273" s="34" t="s">
        <v>142</v>
      </c>
      <c r="O273" s="26" t="s">
        <v>768</v>
      </c>
      <c r="P273" s="26" t="s">
        <v>305</v>
      </c>
    </row>
    <row r="274" customFormat="false" ht="15" hidden="false" customHeight="false" outlineLevel="0" collapsed="false">
      <c r="A274" s="38" t="n">
        <v>271</v>
      </c>
      <c r="B274" s="38" t="s">
        <v>763</v>
      </c>
      <c r="C274" s="38" t="s">
        <v>764</v>
      </c>
      <c r="D274" s="38" t="s">
        <v>343</v>
      </c>
      <c r="E274" s="39" t="n">
        <v>8838594</v>
      </c>
      <c r="F274" s="39" t="n">
        <v>0</v>
      </c>
      <c r="G274" s="33" t="n">
        <f aca="false">E274-F274</f>
        <v>8838594</v>
      </c>
      <c r="H274" s="27" t="n">
        <v>46132</v>
      </c>
      <c r="I274" s="38" t="s">
        <v>344</v>
      </c>
      <c r="J274" s="38" t="s">
        <v>849</v>
      </c>
      <c r="K274" s="38" t="s">
        <v>313</v>
      </c>
      <c r="L274" s="38" t="s">
        <v>850</v>
      </c>
      <c r="M274" s="38" t="s">
        <v>315</v>
      </c>
      <c r="N274" s="34" t="s">
        <v>141</v>
      </c>
      <c r="O274" s="26" t="s">
        <v>768</v>
      </c>
      <c r="P274" s="26" t="s">
        <v>305</v>
      </c>
    </row>
    <row r="275" customFormat="false" ht="15" hidden="false" customHeight="false" outlineLevel="0" collapsed="false">
      <c r="A275" s="38" t="n">
        <v>272</v>
      </c>
      <c r="B275" s="38" t="s">
        <v>763</v>
      </c>
      <c r="C275" s="38" t="s">
        <v>764</v>
      </c>
      <c r="D275" s="38" t="s">
        <v>343</v>
      </c>
      <c r="E275" s="39" t="n">
        <v>8838594</v>
      </c>
      <c r="F275" s="39" t="n">
        <v>0</v>
      </c>
      <c r="G275" s="33" t="n">
        <f aca="false">E275-F275</f>
        <v>8838594</v>
      </c>
      <c r="H275" s="27" t="n">
        <v>46157</v>
      </c>
      <c r="I275" s="38" t="s">
        <v>344</v>
      </c>
      <c r="J275" s="38" t="s">
        <v>851</v>
      </c>
      <c r="K275" s="38" t="s">
        <v>313</v>
      </c>
      <c r="L275" s="38" t="s">
        <v>852</v>
      </c>
      <c r="M275" s="38" t="s">
        <v>315</v>
      </c>
      <c r="N275" s="34" t="s">
        <v>141</v>
      </c>
      <c r="O275" s="26" t="s">
        <v>768</v>
      </c>
      <c r="P275" s="26" t="s">
        <v>305</v>
      </c>
    </row>
    <row r="276" customFormat="false" ht="15" hidden="false" customHeight="false" outlineLevel="0" collapsed="false">
      <c r="A276" s="38" t="n">
        <v>273</v>
      </c>
      <c r="B276" s="38" t="s">
        <v>763</v>
      </c>
      <c r="C276" s="38" t="s">
        <v>764</v>
      </c>
      <c r="D276" s="38" t="s">
        <v>343</v>
      </c>
      <c r="E276" s="39" t="n">
        <v>17114382</v>
      </c>
      <c r="F276" s="39" t="n">
        <v>0</v>
      </c>
      <c r="G276" s="33" t="n">
        <f aca="false">E276-F276</f>
        <v>17114382</v>
      </c>
      <c r="H276" s="27" t="n">
        <v>46157</v>
      </c>
      <c r="I276" s="38" t="s">
        <v>344</v>
      </c>
      <c r="J276" s="38" t="s">
        <v>853</v>
      </c>
      <c r="K276" s="38" t="s">
        <v>313</v>
      </c>
      <c r="L276" s="38" t="s">
        <v>854</v>
      </c>
      <c r="M276" s="38" t="s">
        <v>315</v>
      </c>
      <c r="N276" s="34" t="s">
        <v>142</v>
      </c>
      <c r="O276" s="26" t="s">
        <v>768</v>
      </c>
      <c r="P276" s="26" t="s">
        <v>305</v>
      </c>
    </row>
    <row r="277" customFormat="false" ht="15" hidden="false" customHeight="false" outlineLevel="0" collapsed="false">
      <c r="A277" s="38" t="n">
        <v>274</v>
      </c>
      <c r="B277" s="38" t="s">
        <v>763</v>
      </c>
      <c r="C277" s="38" t="s">
        <v>764</v>
      </c>
      <c r="D277" s="38" t="s">
        <v>343</v>
      </c>
      <c r="E277" s="39" t="n">
        <v>8838594</v>
      </c>
      <c r="F277" s="39" t="n">
        <v>0</v>
      </c>
      <c r="G277" s="33" t="n">
        <f aca="false">E277-F277</f>
        <v>8838594</v>
      </c>
      <c r="H277" s="27" t="n">
        <v>46203</v>
      </c>
      <c r="I277" s="38" t="s">
        <v>344</v>
      </c>
      <c r="J277" s="38" t="s">
        <v>855</v>
      </c>
      <c r="K277" s="38" t="s">
        <v>313</v>
      </c>
      <c r="L277" s="38" t="s">
        <v>856</v>
      </c>
      <c r="M277" s="38" t="s">
        <v>315</v>
      </c>
      <c r="N277" s="34" t="s">
        <v>141</v>
      </c>
      <c r="O277" s="26" t="s">
        <v>768</v>
      </c>
      <c r="P277" s="26" t="s">
        <v>305</v>
      </c>
    </row>
    <row r="278" customFormat="false" ht="15" hidden="false" customHeight="false" outlineLevel="0" collapsed="false">
      <c r="A278" s="38" t="n">
        <v>275</v>
      </c>
      <c r="B278" s="38" t="s">
        <v>763</v>
      </c>
      <c r="C278" s="38" t="s">
        <v>764</v>
      </c>
      <c r="D278" s="38" t="s">
        <v>343</v>
      </c>
      <c r="E278" s="39" t="n">
        <v>23832145</v>
      </c>
      <c r="F278" s="39" t="n">
        <v>0</v>
      </c>
      <c r="G278" s="33" t="n">
        <f aca="false">E278-F278</f>
        <v>23832145</v>
      </c>
      <c r="H278" s="27" t="n">
        <v>46203</v>
      </c>
      <c r="I278" s="38" t="s">
        <v>344</v>
      </c>
      <c r="J278" s="38" t="s">
        <v>857</v>
      </c>
      <c r="K278" s="38" t="s">
        <v>313</v>
      </c>
      <c r="L278" s="38" t="s">
        <v>858</v>
      </c>
      <c r="M278" s="38" t="s">
        <v>315</v>
      </c>
      <c r="N278" s="34" t="s">
        <v>140</v>
      </c>
      <c r="O278" s="26" t="s">
        <v>768</v>
      </c>
      <c r="P278" s="26" t="s">
        <v>305</v>
      </c>
    </row>
    <row r="279" customFormat="false" ht="15" hidden="false" customHeight="false" outlineLevel="0" collapsed="false">
      <c r="A279" s="38" t="n">
        <v>276</v>
      </c>
      <c r="B279" s="38" t="s">
        <v>763</v>
      </c>
      <c r="C279" s="38" t="s">
        <v>764</v>
      </c>
      <c r="D279" s="38" t="s">
        <v>343</v>
      </c>
      <c r="E279" s="39" t="n">
        <v>17114382</v>
      </c>
      <c r="F279" s="39" t="n">
        <v>0</v>
      </c>
      <c r="G279" s="33" t="n">
        <f aca="false">E279-F279</f>
        <v>17114382</v>
      </c>
      <c r="H279" s="27" t="n">
        <v>46203</v>
      </c>
      <c r="I279" s="38" t="s">
        <v>344</v>
      </c>
      <c r="J279" s="38" t="s">
        <v>859</v>
      </c>
      <c r="K279" s="38" t="s">
        <v>313</v>
      </c>
      <c r="L279" s="38" t="s">
        <v>860</v>
      </c>
      <c r="M279" s="38" t="s">
        <v>315</v>
      </c>
      <c r="N279" s="34" t="s">
        <v>142</v>
      </c>
      <c r="O279" s="26" t="s">
        <v>768</v>
      </c>
      <c r="P279" s="26" t="s">
        <v>305</v>
      </c>
    </row>
    <row r="280" customFormat="false" ht="15" hidden="false" customHeight="false" outlineLevel="0" collapsed="false">
      <c r="A280" s="38" t="n">
        <v>277</v>
      </c>
      <c r="B280" s="38" t="s">
        <v>763</v>
      </c>
      <c r="C280" s="38" t="s">
        <v>764</v>
      </c>
      <c r="D280" s="38" t="s">
        <v>343</v>
      </c>
      <c r="E280" s="39" t="n">
        <v>17114382</v>
      </c>
      <c r="F280" s="39" t="n">
        <v>0</v>
      </c>
      <c r="G280" s="33" t="n">
        <f aca="false">E280-F280</f>
        <v>17114382</v>
      </c>
      <c r="H280" s="27" t="n">
        <v>46212</v>
      </c>
      <c r="I280" s="38" t="s">
        <v>344</v>
      </c>
      <c r="J280" s="38" t="s">
        <v>861</v>
      </c>
      <c r="K280" s="38" t="s">
        <v>313</v>
      </c>
      <c r="L280" s="38" t="s">
        <v>862</v>
      </c>
      <c r="M280" s="38" t="s">
        <v>315</v>
      </c>
      <c r="N280" s="34" t="s">
        <v>142</v>
      </c>
      <c r="O280" s="26" t="s">
        <v>768</v>
      </c>
      <c r="P280" s="26" t="s">
        <v>305</v>
      </c>
    </row>
    <row r="281" customFormat="false" ht="15" hidden="false" customHeight="false" outlineLevel="0" collapsed="false">
      <c r="A281" s="38" t="n">
        <v>278</v>
      </c>
      <c r="B281" s="38" t="s">
        <v>763</v>
      </c>
      <c r="C281" s="38" t="s">
        <v>764</v>
      </c>
      <c r="D281" s="38" t="s">
        <v>343</v>
      </c>
      <c r="E281" s="39" t="n">
        <v>8838594</v>
      </c>
      <c r="F281" s="39" t="n">
        <v>0</v>
      </c>
      <c r="G281" s="33" t="n">
        <f aca="false">E281-F281</f>
        <v>8838594</v>
      </c>
      <c r="H281" s="27" t="n">
        <v>46222</v>
      </c>
      <c r="I281" s="38" t="s">
        <v>344</v>
      </c>
      <c r="J281" s="38" t="s">
        <v>863</v>
      </c>
      <c r="K281" s="38" t="s">
        <v>313</v>
      </c>
      <c r="L281" s="38" t="s">
        <v>864</v>
      </c>
      <c r="M281" s="38" t="s">
        <v>315</v>
      </c>
      <c r="N281" s="34" t="s">
        <v>141</v>
      </c>
      <c r="O281" s="26" t="s">
        <v>768</v>
      </c>
      <c r="P281" s="26" t="s">
        <v>305</v>
      </c>
    </row>
    <row r="282" customFormat="false" ht="15" hidden="false" customHeight="false" outlineLevel="0" collapsed="false">
      <c r="A282" s="38" t="n">
        <v>279</v>
      </c>
      <c r="B282" s="38" t="s">
        <v>763</v>
      </c>
      <c r="C282" s="38" t="s">
        <v>764</v>
      </c>
      <c r="D282" s="38" t="s">
        <v>343</v>
      </c>
      <c r="E282" s="39" t="n">
        <v>0</v>
      </c>
      <c r="F282" s="39" t="n">
        <v>103474304</v>
      </c>
      <c r="G282" s="33" t="n">
        <f aca="false">E282-F282</f>
        <v>-103474304</v>
      </c>
      <c r="H282" s="27" t="n">
        <v>46231</v>
      </c>
      <c r="I282" s="38" t="s">
        <v>344</v>
      </c>
      <c r="J282" s="38" t="s">
        <v>748</v>
      </c>
      <c r="K282" s="38" t="s">
        <v>303</v>
      </c>
      <c r="L282" s="38" t="s">
        <v>749</v>
      </c>
      <c r="M282" s="38" t="s">
        <v>297</v>
      </c>
      <c r="N282" s="34" t="s">
        <v>143</v>
      </c>
      <c r="O282" s="26" t="s">
        <v>768</v>
      </c>
      <c r="P282" s="26" t="s">
        <v>307</v>
      </c>
    </row>
    <row r="283" customFormat="false" ht="15" hidden="false" customHeight="false" outlineLevel="0" collapsed="false">
      <c r="A283" s="38" t="n">
        <v>280</v>
      </c>
      <c r="B283" s="38" t="s">
        <v>865</v>
      </c>
      <c r="C283" s="38" t="s">
        <v>866</v>
      </c>
      <c r="D283" s="38" t="s">
        <v>292</v>
      </c>
      <c r="E283" s="39" t="n">
        <v>0</v>
      </c>
      <c r="F283" s="39" t="n">
        <v>37459000</v>
      </c>
      <c r="G283" s="33" t="n">
        <f aca="false">E283-F283</f>
        <v>-37459000</v>
      </c>
      <c r="H283" s="27" t="n">
        <v>46050</v>
      </c>
      <c r="I283" s="38" t="s">
        <v>413</v>
      </c>
      <c r="J283" s="38" t="s">
        <v>867</v>
      </c>
      <c r="K283" s="38" t="s">
        <v>303</v>
      </c>
      <c r="L283" s="38" t="s">
        <v>868</v>
      </c>
      <c r="M283" s="38" t="s">
        <v>297</v>
      </c>
      <c r="N283" s="34" t="s">
        <v>137</v>
      </c>
      <c r="O283" s="26" t="s">
        <v>869</v>
      </c>
      <c r="P283" s="26" t="s">
        <v>870</v>
      </c>
    </row>
    <row r="284" customFormat="false" ht="15" hidden="false" customHeight="false" outlineLevel="0" collapsed="false">
      <c r="A284" s="38" t="n">
        <v>281</v>
      </c>
      <c r="B284" s="38" t="s">
        <v>865</v>
      </c>
      <c r="C284" s="38" t="s">
        <v>866</v>
      </c>
      <c r="D284" s="38" t="s">
        <v>292</v>
      </c>
      <c r="E284" s="39" t="n">
        <v>0</v>
      </c>
      <c r="F284" s="39" t="n">
        <v>41262083</v>
      </c>
      <c r="G284" s="33" t="n">
        <f aca="false">E284-F284</f>
        <v>-41262083</v>
      </c>
      <c r="H284" s="27" t="n">
        <v>46072</v>
      </c>
      <c r="I284" s="38" t="s">
        <v>413</v>
      </c>
      <c r="J284" s="38" t="s">
        <v>871</v>
      </c>
      <c r="K284" s="38" t="s">
        <v>303</v>
      </c>
      <c r="L284" s="38" t="s">
        <v>872</v>
      </c>
      <c r="M284" s="38" t="s">
        <v>297</v>
      </c>
      <c r="N284" s="34" t="s">
        <v>137</v>
      </c>
      <c r="O284" s="26" t="s">
        <v>869</v>
      </c>
      <c r="P284" s="26" t="s">
        <v>870</v>
      </c>
    </row>
    <row r="285" customFormat="false" ht="15" hidden="false" customHeight="false" outlineLevel="0" collapsed="false">
      <c r="A285" s="38" t="n">
        <v>282</v>
      </c>
      <c r="B285" s="38" t="s">
        <v>865</v>
      </c>
      <c r="C285" s="38" t="s">
        <v>866</v>
      </c>
      <c r="D285" s="38" t="s">
        <v>292</v>
      </c>
      <c r="E285" s="39" t="n">
        <v>0</v>
      </c>
      <c r="F285" s="39" t="n">
        <v>38520417</v>
      </c>
      <c r="G285" s="33" t="n">
        <f aca="false">E285-F285</f>
        <v>-38520417</v>
      </c>
      <c r="H285" s="27" t="n">
        <v>46099</v>
      </c>
      <c r="I285" s="38" t="s">
        <v>413</v>
      </c>
      <c r="J285" s="38" t="s">
        <v>873</v>
      </c>
      <c r="K285" s="38" t="s">
        <v>303</v>
      </c>
      <c r="L285" s="38" t="s">
        <v>874</v>
      </c>
      <c r="M285" s="38" t="s">
        <v>297</v>
      </c>
      <c r="N285" s="34" t="s">
        <v>137</v>
      </c>
      <c r="O285" s="26" t="s">
        <v>869</v>
      </c>
      <c r="P285" s="26" t="s">
        <v>870</v>
      </c>
    </row>
    <row r="286" customFormat="false" ht="15" hidden="false" customHeight="false" outlineLevel="0" collapsed="false">
      <c r="A286" s="38" t="n">
        <v>283</v>
      </c>
      <c r="B286" s="38" t="s">
        <v>865</v>
      </c>
      <c r="C286" s="38" t="s">
        <v>866</v>
      </c>
      <c r="D286" s="38" t="s">
        <v>292</v>
      </c>
      <c r="E286" s="39" t="n">
        <v>117241500</v>
      </c>
      <c r="F286" s="39" t="n">
        <v>0</v>
      </c>
      <c r="G286" s="33" t="n">
        <f aca="false">E286-F286</f>
        <v>117241500</v>
      </c>
      <c r="H286" s="27" t="n">
        <v>46108</v>
      </c>
      <c r="I286" s="38" t="s">
        <v>293</v>
      </c>
      <c r="J286" s="38" t="s">
        <v>875</v>
      </c>
      <c r="K286" s="38" t="s">
        <v>363</v>
      </c>
      <c r="L286" s="38" t="s">
        <v>876</v>
      </c>
      <c r="M286" s="38" t="s">
        <v>315</v>
      </c>
      <c r="N286" s="34" t="s">
        <v>137</v>
      </c>
      <c r="O286" s="26" t="s">
        <v>869</v>
      </c>
      <c r="P286" s="26" t="s">
        <v>877</v>
      </c>
    </row>
    <row r="287" customFormat="false" ht="15" hidden="false" customHeight="false" outlineLevel="0" collapsed="false">
      <c r="A287" s="38" t="n">
        <v>284</v>
      </c>
      <c r="B287" s="38" t="s">
        <v>865</v>
      </c>
      <c r="C287" s="38" t="s">
        <v>866</v>
      </c>
      <c r="D287" s="38" t="s">
        <v>292</v>
      </c>
      <c r="E287" s="39" t="n">
        <v>0</v>
      </c>
      <c r="F287" s="39" t="n">
        <v>46894250</v>
      </c>
      <c r="G287" s="33" t="n">
        <f aca="false">E287-F287</f>
        <v>-46894250</v>
      </c>
      <c r="H287" s="27" t="n">
        <v>46134</v>
      </c>
      <c r="I287" s="38" t="s">
        <v>413</v>
      </c>
      <c r="J287" s="38" t="s">
        <v>878</v>
      </c>
      <c r="K287" s="38" t="s">
        <v>303</v>
      </c>
      <c r="L287" s="38" t="s">
        <v>879</v>
      </c>
      <c r="M287" s="38" t="s">
        <v>297</v>
      </c>
      <c r="N287" s="34" t="s">
        <v>137</v>
      </c>
      <c r="O287" s="26" t="s">
        <v>869</v>
      </c>
      <c r="P287" s="26" t="s">
        <v>870</v>
      </c>
    </row>
    <row r="288" customFormat="false" ht="15" hidden="false" customHeight="false" outlineLevel="0" collapsed="false">
      <c r="A288" s="38" t="n">
        <v>285</v>
      </c>
      <c r="B288" s="38" t="s">
        <v>865</v>
      </c>
      <c r="C288" s="38" t="s">
        <v>866</v>
      </c>
      <c r="D288" s="38" t="s">
        <v>292</v>
      </c>
      <c r="E288" s="39" t="n">
        <v>0</v>
      </c>
      <c r="F288" s="39" t="n">
        <v>48554917</v>
      </c>
      <c r="G288" s="33" t="n">
        <f aca="false">E288-F288</f>
        <v>-48554917</v>
      </c>
      <c r="H288" s="27" t="n">
        <v>46162</v>
      </c>
      <c r="I288" s="38" t="s">
        <v>413</v>
      </c>
      <c r="J288" s="38" t="s">
        <v>880</v>
      </c>
      <c r="K288" s="38" t="s">
        <v>303</v>
      </c>
      <c r="L288" s="38" t="s">
        <v>881</v>
      </c>
      <c r="M288" s="38" t="s">
        <v>297</v>
      </c>
      <c r="N288" s="34" t="s">
        <v>137</v>
      </c>
      <c r="O288" s="26" t="s">
        <v>869</v>
      </c>
      <c r="P288" s="26" t="s">
        <v>870</v>
      </c>
    </row>
    <row r="289" customFormat="false" ht="15" hidden="false" customHeight="false" outlineLevel="0" collapsed="false">
      <c r="A289" s="38" t="n">
        <v>286</v>
      </c>
      <c r="B289" s="38" t="s">
        <v>865</v>
      </c>
      <c r="C289" s="38" t="s">
        <v>866</v>
      </c>
      <c r="D289" s="38" t="s">
        <v>292</v>
      </c>
      <c r="E289" s="39" t="n">
        <v>141154577.78</v>
      </c>
      <c r="F289" s="39" t="n">
        <v>0</v>
      </c>
      <c r="G289" s="33" t="n">
        <f aca="false">E289-F289</f>
        <v>141154577.78</v>
      </c>
      <c r="H289" s="27" t="n">
        <v>46203</v>
      </c>
      <c r="I289" s="38" t="s">
        <v>293</v>
      </c>
      <c r="J289" s="38" t="s">
        <v>882</v>
      </c>
      <c r="K289" s="38" t="s">
        <v>363</v>
      </c>
      <c r="L289" s="38" t="s">
        <v>883</v>
      </c>
      <c r="M289" s="38" t="s">
        <v>315</v>
      </c>
      <c r="N289" s="34" t="s">
        <v>137</v>
      </c>
      <c r="O289" s="26" t="s">
        <v>869</v>
      </c>
      <c r="P289" s="26" t="s">
        <v>877</v>
      </c>
    </row>
    <row r="290" customFormat="false" ht="15" hidden="false" customHeight="false" outlineLevel="0" collapsed="false">
      <c r="A290" s="38" t="n">
        <v>287</v>
      </c>
      <c r="B290" s="38" t="s">
        <v>865</v>
      </c>
      <c r="C290" s="38" t="s">
        <v>866</v>
      </c>
      <c r="D290" s="38" t="s">
        <v>292</v>
      </c>
      <c r="E290" s="39" t="n">
        <v>0.22</v>
      </c>
      <c r="F290" s="39" t="n">
        <v>0</v>
      </c>
      <c r="G290" s="33" t="n">
        <f aca="false">E290-F290</f>
        <v>0.22</v>
      </c>
      <c r="H290" s="27" t="n">
        <v>46203</v>
      </c>
      <c r="I290" s="38" t="s">
        <v>293</v>
      </c>
      <c r="J290" s="38" t="s">
        <v>884</v>
      </c>
      <c r="K290" s="38" t="s">
        <v>363</v>
      </c>
      <c r="L290" s="38" t="s">
        <v>885</v>
      </c>
      <c r="M290" s="38" t="s">
        <v>379</v>
      </c>
      <c r="N290" s="34" t="s">
        <v>886</v>
      </c>
      <c r="O290" s="26" t="s">
        <v>869</v>
      </c>
      <c r="P290" s="26" t="s">
        <v>887</v>
      </c>
    </row>
    <row r="291" customFormat="false" ht="15" hidden="false" customHeight="false" outlineLevel="0" collapsed="false">
      <c r="A291" s="38" t="n">
        <v>288</v>
      </c>
      <c r="B291" s="38" t="s">
        <v>865</v>
      </c>
      <c r="C291" s="38" t="s">
        <v>866</v>
      </c>
      <c r="D291" s="38" t="s">
        <v>292</v>
      </c>
      <c r="E291" s="39" t="n">
        <v>0</v>
      </c>
      <c r="F291" s="39" t="n">
        <v>45705411</v>
      </c>
      <c r="G291" s="33" t="n">
        <f aca="false">E291-F291</f>
        <v>-45705411</v>
      </c>
      <c r="H291" s="27" t="n">
        <v>46203</v>
      </c>
      <c r="I291" s="38" t="s">
        <v>413</v>
      </c>
      <c r="J291" s="38" t="s">
        <v>888</v>
      </c>
      <c r="K291" s="38" t="s">
        <v>303</v>
      </c>
      <c r="L291" s="38" t="s">
        <v>889</v>
      </c>
      <c r="M291" s="38" t="s">
        <v>297</v>
      </c>
      <c r="N291" s="34" t="s">
        <v>137</v>
      </c>
      <c r="O291" s="26" t="s">
        <v>869</v>
      </c>
      <c r="P291" s="26" t="s">
        <v>870</v>
      </c>
    </row>
    <row r="292" customFormat="false" ht="15" hidden="false" customHeight="false" outlineLevel="0" collapsed="false">
      <c r="A292" s="38" t="n">
        <v>289</v>
      </c>
      <c r="B292" s="38" t="s">
        <v>865</v>
      </c>
      <c r="C292" s="38" t="s">
        <v>866</v>
      </c>
      <c r="D292" s="38" t="s">
        <v>300</v>
      </c>
      <c r="E292" s="39" t="n">
        <v>0</v>
      </c>
      <c r="F292" s="39" t="n">
        <v>82268750</v>
      </c>
      <c r="G292" s="33" t="n">
        <f aca="false">E292-F292</f>
        <v>-82268750</v>
      </c>
      <c r="H292" s="27" t="n">
        <v>46050</v>
      </c>
      <c r="I292" s="38" t="s">
        <v>413</v>
      </c>
      <c r="J292" s="38" t="s">
        <v>867</v>
      </c>
      <c r="K292" s="38" t="s">
        <v>303</v>
      </c>
      <c r="L292" s="38" t="s">
        <v>890</v>
      </c>
      <c r="M292" s="38" t="s">
        <v>297</v>
      </c>
      <c r="N292" s="34" t="s">
        <v>116</v>
      </c>
      <c r="O292" s="26" t="s">
        <v>869</v>
      </c>
      <c r="P292" s="26" t="s">
        <v>870</v>
      </c>
    </row>
    <row r="293" customFormat="false" ht="15" hidden="false" customHeight="false" outlineLevel="0" collapsed="false">
      <c r="A293" s="38" t="n">
        <v>290</v>
      </c>
      <c r="B293" s="38" t="s">
        <v>865</v>
      </c>
      <c r="C293" s="38" t="s">
        <v>866</v>
      </c>
      <c r="D293" s="38" t="s">
        <v>300</v>
      </c>
      <c r="E293" s="39" t="n">
        <v>0</v>
      </c>
      <c r="F293" s="39" t="n">
        <v>37346400</v>
      </c>
      <c r="G293" s="33" t="n">
        <f aca="false">E293-F293</f>
        <v>-37346400</v>
      </c>
      <c r="H293" s="27" t="n">
        <v>46050</v>
      </c>
      <c r="I293" s="38" t="s">
        <v>413</v>
      </c>
      <c r="J293" s="38" t="s">
        <v>867</v>
      </c>
      <c r="K293" s="38" t="s">
        <v>303</v>
      </c>
      <c r="L293" s="38" t="s">
        <v>891</v>
      </c>
      <c r="M293" s="38" t="s">
        <v>297</v>
      </c>
      <c r="N293" s="34" t="s">
        <v>117</v>
      </c>
      <c r="O293" s="26" t="s">
        <v>869</v>
      </c>
      <c r="P293" s="26" t="s">
        <v>870</v>
      </c>
    </row>
    <row r="294" customFormat="false" ht="15" hidden="false" customHeight="false" outlineLevel="0" collapsed="false">
      <c r="A294" s="38" t="n">
        <v>291</v>
      </c>
      <c r="B294" s="38" t="s">
        <v>865</v>
      </c>
      <c r="C294" s="38" t="s">
        <v>866</v>
      </c>
      <c r="D294" s="38" t="s">
        <v>300</v>
      </c>
      <c r="E294" s="39" t="n">
        <v>0</v>
      </c>
      <c r="F294" s="39" t="n">
        <v>19576667</v>
      </c>
      <c r="G294" s="33" t="n">
        <f aca="false">E294-F294</f>
        <v>-19576667</v>
      </c>
      <c r="H294" s="27" t="n">
        <v>46050</v>
      </c>
      <c r="I294" s="38" t="s">
        <v>413</v>
      </c>
      <c r="J294" s="38" t="s">
        <v>867</v>
      </c>
      <c r="K294" s="38" t="s">
        <v>303</v>
      </c>
      <c r="L294" s="38" t="s">
        <v>892</v>
      </c>
      <c r="M294" s="38" t="s">
        <v>297</v>
      </c>
      <c r="N294" s="34" t="s">
        <v>114</v>
      </c>
      <c r="O294" s="26" t="s">
        <v>869</v>
      </c>
      <c r="P294" s="26" t="s">
        <v>870</v>
      </c>
    </row>
    <row r="295" customFormat="false" ht="15" hidden="false" customHeight="false" outlineLevel="0" collapsed="false">
      <c r="A295" s="38" t="n">
        <v>292</v>
      </c>
      <c r="B295" s="38" t="s">
        <v>865</v>
      </c>
      <c r="C295" s="38" t="s">
        <v>866</v>
      </c>
      <c r="D295" s="38" t="s">
        <v>300</v>
      </c>
      <c r="E295" s="39" t="n">
        <v>0</v>
      </c>
      <c r="F295" s="39" t="n">
        <v>28293000</v>
      </c>
      <c r="G295" s="33" t="n">
        <f aca="false">E295-F295</f>
        <v>-28293000</v>
      </c>
      <c r="H295" s="27" t="n">
        <v>46050</v>
      </c>
      <c r="I295" s="38" t="s">
        <v>413</v>
      </c>
      <c r="J295" s="38" t="s">
        <v>867</v>
      </c>
      <c r="K295" s="38" t="s">
        <v>303</v>
      </c>
      <c r="L295" s="38" t="s">
        <v>893</v>
      </c>
      <c r="M295" s="38" t="s">
        <v>297</v>
      </c>
      <c r="N295" s="34" t="s">
        <v>115</v>
      </c>
      <c r="O295" s="26" t="s">
        <v>869</v>
      </c>
      <c r="P295" s="26" t="s">
        <v>870</v>
      </c>
    </row>
    <row r="296" customFormat="false" ht="15" hidden="false" customHeight="false" outlineLevel="0" collapsed="false">
      <c r="A296" s="38" t="n">
        <v>293</v>
      </c>
      <c r="B296" s="38" t="s">
        <v>865</v>
      </c>
      <c r="C296" s="38" t="s">
        <v>866</v>
      </c>
      <c r="D296" s="38" t="s">
        <v>300</v>
      </c>
      <c r="E296" s="39" t="n">
        <v>243933000</v>
      </c>
      <c r="F296" s="39" t="n">
        <v>0</v>
      </c>
      <c r="G296" s="33" t="n">
        <f aca="false">E296-F296</f>
        <v>243933000</v>
      </c>
      <c r="H296" s="27" t="n">
        <v>46051</v>
      </c>
      <c r="I296" s="38" t="s">
        <v>765</v>
      </c>
      <c r="J296" s="38" t="s">
        <v>894</v>
      </c>
      <c r="K296" s="38" t="s">
        <v>363</v>
      </c>
      <c r="L296" s="38" t="s">
        <v>895</v>
      </c>
      <c r="M296" s="38" t="s">
        <v>315</v>
      </c>
      <c r="N296" s="34" t="s">
        <v>117</v>
      </c>
      <c r="O296" s="26" t="s">
        <v>869</v>
      </c>
      <c r="P296" s="26" t="s">
        <v>877</v>
      </c>
    </row>
    <row r="297" customFormat="false" ht="15" hidden="false" customHeight="false" outlineLevel="0" collapsed="false">
      <c r="A297" s="38" t="n">
        <v>294</v>
      </c>
      <c r="B297" s="38" t="s">
        <v>865</v>
      </c>
      <c r="C297" s="38" t="s">
        <v>866</v>
      </c>
      <c r="D297" s="38" t="s">
        <v>300</v>
      </c>
      <c r="E297" s="39" t="n">
        <v>184798000</v>
      </c>
      <c r="F297" s="39" t="n">
        <v>0</v>
      </c>
      <c r="G297" s="33" t="n">
        <f aca="false">E297-F297</f>
        <v>184798000</v>
      </c>
      <c r="H297" s="27" t="n">
        <v>46051</v>
      </c>
      <c r="I297" s="38" t="s">
        <v>765</v>
      </c>
      <c r="J297" s="38" t="s">
        <v>896</v>
      </c>
      <c r="K297" s="38" t="s">
        <v>363</v>
      </c>
      <c r="L297" s="38" t="s">
        <v>897</v>
      </c>
      <c r="M297" s="38" t="s">
        <v>315</v>
      </c>
      <c r="N297" s="34" t="s">
        <v>115</v>
      </c>
      <c r="O297" s="26" t="s">
        <v>869</v>
      </c>
      <c r="P297" s="26" t="s">
        <v>877</v>
      </c>
    </row>
    <row r="298" customFormat="false" ht="15" hidden="false" customHeight="false" outlineLevel="0" collapsed="false">
      <c r="A298" s="38" t="n">
        <v>295</v>
      </c>
      <c r="B298" s="38" t="s">
        <v>865</v>
      </c>
      <c r="C298" s="38" t="s">
        <v>866</v>
      </c>
      <c r="D298" s="38" t="s">
        <v>300</v>
      </c>
      <c r="E298" s="39" t="n">
        <v>475210000</v>
      </c>
      <c r="F298" s="39" t="n">
        <v>0</v>
      </c>
      <c r="G298" s="33" t="n">
        <f aca="false">E298-F298</f>
        <v>475210000</v>
      </c>
      <c r="H298" s="27" t="n">
        <v>46053</v>
      </c>
      <c r="I298" s="38" t="s">
        <v>765</v>
      </c>
      <c r="J298" s="38" t="s">
        <v>898</v>
      </c>
      <c r="K298" s="38" t="s">
        <v>753</v>
      </c>
      <c r="L298" s="38" t="s">
        <v>899</v>
      </c>
      <c r="M298" s="38" t="s">
        <v>315</v>
      </c>
      <c r="N298" s="34" t="s">
        <v>114</v>
      </c>
      <c r="O298" s="26" t="s">
        <v>869</v>
      </c>
      <c r="P298" s="26" t="s">
        <v>877</v>
      </c>
    </row>
    <row r="299" customFormat="false" ht="15" hidden="false" customHeight="false" outlineLevel="0" collapsed="false">
      <c r="A299" s="38" t="n">
        <v>296</v>
      </c>
      <c r="B299" s="38" t="s">
        <v>865</v>
      </c>
      <c r="C299" s="38" t="s">
        <v>866</v>
      </c>
      <c r="D299" s="38" t="s">
        <v>300</v>
      </c>
      <c r="E299" s="39" t="n">
        <v>0</v>
      </c>
      <c r="F299" s="39" t="n">
        <v>46450000</v>
      </c>
      <c r="G299" s="33" t="n">
        <f aca="false">E299-F299</f>
        <v>-46450000</v>
      </c>
      <c r="H299" s="27" t="n">
        <v>46053</v>
      </c>
      <c r="I299" s="38" t="s">
        <v>413</v>
      </c>
      <c r="J299" s="38" t="s">
        <v>900</v>
      </c>
      <c r="K299" s="38" t="s">
        <v>303</v>
      </c>
      <c r="L299" s="38" t="s">
        <v>901</v>
      </c>
      <c r="M299" s="38" t="s">
        <v>297</v>
      </c>
      <c r="N299" s="34" t="s">
        <v>114</v>
      </c>
      <c r="O299" s="26" t="s">
        <v>869</v>
      </c>
      <c r="P299" s="26" t="s">
        <v>870</v>
      </c>
    </row>
    <row r="300" customFormat="false" ht="15" hidden="false" customHeight="false" outlineLevel="0" collapsed="false">
      <c r="A300" s="38" t="n">
        <v>297</v>
      </c>
      <c r="B300" s="38" t="s">
        <v>865</v>
      </c>
      <c r="C300" s="38" t="s">
        <v>866</v>
      </c>
      <c r="D300" s="38" t="s">
        <v>300</v>
      </c>
      <c r="E300" s="39" t="n">
        <v>0</v>
      </c>
      <c r="F300" s="39" t="n">
        <v>83125000</v>
      </c>
      <c r="G300" s="33" t="n">
        <f aca="false">E300-F300</f>
        <v>-83125000</v>
      </c>
      <c r="H300" s="27" t="n">
        <v>46072</v>
      </c>
      <c r="I300" s="38" t="s">
        <v>413</v>
      </c>
      <c r="J300" s="38" t="s">
        <v>871</v>
      </c>
      <c r="K300" s="38" t="s">
        <v>303</v>
      </c>
      <c r="L300" s="38" t="s">
        <v>902</v>
      </c>
      <c r="M300" s="38" t="s">
        <v>297</v>
      </c>
      <c r="N300" s="34" t="s">
        <v>116</v>
      </c>
      <c r="O300" s="26" t="s">
        <v>869</v>
      </c>
      <c r="P300" s="26" t="s">
        <v>870</v>
      </c>
    </row>
    <row r="301" customFormat="false" ht="15" hidden="false" customHeight="false" outlineLevel="0" collapsed="false">
      <c r="A301" s="38" t="n">
        <v>298</v>
      </c>
      <c r="B301" s="38" t="s">
        <v>865</v>
      </c>
      <c r="C301" s="38" t="s">
        <v>866</v>
      </c>
      <c r="D301" s="38" t="s">
        <v>300</v>
      </c>
      <c r="E301" s="39" t="n">
        <v>0</v>
      </c>
      <c r="F301" s="39" t="n">
        <v>45210000</v>
      </c>
      <c r="G301" s="33" t="n">
        <f aca="false">E301-F301</f>
        <v>-45210000</v>
      </c>
      <c r="H301" s="27" t="n">
        <v>46072</v>
      </c>
      <c r="I301" s="38" t="s">
        <v>413</v>
      </c>
      <c r="J301" s="38" t="s">
        <v>871</v>
      </c>
      <c r="K301" s="38" t="s">
        <v>303</v>
      </c>
      <c r="L301" s="38" t="s">
        <v>903</v>
      </c>
      <c r="M301" s="38" t="s">
        <v>297</v>
      </c>
      <c r="N301" s="34" t="s">
        <v>117</v>
      </c>
      <c r="O301" s="26" t="s">
        <v>869</v>
      </c>
      <c r="P301" s="26" t="s">
        <v>870</v>
      </c>
    </row>
    <row r="302" customFormat="false" ht="15" hidden="false" customHeight="false" outlineLevel="0" collapsed="false">
      <c r="A302" s="38" t="n">
        <v>299</v>
      </c>
      <c r="B302" s="38" t="s">
        <v>865</v>
      </c>
      <c r="C302" s="38" t="s">
        <v>866</v>
      </c>
      <c r="D302" s="38" t="s">
        <v>300</v>
      </c>
      <c r="E302" s="39" t="n">
        <v>0</v>
      </c>
      <c r="F302" s="39" t="n">
        <v>34250000</v>
      </c>
      <c r="G302" s="33" t="n">
        <f aca="false">E302-F302</f>
        <v>-34250000</v>
      </c>
      <c r="H302" s="27" t="n">
        <v>46072</v>
      </c>
      <c r="I302" s="38" t="s">
        <v>413</v>
      </c>
      <c r="J302" s="38" t="s">
        <v>871</v>
      </c>
      <c r="K302" s="38" t="s">
        <v>303</v>
      </c>
      <c r="L302" s="38" t="s">
        <v>904</v>
      </c>
      <c r="M302" s="38" t="s">
        <v>297</v>
      </c>
      <c r="N302" s="34" t="s">
        <v>115</v>
      </c>
      <c r="O302" s="26" t="s">
        <v>869</v>
      </c>
      <c r="P302" s="26" t="s">
        <v>870</v>
      </c>
    </row>
    <row r="303" customFormat="false" ht="15" hidden="false" customHeight="false" outlineLevel="0" collapsed="false">
      <c r="A303" s="38" t="n">
        <v>300</v>
      </c>
      <c r="B303" s="38" t="s">
        <v>865</v>
      </c>
      <c r="C303" s="38" t="s">
        <v>866</v>
      </c>
      <c r="D303" s="38" t="s">
        <v>300</v>
      </c>
      <c r="E303" s="39" t="n">
        <v>0</v>
      </c>
      <c r="F303" s="39" t="n">
        <v>48458000</v>
      </c>
      <c r="G303" s="33" t="n">
        <f aca="false">E303-F303</f>
        <v>-48458000</v>
      </c>
      <c r="H303" s="27" t="n">
        <v>46099</v>
      </c>
      <c r="I303" s="38" t="s">
        <v>413</v>
      </c>
      <c r="J303" s="38" t="s">
        <v>873</v>
      </c>
      <c r="K303" s="38" t="s">
        <v>303</v>
      </c>
      <c r="L303" s="38" t="s">
        <v>905</v>
      </c>
      <c r="M303" s="38" t="s">
        <v>297</v>
      </c>
      <c r="N303" s="34" t="s">
        <v>116</v>
      </c>
      <c r="O303" s="26" t="s">
        <v>869</v>
      </c>
      <c r="P303" s="26" t="s">
        <v>870</v>
      </c>
    </row>
    <row r="304" customFormat="false" ht="15" hidden="false" customHeight="false" outlineLevel="0" collapsed="false">
      <c r="A304" s="38" t="n">
        <v>301</v>
      </c>
      <c r="B304" s="38" t="s">
        <v>865</v>
      </c>
      <c r="C304" s="38" t="s">
        <v>866</v>
      </c>
      <c r="D304" s="38" t="s">
        <v>300</v>
      </c>
      <c r="E304" s="39" t="n">
        <v>0</v>
      </c>
      <c r="F304" s="39" t="n">
        <v>48741000</v>
      </c>
      <c r="G304" s="33" t="n">
        <f aca="false">E304-F304</f>
        <v>-48741000</v>
      </c>
      <c r="H304" s="27" t="n">
        <v>46099</v>
      </c>
      <c r="I304" s="38" t="s">
        <v>413</v>
      </c>
      <c r="J304" s="38" t="s">
        <v>873</v>
      </c>
      <c r="K304" s="38" t="s">
        <v>303</v>
      </c>
      <c r="L304" s="38" t="s">
        <v>906</v>
      </c>
      <c r="M304" s="38" t="s">
        <v>297</v>
      </c>
      <c r="N304" s="34" t="s">
        <v>117</v>
      </c>
      <c r="O304" s="26" t="s">
        <v>869</v>
      </c>
      <c r="P304" s="26" t="s">
        <v>870</v>
      </c>
    </row>
    <row r="305" customFormat="false" ht="15" hidden="false" customHeight="false" outlineLevel="0" collapsed="false">
      <c r="A305" s="38" t="n">
        <v>302</v>
      </c>
      <c r="B305" s="38" t="s">
        <v>865</v>
      </c>
      <c r="C305" s="38" t="s">
        <v>866</v>
      </c>
      <c r="D305" s="38" t="s">
        <v>300</v>
      </c>
      <c r="E305" s="39" t="n">
        <v>0</v>
      </c>
      <c r="F305" s="39" t="n">
        <v>36925000</v>
      </c>
      <c r="G305" s="33" t="n">
        <f aca="false">E305-F305</f>
        <v>-36925000</v>
      </c>
      <c r="H305" s="27" t="n">
        <v>46099</v>
      </c>
      <c r="I305" s="38" t="s">
        <v>413</v>
      </c>
      <c r="J305" s="38" t="s">
        <v>873</v>
      </c>
      <c r="K305" s="38" t="s">
        <v>303</v>
      </c>
      <c r="L305" s="38" t="s">
        <v>907</v>
      </c>
      <c r="M305" s="38" t="s">
        <v>297</v>
      </c>
      <c r="N305" s="34" t="s">
        <v>115</v>
      </c>
      <c r="O305" s="26" t="s">
        <v>869</v>
      </c>
      <c r="P305" s="26" t="s">
        <v>870</v>
      </c>
    </row>
    <row r="306" customFormat="false" ht="15" hidden="false" customHeight="false" outlineLevel="0" collapsed="false">
      <c r="A306" s="38" t="n">
        <v>303</v>
      </c>
      <c r="B306" s="38" t="s">
        <v>865</v>
      </c>
      <c r="C306" s="38" t="s">
        <v>866</v>
      </c>
      <c r="D306" s="38" t="s">
        <v>300</v>
      </c>
      <c r="E306" s="39" t="n">
        <v>445208000</v>
      </c>
      <c r="F306" s="39" t="n">
        <v>0</v>
      </c>
      <c r="G306" s="33" t="n">
        <f aca="false">E306-F306</f>
        <v>445208000</v>
      </c>
      <c r="H306" s="27" t="n">
        <v>46105</v>
      </c>
      <c r="I306" s="38" t="s">
        <v>765</v>
      </c>
      <c r="J306" s="38" t="s">
        <v>908</v>
      </c>
      <c r="K306" s="38" t="s">
        <v>363</v>
      </c>
      <c r="L306" s="38" t="s">
        <v>909</v>
      </c>
      <c r="M306" s="38" t="s">
        <v>315</v>
      </c>
      <c r="N306" s="34" t="s">
        <v>116</v>
      </c>
      <c r="O306" s="26" t="s">
        <v>869</v>
      </c>
      <c r="P306" s="26" t="s">
        <v>877</v>
      </c>
    </row>
    <row r="307" customFormat="false" ht="15" hidden="false" customHeight="false" outlineLevel="0" collapsed="false">
      <c r="A307" s="38" t="n">
        <v>304</v>
      </c>
      <c r="B307" s="38" t="s">
        <v>865</v>
      </c>
      <c r="C307" s="38" t="s">
        <v>866</v>
      </c>
      <c r="D307" s="38" t="s">
        <v>300</v>
      </c>
      <c r="E307" s="39" t="n">
        <v>0</v>
      </c>
      <c r="F307" s="39" t="n">
        <v>91937500</v>
      </c>
      <c r="G307" s="33" t="n">
        <f aca="false">E307-F307</f>
        <v>-91937500</v>
      </c>
      <c r="H307" s="27" t="n">
        <v>46134</v>
      </c>
      <c r="I307" s="38" t="s">
        <v>413</v>
      </c>
      <c r="J307" s="38" t="s">
        <v>878</v>
      </c>
      <c r="K307" s="38" t="s">
        <v>303</v>
      </c>
      <c r="L307" s="38" t="s">
        <v>910</v>
      </c>
      <c r="M307" s="38" t="s">
        <v>297</v>
      </c>
      <c r="N307" s="34" t="s">
        <v>116</v>
      </c>
      <c r="O307" s="26" t="s">
        <v>869</v>
      </c>
      <c r="P307" s="26" t="s">
        <v>870</v>
      </c>
    </row>
    <row r="308" customFormat="false" ht="15" hidden="false" customHeight="false" outlineLevel="0" collapsed="false">
      <c r="A308" s="38" t="n">
        <v>305</v>
      </c>
      <c r="B308" s="38" t="s">
        <v>865</v>
      </c>
      <c r="C308" s="38" t="s">
        <v>866</v>
      </c>
      <c r="D308" s="38" t="s">
        <v>300</v>
      </c>
      <c r="E308" s="39" t="n">
        <v>0</v>
      </c>
      <c r="F308" s="39" t="n">
        <v>49863000</v>
      </c>
      <c r="G308" s="33" t="n">
        <f aca="false">E308-F308</f>
        <v>-49863000</v>
      </c>
      <c r="H308" s="27" t="n">
        <v>46134</v>
      </c>
      <c r="I308" s="38" t="s">
        <v>413</v>
      </c>
      <c r="J308" s="38" t="s">
        <v>878</v>
      </c>
      <c r="K308" s="38" t="s">
        <v>303</v>
      </c>
      <c r="L308" s="38" t="s">
        <v>911</v>
      </c>
      <c r="M308" s="38" t="s">
        <v>297</v>
      </c>
      <c r="N308" s="34" t="s">
        <v>117</v>
      </c>
      <c r="O308" s="26" t="s">
        <v>869</v>
      </c>
      <c r="P308" s="26" t="s">
        <v>870</v>
      </c>
    </row>
    <row r="309" customFormat="false" ht="15" hidden="false" customHeight="false" outlineLevel="0" collapsed="false">
      <c r="A309" s="38" t="n">
        <v>306</v>
      </c>
      <c r="B309" s="38" t="s">
        <v>865</v>
      </c>
      <c r="C309" s="38" t="s">
        <v>866</v>
      </c>
      <c r="D309" s="38" t="s">
        <v>300</v>
      </c>
      <c r="E309" s="39" t="n">
        <v>0</v>
      </c>
      <c r="F309" s="39" t="n">
        <v>37775000</v>
      </c>
      <c r="G309" s="33" t="n">
        <f aca="false">E309-F309</f>
        <v>-37775000</v>
      </c>
      <c r="H309" s="27" t="n">
        <v>46134</v>
      </c>
      <c r="I309" s="38" t="s">
        <v>413</v>
      </c>
      <c r="J309" s="38" t="s">
        <v>878</v>
      </c>
      <c r="K309" s="38" t="s">
        <v>303</v>
      </c>
      <c r="L309" s="38" t="s">
        <v>912</v>
      </c>
      <c r="M309" s="38" t="s">
        <v>297</v>
      </c>
      <c r="N309" s="34" t="s">
        <v>115</v>
      </c>
      <c r="O309" s="26" t="s">
        <v>869</v>
      </c>
      <c r="P309" s="26" t="s">
        <v>870</v>
      </c>
    </row>
    <row r="310" customFormat="false" ht="15" hidden="false" customHeight="false" outlineLevel="0" collapsed="false">
      <c r="A310" s="38" t="n">
        <v>307</v>
      </c>
      <c r="B310" s="38" t="s">
        <v>865</v>
      </c>
      <c r="C310" s="38" t="s">
        <v>866</v>
      </c>
      <c r="D310" s="38" t="s">
        <v>300</v>
      </c>
      <c r="E310" s="39" t="n">
        <v>0</v>
      </c>
      <c r="F310" s="39" t="n">
        <v>94043750</v>
      </c>
      <c r="G310" s="33" t="n">
        <f aca="false">E310-F310</f>
        <v>-94043750</v>
      </c>
      <c r="H310" s="27" t="n">
        <v>46162</v>
      </c>
      <c r="I310" s="38" t="s">
        <v>413</v>
      </c>
      <c r="J310" s="38" t="s">
        <v>880</v>
      </c>
      <c r="K310" s="38" t="s">
        <v>303</v>
      </c>
      <c r="L310" s="38" t="s">
        <v>913</v>
      </c>
      <c r="M310" s="38" t="s">
        <v>297</v>
      </c>
      <c r="N310" s="34" t="s">
        <v>116</v>
      </c>
      <c r="O310" s="26" t="s">
        <v>869</v>
      </c>
      <c r="P310" s="26" t="s">
        <v>870</v>
      </c>
    </row>
    <row r="311" customFormat="false" ht="15" hidden="false" customHeight="false" outlineLevel="0" collapsed="false">
      <c r="A311" s="38" t="n">
        <v>308</v>
      </c>
      <c r="B311" s="38" t="s">
        <v>865</v>
      </c>
      <c r="C311" s="38" t="s">
        <v>866</v>
      </c>
      <c r="D311" s="38" t="s">
        <v>300</v>
      </c>
      <c r="E311" s="39" t="n">
        <v>0</v>
      </c>
      <c r="F311" s="39" t="n">
        <v>50975100</v>
      </c>
      <c r="G311" s="33" t="n">
        <f aca="false">E311-F311</f>
        <v>-50975100</v>
      </c>
      <c r="H311" s="27" t="n">
        <v>46162</v>
      </c>
      <c r="I311" s="38" t="s">
        <v>413</v>
      </c>
      <c r="J311" s="38" t="s">
        <v>880</v>
      </c>
      <c r="K311" s="38" t="s">
        <v>303</v>
      </c>
      <c r="L311" s="38" t="s">
        <v>914</v>
      </c>
      <c r="M311" s="38" t="s">
        <v>297</v>
      </c>
      <c r="N311" s="34" t="s">
        <v>117</v>
      </c>
      <c r="O311" s="26" t="s">
        <v>869</v>
      </c>
      <c r="P311" s="26" t="s">
        <v>870</v>
      </c>
    </row>
    <row r="312" customFormat="false" ht="15" hidden="false" customHeight="false" outlineLevel="0" collapsed="false">
      <c r="A312" s="38" t="n">
        <v>309</v>
      </c>
      <c r="B312" s="38" t="s">
        <v>865</v>
      </c>
      <c r="C312" s="38" t="s">
        <v>866</v>
      </c>
      <c r="D312" s="38" t="s">
        <v>300</v>
      </c>
      <c r="E312" s="39" t="n">
        <v>0</v>
      </c>
      <c r="F312" s="39" t="n">
        <v>38617500</v>
      </c>
      <c r="G312" s="33" t="n">
        <f aca="false">E312-F312</f>
        <v>-38617500</v>
      </c>
      <c r="H312" s="27" t="n">
        <v>46162</v>
      </c>
      <c r="I312" s="38" t="s">
        <v>413</v>
      </c>
      <c r="J312" s="38" t="s">
        <v>880</v>
      </c>
      <c r="K312" s="38" t="s">
        <v>303</v>
      </c>
      <c r="L312" s="38" t="s">
        <v>915</v>
      </c>
      <c r="M312" s="38" t="s">
        <v>297</v>
      </c>
      <c r="N312" s="34" t="s">
        <v>115</v>
      </c>
      <c r="O312" s="26" t="s">
        <v>869</v>
      </c>
      <c r="P312" s="26" t="s">
        <v>870</v>
      </c>
    </row>
    <row r="313" customFormat="false" ht="15" hidden="false" customHeight="false" outlineLevel="0" collapsed="false">
      <c r="A313" s="38" t="n">
        <v>310</v>
      </c>
      <c r="B313" s="38" t="s">
        <v>865</v>
      </c>
      <c r="C313" s="38" t="s">
        <v>866</v>
      </c>
      <c r="D313" s="38" t="s">
        <v>300</v>
      </c>
      <c r="E313" s="39" t="n">
        <v>0</v>
      </c>
      <c r="F313" s="39" t="n">
        <v>94043750</v>
      </c>
      <c r="G313" s="33" t="n">
        <f aca="false">E313-F313</f>
        <v>-94043750</v>
      </c>
      <c r="H313" s="27" t="n">
        <v>46203</v>
      </c>
      <c r="I313" s="38" t="s">
        <v>413</v>
      </c>
      <c r="J313" s="38" t="s">
        <v>888</v>
      </c>
      <c r="K313" s="38" t="s">
        <v>303</v>
      </c>
      <c r="L313" s="38" t="s">
        <v>916</v>
      </c>
      <c r="M313" s="38" t="s">
        <v>297</v>
      </c>
      <c r="N313" s="34" t="s">
        <v>116</v>
      </c>
      <c r="O313" s="26" t="s">
        <v>869</v>
      </c>
      <c r="P313" s="26" t="s">
        <v>870</v>
      </c>
    </row>
    <row r="314" customFormat="false" ht="15" hidden="false" customHeight="false" outlineLevel="0" collapsed="false">
      <c r="A314" s="38" t="n">
        <v>311</v>
      </c>
      <c r="B314" s="38" t="s">
        <v>865</v>
      </c>
      <c r="C314" s="38" t="s">
        <v>866</v>
      </c>
      <c r="D314" s="38" t="s">
        <v>300</v>
      </c>
      <c r="E314" s="39" t="n">
        <v>0</v>
      </c>
      <c r="F314" s="39" t="n">
        <v>50975100</v>
      </c>
      <c r="G314" s="33" t="n">
        <f aca="false">E314-F314</f>
        <v>-50975100</v>
      </c>
      <c r="H314" s="27" t="n">
        <v>46203</v>
      </c>
      <c r="I314" s="38" t="s">
        <v>413</v>
      </c>
      <c r="J314" s="38" t="s">
        <v>888</v>
      </c>
      <c r="K314" s="38" t="s">
        <v>303</v>
      </c>
      <c r="L314" s="38" t="s">
        <v>917</v>
      </c>
      <c r="M314" s="38" t="s">
        <v>297</v>
      </c>
      <c r="N314" s="34" t="s">
        <v>117</v>
      </c>
      <c r="O314" s="26" t="s">
        <v>869</v>
      </c>
      <c r="P314" s="26" t="s">
        <v>870</v>
      </c>
    </row>
    <row r="315" customFormat="false" ht="15" hidden="false" customHeight="false" outlineLevel="0" collapsed="false">
      <c r="A315" s="38" t="n">
        <v>312</v>
      </c>
      <c r="B315" s="38" t="s">
        <v>865</v>
      </c>
      <c r="C315" s="38" t="s">
        <v>866</v>
      </c>
      <c r="D315" s="38" t="s">
        <v>300</v>
      </c>
      <c r="E315" s="39" t="n">
        <v>0</v>
      </c>
      <c r="F315" s="39" t="n">
        <v>38617500</v>
      </c>
      <c r="G315" s="33" t="n">
        <f aca="false">E315-F315</f>
        <v>-38617500</v>
      </c>
      <c r="H315" s="27" t="n">
        <v>46203</v>
      </c>
      <c r="I315" s="38" t="s">
        <v>413</v>
      </c>
      <c r="J315" s="38" t="s">
        <v>888</v>
      </c>
      <c r="K315" s="38" t="s">
        <v>303</v>
      </c>
      <c r="L315" s="38" t="s">
        <v>918</v>
      </c>
      <c r="M315" s="38" t="s">
        <v>297</v>
      </c>
      <c r="N315" s="34" t="s">
        <v>115</v>
      </c>
      <c r="O315" s="26" t="s">
        <v>869</v>
      </c>
      <c r="P315" s="26" t="s">
        <v>870</v>
      </c>
    </row>
    <row r="316" customFormat="false" ht="15" hidden="false" customHeight="false" outlineLevel="0" collapsed="false">
      <c r="A316" s="38" t="n">
        <v>313</v>
      </c>
      <c r="B316" s="38" t="s">
        <v>865</v>
      </c>
      <c r="C316" s="38" t="s">
        <v>866</v>
      </c>
      <c r="D316" s="38" t="s">
        <v>300</v>
      </c>
      <c r="E316" s="39" t="n">
        <v>0</v>
      </c>
      <c r="F316" s="39" t="n">
        <v>92375000</v>
      </c>
      <c r="G316" s="33" t="n">
        <f aca="false">E316-F316</f>
        <v>-92375000</v>
      </c>
      <c r="H316" s="27" t="n">
        <v>46227</v>
      </c>
      <c r="I316" s="38" t="s">
        <v>413</v>
      </c>
      <c r="J316" s="38" t="s">
        <v>919</v>
      </c>
      <c r="K316" s="38" t="s">
        <v>303</v>
      </c>
      <c r="L316" s="38" t="s">
        <v>920</v>
      </c>
      <c r="M316" s="38" t="s">
        <v>297</v>
      </c>
      <c r="N316" s="34" t="s">
        <v>116</v>
      </c>
      <c r="O316" s="26" t="s">
        <v>869</v>
      </c>
      <c r="P316" s="26" t="s">
        <v>870</v>
      </c>
    </row>
    <row r="317" customFormat="false" ht="15" hidden="false" customHeight="false" outlineLevel="0" collapsed="false">
      <c r="A317" s="38" t="n">
        <v>314</v>
      </c>
      <c r="B317" s="38" t="s">
        <v>865</v>
      </c>
      <c r="C317" s="38" t="s">
        <v>866</v>
      </c>
      <c r="D317" s="38" t="s">
        <v>300</v>
      </c>
      <c r="E317" s="39" t="n">
        <v>0</v>
      </c>
      <c r="F317" s="39" t="n">
        <v>26535800</v>
      </c>
      <c r="G317" s="33" t="n">
        <f aca="false">E317-F317</f>
        <v>-26535800</v>
      </c>
      <c r="H317" s="27" t="n">
        <v>46227</v>
      </c>
      <c r="I317" s="38" t="s">
        <v>413</v>
      </c>
      <c r="J317" s="38" t="s">
        <v>919</v>
      </c>
      <c r="K317" s="38" t="s">
        <v>303</v>
      </c>
      <c r="L317" s="38" t="s">
        <v>921</v>
      </c>
      <c r="M317" s="38" t="s">
        <v>297</v>
      </c>
      <c r="N317" s="34" t="s">
        <v>117</v>
      </c>
      <c r="O317" s="26" t="s">
        <v>869</v>
      </c>
      <c r="P317" s="26" t="s">
        <v>870</v>
      </c>
    </row>
    <row r="318" customFormat="false" ht="15" hidden="false" customHeight="false" outlineLevel="0" collapsed="false">
      <c r="A318" s="38" t="n">
        <v>315</v>
      </c>
      <c r="B318" s="38" t="s">
        <v>865</v>
      </c>
      <c r="C318" s="38" t="s">
        <v>866</v>
      </c>
      <c r="D318" s="38" t="s">
        <v>300</v>
      </c>
      <c r="E318" s="39" t="n">
        <v>0</v>
      </c>
      <c r="F318" s="39" t="n">
        <v>20103000</v>
      </c>
      <c r="G318" s="33" t="n">
        <f aca="false">E318-F318</f>
        <v>-20103000</v>
      </c>
      <c r="H318" s="27" t="n">
        <v>46227</v>
      </c>
      <c r="I318" s="38" t="s">
        <v>413</v>
      </c>
      <c r="J318" s="38" t="s">
        <v>919</v>
      </c>
      <c r="K318" s="38" t="s">
        <v>303</v>
      </c>
      <c r="L318" s="38" t="s">
        <v>922</v>
      </c>
      <c r="M318" s="38" t="s">
        <v>297</v>
      </c>
      <c r="N318" s="34" t="s">
        <v>115</v>
      </c>
      <c r="O318" s="26" t="s">
        <v>869</v>
      </c>
      <c r="P318" s="26" t="s">
        <v>870</v>
      </c>
    </row>
    <row r="319" customFormat="false" ht="15" hidden="false" customHeight="false" outlineLevel="0" collapsed="false">
      <c r="A319" s="38" t="n">
        <v>316</v>
      </c>
      <c r="B319" s="38" t="s">
        <v>865</v>
      </c>
      <c r="C319" s="38" t="s">
        <v>866</v>
      </c>
      <c r="D319" s="38" t="s">
        <v>300</v>
      </c>
      <c r="E319" s="39" t="n">
        <v>272300000</v>
      </c>
      <c r="F319" s="39" t="n">
        <v>0</v>
      </c>
      <c r="G319" s="33" t="n">
        <f aca="false">E319-F319</f>
        <v>272300000</v>
      </c>
      <c r="H319" s="27" t="n">
        <v>46231</v>
      </c>
      <c r="I319" s="38" t="s">
        <v>765</v>
      </c>
      <c r="J319" s="38" t="s">
        <v>923</v>
      </c>
      <c r="K319" s="38" t="s">
        <v>363</v>
      </c>
      <c r="L319" s="38" t="s">
        <v>924</v>
      </c>
      <c r="M319" s="38" t="s">
        <v>315</v>
      </c>
      <c r="N319" s="34" t="s">
        <v>117</v>
      </c>
      <c r="O319" s="26" t="s">
        <v>869</v>
      </c>
      <c r="P319" s="26" t="s">
        <v>877</v>
      </c>
    </row>
    <row r="320" customFormat="false" ht="15" hidden="false" customHeight="false" outlineLevel="0" collapsed="false">
      <c r="A320" s="38" t="n">
        <v>317</v>
      </c>
      <c r="B320" s="38" t="s">
        <v>865</v>
      </c>
      <c r="C320" s="38" t="s">
        <v>866</v>
      </c>
      <c r="D320" s="38" t="s">
        <v>300</v>
      </c>
      <c r="E320" s="39" t="n">
        <v>206288000</v>
      </c>
      <c r="F320" s="39" t="n">
        <v>0</v>
      </c>
      <c r="G320" s="33" t="n">
        <f aca="false">E320-F320</f>
        <v>206288000</v>
      </c>
      <c r="H320" s="27" t="n">
        <v>46231</v>
      </c>
      <c r="I320" s="38" t="s">
        <v>765</v>
      </c>
      <c r="J320" s="38" t="s">
        <v>925</v>
      </c>
      <c r="K320" s="38" t="s">
        <v>363</v>
      </c>
      <c r="L320" s="38" t="s">
        <v>926</v>
      </c>
      <c r="M320" s="38" t="s">
        <v>315</v>
      </c>
      <c r="N320" s="34" t="s">
        <v>115</v>
      </c>
      <c r="O320" s="26" t="s">
        <v>869</v>
      </c>
      <c r="P320" s="26" t="s">
        <v>877</v>
      </c>
    </row>
    <row r="321" customFormat="false" ht="15" hidden="false" customHeight="false" outlineLevel="0" collapsed="false">
      <c r="A321" s="38" t="n">
        <v>318</v>
      </c>
      <c r="B321" s="38" t="s">
        <v>865</v>
      </c>
      <c r="C321" s="38" t="s">
        <v>866</v>
      </c>
      <c r="D321" s="38" t="s">
        <v>306</v>
      </c>
      <c r="E321" s="39" t="n">
        <v>0</v>
      </c>
      <c r="F321" s="39" t="n">
        <v>19129018</v>
      </c>
      <c r="G321" s="33" t="n">
        <f aca="false">E321-F321</f>
        <v>-19129018</v>
      </c>
      <c r="H321" s="27" t="n">
        <v>46050</v>
      </c>
      <c r="I321" s="38" t="s">
        <v>413</v>
      </c>
      <c r="J321" s="38" t="s">
        <v>867</v>
      </c>
      <c r="K321" s="38" t="s">
        <v>303</v>
      </c>
      <c r="L321" s="38" t="s">
        <v>927</v>
      </c>
      <c r="M321" s="38" t="s">
        <v>297</v>
      </c>
      <c r="N321" s="34" t="s">
        <v>125</v>
      </c>
      <c r="O321" s="26" t="s">
        <v>869</v>
      </c>
      <c r="P321" s="26" t="s">
        <v>870</v>
      </c>
    </row>
    <row r="322" customFormat="false" ht="15" hidden="false" customHeight="false" outlineLevel="0" collapsed="false">
      <c r="A322" s="38" t="n">
        <v>319</v>
      </c>
      <c r="B322" s="38" t="s">
        <v>865</v>
      </c>
      <c r="C322" s="38" t="s">
        <v>866</v>
      </c>
      <c r="D322" s="38" t="s">
        <v>306</v>
      </c>
      <c r="E322" s="39" t="n">
        <v>0</v>
      </c>
      <c r="F322" s="39" t="n">
        <v>15609688</v>
      </c>
      <c r="G322" s="33" t="n">
        <f aca="false">E322-F322</f>
        <v>-15609688</v>
      </c>
      <c r="H322" s="27" t="n">
        <v>46050</v>
      </c>
      <c r="I322" s="38" t="s">
        <v>413</v>
      </c>
      <c r="J322" s="38" t="s">
        <v>867</v>
      </c>
      <c r="K322" s="38" t="s">
        <v>303</v>
      </c>
      <c r="L322" s="38" t="s">
        <v>928</v>
      </c>
      <c r="M322" s="38" t="s">
        <v>297</v>
      </c>
      <c r="N322" s="34" t="s">
        <v>126</v>
      </c>
      <c r="O322" s="26" t="s">
        <v>869</v>
      </c>
      <c r="P322" s="26" t="s">
        <v>870</v>
      </c>
    </row>
    <row r="323" customFormat="false" ht="15" hidden="false" customHeight="false" outlineLevel="0" collapsed="false">
      <c r="A323" s="38" t="n">
        <v>320</v>
      </c>
      <c r="B323" s="38" t="s">
        <v>865</v>
      </c>
      <c r="C323" s="38" t="s">
        <v>866</v>
      </c>
      <c r="D323" s="38" t="s">
        <v>306</v>
      </c>
      <c r="E323" s="39" t="n">
        <v>47641306</v>
      </c>
      <c r="F323" s="39" t="n">
        <v>0</v>
      </c>
      <c r="G323" s="33" t="n">
        <f aca="false">E323-F323</f>
        <v>47641306</v>
      </c>
      <c r="H323" s="27" t="n">
        <v>46072</v>
      </c>
      <c r="I323" s="38" t="s">
        <v>301</v>
      </c>
      <c r="J323" s="38" t="s">
        <v>929</v>
      </c>
      <c r="K323" s="38" t="s">
        <v>363</v>
      </c>
      <c r="L323" s="38" t="s">
        <v>930</v>
      </c>
      <c r="M323" s="38" t="s">
        <v>315</v>
      </c>
      <c r="N323" s="34" t="s">
        <v>126</v>
      </c>
      <c r="O323" s="26" t="s">
        <v>869</v>
      </c>
      <c r="P323" s="26" t="s">
        <v>877</v>
      </c>
    </row>
    <row r="324" customFormat="false" ht="15" hidden="false" customHeight="false" outlineLevel="0" collapsed="false">
      <c r="A324" s="38" t="n">
        <v>321</v>
      </c>
      <c r="B324" s="38" t="s">
        <v>865</v>
      </c>
      <c r="C324" s="38" t="s">
        <v>866</v>
      </c>
      <c r="D324" s="38" t="s">
        <v>306</v>
      </c>
      <c r="E324" s="39" t="n">
        <v>0</v>
      </c>
      <c r="F324" s="39" t="n">
        <v>19408340</v>
      </c>
      <c r="G324" s="33" t="n">
        <f aca="false">E324-F324</f>
        <v>-19408340</v>
      </c>
      <c r="H324" s="27" t="n">
        <v>46072</v>
      </c>
      <c r="I324" s="38" t="s">
        <v>413</v>
      </c>
      <c r="J324" s="38" t="s">
        <v>871</v>
      </c>
      <c r="K324" s="38" t="s">
        <v>303</v>
      </c>
      <c r="L324" s="38" t="s">
        <v>931</v>
      </c>
      <c r="M324" s="38" t="s">
        <v>297</v>
      </c>
      <c r="N324" s="34" t="s">
        <v>125</v>
      </c>
      <c r="O324" s="26" t="s">
        <v>869</v>
      </c>
      <c r="P324" s="26" t="s">
        <v>870</v>
      </c>
    </row>
    <row r="325" customFormat="false" ht="15" hidden="false" customHeight="false" outlineLevel="0" collapsed="false">
      <c r="A325" s="38" t="n">
        <v>322</v>
      </c>
      <c r="B325" s="38" t="s">
        <v>865</v>
      </c>
      <c r="C325" s="38" t="s">
        <v>866</v>
      </c>
      <c r="D325" s="38" t="s">
        <v>306</v>
      </c>
      <c r="E325" s="39" t="n">
        <v>0</v>
      </c>
      <c r="F325" s="39" t="n">
        <v>16623597</v>
      </c>
      <c r="G325" s="33" t="n">
        <f aca="false">E325-F325</f>
        <v>-16623597</v>
      </c>
      <c r="H325" s="27" t="n">
        <v>46072</v>
      </c>
      <c r="I325" s="38" t="s">
        <v>413</v>
      </c>
      <c r="J325" s="38" t="s">
        <v>871</v>
      </c>
      <c r="K325" s="38" t="s">
        <v>303</v>
      </c>
      <c r="L325" s="38" t="s">
        <v>932</v>
      </c>
      <c r="M325" s="38" t="s">
        <v>297</v>
      </c>
      <c r="N325" s="34" t="s">
        <v>126</v>
      </c>
      <c r="O325" s="26" t="s">
        <v>869</v>
      </c>
      <c r="P325" s="26" t="s">
        <v>870</v>
      </c>
    </row>
    <row r="326" customFormat="false" ht="15" hidden="false" customHeight="false" outlineLevel="0" collapsed="false">
      <c r="A326" s="38" t="n">
        <v>323</v>
      </c>
      <c r="B326" s="38" t="s">
        <v>865</v>
      </c>
      <c r="C326" s="38" t="s">
        <v>866</v>
      </c>
      <c r="D326" s="38" t="s">
        <v>306</v>
      </c>
      <c r="E326" s="39" t="n">
        <v>0</v>
      </c>
      <c r="F326" s="39" t="n">
        <v>86541667</v>
      </c>
      <c r="G326" s="33" t="n">
        <f aca="false">E326-F326</f>
        <v>-86541667</v>
      </c>
      <c r="H326" s="27" t="n">
        <v>46072</v>
      </c>
      <c r="I326" s="38" t="s">
        <v>413</v>
      </c>
      <c r="J326" s="38" t="s">
        <v>871</v>
      </c>
      <c r="K326" s="38" t="s">
        <v>303</v>
      </c>
      <c r="L326" s="38" t="s">
        <v>933</v>
      </c>
      <c r="M326" s="38" t="s">
        <v>297</v>
      </c>
      <c r="N326" s="34" t="s">
        <v>127</v>
      </c>
      <c r="O326" s="26" t="s">
        <v>869</v>
      </c>
      <c r="P326" s="26" t="s">
        <v>870</v>
      </c>
    </row>
    <row r="327" customFormat="false" ht="15" hidden="false" customHeight="false" outlineLevel="0" collapsed="false">
      <c r="A327" s="38" t="n">
        <v>324</v>
      </c>
      <c r="B327" s="38" t="s">
        <v>865</v>
      </c>
      <c r="C327" s="38" t="s">
        <v>866</v>
      </c>
      <c r="D327" s="38" t="s">
        <v>306</v>
      </c>
      <c r="E327" s="39" t="n">
        <v>0</v>
      </c>
      <c r="F327" s="39" t="n">
        <v>17551758</v>
      </c>
      <c r="G327" s="33" t="n">
        <f aca="false">E327-F327</f>
        <v>-17551758</v>
      </c>
      <c r="H327" s="27" t="n">
        <v>46099</v>
      </c>
      <c r="I327" s="38" t="s">
        <v>413</v>
      </c>
      <c r="J327" s="38" t="s">
        <v>873</v>
      </c>
      <c r="K327" s="38" t="s">
        <v>303</v>
      </c>
      <c r="L327" s="38" t="s">
        <v>934</v>
      </c>
      <c r="M327" s="38" t="s">
        <v>297</v>
      </c>
      <c r="N327" s="34" t="s">
        <v>125</v>
      </c>
      <c r="O327" s="26" t="s">
        <v>869</v>
      </c>
      <c r="P327" s="26" t="s">
        <v>870</v>
      </c>
    </row>
    <row r="328" customFormat="false" ht="15" hidden="false" customHeight="false" outlineLevel="0" collapsed="false">
      <c r="A328" s="38" t="n">
        <v>325</v>
      </c>
      <c r="B328" s="38" t="s">
        <v>865</v>
      </c>
      <c r="C328" s="38" t="s">
        <v>866</v>
      </c>
      <c r="D328" s="38" t="s">
        <v>306</v>
      </c>
      <c r="E328" s="39" t="n">
        <v>0</v>
      </c>
      <c r="F328" s="39" t="n">
        <v>14776042</v>
      </c>
      <c r="G328" s="33" t="n">
        <f aca="false">E328-F328</f>
        <v>-14776042</v>
      </c>
      <c r="H328" s="27" t="n">
        <v>46099</v>
      </c>
      <c r="I328" s="38" t="s">
        <v>413</v>
      </c>
      <c r="J328" s="38" t="s">
        <v>873</v>
      </c>
      <c r="K328" s="38" t="s">
        <v>303</v>
      </c>
      <c r="L328" s="38" t="s">
        <v>935</v>
      </c>
      <c r="M328" s="38" t="s">
        <v>297</v>
      </c>
      <c r="N328" s="34" t="s">
        <v>126</v>
      </c>
      <c r="O328" s="26" t="s">
        <v>869</v>
      </c>
      <c r="P328" s="26" t="s">
        <v>870</v>
      </c>
    </row>
    <row r="329" customFormat="false" ht="15" hidden="false" customHeight="false" outlineLevel="0" collapsed="false">
      <c r="A329" s="38" t="n">
        <v>326</v>
      </c>
      <c r="B329" s="38" t="s">
        <v>865</v>
      </c>
      <c r="C329" s="38" t="s">
        <v>866</v>
      </c>
      <c r="D329" s="38" t="s">
        <v>306</v>
      </c>
      <c r="E329" s="39" t="n">
        <v>0</v>
      </c>
      <c r="F329" s="39" t="n">
        <v>94608333</v>
      </c>
      <c r="G329" s="33" t="n">
        <f aca="false">E329-F329</f>
        <v>-94608333</v>
      </c>
      <c r="H329" s="27" t="n">
        <v>46099</v>
      </c>
      <c r="I329" s="38" t="s">
        <v>413</v>
      </c>
      <c r="J329" s="38" t="s">
        <v>873</v>
      </c>
      <c r="K329" s="38" t="s">
        <v>303</v>
      </c>
      <c r="L329" s="38" t="s">
        <v>936</v>
      </c>
      <c r="M329" s="38" t="s">
        <v>297</v>
      </c>
      <c r="N329" s="34" t="s">
        <v>127</v>
      </c>
      <c r="O329" s="26" t="s">
        <v>869</v>
      </c>
      <c r="P329" s="26" t="s">
        <v>870</v>
      </c>
    </row>
    <row r="330" customFormat="false" ht="15" hidden="false" customHeight="false" outlineLevel="0" collapsed="false">
      <c r="A330" s="38" t="n">
        <v>327</v>
      </c>
      <c r="B330" s="38" t="s">
        <v>865</v>
      </c>
      <c r="C330" s="38" t="s">
        <v>866</v>
      </c>
      <c r="D330" s="38" t="s">
        <v>306</v>
      </c>
      <c r="E330" s="39" t="n">
        <v>56089116</v>
      </c>
      <c r="F330" s="39" t="n">
        <v>0</v>
      </c>
      <c r="G330" s="33" t="n">
        <f aca="false">E330-F330</f>
        <v>56089116</v>
      </c>
      <c r="H330" s="27" t="n">
        <v>46100</v>
      </c>
      <c r="I330" s="38" t="s">
        <v>301</v>
      </c>
      <c r="J330" s="38" t="s">
        <v>937</v>
      </c>
      <c r="K330" s="38" t="s">
        <v>363</v>
      </c>
      <c r="L330" s="38" t="s">
        <v>938</v>
      </c>
      <c r="M330" s="38" t="s">
        <v>315</v>
      </c>
      <c r="N330" s="34" t="s">
        <v>125</v>
      </c>
      <c r="O330" s="26" t="s">
        <v>869</v>
      </c>
      <c r="P330" s="26" t="s">
        <v>877</v>
      </c>
    </row>
    <row r="331" customFormat="false" ht="15" hidden="false" customHeight="false" outlineLevel="0" collapsed="false">
      <c r="A331" s="38" t="n">
        <v>328</v>
      </c>
      <c r="B331" s="38" t="s">
        <v>865</v>
      </c>
      <c r="C331" s="38" t="s">
        <v>866</v>
      </c>
      <c r="D331" s="38" t="s">
        <v>306</v>
      </c>
      <c r="E331" s="39" t="n">
        <v>0</v>
      </c>
      <c r="F331" s="39" t="n">
        <v>19432174</v>
      </c>
      <c r="G331" s="33" t="n">
        <f aca="false">E331-F331</f>
        <v>-19432174</v>
      </c>
      <c r="H331" s="27" t="n">
        <v>46134</v>
      </c>
      <c r="I331" s="38" t="s">
        <v>413</v>
      </c>
      <c r="J331" s="38" t="s">
        <v>878</v>
      </c>
      <c r="K331" s="38" t="s">
        <v>303</v>
      </c>
      <c r="L331" s="38" t="s">
        <v>939</v>
      </c>
      <c r="M331" s="38" t="s">
        <v>297</v>
      </c>
      <c r="N331" s="34" t="s">
        <v>125</v>
      </c>
      <c r="O331" s="26" t="s">
        <v>869</v>
      </c>
      <c r="P331" s="26" t="s">
        <v>870</v>
      </c>
    </row>
    <row r="332" customFormat="false" ht="15" hidden="false" customHeight="false" outlineLevel="0" collapsed="false">
      <c r="A332" s="38" t="n">
        <v>329</v>
      </c>
      <c r="B332" s="38" t="s">
        <v>865</v>
      </c>
      <c r="C332" s="38" t="s">
        <v>866</v>
      </c>
      <c r="D332" s="38" t="s">
        <v>306</v>
      </c>
      <c r="E332" s="39" t="n">
        <v>0</v>
      </c>
      <c r="F332" s="39" t="n">
        <v>15784375</v>
      </c>
      <c r="G332" s="33" t="n">
        <f aca="false">E332-F332</f>
        <v>-15784375</v>
      </c>
      <c r="H332" s="27" t="n">
        <v>46134</v>
      </c>
      <c r="I332" s="38" t="s">
        <v>413</v>
      </c>
      <c r="J332" s="38" t="s">
        <v>878</v>
      </c>
      <c r="K332" s="38" t="s">
        <v>303</v>
      </c>
      <c r="L332" s="38" t="s">
        <v>940</v>
      </c>
      <c r="M332" s="38" t="s">
        <v>297</v>
      </c>
      <c r="N332" s="34" t="s">
        <v>126</v>
      </c>
      <c r="O332" s="26" t="s">
        <v>869</v>
      </c>
      <c r="P332" s="26" t="s">
        <v>870</v>
      </c>
    </row>
    <row r="333" customFormat="false" ht="15" hidden="false" customHeight="false" outlineLevel="0" collapsed="false">
      <c r="A333" s="38" t="n">
        <v>330</v>
      </c>
      <c r="B333" s="38" t="s">
        <v>865</v>
      </c>
      <c r="C333" s="38" t="s">
        <v>866</v>
      </c>
      <c r="D333" s="38" t="s">
        <v>306</v>
      </c>
      <c r="E333" s="39" t="n">
        <v>0</v>
      </c>
      <c r="F333" s="39" t="n">
        <v>73460556</v>
      </c>
      <c r="G333" s="33" t="n">
        <f aca="false">E333-F333</f>
        <v>-73460556</v>
      </c>
      <c r="H333" s="27" t="n">
        <v>46134</v>
      </c>
      <c r="I333" s="38" t="s">
        <v>413</v>
      </c>
      <c r="J333" s="38" t="s">
        <v>878</v>
      </c>
      <c r="K333" s="38" t="s">
        <v>303</v>
      </c>
      <c r="L333" s="38" t="s">
        <v>941</v>
      </c>
      <c r="M333" s="38" t="s">
        <v>297</v>
      </c>
      <c r="N333" s="34" t="s">
        <v>127</v>
      </c>
      <c r="O333" s="26" t="s">
        <v>869</v>
      </c>
      <c r="P333" s="26" t="s">
        <v>870</v>
      </c>
    </row>
    <row r="334" customFormat="false" ht="15" hidden="false" customHeight="false" outlineLevel="0" collapsed="false">
      <c r="A334" s="38" t="n">
        <v>331</v>
      </c>
      <c r="B334" s="38" t="s">
        <v>865</v>
      </c>
      <c r="C334" s="38" t="s">
        <v>866</v>
      </c>
      <c r="D334" s="38" t="s">
        <v>306</v>
      </c>
      <c r="E334" s="39" t="n">
        <v>254610556</v>
      </c>
      <c r="F334" s="39" t="n">
        <v>0</v>
      </c>
      <c r="G334" s="33" t="n">
        <f aca="false">E334-F334</f>
        <v>254610556</v>
      </c>
      <c r="H334" s="27" t="n">
        <v>46136</v>
      </c>
      <c r="I334" s="38" t="s">
        <v>301</v>
      </c>
      <c r="J334" s="38" t="s">
        <v>942</v>
      </c>
      <c r="K334" s="38" t="s">
        <v>363</v>
      </c>
      <c r="L334" s="38" t="s">
        <v>943</v>
      </c>
      <c r="M334" s="38" t="s">
        <v>315</v>
      </c>
      <c r="N334" s="34" t="s">
        <v>127</v>
      </c>
      <c r="O334" s="26" t="s">
        <v>869</v>
      </c>
      <c r="P334" s="26" t="s">
        <v>877</v>
      </c>
    </row>
    <row r="335" customFormat="false" ht="15" hidden="false" customHeight="false" outlineLevel="0" collapsed="false">
      <c r="A335" s="38" t="n">
        <v>332</v>
      </c>
      <c r="B335" s="38" t="s">
        <v>865</v>
      </c>
      <c r="C335" s="38" t="s">
        <v>866</v>
      </c>
      <c r="D335" s="38" t="s">
        <v>306</v>
      </c>
      <c r="E335" s="39" t="n">
        <v>0</v>
      </c>
      <c r="F335" s="39" t="n">
        <v>20011464</v>
      </c>
      <c r="G335" s="33" t="n">
        <f aca="false">E335-F335</f>
        <v>-20011464</v>
      </c>
      <c r="H335" s="27" t="n">
        <v>46162</v>
      </c>
      <c r="I335" s="38" t="s">
        <v>413</v>
      </c>
      <c r="J335" s="38" t="s">
        <v>880</v>
      </c>
      <c r="K335" s="38" t="s">
        <v>303</v>
      </c>
      <c r="L335" s="38" t="s">
        <v>944</v>
      </c>
      <c r="M335" s="38" t="s">
        <v>297</v>
      </c>
      <c r="N335" s="34" t="s">
        <v>125</v>
      </c>
      <c r="O335" s="26" t="s">
        <v>869</v>
      </c>
      <c r="P335" s="26" t="s">
        <v>870</v>
      </c>
    </row>
    <row r="336" customFormat="false" ht="15" hidden="false" customHeight="false" outlineLevel="0" collapsed="false">
      <c r="A336" s="38" t="n">
        <v>333</v>
      </c>
      <c r="B336" s="38" t="s">
        <v>865</v>
      </c>
      <c r="C336" s="38" t="s">
        <v>866</v>
      </c>
      <c r="D336" s="38" t="s">
        <v>306</v>
      </c>
      <c r="E336" s="39" t="n">
        <v>0</v>
      </c>
      <c r="F336" s="39" t="n">
        <v>16059513</v>
      </c>
      <c r="G336" s="33" t="n">
        <f aca="false">E336-F336</f>
        <v>-16059513</v>
      </c>
      <c r="H336" s="27" t="n">
        <v>46162</v>
      </c>
      <c r="I336" s="38" t="s">
        <v>413</v>
      </c>
      <c r="J336" s="38" t="s">
        <v>880</v>
      </c>
      <c r="K336" s="38" t="s">
        <v>303</v>
      </c>
      <c r="L336" s="38" t="s">
        <v>945</v>
      </c>
      <c r="M336" s="38" t="s">
        <v>297</v>
      </c>
      <c r="N336" s="34" t="s">
        <v>126</v>
      </c>
      <c r="O336" s="26" t="s">
        <v>869</v>
      </c>
      <c r="P336" s="26" t="s">
        <v>870</v>
      </c>
    </row>
    <row r="337" customFormat="false" ht="15" hidden="false" customHeight="false" outlineLevel="0" collapsed="false">
      <c r="A337" s="38" t="n">
        <v>334</v>
      </c>
      <c r="B337" s="38" t="s">
        <v>865</v>
      </c>
      <c r="C337" s="38" t="s">
        <v>866</v>
      </c>
      <c r="D337" s="38" t="s">
        <v>306</v>
      </c>
      <c r="E337" s="39" t="n">
        <v>0</v>
      </c>
      <c r="F337" s="39" t="n">
        <v>102058333</v>
      </c>
      <c r="G337" s="33" t="n">
        <f aca="false">E337-F337</f>
        <v>-102058333</v>
      </c>
      <c r="H337" s="27" t="n">
        <v>46162</v>
      </c>
      <c r="I337" s="38" t="s">
        <v>413</v>
      </c>
      <c r="J337" s="38" t="s">
        <v>880</v>
      </c>
      <c r="K337" s="38" t="s">
        <v>303</v>
      </c>
      <c r="L337" s="38" t="s">
        <v>946</v>
      </c>
      <c r="M337" s="38" t="s">
        <v>297</v>
      </c>
      <c r="N337" s="34" t="s">
        <v>127</v>
      </c>
      <c r="O337" s="26" t="s">
        <v>869</v>
      </c>
      <c r="P337" s="26" t="s">
        <v>870</v>
      </c>
    </row>
    <row r="338" customFormat="false" ht="15" hidden="false" customHeight="false" outlineLevel="0" collapsed="false">
      <c r="A338" s="38" t="n">
        <v>335</v>
      </c>
      <c r="B338" s="38" t="s">
        <v>865</v>
      </c>
      <c r="C338" s="38" t="s">
        <v>866</v>
      </c>
      <c r="D338" s="38" t="s">
        <v>306</v>
      </c>
      <c r="E338" s="39" t="n">
        <v>46619930</v>
      </c>
      <c r="F338" s="39" t="n">
        <v>0</v>
      </c>
      <c r="G338" s="33" t="n">
        <f aca="false">E338-F338</f>
        <v>46619930</v>
      </c>
      <c r="H338" s="27" t="n">
        <v>46164</v>
      </c>
      <c r="I338" s="38" t="s">
        <v>301</v>
      </c>
      <c r="J338" s="38" t="s">
        <v>947</v>
      </c>
      <c r="K338" s="38" t="s">
        <v>363</v>
      </c>
      <c r="L338" s="38" t="s">
        <v>948</v>
      </c>
      <c r="M338" s="38" t="s">
        <v>315</v>
      </c>
      <c r="N338" s="34" t="s">
        <v>126</v>
      </c>
      <c r="O338" s="26" t="s">
        <v>869</v>
      </c>
      <c r="P338" s="26" t="s">
        <v>877</v>
      </c>
    </row>
    <row r="339" customFormat="false" ht="15" hidden="false" customHeight="false" outlineLevel="0" collapsed="false">
      <c r="A339" s="38" t="n">
        <v>336</v>
      </c>
      <c r="B339" s="38" t="s">
        <v>865</v>
      </c>
      <c r="C339" s="38" t="s">
        <v>866</v>
      </c>
      <c r="D339" s="38" t="s">
        <v>306</v>
      </c>
      <c r="E339" s="39" t="n">
        <v>59390887</v>
      </c>
      <c r="F339" s="39" t="n">
        <v>0</v>
      </c>
      <c r="G339" s="33" t="n">
        <f aca="false">E339-F339</f>
        <v>59390887</v>
      </c>
      <c r="H339" s="27" t="n">
        <v>46203</v>
      </c>
      <c r="I339" s="38" t="s">
        <v>301</v>
      </c>
      <c r="J339" s="38" t="s">
        <v>949</v>
      </c>
      <c r="K339" s="38" t="s">
        <v>363</v>
      </c>
      <c r="L339" s="38" t="s">
        <v>950</v>
      </c>
      <c r="M339" s="38" t="s">
        <v>315</v>
      </c>
      <c r="N339" s="34" t="s">
        <v>125</v>
      </c>
      <c r="O339" s="26" t="s">
        <v>869</v>
      </c>
      <c r="P339" s="26" t="s">
        <v>877</v>
      </c>
    </row>
    <row r="340" customFormat="false" ht="15" hidden="false" customHeight="false" outlineLevel="0" collapsed="false">
      <c r="A340" s="38" t="n">
        <v>337</v>
      </c>
      <c r="B340" s="38" t="s">
        <v>865</v>
      </c>
      <c r="C340" s="38" t="s">
        <v>866</v>
      </c>
      <c r="D340" s="38" t="s">
        <v>306</v>
      </c>
      <c r="E340" s="39" t="n">
        <v>0</v>
      </c>
      <c r="F340" s="39" t="n">
        <v>19947249</v>
      </c>
      <c r="G340" s="33" t="n">
        <f aca="false">E340-F340</f>
        <v>-19947249</v>
      </c>
      <c r="H340" s="27" t="n">
        <v>46203</v>
      </c>
      <c r="I340" s="38" t="s">
        <v>413</v>
      </c>
      <c r="J340" s="38" t="s">
        <v>888</v>
      </c>
      <c r="K340" s="38" t="s">
        <v>303</v>
      </c>
      <c r="L340" s="38" t="s">
        <v>951</v>
      </c>
      <c r="M340" s="38" t="s">
        <v>297</v>
      </c>
      <c r="N340" s="34" t="s">
        <v>125</v>
      </c>
      <c r="O340" s="26" t="s">
        <v>869</v>
      </c>
      <c r="P340" s="26" t="s">
        <v>870</v>
      </c>
    </row>
    <row r="341" customFormat="false" ht="15" hidden="false" customHeight="false" outlineLevel="0" collapsed="false">
      <c r="A341" s="38" t="n">
        <v>338</v>
      </c>
      <c r="B341" s="38" t="s">
        <v>865</v>
      </c>
      <c r="C341" s="38" t="s">
        <v>866</v>
      </c>
      <c r="D341" s="38" t="s">
        <v>306</v>
      </c>
      <c r="E341" s="39" t="n">
        <v>0</v>
      </c>
      <c r="F341" s="39" t="n">
        <v>15044063</v>
      </c>
      <c r="G341" s="33" t="n">
        <f aca="false">E341-F341</f>
        <v>-15044063</v>
      </c>
      <c r="H341" s="27" t="n">
        <v>46203</v>
      </c>
      <c r="I341" s="38" t="s">
        <v>413</v>
      </c>
      <c r="J341" s="38" t="s">
        <v>888</v>
      </c>
      <c r="K341" s="38" t="s">
        <v>303</v>
      </c>
      <c r="L341" s="38" t="s">
        <v>952</v>
      </c>
      <c r="M341" s="38" t="s">
        <v>297</v>
      </c>
      <c r="N341" s="34" t="s">
        <v>126</v>
      </c>
      <c r="O341" s="26" t="s">
        <v>869</v>
      </c>
      <c r="P341" s="26" t="s">
        <v>870</v>
      </c>
    </row>
    <row r="342" customFormat="false" ht="15" hidden="false" customHeight="false" outlineLevel="0" collapsed="false">
      <c r="A342" s="38" t="n">
        <v>339</v>
      </c>
      <c r="B342" s="38" t="s">
        <v>865</v>
      </c>
      <c r="C342" s="38" t="s">
        <v>866</v>
      </c>
      <c r="D342" s="38" t="s">
        <v>306</v>
      </c>
      <c r="E342" s="39" t="n">
        <v>0</v>
      </c>
      <c r="F342" s="39" t="n">
        <v>102058333</v>
      </c>
      <c r="G342" s="33" t="n">
        <f aca="false">E342-F342</f>
        <v>-102058333</v>
      </c>
      <c r="H342" s="27" t="n">
        <v>46203</v>
      </c>
      <c r="I342" s="38" t="s">
        <v>413</v>
      </c>
      <c r="J342" s="38" t="s">
        <v>888</v>
      </c>
      <c r="K342" s="38" t="s">
        <v>303</v>
      </c>
      <c r="L342" s="38" t="s">
        <v>953</v>
      </c>
      <c r="M342" s="38" t="s">
        <v>297</v>
      </c>
      <c r="N342" s="34" t="s">
        <v>127</v>
      </c>
      <c r="O342" s="26" t="s">
        <v>869</v>
      </c>
      <c r="P342" s="26" t="s">
        <v>870</v>
      </c>
    </row>
    <row r="343" customFormat="false" ht="15" hidden="false" customHeight="false" outlineLevel="0" collapsed="false">
      <c r="A343" s="38" t="n">
        <v>340</v>
      </c>
      <c r="B343" s="38" t="s">
        <v>865</v>
      </c>
      <c r="C343" s="38" t="s">
        <v>866</v>
      </c>
      <c r="D343" s="38" t="s">
        <v>306</v>
      </c>
      <c r="E343" s="39" t="n">
        <v>0</v>
      </c>
      <c r="F343" s="39" t="n">
        <v>17825616</v>
      </c>
      <c r="G343" s="33" t="n">
        <f aca="false">E343-F343</f>
        <v>-17825616</v>
      </c>
      <c r="H343" s="27" t="n">
        <v>46227</v>
      </c>
      <c r="I343" s="38" t="s">
        <v>413</v>
      </c>
      <c r="J343" s="38" t="s">
        <v>919</v>
      </c>
      <c r="K343" s="38" t="s">
        <v>303</v>
      </c>
      <c r="L343" s="38" t="s">
        <v>954</v>
      </c>
      <c r="M343" s="38" t="s">
        <v>297</v>
      </c>
      <c r="N343" s="34" t="s">
        <v>125</v>
      </c>
      <c r="O343" s="26" t="s">
        <v>869</v>
      </c>
      <c r="P343" s="26" t="s">
        <v>870</v>
      </c>
    </row>
    <row r="344" customFormat="false" ht="15" hidden="false" customHeight="false" outlineLevel="0" collapsed="false">
      <c r="A344" s="38" t="n">
        <v>341</v>
      </c>
      <c r="B344" s="38" t="s">
        <v>865</v>
      </c>
      <c r="C344" s="38" t="s">
        <v>866</v>
      </c>
      <c r="D344" s="38" t="s">
        <v>306</v>
      </c>
      <c r="E344" s="39" t="n">
        <v>0</v>
      </c>
      <c r="F344" s="39" t="n">
        <v>15044063</v>
      </c>
      <c r="G344" s="33" t="n">
        <f aca="false">E344-F344</f>
        <v>-15044063</v>
      </c>
      <c r="H344" s="27" t="n">
        <v>46227</v>
      </c>
      <c r="I344" s="38" t="s">
        <v>413</v>
      </c>
      <c r="J344" s="38" t="s">
        <v>919</v>
      </c>
      <c r="K344" s="38" t="s">
        <v>303</v>
      </c>
      <c r="L344" s="38" t="s">
        <v>955</v>
      </c>
      <c r="M344" s="38" t="s">
        <v>297</v>
      </c>
      <c r="N344" s="34" t="s">
        <v>126</v>
      </c>
      <c r="O344" s="26" t="s">
        <v>869</v>
      </c>
      <c r="P344" s="26" t="s">
        <v>870</v>
      </c>
    </row>
    <row r="345" customFormat="false" ht="15" hidden="false" customHeight="false" outlineLevel="0" collapsed="false">
      <c r="A345" s="38" t="n">
        <v>342</v>
      </c>
      <c r="B345" s="38" t="s">
        <v>865</v>
      </c>
      <c r="C345" s="38" t="s">
        <v>866</v>
      </c>
      <c r="D345" s="38" t="s">
        <v>306</v>
      </c>
      <c r="E345" s="39" t="n">
        <v>0</v>
      </c>
      <c r="F345" s="39" t="n">
        <v>95500833</v>
      </c>
      <c r="G345" s="33" t="n">
        <f aca="false">E345-F345</f>
        <v>-95500833</v>
      </c>
      <c r="H345" s="27" t="n">
        <v>46227</v>
      </c>
      <c r="I345" s="38" t="s">
        <v>413</v>
      </c>
      <c r="J345" s="38" t="s">
        <v>919</v>
      </c>
      <c r="K345" s="38" t="s">
        <v>303</v>
      </c>
      <c r="L345" s="38" t="s">
        <v>956</v>
      </c>
      <c r="M345" s="38" t="s">
        <v>297</v>
      </c>
      <c r="N345" s="34" t="s">
        <v>127</v>
      </c>
      <c r="O345" s="26" t="s">
        <v>869</v>
      </c>
      <c r="P345" s="26" t="s">
        <v>870</v>
      </c>
    </row>
    <row r="346" customFormat="false" ht="15" hidden="false" customHeight="false" outlineLevel="0" collapsed="false">
      <c r="A346" s="38" t="n">
        <v>343</v>
      </c>
      <c r="B346" s="38" t="s">
        <v>865</v>
      </c>
      <c r="C346" s="38" t="s">
        <v>866</v>
      </c>
      <c r="D346" s="38" t="s">
        <v>306</v>
      </c>
      <c r="E346" s="39" t="n">
        <v>299617499</v>
      </c>
      <c r="F346" s="39" t="n">
        <v>0</v>
      </c>
      <c r="G346" s="33" t="n">
        <f aca="false">E346-F346</f>
        <v>299617499</v>
      </c>
      <c r="H346" s="27" t="n">
        <v>46230</v>
      </c>
      <c r="I346" s="38" t="s">
        <v>301</v>
      </c>
      <c r="J346" s="38" t="s">
        <v>957</v>
      </c>
      <c r="K346" s="38" t="s">
        <v>363</v>
      </c>
      <c r="L346" s="38" t="s">
        <v>958</v>
      </c>
      <c r="M346" s="38" t="s">
        <v>315</v>
      </c>
      <c r="N346" s="34" t="s">
        <v>127</v>
      </c>
      <c r="O346" s="26" t="s">
        <v>869</v>
      </c>
      <c r="P346" s="26" t="s">
        <v>877</v>
      </c>
    </row>
    <row r="347" customFormat="false" ht="15" hidden="false" customHeight="false" outlineLevel="0" collapsed="false">
      <c r="A347" s="38" t="n">
        <v>344</v>
      </c>
      <c r="B347" s="38" t="s">
        <v>865</v>
      </c>
      <c r="C347" s="38" t="s">
        <v>866</v>
      </c>
      <c r="D347" s="38" t="s">
        <v>337</v>
      </c>
      <c r="E347" s="39" t="n">
        <v>0</v>
      </c>
      <c r="F347" s="39" t="n">
        <v>5654646</v>
      </c>
      <c r="G347" s="33" t="n">
        <f aca="false">E347-F347</f>
        <v>-5654646</v>
      </c>
      <c r="H347" s="27" t="n">
        <v>46050</v>
      </c>
      <c r="I347" s="38" t="s">
        <v>413</v>
      </c>
      <c r="J347" s="38" t="s">
        <v>867</v>
      </c>
      <c r="K347" s="38" t="s">
        <v>303</v>
      </c>
      <c r="L347" s="38" t="s">
        <v>959</v>
      </c>
      <c r="M347" s="38" t="s">
        <v>297</v>
      </c>
      <c r="N347" s="34" t="s">
        <v>135</v>
      </c>
      <c r="O347" s="26" t="s">
        <v>869</v>
      </c>
      <c r="P347" s="26" t="s">
        <v>870</v>
      </c>
    </row>
    <row r="348" customFormat="false" ht="15" hidden="false" customHeight="false" outlineLevel="0" collapsed="false">
      <c r="A348" s="38" t="n">
        <v>345</v>
      </c>
      <c r="B348" s="38" t="s">
        <v>865</v>
      </c>
      <c r="C348" s="38" t="s">
        <v>866</v>
      </c>
      <c r="D348" s="38" t="s">
        <v>337</v>
      </c>
      <c r="E348" s="39" t="n">
        <v>0</v>
      </c>
      <c r="F348" s="39" t="n">
        <v>5742813</v>
      </c>
      <c r="G348" s="33" t="n">
        <f aca="false">E348-F348</f>
        <v>-5742813</v>
      </c>
      <c r="H348" s="27" t="n">
        <v>46072</v>
      </c>
      <c r="I348" s="38" t="s">
        <v>413</v>
      </c>
      <c r="J348" s="38" t="s">
        <v>871</v>
      </c>
      <c r="K348" s="38" t="s">
        <v>303</v>
      </c>
      <c r="L348" s="38" t="s">
        <v>960</v>
      </c>
      <c r="M348" s="38" t="s">
        <v>297</v>
      </c>
      <c r="N348" s="34" t="s">
        <v>135</v>
      </c>
      <c r="O348" s="26" t="s">
        <v>869</v>
      </c>
      <c r="P348" s="26" t="s">
        <v>870</v>
      </c>
    </row>
    <row r="349" customFormat="false" ht="15" hidden="false" customHeight="false" outlineLevel="0" collapsed="false">
      <c r="A349" s="38" t="n">
        <v>346</v>
      </c>
      <c r="B349" s="38" t="s">
        <v>865</v>
      </c>
      <c r="C349" s="38" t="s">
        <v>866</v>
      </c>
      <c r="D349" s="38" t="s">
        <v>337</v>
      </c>
      <c r="E349" s="39" t="n">
        <v>0</v>
      </c>
      <c r="F349" s="39" t="n">
        <v>5162542</v>
      </c>
      <c r="G349" s="33" t="n">
        <f aca="false">E349-F349</f>
        <v>-5162542</v>
      </c>
      <c r="H349" s="27" t="n">
        <v>46099</v>
      </c>
      <c r="I349" s="38" t="s">
        <v>413</v>
      </c>
      <c r="J349" s="38" t="s">
        <v>873</v>
      </c>
      <c r="K349" s="38" t="s">
        <v>303</v>
      </c>
      <c r="L349" s="38" t="s">
        <v>961</v>
      </c>
      <c r="M349" s="38" t="s">
        <v>297</v>
      </c>
      <c r="N349" s="34" t="s">
        <v>135</v>
      </c>
      <c r="O349" s="26" t="s">
        <v>869</v>
      </c>
      <c r="P349" s="26" t="s">
        <v>870</v>
      </c>
    </row>
    <row r="350" customFormat="false" ht="15" hidden="false" customHeight="false" outlineLevel="0" collapsed="false">
      <c r="A350" s="38" t="n">
        <v>347</v>
      </c>
      <c r="B350" s="38" t="s">
        <v>865</v>
      </c>
      <c r="C350" s="38" t="s">
        <v>866</v>
      </c>
      <c r="D350" s="38" t="s">
        <v>337</v>
      </c>
      <c r="E350" s="39" t="n">
        <v>16560001</v>
      </c>
      <c r="F350" s="39" t="n">
        <v>0</v>
      </c>
      <c r="G350" s="33" t="n">
        <f aca="false">E350-F350</f>
        <v>16560001</v>
      </c>
      <c r="H350" s="27" t="n">
        <v>46100</v>
      </c>
      <c r="I350" s="38" t="s">
        <v>338</v>
      </c>
      <c r="J350" s="38" t="s">
        <v>962</v>
      </c>
      <c r="K350" s="38" t="s">
        <v>363</v>
      </c>
      <c r="L350" s="38" t="s">
        <v>963</v>
      </c>
      <c r="M350" s="38" t="s">
        <v>315</v>
      </c>
      <c r="N350" s="34" t="s">
        <v>135</v>
      </c>
      <c r="O350" s="26" t="s">
        <v>869</v>
      </c>
      <c r="P350" s="26" t="s">
        <v>877</v>
      </c>
    </row>
    <row r="351" customFormat="false" ht="15" hidden="false" customHeight="false" outlineLevel="0" collapsed="false">
      <c r="A351" s="38" t="n">
        <v>348</v>
      </c>
      <c r="B351" s="38" t="s">
        <v>865</v>
      </c>
      <c r="C351" s="38" t="s">
        <v>866</v>
      </c>
      <c r="D351" s="38" t="s">
        <v>337</v>
      </c>
      <c r="E351" s="39" t="n">
        <v>0</v>
      </c>
      <c r="F351" s="39" t="n">
        <v>4823891</v>
      </c>
      <c r="G351" s="33" t="n">
        <f aca="false">E351-F351</f>
        <v>-4823891</v>
      </c>
      <c r="H351" s="27" t="n">
        <v>46134</v>
      </c>
      <c r="I351" s="38" t="s">
        <v>413</v>
      </c>
      <c r="J351" s="38" t="s">
        <v>878</v>
      </c>
      <c r="K351" s="38" t="s">
        <v>303</v>
      </c>
      <c r="L351" s="38" t="s">
        <v>964</v>
      </c>
      <c r="M351" s="38" t="s">
        <v>297</v>
      </c>
      <c r="N351" s="34" t="s">
        <v>135</v>
      </c>
      <c r="O351" s="26" t="s">
        <v>869</v>
      </c>
      <c r="P351" s="26" t="s">
        <v>870</v>
      </c>
    </row>
    <row r="352" customFormat="false" ht="15" hidden="false" customHeight="false" outlineLevel="0" collapsed="false">
      <c r="A352" s="38" t="n">
        <v>349</v>
      </c>
      <c r="B352" s="38" t="s">
        <v>865</v>
      </c>
      <c r="C352" s="38" t="s">
        <v>866</v>
      </c>
      <c r="D352" s="38" t="s">
        <v>337</v>
      </c>
      <c r="E352" s="39" t="n">
        <v>0</v>
      </c>
      <c r="F352" s="39" t="n">
        <v>4976266</v>
      </c>
      <c r="G352" s="33" t="n">
        <f aca="false">E352-F352</f>
        <v>-4976266</v>
      </c>
      <c r="H352" s="27" t="n">
        <v>46162</v>
      </c>
      <c r="I352" s="38" t="s">
        <v>413</v>
      </c>
      <c r="J352" s="38" t="s">
        <v>880</v>
      </c>
      <c r="K352" s="38" t="s">
        <v>303</v>
      </c>
      <c r="L352" s="38" t="s">
        <v>965</v>
      </c>
      <c r="M352" s="38" t="s">
        <v>297</v>
      </c>
      <c r="N352" s="34" t="s">
        <v>135</v>
      </c>
      <c r="O352" s="26" t="s">
        <v>869</v>
      </c>
      <c r="P352" s="26" t="s">
        <v>870</v>
      </c>
    </row>
    <row r="353" customFormat="false" ht="15" hidden="false" customHeight="false" outlineLevel="0" collapsed="false">
      <c r="A353" s="38" t="n">
        <v>350</v>
      </c>
      <c r="B353" s="38" t="s">
        <v>865</v>
      </c>
      <c r="C353" s="38" t="s">
        <v>866</v>
      </c>
      <c r="D353" s="38" t="s">
        <v>337</v>
      </c>
      <c r="E353" s="39" t="n">
        <v>1</v>
      </c>
      <c r="F353" s="39" t="n">
        <v>0</v>
      </c>
      <c r="G353" s="33" t="n">
        <f aca="false">E353-F353</f>
        <v>1</v>
      </c>
      <c r="H353" s="27" t="n">
        <v>46203</v>
      </c>
      <c r="I353" s="38" t="s">
        <v>293</v>
      </c>
      <c r="J353" s="38" t="s">
        <v>884</v>
      </c>
      <c r="K353" s="38" t="s">
        <v>363</v>
      </c>
      <c r="L353" s="38" t="s">
        <v>885</v>
      </c>
      <c r="M353" s="38" t="s">
        <v>379</v>
      </c>
      <c r="N353" s="34" t="s">
        <v>886</v>
      </c>
      <c r="O353" s="26" t="s">
        <v>869</v>
      </c>
      <c r="P353" s="26" t="s">
        <v>887</v>
      </c>
    </row>
    <row r="354" customFormat="false" ht="15" hidden="false" customHeight="false" outlineLevel="0" collapsed="false">
      <c r="A354" s="38" t="n">
        <v>351</v>
      </c>
      <c r="B354" s="38" t="s">
        <v>865</v>
      </c>
      <c r="C354" s="38" t="s">
        <v>866</v>
      </c>
      <c r="D354" s="38" t="s">
        <v>337</v>
      </c>
      <c r="E354" s="39" t="n">
        <v>14419922</v>
      </c>
      <c r="F354" s="39" t="n">
        <v>0</v>
      </c>
      <c r="G354" s="33" t="n">
        <f aca="false">E354-F354</f>
        <v>14419922</v>
      </c>
      <c r="H354" s="27" t="n">
        <v>46203</v>
      </c>
      <c r="I354" s="38" t="s">
        <v>338</v>
      </c>
      <c r="J354" s="38" t="s">
        <v>966</v>
      </c>
      <c r="K354" s="38" t="s">
        <v>363</v>
      </c>
      <c r="L354" s="38" t="s">
        <v>967</v>
      </c>
      <c r="M354" s="38" t="s">
        <v>315</v>
      </c>
      <c r="N354" s="34" t="s">
        <v>135</v>
      </c>
      <c r="O354" s="26" t="s">
        <v>869</v>
      </c>
      <c r="P354" s="26" t="s">
        <v>877</v>
      </c>
    </row>
    <row r="355" customFormat="false" ht="15" hidden="false" customHeight="false" outlineLevel="0" collapsed="false">
      <c r="A355" s="38" t="n">
        <v>352</v>
      </c>
      <c r="B355" s="38" t="s">
        <v>865</v>
      </c>
      <c r="C355" s="38" t="s">
        <v>866</v>
      </c>
      <c r="D355" s="38" t="s">
        <v>337</v>
      </c>
      <c r="E355" s="39" t="n">
        <v>0</v>
      </c>
      <c r="F355" s="39" t="n">
        <v>4619766</v>
      </c>
      <c r="G355" s="33" t="n">
        <f aca="false">E355-F355</f>
        <v>-4619766</v>
      </c>
      <c r="H355" s="27" t="n">
        <v>46203</v>
      </c>
      <c r="I355" s="38" t="s">
        <v>413</v>
      </c>
      <c r="J355" s="38" t="s">
        <v>888</v>
      </c>
      <c r="K355" s="38" t="s">
        <v>303</v>
      </c>
      <c r="L355" s="38" t="s">
        <v>968</v>
      </c>
      <c r="M355" s="38" t="s">
        <v>297</v>
      </c>
      <c r="N355" s="34" t="s">
        <v>135</v>
      </c>
      <c r="O355" s="26" t="s">
        <v>869</v>
      </c>
      <c r="P355" s="26" t="s">
        <v>870</v>
      </c>
    </row>
    <row r="356" customFormat="false" ht="15" hidden="false" customHeight="false" outlineLevel="0" collapsed="false">
      <c r="A356" s="38" t="n">
        <v>353</v>
      </c>
      <c r="B356" s="38" t="s">
        <v>865</v>
      </c>
      <c r="C356" s="38" t="s">
        <v>866</v>
      </c>
      <c r="D356" s="38" t="s">
        <v>337</v>
      </c>
      <c r="E356" s="39" t="n">
        <v>0</v>
      </c>
      <c r="F356" s="39" t="n">
        <v>3324938</v>
      </c>
      <c r="G356" s="33" t="n">
        <f aca="false">E356-F356</f>
        <v>-3324938</v>
      </c>
      <c r="H356" s="27" t="n">
        <v>46227</v>
      </c>
      <c r="I356" s="38" t="s">
        <v>413</v>
      </c>
      <c r="J356" s="38" t="s">
        <v>919</v>
      </c>
      <c r="K356" s="38" t="s">
        <v>303</v>
      </c>
      <c r="L356" s="38" t="s">
        <v>969</v>
      </c>
      <c r="M356" s="38" t="s">
        <v>297</v>
      </c>
      <c r="N356" s="34" t="s">
        <v>135</v>
      </c>
      <c r="O356" s="26" t="s">
        <v>869</v>
      </c>
      <c r="P356" s="26" t="s">
        <v>870</v>
      </c>
    </row>
    <row r="357" customFormat="false" ht="15" hidden="false" customHeight="false" outlineLevel="0" collapsed="false">
      <c r="A357" s="38" t="n">
        <v>354</v>
      </c>
      <c r="B357" s="38" t="s">
        <v>865</v>
      </c>
      <c r="C357" s="38" t="s">
        <v>866</v>
      </c>
      <c r="D357" s="38" t="s">
        <v>343</v>
      </c>
      <c r="E357" s="39" t="n">
        <v>0</v>
      </c>
      <c r="F357" s="39" t="n">
        <v>43826944</v>
      </c>
      <c r="G357" s="33" t="n">
        <f aca="false">E357-F357</f>
        <v>-43826944</v>
      </c>
      <c r="H357" s="27" t="n">
        <v>46050</v>
      </c>
      <c r="I357" s="38" t="s">
        <v>413</v>
      </c>
      <c r="J357" s="38" t="s">
        <v>867</v>
      </c>
      <c r="K357" s="38" t="s">
        <v>303</v>
      </c>
      <c r="L357" s="38" t="s">
        <v>970</v>
      </c>
      <c r="M357" s="38" t="s">
        <v>297</v>
      </c>
      <c r="N357" s="34" t="s">
        <v>139</v>
      </c>
      <c r="O357" s="26" t="s">
        <v>869</v>
      </c>
      <c r="P357" s="26" t="s">
        <v>870</v>
      </c>
    </row>
    <row r="358" customFormat="false" ht="15" hidden="false" customHeight="false" outlineLevel="0" collapsed="false">
      <c r="A358" s="38" t="n">
        <v>355</v>
      </c>
      <c r="B358" s="38" t="s">
        <v>865</v>
      </c>
      <c r="C358" s="38" t="s">
        <v>866</v>
      </c>
      <c r="D358" s="38" t="s">
        <v>343</v>
      </c>
      <c r="E358" s="39" t="n">
        <v>131956110</v>
      </c>
      <c r="F358" s="39" t="n">
        <v>0</v>
      </c>
      <c r="G358" s="33" t="n">
        <f aca="false">E358-F358</f>
        <v>131956110</v>
      </c>
      <c r="H358" s="27" t="n">
        <v>46053</v>
      </c>
      <c r="I358" s="38" t="s">
        <v>344</v>
      </c>
      <c r="J358" s="38" t="s">
        <v>971</v>
      </c>
      <c r="K358" s="38" t="s">
        <v>753</v>
      </c>
      <c r="L358" s="38" t="s">
        <v>972</v>
      </c>
      <c r="M358" s="38" t="s">
        <v>315</v>
      </c>
      <c r="N358" s="34" t="s">
        <v>139</v>
      </c>
      <c r="O358" s="26" t="s">
        <v>869</v>
      </c>
      <c r="P358" s="26" t="s">
        <v>877</v>
      </c>
    </row>
    <row r="359" customFormat="false" ht="15" hidden="false" customHeight="false" outlineLevel="0" collapsed="false">
      <c r="A359" s="38" t="n">
        <v>356</v>
      </c>
      <c r="B359" s="38" t="s">
        <v>865</v>
      </c>
      <c r="C359" s="38" t="s">
        <v>866</v>
      </c>
      <c r="D359" s="38" t="s">
        <v>343</v>
      </c>
      <c r="E359" s="39" t="n">
        <v>0</v>
      </c>
      <c r="F359" s="39" t="n">
        <v>46187500</v>
      </c>
      <c r="G359" s="33" t="n">
        <f aca="false">E359-F359</f>
        <v>-46187500</v>
      </c>
      <c r="H359" s="27" t="n">
        <v>46072</v>
      </c>
      <c r="I359" s="38" t="s">
        <v>413</v>
      </c>
      <c r="J359" s="38" t="s">
        <v>871</v>
      </c>
      <c r="K359" s="38" t="s">
        <v>303</v>
      </c>
      <c r="L359" s="38" t="s">
        <v>973</v>
      </c>
      <c r="M359" s="38" t="s">
        <v>297</v>
      </c>
      <c r="N359" s="34" t="s">
        <v>139</v>
      </c>
      <c r="O359" s="26" t="s">
        <v>869</v>
      </c>
      <c r="P359" s="26" t="s">
        <v>870</v>
      </c>
    </row>
    <row r="360" customFormat="false" ht="15" hidden="false" customHeight="false" outlineLevel="0" collapsed="false">
      <c r="A360" s="38" t="n">
        <v>357</v>
      </c>
      <c r="B360" s="38" t="s">
        <v>865</v>
      </c>
      <c r="C360" s="38" t="s">
        <v>866</v>
      </c>
      <c r="D360" s="38" t="s">
        <v>343</v>
      </c>
      <c r="E360" s="39" t="n">
        <v>0</v>
      </c>
      <c r="F360" s="39" t="n">
        <v>50220833</v>
      </c>
      <c r="G360" s="33" t="n">
        <f aca="false">E360-F360</f>
        <v>-50220833</v>
      </c>
      <c r="H360" s="27" t="n">
        <v>46099</v>
      </c>
      <c r="I360" s="38" t="s">
        <v>413</v>
      </c>
      <c r="J360" s="38" t="s">
        <v>873</v>
      </c>
      <c r="K360" s="38" t="s">
        <v>303</v>
      </c>
      <c r="L360" s="38" t="s">
        <v>974</v>
      </c>
      <c r="M360" s="38" t="s">
        <v>297</v>
      </c>
      <c r="N360" s="34" t="s">
        <v>139</v>
      </c>
      <c r="O360" s="26" t="s">
        <v>869</v>
      </c>
      <c r="P360" s="26" t="s">
        <v>870</v>
      </c>
    </row>
    <row r="361" customFormat="false" ht="15" hidden="false" customHeight="false" outlineLevel="0" collapsed="false">
      <c r="A361" s="38" t="n">
        <v>358</v>
      </c>
      <c r="B361" s="38" t="s">
        <v>865</v>
      </c>
      <c r="C361" s="38" t="s">
        <v>866</v>
      </c>
      <c r="D361" s="38" t="s">
        <v>343</v>
      </c>
      <c r="E361" s="39" t="n">
        <v>0</v>
      </c>
      <c r="F361" s="39" t="n">
        <v>40816667</v>
      </c>
      <c r="G361" s="33" t="n">
        <f aca="false">E361-F361</f>
        <v>-40816667</v>
      </c>
      <c r="H361" s="27" t="n">
        <v>46134</v>
      </c>
      <c r="I361" s="38" t="s">
        <v>413</v>
      </c>
      <c r="J361" s="38" t="s">
        <v>878</v>
      </c>
      <c r="K361" s="38" t="s">
        <v>303</v>
      </c>
      <c r="L361" s="38" t="s">
        <v>975</v>
      </c>
      <c r="M361" s="38" t="s">
        <v>297</v>
      </c>
      <c r="N361" s="34" t="s">
        <v>139</v>
      </c>
      <c r="O361" s="26" t="s">
        <v>869</v>
      </c>
      <c r="P361" s="26" t="s">
        <v>870</v>
      </c>
    </row>
    <row r="362" customFormat="false" ht="15" hidden="false" customHeight="false" outlineLevel="0" collapsed="false">
      <c r="A362" s="38" t="n">
        <v>359</v>
      </c>
      <c r="B362" s="38" t="s">
        <v>865</v>
      </c>
      <c r="C362" s="38" t="s">
        <v>866</v>
      </c>
      <c r="D362" s="38" t="s">
        <v>343</v>
      </c>
      <c r="E362" s="39" t="n">
        <v>137225000</v>
      </c>
      <c r="F362" s="39" t="n">
        <v>0</v>
      </c>
      <c r="G362" s="33" t="n">
        <f aca="false">E362-F362</f>
        <v>137225000</v>
      </c>
      <c r="H362" s="27" t="n">
        <v>46136</v>
      </c>
      <c r="I362" s="38" t="s">
        <v>344</v>
      </c>
      <c r="J362" s="38" t="s">
        <v>976</v>
      </c>
      <c r="K362" s="38" t="s">
        <v>363</v>
      </c>
      <c r="L362" s="38" t="s">
        <v>977</v>
      </c>
      <c r="M362" s="38" t="s">
        <v>315</v>
      </c>
      <c r="N362" s="34" t="s">
        <v>139</v>
      </c>
      <c r="O362" s="26" t="s">
        <v>869</v>
      </c>
      <c r="P362" s="26" t="s">
        <v>877</v>
      </c>
    </row>
    <row r="363" customFormat="false" ht="15" hidden="false" customHeight="false" outlineLevel="0" collapsed="false">
      <c r="A363" s="38" t="n">
        <v>360</v>
      </c>
      <c r="B363" s="38" t="s">
        <v>865</v>
      </c>
      <c r="C363" s="38" t="s">
        <v>866</v>
      </c>
      <c r="D363" s="38" t="s">
        <v>343</v>
      </c>
      <c r="E363" s="39" t="n">
        <v>0</v>
      </c>
      <c r="F363" s="39" t="n">
        <v>35963889</v>
      </c>
      <c r="G363" s="33" t="n">
        <f aca="false">E363-F363</f>
        <v>-35963889</v>
      </c>
      <c r="H363" s="27" t="n">
        <v>46162</v>
      </c>
      <c r="I363" s="38" t="s">
        <v>413</v>
      </c>
      <c r="J363" s="38" t="s">
        <v>880</v>
      </c>
      <c r="K363" s="38" t="s">
        <v>303</v>
      </c>
      <c r="L363" s="38" t="s">
        <v>978</v>
      </c>
      <c r="M363" s="38" t="s">
        <v>297</v>
      </c>
      <c r="N363" s="34" t="s">
        <v>139</v>
      </c>
      <c r="O363" s="26" t="s">
        <v>869</v>
      </c>
      <c r="P363" s="26" t="s">
        <v>870</v>
      </c>
    </row>
    <row r="364" customFormat="false" ht="15" hidden="false" customHeight="false" outlineLevel="0" collapsed="false">
      <c r="A364" s="38" t="n">
        <v>361</v>
      </c>
      <c r="B364" s="38" t="s">
        <v>865</v>
      </c>
      <c r="C364" s="38" t="s">
        <v>866</v>
      </c>
      <c r="D364" s="38" t="s">
        <v>343</v>
      </c>
      <c r="E364" s="39" t="n">
        <v>0</v>
      </c>
      <c r="F364" s="39" t="n">
        <v>35963889</v>
      </c>
      <c r="G364" s="33" t="n">
        <f aca="false">E364-F364</f>
        <v>-35963889</v>
      </c>
      <c r="H364" s="27" t="n">
        <v>46203</v>
      </c>
      <c r="I364" s="38" t="s">
        <v>413</v>
      </c>
      <c r="J364" s="38" t="s">
        <v>888</v>
      </c>
      <c r="K364" s="38" t="s">
        <v>303</v>
      </c>
      <c r="L364" s="38" t="s">
        <v>979</v>
      </c>
      <c r="M364" s="38" t="s">
        <v>297</v>
      </c>
      <c r="N364" s="34" t="s">
        <v>139</v>
      </c>
      <c r="O364" s="26" t="s">
        <v>869</v>
      </c>
      <c r="P364" s="26" t="s">
        <v>870</v>
      </c>
    </row>
    <row r="365" customFormat="false" ht="15" hidden="false" customHeight="false" outlineLevel="0" collapsed="false">
      <c r="A365" s="38" t="n">
        <v>362</v>
      </c>
      <c r="B365" s="38" t="s">
        <v>865</v>
      </c>
      <c r="C365" s="38" t="s">
        <v>866</v>
      </c>
      <c r="D365" s="38" t="s">
        <v>343</v>
      </c>
      <c r="E365" s="39" t="n">
        <v>0</v>
      </c>
      <c r="F365" s="39" t="n">
        <v>34853982</v>
      </c>
      <c r="G365" s="33" t="n">
        <f aca="false">E365-F365</f>
        <v>-34853982</v>
      </c>
      <c r="H365" s="27" t="n">
        <v>46227</v>
      </c>
      <c r="I365" s="38" t="s">
        <v>413</v>
      </c>
      <c r="J365" s="38" t="s">
        <v>919</v>
      </c>
      <c r="K365" s="38" t="s">
        <v>303</v>
      </c>
      <c r="L365" s="38" t="s">
        <v>980</v>
      </c>
      <c r="M365" s="38" t="s">
        <v>297</v>
      </c>
      <c r="N365" s="34" t="s">
        <v>139</v>
      </c>
      <c r="O365" s="26" t="s">
        <v>869</v>
      </c>
      <c r="P365" s="26" t="s">
        <v>870</v>
      </c>
    </row>
    <row r="366" customFormat="false" ht="15" hidden="false" customHeight="false" outlineLevel="0" collapsed="false">
      <c r="A366" s="38" t="n">
        <v>363</v>
      </c>
      <c r="B366" s="38" t="s">
        <v>865</v>
      </c>
      <c r="C366" s="38" t="s">
        <v>866</v>
      </c>
      <c r="D366" s="38" t="s">
        <v>343</v>
      </c>
      <c r="E366" s="39" t="n">
        <v>106781760</v>
      </c>
      <c r="F366" s="39" t="n">
        <v>0</v>
      </c>
      <c r="G366" s="33" t="n">
        <f aca="false">E366-F366</f>
        <v>106781760</v>
      </c>
      <c r="H366" s="27" t="n">
        <v>46231</v>
      </c>
      <c r="I366" s="38" t="s">
        <v>344</v>
      </c>
      <c r="J366" s="38" t="s">
        <v>981</v>
      </c>
      <c r="K366" s="38" t="s">
        <v>363</v>
      </c>
      <c r="L366" s="38" t="s">
        <v>982</v>
      </c>
      <c r="M366" s="38" t="s">
        <v>315</v>
      </c>
      <c r="N366" s="34" t="s">
        <v>139</v>
      </c>
      <c r="O366" s="26" t="s">
        <v>869</v>
      </c>
      <c r="P366" s="26" t="s">
        <v>877</v>
      </c>
    </row>
    <row r="367" customFormat="false" ht="15" hidden="false" customHeight="false" outlineLevel="0" collapsed="false">
      <c r="A367" s="38" t="n">
        <v>364</v>
      </c>
      <c r="B367" s="38" t="s">
        <v>983</v>
      </c>
      <c r="C367" s="38" t="s">
        <v>984</v>
      </c>
      <c r="D367" s="38" t="s">
        <v>300</v>
      </c>
      <c r="E367" s="39" t="n">
        <v>0</v>
      </c>
      <c r="F367" s="39" t="n">
        <v>19069144</v>
      </c>
      <c r="G367" s="33" t="n">
        <f aca="false">E367-F367</f>
        <v>-19069144</v>
      </c>
      <c r="H367" s="27" t="n">
        <v>46050</v>
      </c>
      <c r="I367" s="38" t="s">
        <v>413</v>
      </c>
      <c r="J367" s="38" t="s">
        <v>867</v>
      </c>
      <c r="K367" s="38" t="s">
        <v>303</v>
      </c>
      <c r="L367" s="38" t="s">
        <v>985</v>
      </c>
      <c r="M367" s="38" t="s">
        <v>297</v>
      </c>
      <c r="N367" s="34" t="s">
        <v>120</v>
      </c>
      <c r="O367" s="26" t="s">
        <v>986</v>
      </c>
      <c r="P367" s="26" t="s">
        <v>870</v>
      </c>
    </row>
    <row r="368" customFormat="false" ht="15" hidden="false" customHeight="false" outlineLevel="0" collapsed="false">
      <c r="A368" s="38" t="n">
        <v>365</v>
      </c>
      <c r="B368" s="38" t="s">
        <v>983</v>
      </c>
      <c r="C368" s="38" t="s">
        <v>984</v>
      </c>
      <c r="D368" s="38" t="s">
        <v>300</v>
      </c>
      <c r="E368" s="39" t="n">
        <v>53364768</v>
      </c>
      <c r="F368" s="39" t="n">
        <v>0</v>
      </c>
      <c r="G368" s="33" t="n">
        <f aca="false">E368-F368</f>
        <v>53364768</v>
      </c>
      <c r="H368" s="27" t="n">
        <v>46051</v>
      </c>
      <c r="I368" s="38" t="s">
        <v>765</v>
      </c>
      <c r="J368" s="38" t="s">
        <v>987</v>
      </c>
      <c r="K368" s="38" t="s">
        <v>363</v>
      </c>
      <c r="L368" s="38" t="s">
        <v>988</v>
      </c>
      <c r="M368" s="38" t="s">
        <v>315</v>
      </c>
      <c r="N368" s="34" t="s">
        <v>120</v>
      </c>
      <c r="O368" s="26" t="s">
        <v>986</v>
      </c>
      <c r="P368" s="26" t="s">
        <v>877</v>
      </c>
    </row>
    <row r="369" customFormat="false" ht="15" hidden="false" customHeight="false" outlineLevel="0" collapsed="false">
      <c r="A369" s="38" t="n">
        <v>366</v>
      </c>
      <c r="B369" s="38" t="s">
        <v>983</v>
      </c>
      <c r="C369" s="38" t="s">
        <v>984</v>
      </c>
      <c r="D369" s="38" t="s">
        <v>300</v>
      </c>
      <c r="E369" s="39" t="n">
        <v>0</v>
      </c>
      <c r="F369" s="39" t="n">
        <v>17158629</v>
      </c>
      <c r="G369" s="33" t="n">
        <f aca="false">E369-F369</f>
        <v>-17158629</v>
      </c>
      <c r="H369" s="27" t="n">
        <v>46072</v>
      </c>
      <c r="I369" s="38" t="s">
        <v>413</v>
      </c>
      <c r="J369" s="38" t="s">
        <v>871</v>
      </c>
      <c r="K369" s="38" t="s">
        <v>303</v>
      </c>
      <c r="L369" s="38" t="s">
        <v>989</v>
      </c>
      <c r="M369" s="38" t="s">
        <v>297</v>
      </c>
      <c r="N369" s="34" t="s">
        <v>120</v>
      </c>
      <c r="O369" s="26" t="s">
        <v>986</v>
      </c>
      <c r="P369" s="26" t="s">
        <v>870</v>
      </c>
    </row>
    <row r="370" customFormat="false" ht="15" hidden="false" customHeight="false" outlineLevel="0" collapsed="false">
      <c r="A370" s="38" t="n">
        <v>367</v>
      </c>
      <c r="B370" s="38" t="s">
        <v>983</v>
      </c>
      <c r="C370" s="38" t="s">
        <v>984</v>
      </c>
      <c r="D370" s="38" t="s">
        <v>300</v>
      </c>
      <c r="E370" s="39" t="n">
        <v>0</v>
      </c>
      <c r="F370" s="39" t="n">
        <v>17158629</v>
      </c>
      <c r="G370" s="33" t="n">
        <f aca="false">E370-F370</f>
        <v>-17158629</v>
      </c>
      <c r="H370" s="27" t="n">
        <v>46099</v>
      </c>
      <c r="I370" s="38" t="s">
        <v>413</v>
      </c>
      <c r="J370" s="38" t="s">
        <v>873</v>
      </c>
      <c r="K370" s="38" t="s">
        <v>303</v>
      </c>
      <c r="L370" s="38" t="s">
        <v>990</v>
      </c>
      <c r="M370" s="38" t="s">
        <v>297</v>
      </c>
      <c r="N370" s="34" t="s">
        <v>120</v>
      </c>
      <c r="O370" s="26" t="s">
        <v>986</v>
      </c>
      <c r="P370" s="26" t="s">
        <v>870</v>
      </c>
    </row>
    <row r="371" customFormat="false" ht="15" hidden="false" customHeight="false" outlineLevel="0" collapsed="false">
      <c r="A371" s="38" t="n">
        <v>368</v>
      </c>
      <c r="B371" s="38" t="s">
        <v>983</v>
      </c>
      <c r="C371" s="38" t="s">
        <v>984</v>
      </c>
      <c r="D371" s="38" t="s">
        <v>300</v>
      </c>
      <c r="E371" s="39" t="n">
        <v>0</v>
      </c>
      <c r="F371" s="39" t="n">
        <v>21110612</v>
      </c>
      <c r="G371" s="33" t="n">
        <f aca="false">E371-F371</f>
        <v>-21110612</v>
      </c>
      <c r="H371" s="27" t="n">
        <v>46134</v>
      </c>
      <c r="I371" s="38" t="s">
        <v>413</v>
      </c>
      <c r="J371" s="38" t="s">
        <v>878</v>
      </c>
      <c r="K371" s="38" t="s">
        <v>303</v>
      </c>
      <c r="L371" s="38" t="s">
        <v>991</v>
      </c>
      <c r="M371" s="38" t="s">
        <v>297</v>
      </c>
      <c r="N371" s="34" t="s">
        <v>120</v>
      </c>
      <c r="O371" s="26" t="s">
        <v>986</v>
      </c>
      <c r="P371" s="26" t="s">
        <v>870</v>
      </c>
    </row>
    <row r="372" customFormat="false" ht="15" hidden="false" customHeight="false" outlineLevel="0" collapsed="false">
      <c r="A372" s="38" t="n">
        <v>369</v>
      </c>
      <c r="B372" s="38" t="s">
        <v>983</v>
      </c>
      <c r="C372" s="38" t="s">
        <v>984</v>
      </c>
      <c r="D372" s="38" t="s">
        <v>300</v>
      </c>
      <c r="E372" s="39" t="n">
        <v>55427870</v>
      </c>
      <c r="F372" s="39" t="n">
        <v>0</v>
      </c>
      <c r="G372" s="33" t="n">
        <f aca="false">E372-F372</f>
        <v>55427870</v>
      </c>
      <c r="H372" s="27" t="n">
        <v>46136</v>
      </c>
      <c r="I372" s="38" t="s">
        <v>765</v>
      </c>
      <c r="J372" s="38" t="s">
        <v>992</v>
      </c>
      <c r="K372" s="38" t="s">
        <v>363</v>
      </c>
      <c r="L372" s="38" t="s">
        <v>993</v>
      </c>
      <c r="M372" s="38" t="s">
        <v>315</v>
      </c>
      <c r="N372" s="34" t="s">
        <v>120</v>
      </c>
      <c r="O372" s="26" t="s">
        <v>986</v>
      </c>
      <c r="P372" s="26" t="s">
        <v>877</v>
      </c>
    </row>
    <row r="373" customFormat="false" ht="15" hidden="false" customHeight="false" outlineLevel="0" collapsed="false">
      <c r="A373" s="38" t="n">
        <v>370</v>
      </c>
      <c r="B373" s="38" t="s">
        <v>983</v>
      </c>
      <c r="C373" s="38" t="s">
        <v>984</v>
      </c>
      <c r="D373" s="38" t="s">
        <v>300</v>
      </c>
      <c r="E373" s="39" t="n">
        <v>0</v>
      </c>
      <c r="F373" s="39" t="n">
        <v>17169742</v>
      </c>
      <c r="G373" s="33" t="n">
        <f aca="false">E373-F373</f>
        <v>-17169742</v>
      </c>
      <c r="H373" s="27" t="n">
        <v>46162</v>
      </c>
      <c r="I373" s="38" t="s">
        <v>413</v>
      </c>
      <c r="J373" s="38" t="s">
        <v>880</v>
      </c>
      <c r="K373" s="38" t="s">
        <v>303</v>
      </c>
      <c r="L373" s="38" t="s">
        <v>994</v>
      </c>
      <c r="M373" s="38" t="s">
        <v>297</v>
      </c>
      <c r="N373" s="34" t="s">
        <v>120</v>
      </c>
      <c r="O373" s="26" t="s">
        <v>986</v>
      </c>
      <c r="P373" s="26" t="s">
        <v>870</v>
      </c>
    </row>
    <row r="374" customFormat="false" ht="15" hidden="false" customHeight="false" outlineLevel="0" collapsed="false">
      <c r="A374" s="38" t="n">
        <v>371</v>
      </c>
      <c r="B374" s="38" t="s">
        <v>983</v>
      </c>
      <c r="C374" s="38" t="s">
        <v>984</v>
      </c>
      <c r="D374" s="38" t="s">
        <v>300</v>
      </c>
      <c r="E374" s="39" t="n">
        <v>0</v>
      </c>
      <c r="F374" s="39" t="n">
        <v>17169742</v>
      </c>
      <c r="G374" s="33" t="n">
        <f aca="false">E374-F374</f>
        <v>-17169742</v>
      </c>
      <c r="H374" s="27" t="n">
        <v>46203</v>
      </c>
      <c r="I374" s="38" t="s">
        <v>413</v>
      </c>
      <c r="J374" s="38" t="s">
        <v>888</v>
      </c>
      <c r="K374" s="38" t="s">
        <v>303</v>
      </c>
      <c r="L374" s="38" t="s">
        <v>995</v>
      </c>
      <c r="M374" s="38" t="s">
        <v>297</v>
      </c>
      <c r="N374" s="34" t="s">
        <v>120</v>
      </c>
      <c r="O374" s="26" t="s">
        <v>986</v>
      </c>
      <c r="P374" s="26" t="s">
        <v>870</v>
      </c>
    </row>
    <row r="375" customFormat="false" ht="15" hidden="false" customHeight="false" outlineLevel="0" collapsed="false">
      <c r="A375" s="38" t="n">
        <v>372</v>
      </c>
      <c r="B375" s="38" t="s">
        <v>983</v>
      </c>
      <c r="C375" s="38" t="s">
        <v>984</v>
      </c>
      <c r="D375" s="38" t="s">
        <v>300</v>
      </c>
      <c r="E375" s="39" t="n">
        <v>0</v>
      </c>
      <c r="F375" s="39" t="n">
        <v>29702366</v>
      </c>
      <c r="G375" s="33" t="n">
        <f aca="false">E375-F375</f>
        <v>-29702366</v>
      </c>
      <c r="H375" s="27" t="n">
        <v>46227</v>
      </c>
      <c r="I375" s="38" t="s">
        <v>413</v>
      </c>
      <c r="J375" s="38" t="s">
        <v>919</v>
      </c>
      <c r="K375" s="38" t="s">
        <v>303</v>
      </c>
      <c r="L375" s="38" t="s">
        <v>996</v>
      </c>
      <c r="M375" s="38" t="s">
        <v>297</v>
      </c>
      <c r="N375" s="34" t="s">
        <v>120</v>
      </c>
      <c r="O375" s="26" t="s">
        <v>986</v>
      </c>
      <c r="P375" s="26" t="s">
        <v>870</v>
      </c>
    </row>
    <row r="376" customFormat="false" ht="15" hidden="false" customHeight="false" outlineLevel="0" collapsed="false">
      <c r="A376" s="38" t="n">
        <v>373</v>
      </c>
      <c r="B376" s="38" t="s">
        <v>983</v>
      </c>
      <c r="C376" s="38" t="s">
        <v>984</v>
      </c>
      <c r="D376" s="38" t="s">
        <v>300</v>
      </c>
      <c r="E376" s="39" t="n">
        <v>64041850</v>
      </c>
      <c r="F376" s="39" t="n">
        <v>0</v>
      </c>
      <c r="G376" s="33" t="n">
        <f aca="false">E376-F376</f>
        <v>64041850</v>
      </c>
      <c r="H376" s="27" t="n">
        <v>46231</v>
      </c>
      <c r="I376" s="38" t="s">
        <v>765</v>
      </c>
      <c r="J376" s="38" t="s">
        <v>997</v>
      </c>
      <c r="K376" s="38" t="s">
        <v>363</v>
      </c>
      <c r="L376" s="38" t="s">
        <v>998</v>
      </c>
      <c r="M376" s="38" t="s">
        <v>315</v>
      </c>
      <c r="N376" s="34" t="s">
        <v>120</v>
      </c>
      <c r="O376" s="26" t="s">
        <v>986</v>
      </c>
      <c r="P376" s="26" t="s">
        <v>877</v>
      </c>
    </row>
    <row r="377" customFormat="false" ht="15" hidden="false" customHeight="false" outlineLevel="0" collapsed="false">
      <c r="A377" s="38" t="n">
        <v>374</v>
      </c>
      <c r="B377" s="38" t="s">
        <v>983</v>
      </c>
      <c r="C377" s="38" t="s">
        <v>984</v>
      </c>
      <c r="D377" s="38" t="s">
        <v>306</v>
      </c>
      <c r="E377" s="39" t="n">
        <v>0</v>
      </c>
      <c r="F377" s="39" t="n">
        <v>13150699</v>
      </c>
      <c r="G377" s="33" t="n">
        <f aca="false">E377-F377</f>
        <v>-13150699</v>
      </c>
      <c r="H377" s="27" t="n">
        <v>46050</v>
      </c>
      <c r="I377" s="38" t="s">
        <v>413</v>
      </c>
      <c r="J377" s="38" t="s">
        <v>867</v>
      </c>
      <c r="K377" s="38" t="s">
        <v>303</v>
      </c>
      <c r="L377" s="38" t="s">
        <v>999</v>
      </c>
      <c r="M377" s="38" t="s">
        <v>297</v>
      </c>
      <c r="N377" s="34" t="s">
        <v>133</v>
      </c>
      <c r="O377" s="26" t="s">
        <v>986</v>
      </c>
      <c r="P377" s="26" t="s">
        <v>870</v>
      </c>
    </row>
    <row r="378" customFormat="false" ht="15" hidden="false" customHeight="false" outlineLevel="0" collapsed="false">
      <c r="A378" s="38" t="n">
        <v>375</v>
      </c>
      <c r="B378" s="38" t="s">
        <v>983</v>
      </c>
      <c r="C378" s="38" t="s">
        <v>984</v>
      </c>
      <c r="D378" s="38" t="s">
        <v>306</v>
      </c>
      <c r="E378" s="39" t="n">
        <v>0</v>
      </c>
      <c r="F378" s="39" t="n">
        <v>8996851</v>
      </c>
      <c r="G378" s="33" t="n">
        <f aca="false">E378-F378</f>
        <v>-8996851</v>
      </c>
      <c r="H378" s="27" t="n">
        <v>46050</v>
      </c>
      <c r="I378" s="38" t="s">
        <v>413</v>
      </c>
      <c r="J378" s="38" t="s">
        <v>867</v>
      </c>
      <c r="K378" s="38" t="s">
        <v>303</v>
      </c>
      <c r="L378" s="38" t="s">
        <v>1000</v>
      </c>
      <c r="M378" s="38" t="s">
        <v>297</v>
      </c>
      <c r="N378" s="34" t="s">
        <v>131</v>
      </c>
      <c r="O378" s="26" t="s">
        <v>986</v>
      </c>
      <c r="P378" s="26" t="s">
        <v>870</v>
      </c>
    </row>
    <row r="379" customFormat="false" ht="15" hidden="false" customHeight="false" outlineLevel="0" collapsed="false">
      <c r="A379" s="38" t="n">
        <v>376</v>
      </c>
      <c r="B379" s="38" t="s">
        <v>983</v>
      </c>
      <c r="C379" s="38" t="s">
        <v>984</v>
      </c>
      <c r="D379" s="38" t="s">
        <v>306</v>
      </c>
      <c r="E379" s="39" t="n">
        <v>0</v>
      </c>
      <c r="F379" s="39" t="n">
        <v>8996851</v>
      </c>
      <c r="G379" s="33" t="n">
        <f aca="false">E379-F379</f>
        <v>-8996851</v>
      </c>
      <c r="H379" s="27" t="n">
        <v>46050</v>
      </c>
      <c r="I379" s="38" t="s">
        <v>413</v>
      </c>
      <c r="J379" s="38" t="s">
        <v>867</v>
      </c>
      <c r="K379" s="38" t="s">
        <v>303</v>
      </c>
      <c r="L379" s="38" t="s">
        <v>1001</v>
      </c>
      <c r="M379" s="38" t="s">
        <v>297</v>
      </c>
      <c r="N379" s="34" t="s">
        <v>130</v>
      </c>
      <c r="O379" s="26" t="s">
        <v>986</v>
      </c>
      <c r="P379" s="26" t="s">
        <v>870</v>
      </c>
    </row>
    <row r="380" customFormat="false" ht="15" hidden="false" customHeight="false" outlineLevel="0" collapsed="false">
      <c r="A380" s="38" t="n">
        <v>377</v>
      </c>
      <c r="B380" s="38" t="s">
        <v>983</v>
      </c>
      <c r="C380" s="38" t="s">
        <v>984</v>
      </c>
      <c r="D380" s="38" t="s">
        <v>306</v>
      </c>
      <c r="E380" s="39" t="n">
        <v>0</v>
      </c>
      <c r="F380" s="39" t="n">
        <v>3315230</v>
      </c>
      <c r="G380" s="33" t="n">
        <f aca="false">E380-F380</f>
        <v>-3315230</v>
      </c>
      <c r="H380" s="27" t="n">
        <v>46050</v>
      </c>
      <c r="I380" s="38" t="s">
        <v>413</v>
      </c>
      <c r="J380" s="38" t="s">
        <v>867</v>
      </c>
      <c r="K380" s="38" t="s">
        <v>303</v>
      </c>
      <c r="L380" s="38" t="s">
        <v>1002</v>
      </c>
      <c r="M380" s="38" t="s">
        <v>297</v>
      </c>
      <c r="N380" s="34" t="s">
        <v>129</v>
      </c>
      <c r="O380" s="26" t="s">
        <v>986</v>
      </c>
      <c r="P380" s="26" t="s">
        <v>870</v>
      </c>
    </row>
    <row r="381" customFormat="false" ht="15" hidden="false" customHeight="false" outlineLevel="0" collapsed="false">
      <c r="A381" s="38" t="n">
        <v>378</v>
      </c>
      <c r="B381" s="38" t="s">
        <v>983</v>
      </c>
      <c r="C381" s="38" t="s">
        <v>984</v>
      </c>
      <c r="D381" s="38" t="s">
        <v>306</v>
      </c>
      <c r="E381" s="39" t="n">
        <v>0</v>
      </c>
      <c r="F381" s="39" t="n">
        <v>3315230</v>
      </c>
      <c r="G381" s="33" t="n">
        <f aca="false">E381-F381</f>
        <v>-3315230</v>
      </c>
      <c r="H381" s="27" t="n">
        <v>46050</v>
      </c>
      <c r="I381" s="38" t="s">
        <v>413</v>
      </c>
      <c r="J381" s="38" t="s">
        <v>867</v>
      </c>
      <c r="K381" s="38" t="s">
        <v>303</v>
      </c>
      <c r="L381" s="38" t="s">
        <v>1003</v>
      </c>
      <c r="M381" s="38" t="s">
        <v>297</v>
      </c>
      <c r="N381" s="34" t="s">
        <v>128</v>
      </c>
      <c r="O381" s="26" t="s">
        <v>986</v>
      </c>
      <c r="P381" s="26" t="s">
        <v>870</v>
      </c>
    </row>
    <row r="382" customFormat="false" ht="15" hidden="false" customHeight="false" outlineLevel="0" collapsed="false">
      <c r="A382" s="38" t="n">
        <v>379</v>
      </c>
      <c r="B382" s="38" t="s">
        <v>983</v>
      </c>
      <c r="C382" s="38" t="s">
        <v>984</v>
      </c>
      <c r="D382" s="38" t="s">
        <v>306</v>
      </c>
      <c r="E382" s="39" t="n">
        <v>0</v>
      </c>
      <c r="F382" s="39" t="n">
        <v>3143760</v>
      </c>
      <c r="G382" s="33" t="n">
        <f aca="false">E382-F382</f>
        <v>-3143760</v>
      </c>
      <c r="H382" s="27" t="n">
        <v>46050</v>
      </c>
      <c r="I382" s="38" t="s">
        <v>413</v>
      </c>
      <c r="J382" s="38" t="s">
        <v>867</v>
      </c>
      <c r="K382" s="38" t="s">
        <v>303</v>
      </c>
      <c r="L382" s="38" t="s">
        <v>1004</v>
      </c>
      <c r="M382" s="38" t="s">
        <v>297</v>
      </c>
      <c r="N382" s="34" t="s">
        <v>132</v>
      </c>
      <c r="O382" s="26" t="s">
        <v>986</v>
      </c>
      <c r="P382" s="26" t="s">
        <v>870</v>
      </c>
    </row>
    <row r="383" customFormat="false" ht="15" hidden="false" customHeight="false" outlineLevel="0" collapsed="false">
      <c r="A383" s="38" t="n">
        <v>380</v>
      </c>
      <c r="B383" s="38" t="s">
        <v>983</v>
      </c>
      <c r="C383" s="38" t="s">
        <v>984</v>
      </c>
      <c r="D383" s="38" t="s">
        <v>306</v>
      </c>
      <c r="E383" s="39" t="n">
        <v>13954010</v>
      </c>
      <c r="F383" s="39" t="n">
        <v>0</v>
      </c>
      <c r="G383" s="33" t="n">
        <f aca="false">E383-F383</f>
        <v>13954010</v>
      </c>
      <c r="H383" s="27" t="n">
        <v>46051</v>
      </c>
      <c r="I383" s="38" t="s">
        <v>301</v>
      </c>
      <c r="J383" s="38" t="s">
        <v>1005</v>
      </c>
      <c r="K383" s="38" t="s">
        <v>363</v>
      </c>
      <c r="L383" s="38" t="s">
        <v>1006</v>
      </c>
      <c r="M383" s="38" t="s">
        <v>315</v>
      </c>
      <c r="N383" s="34" t="s">
        <v>132</v>
      </c>
      <c r="O383" s="26" t="s">
        <v>986</v>
      </c>
      <c r="P383" s="26" t="s">
        <v>877</v>
      </c>
    </row>
    <row r="384" customFormat="false" ht="15" hidden="false" customHeight="false" outlineLevel="0" collapsed="false">
      <c r="A384" s="38" t="n">
        <v>381</v>
      </c>
      <c r="B384" s="38" t="s">
        <v>983</v>
      </c>
      <c r="C384" s="38" t="s">
        <v>984</v>
      </c>
      <c r="D384" s="38" t="s">
        <v>306</v>
      </c>
      <c r="E384" s="39" t="n">
        <v>37721963</v>
      </c>
      <c r="F384" s="39" t="n">
        <v>0</v>
      </c>
      <c r="G384" s="33" t="n">
        <f aca="false">E384-F384</f>
        <v>37721963</v>
      </c>
      <c r="H384" s="27" t="n">
        <v>46051</v>
      </c>
      <c r="I384" s="38" t="s">
        <v>301</v>
      </c>
      <c r="J384" s="38" t="s">
        <v>1007</v>
      </c>
      <c r="K384" s="38" t="s">
        <v>363</v>
      </c>
      <c r="L384" s="38" t="s">
        <v>1008</v>
      </c>
      <c r="M384" s="38" t="s">
        <v>315</v>
      </c>
      <c r="N384" s="34" t="s">
        <v>133</v>
      </c>
      <c r="O384" s="26" t="s">
        <v>986</v>
      </c>
      <c r="P384" s="26" t="s">
        <v>877</v>
      </c>
    </row>
    <row r="385" customFormat="false" ht="15" hidden="false" customHeight="false" outlineLevel="0" collapsed="false">
      <c r="A385" s="38" t="n">
        <v>382</v>
      </c>
      <c r="B385" s="38" t="s">
        <v>983</v>
      </c>
      <c r="C385" s="38" t="s">
        <v>984</v>
      </c>
      <c r="D385" s="38" t="s">
        <v>306</v>
      </c>
      <c r="E385" s="39" t="n">
        <v>13951120</v>
      </c>
      <c r="F385" s="39" t="n">
        <v>0</v>
      </c>
      <c r="G385" s="33" t="n">
        <f aca="false">E385-F385</f>
        <v>13951120</v>
      </c>
      <c r="H385" s="27" t="n">
        <v>46051</v>
      </c>
      <c r="I385" s="38" t="s">
        <v>301</v>
      </c>
      <c r="J385" s="38" t="s">
        <v>1009</v>
      </c>
      <c r="K385" s="38" t="s">
        <v>363</v>
      </c>
      <c r="L385" s="38" t="s">
        <v>1010</v>
      </c>
      <c r="M385" s="38" t="s">
        <v>315</v>
      </c>
      <c r="N385" s="34" t="s">
        <v>129</v>
      </c>
      <c r="O385" s="26" t="s">
        <v>986</v>
      </c>
      <c r="P385" s="26" t="s">
        <v>877</v>
      </c>
    </row>
    <row r="386" customFormat="false" ht="15" hidden="false" customHeight="false" outlineLevel="0" collapsed="false">
      <c r="A386" s="38" t="n">
        <v>383</v>
      </c>
      <c r="B386" s="38" t="s">
        <v>983</v>
      </c>
      <c r="C386" s="38" t="s">
        <v>984</v>
      </c>
      <c r="D386" s="38" t="s">
        <v>306</v>
      </c>
      <c r="E386" s="39" t="n">
        <v>13951120</v>
      </c>
      <c r="F386" s="39" t="n">
        <v>0</v>
      </c>
      <c r="G386" s="33" t="n">
        <f aca="false">E386-F386</f>
        <v>13951120</v>
      </c>
      <c r="H386" s="27" t="n">
        <v>46051</v>
      </c>
      <c r="I386" s="38" t="s">
        <v>301</v>
      </c>
      <c r="J386" s="38" t="s">
        <v>1011</v>
      </c>
      <c r="K386" s="38" t="s">
        <v>363</v>
      </c>
      <c r="L386" s="38" t="s">
        <v>1012</v>
      </c>
      <c r="M386" s="38" t="s">
        <v>315</v>
      </c>
      <c r="N386" s="34" t="s">
        <v>128</v>
      </c>
      <c r="O386" s="26" t="s">
        <v>986</v>
      </c>
      <c r="P386" s="26" t="s">
        <v>877</v>
      </c>
    </row>
    <row r="387" customFormat="false" ht="15" hidden="false" customHeight="false" outlineLevel="0" collapsed="false">
      <c r="A387" s="38" t="n">
        <v>384</v>
      </c>
      <c r="B387" s="38" t="s">
        <v>983</v>
      </c>
      <c r="C387" s="38" t="s">
        <v>984</v>
      </c>
      <c r="D387" s="38" t="s">
        <v>306</v>
      </c>
      <c r="E387" s="39" t="n">
        <v>10049649</v>
      </c>
      <c r="F387" s="39" t="n">
        <v>0</v>
      </c>
      <c r="G387" s="33" t="n">
        <f aca="false">E387-F387</f>
        <v>10049649</v>
      </c>
      <c r="H387" s="27" t="n">
        <v>46051</v>
      </c>
      <c r="I387" s="38" t="s">
        <v>301</v>
      </c>
      <c r="J387" s="38" t="s">
        <v>1013</v>
      </c>
      <c r="K387" s="38" t="s">
        <v>363</v>
      </c>
      <c r="L387" s="38" t="s">
        <v>1014</v>
      </c>
      <c r="M387" s="38" t="s">
        <v>315</v>
      </c>
      <c r="N387" s="34" t="s">
        <v>131</v>
      </c>
      <c r="O387" s="26" t="s">
        <v>986</v>
      </c>
      <c r="P387" s="26" t="s">
        <v>877</v>
      </c>
    </row>
    <row r="388" customFormat="false" ht="15" hidden="false" customHeight="false" outlineLevel="0" collapsed="false">
      <c r="A388" s="38" t="n">
        <v>385</v>
      </c>
      <c r="B388" s="38" t="s">
        <v>983</v>
      </c>
      <c r="C388" s="38" t="s">
        <v>984</v>
      </c>
      <c r="D388" s="38" t="s">
        <v>306</v>
      </c>
      <c r="E388" s="39" t="n">
        <v>10049649</v>
      </c>
      <c r="F388" s="39" t="n">
        <v>0</v>
      </c>
      <c r="G388" s="33" t="n">
        <f aca="false">E388-F388</f>
        <v>10049649</v>
      </c>
      <c r="H388" s="27" t="n">
        <v>46051</v>
      </c>
      <c r="I388" s="38" t="s">
        <v>301</v>
      </c>
      <c r="J388" s="38" t="s">
        <v>1015</v>
      </c>
      <c r="K388" s="38" t="s">
        <v>363</v>
      </c>
      <c r="L388" s="38" t="s">
        <v>1016</v>
      </c>
      <c r="M388" s="38" t="s">
        <v>315</v>
      </c>
      <c r="N388" s="34" t="s">
        <v>130</v>
      </c>
      <c r="O388" s="26" t="s">
        <v>986</v>
      </c>
      <c r="P388" s="26" t="s">
        <v>877</v>
      </c>
    </row>
    <row r="389" customFormat="false" ht="15" hidden="false" customHeight="false" outlineLevel="0" collapsed="false">
      <c r="A389" s="38" t="n">
        <v>386</v>
      </c>
      <c r="B389" s="38" t="s">
        <v>983</v>
      </c>
      <c r="C389" s="38" t="s">
        <v>984</v>
      </c>
      <c r="D389" s="38" t="s">
        <v>306</v>
      </c>
      <c r="E389" s="39" t="n">
        <v>0</v>
      </c>
      <c r="F389" s="39" t="n">
        <v>11643321</v>
      </c>
      <c r="G389" s="33" t="n">
        <f aca="false">E389-F389</f>
        <v>-11643321</v>
      </c>
      <c r="H389" s="27" t="n">
        <v>46072</v>
      </c>
      <c r="I389" s="38" t="s">
        <v>413</v>
      </c>
      <c r="J389" s="38" t="s">
        <v>871</v>
      </c>
      <c r="K389" s="38" t="s">
        <v>303</v>
      </c>
      <c r="L389" s="38" t="s">
        <v>1017</v>
      </c>
      <c r="M389" s="38" t="s">
        <v>297</v>
      </c>
      <c r="N389" s="34" t="s">
        <v>133</v>
      </c>
      <c r="O389" s="26" t="s">
        <v>986</v>
      </c>
      <c r="P389" s="26" t="s">
        <v>870</v>
      </c>
    </row>
    <row r="390" customFormat="false" ht="15" hidden="false" customHeight="false" outlineLevel="0" collapsed="false">
      <c r="A390" s="38" t="n">
        <v>387</v>
      </c>
      <c r="B390" s="38" t="s">
        <v>983</v>
      </c>
      <c r="C390" s="38" t="s">
        <v>984</v>
      </c>
      <c r="D390" s="38" t="s">
        <v>306</v>
      </c>
      <c r="E390" s="39" t="n">
        <v>0</v>
      </c>
      <c r="F390" s="39" t="n">
        <v>480943</v>
      </c>
      <c r="G390" s="33" t="n">
        <f aca="false">E390-F390</f>
        <v>-480943</v>
      </c>
      <c r="H390" s="27" t="n">
        <v>46072</v>
      </c>
      <c r="I390" s="38" t="s">
        <v>413</v>
      </c>
      <c r="J390" s="38" t="s">
        <v>871</v>
      </c>
      <c r="K390" s="38" t="s">
        <v>303</v>
      </c>
      <c r="L390" s="38" t="s">
        <v>1018</v>
      </c>
      <c r="M390" s="38" t="s">
        <v>297</v>
      </c>
      <c r="N390" s="34" t="s">
        <v>131</v>
      </c>
      <c r="O390" s="26" t="s">
        <v>986</v>
      </c>
      <c r="P390" s="26" t="s">
        <v>870</v>
      </c>
    </row>
    <row r="391" customFormat="false" ht="15" hidden="false" customHeight="false" outlineLevel="0" collapsed="false">
      <c r="A391" s="38" t="n">
        <v>388</v>
      </c>
      <c r="B391" s="38" t="s">
        <v>983</v>
      </c>
      <c r="C391" s="38" t="s">
        <v>984</v>
      </c>
      <c r="D391" s="38" t="s">
        <v>306</v>
      </c>
      <c r="E391" s="39" t="n">
        <v>0</v>
      </c>
      <c r="F391" s="39" t="n">
        <v>480943</v>
      </c>
      <c r="G391" s="33" t="n">
        <f aca="false">E391-F391</f>
        <v>-480943</v>
      </c>
      <c r="H391" s="27" t="n">
        <v>46072</v>
      </c>
      <c r="I391" s="38" t="s">
        <v>413</v>
      </c>
      <c r="J391" s="38" t="s">
        <v>871</v>
      </c>
      <c r="K391" s="38" t="s">
        <v>303</v>
      </c>
      <c r="L391" s="38" t="s">
        <v>1019</v>
      </c>
      <c r="M391" s="38" t="s">
        <v>297</v>
      </c>
      <c r="N391" s="34" t="s">
        <v>130</v>
      </c>
      <c r="O391" s="26" t="s">
        <v>986</v>
      </c>
      <c r="P391" s="26" t="s">
        <v>870</v>
      </c>
    </row>
    <row r="392" customFormat="false" ht="15" hidden="false" customHeight="false" outlineLevel="0" collapsed="false">
      <c r="A392" s="38" t="n">
        <v>389</v>
      </c>
      <c r="B392" s="38" t="s">
        <v>983</v>
      </c>
      <c r="C392" s="38" t="s">
        <v>984</v>
      </c>
      <c r="D392" s="38" t="s">
        <v>306</v>
      </c>
      <c r="E392" s="39" t="n">
        <v>0</v>
      </c>
      <c r="F392" s="39" t="n">
        <v>5089087</v>
      </c>
      <c r="G392" s="33" t="n">
        <f aca="false">E392-F392</f>
        <v>-5089087</v>
      </c>
      <c r="H392" s="27" t="n">
        <v>46072</v>
      </c>
      <c r="I392" s="38" t="s">
        <v>413</v>
      </c>
      <c r="J392" s="38" t="s">
        <v>871</v>
      </c>
      <c r="K392" s="38" t="s">
        <v>303</v>
      </c>
      <c r="L392" s="38" t="s">
        <v>1020</v>
      </c>
      <c r="M392" s="38" t="s">
        <v>297</v>
      </c>
      <c r="N392" s="34" t="s">
        <v>129</v>
      </c>
      <c r="O392" s="26" t="s">
        <v>986</v>
      </c>
      <c r="P392" s="26" t="s">
        <v>870</v>
      </c>
    </row>
    <row r="393" customFormat="false" ht="15" hidden="false" customHeight="false" outlineLevel="0" collapsed="false">
      <c r="A393" s="38" t="n">
        <v>390</v>
      </c>
      <c r="B393" s="38" t="s">
        <v>983</v>
      </c>
      <c r="C393" s="38" t="s">
        <v>984</v>
      </c>
      <c r="D393" s="38" t="s">
        <v>306</v>
      </c>
      <c r="E393" s="39" t="n">
        <v>0</v>
      </c>
      <c r="F393" s="39" t="n">
        <v>5089087</v>
      </c>
      <c r="G393" s="33" t="n">
        <f aca="false">E393-F393</f>
        <v>-5089087</v>
      </c>
      <c r="H393" s="27" t="n">
        <v>46072</v>
      </c>
      <c r="I393" s="38" t="s">
        <v>413</v>
      </c>
      <c r="J393" s="38" t="s">
        <v>871</v>
      </c>
      <c r="K393" s="38" t="s">
        <v>303</v>
      </c>
      <c r="L393" s="38" t="s">
        <v>1021</v>
      </c>
      <c r="M393" s="38" t="s">
        <v>297</v>
      </c>
      <c r="N393" s="34" t="s">
        <v>128</v>
      </c>
      <c r="O393" s="26" t="s">
        <v>986</v>
      </c>
      <c r="P393" s="26" t="s">
        <v>870</v>
      </c>
    </row>
    <row r="394" customFormat="false" ht="15" hidden="false" customHeight="false" outlineLevel="0" collapsed="false">
      <c r="A394" s="38" t="n">
        <v>391</v>
      </c>
      <c r="B394" s="38" t="s">
        <v>983</v>
      </c>
      <c r="C394" s="38" t="s">
        <v>984</v>
      </c>
      <c r="D394" s="38" t="s">
        <v>306</v>
      </c>
      <c r="E394" s="39" t="n">
        <v>0</v>
      </c>
      <c r="F394" s="39" t="n">
        <v>5173580</v>
      </c>
      <c r="G394" s="33" t="n">
        <f aca="false">E394-F394</f>
        <v>-5173580</v>
      </c>
      <c r="H394" s="27" t="n">
        <v>46072</v>
      </c>
      <c r="I394" s="38" t="s">
        <v>413</v>
      </c>
      <c r="J394" s="38" t="s">
        <v>871</v>
      </c>
      <c r="K394" s="38" t="s">
        <v>303</v>
      </c>
      <c r="L394" s="38" t="s">
        <v>1022</v>
      </c>
      <c r="M394" s="38" t="s">
        <v>297</v>
      </c>
      <c r="N394" s="34" t="s">
        <v>132</v>
      </c>
      <c r="O394" s="26" t="s">
        <v>986</v>
      </c>
      <c r="P394" s="26" t="s">
        <v>870</v>
      </c>
    </row>
    <row r="395" customFormat="false" ht="15" hidden="false" customHeight="false" outlineLevel="0" collapsed="false">
      <c r="A395" s="38" t="n">
        <v>392</v>
      </c>
      <c r="B395" s="38" t="s">
        <v>983</v>
      </c>
      <c r="C395" s="38" t="s">
        <v>984</v>
      </c>
      <c r="D395" s="38" t="s">
        <v>306</v>
      </c>
      <c r="E395" s="39" t="n">
        <v>0</v>
      </c>
      <c r="F395" s="39" t="n">
        <v>11643321</v>
      </c>
      <c r="G395" s="33" t="n">
        <f aca="false">E395-F395</f>
        <v>-11643321</v>
      </c>
      <c r="H395" s="27" t="n">
        <v>46099</v>
      </c>
      <c r="I395" s="38" t="s">
        <v>413</v>
      </c>
      <c r="J395" s="38" t="s">
        <v>873</v>
      </c>
      <c r="K395" s="38" t="s">
        <v>303</v>
      </c>
      <c r="L395" s="38" t="s">
        <v>1023</v>
      </c>
      <c r="M395" s="38" t="s">
        <v>297</v>
      </c>
      <c r="N395" s="34" t="s">
        <v>133</v>
      </c>
      <c r="O395" s="26" t="s">
        <v>986</v>
      </c>
      <c r="P395" s="26" t="s">
        <v>870</v>
      </c>
    </row>
    <row r="396" customFormat="false" ht="15" hidden="false" customHeight="false" outlineLevel="0" collapsed="false">
      <c r="A396" s="38" t="n">
        <v>393</v>
      </c>
      <c r="B396" s="38" t="s">
        <v>983</v>
      </c>
      <c r="C396" s="38" t="s">
        <v>984</v>
      </c>
      <c r="D396" s="38" t="s">
        <v>306</v>
      </c>
      <c r="E396" s="39" t="n">
        <v>0</v>
      </c>
      <c r="F396" s="39" t="n">
        <v>480943</v>
      </c>
      <c r="G396" s="33" t="n">
        <f aca="false">E396-F396</f>
        <v>-480943</v>
      </c>
      <c r="H396" s="27" t="n">
        <v>46099</v>
      </c>
      <c r="I396" s="38" t="s">
        <v>413</v>
      </c>
      <c r="J396" s="38" t="s">
        <v>873</v>
      </c>
      <c r="K396" s="38" t="s">
        <v>303</v>
      </c>
      <c r="L396" s="38" t="s">
        <v>1024</v>
      </c>
      <c r="M396" s="38" t="s">
        <v>297</v>
      </c>
      <c r="N396" s="34" t="s">
        <v>131</v>
      </c>
      <c r="O396" s="26" t="s">
        <v>986</v>
      </c>
      <c r="P396" s="26" t="s">
        <v>870</v>
      </c>
    </row>
    <row r="397" customFormat="false" ht="15" hidden="false" customHeight="false" outlineLevel="0" collapsed="false">
      <c r="A397" s="38" t="n">
        <v>394</v>
      </c>
      <c r="B397" s="38" t="s">
        <v>983</v>
      </c>
      <c r="C397" s="38" t="s">
        <v>984</v>
      </c>
      <c r="D397" s="38" t="s">
        <v>306</v>
      </c>
      <c r="E397" s="39" t="n">
        <v>0</v>
      </c>
      <c r="F397" s="39" t="n">
        <v>480943</v>
      </c>
      <c r="G397" s="33" t="n">
        <f aca="false">E397-F397</f>
        <v>-480943</v>
      </c>
      <c r="H397" s="27" t="n">
        <v>46099</v>
      </c>
      <c r="I397" s="38" t="s">
        <v>413</v>
      </c>
      <c r="J397" s="38" t="s">
        <v>873</v>
      </c>
      <c r="K397" s="38" t="s">
        <v>303</v>
      </c>
      <c r="L397" s="38" t="s">
        <v>1025</v>
      </c>
      <c r="M397" s="38" t="s">
        <v>297</v>
      </c>
      <c r="N397" s="34" t="s">
        <v>130</v>
      </c>
      <c r="O397" s="26" t="s">
        <v>986</v>
      </c>
      <c r="P397" s="26" t="s">
        <v>870</v>
      </c>
    </row>
    <row r="398" customFormat="false" ht="15" hidden="false" customHeight="false" outlineLevel="0" collapsed="false">
      <c r="A398" s="38" t="n">
        <v>395</v>
      </c>
      <c r="B398" s="38" t="s">
        <v>983</v>
      </c>
      <c r="C398" s="38" t="s">
        <v>984</v>
      </c>
      <c r="D398" s="38" t="s">
        <v>306</v>
      </c>
      <c r="E398" s="39" t="n">
        <v>0</v>
      </c>
      <c r="F398" s="39" t="n">
        <v>5089087</v>
      </c>
      <c r="G398" s="33" t="n">
        <f aca="false">E398-F398</f>
        <v>-5089087</v>
      </c>
      <c r="H398" s="27" t="n">
        <v>46099</v>
      </c>
      <c r="I398" s="38" t="s">
        <v>413</v>
      </c>
      <c r="J398" s="38" t="s">
        <v>873</v>
      </c>
      <c r="K398" s="38" t="s">
        <v>303</v>
      </c>
      <c r="L398" s="38" t="s">
        <v>1026</v>
      </c>
      <c r="M398" s="38" t="s">
        <v>297</v>
      </c>
      <c r="N398" s="34" t="s">
        <v>129</v>
      </c>
      <c r="O398" s="26" t="s">
        <v>986</v>
      </c>
      <c r="P398" s="26" t="s">
        <v>870</v>
      </c>
    </row>
    <row r="399" customFormat="false" ht="15" hidden="false" customHeight="false" outlineLevel="0" collapsed="false">
      <c r="A399" s="38" t="n">
        <v>396</v>
      </c>
      <c r="B399" s="38" t="s">
        <v>983</v>
      </c>
      <c r="C399" s="38" t="s">
        <v>984</v>
      </c>
      <c r="D399" s="38" t="s">
        <v>306</v>
      </c>
      <c r="E399" s="39" t="n">
        <v>0</v>
      </c>
      <c r="F399" s="39" t="n">
        <v>5089087</v>
      </c>
      <c r="G399" s="33" t="n">
        <f aca="false">E399-F399</f>
        <v>-5089087</v>
      </c>
      <c r="H399" s="27" t="n">
        <v>46099</v>
      </c>
      <c r="I399" s="38" t="s">
        <v>413</v>
      </c>
      <c r="J399" s="38" t="s">
        <v>873</v>
      </c>
      <c r="K399" s="38" t="s">
        <v>303</v>
      </c>
      <c r="L399" s="38" t="s">
        <v>1027</v>
      </c>
      <c r="M399" s="38" t="s">
        <v>297</v>
      </c>
      <c r="N399" s="34" t="s">
        <v>128</v>
      </c>
      <c r="O399" s="26" t="s">
        <v>986</v>
      </c>
      <c r="P399" s="26" t="s">
        <v>870</v>
      </c>
    </row>
    <row r="400" customFormat="false" ht="15" hidden="false" customHeight="false" outlineLevel="0" collapsed="false">
      <c r="A400" s="38" t="n">
        <v>397</v>
      </c>
      <c r="B400" s="38" t="s">
        <v>983</v>
      </c>
      <c r="C400" s="38" t="s">
        <v>984</v>
      </c>
      <c r="D400" s="38" t="s">
        <v>306</v>
      </c>
      <c r="E400" s="39" t="n">
        <v>0</v>
      </c>
      <c r="F400" s="39" t="n">
        <v>5173580</v>
      </c>
      <c r="G400" s="33" t="n">
        <f aca="false">E400-F400</f>
        <v>-5173580</v>
      </c>
      <c r="H400" s="27" t="n">
        <v>46099</v>
      </c>
      <c r="I400" s="38" t="s">
        <v>413</v>
      </c>
      <c r="J400" s="38" t="s">
        <v>873</v>
      </c>
      <c r="K400" s="38" t="s">
        <v>303</v>
      </c>
      <c r="L400" s="38" t="s">
        <v>1028</v>
      </c>
      <c r="M400" s="38" t="s">
        <v>297</v>
      </c>
      <c r="N400" s="34" t="s">
        <v>132</v>
      </c>
      <c r="O400" s="26" t="s">
        <v>986</v>
      </c>
      <c r="P400" s="26" t="s">
        <v>870</v>
      </c>
    </row>
    <row r="401" customFormat="false" ht="15" hidden="false" customHeight="false" outlineLevel="0" collapsed="false">
      <c r="A401" s="38" t="n">
        <v>398</v>
      </c>
      <c r="B401" s="38" t="s">
        <v>983</v>
      </c>
      <c r="C401" s="38" t="s">
        <v>984</v>
      </c>
      <c r="D401" s="38" t="s">
        <v>306</v>
      </c>
      <c r="E401" s="39" t="n">
        <v>0</v>
      </c>
      <c r="F401" s="39" t="n">
        <v>13496414</v>
      </c>
      <c r="G401" s="33" t="n">
        <f aca="false">E401-F401</f>
        <v>-13496414</v>
      </c>
      <c r="H401" s="27" t="n">
        <v>46134</v>
      </c>
      <c r="I401" s="38" t="s">
        <v>413</v>
      </c>
      <c r="J401" s="38" t="s">
        <v>878</v>
      </c>
      <c r="K401" s="38" t="s">
        <v>303</v>
      </c>
      <c r="L401" s="38" t="s">
        <v>1029</v>
      </c>
      <c r="M401" s="38" t="s">
        <v>297</v>
      </c>
      <c r="N401" s="34" t="s">
        <v>133</v>
      </c>
      <c r="O401" s="26" t="s">
        <v>986</v>
      </c>
      <c r="P401" s="26" t="s">
        <v>870</v>
      </c>
    </row>
    <row r="402" customFormat="false" ht="15" hidden="false" customHeight="false" outlineLevel="0" collapsed="false">
      <c r="A402" s="38" t="n">
        <v>399</v>
      </c>
      <c r="B402" s="38" t="s">
        <v>983</v>
      </c>
      <c r="C402" s="38" t="s">
        <v>984</v>
      </c>
      <c r="D402" s="38" t="s">
        <v>306</v>
      </c>
      <c r="E402" s="39" t="n">
        <v>0</v>
      </c>
      <c r="F402" s="39" t="n">
        <v>8602544</v>
      </c>
      <c r="G402" s="33" t="n">
        <f aca="false">E402-F402</f>
        <v>-8602544</v>
      </c>
      <c r="H402" s="27" t="n">
        <v>46134</v>
      </c>
      <c r="I402" s="38" t="s">
        <v>413</v>
      </c>
      <c r="J402" s="38" t="s">
        <v>878</v>
      </c>
      <c r="K402" s="38" t="s">
        <v>303</v>
      </c>
      <c r="L402" s="38" t="s">
        <v>1030</v>
      </c>
      <c r="M402" s="38" t="s">
        <v>297</v>
      </c>
      <c r="N402" s="34" t="s">
        <v>131</v>
      </c>
      <c r="O402" s="26" t="s">
        <v>986</v>
      </c>
      <c r="P402" s="26" t="s">
        <v>870</v>
      </c>
    </row>
    <row r="403" customFormat="false" ht="15" hidden="false" customHeight="false" outlineLevel="0" collapsed="false">
      <c r="A403" s="38" t="n">
        <v>400</v>
      </c>
      <c r="B403" s="38" t="s">
        <v>983</v>
      </c>
      <c r="C403" s="38" t="s">
        <v>984</v>
      </c>
      <c r="D403" s="38" t="s">
        <v>306</v>
      </c>
      <c r="E403" s="39" t="n">
        <v>0</v>
      </c>
      <c r="F403" s="39" t="n">
        <v>8602544</v>
      </c>
      <c r="G403" s="33" t="n">
        <f aca="false">E403-F403</f>
        <v>-8602544</v>
      </c>
      <c r="H403" s="27" t="n">
        <v>46134</v>
      </c>
      <c r="I403" s="38" t="s">
        <v>413</v>
      </c>
      <c r="J403" s="38" t="s">
        <v>878</v>
      </c>
      <c r="K403" s="38" t="s">
        <v>303</v>
      </c>
      <c r="L403" s="38" t="s">
        <v>1031</v>
      </c>
      <c r="M403" s="38" t="s">
        <v>297</v>
      </c>
      <c r="N403" s="34" t="s">
        <v>130</v>
      </c>
      <c r="O403" s="26" t="s">
        <v>986</v>
      </c>
      <c r="P403" s="26" t="s">
        <v>870</v>
      </c>
    </row>
    <row r="404" customFormat="false" ht="15" hidden="false" customHeight="false" outlineLevel="0" collapsed="false">
      <c r="A404" s="38" t="n">
        <v>401</v>
      </c>
      <c r="B404" s="38" t="s">
        <v>983</v>
      </c>
      <c r="C404" s="38" t="s">
        <v>984</v>
      </c>
      <c r="D404" s="38" t="s">
        <v>306</v>
      </c>
      <c r="E404" s="39" t="n">
        <v>0</v>
      </c>
      <c r="F404" s="39" t="n">
        <v>3456411</v>
      </c>
      <c r="G404" s="33" t="n">
        <f aca="false">E404-F404</f>
        <v>-3456411</v>
      </c>
      <c r="H404" s="27" t="n">
        <v>46134</v>
      </c>
      <c r="I404" s="38" t="s">
        <v>413</v>
      </c>
      <c r="J404" s="38" t="s">
        <v>878</v>
      </c>
      <c r="K404" s="38" t="s">
        <v>303</v>
      </c>
      <c r="L404" s="38" t="s">
        <v>1032</v>
      </c>
      <c r="M404" s="38" t="s">
        <v>297</v>
      </c>
      <c r="N404" s="34" t="s">
        <v>129</v>
      </c>
      <c r="O404" s="26" t="s">
        <v>986</v>
      </c>
      <c r="P404" s="26" t="s">
        <v>870</v>
      </c>
    </row>
    <row r="405" customFormat="false" ht="15" hidden="false" customHeight="false" outlineLevel="0" collapsed="false">
      <c r="A405" s="38" t="n">
        <v>402</v>
      </c>
      <c r="B405" s="38" t="s">
        <v>983</v>
      </c>
      <c r="C405" s="38" t="s">
        <v>984</v>
      </c>
      <c r="D405" s="38" t="s">
        <v>306</v>
      </c>
      <c r="E405" s="39" t="n">
        <v>0</v>
      </c>
      <c r="F405" s="39" t="n">
        <v>3456411</v>
      </c>
      <c r="G405" s="33" t="n">
        <f aca="false">E405-F405</f>
        <v>-3456411</v>
      </c>
      <c r="H405" s="27" t="n">
        <v>46134</v>
      </c>
      <c r="I405" s="38" t="s">
        <v>413</v>
      </c>
      <c r="J405" s="38" t="s">
        <v>878</v>
      </c>
      <c r="K405" s="38" t="s">
        <v>303</v>
      </c>
      <c r="L405" s="38" t="s">
        <v>1033</v>
      </c>
      <c r="M405" s="38" t="s">
        <v>297</v>
      </c>
      <c r="N405" s="34" t="s">
        <v>128</v>
      </c>
      <c r="O405" s="26" t="s">
        <v>986</v>
      </c>
      <c r="P405" s="26" t="s">
        <v>870</v>
      </c>
    </row>
    <row r="406" customFormat="false" ht="15" hidden="false" customHeight="false" outlineLevel="0" collapsed="false">
      <c r="A406" s="38" t="n">
        <v>403</v>
      </c>
      <c r="B406" s="38" t="s">
        <v>983</v>
      </c>
      <c r="C406" s="38" t="s">
        <v>984</v>
      </c>
      <c r="D406" s="38" t="s">
        <v>306</v>
      </c>
      <c r="E406" s="39" t="n">
        <v>0</v>
      </c>
      <c r="F406" s="39" t="n">
        <v>3290250</v>
      </c>
      <c r="G406" s="33" t="n">
        <f aca="false">E406-F406</f>
        <v>-3290250</v>
      </c>
      <c r="H406" s="27" t="n">
        <v>46134</v>
      </c>
      <c r="I406" s="38" t="s">
        <v>413</v>
      </c>
      <c r="J406" s="38" t="s">
        <v>878</v>
      </c>
      <c r="K406" s="38" t="s">
        <v>303</v>
      </c>
      <c r="L406" s="38" t="s">
        <v>1034</v>
      </c>
      <c r="M406" s="38" t="s">
        <v>297</v>
      </c>
      <c r="N406" s="34" t="s">
        <v>132</v>
      </c>
      <c r="O406" s="26" t="s">
        <v>986</v>
      </c>
      <c r="P406" s="26" t="s">
        <v>870</v>
      </c>
    </row>
    <row r="407" customFormat="false" ht="15" hidden="false" customHeight="false" outlineLevel="0" collapsed="false">
      <c r="A407" s="38" t="n">
        <v>404</v>
      </c>
      <c r="B407" s="38" t="s">
        <v>983</v>
      </c>
      <c r="C407" s="38" t="s">
        <v>984</v>
      </c>
      <c r="D407" s="38" t="s">
        <v>306</v>
      </c>
      <c r="E407" s="39" t="n">
        <v>9564430</v>
      </c>
      <c r="F407" s="39" t="n">
        <v>0</v>
      </c>
      <c r="G407" s="33" t="n">
        <f aca="false">E407-F407</f>
        <v>9564430</v>
      </c>
      <c r="H407" s="27" t="n">
        <v>46136</v>
      </c>
      <c r="I407" s="38" t="s">
        <v>301</v>
      </c>
      <c r="J407" s="38" t="s">
        <v>1035</v>
      </c>
      <c r="K407" s="38" t="s">
        <v>363</v>
      </c>
      <c r="L407" s="38" t="s">
        <v>1036</v>
      </c>
      <c r="M407" s="38" t="s">
        <v>315</v>
      </c>
      <c r="N407" s="34" t="s">
        <v>130</v>
      </c>
      <c r="O407" s="26" t="s">
        <v>986</v>
      </c>
      <c r="P407" s="26" t="s">
        <v>877</v>
      </c>
    </row>
    <row r="408" customFormat="false" ht="15" hidden="false" customHeight="false" outlineLevel="0" collapsed="false">
      <c r="A408" s="38" t="n">
        <v>405</v>
      </c>
      <c r="B408" s="38" t="s">
        <v>983</v>
      </c>
      <c r="C408" s="38" t="s">
        <v>984</v>
      </c>
      <c r="D408" s="38" t="s">
        <v>306</v>
      </c>
      <c r="E408" s="39" t="n">
        <v>13637410</v>
      </c>
      <c r="F408" s="39" t="n">
        <v>0</v>
      </c>
      <c r="G408" s="33" t="n">
        <f aca="false">E408-F408</f>
        <v>13637410</v>
      </c>
      <c r="H408" s="27" t="n">
        <v>46136</v>
      </c>
      <c r="I408" s="38" t="s">
        <v>301</v>
      </c>
      <c r="J408" s="38" t="s">
        <v>1037</v>
      </c>
      <c r="K408" s="38" t="s">
        <v>363</v>
      </c>
      <c r="L408" s="38" t="s">
        <v>1038</v>
      </c>
      <c r="M408" s="38" t="s">
        <v>315</v>
      </c>
      <c r="N408" s="34" t="s">
        <v>132</v>
      </c>
      <c r="O408" s="26" t="s">
        <v>986</v>
      </c>
      <c r="P408" s="26" t="s">
        <v>877</v>
      </c>
    </row>
    <row r="409" customFormat="false" ht="15" hidden="false" customHeight="false" outlineLevel="0" collapsed="false">
      <c r="A409" s="38" t="n">
        <v>406</v>
      </c>
      <c r="B409" s="38" t="s">
        <v>983</v>
      </c>
      <c r="C409" s="38" t="s">
        <v>984</v>
      </c>
      <c r="D409" s="38" t="s">
        <v>306</v>
      </c>
      <c r="E409" s="39" t="n">
        <v>36783056</v>
      </c>
      <c r="F409" s="39" t="n">
        <v>0</v>
      </c>
      <c r="G409" s="33" t="n">
        <f aca="false">E409-F409</f>
        <v>36783056</v>
      </c>
      <c r="H409" s="27" t="n">
        <v>46136</v>
      </c>
      <c r="I409" s="38" t="s">
        <v>301</v>
      </c>
      <c r="J409" s="38" t="s">
        <v>1039</v>
      </c>
      <c r="K409" s="38" t="s">
        <v>363</v>
      </c>
      <c r="L409" s="38" t="s">
        <v>1040</v>
      </c>
      <c r="M409" s="38" t="s">
        <v>315</v>
      </c>
      <c r="N409" s="34" t="s">
        <v>133</v>
      </c>
      <c r="O409" s="26" t="s">
        <v>986</v>
      </c>
      <c r="P409" s="26" t="s">
        <v>877</v>
      </c>
    </row>
    <row r="410" customFormat="false" ht="15" hidden="false" customHeight="false" outlineLevel="0" collapsed="false">
      <c r="A410" s="38" t="n">
        <v>407</v>
      </c>
      <c r="B410" s="38" t="s">
        <v>983</v>
      </c>
      <c r="C410" s="38" t="s">
        <v>984</v>
      </c>
      <c r="D410" s="38" t="s">
        <v>306</v>
      </c>
      <c r="E410" s="39" t="n">
        <v>13634585</v>
      </c>
      <c r="F410" s="39" t="n">
        <v>0</v>
      </c>
      <c r="G410" s="33" t="n">
        <f aca="false">E410-F410</f>
        <v>13634585</v>
      </c>
      <c r="H410" s="27" t="n">
        <v>46136</v>
      </c>
      <c r="I410" s="38" t="s">
        <v>301</v>
      </c>
      <c r="J410" s="38" t="s">
        <v>1041</v>
      </c>
      <c r="K410" s="38" t="s">
        <v>363</v>
      </c>
      <c r="L410" s="38" t="s">
        <v>1042</v>
      </c>
      <c r="M410" s="38" t="s">
        <v>315</v>
      </c>
      <c r="N410" s="34" t="s">
        <v>129</v>
      </c>
      <c r="O410" s="26" t="s">
        <v>986</v>
      </c>
      <c r="P410" s="26" t="s">
        <v>877</v>
      </c>
    </row>
    <row r="411" customFormat="false" ht="15" hidden="false" customHeight="false" outlineLevel="0" collapsed="false">
      <c r="A411" s="38" t="n">
        <v>408</v>
      </c>
      <c r="B411" s="38" t="s">
        <v>983</v>
      </c>
      <c r="C411" s="38" t="s">
        <v>984</v>
      </c>
      <c r="D411" s="38" t="s">
        <v>306</v>
      </c>
      <c r="E411" s="39" t="n">
        <v>13634585</v>
      </c>
      <c r="F411" s="39" t="n">
        <v>0</v>
      </c>
      <c r="G411" s="33" t="n">
        <f aca="false">E411-F411</f>
        <v>13634585</v>
      </c>
      <c r="H411" s="27" t="n">
        <v>46136</v>
      </c>
      <c r="I411" s="38" t="s">
        <v>301</v>
      </c>
      <c r="J411" s="38" t="s">
        <v>1043</v>
      </c>
      <c r="K411" s="38" t="s">
        <v>363</v>
      </c>
      <c r="L411" s="38" t="s">
        <v>1044</v>
      </c>
      <c r="M411" s="38" t="s">
        <v>315</v>
      </c>
      <c r="N411" s="34" t="s">
        <v>128</v>
      </c>
      <c r="O411" s="26" t="s">
        <v>986</v>
      </c>
      <c r="P411" s="26" t="s">
        <v>877</v>
      </c>
    </row>
    <row r="412" customFormat="false" ht="15" hidden="false" customHeight="false" outlineLevel="0" collapsed="false">
      <c r="A412" s="38" t="n">
        <v>409</v>
      </c>
      <c r="B412" s="38" t="s">
        <v>983</v>
      </c>
      <c r="C412" s="38" t="s">
        <v>984</v>
      </c>
      <c r="D412" s="38" t="s">
        <v>306</v>
      </c>
      <c r="E412" s="39" t="n">
        <v>9564430</v>
      </c>
      <c r="F412" s="39" t="n">
        <v>0</v>
      </c>
      <c r="G412" s="33" t="n">
        <f aca="false">E412-F412</f>
        <v>9564430</v>
      </c>
      <c r="H412" s="27" t="n">
        <v>46136</v>
      </c>
      <c r="I412" s="38" t="s">
        <v>301</v>
      </c>
      <c r="J412" s="38" t="s">
        <v>1045</v>
      </c>
      <c r="K412" s="38" t="s">
        <v>363</v>
      </c>
      <c r="L412" s="38" t="s">
        <v>1046</v>
      </c>
      <c r="M412" s="38" t="s">
        <v>315</v>
      </c>
      <c r="N412" s="34" t="s">
        <v>131</v>
      </c>
      <c r="O412" s="26" t="s">
        <v>986</v>
      </c>
      <c r="P412" s="26" t="s">
        <v>877</v>
      </c>
    </row>
    <row r="413" customFormat="false" ht="15" hidden="false" customHeight="false" outlineLevel="0" collapsed="false">
      <c r="A413" s="38" t="n">
        <v>410</v>
      </c>
      <c r="B413" s="38" t="s">
        <v>983</v>
      </c>
      <c r="C413" s="38" t="s">
        <v>984</v>
      </c>
      <c r="D413" s="38" t="s">
        <v>306</v>
      </c>
      <c r="E413" s="39" t="n">
        <v>0</v>
      </c>
      <c r="F413" s="39" t="n">
        <v>10980527</v>
      </c>
      <c r="G413" s="33" t="n">
        <f aca="false">E413-F413</f>
        <v>-10980527</v>
      </c>
      <c r="H413" s="27" t="n">
        <v>46162</v>
      </c>
      <c r="I413" s="38" t="s">
        <v>413</v>
      </c>
      <c r="J413" s="38" t="s">
        <v>880</v>
      </c>
      <c r="K413" s="38" t="s">
        <v>303</v>
      </c>
      <c r="L413" s="38" t="s">
        <v>1047</v>
      </c>
      <c r="M413" s="38" t="s">
        <v>297</v>
      </c>
      <c r="N413" s="34" t="s">
        <v>133</v>
      </c>
      <c r="O413" s="26" t="s">
        <v>986</v>
      </c>
      <c r="P413" s="26" t="s">
        <v>870</v>
      </c>
    </row>
    <row r="414" customFormat="false" ht="15" hidden="false" customHeight="false" outlineLevel="0" collapsed="false">
      <c r="A414" s="38" t="n">
        <v>411</v>
      </c>
      <c r="B414" s="38" t="s">
        <v>983</v>
      </c>
      <c r="C414" s="38" t="s">
        <v>984</v>
      </c>
      <c r="D414" s="38" t="s">
        <v>306</v>
      </c>
      <c r="E414" s="39" t="n">
        <v>0</v>
      </c>
      <c r="F414" s="39" t="n">
        <v>435217</v>
      </c>
      <c r="G414" s="33" t="n">
        <f aca="false">E414-F414</f>
        <v>-435217</v>
      </c>
      <c r="H414" s="27" t="n">
        <v>46162</v>
      </c>
      <c r="I414" s="38" t="s">
        <v>413</v>
      </c>
      <c r="J414" s="38" t="s">
        <v>880</v>
      </c>
      <c r="K414" s="38" t="s">
        <v>303</v>
      </c>
      <c r="L414" s="38" t="s">
        <v>1048</v>
      </c>
      <c r="M414" s="38" t="s">
        <v>297</v>
      </c>
      <c r="N414" s="34" t="s">
        <v>131</v>
      </c>
      <c r="O414" s="26" t="s">
        <v>986</v>
      </c>
      <c r="P414" s="26" t="s">
        <v>870</v>
      </c>
    </row>
    <row r="415" customFormat="false" ht="15" hidden="false" customHeight="false" outlineLevel="0" collapsed="false">
      <c r="A415" s="38" t="n">
        <v>412</v>
      </c>
      <c r="B415" s="38" t="s">
        <v>983</v>
      </c>
      <c r="C415" s="38" t="s">
        <v>984</v>
      </c>
      <c r="D415" s="38" t="s">
        <v>306</v>
      </c>
      <c r="E415" s="39" t="n">
        <v>0</v>
      </c>
      <c r="F415" s="39" t="n">
        <v>435217</v>
      </c>
      <c r="G415" s="33" t="n">
        <f aca="false">E415-F415</f>
        <v>-435217</v>
      </c>
      <c r="H415" s="27" t="n">
        <v>46162</v>
      </c>
      <c r="I415" s="38" t="s">
        <v>413</v>
      </c>
      <c r="J415" s="38" t="s">
        <v>880</v>
      </c>
      <c r="K415" s="38" t="s">
        <v>303</v>
      </c>
      <c r="L415" s="38" t="s">
        <v>1049</v>
      </c>
      <c r="M415" s="38" t="s">
        <v>297</v>
      </c>
      <c r="N415" s="34" t="s">
        <v>130</v>
      </c>
      <c r="O415" s="26" t="s">
        <v>986</v>
      </c>
      <c r="P415" s="26" t="s">
        <v>870</v>
      </c>
    </row>
    <row r="416" customFormat="false" ht="15" hidden="false" customHeight="false" outlineLevel="0" collapsed="false">
      <c r="A416" s="38" t="n">
        <v>413</v>
      </c>
      <c r="B416" s="38" t="s">
        <v>983</v>
      </c>
      <c r="C416" s="38" t="s">
        <v>984</v>
      </c>
      <c r="D416" s="38" t="s">
        <v>306</v>
      </c>
      <c r="E416" s="39" t="n">
        <v>0</v>
      </c>
      <c r="F416" s="39" t="n">
        <v>4851947</v>
      </c>
      <c r="G416" s="33" t="n">
        <f aca="false">E416-F416</f>
        <v>-4851947</v>
      </c>
      <c r="H416" s="27" t="n">
        <v>46162</v>
      </c>
      <c r="I416" s="38" t="s">
        <v>413</v>
      </c>
      <c r="J416" s="38" t="s">
        <v>880</v>
      </c>
      <c r="K416" s="38" t="s">
        <v>303</v>
      </c>
      <c r="L416" s="38" t="s">
        <v>1050</v>
      </c>
      <c r="M416" s="38" t="s">
        <v>297</v>
      </c>
      <c r="N416" s="34" t="s">
        <v>129</v>
      </c>
      <c r="O416" s="26" t="s">
        <v>986</v>
      </c>
      <c r="P416" s="26" t="s">
        <v>870</v>
      </c>
    </row>
    <row r="417" customFormat="false" ht="15" hidden="false" customHeight="false" outlineLevel="0" collapsed="false">
      <c r="A417" s="38" t="n">
        <v>414</v>
      </c>
      <c r="B417" s="38" t="s">
        <v>983</v>
      </c>
      <c r="C417" s="38" t="s">
        <v>984</v>
      </c>
      <c r="D417" s="38" t="s">
        <v>306</v>
      </c>
      <c r="E417" s="39" t="n">
        <v>0</v>
      </c>
      <c r="F417" s="39" t="n">
        <v>4851947</v>
      </c>
      <c r="G417" s="33" t="n">
        <f aca="false">E417-F417</f>
        <v>-4851947</v>
      </c>
      <c r="H417" s="27" t="n">
        <v>46162</v>
      </c>
      <c r="I417" s="38" t="s">
        <v>413</v>
      </c>
      <c r="J417" s="38" t="s">
        <v>880</v>
      </c>
      <c r="K417" s="38" t="s">
        <v>303</v>
      </c>
      <c r="L417" s="38" t="s">
        <v>1051</v>
      </c>
      <c r="M417" s="38" t="s">
        <v>297</v>
      </c>
      <c r="N417" s="34" t="s">
        <v>128</v>
      </c>
      <c r="O417" s="26" t="s">
        <v>986</v>
      </c>
      <c r="P417" s="26" t="s">
        <v>870</v>
      </c>
    </row>
    <row r="418" customFormat="false" ht="15" hidden="false" customHeight="false" outlineLevel="0" collapsed="false">
      <c r="A418" s="38" t="n">
        <v>415</v>
      </c>
      <c r="B418" s="38" t="s">
        <v>983</v>
      </c>
      <c r="C418" s="38" t="s">
        <v>984</v>
      </c>
      <c r="D418" s="38" t="s">
        <v>306</v>
      </c>
      <c r="E418" s="39" t="n">
        <v>0</v>
      </c>
      <c r="F418" s="39" t="n">
        <v>4933530</v>
      </c>
      <c r="G418" s="33" t="n">
        <f aca="false">E418-F418</f>
        <v>-4933530</v>
      </c>
      <c r="H418" s="27" t="n">
        <v>46162</v>
      </c>
      <c r="I418" s="38" t="s">
        <v>413</v>
      </c>
      <c r="J418" s="38" t="s">
        <v>880</v>
      </c>
      <c r="K418" s="38" t="s">
        <v>303</v>
      </c>
      <c r="L418" s="38" t="s">
        <v>1052</v>
      </c>
      <c r="M418" s="38" t="s">
        <v>297</v>
      </c>
      <c r="N418" s="34" t="s">
        <v>132</v>
      </c>
      <c r="O418" s="26" t="s">
        <v>986</v>
      </c>
      <c r="P418" s="26" t="s">
        <v>870</v>
      </c>
    </row>
    <row r="419" customFormat="false" ht="15" hidden="false" customHeight="false" outlineLevel="0" collapsed="false">
      <c r="A419" s="38" t="n">
        <v>416</v>
      </c>
      <c r="B419" s="38" t="s">
        <v>983</v>
      </c>
      <c r="C419" s="38" t="s">
        <v>984</v>
      </c>
      <c r="D419" s="38" t="s">
        <v>306</v>
      </c>
      <c r="E419" s="39" t="n">
        <v>0</v>
      </c>
      <c r="F419" s="39" t="n">
        <v>10980527</v>
      </c>
      <c r="G419" s="33" t="n">
        <f aca="false">E419-F419</f>
        <v>-10980527</v>
      </c>
      <c r="H419" s="27" t="n">
        <v>46203</v>
      </c>
      <c r="I419" s="38" t="s">
        <v>413</v>
      </c>
      <c r="J419" s="38" t="s">
        <v>888</v>
      </c>
      <c r="K419" s="38" t="s">
        <v>303</v>
      </c>
      <c r="L419" s="38" t="s">
        <v>1053</v>
      </c>
      <c r="M419" s="38" t="s">
        <v>297</v>
      </c>
      <c r="N419" s="34" t="s">
        <v>133</v>
      </c>
      <c r="O419" s="26" t="s">
        <v>986</v>
      </c>
      <c r="P419" s="26" t="s">
        <v>870</v>
      </c>
    </row>
    <row r="420" customFormat="false" ht="15" hidden="false" customHeight="false" outlineLevel="0" collapsed="false">
      <c r="A420" s="38" t="n">
        <v>417</v>
      </c>
      <c r="B420" s="38" t="s">
        <v>983</v>
      </c>
      <c r="C420" s="38" t="s">
        <v>984</v>
      </c>
      <c r="D420" s="38" t="s">
        <v>306</v>
      </c>
      <c r="E420" s="39" t="n">
        <v>0</v>
      </c>
      <c r="F420" s="39" t="n">
        <v>435217</v>
      </c>
      <c r="G420" s="33" t="n">
        <f aca="false">E420-F420</f>
        <v>-435217</v>
      </c>
      <c r="H420" s="27" t="n">
        <v>46203</v>
      </c>
      <c r="I420" s="38" t="s">
        <v>413</v>
      </c>
      <c r="J420" s="38" t="s">
        <v>888</v>
      </c>
      <c r="K420" s="38" t="s">
        <v>303</v>
      </c>
      <c r="L420" s="38" t="s">
        <v>1054</v>
      </c>
      <c r="M420" s="38" t="s">
        <v>297</v>
      </c>
      <c r="N420" s="34" t="s">
        <v>131</v>
      </c>
      <c r="O420" s="26" t="s">
        <v>986</v>
      </c>
      <c r="P420" s="26" t="s">
        <v>870</v>
      </c>
    </row>
    <row r="421" customFormat="false" ht="15" hidden="false" customHeight="false" outlineLevel="0" collapsed="false">
      <c r="A421" s="38" t="n">
        <v>418</v>
      </c>
      <c r="B421" s="38" t="s">
        <v>983</v>
      </c>
      <c r="C421" s="38" t="s">
        <v>984</v>
      </c>
      <c r="D421" s="38" t="s">
        <v>306</v>
      </c>
      <c r="E421" s="39" t="n">
        <v>0</v>
      </c>
      <c r="F421" s="39" t="n">
        <v>435217</v>
      </c>
      <c r="G421" s="33" t="n">
        <f aca="false">E421-F421</f>
        <v>-435217</v>
      </c>
      <c r="H421" s="27" t="n">
        <v>46203</v>
      </c>
      <c r="I421" s="38" t="s">
        <v>413</v>
      </c>
      <c r="J421" s="38" t="s">
        <v>888</v>
      </c>
      <c r="K421" s="38" t="s">
        <v>303</v>
      </c>
      <c r="L421" s="38" t="s">
        <v>1055</v>
      </c>
      <c r="M421" s="38" t="s">
        <v>297</v>
      </c>
      <c r="N421" s="34" t="s">
        <v>130</v>
      </c>
      <c r="O421" s="26" t="s">
        <v>986</v>
      </c>
      <c r="P421" s="26" t="s">
        <v>870</v>
      </c>
    </row>
    <row r="422" customFormat="false" ht="15" hidden="false" customHeight="false" outlineLevel="0" collapsed="false">
      <c r="A422" s="38" t="n">
        <v>419</v>
      </c>
      <c r="B422" s="38" t="s">
        <v>983</v>
      </c>
      <c r="C422" s="38" t="s">
        <v>984</v>
      </c>
      <c r="D422" s="38" t="s">
        <v>306</v>
      </c>
      <c r="E422" s="39" t="n">
        <v>0</v>
      </c>
      <c r="F422" s="39" t="n">
        <v>4851947</v>
      </c>
      <c r="G422" s="33" t="n">
        <f aca="false">E422-F422</f>
        <v>-4851947</v>
      </c>
      <c r="H422" s="27" t="n">
        <v>46203</v>
      </c>
      <c r="I422" s="38" t="s">
        <v>413</v>
      </c>
      <c r="J422" s="38" t="s">
        <v>888</v>
      </c>
      <c r="K422" s="38" t="s">
        <v>303</v>
      </c>
      <c r="L422" s="38" t="s">
        <v>1056</v>
      </c>
      <c r="M422" s="38" t="s">
        <v>297</v>
      </c>
      <c r="N422" s="34" t="s">
        <v>129</v>
      </c>
      <c r="O422" s="26" t="s">
        <v>986</v>
      </c>
      <c r="P422" s="26" t="s">
        <v>870</v>
      </c>
    </row>
    <row r="423" customFormat="false" ht="15" hidden="false" customHeight="false" outlineLevel="0" collapsed="false">
      <c r="A423" s="38" t="n">
        <v>420</v>
      </c>
      <c r="B423" s="38" t="s">
        <v>983</v>
      </c>
      <c r="C423" s="38" t="s">
        <v>984</v>
      </c>
      <c r="D423" s="38" t="s">
        <v>306</v>
      </c>
      <c r="E423" s="39" t="n">
        <v>0</v>
      </c>
      <c r="F423" s="39" t="n">
        <v>4851947</v>
      </c>
      <c r="G423" s="33" t="n">
        <f aca="false">E423-F423</f>
        <v>-4851947</v>
      </c>
      <c r="H423" s="27" t="n">
        <v>46203</v>
      </c>
      <c r="I423" s="38" t="s">
        <v>413</v>
      </c>
      <c r="J423" s="38" t="s">
        <v>888</v>
      </c>
      <c r="K423" s="38" t="s">
        <v>303</v>
      </c>
      <c r="L423" s="38" t="s">
        <v>1057</v>
      </c>
      <c r="M423" s="38" t="s">
        <v>297</v>
      </c>
      <c r="N423" s="34" t="s">
        <v>128</v>
      </c>
      <c r="O423" s="26" t="s">
        <v>986</v>
      </c>
      <c r="P423" s="26" t="s">
        <v>870</v>
      </c>
    </row>
    <row r="424" customFormat="false" ht="15" hidden="false" customHeight="false" outlineLevel="0" collapsed="false">
      <c r="A424" s="38" t="n">
        <v>421</v>
      </c>
      <c r="B424" s="38" t="s">
        <v>983</v>
      </c>
      <c r="C424" s="38" t="s">
        <v>984</v>
      </c>
      <c r="D424" s="38" t="s">
        <v>306</v>
      </c>
      <c r="E424" s="39" t="n">
        <v>0</v>
      </c>
      <c r="F424" s="39" t="n">
        <v>4933530</v>
      </c>
      <c r="G424" s="33" t="n">
        <f aca="false">E424-F424</f>
        <v>-4933530</v>
      </c>
      <c r="H424" s="27" t="n">
        <v>46203</v>
      </c>
      <c r="I424" s="38" t="s">
        <v>413</v>
      </c>
      <c r="J424" s="38" t="s">
        <v>888</v>
      </c>
      <c r="K424" s="38" t="s">
        <v>303</v>
      </c>
      <c r="L424" s="38" t="s">
        <v>1058</v>
      </c>
      <c r="M424" s="38" t="s">
        <v>297</v>
      </c>
      <c r="N424" s="34" t="s">
        <v>132</v>
      </c>
      <c r="O424" s="26" t="s">
        <v>986</v>
      </c>
      <c r="P424" s="26" t="s">
        <v>870</v>
      </c>
    </row>
    <row r="425" customFormat="false" ht="15" hidden="false" customHeight="false" outlineLevel="0" collapsed="false">
      <c r="A425" s="38" t="n">
        <v>422</v>
      </c>
      <c r="B425" s="38" t="s">
        <v>983</v>
      </c>
      <c r="C425" s="38" t="s">
        <v>984</v>
      </c>
      <c r="D425" s="38" t="s">
        <v>306</v>
      </c>
      <c r="E425" s="39" t="n">
        <v>0</v>
      </c>
      <c r="F425" s="39" t="n">
        <v>17617577</v>
      </c>
      <c r="G425" s="33" t="n">
        <f aca="false">E425-F425</f>
        <v>-17617577</v>
      </c>
      <c r="H425" s="27" t="n">
        <v>46227</v>
      </c>
      <c r="I425" s="38" t="s">
        <v>413</v>
      </c>
      <c r="J425" s="38" t="s">
        <v>919</v>
      </c>
      <c r="K425" s="38" t="s">
        <v>303</v>
      </c>
      <c r="L425" s="38" t="s">
        <v>1059</v>
      </c>
      <c r="M425" s="38" t="s">
        <v>297</v>
      </c>
      <c r="N425" s="34" t="s">
        <v>133</v>
      </c>
      <c r="O425" s="26" t="s">
        <v>986</v>
      </c>
      <c r="P425" s="26" t="s">
        <v>870</v>
      </c>
    </row>
    <row r="426" customFormat="false" ht="15" hidden="false" customHeight="false" outlineLevel="0" collapsed="false">
      <c r="A426" s="38" t="n">
        <v>423</v>
      </c>
      <c r="B426" s="38" t="s">
        <v>983</v>
      </c>
      <c r="C426" s="38" t="s">
        <v>984</v>
      </c>
      <c r="D426" s="38" t="s">
        <v>306</v>
      </c>
      <c r="E426" s="39" t="n">
        <v>0</v>
      </c>
      <c r="F426" s="39" t="n">
        <v>8626840</v>
      </c>
      <c r="G426" s="33" t="n">
        <f aca="false">E426-F426</f>
        <v>-8626840</v>
      </c>
      <c r="H426" s="27" t="n">
        <v>46227</v>
      </c>
      <c r="I426" s="38" t="s">
        <v>413</v>
      </c>
      <c r="J426" s="38" t="s">
        <v>919</v>
      </c>
      <c r="K426" s="38" t="s">
        <v>303</v>
      </c>
      <c r="L426" s="38" t="s">
        <v>1060</v>
      </c>
      <c r="M426" s="38" t="s">
        <v>297</v>
      </c>
      <c r="N426" s="34" t="s">
        <v>131</v>
      </c>
      <c r="O426" s="26" t="s">
        <v>986</v>
      </c>
      <c r="P426" s="26" t="s">
        <v>870</v>
      </c>
    </row>
    <row r="427" customFormat="false" ht="15" hidden="false" customHeight="false" outlineLevel="0" collapsed="false">
      <c r="A427" s="38" t="n">
        <v>424</v>
      </c>
      <c r="B427" s="38" t="s">
        <v>983</v>
      </c>
      <c r="C427" s="38" t="s">
        <v>984</v>
      </c>
      <c r="D427" s="38" t="s">
        <v>306</v>
      </c>
      <c r="E427" s="39" t="n">
        <v>0</v>
      </c>
      <c r="F427" s="39" t="n">
        <v>8626840</v>
      </c>
      <c r="G427" s="33" t="n">
        <f aca="false">E427-F427</f>
        <v>-8626840</v>
      </c>
      <c r="H427" s="27" t="n">
        <v>46227</v>
      </c>
      <c r="I427" s="38" t="s">
        <v>413</v>
      </c>
      <c r="J427" s="38" t="s">
        <v>919</v>
      </c>
      <c r="K427" s="38" t="s">
        <v>303</v>
      </c>
      <c r="L427" s="38" t="s">
        <v>1061</v>
      </c>
      <c r="M427" s="38" t="s">
        <v>297</v>
      </c>
      <c r="N427" s="34" t="s">
        <v>130</v>
      </c>
      <c r="O427" s="26" t="s">
        <v>986</v>
      </c>
      <c r="P427" s="26" t="s">
        <v>870</v>
      </c>
    </row>
    <row r="428" customFormat="false" ht="15" hidden="false" customHeight="false" outlineLevel="0" collapsed="false">
      <c r="A428" s="38" t="n">
        <v>425</v>
      </c>
      <c r="B428" s="38" t="s">
        <v>983</v>
      </c>
      <c r="C428" s="38" t="s">
        <v>984</v>
      </c>
      <c r="D428" s="38" t="s">
        <v>306</v>
      </c>
      <c r="E428" s="39" t="n">
        <v>0</v>
      </c>
      <c r="F428" s="39" t="n">
        <v>4414963</v>
      </c>
      <c r="G428" s="33" t="n">
        <f aca="false">E428-F428</f>
        <v>-4414963</v>
      </c>
      <c r="H428" s="27" t="n">
        <v>46227</v>
      </c>
      <c r="I428" s="38" t="s">
        <v>413</v>
      </c>
      <c r="J428" s="38" t="s">
        <v>919</v>
      </c>
      <c r="K428" s="38" t="s">
        <v>303</v>
      </c>
      <c r="L428" s="38" t="s">
        <v>1062</v>
      </c>
      <c r="M428" s="38" t="s">
        <v>297</v>
      </c>
      <c r="N428" s="34" t="s">
        <v>129</v>
      </c>
      <c r="O428" s="26" t="s">
        <v>986</v>
      </c>
      <c r="P428" s="26" t="s">
        <v>870</v>
      </c>
    </row>
    <row r="429" customFormat="false" ht="15" hidden="false" customHeight="false" outlineLevel="0" collapsed="false">
      <c r="A429" s="38" t="n">
        <v>426</v>
      </c>
      <c r="B429" s="38" t="s">
        <v>983</v>
      </c>
      <c r="C429" s="38" t="s">
        <v>984</v>
      </c>
      <c r="D429" s="38" t="s">
        <v>306</v>
      </c>
      <c r="E429" s="39" t="n">
        <v>0</v>
      </c>
      <c r="F429" s="39" t="n">
        <v>4414962</v>
      </c>
      <c r="G429" s="33" t="n">
        <f aca="false">E429-F429</f>
        <v>-4414962</v>
      </c>
      <c r="H429" s="27" t="n">
        <v>46227</v>
      </c>
      <c r="I429" s="38" t="s">
        <v>413</v>
      </c>
      <c r="J429" s="38" t="s">
        <v>919</v>
      </c>
      <c r="K429" s="38" t="s">
        <v>303</v>
      </c>
      <c r="L429" s="38" t="s">
        <v>1063</v>
      </c>
      <c r="M429" s="38" t="s">
        <v>297</v>
      </c>
      <c r="N429" s="34" t="s">
        <v>128</v>
      </c>
      <c r="O429" s="26" t="s">
        <v>986</v>
      </c>
      <c r="P429" s="26" t="s">
        <v>870</v>
      </c>
    </row>
    <row r="430" customFormat="false" ht="15" hidden="false" customHeight="false" outlineLevel="0" collapsed="false">
      <c r="A430" s="38" t="n">
        <v>427</v>
      </c>
      <c r="B430" s="38" t="s">
        <v>983</v>
      </c>
      <c r="C430" s="38" t="s">
        <v>984</v>
      </c>
      <c r="D430" s="38" t="s">
        <v>306</v>
      </c>
      <c r="E430" s="39" t="n">
        <v>0</v>
      </c>
      <c r="F430" s="39" t="n">
        <v>4254720</v>
      </c>
      <c r="G430" s="33" t="n">
        <f aca="false">E430-F430</f>
        <v>-4254720</v>
      </c>
      <c r="H430" s="27" t="n">
        <v>46227</v>
      </c>
      <c r="I430" s="38" t="s">
        <v>413</v>
      </c>
      <c r="J430" s="38" t="s">
        <v>919</v>
      </c>
      <c r="K430" s="38" t="s">
        <v>303</v>
      </c>
      <c r="L430" s="38" t="s">
        <v>1064</v>
      </c>
      <c r="M430" s="38" t="s">
        <v>297</v>
      </c>
      <c r="N430" s="34" t="s">
        <v>132</v>
      </c>
      <c r="O430" s="26" t="s">
        <v>986</v>
      </c>
      <c r="P430" s="26" t="s">
        <v>870</v>
      </c>
    </row>
    <row r="431" customFormat="false" ht="15" hidden="false" customHeight="false" outlineLevel="0" collapsed="false">
      <c r="A431" s="38" t="n">
        <v>428</v>
      </c>
      <c r="B431" s="38" t="s">
        <v>983</v>
      </c>
      <c r="C431" s="38" t="s">
        <v>984</v>
      </c>
      <c r="D431" s="38" t="s">
        <v>306</v>
      </c>
      <c r="E431" s="39" t="n">
        <v>9497274</v>
      </c>
      <c r="F431" s="39" t="n">
        <v>0</v>
      </c>
      <c r="G431" s="33" t="n">
        <f aca="false">E431-F431</f>
        <v>9497274</v>
      </c>
      <c r="H431" s="27" t="n">
        <v>46230</v>
      </c>
      <c r="I431" s="38" t="s">
        <v>301</v>
      </c>
      <c r="J431" s="38" t="s">
        <v>1065</v>
      </c>
      <c r="K431" s="38" t="s">
        <v>363</v>
      </c>
      <c r="L431" s="38" t="s">
        <v>1066</v>
      </c>
      <c r="M431" s="38" t="s">
        <v>315</v>
      </c>
      <c r="N431" s="34" t="s">
        <v>130</v>
      </c>
      <c r="O431" s="26" t="s">
        <v>986</v>
      </c>
      <c r="P431" s="26" t="s">
        <v>877</v>
      </c>
    </row>
    <row r="432" customFormat="false" ht="15" hidden="false" customHeight="false" outlineLevel="0" collapsed="false">
      <c r="A432" s="38" t="n">
        <v>429</v>
      </c>
      <c r="B432" s="38" t="s">
        <v>983</v>
      </c>
      <c r="C432" s="38" t="s">
        <v>984</v>
      </c>
      <c r="D432" s="38" t="s">
        <v>306</v>
      </c>
      <c r="E432" s="39" t="n">
        <v>9497274</v>
      </c>
      <c r="F432" s="39" t="n">
        <v>0</v>
      </c>
      <c r="G432" s="33" t="n">
        <f aca="false">E432-F432</f>
        <v>9497274</v>
      </c>
      <c r="H432" s="27" t="n">
        <v>46230</v>
      </c>
      <c r="I432" s="38" t="s">
        <v>301</v>
      </c>
      <c r="J432" s="38" t="s">
        <v>1067</v>
      </c>
      <c r="K432" s="38" t="s">
        <v>363</v>
      </c>
      <c r="L432" s="38" t="s">
        <v>1068</v>
      </c>
      <c r="M432" s="38" t="s">
        <v>315</v>
      </c>
      <c r="N432" s="34" t="s">
        <v>131</v>
      </c>
      <c r="O432" s="26" t="s">
        <v>986</v>
      </c>
      <c r="P432" s="26" t="s">
        <v>877</v>
      </c>
    </row>
    <row r="433" customFormat="false" ht="15" hidden="false" customHeight="false" outlineLevel="0" collapsed="false">
      <c r="A433" s="38" t="n">
        <v>430</v>
      </c>
      <c r="B433" s="38" t="s">
        <v>983</v>
      </c>
      <c r="C433" s="38" t="s">
        <v>984</v>
      </c>
      <c r="D433" s="38" t="s">
        <v>306</v>
      </c>
      <c r="E433" s="39" t="n">
        <v>14118856</v>
      </c>
      <c r="F433" s="39" t="n">
        <v>0</v>
      </c>
      <c r="G433" s="33" t="n">
        <f aca="false">E433-F433</f>
        <v>14118856</v>
      </c>
      <c r="H433" s="27" t="n">
        <v>46231</v>
      </c>
      <c r="I433" s="38" t="s">
        <v>301</v>
      </c>
      <c r="J433" s="38" t="s">
        <v>1069</v>
      </c>
      <c r="K433" s="38" t="s">
        <v>363</v>
      </c>
      <c r="L433" s="38" t="s">
        <v>1070</v>
      </c>
      <c r="M433" s="38" t="s">
        <v>315</v>
      </c>
      <c r="N433" s="34" t="s">
        <v>128</v>
      </c>
      <c r="O433" s="26" t="s">
        <v>986</v>
      </c>
      <c r="P433" s="26" t="s">
        <v>877</v>
      </c>
    </row>
    <row r="434" customFormat="false" ht="15" hidden="false" customHeight="false" outlineLevel="0" collapsed="false">
      <c r="A434" s="38" t="n">
        <v>431</v>
      </c>
      <c r="B434" s="38" t="s">
        <v>983</v>
      </c>
      <c r="C434" s="38" t="s">
        <v>984</v>
      </c>
      <c r="D434" s="38" t="s">
        <v>306</v>
      </c>
      <c r="E434" s="39" t="n">
        <v>14118857</v>
      </c>
      <c r="F434" s="39" t="n">
        <v>0</v>
      </c>
      <c r="G434" s="33" t="n">
        <f aca="false">E434-F434</f>
        <v>14118857</v>
      </c>
      <c r="H434" s="27" t="n">
        <v>46231</v>
      </c>
      <c r="I434" s="38" t="s">
        <v>301</v>
      </c>
      <c r="J434" s="38" t="s">
        <v>1071</v>
      </c>
      <c r="K434" s="38" t="s">
        <v>363</v>
      </c>
      <c r="L434" s="38" t="s">
        <v>1072</v>
      </c>
      <c r="M434" s="38" t="s">
        <v>315</v>
      </c>
      <c r="N434" s="34" t="s">
        <v>129</v>
      </c>
      <c r="O434" s="26" t="s">
        <v>986</v>
      </c>
      <c r="P434" s="26" t="s">
        <v>877</v>
      </c>
    </row>
    <row r="435" customFormat="false" ht="15" hidden="false" customHeight="false" outlineLevel="0" collapsed="false">
      <c r="A435" s="38" t="n">
        <v>432</v>
      </c>
      <c r="B435" s="38" t="s">
        <v>983</v>
      </c>
      <c r="C435" s="38" t="s">
        <v>984</v>
      </c>
      <c r="D435" s="38" t="s">
        <v>306</v>
      </c>
      <c r="E435" s="39" t="n">
        <v>39578631</v>
      </c>
      <c r="F435" s="39" t="n">
        <v>0</v>
      </c>
      <c r="G435" s="33" t="n">
        <f aca="false">E435-F435</f>
        <v>39578631</v>
      </c>
      <c r="H435" s="27" t="n">
        <v>46231</v>
      </c>
      <c r="I435" s="38" t="s">
        <v>301</v>
      </c>
      <c r="J435" s="38" t="s">
        <v>1073</v>
      </c>
      <c r="K435" s="38" t="s">
        <v>363</v>
      </c>
      <c r="L435" s="38" t="s">
        <v>1074</v>
      </c>
      <c r="M435" s="38" t="s">
        <v>315</v>
      </c>
      <c r="N435" s="34" t="s">
        <v>133</v>
      </c>
      <c r="O435" s="26" t="s">
        <v>986</v>
      </c>
      <c r="P435" s="26" t="s">
        <v>877</v>
      </c>
    </row>
    <row r="436" customFormat="false" ht="15" hidden="false" customHeight="false" outlineLevel="0" collapsed="false">
      <c r="A436" s="38" t="n">
        <v>433</v>
      </c>
      <c r="B436" s="38" t="s">
        <v>983</v>
      </c>
      <c r="C436" s="38" t="s">
        <v>984</v>
      </c>
      <c r="D436" s="38" t="s">
        <v>306</v>
      </c>
      <c r="E436" s="39" t="n">
        <v>14121779.84</v>
      </c>
      <c r="F436" s="39" t="n">
        <v>0</v>
      </c>
      <c r="G436" s="33" t="n">
        <f aca="false">E436-F436</f>
        <v>14121779.84</v>
      </c>
      <c r="H436" s="27" t="n">
        <v>46231</v>
      </c>
      <c r="I436" s="38" t="s">
        <v>301</v>
      </c>
      <c r="J436" s="38" t="s">
        <v>1075</v>
      </c>
      <c r="K436" s="38" t="s">
        <v>363</v>
      </c>
      <c r="L436" s="38" t="s">
        <v>1076</v>
      </c>
      <c r="M436" s="38" t="s">
        <v>315</v>
      </c>
      <c r="N436" s="34" t="s">
        <v>132</v>
      </c>
      <c r="O436" s="26" t="s">
        <v>986</v>
      </c>
      <c r="P436" s="26" t="s">
        <v>877</v>
      </c>
    </row>
    <row r="437" customFormat="false" ht="15" hidden="false" customHeight="false" outlineLevel="0" collapsed="false">
      <c r="A437" s="38" t="n">
        <v>434</v>
      </c>
      <c r="B437" s="38" t="s">
        <v>983</v>
      </c>
      <c r="C437" s="38" t="s">
        <v>984</v>
      </c>
      <c r="D437" s="38" t="s">
        <v>343</v>
      </c>
      <c r="E437" s="39" t="n">
        <v>0</v>
      </c>
      <c r="F437" s="39" t="n">
        <v>3555301</v>
      </c>
      <c r="G437" s="33" t="n">
        <f aca="false">E437-F437</f>
        <v>-3555301</v>
      </c>
      <c r="H437" s="27" t="n">
        <v>46050</v>
      </c>
      <c r="I437" s="38" t="s">
        <v>413</v>
      </c>
      <c r="J437" s="38" t="s">
        <v>867</v>
      </c>
      <c r="K437" s="38" t="s">
        <v>303</v>
      </c>
      <c r="L437" s="38" t="s">
        <v>1077</v>
      </c>
      <c r="M437" s="38" t="s">
        <v>297</v>
      </c>
      <c r="N437" s="34" t="s">
        <v>140</v>
      </c>
      <c r="O437" s="26" t="s">
        <v>986</v>
      </c>
      <c r="P437" s="26" t="s">
        <v>870</v>
      </c>
    </row>
    <row r="438" customFormat="false" ht="15" hidden="false" customHeight="false" outlineLevel="0" collapsed="false">
      <c r="A438" s="38" t="n">
        <v>435</v>
      </c>
      <c r="B438" s="38" t="s">
        <v>983</v>
      </c>
      <c r="C438" s="38" t="s">
        <v>984</v>
      </c>
      <c r="D438" s="38" t="s">
        <v>343</v>
      </c>
      <c r="E438" s="39" t="n">
        <v>0</v>
      </c>
      <c r="F438" s="39" t="n">
        <v>3555301</v>
      </c>
      <c r="G438" s="33" t="n">
        <f aca="false">E438-F438</f>
        <v>-3555301</v>
      </c>
      <c r="H438" s="27" t="n">
        <v>46072</v>
      </c>
      <c r="I438" s="38" t="s">
        <v>413</v>
      </c>
      <c r="J438" s="38" t="s">
        <v>871</v>
      </c>
      <c r="K438" s="38" t="s">
        <v>303</v>
      </c>
      <c r="L438" s="38" t="s">
        <v>1078</v>
      </c>
      <c r="M438" s="38" t="s">
        <v>297</v>
      </c>
      <c r="N438" s="34" t="s">
        <v>140</v>
      </c>
      <c r="O438" s="26" t="s">
        <v>986</v>
      </c>
      <c r="P438" s="26" t="s">
        <v>870</v>
      </c>
    </row>
    <row r="439" customFormat="false" ht="15" hidden="false" customHeight="false" outlineLevel="0" collapsed="false">
      <c r="A439" s="38" t="n">
        <v>436</v>
      </c>
      <c r="B439" s="38" t="s">
        <v>983</v>
      </c>
      <c r="C439" s="38" t="s">
        <v>984</v>
      </c>
      <c r="D439" s="38" t="s">
        <v>343</v>
      </c>
      <c r="E439" s="39" t="n">
        <v>0</v>
      </c>
      <c r="F439" s="39" t="n">
        <v>6295973</v>
      </c>
      <c r="G439" s="33" t="n">
        <f aca="false">E439-F439</f>
        <v>-6295973</v>
      </c>
      <c r="H439" s="27" t="n">
        <v>46099</v>
      </c>
      <c r="I439" s="38" t="s">
        <v>413</v>
      </c>
      <c r="J439" s="38" t="s">
        <v>873</v>
      </c>
      <c r="K439" s="38" t="s">
        <v>303</v>
      </c>
      <c r="L439" s="38" t="s">
        <v>1079</v>
      </c>
      <c r="M439" s="38" t="s">
        <v>297</v>
      </c>
      <c r="N439" s="34" t="s">
        <v>140</v>
      </c>
      <c r="O439" s="26" t="s">
        <v>986</v>
      </c>
      <c r="P439" s="26" t="s">
        <v>870</v>
      </c>
    </row>
    <row r="440" customFormat="false" ht="15" hidden="false" customHeight="false" outlineLevel="0" collapsed="false">
      <c r="A440" s="38" t="n">
        <v>437</v>
      </c>
      <c r="B440" s="38" t="s">
        <v>983</v>
      </c>
      <c r="C440" s="38" t="s">
        <v>984</v>
      </c>
      <c r="D440" s="38" t="s">
        <v>343</v>
      </c>
      <c r="E440" s="39" t="n">
        <v>13406575</v>
      </c>
      <c r="F440" s="39" t="n">
        <v>0</v>
      </c>
      <c r="G440" s="33" t="n">
        <f aca="false">E440-F440</f>
        <v>13406575</v>
      </c>
      <c r="H440" s="27" t="n">
        <v>46100</v>
      </c>
      <c r="I440" s="38" t="s">
        <v>344</v>
      </c>
      <c r="J440" s="38" t="s">
        <v>1080</v>
      </c>
      <c r="K440" s="38" t="s">
        <v>363</v>
      </c>
      <c r="L440" s="38" t="s">
        <v>1081</v>
      </c>
      <c r="M440" s="38" t="s">
        <v>315</v>
      </c>
      <c r="N440" s="34" t="s">
        <v>140</v>
      </c>
      <c r="O440" s="26" t="s">
        <v>986</v>
      </c>
      <c r="P440" s="26" t="s">
        <v>877</v>
      </c>
    </row>
    <row r="441" customFormat="false" ht="15" hidden="false" customHeight="false" outlineLevel="0" collapsed="false">
      <c r="A441" s="38" t="n">
        <v>438</v>
      </c>
      <c r="B441" s="38" t="s">
        <v>983</v>
      </c>
      <c r="C441" s="38" t="s">
        <v>984</v>
      </c>
      <c r="D441" s="38" t="s">
        <v>343</v>
      </c>
      <c r="E441" s="39" t="n">
        <v>0</v>
      </c>
      <c r="F441" s="39" t="n">
        <v>3401721</v>
      </c>
      <c r="G441" s="33" t="n">
        <f aca="false">E441-F441</f>
        <v>-3401721</v>
      </c>
      <c r="H441" s="27" t="n">
        <v>46134</v>
      </c>
      <c r="I441" s="38" t="s">
        <v>413</v>
      </c>
      <c r="J441" s="38" t="s">
        <v>878</v>
      </c>
      <c r="K441" s="38" t="s">
        <v>303</v>
      </c>
      <c r="L441" s="38" t="s">
        <v>1082</v>
      </c>
      <c r="M441" s="38" t="s">
        <v>297</v>
      </c>
      <c r="N441" s="34" t="s">
        <v>140</v>
      </c>
      <c r="O441" s="26" t="s">
        <v>986</v>
      </c>
      <c r="P441" s="26" t="s">
        <v>870</v>
      </c>
    </row>
    <row r="442" customFormat="false" ht="15" hidden="false" customHeight="false" outlineLevel="0" collapsed="false">
      <c r="A442" s="38" t="n">
        <v>439</v>
      </c>
      <c r="B442" s="38" t="s">
        <v>983</v>
      </c>
      <c r="C442" s="38" t="s">
        <v>984</v>
      </c>
      <c r="D442" s="38" t="s">
        <v>343</v>
      </c>
      <c r="E442" s="39" t="n">
        <v>0</v>
      </c>
      <c r="F442" s="39" t="n">
        <v>3401721</v>
      </c>
      <c r="G442" s="33" t="n">
        <f aca="false">E442-F442</f>
        <v>-3401721</v>
      </c>
      <c r="H442" s="27" t="n">
        <v>46162</v>
      </c>
      <c r="I442" s="38" t="s">
        <v>413</v>
      </c>
      <c r="J442" s="38" t="s">
        <v>880</v>
      </c>
      <c r="K442" s="38" t="s">
        <v>303</v>
      </c>
      <c r="L442" s="38" t="s">
        <v>1083</v>
      </c>
      <c r="M442" s="38" t="s">
        <v>297</v>
      </c>
      <c r="N442" s="34" t="s">
        <v>140</v>
      </c>
      <c r="O442" s="26" t="s">
        <v>986</v>
      </c>
      <c r="P442" s="26" t="s">
        <v>870</v>
      </c>
    </row>
    <row r="443" customFormat="false" ht="15" hidden="false" customHeight="false" outlineLevel="0" collapsed="false">
      <c r="A443" s="38" t="n">
        <v>440</v>
      </c>
      <c r="B443" s="38" t="s">
        <v>983</v>
      </c>
      <c r="C443" s="38" t="s">
        <v>984</v>
      </c>
      <c r="D443" s="38" t="s">
        <v>343</v>
      </c>
      <c r="E443" s="39" t="n">
        <v>0</v>
      </c>
      <c r="F443" s="39" t="n">
        <v>8239564</v>
      </c>
      <c r="G443" s="33" t="n">
        <f aca="false">E443-F443</f>
        <v>-8239564</v>
      </c>
      <c r="H443" s="27" t="n">
        <v>46203</v>
      </c>
      <c r="I443" s="38" t="s">
        <v>413</v>
      </c>
      <c r="J443" s="38" t="s">
        <v>888</v>
      </c>
      <c r="K443" s="38" t="s">
        <v>303</v>
      </c>
      <c r="L443" s="38" t="s">
        <v>1084</v>
      </c>
      <c r="M443" s="38" t="s">
        <v>297</v>
      </c>
      <c r="N443" s="34" t="s">
        <v>140</v>
      </c>
      <c r="O443" s="26" t="s">
        <v>986</v>
      </c>
      <c r="P443" s="26" t="s">
        <v>870</v>
      </c>
    </row>
    <row r="444" customFormat="false" ht="15" hidden="false" customHeight="false" outlineLevel="0" collapsed="false">
      <c r="A444" s="38" t="n">
        <v>441</v>
      </c>
      <c r="B444" s="38" t="s">
        <v>983</v>
      </c>
      <c r="C444" s="38" t="s">
        <v>984</v>
      </c>
      <c r="D444" s="38" t="s">
        <v>343</v>
      </c>
      <c r="E444" s="39" t="n">
        <v>15043006</v>
      </c>
      <c r="F444" s="39" t="n">
        <v>0</v>
      </c>
      <c r="G444" s="33" t="n">
        <f aca="false">E444-F444</f>
        <v>15043006</v>
      </c>
      <c r="H444" s="27" t="n">
        <v>46203</v>
      </c>
      <c r="I444" s="38" t="s">
        <v>344</v>
      </c>
      <c r="J444" s="38" t="s">
        <v>1085</v>
      </c>
      <c r="K444" s="38" t="s">
        <v>363</v>
      </c>
      <c r="L444" s="38" t="s">
        <v>1086</v>
      </c>
      <c r="M444" s="38" t="s">
        <v>315</v>
      </c>
      <c r="N444" s="34" t="s">
        <v>140</v>
      </c>
      <c r="O444" s="26" t="s">
        <v>986</v>
      </c>
      <c r="P444" s="26" t="s">
        <v>877</v>
      </c>
    </row>
    <row r="445" customFormat="false" ht="15" hidden="false" customHeight="false" outlineLevel="0" collapsed="false">
      <c r="A445" s="38" t="n">
        <v>442</v>
      </c>
      <c r="B445" s="38" t="s">
        <v>983</v>
      </c>
      <c r="C445" s="38" t="s">
        <v>984</v>
      </c>
      <c r="D445" s="38" t="s">
        <v>343</v>
      </c>
      <c r="E445" s="39" t="n">
        <v>0</v>
      </c>
      <c r="F445" s="39" t="n">
        <v>3750337</v>
      </c>
      <c r="G445" s="33" t="n">
        <f aca="false">E445-F445</f>
        <v>-3750337</v>
      </c>
      <c r="H445" s="27" t="n">
        <v>46227</v>
      </c>
      <c r="I445" s="38" t="s">
        <v>413</v>
      </c>
      <c r="J445" s="38" t="s">
        <v>919</v>
      </c>
      <c r="K445" s="38" t="s">
        <v>303</v>
      </c>
      <c r="L445" s="38" t="s">
        <v>1087</v>
      </c>
      <c r="M445" s="38" t="s">
        <v>297</v>
      </c>
      <c r="N445" s="34" t="s">
        <v>140</v>
      </c>
      <c r="O445" s="26" t="s">
        <v>986</v>
      </c>
      <c r="P445" s="26" t="s">
        <v>870</v>
      </c>
    </row>
    <row r="446" customFormat="false" ht="15" hidden="false" customHeight="false" outlineLevel="0" collapsed="false">
      <c r="D446" s="40" t="s">
        <v>1088</v>
      </c>
      <c r="E446" s="41" t="n">
        <f aca="false">SUM(E5:E445)</f>
        <v>32526204015.96</v>
      </c>
      <c r="F446" s="41" t="n">
        <f aca="false">SUM(F5:F445)</f>
        <v>28526158183.42</v>
      </c>
      <c r="G446" s="41" t="n">
        <f aca="false">SUM(G5:G445)</f>
        <v>4000045832.54</v>
      </c>
    </row>
  </sheetData>
  <autoFilter ref="A4:P4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10" min="3" style="0" width="18"/>
    <col collapsed="false" customWidth="true" hidden="false" outlineLevel="0" max="14" min="11" style="0" width="14"/>
  </cols>
  <sheetData>
    <row r="1" customFormat="false" ht="16.15" hidden="false" customHeight="false" outlineLevel="0" collapsed="false">
      <c r="A1" s="23" t="s">
        <v>1089</v>
      </c>
    </row>
    <row r="2" customFormat="false" ht="15" hidden="false" customHeight="false" outlineLevel="0" collapsed="false">
      <c r="A2" s="24" t="s">
        <v>1090</v>
      </c>
    </row>
    <row r="4" customFormat="false" ht="15" hidden="false" customHeight="false" outlineLevel="0" collapsed="false">
      <c r="C4" s="42" t="s">
        <v>1091</v>
      </c>
      <c r="G4" s="42" t="s">
        <v>1092</v>
      </c>
      <c r="K4" s="42" t="s">
        <v>1093</v>
      </c>
    </row>
    <row r="5" customFormat="false" ht="30" hidden="false" customHeight="true" outlineLevel="0" collapsed="false">
      <c r="A5" s="31" t="s">
        <v>163</v>
      </c>
      <c r="B5" s="31" t="s">
        <v>100</v>
      </c>
      <c r="C5" s="31" t="s">
        <v>1094</v>
      </c>
      <c r="D5" s="31" t="s">
        <v>1095</v>
      </c>
      <c r="E5" s="31" t="s">
        <v>1096</v>
      </c>
      <c r="F5" s="31" t="s">
        <v>1097</v>
      </c>
      <c r="G5" s="31" t="s">
        <v>1094</v>
      </c>
      <c r="H5" s="31" t="s">
        <v>1095</v>
      </c>
      <c r="I5" s="31" t="s">
        <v>1096</v>
      </c>
      <c r="J5" s="31" t="s">
        <v>1097</v>
      </c>
      <c r="K5" s="31" t="s">
        <v>1098</v>
      </c>
      <c r="L5" s="31" t="s">
        <v>1099</v>
      </c>
      <c r="M5" s="31" t="s">
        <v>1100</v>
      </c>
      <c r="N5" s="31" t="s">
        <v>1101</v>
      </c>
    </row>
    <row r="6" customFormat="false" ht="15" hidden="false" customHeight="false" outlineLevel="0" collapsed="false">
      <c r="A6" s="38" t="s">
        <v>1102</v>
      </c>
      <c r="B6" s="38" t="s">
        <v>1103</v>
      </c>
      <c r="C6" s="39" t="n">
        <v>567550782875.32</v>
      </c>
      <c r="D6" s="39" t="n">
        <v>892765661780.59</v>
      </c>
      <c r="E6" s="39" t="n">
        <v>869848302323.96</v>
      </c>
      <c r="F6" s="39" t="n">
        <v>590468142331.95</v>
      </c>
      <c r="G6" s="39" t="n">
        <v>567550782875.32</v>
      </c>
      <c r="H6" s="39" t="n">
        <v>892765661780.59</v>
      </c>
      <c r="I6" s="39" t="n">
        <v>869848302323.96</v>
      </c>
      <c r="J6" s="39" t="n">
        <v>590468142331.95</v>
      </c>
      <c r="K6" s="33" t="n">
        <f aca="false">C6-G6</f>
        <v>0</v>
      </c>
      <c r="L6" s="33" t="n">
        <f aca="false">D6-H6</f>
        <v>0</v>
      </c>
      <c r="M6" s="33" t="n">
        <f aca="false">E6-I6</f>
        <v>0</v>
      </c>
      <c r="N6" s="33" t="n">
        <f aca="false">F6-J6</f>
        <v>0</v>
      </c>
    </row>
    <row r="7" customFormat="false" ht="15" hidden="false" customHeight="false" outlineLevel="0" collapsed="false">
      <c r="A7" s="38" t="s">
        <v>1104</v>
      </c>
      <c r="B7" s="38" t="s">
        <v>1105</v>
      </c>
      <c r="C7" s="39" t="n">
        <v>-191093585574.66</v>
      </c>
      <c r="D7" s="39" t="n">
        <v>362253540767.02</v>
      </c>
      <c r="E7" s="39" t="n">
        <v>368574294172.28</v>
      </c>
      <c r="F7" s="39" t="n">
        <v>-197414338979.92</v>
      </c>
      <c r="G7" s="39" t="n">
        <v>-191093585574.66</v>
      </c>
      <c r="H7" s="39" t="n">
        <v>362253540767.02</v>
      </c>
      <c r="I7" s="39" t="n">
        <v>368574294172.28</v>
      </c>
      <c r="J7" s="39" t="n">
        <v>-197414338979.92</v>
      </c>
      <c r="K7" s="33" t="n">
        <f aca="false">C7-G7</f>
        <v>0</v>
      </c>
      <c r="L7" s="33" t="n">
        <f aca="false">D7-H7</f>
        <v>0</v>
      </c>
      <c r="M7" s="33" t="n">
        <f aca="false">E7-I7</f>
        <v>0</v>
      </c>
      <c r="N7" s="33" t="n">
        <f aca="false">F7-J7</f>
        <v>0</v>
      </c>
    </row>
    <row r="8" customFormat="false" ht="15" hidden="false" customHeight="false" outlineLevel="0" collapsed="false">
      <c r="A8" s="38" t="s">
        <v>1106</v>
      </c>
      <c r="B8" s="38" t="s">
        <v>1107</v>
      </c>
      <c r="C8" s="39" t="n">
        <v>-376457197300.66</v>
      </c>
      <c r="D8" s="39" t="n">
        <v>73328494704.41</v>
      </c>
      <c r="E8" s="39" t="n">
        <v>71525661482.41</v>
      </c>
      <c r="F8" s="39" t="n">
        <v>-374654364078.66</v>
      </c>
      <c r="G8" s="39" t="n">
        <v>-376457197300.66</v>
      </c>
      <c r="H8" s="39" t="n">
        <v>73328494704.41</v>
      </c>
      <c r="I8" s="39" t="n">
        <v>71525661482.41</v>
      </c>
      <c r="J8" s="39" t="n">
        <v>-374654364078.66</v>
      </c>
      <c r="K8" s="33" t="n">
        <f aca="false">C8-G8</f>
        <v>0</v>
      </c>
      <c r="L8" s="33" t="n">
        <f aca="false">D8-H8</f>
        <v>0</v>
      </c>
      <c r="M8" s="33" t="n">
        <f aca="false">E8-I8</f>
        <v>0</v>
      </c>
      <c r="N8" s="33" t="n">
        <f aca="false">F8-J8</f>
        <v>0</v>
      </c>
    </row>
    <row r="9" customFormat="false" ht="15" hidden="false" customHeight="false" outlineLevel="0" collapsed="false">
      <c r="A9" s="38" t="s">
        <v>1108</v>
      </c>
      <c r="B9" s="38" t="s">
        <v>1109</v>
      </c>
      <c r="C9" s="39" t="n">
        <v>0</v>
      </c>
      <c r="D9" s="39" t="n">
        <v>32747696517.79</v>
      </c>
      <c r="E9" s="39" t="n">
        <v>200283851847.59</v>
      </c>
      <c r="F9" s="39" t="n">
        <v>-167536155329.8</v>
      </c>
      <c r="G9" s="39" t="n">
        <v>0</v>
      </c>
      <c r="H9" s="39" t="n">
        <v>32747696517.79</v>
      </c>
      <c r="I9" s="39" t="n">
        <v>200283851847.59</v>
      </c>
      <c r="J9" s="39" t="n">
        <v>-167536155329.8</v>
      </c>
      <c r="K9" s="33" t="n">
        <f aca="false">C9-G9</f>
        <v>0</v>
      </c>
      <c r="L9" s="33" t="n">
        <f aca="false">D9-H9</f>
        <v>0</v>
      </c>
      <c r="M9" s="33" t="n">
        <f aca="false">E9-I9</f>
        <v>0</v>
      </c>
      <c r="N9" s="33" t="n">
        <f aca="false">F9-J9</f>
        <v>0</v>
      </c>
    </row>
    <row r="10" customFormat="false" ht="15" hidden="false" customHeight="false" outlineLevel="0" collapsed="false">
      <c r="A10" s="38" t="s">
        <v>1110</v>
      </c>
      <c r="B10" s="38" t="s">
        <v>1111</v>
      </c>
      <c r="C10" s="39" t="n">
        <v>0</v>
      </c>
      <c r="D10" s="39" t="n">
        <v>61606987834.29</v>
      </c>
      <c r="E10" s="39" t="n">
        <v>8199599409.86</v>
      </c>
      <c r="F10" s="39" t="n">
        <v>53407388424.43</v>
      </c>
      <c r="G10" s="39" t="n">
        <v>0</v>
      </c>
      <c r="H10" s="39" t="n">
        <v>61606987834.29</v>
      </c>
      <c r="I10" s="39" t="n">
        <v>8199599409.86</v>
      </c>
      <c r="J10" s="39" t="n">
        <v>53407388424.43</v>
      </c>
      <c r="K10" s="33" t="n">
        <f aca="false">C10-G10</f>
        <v>0</v>
      </c>
      <c r="L10" s="33" t="n">
        <f aca="false">D10-H10</f>
        <v>0</v>
      </c>
      <c r="M10" s="33" t="n">
        <f aca="false">E10-I10</f>
        <v>0</v>
      </c>
      <c r="N10" s="33" t="n">
        <f aca="false">F10-J10</f>
        <v>0</v>
      </c>
    </row>
    <row r="11" customFormat="false" ht="15" hidden="false" customHeight="false" outlineLevel="0" collapsed="false">
      <c r="A11" s="38" t="s">
        <v>1112</v>
      </c>
      <c r="B11" s="38" t="s">
        <v>1113</v>
      </c>
      <c r="C11" s="39" t="n">
        <v>0</v>
      </c>
      <c r="D11" s="39" t="n">
        <v>126317363653.97</v>
      </c>
      <c r="E11" s="39" t="n">
        <v>30588036021.97</v>
      </c>
      <c r="F11" s="39" t="n">
        <v>95729327632</v>
      </c>
      <c r="G11" s="39" t="n">
        <v>0</v>
      </c>
      <c r="H11" s="39" t="n">
        <v>126317363653.97</v>
      </c>
      <c r="I11" s="39" t="n">
        <v>30588036021.97</v>
      </c>
      <c r="J11" s="39" t="n">
        <v>95729327632</v>
      </c>
      <c r="K11" s="33" t="n">
        <f aca="false">C11-G11</f>
        <v>0</v>
      </c>
      <c r="L11" s="33" t="n">
        <f aca="false">D11-H11</f>
        <v>0</v>
      </c>
      <c r="M11" s="33" t="n">
        <f aca="false">E11-I11</f>
        <v>0</v>
      </c>
      <c r="N11" s="33" t="n">
        <f aca="false">F11-J11</f>
        <v>0</v>
      </c>
    </row>
    <row r="12" customFormat="false" ht="15" hidden="false" customHeight="false" outlineLevel="0" collapsed="false">
      <c r="A12" s="38" t="s">
        <v>1114</v>
      </c>
      <c r="B12" s="38" t="s">
        <v>1115</v>
      </c>
      <c r="C12" s="39" t="n">
        <v>0</v>
      </c>
      <c r="D12" s="39" t="n">
        <v>280013808025.94</v>
      </c>
      <c r="E12" s="39" t="n">
        <v>280013808025.94</v>
      </c>
      <c r="F12" s="39" t="n">
        <v>0</v>
      </c>
      <c r="G12" s="39" t="n">
        <v>0</v>
      </c>
      <c r="H12" s="39" t="n">
        <v>280013808025.94</v>
      </c>
      <c r="I12" s="39" t="n">
        <v>280013808025.94</v>
      </c>
      <c r="J12" s="39" t="n">
        <v>0</v>
      </c>
      <c r="K12" s="33" t="n">
        <f aca="false">C12-G12</f>
        <v>0</v>
      </c>
      <c r="L12" s="33" t="n">
        <f aca="false">D12-H12</f>
        <v>0</v>
      </c>
      <c r="M12" s="33" t="n">
        <f aca="false">E12-I12</f>
        <v>0</v>
      </c>
      <c r="N12" s="33" t="n">
        <f aca="false">F12-J12</f>
        <v>0</v>
      </c>
    </row>
    <row r="13" customFormat="false" ht="15" hidden="false" customHeight="false" outlineLevel="0" collapsed="false">
      <c r="A13" s="38" t="s">
        <v>1116</v>
      </c>
      <c r="B13" s="38" t="s">
        <v>1117</v>
      </c>
      <c r="C13" s="39" t="n">
        <v>-50662748875.76</v>
      </c>
      <c r="D13" s="39" t="n">
        <v>32526204015.96</v>
      </c>
      <c r="E13" s="39" t="n">
        <v>28526158183.42</v>
      </c>
      <c r="F13" s="39" t="n">
        <v>-46662703043.22</v>
      </c>
      <c r="G13" s="39" t="n">
        <v>-50662748875.76</v>
      </c>
      <c r="H13" s="39" t="n">
        <v>32526204015.96</v>
      </c>
      <c r="I13" s="39" t="n">
        <v>28526158183.42</v>
      </c>
      <c r="J13" s="39" t="n">
        <v>-46662703043.22</v>
      </c>
      <c r="K13" s="33" t="n">
        <f aca="false">C13-G13</f>
        <v>0</v>
      </c>
      <c r="L13" s="33" t="n">
        <f aca="false">D13-H13</f>
        <v>0</v>
      </c>
      <c r="M13" s="33" t="n">
        <f aca="false">E13-I13</f>
        <v>0</v>
      </c>
      <c r="N13" s="33" t="n">
        <f aca="false">F13-J13</f>
        <v>0</v>
      </c>
    </row>
    <row r="14" customFormat="false" ht="15" hidden="false" customHeight="false" outlineLevel="0" collapsed="false">
      <c r="A14" s="38" t="s">
        <v>1118</v>
      </c>
      <c r="B14" s="38" t="s">
        <v>1117</v>
      </c>
      <c r="C14" s="39" t="n">
        <v>-41332031248.42</v>
      </c>
      <c r="D14" s="39" t="n">
        <v>27823935570.11</v>
      </c>
      <c r="E14" s="39" t="n">
        <v>24823706719.42</v>
      </c>
      <c r="F14" s="39" t="n">
        <v>-38331802397.73</v>
      </c>
      <c r="G14" s="39" t="n">
        <v>-41332031248.42</v>
      </c>
      <c r="H14" s="39" t="n">
        <v>27823935570.11</v>
      </c>
      <c r="I14" s="39" t="n">
        <v>24823706719.42</v>
      </c>
      <c r="J14" s="39" t="n">
        <v>-38331802397.73</v>
      </c>
      <c r="K14" s="33" t="n">
        <f aca="false">C14-G14</f>
        <v>0</v>
      </c>
      <c r="L14" s="33" t="n">
        <f aca="false">D14-H14</f>
        <v>0</v>
      </c>
      <c r="M14" s="33" t="n">
        <f aca="false">E14-I14</f>
        <v>0</v>
      </c>
      <c r="N14" s="33" t="n">
        <f aca="false">F14-J14</f>
        <v>0</v>
      </c>
    </row>
    <row r="15" customFormat="false" ht="15" hidden="false" customHeight="false" outlineLevel="0" collapsed="false">
      <c r="A15" s="38" t="s">
        <v>1119</v>
      </c>
      <c r="B15" s="38" t="s">
        <v>1120</v>
      </c>
      <c r="C15" s="39" t="n">
        <v>-17938333333</v>
      </c>
      <c r="D15" s="39" t="n">
        <v>24700000000</v>
      </c>
      <c r="E15" s="39" t="n">
        <v>24700000000</v>
      </c>
      <c r="F15" s="39" t="n">
        <v>-17938333333</v>
      </c>
      <c r="G15" s="39" t="n">
        <v>-17938333333</v>
      </c>
      <c r="H15" s="39" t="n">
        <v>24700000000</v>
      </c>
      <c r="I15" s="39" t="n">
        <v>24700000000</v>
      </c>
      <c r="J15" s="39" t="n">
        <v>-17938333333</v>
      </c>
      <c r="K15" s="33" t="n">
        <f aca="false">C15-G15</f>
        <v>0</v>
      </c>
      <c r="L15" s="33" t="n">
        <f aca="false">D15-H15</f>
        <v>0</v>
      </c>
      <c r="M15" s="33" t="n">
        <f aca="false">E15-I15</f>
        <v>0</v>
      </c>
      <c r="N15" s="33" t="n">
        <f aca="false">F15-J15</f>
        <v>0</v>
      </c>
    </row>
    <row r="16" customFormat="false" ht="15" hidden="false" customHeight="false" outlineLevel="0" collapsed="false">
      <c r="A16" s="38" t="s">
        <v>290</v>
      </c>
      <c r="B16" s="38" t="s">
        <v>291</v>
      </c>
      <c r="C16" s="39" t="n">
        <v>-17938333333</v>
      </c>
      <c r="D16" s="39" t="n">
        <v>24700000000</v>
      </c>
      <c r="E16" s="39" t="n">
        <v>24700000000</v>
      </c>
      <c r="F16" s="39" t="n">
        <v>-17938333333</v>
      </c>
      <c r="G16" s="39" t="n">
        <v>-17938333333</v>
      </c>
      <c r="H16" s="39" t="n">
        <v>24700000000</v>
      </c>
      <c r="I16" s="39" t="n">
        <v>24700000000</v>
      </c>
      <c r="J16" s="39" t="n">
        <v>-17938333333</v>
      </c>
      <c r="K16" s="33" t="n">
        <f aca="false">C16-G16</f>
        <v>0</v>
      </c>
      <c r="L16" s="33" t="n">
        <f aca="false">D16-H16</f>
        <v>0</v>
      </c>
      <c r="M16" s="33" t="n">
        <f aca="false">E16-I16</f>
        <v>0</v>
      </c>
      <c r="N16" s="33" t="n">
        <f aca="false">F16-J16</f>
        <v>0</v>
      </c>
    </row>
    <row r="17" customFormat="false" ht="15" hidden="false" customHeight="false" outlineLevel="0" collapsed="false">
      <c r="A17" s="38" t="s">
        <v>1121</v>
      </c>
      <c r="B17" s="38" t="s">
        <v>1122</v>
      </c>
      <c r="C17" s="39" t="n">
        <v>-23393697915.42</v>
      </c>
      <c r="D17" s="39" t="n">
        <v>3123935570.11</v>
      </c>
      <c r="E17" s="39" t="n">
        <v>123706719.42</v>
      </c>
      <c r="F17" s="39" t="n">
        <v>-20393469064.73</v>
      </c>
      <c r="G17" s="39" t="n">
        <v>-23393697915.42</v>
      </c>
      <c r="H17" s="39" t="n">
        <v>3123935570.11</v>
      </c>
      <c r="I17" s="39" t="n">
        <v>123706719.42</v>
      </c>
      <c r="J17" s="39" t="n">
        <v>-20393469064.73</v>
      </c>
      <c r="K17" s="33" t="n">
        <f aca="false">C17-G17</f>
        <v>0</v>
      </c>
      <c r="L17" s="33" t="n">
        <f aca="false">D17-H17</f>
        <v>0</v>
      </c>
      <c r="M17" s="33" t="n">
        <f aca="false">E17-I17</f>
        <v>0</v>
      </c>
      <c r="N17" s="33" t="n">
        <f aca="false">F17-J17</f>
        <v>0</v>
      </c>
    </row>
    <row r="18" customFormat="false" ht="15" hidden="false" customHeight="false" outlineLevel="0" collapsed="false">
      <c r="A18" s="38" t="s">
        <v>310</v>
      </c>
      <c r="B18" s="38" t="s">
        <v>311</v>
      </c>
      <c r="C18" s="39" t="n">
        <v>-23368333333</v>
      </c>
      <c r="D18" s="39" t="n">
        <v>3006000000</v>
      </c>
      <c r="E18" s="39" t="n">
        <v>0</v>
      </c>
      <c r="F18" s="39" t="n">
        <v>-20362333333</v>
      </c>
      <c r="G18" s="39" t="n">
        <v>-23368333333</v>
      </c>
      <c r="H18" s="39" t="n">
        <v>3006000000</v>
      </c>
      <c r="I18" s="39" t="n">
        <v>0</v>
      </c>
      <c r="J18" s="39" t="n">
        <v>-20362333333</v>
      </c>
      <c r="K18" s="33" t="n">
        <f aca="false">C18-G18</f>
        <v>0</v>
      </c>
      <c r="L18" s="33" t="n">
        <f aca="false">D18-H18</f>
        <v>0</v>
      </c>
      <c r="M18" s="33" t="n">
        <f aca="false">E18-I18</f>
        <v>0</v>
      </c>
      <c r="N18" s="33" t="n">
        <f aca="false">F18-J18</f>
        <v>0</v>
      </c>
    </row>
    <row r="19" customFormat="false" ht="15" hidden="false" customHeight="false" outlineLevel="0" collapsed="false">
      <c r="A19" s="38" t="s">
        <v>93</v>
      </c>
      <c r="B19" s="38" t="s">
        <v>347</v>
      </c>
      <c r="C19" s="39" t="n">
        <v>-25364582.42</v>
      </c>
      <c r="D19" s="39" t="n">
        <v>117935570.11</v>
      </c>
      <c r="E19" s="39" t="n">
        <v>123706719.42</v>
      </c>
      <c r="F19" s="39" t="n">
        <v>-31135731.73</v>
      </c>
      <c r="G19" s="39" t="n">
        <v>-25364582.42</v>
      </c>
      <c r="H19" s="39" t="n">
        <v>117935570.11</v>
      </c>
      <c r="I19" s="39" t="n">
        <v>123706719.42</v>
      </c>
      <c r="J19" s="39" t="n">
        <v>-31135731.73</v>
      </c>
      <c r="K19" s="33" t="n">
        <f aca="false">C19-G19</f>
        <v>0</v>
      </c>
      <c r="L19" s="33" t="n">
        <f aca="false">D19-H19</f>
        <v>0</v>
      </c>
      <c r="M19" s="33" t="n">
        <f aca="false">E19-I19</f>
        <v>0</v>
      </c>
      <c r="N19" s="33" t="n">
        <f aca="false">F19-J19</f>
        <v>0</v>
      </c>
    </row>
    <row r="20" customFormat="false" ht="15" hidden="false" customHeight="false" outlineLevel="0" collapsed="false">
      <c r="A20" s="38" t="s">
        <v>1123</v>
      </c>
      <c r="B20" s="38" t="s">
        <v>1124</v>
      </c>
      <c r="C20" s="39" t="n">
        <v>-8130494743.34</v>
      </c>
      <c r="D20" s="39" t="n">
        <v>946510532.01</v>
      </c>
      <c r="E20" s="39" t="n">
        <v>719527417</v>
      </c>
      <c r="F20" s="39" t="n">
        <v>-7903511628.33</v>
      </c>
      <c r="G20" s="39" t="n">
        <v>-8130494743.34</v>
      </c>
      <c r="H20" s="39" t="n">
        <v>946510532.01</v>
      </c>
      <c r="I20" s="39" t="n">
        <v>719527417</v>
      </c>
      <c r="J20" s="39" t="n">
        <v>-7903511628.33</v>
      </c>
      <c r="K20" s="33" t="n">
        <f aca="false">C20-G20</f>
        <v>0</v>
      </c>
      <c r="L20" s="33" t="n">
        <f aca="false">D20-H20</f>
        <v>0</v>
      </c>
      <c r="M20" s="33" t="n">
        <f aca="false">E20-I20</f>
        <v>0</v>
      </c>
      <c r="N20" s="33" t="n">
        <f aca="false">F20-J20</f>
        <v>0</v>
      </c>
    </row>
    <row r="21" customFormat="false" ht="15" hidden="false" customHeight="false" outlineLevel="0" collapsed="false">
      <c r="A21" s="38" t="s">
        <v>1125</v>
      </c>
      <c r="B21" s="38" t="s">
        <v>747</v>
      </c>
      <c r="C21" s="39" t="n">
        <v>-585880191.4</v>
      </c>
      <c r="D21" s="39" t="n">
        <v>35428634</v>
      </c>
      <c r="E21" s="39" t="n">
        <v>607791830</v>
      </c>
      <c r="F21" s="39" t="n">
        <v>-1158243387.4</v>
      </c>
      <c r="G21" s="39" t="n">
        <v>-585880191.4</v>
      </c>
      <c r="H21" s="39" t="n">
        <v>35428634</v>
      </c>
      <c r="I21" s="39" t="n">
        <v>607791830</v>
      </c>
      <c r="J21" s="39" t="n">
        <v>-1158243387.4</v>
      </c>
      <c r="K21" s="33" t="n">
        <f aca="false">C21-G21</f>
        <v>0</v>
      </c>
      <c r="L21" s="33" t="n">
        <f aca="false">D21-H21</f>
        <v>0</v>
      </c>
      <c r="M21" s="33" t="n">
        <f aca="false">E21-I21</f>
        <v>0</v>
      </c>
      <c r="N21" s="33" t="n">
        <f aca="false">F21-J21</f>
        <v>0</v>
      </c>
    </row>
    <row r="22" customFormat="false" ht="15" hidden="false" customHeight="false" outlineLevel="0" collapsed="false">
      <c r="A22" s="38" t="s">
        <v>746</v>
      </c>
      <c r="B22" s="38" t="s">
        <v>747</v>
      </c>
      <c r="C22" s="39" t="n">
        <v>-585880191.4</v>
      </c>
      <c r="D22" s="39" t="n">
        <v>35428634</v>
      </c>
      <c r="E22" s="39" t="n">
        <v>607791830</v>
      </c>
      <c r="F22" s="39" t="n">
        <v>-1158243387.4</v>
      </c>
      <c r="G22" s="39" t="n">
        <v>-585880191.4</v>
      </c>
      <c r="H22" s="39" t="n">
        <v>35428634</v>
      </c>
      <c r="I22" s="39" t="n">
        <v>607791830</v>
      </c>
      <c r="J22" s="39" t="n">
        <v>-1158243387.4</v>
      </c>
      <c r="K22" s="33" t="n">
        <f aca="false">C22-G22</f>
        <v>0</v>
      </c>
      <c r="L22" s="33" t="n">
        <f aca="false">D22-H22</f>
        <v>0</v>
      </c>
      <c r="M22" s="33" t="n">
        <f aca="false">E22-I22</f>
        <v>0</v>
      </c>
      <c r="N22" s="33" t="n">
        <f aca="false">F22-J22</f>
        <v>0</v>
      </c>
    </row>
    <row r="23" customFormat="false" ht="15" hidden="false" customHeight="false" outlineLevel="0" collapsed="false">
      <c r="A23" s="38" t="s">
        <v>1126</v>
      </c>
      <c r="B23" s="38" t="s">
        <v>1127</v>
      </c>
      <c r="C23" s="39" t="n">
        <v>-7544614551.94</v>
      </c>
      <c r="D23" s="39" t="n">
        <v>911081898.01</v>
      </c>
      <c r="E23" s="39" t="n">
        <v>111735587</v>
      </c>
      <c r="F23" s="39" t="n">
        <v>-6745268240.93</v>
      </c>
      <c r="G23" s="39" t="n">
        <v>-7544614551.94</v>
      </c>
      <c r="H23" s="39" t="n">
        <v>911081898.01</v>
      </c>
      <c r="I23" s="39" t="n">
        <v>111735587</v>
      </c>
      <c r="J23" s="39" t="n">
        <v>-6745268240.93</v>
      </c>
      <c r="K23" s="33" t="n">
        <f aca="false">C23-G23</f>
        <v>0</v>
      </c>
      <c r="L23" s="33" t="n">
        <f aca="false">D23-H23</f>
        <v>0</v>
      </c>
      <c r="M23" s="33" t="n">
        <f aca="false">E23-I23</f>
        <v>0</v>
      </c>
      <c r="N23" s="33" t="n">
        <f aca="false">F23-J23</f>
        <v>0</v>
      </c>
    </row>
    <row r="24" customFormat="false" ht="15" hidden="false" customHeight="false" outlineLevel="0" collapsed="false">
      <c r="A24" s="38" t="s">
        <v>763</v>
      </c>
      <c r="B24" s="38" t="s">
        <v>764</v>
      </c>
      <c r="C24" s="39" t="n">
        <v>-7544614551.94</v>
      </c>
      <c r="D24" s="39" t="n">
        <v>911081898.01</v>
      </c>
      <c r="E24" s="39" t="n">
        <v>111735587</v>
      </c>
      <c r="F24" s="39" t="n">
        <v>-6745268240.93</v>
      </c>
      <c r="G24" s="39" t="n">
        <v>-7544614551.94</v>
      </c>
      <c r="H24" s="39" t="n">
        <v>911081898.01</v>
      </c>
      <c r="I24" s="39" t="n">
        <v>111735587</v>
      </c>
      <c r="J24" s="39" t="n">
        <v>-6745268240.93</v>
      </c>
      <c r="K24" s="33" t="n">
        <f aca="false">C24-G24</f>
        <v>0</v>
      </c>
      <c r="L24" s="33" t="n">
        <f aca="false">D24-H24</f>
        <v>0</v>
      </c>
      <c r="M24" s="33" t="n">
        <f aca="false">E24-I24</f>
        <v>0</v>
      </c>
      <c r="N24" s="33" t="n">
        <f aca="false">F24-J24</f>
        <v>0</v>
      </c>
    </row>
    <row r="25" customFormat="false" ht="15" hidden="false" customHeight="false" outlineLevel="0" collapsed="false">
      <c r="A25" s="38" t="s">
        <v>1128</v>
      </c>
      <c r="B25" s="38" t="s">
        <v>1129</v>
      </c>
      <c r="C25" s="39" t="n">
        <v>-1200222884</v>
      </c>
      <c r="D25" s="39" t="n">
        <v>3755757913.84</v>
      </c>
      <c r="E25" s="39" t="n">
        <v>2982924047</v>
      </c>
      <c r="F25" s="39" t="n">
        <v>-427389017.16</v>
      </c>
      <c r="G25" s="39" t="n">
        <v>-1200222884</v>
      </c>
      <c r="H25" s="39" t="n">
        <v>3755757913.84</v>
      </c>
      <c r="I25" s="39" t="n">
        <v>2982924047</v>
      </c>
      <c r="J25" s="39" t="n">
        <v>-427389017.16</v>
      </c>
      <c r="K25" s="33" t="n">
        <f aca="false">C25-G25</f>
        <v>0</v>
      </c>
      <c r="L25" s="33" t="n">
        <f aca="false">D25-H25</f>
        <v>0</v>
      </c>
      <c r="M25" s="33" t="n">
        <f aca="false">E25-I25</f>
        <v>0</v>
      </c>
      <c r="N25" s="33" t="n">
        <f aca="false">F25-J25</f>
        <v>0</v>
      </c>
    </row>
    <row r="26" customFormat="false" ht="15" hidden="false" customHeight="false" outlineLevel="0" collapsed="false">
      <c r="A26" s="38" t="s">
        <v>90</v>
      </c>
      <c r="B26" s="38" t="s">
        <v>1130</v>
      </c>
      <c r="C26" s="39" t="n">
        <v>-1200222884</v>
      </c>
      <c r="D26" s="39" t="n">
        <v>3755757913.84</v>
      </c>
      <c r="E26" s="39" t="n">
        <v>2982924047</v>
      </c>
      <c r="F26" s="39" t="n">
        <v>-427389017.16</v>
      </c>
      <c r="G26" s="39" t="n">
        <v>-1200222884</v>
      </c>
      <c r="H26" s="39" t="n">
        <v>3755757913.84</v>
      </c>
      <c r="I26" s="39" t="n">
        <v>2982924047</v>
      </c>
      <c r="J26" s="39" t="n">
        <v>-427389017.16</v>
      </c>
      <c r="K26" s="33" t="n">
        <f aca="false">C26-G26</f>
        <v>0</v>
      </c>
      <c r="L26" s="33" t="n">
        <f aca="false">D26-H26</f>
        <v>0</v>
      </c>
      <c r="M26" s="33" t="n">
        <f aca="false">E26-I26</f>
        <v>0</v>
      </c>
      <c r="N26" s="33" t="n">
        <f aca="false">F26-J26</f>
        <v>0</v>
      </c>
    </row>
    <row r="27" customFormat="false" ht="15" hidden="false" customHeight="false" outlineLevel="0" collapsed="false">
      <c r="A27" s="38" t="s">
        <v>865</v>
      </c>
      <c r="B27" s="38" t="s">
        <v>866</v>
      </c>
      <c r="C27" s="39" t="n">
        <v>-1107168370</v>
      </c>
      <c r="D27" s="39" t="n">
        <v>3257045166</v>
      </c>
      <c r="E27" s="39" t="n">
        <v>2573515476</v>
      </c>
      <c r="F27" s="39" t="n">
        <v>-423638680</v>
      </c>
      <c r="G27" s="39" t="n">
        <v>-1107168370</v>
      </c>
      <c r="H27" s="39" t="n">
        <v>3257045166</v>
      </c>
      <c r="I27" s="39" t="n">
        <v>2573515476</v>
      </c>
      <c r="J27" s="39" t="n">
        <v>-423638680</v>
      </c>
      <c r="K27" s="33" t="n">
        <f aca="false">C27-G27</f>
        <v>0</v>
      </c>
      <c r="L27" s="33" t="n">
        <f aca="false">D27-H27</f>
        <v>0</v>
      </c>
      <c r="M27" s="33" t="n">
        <f aca="false">E27-I27</f>
        <v>0</v>
      </c>
      <c r="N27" s="33" t="n">
        <f aca="false">F27-J27</f>
        <v>0</v>
      </c>
    </row>
    <row r="28" customFormat="false" ht="15" hidden="false" customHeight="false" outlineLevel="0" collapsed="false">
      <c r="A28" s="38" t="s">
        <v>983</v>
      </c>
      <c r="B28" s="38" t="s">
        <v>984</v>
      </c>
      <c r="C28" s="39" t="n">
        <v>-93054514</v>
      </c>
      <c r="D28" s="39" t="n">
        <v>498712747.84</v>
      </c>
      <c r="E28" s="39" t="n">
        <v>409408571</v>
      </c>
      <c r="F28" s="39" t="n">
        <v>-3750337.16</v>
      </c>
      <c r="G28" s="39" t="n">
        <v>-93054514</v>
      </c>
      <c r="H28" s="39" t="n">
        <v>498712747.84</v>
      </c>
      <c r="I28" s="39" t="n">
        <v>409408571</v>
      </c>
      <c r="J28" s="39" t="n">
        <v>-3750337.16</v>
      </c>
      <c r="K28" s="33" t="n">
        <f aca="false">C28-G28</f>
        <v>0</v>
      </c>
      <c r="L28" s="33" t="n">
        <f aca="false">D28-H28</f>
        <v>0</v>
      </c>
      <c r="M28" s="33" t="n">
        <f aca="false">E28-I28</f>
        <v>0</v>
      </c>
      <c r="N28" s="33" t="n">
        <f aca="false">F28-J28</f>
        <v>0</v>
      </c>
    </row>
    <row r="29" customFormat="false" ht="15" hidden="false" customHeight="false" outlineLevel="0" collapsed="false">
      <c r="A29" s="38" t="s">
        <v>1131</v>
      </c>
      <c r="B29" s="38" t="s">
        <v>1132</v>
      </c>
      <c r="C29" s="39" t="n">
        <v>0</v>
      </c>
      <c r="D29" s="39" t="n">
        <v>17530527480.05</v>
      </c>
      <c r="E29" s="39" t="n">
        <v>5184717456.81</v>
      </c>
      <c r="F29" s="39" t="n">
        <v>12345810023.24</v>
      </c>
      <c r="G29" s="39" t="n">
        <v>0</v>
      </c>
      <c r="H29" s="39" t="n">
        <v>17530527480.05</v>
      </c>
      <c r="I29" s="39" t="n">
        <v>5184717456.81</v>
      </c>
      <c r="J29" s="39" t="n">
        <v>12345810023.24</v>
      </c>
      <c r="K29" s="33" t="n">
        <f aca="false">C29-G29</f>
        <v>0</v>
      </c>
      <c r="L29" s="33" t="n">
        <f aca="false">D29-H29</f>
        <v>0</v>
      </c>
      <c r="M29" s="33" t="n">
        <f aca="false">E29-I29</f>
        <v>0</v>
      </c>
      <c r="N29" s="33" t="n">
        <f aca="false">F29-J29</f>
        <v>0</v>
      </c>
    </row>
    <row r="30" customFormat="false" ht="15" hidden="false" customHeight="false" outlineLevel="0" collapsed="false">
      <c r="A30" s="38" t="s">
        <v>1133</v>
      </c>
      <c r="B30" s="38" t="s">
        <v>1134</v>
      </c>
      <c r="C30" s="39" t="n">
        <v>0</v>
      </c>
      <c r="D30" s="39" t="n">
        <v>8523549605.4</v>
      </c>
      <c r="E30" s="39" t="n">
        <v>4956199893.81</v>
      </c>
      <c r="F30" s="39" t="n">
        <v>3567349711.59</v>
      </c>
      <c r="G30" s="39" t="n">
        <v>0</v>
      </c>
      <c r="H30" s="39" t="n">
        <v>8523549605.4</v>
      </c>
      <c r="I30" s="39" t="n">
        <v>4956199893.81</v>
      </c>
      <c r="J30" s="39" t="n">
        <v>3567349711.59</v>
      </c>
      <c r="K30" s="33" t="n">
        <f aca="false">C30-G30</f>
        <v>0</v>
      </c>
      <c r="L30" s="33" t="n">
        <f aca="false">D30-H30</f>
        <v>0</v>
      </c>
      <c r="M30" s="33" t="n">
        <f aca="false">E30-I30</f>
        <v>0</v>
      </c>
      <c r="N30" s="33" t="n">
        <f aca="false">F30-J30</f>
        <v>0</v>
      </c>
    </row>
    <row r="31" customFormat="false" ht="15" hidden="false" customHeight="false" outlineLevel="0" collapsed="false">
      <c r="A31" s="38" t="s">
        <v>1135</v>
      </c>
      <c r="B31" s="38" t="s">
        <v>1136</v>
      </c>
      <c r="C31" s="39" t="n">
        <v>0</v>
      </c>
      <c r="D31" s="39" t="n">
        <v>6733778</v>
      </c>
      <c r="E31" s="39" t="n">
        <v>0</v>
      </c>
      <c r="F31" s="39" t="n">
        <v>6733778</v>
      </c>
      <c r="G31" s="39" t="n">
        <v>0</v>
      </c>
      <c r="H31" s="39" t="n">
        <v>6733778</v>
      </c>
      <c r="I31" s="39" t="n">
        <v>0</v>
      </c>
      <c r="J31" s="39" t="n">
        <v>6733778</v>
      </c>
      <c r="K31" s="33" t="n">
        <f aca="false">C31-G31</f>
        <v>0</v>
      </c>
      <c r="L31" s="33" t="n">
        <f aca="false">D31-H31</f>
        <v>0</v>
      </c>
      <c r="M31" s="33" t="n">
        <f aca="false">E31-I31</f>
        <v>0</v>
      </c>
      <c r="N31" s="33" t="n">
        <f aca="false">F31-J31</f>
        <v>0</v>
      </c>
    </row>
    <row r="32" customFormat="false" ht="15" hidden="false" customHeight="false" outlineLevel="0" collapsed="false">
      <c r="A32" s="38" t="s">
        <v>1137</v>
      </c>
      <c r="B32" s="38" t="s">
        <v>1138</v>
      </c>
      <c r="C32" s="39" t="n">
        <v>0</v>
      </c>
      <c r="D32" s="39" t="n">
        <v>14942096.52</v>
      </c>
      <c r="E32" s="39" t="n">
        <v>219096.13</v>
      </c>
      <c r="F32" s="39" t="n">
        <v>14723000.39</v>
      </c>
      <c r="G32" s="39" t="n">
        <v>0</v>
      </c>
      <c r="H32" s="39" t="n">
        <v>14942096.52</v>
      </c>
      <c r="I32" s="39" t="n">
        <v>219096.13</v>
      </c>
      <c r="J32" s="39" t="n">
        <v>14723000.39</v>
      </c>
      <c r="K32" s="33" t="n">
        <f aca="false">C32-G32</f>
        <v>0</v>
      </c>
      <c r="L32" s="33" t="n">
        <f aca="false">D32-H32</f>
        <v>0</v>
      </c>
      <c r="M32" s="33" t="n">
        <f aca="false">E32-I32</f>
        <v>0</v>
      </c>
      <c r="N32" s="33" t="n">
        <f aca="false">F32-J32</f>
        <v>0</v>
      </c>
    </row>
    <row r="33" customFormat="false" ht="15" hidden="false" customHeight="false" outlineLevel="0" collapsed="false">
      <c r="A33" s="38" t="s">
        <v>1139</v>
      </c>
      <c r="B33" s="38" t="s">
        <v>1140</v>
      </c>
      <c r="C33" s="39" t="n">
        <v>0</v>
      </c>
      <c r="D33" s="39" t="n">
        <v>708087053.99</v>
      </c>
      <c r="E33" s="39" t="n">
        <v>93054514</v>
      </c>
      <c r="F33" s="39" t="n">
        <v>615032539.99</v>
      </c>
      <c r="G33" s="39" t="n">
        <v>0</v>
      </c>
      <c r="H33" s="39" t="n">
        <v>708087053.99</v>
      </c>
      <c r="I33" s="39" t="n">
        <v>93054514</v>
      </c>
      <c r="J33" s="39" t="n">
        <v>615032539.99</v>
      </c>
      <c r="K33" s="33" t="n">
        <f aca="false">C33-G33</f>
        <v>0</v>
      </c>
      <c r="L33" s="33" t="n">
        <f aca="false">D33-H33</f>
        <v>0</v>
      </c>
      <c r="M33" s="33" t="n">
        <f aca="false">E33-I33</f>
        <v>0</v>
      </c>
      <c r="N33" s="33" t="n">
        <f aca="false">F33-J33</f>
        <v>0</v>
      </c>
    </row>
    <row r="34" customFormat="false" ht="15" hidden="false" customHeight="false" outlineLevel="0" collapsed="false">
      <c r="A34" s="38" t="s">
        <v>1141</v>
      </c>
      <c r="B34" s="38" t="s">
        <v>1142</v>
      </c>
      <c r="C34" s="39" t="n">
        <v>0</v>
      </c>
      <c r="D34" s="39" t="n">
        <v>3610639745.89</v>
      </c>
      <c r="E34" s="39" t="n">
        <v>1107168370</v>
      </c>
      <c r="F34" s="39" t="n">
        <v>2503471375.89</v>
      </c>
      <c r="G34" s="39" t="n">
        <v>0</v>
      </c>
      <c r="H34" s="39" t="n">
        <v>3610639745.89</v>
      </c>
      <c r="I34" s="39" t="n">
        <v>1107168370</v>
      </c>
      <c r="J34" s="39" t="n">
        <v>2503471375.89</v>
      </c>
      <c r="K34" s="33" t="n">
        <f aca="false">C34-G34</f>
        <v>0</v>
      </c>
      <c r="L34" s="33" t="n">
        <f aca="false">D34-H34</f>
        <v>0</v>
      </c>
      <c r="M34" s="33" t="n">
        <f aca="false">E34-I34</f>
        <v>0</v>
      </c>
      <c r="N34" s="33" t="n">
        <f aca="false">F34-J34</f>
        <v>0</v>
      </c>
    </row>
    <row r="35" customFormat="false" ht="15" hidden="false" customHeight="false" outlineLevel="0" collapsed="false">
      <c r="A35" s="38" t="s">
        <v>1143</v>
      </c>
      <c r="B35" s="38" t="s">
        <v>1144</v>
      </c>
      <c r="C35" s="39" t="n">
        <v>0</v>
      </c>
      <c r="D35" s="39" t="n">
        <v>3680683846</v>
      </c>
      <c r="E35" s="39" t="n">
        <v>3257045166</v>
      </c>
      <c r="F35" s="39" t="n">
        <v>423638680</v>
      </c>
      <c r="G35" s="39" t="n">
        <v>0</v>
      </c>
      <c r="H35" s="39" t="n">
        <v>3680683846</v>
      </c>
      <c r="I35" s="39" t="n">
        <v>3257045166</v>
      </c>
      <c r="J35" s="39" t="n">
        <v>423638680</v>
      </c>
      <c r="K35" s="33" t="n">
        <f aca="false">C35-G35</f>
        <v>0</v>
      </c>
      <c r="L35" s="33" t="n">
        <f aca="false">D35-H35</f>
        <v>0</v>
      </c>
      <c r="M35" s="33" t="n">
        <f aca="false">E35-I35</f>
        <v>0</v>
      </c>
      <c r="N35" s="33" t="n">
        <f aca="false">F35-J35</f>
        <v>0</v>
      </c>
    </row>
    <row r="36" customFormat="false" ht="15" hidden="false" customHeight="false" outlineLevel="0" collapsed="false">
      <c r="A36" s="38" t="s">
        <v>1145</v>
      </c>
      <c r="B36" s="38" t="s">
        <v>1146</v>
      </c>
      <c r="C36" s="39" t="n">
        <v>0</v>
      </c>
      <c r="D36" s="39" t="n">
        <v>502463085</v>
      </c>
      <c r="E36" s="39" t="n">
        <v>498712747.68</v>
      </c>
      <c r="F36" s="39" t="n">
        <v>3750337.32</v>
      </c>
      <c r="G36" s="39" t="n">
        <v>0</v>
      </c>
      <c r="H36" s="39" t="n">
        <v>502463085</v>
      </c>
      <c r="I36" s="39" t="n">
        <v>498712747.68</v>
      </c>
      <c r="J36" s="39" t="n">
        <v>3750337.32</v>
      </c>
      <c r="K36" s="33" t="n">
        <f aca="false">C36-G36</f>
        <v>0</v>
      </c>
      <c r="L36" s="33" t="n">
        <f aca="false">D36-H36</f>
        <v>0</v>
      </c>
      <c r="M36" s="33" t="n">
        <f aca="false">E36-I36</f>
        <v>0</v>
      </c>
      <c r="N36" s="33" t="n">
        <f aca="false">F36-J36</f>
        <v>0</v>
      </c>
    </row>
    <row r="38" customFormat="false" ht="15" hidden="false" customHeight="false" outlineLevel="0" collapsed="false">
      <c r="A38" s="42" t="s">
        <v>1147</v>
      </c>
    </row>
    <row r="39" customFormat="false" ht="15" hidden="false" customHeight="false" outlineLevel="0" collapsed="false">
      <c r="A39" s="26" t="s">
        <v>1148</v>
      </c>
      <c r="C39" s="43" t="n">
        <v>1268</v>
      </c>
    </row>
    <row r="40" customFormat="false" ht="15" hidden="false" customHeight="false" outlineLevel="0" collapsed="false">
      <c r="A40" s="26" t="s">
        <v>1149</v>
      </c>
      <c r="C40" s="4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7" min="3" style="0" width="18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23" t="s">
        <v>1150</v>
      </c>
    </row>
    <row r="2" customFormat="false" ht="15" hidden="false" customHeight="false" outlineLevel="0" collapsed="false">
      <c r="A2" s="24" t="s">
        <v>1151</v>
      </c>
    </row>
    <row r="4" customFormat="false" ht="30" hidden="false" customHeight="true" outlineLevel="0" collapsed="false">
      <c r="A4" s="31" t="s">
        <v>163</v>
      </c>
      <c r="B4" s="31" t="s">
        <v>100</v>
      </c>
      <c r="C4" s="31" t="s">
        <v>1152</v>
      </c>
      <c r="D4" s="31" t="s">
        <v>1153</v>
      </c>
      <c r="E4" s="31" t="s">
        <v>1154</v>
      </c>
      <c r="F4" s="31" t="s">
        <v>1155</v>
      </c>
      <c r="G4" s="31" t="s">
        <v>1156</v>
      </c>
      <c r="H4" s="31" t="s">
        <v>1157</v>
      </c>
      <c r="I4" s="31" t="s">
        <v>1158</v>
      </c>
      <c r="J4" s="31" t="s">
        <v>1159</v>
      </c>
      <c r="K4" s="31" t="s">
        <v>1160</v>
      </c>
      <c r="L4" s="31" t="s">
        <v>1161</v>
      </c>
      <c r="M4" s="31" t="s">
        <v>227</v>
      </c>
    </row>
    <row r="5" customFormat="false" ht="15" hidden="false" customHeight="false" outlineLevel="0" collapsed="false">
      <c r="A5" s="38" t="s">
        <v>290</v>
      </c>
      <c r="B5" s="44" t="str">
        <f aca="false">INDEX(Balance_21!$B$6:$B$36,MATCH(A5,Balance_21!$A$6:$A$36,0))</f>
        <v>Obl.Financiera Corto Plazo</v>
      </c>
      <c r="C5" s="32" t="n">
        <f aca="false">Balance_21!$C$16</f>
        <v>-17938333333</v>
      </c>
      <c r="D5" s="32" t="n">
        <f aca="false">SUMIFS(Mayor_Mov!$E$5:$E$445,Mayor_Mov!$B$5:$B$445,A5)</f>
        <v>24700000000</v>
      </c>
      <c r="E5" s="32" t="n">
        <f aca="false">SUMIFS(Mayor_Mov!$F$5:$F$445,Mayor_Mov!$B$5:$B$445,A5)</f>
        <v>24700000000</v>
      </c>
      <c r="F5" s="33" t="n">
        <f aca="false">C5+D5-E5</f>
        <v>-17938333333</v>
      </c>
      <c r="G5" s="32" t="n">
        <f aca="false">Balance_21!$F$16</f>
        <v>-17938333333</v>
      </c>
      <c r="H5" s="33" t="n">
        <f aca="false">F5-G5</f>
        <v>0</v>
      </c>
      <c r="I5" s="32" t="n">
        <f aca="false">Balance_21!$D$16</f>
        <v>24700000000</v>
      </c>
      <c r="J5" s="33" t="n">
        <f aca="false">D5-I5</f>
        <v>0</v>
      </c>
      <c r="K5" s="32" t="n">
        <f aca="false">Balance_21!$E$16</f>
        <v>24700000000</v>
      </c>
      <c r="L5" s="33" t="n">
        <f aca="false">E5-K5</f>
        <v>0</v>
      </c>
      <c r="M5" s="44" t="str">
        <f aca="false">IF(MAX(ABS(H5),ABS(J5),ABS(L5))&lt;=Resumen!$C$6,"OK","DIFERENCIA")</f>
        <v>OK</v>
      </c>
    </row>
    <row r="6" customFormat="false" ht="15" hidden="false" customHeight="false" outlineLevel="0" collapsed="false">
      <c r="A6" s="38" t="s">
        <v>310</v>
      </c>
      <c r="B6" s="44" t="str">
        <f aca="false">INDEX(Balance_21!$B$6:$B$36,MATCH(A6,Balance_21!$A$6:$A$36,0))</f>
        <v>Obg.Financiera Largo Plazo</v>
      </c>
      <c r="C6" s="32" t="n">
        <f aca="false">Balance_21!$C$18</f>
        <v>-23368333333</v>
      </c>
      <c r="D6" s="32" t="n">
        <f aca="false">SUMIFS(Mayor_Mov!$E$5:$E$445,Mayor_Mov!$B$5:$B$445,A6)</f>
        <v>3006000000</v>
      </c>
      <c r="E6" s="32" t="n">
        <f aca="false">SUMIFS(Mayor_Mov!$F$5:$F$445,Mayor_Mov!$B$5:$B$445,A6)</f>
        <v>0</v>
      </c>
      <c r="F6" s="33" t="n">
        <f aca="false">C6+D6-E6</f>
        <v>-20362333333</v>
      </c>
      <c r="G6" s="32" t="n">
        <f aca="false">Balance_21!$F$18</f>
        <v>-20362333333</v>
      </c>
      <c r="H6" s="33" t="n">
        <f aca="false">F6-G6</f>
        <v>0</v>
      </c>
      <c r="I6" s="32" t="n">
        <f aca="false">Balance_21!$D$18</f>
        <v>3006000000</v>
      </c>
      <c r="J6" s="33" t="n">
        <f aca="false">D6-I6</f>
        <v>0</v>
      </c>
      <c r="K6" s="32" t="n">
        <f aca="false">Balance_21!$E$18</f>
        <v>0</v>
      </c>
      <c r="L6" s="33" t="n">
        <f aca="false">E6-K6</f>
        <v>0</v>
      </c>
      <c r="M6" s="44" t="str">
        <f aca="false">IF(MAX(ABS(H6),ABS(J6),ABS(L6))&lt;=Resumen!$C$6,"OK","DIFERENCIA")</f>
        <v>OK</v>
      </c>
    </row>
    <row r="7" customFormat="false" ht="15" hidden="false" customHeight="false" outlineLevel="0" collapsed="false">
      <c r="A7" s="38" t="s">
        <v>93</v>
      </c>
      <c r="B7" s="44" t="str">
        <f aca="false">INDEX(Balance_21!$B$6:$B$36,MATCH(A7,Balance_21!$A$6:$A$36,0))</f>
        <v>Tarjeta de Credito por Pagar</v>
      </c>
      <c r="C7" s="32" t="n">
        <f aca="false">Balance_21!$C$19</f>
        <v>-25364582.42</v>
      </c>
      <c r="D7" s="32" t="n">
        <f aca="false">SUMIFS(Mayor_Mov!$E$5:$E$445,Mayor_Mov!$B$5:$B$445,A7)</f>
        <v>117935570.11</v>
      </c>
      <c r="E7" s="32" t="n">
        <f aca="false">SUMIFS(Mayor_Mov!$F$5:$F$445,Mayor_Mov!$B$5:$B$445,A7)</f>
        <v>123706719.42</v>
      </c>
      <c r="F7" s="33" t="n">
        <f aca="false">C7+D7-E7</f>
        <v>-31135731.73</v>
      </c>
      <c r="G7" s="32" t="n">
        <f aca="false">Balance_21!$F$19</f>
        <v>-31135731.73</v>
      </c>
      <c r="H7" s="33" t="n">
        <f aca="false">F7-G7</f>
        <v>0</v>
      </c>
      <c r="I7" s="32" t="n">
        <f aca="false">Balance_21!$D$19</f>
        <v>117935570.11</v>
      </c>
      <c r="J7" s="33" t="n">
        <f aca="false">D7-I7</f>
        <v>0</v>
      </c>
      <c r="K7" s="32" t="n">
        <f aca="false">Balance_21!$E$19</f>
        <v>123706719.42</v>
      </c>
      <c r="L7" s="33" t="n">
        <f aca="false">E7-K7</f>
        <v>0</v>
      </c>
      <c r="M7" s="44" t="str">
        <f aca="false">IF(MAX(ABS(H7),ABS(J7),ABS(L7))&lt;=Resumen!$C$6,"OK","DIFERENCIA")</f>
        <v>OK</v>
      </c>
    </row>
    <row r="8" customFormat="false" ht="15" hidden="false" customHeight="false" outlineLevel="0" collapsed="false">
      <c r="A8" s="38" t="s">
        <v>746</v>
      </c>
      <c r="B8" s="44" t="str">
        <f aca="false">INDEX(Balance_21!$B$6:$B$36,MATCH(A8,Balance_21!$A$6:$A$36,0))</f>
        <v>Leasing Corto Plazo</v>
      </c>
      <c r="C8" s="32" t="n">
        <f aca="false">Balance_21!$C$22</f>
        <v>-585880191.4</v>
      </c>
      <c r="D8" s="32" t="n">
        <f aca="false">SUMIFS(Mayor_Mov!$E$5:$E$445,Mayor_Mov!$B$5:$B$445,A8)</f>
        <v>35428634</v>
      </c>
      <c r="E8" s="32" t="n">
        <f aca="false">SUMIFS(Mayor_Mov!$F$5:$F$445,Mayor_Mov!$B$5:$B$445,A8)</f>
        <v>607791830</v>
      </c>
      <c r="F8" s="33" t="n">
        <f aca="false">C8+D8-E8</f>
        <v>-1158243387.4</v>
      </c>
      <c r="G8" s="32" t="n">
        <f aca="false">Balance_21!$F$22</f>
        <v>-1158243387.4</v>
      </c>
      <c r="H8" s="33" t="n">
        <f aca="false">F8-G8</f>
        <v>0</v>
      </c>
      <c r="I8" s="32" t="n">
        <f aca="false">Balance_21!$D$22</f>
        <v>35428634</v>
      </c>
      <c r="J8" s="33" t="n">
        <f aca="false">D8-I8</f>
        <v>0</v>
      </c>
      <c r="K8" s="32" t="n">
        <f aca="false">Balance_21!$E$22</f>
        <v>607791830</v>
      </c>
      <c r="L8" s="33" t="n">
        <f aca="false">E8-K8</f>
        <v>0</v>
      </c>
      <c r="M8" s="44" t="str">
        <f aca="false">IF(MAX(ABS(H8),ABS(J8),ABS(L8))&lt;=Resumen!$C$6,"OK","DIFERENCIA")</f>
        <v>OK</v>
      </c>
    </row>
    <row r="9" customFormat="false" ht="15" hidden="false" customHeight="false" outlineLevel="0" collapsed="false">
      <c r="A9" s="38" t="s">
        <v>763</v>
      </c>
      <c r="B9" s="44" t="str">
        <f aca="false">INDEX(Balance_21!$B$6:$B$36,MATCH(A9,Balance_21!$A$6:$A$36,0))</f>
        <v>Leasing Largo Plazo</v>
      </c>
      <c r="C9" s="32" t="n">
        <f aca="false">Balance_21!$C$24</f>
        <v>-7544614551.94</v>
      </c>
      <c r="D9" s="32" t="n">
        <f aca="false">SUMIFS(Mayor_Mov!$E$5:$E$445,Mayor_Mov!$B$5:$B$445,A9)</f>
        <v>911081898.01</v>
      </c>
      <c r="E9" s="32" t="n">
        <f aca="false">SUMIFS(Mayor_Mov!$F$5:$F$445,Mayor_Mov!$B$5:$B$445,A9)</f>
        <v>111735587</v>
      </c>
      <c r="F9" s="33" t="n">
        <f aca="false">C9+D9-E9</f>
        <v>-6745268240.93</v>
      </c>
      <c r="G9" s="32" t="n">
        <f aca="false">Balance_21!$F$24</f>
        <v>-6745268240.93</v>
      </c>
      <c r="H9" s="33" t="n">
        <f aca="false">F9-G9</f>
        <v>0</v>
      </c>
      <c r="I9" s="32" t="n">
        <f aca="false">Balance_21!$D$24</f>
        <v>911081898.01</v>
      </c>
      <c r="J9" s="33" t="n">
        <f aca="false">D9-I9</f>
        <v>0</v>
      </c>
      <c r="K9" s="32" t="n">
        <f aca="false">Balance_21!$E$24</f>
        <v>111735587</v>
      </c>
      <c r="L9" s="33" t="n">
        <f aca="false">E9-K9</f>
        <v>0</v>
      </c>
      <c r="M9" s="44" t="str">
        <f aca="false">IF(MAX(ABS(H9),ABS(J9),ABS(L9))&lt;=Resumen!$C$6,"OK","DIFERENCIA")</f>
        <v>OK</v>
      </c>
    </row>
    <row r="10" customFormat="false" ht="15" hidden="false" customHeight="false" outlineLevel="0" collapsed="false">
      <c r="A10" s="38" t="s">
        <v>865</v>
      </c>
      <c r="B10" s="44" t="str">
        <f aca="false">INDEX(Balance_21!$B$6:$B$36,MATCH(A10,Balance_21!$A$6:$A$36,0))</f>
        <v>Intereses Financieros por Pagar O.F.</v>
      </c>
      <c r="C10" s="32" t="n">
        <f aca="false">Balance_21!$C$27</f>
        <v>-1107168370</v>
      </c>
      <c r="D10" s="32" t="n">
        <f aca="false">SUMIFS(Mayor_Mov!$E$5:$E$445,Mayor_Mov!$B$5:$B$445,A10)</f>
        <v>3257045166</v>
      </c>
      <c r="E10" s="32" t="n">
        <f aca="false">SUMIFS(Mayor_Mov!$F$5:$F$445,Mayor_Mov!$B$5:$B$445,A10)</f>
        <v>2573515476</v>
      </c>
      <c r="F10" s="33" t="n">
        <f aca="false">C10+D10-E10</f>
        <v>-423638680</v>
      </c>
      <c r="G10" s="32" t="n">
        <f aca="false">Balance_21!$F$27</f>
        <v>-423638680</v>
      </c>
      <c r="H10" s="33" t="n">
        <f aca="false">F10-G10</f>
        <v>0</v>
      </c>
      <c r="I10" s="32" t="n">
        <f aca="false">Balance_21!$D$27</f>
        <v>3257045166</v>
      </c>
      <c r="J10" s="33" t="n">
        <f aca="false">D10-I10</f>
        <v>0</v>
      </c>
      <c r="K10" s="32" t="n">
        <f aca="false">Balance_21!$E$27</f>
        <v>2573515476</v>
      </c>
      <c r="L10" s="33" t="n">
        <f aca="false">E10-K10</f>
        <v>0</v>
      </c>
      <c r="M10" s="44" t="str">
        <f aca="false">IF(MAX(ABS(H10),ABS(J10),ABS(L10))&lt;=Resumen!$C$6,"OK","DIFERENCIA")</f>
        <v>OK</v>
      </c>
    </row>
    <row r="11" customFormat="false" ht="15" hidden="false" customHeight="false" outlineLevel="0" collapsed="false">
      <c r="A11" s="38" t="s">
        <v>983</v>
      </c>
      <c r="B11" s="44" t="str">
        <f aca="false">INDEX(Balance_21!$B$6:$B$36,MATCH(A11,Balance_21!$A$6:$A$36,0))</f>
        <v>Intereses Leasing por Pagar</v>
      </c>
      <c r="C11" s="32" t="n">
        <f aca="false">Balance_21!$C$28</f>
        <v>-93054514</v>
      </c>
      <c r="D11" s="32" t="n">
        <f aca="false">SUMIFS(Mayor_Mov!$E$5:$E$445,Mayor_Mov!$B$5:$B$445,A11)</f>
        <v>498712747.84</v>
      </c>
      <c r="E11" s="32" t="n">
        <f aca="false">SUMIFS(Mayor_Mov!$F$5:$F$445,Mayor_Mov!$B$5:$B$445,A11)</f>
        <v>409408571</v>
      </c>
      <c r="F11" s="33" t="n">
        <f aca="false">C11+D11-E11</f>
        <v>-3750337.16000003</v>
      </c>
      <c r="G11" s="32" t="n">
        <f aca="false">Balance_21!$F$28</f>
        <v>-3750337.16</v>
      </c>
      <c r="H11" s="33" t="n">
        <f aca="false">F11-G11</f>
        <v>-2.60770320892334E-008</v>
      </c>
      <c r="I11" s="32" t="n">
        <f aca="false">Balance_21!$D$28</f>
        <v>498712747.84</v>
      </c>
      <c r="J11" s="33" t="n">
        <f aca="false">D11-I11</f>
        <v>0</v>
      </c>
      <c r="K11" s="32" t="n">
        <f aca="false">Balance_21!$E$28</f>
        <v>409408571</v>
      </c>
      <c r="L11" s="33" t="n">
        <f aca="false">E11-K11</f>
        <v>0</v>
      </c>
      <c r="M11" s="44" t="str">
        <f aca="false">IF(MAX(ABS(H11),ABS(J11),ABS(L11))&lt;=Resumen!$C$6,"OK","DIFERENCIA")</f>
        <v>OK</v>
      </c>
    </row>
    <row r="12" customFormat="false" ht="15" hidden="false" customHeight="false" outlineLevel="0" collapsed="false">
      <c r="B12" s="40" t="s">
        <v>1162</v>
      </c>
      <c r="C12" s="41" t="n">
        <f aca="false">SUM(C5:C11)</f>
        <v>-50662748875.76</v>
      </c>
      <c r="D12" s="41" t="n">
        <f aca="false">SUM(D5:D11)</f>
        <v>32526204015.96</v>
      </c>
      <c r="E12" s="41" t="n">
        <f aca="false">SUM(E5:E11)</f>
        <v>28526158183.42</v>
      </c>
      <c r="F12" s="41" t="n">
        <f aca="false">SUM(F5:F11)</f>
        <v>-46662703043.22</v>
      </c>
      <c r="G12" s="41" t="n">
        <f aca="false">SUM(G5:G11)</f>
        <v>-46662703043.22</v>
      </c>
      <c r="H12" s="41" t="n">
        <f aca="false">SUM(H5:H11)</f>
        <v>-2.60770320892334E-008</v>
      </c>
      <c r="I12" s="41" t="n">
        <f aca="false">SUM(I5:I11)</f>
        <v>32526204015.96</v>
      </c>
      <c r="J12" s="41" t="n">
        <f aca="false">SUM(J5:J11)</f>
        <v>0</v>
      </c>
      <c r="K12" s="41" t="n">
        <f aca="false">SUM(K5:K11)</f>
        <v>28526158183.42</v>
      </c>
      <c r="L12" s="41" t="n">
        <f aca="false">SUM(L5:L11)</f>
        <v>0</v>
      </c>
      <c r="M12" s="45" t="str">
        <f aca="false">IF(MAX(ABS(H12),ABS(J12),ABS(L12))&lt;=Resumen!$C$6,"OK","DIFERENCIA")</f>
        <v>OK</v>
      </c>
    </row>
    <row r="13" customFormat="false" ht="15" hidden="false" customHeight="false" outlineLevel="0" collapsed="false">
      <c r="B13" s="26" t="s">
        <v>1163</v>
      </c>
      <c r="C13" s="32" t="n">
        <f aca="false">Balance_21!$C$13</f>
        <v>-50662748875.76</v>
      </c>
      <c r="G13" s="32" t="n">
        <f aca="false">Balance_21!$F$13</f>
        <v>-46662703043.22</v>
      </c>
      <c r="I13" s="32" t="n">
        <f aca="false">Balance_21!$D$13</f>
        <v>32526204015.96</v>
      </c>
      <c r="K13" s="32" t="n">
        <f aca="false">Balance_21!$E$13</f>
        <v>28526158183.42</v>
      </c>
    </row>
    <row r="14" customFormat="false" ht="15" hidden="false" customHeight="false" outlineLevel="0" collapsed="false">
      <c r="B14" s="26" t="s">
        <v>1164</v>
      </c>
      <c r="C14" s="33" t="n">
        <f aca="false">C12-C13</f>
        <v>0</v>
      </c>
      <c r="G14" s="33" t="n">
        <f aca="false">G12-G13</f>
        <v>0</v>
      </c>
      <c r="I14" s="33" t="n">
        <f aca="false">I12-I13</f>
        <v>0</v>
      </c>
      <c r="K14" s="33" t="n">
        <f aca="false">K12-K13</f>
        <v>0</v>
      </c>
    </row>
    <row r="16" customFormat="false" ht="15" hidden="false" customHeight="false" outlineLevel="0" collapsed="false">
      <c r="A16" s="46" t="s">
        <v>1165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</row>
    <row r="17" customFormat="false" ht="30" hidden="false" customHeight="true" outlineLevel="0" collapsed="false">
      <c r="A17" s="31"/>
      <c r="B17" s="31" t="s">
        <v>154</v>
      </c>
      <c r="C17" s="31" t="s">
        <v>1166</v>
      </c>
      <c r="D17" s="31" t="s">
        <v>1167</v>
      </c>
      <c r="E17" s="31" t="s">
        <v>152</v>
      </c>
    </row>
    <row r="18" customFormat="false" ht="15" hidden="false" customHeight="false" outlineLevel="0" collapsed="false">
      <c r="B18" s="26" t="s">
        <v>1095</v>
      </c>
      <c r="C18" s="39" t="n">
        <v>32526204015.96</v>
      </c>
      <c r="D18" s="32" t="n">
        <f aca="false">Mayor_Mov!E446</f>
        <v>32526204015.96</v>
      </c>
      <c r="E18" s="33" t="n">
        <f aca="false">C18-D18</f>
        <v>0</v>
      </c>
    </row>
    <row r="19" customFormat="false" ht="15" hidden="false" customHeight="false" outlineLevel="0" collapsed="false">
      <c r="B19" s="26" t="s">
        <v>1096</v>
      </c>
      <c r="C19" s="39" t="n">
        <v>28526158183.42</v>
      </c>
      <c r="D19" s="32" t="n">
        <f aca="false">Mayor_Mov!F446</f>
        <v>28526158183.42</v>
      </c>
      <c r="E19" s="33" t="n">
        <f aca="false">C19-D19</f>
        <v>0</v>
      </c>
    </row>
    <row r="20" customFormat="false" ht="15" hidden="false" customHeight="false" outlineLevel="0" collapsed="false">
      <c r="B20" s="26" t="s">
        <v>1168</v>
      </c>
      <c r="C20" s="39" t="n">
        <v>4000045832.54</v>
      </c>
      <c r="D20" s="32" t="n">
        <f aca="false">Mayor_Mov!G446</f>
        <v>4000045832.54</v>
      </c>
      <c r="E20" s="33" t="n">
        <f aca="false">C20-D20</f>
        <v>0</v>
      </c>
    </row>
    <row r="21" customFormat="false" ht="15" hidden="false" customHeight="false" outlineLevel="0" collapsed="false">
      <c r="B21" s="26" t="s">
        <v>1169</v>
      </c>
      <c r="D21" s="48" t="n">
        <f aca="false">COUNTA(Mayor_Mov!$B$5:$B$445)</f>
        <v>441</v>
      </c>
    </row>
    <row r="23" customFormat="false" ht="15" hidden="false" customHeight="false" outlineLevel="0" collapsed="false">
      <c r="A23" s="46" t="s">
        <v>1170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</row>
    <row r="24" customFormat="false" ht="30" hidden="false" customHeight="true" outlineLevel="0" collapsed="false">
      <c r="A24" s="31"/>
      <c r="B24" s="31" t="s">
        <v>224</v>
      </c>
      <c r="C24" s="31" t="s">
        <v>225</v>
      </c>
      <c r="D24" s="31" t="s">
        <v>226</v>
      </c>
      <c r="E24" s="31" t="s">
        <v>152</v>
      </c>
      <c r="F24" s="31"/>
      <c r="G24" s="31" t="s">
        <v>1171</v>
      </c>
    </row>
    <row r="25" customFormat="false" ht="25.5" hidden="false" customHeight="true" outlineLevel="0" collapsed="false">
      <c r="B25" s="13" t="s">
        <v>1172</v>
      </c>
      <c r="C25" s="32" t="n">
        <f aca="false">Balance_21!$F$13</f>
        <v>-46662703043.22</v>
      </c>
      <c r="D25" s="32" t="n">
        <f aca="false">Balance_21!$F$14+Balance_21!$F$20+Balance_21!$F$25</f>
        <v>-46662703043.22</v>
      </c>
      <c r="E25" s="33" t="n">
        <f aca="false">C25-D25</f>
        <v>0</v>
      </c>
      <c r="G25" s="13"/>
      <c r="H25" s="13"/>
      <c r="I25" s="13"/>
      <c r="J25" s="13"/>
      <c r="K25" s="13"/>
      <c r="L25" s="13"/>
      <c r="M25" s="13"/>
    </row>
    <row r="26" customFormat="false" ht="25.5" hidden="false" customHeight="true" outlineLevel="0" collapsed="false">
      <c r="B26" s="13" t="s">
        <v>1173</v>
      </c>
      <c r="C26" s="32" t="n">
        <f aca="false">Balance_21!$F$14</f>
        <v>-38331802397.73</v>
      </c>
      <c r="D26" s="32" t="n">
        <f aca="false">Balance_21!$F$15+Balance_21!$F$17</f>
        <v>-38331802397.73</v>
      </c>
      <c r="E26" s="33" t="n">
        <f aca="false">C26-D26</f>
        <v>0</v>
      </c>
      <c r="G26" s="13"/>
      <c r="H26" s="13"/>
      <c r="I26" s="13"/>
      <c r="J26" s="13"/>
      <c r="K26" s="13"/>
      <c r="L26" s="13"/>
      <c r="M26" s="13"/>
    </row>
    <row r="27" customFormat="false" ht="25.5" hidden="false" customHeight="true" outlineLevel="0" collapsed="false">
      <c r="B27" s="13" t="s">
        <v>1174</v>
      </c>
      <c r="C27" s="32" t="n">
        <f aca="false">Balance_21!$F$17</f>
        <v>-20393469064.73</v>
      </c>
      <c r="D27" s="32" t="n">
        <f aca="false">Balance_21!$F$18+Balance_21!$F$19</f>
        <v>-20393469064.73</v>
      </c>
      <c r="E27" s="33" t="n">
        <f aca="false">C27-D27</f>
        <v>0</v>
      </c>
      <c r="G27" s="13" t="s">
        <v>1175</v>
      </c>
      <c r="H27" s="13"/>
      <c r="I27" s="13"/>
      <c r="J27" s="13"/>
      <c r="K27" s="13"/>
      <c r="L27" s="13"/>
      <c r="M27" s="13"/>
    </row>
    <row r="28" customFormat="false" ht="25.5" hidden="false" customHeight="true" outlineLevel="0" collapsed="false">
      <c r="B28" s="13" t="s">
        <v>1176</v>
      </c>
      <c r="C28" s="32" t="n">
        <f aca="false">Balance_21!$F$20</f>
        <v>-7903511628.33</v>
      </c>
      <c r="D28" s="32" t="n">
        <f aca="false">Balance_21!$F$22+Balance_21!$F$24</f>
        <v>-7903511628.33</v>
      </c>
      <c r="E28" s="33" t="n">
        <f aca="false">C28-D28</f>
        <v>0</v>
      </c>
      <c r="G28" s="13"/>
      <c r="H28" s="13"/>
      <c r="I28" s="13"/>
      <c r="J28" s="13"/>
      <c r="K28" s="13"/>
      <c r="L28" s="13"/>
      <c r="M28" s="13"/>
    </row>
    <row r="29" customFormat="false" ht="25.5" hidden="false" customHeight="true" outlineLevel="0" collapsed="false">
      <c r="B29" s="13" t="s">
        <v>1177</v>
      </c>
      <c r="C29" s="32" t="n">
        <f aca="false">Balance_21!$F$25</f>
        <v>-427389017.16</v>
      </c>
      <c r="D29" s="32" t="n">
        <f aca="false">Balance_21!$F$27+Balance_21!$F$28</f>
        <v>-427389017.16</v>
      </c>
      <c r="E29" s="33" t="n">
        <f aca="false">C29-D29</f>
        <v>0</v>
      </c>
      <c r="G29" s="13"/>
      <c r="H29" s="13"/>
      <c r="I29" s="13"/>
      <c r="J29" s="13"/>
      <c r="K29" s="13"/>
      <c r="L29" s="13"/>
      <c r="M29" s="13"/>
    </row>
    <row r="30" customFormat="false" ht="25.5" hidden="false" customHeight="true" outlineLevel="0" collapsed="false">
      <c r="B30" s="13" t="s">
        <v>1178</v>
      </c>
      <c r="C30" s="32" t="n">
        <f aca="false">Balance_21!$F$6+Balance_21!$F$7+Balance_21!$F$8</f>
        <v>18399439273.3699</v>
      </c>
      <c r="D30" s="32" t="n">
        <f aca="false">-(Balance_21!$F$9+Balance_21!$F$10+Balance_21!$F$11+Balance_21!$F$12)</f>
        <v>18399439273.37</v>
      </c>
      <c r="E30" s="33" t="n">
        <f aca="false">C30-D30</f>
        <v>0</v>
      </c>
      <c r="G30" s="13" t="s">
        <v>1179</v>
      </c>
      <c r="H30" s="13"/>
      <c r="I30" s="13"/>
      <c r="J30" s="13"/>
      <c r="K30" s="13"/>
      <c r="L30" s="13"/>
      <c r="M30" s="13"/>
    </row>
    <row r="31" customFormat="false" ht="25.5" hidden="false" customHeight="true" outlineLevel="0" collapsed="false">
      <c r="B31" s="13" t="s">
        <v>1180</v>
      </c>
      <c r="C31" s="32" t="n">
        <f aca="false">-Balance_21!$F$27</f>
        <v>423638680</v>
      </c>
      <c r="D31" s="32" t="n">
        <f aca="false">Balance_21!$F$35</f>
        <v>423638680</v>
      </c>
      <c r="E31" s="33" t="n">
        <f aca="false">C31-D31</f>
        <v>0</v>
      </c>
      <c r="G31" s="13" t="s">
        <v>1181</v>
      </c>
      <c r="H31" s="13"/>
      <c r="I31" s="13"/>
      <c r="J31" s="13"/>
      <c r="K31" s="13"/>
      <c r="L31" s="13"/>
      <c r="M31" s="13"/>
    </row>
    <row r="32" customFormat="false" ht="25.5" hidden="false" customHeight="true" outlineLevel="0" collapsed="false">
      <c r="B32" s="13" t="s">
        <v>1182</v>
      </c>
      <c r="C32" s="32" t="n">
        <f aca="false">-Balance_21!$F$28</f>
        <v>3750337.16</v>
      </c>
      <c r="D32" s="32" t="n">
        <f aca="false">Balance_21!$F$36</f>
        <v>3750337.32</v>
      </c>
      <c r="E32" s="33" t="n">
        <f aca="false">C32-D32</f>
        <v>-0.15999999968335</v>
      </c>
      <c r="G32" s="13"/>
      <c r="H32" s="13"/>
      <c r="I32" s="13"/>
      <c r="J32" s="13"/>
      <c r="K32" s="13"/>
      <c r="L32" s="13"/>
      <c r="M32" s="13"/>
    </row>
    <row r="33" customFormat="false" ht="25.5" hidden="false" customHeight="true" outlineLevel="0" collapsed="false">
      <c r="B33" s="13" t="s">
        <v>1183</v>
      </c>
      <c r="C33" s="32" t="n">
        <f aca="false">-Balance_21!$C$27</f>
        <v>1107168370</v>
      </c>
      <c r="D33" s="32" t="n">
        <f aca="false">Balance_21!$E$34</f>
        <v>1107168370</v>
      </c>
      <c r="E33" s="33" t="n">
        <f aca="false">C33-D33</f>
        <v>0</v>
      </c>
      <c r="G33" s="13" t="s">
        <v>1184</v>
      </c>
      <c r="H33" s="13"/>
      <c r="I33" s="13"/>
      <c r="J33" s="13"/>
      <c r="K33" s="13"/>
      <c r="L33" s="13"/>
      <c r="M33" s="13"/>
    </row>
    <row r="34" customFormat="false" ht="25.5" hidden="false" customHeight="true" outlineLevel="0" collapsed="false">
      <c r="B34" s="13" t="s">
        <v>1185</v>
      </c>
      <c r="C34" s="32" t="n">
        <f aca="false">-Balance_21!$C$28</f>
        <v>93054514</v>
      </c>
      <c r="D34" s="32" t="n">
        <f aca="false">Balance_21!$E$33</f>
        <v>93054514</v>
      </c>
      <c r="E34" s="33" t="n">
        <f aca="false">C34-D34</f>
        <v>0</v>
      </c>
      <c r="G34" s="13"/>
      <c r="H34" s="13"/>
      <c r="I34" s="13"/>
      <c r="J34" s="13"/>
      <c r="K34" s="13"/>
      <c r="L34" s="13"/>
      <c r="M34" s="13"/>
    </row>
    <row r="36" customFormat="false" ht="15" hidden="false" customHeight="false" outlineLevel="0" collapsed="false">
      <c r="A36" s="46" t="s">
        <v>1186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</row>
    <row r="37" customFormat="false" ht="15" hidden="false" customHeight="false" outlineLevel="0" collapsed="false">
      <c r="B37" s="26" t="s">
        <v>1187</v>
      </c>
      <c r="C37" s="48" t="n">
        <f aca="false">Balance_21!$C$40</f>
        <v>0</v>
      </c>
      <c r="D37" s="26" t="str">
        <f aca="false">IF(C37=0,"Sin cambios posteriores al cierre de jul-26","Revisar ajustes posteriores")</f>
        <v>Sin cambios posteriores al cierre de jul-26</v>
      </c>
      <c r="E37" s="26"/>
      <c r="F37" s="26"/>
      <c r="G37" s="26"/>
      <c r="H37" s="26"/>
    </row>
  </sheetData>
  <mergeCells count="11">
    <mergeCell ref="G25:M25"/>
    <mergeCell ref="G26:M26"/>
    <mergeCell ref="G27:M27"/>
    <mergeCell ref="G28:M28"/>
    <mergeCell ref="G29:M29"/>
    <mergeCell ref="G30:M30"/>
    <mergeCell ref="G31:M31"/>
    <mergeCell ref="G32:M32"/>
    <mergeCell ref="G33:M33"/>
    <mergeCell ref="G34:M34"/>
    <mergeCell ref="D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Y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7"/>
    <col collapsed="false" customWidth="true" hidden="false" outlineLevel="0" max="7" min="7" style="0" width="9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7"/>
    <col collapsed="false" customWidth="true" hidden="false" outlineLevel="0" max="12" min="12" style="0" width="11"/>
    <col collapsed="false" customWidth="true" hidden="false" outlineLevel="0" max="14" min="13" style="0" width="16"/>
    <col collapsed="false" customWidth="true" hidden="false" outlineLevel="0" max="15" min="15" style="0" width="8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1" min="21" style="0" width="15"/>
    <col collapsed="false" customWidth="true" hidden="false" outlineLevel="0" max="22" min="22" style="0" width="11"/>
    <col collapsed="false" customWidth="true" hidden="false" outlineLevel="0" max="24" min="23" style="0" width="16"/>
    <col collapsed="false" customWidth="true" hidden="false" outlineLevel="0" max="25" min="25" style="0" width="10"/>
  </cols>
  <sheetData>
    <row r="1" customFormat="false" ht="16.15" hidden="false" customHeight="false" outlineLevel="0" collapsed="false">
      <c r="A1" s="23" t="s">
        <v>1188</v>
      </c>
    </row>
    <row r="2" customFormat="false" ht="15" hidden="false" customHeight="false" outlineLevel="0" collapsed="false">
      <c r="A2" s="24" t="s">
        <v>1189</v>
      </c>
    </row>
    <row r="4" customFormat="false" ht="15" hidden="false" customHeight="false" outlineLevel="0" collapsed="false">
      <c r="A4" s="42" t="s">
        <v>1190</v>
      </c>
    </row>
    <row r="5" customFormat="false" ht="15" hidden="false" customHeight="false" outlineLevel="0" collapsed="false">
      <c r="A5" s="38" t="s">
        <v>1191</v>
      </c>
      <c r="B5" s="49" t="n">
        <v>0.11555</v>
      </c>
    </row>
    <row r="6" customFormat="false" ht="15" hidden="false" customHeight="false" outlineLevel="0" collapsed="false">
      <c r="A6" s="38" t="s">
        <v>1192</v>
      </c>
      <c r="B6" s="49" t="n">
        <v>0.11768</v>
      </c>
    </row>
    <row r="7" customFormat="false" ht="15" hidden="false" customHeight="false" outlineLevel="0" collapsed="false">
      <c r="A7" s="38" t="s">
        <v>1193</v>
      </c>
      <c r="B7" s="49" t="n">
        <v>0.12025</v>
      </c>
    </row>
    <row r="8" customFormat="false" ht="15" hidden="false" customHeight="false" outlineLevel="0" collapsed="false">
      <c r="A8" s="38" t="s">
        <v>1194</v>
      </c>
      <c r="B8" s="49" t="n">
        <v>0.1024</v>
      </c>
    </row>
    <row r="9" customFormat="false" ht="15" hidden="false" customHeight="false" outlineLevel="0" collapsed="false">
      <c r="A9" s="38" t="s">
        <v>1195</v>
      </c>
      <c r="B9" s="49" t="n">
        <v>0.0362541</v>
      </c>
    </row>
    <row r="10" customFormat="false" ht="15" hidden="false" customHeight="false" outlineLevel="0" collapsed="false">
      <c r="A10" s="38" t="s">
        <v>1196</v>
      </c>
      <c r="B10" s="39" t="n">
        <v>3132.42</v>
      </c>
    </row>
    <row r="13" customFormat="false" ht="39.75" hidden="false" customHeight="true" outlineLevel="0" collapsed="false">
      <c r="A13" s="31" t="s">
        <v>157</v>
      </c>
      <c r="B13" s="31" t="s">
        <v>1197</v>
      </c>
      <c r="C13" s="31" t="s">
        <v>1198</v>
      </c>
      <c r="D13" s="31" t="s">
        <v>1199</v>
      </c>
      <c r="E13" s="31" t="s">
        <v>100</v>
      </c>
      <c r="F13" s="31" t="s">
        <v>1200</v>
      </c>
      <c r="G13" s="31" t="s">
        <v>1201</v>
      </c>
      <c r="H13" s="31" t="s">
        <v>106</v>
      </c>
      <c r="I13" s="31" t="s">
        <v>1202</v>
      </c>
      <c r="J13" s="31" t="s">
        <v>1203</v>
      </c>
      <c r="K13" s="31" t="s">
        <v>1204</v>
      </c>
      <c r="L13" s="31" t="s">
        <v>1205</v>
      </c>
      <c r="M13" s="31" t="s">
        <v>1206</v>
      </c>
      <c r="N13" s="31" t="s">
        <v>1207</v>
      </c>
      <c r="O13" s="31" t="s">
        <v>1208</v>
      </c>
      <c r="P13" s="31" t="s">
        <v>1209</v>
      </c>
      <c r="Q13" s="31" t="s">
        <v>1210</v>
      </c>
      <c r="R13" s="31" t="s">
        <v>1211</v>
      </c>
      <c r="S13" s="31" t="s">
        <v>1212</v>
      </c>
      <c r="T13" s="31" t="s">
        <v>1213</v>
      </c>
      <c r="U13" s="31" t="s">
        <v>1214</v>
      </c>
      <c r="V13" s="31" t="s">
        <v>1215</v>
      </c>
      <c r="W13" s="31" t="s">
        <v>1216</v>
      </c>
      <c r="X13" s="31" t="s">
        <v>1217</v>
      </c>
      <c r="Y13" s="31" t="s">
        <v>1218</v>
      </c>
    </row>
    <row r="14" customFormat="false" ht="15" hidden="false" customHeight="false" outlineLevel="0" collapsed="false">
      <c r="A14" s="38" t="s">
        <v>1219</v>
      </c>
      <c r="B14" s="38" t="s">
        <v>1220</v>
      </c>
      <c r="C14" s="34" t="s">
        <v>118</v>
      </c>
      <c r="D14" s="38" t="s">
        <v>1221</v>
      </c>
      <c r="E14" s="38" t="s">
        <v>1222</v>
      </c>
      <c r="F14" s="39" t="n">
        <v>398582167.21439</v>
      </c>
      <c r="G14" s="50" t="n">
        <v>0.0233555769407866</v>
      </c>
      <c r="H14" s="38" t="s">
        <v>1191</v>
      </c>
      <c r="I14" s="50" t="n">
        <v>0.04</v>
      </c>
      <c r="J14" s="50" t="n">
        <v>0.167133181668336</v>
      </c>
      <c r="K14" s="38" t="n">
        <v>12</v>
      </c>
      <c r="L14" s="38" t="s">
        <v>1223</v>
      </c>
      <c r="M14" s="39" t="n">
        <v>194846536</v>
      </c>
      <c r="N14" s="39" t="n">
        <v>203735631.21439</v>
      </c>
      <c r="O14" s="38" t="n">
        <v>27</v>
      </c>
      <c r="P14" s="27" t="n">
        <v>47037</v>
      </c>
      <c r="Q14" s="50" t="n">
        <v>0.00390349188381327</v>
      </c>
      <c r="R14" s="51" t="n">
        <f aca="false">IF(LEFT(H14,11)="IBR 6 MESES",Detalle_62!$B$7,IF(LEFT(H14,11)="IBR 3 MESES",Detalle_62!$B$6,IF(H14="DTF",Detalle_62!$B$8,Detalle_62!$B$5)))</f>
        <v>0.11555</v>
      </c>
      <c r="S14" s="52" t="n">
        <f aca="false">(1+(R14+I14)/K14)^K14-1</f>
        <v>0.167133181668335</v>
      </c>
      <c r="T14" s="53" t="n">
        <f aca="false">(J14-S14)*10000</f>
        <v>0</v>
      </c>
      <c r="U14" s="33" t="n">
        <f aca="false">M14+N14-F14</f>
        <v>0</v>
      </c>
      <c r="V14" s="44" t="str">
        <f aca="false">IF(ABS(U14)&gt;Resumen!$C$6,"ERROR",IF(OR(M14&lt;0,N14&lt;0),"ERROR","OK"))</f>
        <v>OK</v>
      </c>
      <c r="W14" s="33" t="n">
        <f aca="false">MIN(MAX(M14,0),F14)</f>
        <v>194846536</v>
      </c>
      <c r="X14" s="33" t="n">
        <f aca="false">F14-W14</f>
        <v>203735631.21439</v>
      </c>
      <c r="Y14" s="54" t="n">
        <f aca="false">F14/SUMIFS($F$14:$F$35,$A$14:$A$35,A14)</f>
        <v>0.0233555769407866</v>
      </c>
    </row>
    <row r="15" customFormat="false" ht="15" hidden="false" customHeight="false" outlineLevel="0" collapsed="false">
      <c r="A15" s="38" t="s">
        <v>1219</v>
      </c>
      <c r="B15" s="38" t="s">
        <v>1224</v>
      </c>
      <c r="C15" s="34" t="s">
        <v>119</v>
      </c>
      <c r="D15" s="38" t="s">
        <v>1221</v>
      </c>
      <c r="E15" s="38" t="s">
        <v>1225</v>
      </c>
      <c r="F15" s="39" t="n">
        <v>323529688.533944</v>
      </c>
      <c r="G15" s="50" t="n">
        <v>0.0189577536446052</v>
      </c>
      <c r="H15" s="38" t="s">
        <v>1191</v>
      </c>
      <c r="I15" s="50" t="n">
        <v>0.04</v>
      </c>
      <c r="J15" s="50" t="n">
        <v>0.167133181668336</v>
      </c>
      <c r="K15" s="38" t="n">
        <v>12</v>
      </c>
      <c r="L15" s="38" t="s">
        <v>1223</v>
      </c>
      <c r="M15" s="39" t="n">
        <v>142014647.455294</v>
      </c>
      <c r="N15" s="39" t="n">
        <v>181515041.07865</v>
      </c>
      <c r="O15" s="38" t="n">
        <v>29</v>
      </c>
      <c r="P15" s="27" t="n">
        <v>47098</v>
      </c>
      <c r="Q15" s="50" t="n">
        <v>0.00316846968390735</v>
      </c>
      <c r="R15" s="51" t="n">
        <f aca="false">IF(LEFT(H15,11)="IBR 6 MESES",Detalle_62!$B$7,IF(LEFT(H15,11)="IBR 3 MESES",Detalle_62!$B$6,IF(H15="DTF",Detalle_62!$B$8,Detalle_62!$B$5)))</f>
        <v>0.11555</v>
      </c>
      <c r="S15" s="52" t="n">
        <f aca="false">(1+(R15+I15)/K15)^K15-1</f>
        <v>0.167133181668335</v>
      </c>
      <c r="T15" s="53" t="n">
        <f aca="false">(J15-S15)*10000</f>
        <v>0</v>
      </c>
      <c r="U15" s="33" t="n">
        <f aca="false">M15+N15-F15</f>
        <v>0</v>
      </c>
      <c r="V15" s="44" t="str">
        <f aca="false">IF(ABS(U15)&gt;Resumen!$C$6,"ERROR",IF(OR(M15&lt;0,N15&lt;0),"ERROR","OK"))</f>
        <v>OK</v>
      </c>
      <c r="W15" s="33" t="n">
        <f aca="false">MIN(MAX(M15,0),F15)</f>
        <v>142014647.455294</v>
      </c>
      <c r="X15" s="33" t="n">
        <f aca="false">F15-W15</f>
        <v>181515041.07865</v>
      </c>
      <c r="Y15" s="54" t="n">
        <f aca="false">F15/SUMIFS($F$14:$F$35,$A$14:$A$35,A15)</f>
        <v>0.0189577536446052</v>
      </c>
    </row>
    <row r="16" customFormat="false" ht="15" hidden="false" customHeight="false" outlineLevel="0" collapsed="false">
      <c r="A16" s="38" t="s">
        <v>1219</v>
      </c>
      <c r="B16" s="38" t="s">
        <v>1226</v>
      </c>
      <c r="C16" s="34" t="s">
        <v>120</v>
      </c>
      <c r="D16" s="38" t="s">
        <v>1221</v>
      </c>
      <c r="E16" s="38" t="s">
        <v>1227</v>
      </c>
      <c r="F16" s="39" t="n">
        <v>1883712218.08706</v>
      </c>
      <c r="G16" s="50" t="n">
        <v>0.110379212274612</v>
      </c>
      <c r="H16" s="38" t="s">
        <v>1192</v>
      </c>
      <c r="I16" s="50" t="n">
        <v>0.023</v>
      </c>
      <c r="J16" s="50" t="n">
        <v>0.148277114550755</v>
      </c>
      <c r="K16" s="38" t="n">
        <v>4</v>
      </c>
      <c r="L16" s="38" t="s">
        <v>1228</v>
      </c>
      <c r="M16" s="39" t="n">
        <v>0</v>
      </c>
      <c r="N16" s="39" t="n">
        <v>1883712218.08706</v>
      </c>
      <c r="O16" s="38" t="n">
        <v>22</v>
      </c>
      <c r="P16" s="27" t="n">
        <v>48235</v>
      </c>
      <c r="Q16" s="50" t="n">
        <v>0.0163667111024648</v>
      </c>
      <c r="R16" s="51" t="n">
        <f aca="false">IF(LEFT(H16,11)="IBR 6 MESES",Detalle_62!$B$7,IF(LEFT(H16,11)="IBR 3 MESES",Detalle_62!$B$6,IF(H16="DTF",Detalle_62!$B$8,Detalle_62!$B$5)))</f>
        <v>0.11768</v>
      </c>
      <c r="S16" s="52" t="n">
        <f aca="false">(1+(R16+I16)/K16)^K16-1</f>
        <v>0.148277114550755</v>
      </c>
      <c r="T16" s="53" t="n">
        <f aca="false">(J16-S16)*10000</f>
        <v>0</v>
      </c>
      <c r="U16" s="33" t="n">
        <f aca="false">M16+N16-F16</f>
        <v>0</v>
      </c>
      <c r="V16" s="44" t="str">
        <f aca="false">IF(ABS(U16)&gt;Resumen!$C$6,"ERROR",IF(OR(M16&lt;0,N16&lt;0),"ERROR","OK"))</f>
        <v>OK</v>
      </c>
      <c r="W16" s="33" t="n">
        <f aca="false">MIN(MAX(M16,0),F16)</f>
        <v>0</v>
      </c>
      <c r="X16" s="33" t="n">
        <f aca="false">F16-W16</f>
        <v>1883712218.08706</v>
      </c>
      <c r="Y16" s="54" t="n">
        <f aca="false">F16/SUMIFS($F$14:$F$35,$A$14:$A$35,A16)</f>
        <v>0.110379212274612</v>
      </c>
    </row>
    <row r="17" customFormat="false" ht="15" hidden="false" customHeight="false" outlineLevel="0" collapsed="false">
      <c r="A17" s="38" t="s">
        <v>1219</v>
      </c>
      <c r="B17" s="38" t="n">
        <v>457300569032</v>
      </c>
      <c r="C17" s="34" t="s">
        <v>115</v>
      </c>
      <c r="D17" s="38" t="s">
        <v>165</v>
      </c>
      <c r="E17" s="38" t="s">
        <v>1229</v>
      </c>
      <c r="F17" s="39" t="n">
        <v>3000000000</v>
      </c>
      <c r="G17" s="50" t="n">
        <v>0.175789928867219</v>
      </c>
      <c r="H17" s="38" t="s">
        <v>1193</v>
      </c>
      <c r="I17" s="50" t="n">
        <v>0.034</v>
      </c>
      <c r="J17" s="50" t="n">
        <v>0.160198265625</v>
      </c>
      <c r="K17" s="38" t="n">
        <v>2</v>
      </c>
      <c r="L17" s="38" t="s">
        <v>1230</v>
      </c>
      <c r="M17" s="39" t="n">
        <v>0</v>
      </c>
      <c r="N17" s="39" t="n">
        <v>3000000000</v>
      </c>
      <c r="O17" s="38" t="n">
        <v>30</v>
      </c>
      <c r="P17" s="27" t="n">
        <v>51710</v>
      </c>
      <c r="Q17" s="50" t="n">
        <v>0.0281612417188707</v>
      </c>
      <c r="R17" s="51" t="n">
        <f aca="false">IF(LEFT(H17,11)="IBR 6 MESES",Detalle_62!$B$7,IF(LEFT(H17,11)="IBR 3 MESES",Detalle_62!$B$6,IF(H17="DTF",Detalle_62!$B$8,Detalle_62!$B$5)))</f>
        <v>0.12025</v>
      </c>
      <c r="S17" s="52" t="n">
        <f aca="false">(1+(R17+I17)/K17)^K17-1</f>
        <v>0.160198265625</v>
      </c>
      <c r="T17" s="53" t="n">
        <f aca="false">(J17-S17)*10000</f>
        <v>0</v>
      </c>
      <c r="U17" s="33" t="n">
        <f aca="false">M17+N17-F17</f>
        <v>0</v>
      </c>
      <c r="V17" s="44" t="str">
        <f aca="false">IF(ABS(U17)&gt;Resumen!$C$6,"ERROR",IF(OR(M17&lt;0,N17&lt;0),"ERROR","OK"))</f>
        <v>OK</v>
      </c>
      <c r="W17" s="33" t="n">
        <f aca="false">MIN(MAX(M17,0),F17)</f>
        <v>0</v>
      </c>
      <c r="X17" s="33" t="n">
        <f aca="false">F17-W17</f>
        <v>3000000000</v>
      </c>
      <c r="Y17" s="54" t="n">
        <f aca="false">F17/SUMIFS($F$14:$F$35,$A$14:$A$35,A17)</f>
        <v>0.175789928867219</v>
      </c>
    </row>
    <row r="18" customFormat="false" ht="15" hidden="false" customHeight="false" outlineLevel="0" collapsed="false">
      <c r="A18" s="38" t="s">
        <v>1219</v>
      </c>
      <c r="B18" s="38" t="s">
        <v>1231</v>
      </c>
      <c r="C18" s="34" t="s">
        <v>116</v>
      </c>
      <c r="D18" s="38" t="s">
        <v>165</v>
      </c>
      <c r="E18" s="38" t="s">
        <v>1229</v>
      </c>
      <c r="F18" s="39" t="n">
        <v>7500000000</v>
      </c>
      <c r="G18" s="50" t="n">
        <v>0.439474822168048</v>
      </c>
      <c r="H18" s="38" t="s">
        <v>1193</v>
      </c>
      <c r="I18" s="50" t="n">
        <v>0.03</v>
      </c>
      <c r="J18" s="50" t="n">
        <v>0.155893765625</v>
      </c>
      <c r="K18" s="38" t="n">
        <v>2</v>
      </c>
      <c r="L18" s="38" t="s">
        <v>1230</v>
      </c>
      <c r="M18" s="39" t="n">
        <v>0</v>
      </c>
      <c r="N18" s="39" t="n">
        <v>7500000000</v>
      </c>
      <c r="O18" s="38" t="n">
        <v>36</v>
      </c>
      <c r="P18" s="27" t="n">
        <v>52677</v>
      </c>
      <c r="Q18" s="50" t="n">
        <v>0.0685113849251541</v>
      </c>
      <c r="R18" s="51" t="n">
        <f aca="false">IF(LEFT(H18,11)="IBR 6 MESES",Detalle_62!$B$7,IF(LEFT(H18,11)="IBR 3 MESES",Detalle_62!$B$6,IF(H18="DTF",Detalle_62!$B$8,Detalle_62!$B$5)))</f>
        <v>0.12025</v>
      </c>
      <c r="S18" s="52" t="n">
        <f aca="false">(1+(R18+I18)/K18)^K18-1</f>
        <v>0.155893765625</v>
      </c>
      <c r="T18" s="53" t="n">
        <f aca="false">(J18-S18)*10000</f>
        <v>0</v>
      </c>
      <c r="U18" s="33" t="n">
        <f aca="false">M18+N18-F18</f>
        <v>0</v>
      </c>
      <c r="V18" s="44" t="str">
        <f aca="false">IF(ABS(U18)&gt;Resumen!$C$6,"ERROR",IF(OR(M18&lt;0,N18&lt;0),"ERROR","OK"))</f>
        <v>OK</v>
      </c>
      <c r="W18" s="33" t="n">
        <f aca="false">MIN(MAX(M18,0),F18)</f>
        <v>0</v>
      </c>
      <c r="X18" s="33" t="n">
        <f aca="false">F18-W18</f>
        <v>7500000000</v>
      </c>
      <c r="Y18" s="54" t="n">
        <f aca="false">F18/SUMIFS($F$14:$F$35,$A$14:$A$35,A18)</f>
        <v>0.439474822168048</v>
      </c>
    </row>
    <row r="19" customFormat="false" ht="15" hidden="false" customHeight="false" outlineLevel="0" collapsed="false">
      <c r="A19" s="38" t="s">
        <v>1219</v>
      </c>
      <c r="B19" s="38" t="s">
        <v>1232</v>
      </c>
      <c r="C19" s="34" t="s">
        <v>117</v>
      </c>
      <c r="D19" s="38" t="s">
        <v>165</v>
      </c>
      <c r="E19" s="38" t="s">
        <v>1229</v>
      </c>
      <c r="F19" s="39" t="n">
        <v>3960000000</v>
      </c>
      <c r="G19" s="50" t="n">
        <v>0.232042706104729</v>
      </c>
      <c r="H19" s="38" t="s">
        <v>1193</v>
      </c>
      <c r="I19" s="50" t="n">
        <v>0.034</v>
      </c>
      <c r="J19" s="50" t="n">
        <v>0.160198265625</v>
      </c>
      <c r="K19" s="38" t="n">
        <v>2</v>
      </c>
      <c r="L19" s="38" t="s">
        <v>1230</v>
      </c>
      <c r="M19" s="39" t="n">
        <v>0</v>
      </c>
      <c r="N19" s="39" t="n">
        <v>3960000000</v>
      </c>
      <c r="O19" s="38" t="n">
        <v>30</v>
      </c>
      <c r="P19" s="27" t="n">
        <v>51710</v>
      </c>
      <c r="Q19" s="50" t="n">
        <v>0.0371728390689093</v>
      </c>
      <c r="R19" s="51" t="n">
        <f aca="false">IF(LEFT(H19,11)="IBR 6 MESES",Detalle_62!$B$7,IF(LEFT(H19,11)="IBR 3 MESES",Detalle_62!$B$6,IF(H19="DTF",Detalle_62!$B$8,Detalle_62!$B$5)))</f>
        <v>0.12025</v>
      </c>
      <c r="S19" s="52" t="n">
        <f aca="false">(1+(R19+I19)/K19)^K19-1</f>
        <v>0.160198265625</v>
      </c>
      <c r="T19" s="53" t="n">
        <f aca="false">(J19-S19)*10000</f>
        <v>0</v>
      </c>
      <c r="U19" s="33" t="n">
        <f aca="false">M19+N19-F19</f>
        <v>0</v>
      </c>
      <c r="V19" s="44" t="str">
        <f aca="false">IF(ABS(U19)&gt;Resumen!$C$6,"ERROR",IF(OR(M19&lt;0,N19&lt;0),"ERROR","OK"))</f>
        <v>OK</v>
      </c>
      <c r="W19" s="33" t="n">
        <f aca="false">MIN(MAX(M19,0),F19)</f>
        <v>0</v>
      </c>
      <c r="X19" s="33" t="n">
        <f aca="false">F19-W19</f>
        <v>3960000000</v>
      </c>
      <c r="Y19" s="54" t="n">
        <f aca="false">F19/SUMIFS($F$14:$F$35,$A$14:$A$35,A19)</f>
        <v>0.232042706104729</v>
      </c>
    </row>
    <row r="20" customFormat="false" ht="15" hidden="false" customHeight="false" outlineLevel="0" collapsed="false">
      <c r="A20" s="38" t="s">
        <v>306</v>
      </c>
      <c r="B20" s="38" t="s">
        <v>1233</v>
      </c>
      <c r="C20" s="34" t="s">
        <v>124</v>
      </c>
      <c r="D20" s="38" t="s">
        <v>165</v>
      </c>
      <c r="E20" s="38" t="s">
        <v>1229</v>
      </c>
      <c r="F20" s="39" t="n">
        <v>2937500000</v>
      </c>
      <c r="G20" s="50" t="n">
        <v>0.162938864193917</v>
      </c>
      <c r="H20" s="38" t="s">
        <v>1191</v>
      </c>
      <c r="I20" s="50" t="n">
        <v>0.047</v>
      </c>
      <c r="J20" s="50" t="n">
        <v>0.175224160801509</v>
      </c>
      <c r="K20" s="38" t="n">
        <v>12</v>
      </c>
      <c r="L20" s="38" t="s">
        <v>1223</v>
      </c>
      <c r="M20" s="39" t="n">
        <v>750000000</v>
      </c>
      <c r="N20" s="39" t="n">
        <v>2187500000</v>
      </c>
      <c r="O20" s="38" t="n">
        <v>47</v>
      </c>
      <c r="P20" s="27" t="n">
        <v>47651</v>
      </c>
      <c r="Q20" s="50" t="n">
        <v>0.0285508257403301</v>
      </c>
      <c r="R20" s="51" t="n">
        <f aca="false">IF(LEFT(H20,11)="IBR 6 MESES",Detalle_62!$B$7,IF(LEFT(H20,11)="IBR 3 MESES",Detalle_62!$B$6,IF(H20="DTF",Detalle_62!$B$8,Detalle_62!$B$5)))</f>
        <v>0.11555</v>
      </c>
      <c r="S20" s="52" t="n">
        <f aca="false">(1+(R20+I20)/K20)^K20-1</f>
        <v>0.175224160801509</v>
      </c>
      <c r="T20" s="53" t="n">
        <f aca="false">(J20-S20)*10000</f>
        <v>0</v>
      </c>
      <c r="U20" s="33" t="n">
        <f aca="false">M20+N20-F20</f>
        <v>0</v>
      </c>
      <c r="V20" s="44" t="str">
        <f aca="false">IF(ABS(U20)&gt;Resumen!$C$6,"ERROR",IF(OR(M20&lt;0,N20&lt;0),"ERROR","OK"))</f>
        <v>OK</v>
      </c>
      <c r="W20" s="33" t="n">
        <f aca="false">MIN(MAX(M20,0),F20)</f>
        <v>750000000</v>
      </c>
      <c r="X20" s="33" t="n">
        <f aca="false">F20-W20</f>
        <v>2187500000</v>
      </c>
      <c r="Y20" s="54" t="n">
        <f aca="false">F20/SUMIFS($F$14:$F$35,$A$14:$A$35,A20)</f>
        <v>0.162938864193917</v>
      </c>
    </row>
    <row r="21" customFormat="false" ht="15" hidden="false" customHeight="false" outlineLevel="0" collapsed="false">
      <c r="A21" s="38" t="s">
        <v>306</v>
      </c>
      <c r="B21" s="38" t="s">
        <v>1234</v>
      </c>
      <c r="C21" s="34" t="s">
        <v>125</v>
      </c>
      <c r="D21" s="38" t="s">
        <v>165</v>
      </c>
      <c r="E21" s="38" t="s">
        <v>1229</v>
      </c>
      <c r="F21" s="39" t="n">
        <v>1457333332</v>
      </c>
      <c r="G21" s="50" t="n">
        <v>0.0808361660827291</v>
      </c>
      <c r="H21" s="38" t="s">
        <v>1192</v>
      </c>
      <c r="I21" s="50" t="n">
        <v>0.032</v>
      </c>
      <c r="J21" s="50" t="n">
        <v>0.158293089495938</v>
      </c>
      <c r="K21" s="38" t="n">
        <v>4</v>
      </c>
      <c r="L21" s="38" t="s">
        <v>1228</v>
      </c>
      <c r="M21" s="39" t="n">
        <v>750000000</v>
      </c>
      <c r="N21" s="39" t="n">
        <v>707333332</v>
      </c>
      <c r="O21" s="38" t="n">
        <v>8</v>
      </c>
      <c r="P21" s="27" t="n">
        <v>46925</v>
      </c>
      <c r="Q21" s="50" t="n">
        <v>0.0127958064722419</v>
      </c>
      <c r="R21" s="51" t="n">
        <f aca="false">IF(LEFT(H21,11)="IBR 6 MESES",Detalle_62!$B$7,IF(LEFT(H21,11)="IBR 3 MESES",Detalle_62!$B$6,IF(H21="DTF",Detalle_62!$B$8,Detalle_62!$B$5)))</f>
        <v>0.11768</v>
      </c>
      <c r="S21" s="52" t="n">
        <f aca="false">(1+(R21+I21)/K21)^K21-1</f>
        <v>0.158293089495938</v>
      </c>
      <c r="T21" s="53" t="n">
        <f aca="false">(J21-S21)*10000</f>
        <v>0</v>
      </c>
      <c r="U21" s="33" t="n">
        <f aca="false">M21+N21-F21</f>
        <v>0</v>
      </c>
      <c r="V21" s="44" t="str">
        <f aca="false">IF(ABS(U21)&gt;Resumen!$C$6,"ERROR",IF(OR(M21&lt;0,N21&lt;0),"ERROR","OK"))</f>
        <v>OK</v>
      </c>
      <c r="W21" s="33" t="n">
        <f aca="false">MIN(MAX(M21,0),F21)</f>
        <v>750000000</v>
      </c>
      <c r="X21" s="33" t="n">
        <f aca="false">F21-W21</f>
        <v>707333332</v>
      </c>
      <c r="Y21" s="54" t="n">
        <f aca="false">F21/SUMIFS($F$14:$F$35,$A$14:$A$35,A21)</f>
        <v>0.0808361660827291</v>
      </c>
    </row>
    <row r="22" customFormat="false" ht="15" hidden="false" customHeight="false" outlineLevel="0" collapsed="false">
      <c r="A22" s="38" t="s">
        <v>306</v>
      </c>
      <c r="B22" s="38" t="s">
        <v>1235</v>
      </c>
      <c r="C22" s="34" t="s">
        <v>126</v>
      </c>
      <c r="D22" s="38" t="s">
        <v>165</v>
      </c>
      <c r="E22" s="38" t="s">
        <v>1229</v>
      </c>
      <c r="F22" s="39" t="n">
        <v>1125000000</v>
      </c>
      <c r="G22" s="50" t="n">
        <v>0.0624021182019257</v>
      </c>
      <c r="H22" s="38" t="s">
        <v>1192</v>
      </c>
      <c r="I22" s="50" t="n">
        <v>0.046</v>
      </c>
      <c r="J22" s="50" t="n">
        <v>0.174003555557499</v>
      </c>
      <c r="K22" s="38" t="n">
        <v>4</v>
      </c>
      <c r="L22" s="38" t="s">
        <v>1228</v>
      </c>
      <c r="M22" s="39" t="n">
        <v>500000000</v>
      </c>
      <c r="N22" s="39" t="n">
        <v>625000000</v>
      </c>
      <c r="O22" s="38" t="n">
        <v>9</v>
      </c>
      <c r="P22" s="27" t="n">
        <v>46990</v>
      </c>
      <c r="Q22" s="50" t="n">
        <v>0.0108581904414544</v>
      </c>
      <c r="R22" s="51" t="n">
        <f aca="false">IF(LEFT(H22,11)="IBR 6 MESES",Detalle_62!$B$7,IF(LEFT(H22,11)="IBR 3 MESES",Detalle_62!$B$6,IF(H22="DTF",Detalle_62!$B$8,Detalle_62!$B$5)))</f>
        <v>0.11768</v>
      </c>
      <c r="S22" s="52" t="n">
        <f aca="false">(1+(R22+I22)/K22)^K22-1</f>
        <v>0.174003555557499</v>
      </c>
      <c r="T22" s="53" t="n">
        <f aca="false">(J22-S22)*10000</f>
        <v>0</v>
      </c>
      <c r="U22" s="33" t="n">
        <f aca="false">M22+N22-F22</f>
        <v>0</v>
      </c>
      <c r="V22" s="44" t="str">
        <f aca="false">IF(ABS(U22)&gt;Resumen!$C$6,"ERROR",IF(OR(M22&lt;0,N22&lt;0),"ERROR","OK"))</f>
        <v>OK</v>
      </c>
      <c r="W22" s="33" t="n">
        <f aca="false">MIN(MAX(M22,0),F22)</f>
        <v>500000000</v>
      </c>
      <c r="X22" s="33" t="n">
        <f aca="false">F22-W22</f>
        <v>625000000</v>
      </c>
      <c r="Y22" s="54" t="n">
        <f aca="false">F22/SUMIFS($F$14:$F$35,$A$14:$A$35,A22)</f>
        <v>0.0624021182019257</v>
      </c>
    </row>
    <row r="23" customFormat="false" ht="15" hidden="false" customHeight="false" outlineLevel="0" collapsed="false">
      <c r="A23" s="38" t="s">
        <v>306</v>
      </c>
      <c r="B23" s="38" t="n">
        <v>1159383796</v>
      </c>
      <c r="C23" s="34" t="s">
        <v>127</v>
      </c>
      <c r="D23" s="38" t="s">
        <v>165</v>
      </c>
      <c r="E23" s="38" t="s">
        <v>1229</v>
      </c>
      <c r="F23" s="39" t="n">
        <v>10000000000</v>
      </c>
      <c r="G23" s="50" t="n">
        <v>0.554685495128229</v>
      </c>
      <c r="H23" s="38" t="s">
        <v>1192</v>
      </c>
      <c r="I23" s="50" t="n">
        <v>0.008</v>
      </c>
      <c r="J23" s="50" t="n">
        <v>0.1296288656</v>
      </c>
      <c r="K23" s="38" t="n">
        <v>2</v>
      </c>
      <c r="L23" s="38" t="s">
        <v>1230</v>
      </c>
      <c r="M23" s="39" t="n">
        <v>10000000000</v>
      </c>
      <c r="N23" s="39" t="n">
        <v>0</v>
      </c>
      <c r="O23" s="38" t="n">
        <v>1</v>
      </c>
      <c r="P23" s="27" t="n">
        <v>46409</v>
      </c>
      <c r="Q23" s="50" t="n">
        <v>0.0719032514982466</v>
      </c>
      <c r="R23" s="51" t="n">
        <f aca="false">IF(LEFT(H23,11)="IBR 6 MESES",Detalle_62!$B$7,IF(LEFT(H23,11)="IBR 3 MESES",Detalle_62!$B$6,IF(H23="DTF",Detalle_62!$B$8,Detalle_62!$B$5)))</f>
        <v>0.11768</v>
      </c>
      <c r="S23" s="52" t="n">
        <f aca="false">(1+(R23+I23)/K23)^K23-1</f>
        <v>0.1296288656</v>
      </c>
      <c r="T23" s="53" t="n">
        <f aca="false">(J23-S23)*10000</f>
        <v>0</v>
      </c>
      <c r="U23" s="33" t="n">
        <f aca="false">M23+N23-F23</f>
        <v>0</v>
      </c>
      <c r="V23" s="44" t="str">
        <f aca="false">IF(ABS(U23)&gt;Resumen!$C$6,"ERROR",IF(OR(M23&lt;0,N23&lt;0),"ERROR","OK"))</f>
        <v>OK</v>
      </c>
      <c r="W23" s="33" t="n">
        <f aca="false">MIN(MAX(M23,0),F23)</f>
        <v>10000000000</v>
      </c>
      <c r="X23" s="33" t="n">
        <f aca="false">F23-W23</f>
        <v>0</v>
      </c>
      <c r="Y23" s="54" t="n">
        <f aca="false">F23/SUMIFS($F$14:$F$35,$A$14:$A$35,A23)</f>
        <v>0.554685495128229</v>
      </c>
    </row>
    <row r="24" customFormat="false" ht="15" hidden="false" customHeight="false" outlineLevel="0" collapsed="false">
      <c r="A24" s="38" t="s">
        <v>306</v>
      </c>
      <c r="B24" s="38" t="s">
        <v>1236</v>
      </c>
      <c r="C24" s="34" t="s">
        <v>128</v>
      </c>
      <c r="D24" s="38" t="s">
        <v>1221</v>
      </c>
      <c r="E24" s="38" t="s">
        <v>1237</v>
      </c>
      <c r="F24" s="39" t="n">
        <v>381845387.419314</v>
      </c>
      <c r="G24" s="50" t="n">
        <v>0.0211804097783112</v>
      </c>
      <c r="H24" s="38" t="s">
        <v>1194</v>
      </c>
      <c r="I24" s="50" t="n">
        <v>0.0357</v>
      </c>
      <c r="J24" s="50" t="n">
        <v>0.145417886389703</v>
      </c>
      <c r="K24" s="38" t="n">
        <v>4</v>
      </c>
      <c r="L24" s="38" t="s">
        <v>1228</v>
      </c>
      <c r="M24" s="39" t="n">
        <v>175631569.283009</v>
      </c>
      <c r="N24" s="39" t="n">
        <v>206213818.136305</v>
      </c>
      <c r="O24" s="38" t="n">
        <v>14</v>
      </c>
      <c r="P24" s="27" t="n">
        <v>47503</v>
      </c>
      <c r="Q24" s="50" t="n">
        <v>0.00308001042282982</v>
      </c>
      <c r="R24" s="51" t="n">
        <f aca="false">IF(LEFT(H24,11)="IBR 6 MESES",Detalle_62!$B$7,IF(LEFT(H24,11)="IBR 3 MESES",Detalle_62!$B$6,IF(H24="DTF",Detalle_62!$B$8,Detalle_62!$B$5)))</f>
        <v>0.1024</v>
      </c>
      <c r="S24" s="52" t="n">
        <f aca="false">(1+(R24+I24)/K24)^K24-1</f>
        <v>0.145417886389703</v>
      </c>
      <c r="T24" s="53" t="n">
        <f aca="false">(J24-S24)*10000</f>
        <v>0</v>
      </c>
      <c r="U24" s="33" t="n">
        <f aca="false">M24+N24-F24</f>
        <v>0</v>
      </c>
      <c r="V24" s="44" t="str">
        <f aca="false">IF(ABS(U24)&gt;Resumen!$C$6,"ERROR",IF(OR(M24&lt;0,N24&lt;0),"ERROR","OK"))</f>
        <v>OK</v>
      </c>
      <c r="W24" s="33" t="n">
        <f aca="false">MIN(MAX(M24,0),F24)</f>
        <v>175631569.283009</v>
      </c>
      <c r="X24" s="33" t="n">
        <f aca="false">F24-W24</f>
        <v>206213818.136305</v>
      </c>
      <c r="Y24" s="54" t="n">
        <f aca="false">F24/SUMIFS($F$14:$F$35,$A$14:$A$35,A24)</f>
        <v>0.0211804097783112</v>
      </c>
    </row>
    <row r="25" customFormat="false" ht="15" hidden="false" customHeight="false" outlineLevel="0" collapsed="false">
      <c r="A25" s="38" t="s">
        <v>306</v>
      </c>
      <c r="B25" s="38" t="s">
        <v>1238</v>
      </c>
      <c r="C25" s="34" t="s">
        <v>129</v>
      </c>
      <c r="D25" s="38" t="s">
        <v>1221</v>
      </c>
      <c r="E25" s="38" t="s">
        <v>1239</v>
      </c>
      <c r="F25" s="39" t="n">
        <v>381845387.419314</v>
      </c>
      <c r="G25" s="50" t="n">
        <v>0.0211804097783112</v>
      </c>
      <c r="H25" s="38" t="s">
        <v>1194</v>
      </c>
      <c r="I25" s="50" t="n">
        <v>0.0357</v>
      </c>
      <c r="J25" s="50" t="n">
        <v>0.145417886389703</v>
      </c>
      <c r="K25" s="38" t="n">
        <v>4</v>
      </c>
      <c r="L25" s="38" t="s">
        <v>1228</v>
      </c>
      <c r="M25" s="39" t="n">
        <v>175631569.283009</v>
      </c>
      <c r="N25" s="39" t="n">
        <v>459154383.928047</v>
      </c>
      <c r="O25" s="38" t="n">
        <v>14</v>
      </c>
      <c r="P25" s="27" t="n">
        <v>47503</v>
      </c>
      <c r="Q25" s="50" t="n">
        <v>0.00308001042282982</v>
      </c>
      <c r="R25" s="51" t="n">
        <f aca="false">IF(LEFT(H25,11)="IBR 6 MESES",Detalle_62!$B$7,IF(LEFT(H25,11)="IBR 3 MESES",Detalle_62!$B$6,IF(H25="DTF",Detalle_62!$B$8,Detalle_62!$B$5)))</f>
        <v>0.1024</v>
      </c>
      <c r="S25" s="52" t="n">
        <f aca="false">(1+(R25+I25)/K25)^K25-1</f>
        <v>0.145417886389703</v>
      </c>
      <c r="T25" s="53" t="n">
        <f aca="false">(J25-S25)*10000</f>
        <v>0</v>
      </c>
      <c r="U25" s="33" t="n">
        <f aca="false">M25+N25-F25</f>
        <v>252940565.791742</v>
      </c>
      <c r="V25" s="44" t="str">
        <f aca="false">IF(ABS(U25)&gt;Resumen!$C$6,"ERROR",IF(OR(M25&lt;0,N25&lt;0),"ERROR","OK"))</f>
        <v>ERROR</v>
      </c>
      <c r="W25" s="33" t="n">
        <f aca="false">MIN(MAX(M25,0),F25)</f>
        <v>175631569.283009</v>
      </c>
      <c r="X25" s="33" t="n">
        <f aca="false">F25-W25</f>
        <v>206213818.136305</v>
      </c>
      <c r="Y25" s="54" t="n">
        <f aca="false">F25/SUMIFS($F$14:$F$35,$A$14:$A$35,A25)</f>
        <v>0.0211804097783112</v>
      </c>
    </row>
    <row r="26" customFormat="false" ht="15" hidden="false" customHeight="false" outlineLevel="0" collapsed="false">
      <c r="A26" s="38" t="s">
        <v>306</v>
      </c>
      <c r="B26" s="38" t="s">
        <v>1240</v>
      </c>
      <c r="C26" s="34" t="s">
        <v>130</v>
      </c>
      <c r="D26" s="38" t="s">
        <v>1221</v>
      </c>
      <c r="E26" s="38" t="s">
        <v>1241</v>
      </c>
      <c r="F26" s="39" t="n">
        <v>196720178.445431</v>
      </c>
      <c r="G26" s="50" t="n">
        <v>0.0109117829582718</v>
      </c>
      <c r="H26" s="38" t="s">
        <v>1194</v>
      </c>
      <c r="I26" s="50" t="n">
        <v>0.0357</v>
      </c>
      <c r="J26" s="50" t="n">
        <v>0.145417886389703</v>
      </c>
      <c r="K26" s="38" t="n">
        <v>4</v>
      </c>
      <c r="L26" s="38" t="s">
        <v>1228</v>
      </c>
      <c r="M26" s="39" t="n">
        <v>175631569.283009</v>
      </c>
      <c r="N26" s="39" t="n">
        <v>21088609.1624229</v>
      </c>
      <c r="O26" s="38" t="n">
        <v>8</v>
      </c>
      <c r="P26" s="27" t="n">
        <v>46870</v>
      </c>
      <c r="Q26" s="50" t="n">
        <v>0.00158676841453506</v>
      </c>
      <c r="R26" s="51" t="n">
        <f aca="false">IF(LEFT(H26,11)="IBR 6 MESES",Detalle_62!$B$7,IF(LEFT(H26,11)="IBR 3 MESES",Detalle_62!$B$6,IF(H26="DTF",Detalle_62!$B$8,Detalle_62!$B$5)))</f>
        <v>0.1024</v>
      </c>
      <c r="S26" s="52" t="n">
        <f aca="false">(1+(R26+I26)/K26)^K26-1</f>
        <v>0.145417886389703</v>
      </c>
      <c r="T26" s="53" t="n">
        <f aca="false">(J26-S26)*10000</f>
        <v>0</v>
      </c>
      <c r="U26" s="33" t="n">
        <f aca="false">M26+N26-F26</f>
        <v>0</v>
      </c>
      <c r="V26" s="44" t="str">
        <f aca="false">IF(ABS(U26)&gt;Resumen!$C$6,"ERROR",IF(OR(M26&lt;0,N26&lt;0),"ERROR","OK"))</f>
        <v>OK</v>
      </c>
      <c r="W26" s="33" t="n">
        <f aca="false">MIN(MAX(M26,0),F26)</f>
        <v>175631569.283009</v>
      </c>
      <c r="X26" s="33" t="n">
        <f aca="false">F26-W26</f>
        <v>21088609.1624228</v>
      </c>
      <c r="Y26" s="54" t="n">
        <f aca="false">F26/SUMIFS($F$14:$F$35,$A$14:$A$35,A26)</f>
        <v>0.0109117829582718</v>
      </c>
    </row>
    <row r="27" customFormat="false" ht="15" hidden="false" customHeight="false" outlineLevel="0" collapsed="false">
      <c r="A27" s="38" t="s">
        <v>306</v>
      </c>
      <c r="B27" s="38" t="s">
        <v>1242</v>
      </c>
      <c r="C27" s="34" t="s">
        <v>131</v>
      </c>
      <c r="D27" s="38" t="s">
        <v>1221</v>
      </c>
      <c r="E27" s="38" t="s">
        <v>1243</v>
      </c>
      <c r="F27" s="39" t="n">
        <v>196720178.445431</v>
      </c>
      <c r="G27" s="50" t="n">
        <v>0.0109117829582718</v>
      </c>
      <c r="H27" s="38" t="s">
        <v>1194</v>
      </c>
      <c r="I27" s="50" t="n">
        <v>0.0357</v>
      </c>
      <c r="J27" s="50" t="n">
        <v>0.145417886389703</v>
      </c>
      <c r="K27" s="38" t="n">
        <v>4</v>
      </c>
      <c r="L27" s="38" t="s">
        <v>1228</v>
      </c>
      <c r="M27" s="39" t="n">
        <v>175631569.283009</v>
      </c>
      <c r="N27" s="39" t="n">
        <v>21088609.1624229</v>
      </c>
      <c r="O27" s="38" t="n">
        <v>8</v>
      </c>
      <c r="P27" s="27" t="n">
        <v>46870</v>
      </c>
      <c r="Q27" s="50" t="n">
        <v>0.00158676841453506</v>
      </c>
      <c r="R27" s="51" t="n">
        <f aca="false">IF(LEFT(H27,11)="IBR 6 MESES",Detalle_62!$B$7,IF(LEFT(H27,11)="IBR 3 MESES",Detalle_62!$B$6,IF(H27="DTF",Detalle_62!$B$8,Detalle_62!$B$5)))</f>
        <v>0.1024</v>
      </c>
      <c r="S27" s="52" t="n">
        <f aca="false">(1+(R27+I27)/K27)^K27-1</f>
        <v>0.145417886389703</v>
      </c>
      <c r="T27" s="53" t="n">
        <f aca="false">(J27-S27)*10000</f>
        <v>0</v>
      </c>
      <c r="U27" s="33" t="n">
        <f aca="false">M27+N27-F27</f>
        <v>0</v>
      </c>
      <c r="V27" s="44" t="str">
        <f aca="false">IF(ABS(U27)&gt;Resumen!$C$6,"ERROR",IF(OR(M27&lt;0,N27&lt;0),"ERROR","OK"))</f>
        <v>OK</v>
      </c>
      <c r="W27" s="33" t="n">
        <f aca="false">MIN(MAX(M27,0),F27)</f>
        <v>175631569.283009</v>
      </c>
      <c r="X27" s="33" t="n">
        <f aca="false">F27-W27</f>
        <v>21088609.1624228</v>
      </c>
      <c r="Y27" s="54" t="n">
        <f aca="false">F27/SUMIFS($F$14:$F$35,$A$14:$A$35,A27)</f>
        <v>0.0109117829582718</v>
      </c>
    </row>
    <row r="28" customFormat="false" ht="15" hidden="false" customHeight="false" outlineLevel="0" collapsed="false">
      <c r="A28" s="38" t="s">
        <v>306</v>
      </c>
      <c r="B28" s="38" t="s">
        <v>1244</v>
      </c>
      <c r="C28" s="34" t="s">
        <v>132</v>
      </c>
      <c r="D28" s="38" t="s">
        <v>1221</v>
      </c>
      <c r="E28" s="38" t="s">
        <v>1245</v>
      </c>
      <c r="F28" s="39" t="n">
        <v>382649239.487494</v>
      </c>
      <c r="G28" s="50" t="n">
        <v>0.0212249982865561</v>
      </c>
      <c r="H28" s="38" t="s">
        <v>1194</v>
      </c>
      <c r="I28" s="50" t="n">
        <v>0.0357</v>
      </c>
      <c r="J28" s="50" t="n">
        <v>0.145417886389703</v>
      </c>
      <c r="K28" s="38" t="n">
        <v>4</v>
      </c>
      <c r="L28" s="38" t="s">
        <v>1228</v>
      </c>
      <c r="M28" s="39" t="n">
        <v>175631569.283009</v>
      </c>
      <c r="N28" s="39" t="n">
        <v>207017670.204485</v>
      </c>
      <c r="O28" s="38" t="n">
        <v>14</v>
      </c>
      <c r="P28" s="27" t="n">
        <v>47503</v>
      </c>
      <c r="Q28" s="50" t="n">
        <v>0.00308649438945605</v>
      </c>
      <c r="R28" s="51" t="n">
        <f aca="false">IF(LEFT(H28,11)="IBR 6 MESES",Detalle_62!$B$7,IF(LEFT(H28,11)="IBR 3 MESES",Detalle_62!$B$6,IF(H28="DTF",Detalle_62!$B$8,Detalle_62!$B$5)))</f>
        <v>0.1024</v>
      </c>
      <c r="S28" s="52" t="n">
        <f aca="false">(1+(R28+I28)/K28)^K28-1</f>
        <v>0.145417886389703</v>
      </c>
      <c r="T28" s="53" t="n">
        <f aca="false">(J28-S28)*10000</f>
        <v>0</v>
      </c>
      <c r="U28" s="33" t="n">
        <f aca="false">M28+N28-F28</f>
        <v>0</v>
      </c>
      <c r="V28" s="44" t="str">
        <f aca="false">IF(ABS(U28)&gt;Resumen!$C$6,"ERROR",IF(OR(M28&lt;0,N28&lt;0),"ERROR","OK"))</f>
        <v>OK</v>
      </c>
      <c r="W28" s="33" t="n">
        <f aca="false">MIN(MAX(M28,0),F28)</f>
        <v>175631569.283009</v>
      </c>
      <c r="X28" s="33" t="n">
        <f aca="false">F28-W28</f>
        <v>207017670.204485</v>
      </c>
      <c r="Y28" s="54" t="n">
        <f aca="false">F28/SUMIFS($F$14:$F$35,$A$14:$A$35,A28)</f>
        <v>0.0212249982865561</v>
      </c>
    </row>
    <row r="29" customFormat="false" ht="15" hidden="false" customHeight="false" outlineLevel="0" collapsed="false">
      <c r="A29" s="38" t="s">
        <v>306</v>
      </c>
      <c r="B29" s="38" t="s">
        <v>1246</v>
      </c>
      <c r="C29" s="34" t="s">
        <v>133</v>
      </c>
      <c r="D29" s="38" t="s">
        <v>1221</v>
      </c>
      <c r="E29" s="38" t="s">
        <v>1247</v>
      </c>
      <c r="F29" s="39" t="n">
        <v>968620472.418459</v>
      </c>
      <c r="G29" s="50" t="n">
        <v>0.0537279726334772</v>
      </c>
      <c r="H29" s="38" t="s">
        <v>1192</v>
      </c>
      <c r="I29" s="50" t="n">
        <v>0.0378</v>
      </c>
      <c r="J29" s="50" t="n">
        <v>0.164782455289419</v>
      </c>
      <c r="K29" s="38" t="n">
        <v>4</v>
      </c>
      <c r="L29" s="38" t="s">
        <v>1228</v>
      </c>
      <c r="M29" s="39" t="n">
        <v>722980190</v>
      </c>
      <c r="N29" s="39" t="n">
        <v>245640282.418459</v>
      </c>
      <c r="O29" s="38" t="n">
        <v>12</v>
      </c>
      <c r="P29" s="27" t="n">
        <v>47321</v>
      </c>
      <c r="Q29" s="50" t="n">
        <v>0.00885342724826708</v>
      </c>
      <c r="R29" s="51" t="n">
        <f aca="false">IF(LEFT(H29,11)="IBR 6 MESES",Detalle_62!$B$7,IF(LEFT(H29,11)="IBR 3 MESES",Detalle_62!$B$6,IF(H29="DTF",Detalle_62!$B$8,Detalle_62!$B$5)))</f>
        <v>0.11768</v>
      </c>
      <c r="S29" s="52" t="n">
        <f aca="false">(1+(R29+I29)/K29)^K29-1</f>
        <v>0.164782455289419</v>
      </c>
      <c r="T29" s="53" t="n">
        <f aca="false">(J29-S29)*10000</f>
        <v>0</v>
      </c>
      <c r="U29" s="33" t="n">
        <f aca="false">M29+N29-F29</f>
        <v>0</v>
      </c>
      <c r="V29" s="44" t="str">
        <f aca="false">IF(ABS(U29)&gt;Resumen!$C$6,"ERROR",IF(OR(M29&lt;0,N29&lt;0),"ERROR","OK"))</f>
        <v>OK</v>
      </c>
      <c r="W29" s="33" t="n">
        <f aca="false">MIN(MAX(M29,0),F29)</f>
        <v>722980190</v>
      </c>
      <c r="X29" s="33" t="n">
        <f aca="false">F29-W29</f>
        <v>245640282.418459</v>
      </c>
      <c r="Y29" s="54" t="n">
        <f aca="false">F29/SUMIFS($F$14:$F$35,$A$14:$A$35,A29)</f>
        <v>0.0537279726334771</v>
      </c>
    </row>
    <row r="30" customFormat="false" ht="15" hidden="false" customHeight="false" outlineLevel="0" collapsed="false">
      <c r="A30" s="38" t="s">
        <v>1248</v>
      </c>
      <c r="B30" s="38" t="s">
        <v>1249</v>
      </c>
      <c r="C30" s="34" t="s">
        <v>135</v>
      </c>
      <c r="D30" s="38" t="s">
        <v>165</v>
      </c>
      <c r="E30" s="38" t="s">
        <v>1229</v>
      </c>
      <c r="F30" s="39" t="n">
        <v>287500000</v>
      </c>
      <c r="G30" s="50" t="n">
        <v>1</v>
      </c>
      <c r="H30" s="38" t="s">
        <v>1192</v>
      </c>
      <c r="I30" s="50" t="n">
        <v>0.024</v>
      </c>
      <c r="J30" s="50" t="n">
        <v>0.149386780746296</v>
      </c>
      <c r="K30" s="38" t="n">
        <v>4</v>
      </c>
      <c r="L30" s="38" t="s">
        <v>1228</v>
      </c>
      <c r="M30" s="39" t="n">
        <v>575000000</v>
      </c>
      <c r="N30" s="39" t="n">
        <v>-287500000</v>
      </c>
      <c r="O30" s="38" t="n">
        <v>2</v>
      </c>
      <c r="P30" s="27" t="n">
        <v>46373</v>
      </c>
      <c r="Q30" s="50" t="n">
        <v>0.149386780746296</v>
      </c>
      <c r="R30" s="51" t="n">
        <f aca="false">IF(LEFT(H30,11)="IBR 6 MESES",Detalle_62!$B$7,IF(LEFT(H30,11)="IBR 3 MESES",Detalle_62!$B$6,IF(H30="DTF",Detalle_62!$B$8,Detalle_62!$B$5)))</f>
        <v>0.11768</v>
      </c>
      <c r="S30" s="52" t="n">
        <f aca="false">(1+(R30+I30)/K30)^K30-1</f>
        <v>0.149386780746295</v>
      </c>
      <c r="T30" s="53" t="n">
        <f aca="false">(J30-S30)*10000</f>
        <v>0</v>
      </c>
      <c r="U30" s="33" t="n">
        <f aca="false">M30+N30-F30</f>
        <v>0</v>
      </c>
      <c r="V30" s="44" t="str">
        <f aca="false">IF(ABS(U30)&gt;Resumen!$C$6,"ERROR",IF(OR(M30&lt;0,N30&lt;0),"ERROR","OK"))</f>
        <v>ERROR</v>
      </c>
      <c r="W30" s="33" t="n">
        <f aca="false">MIN(MAX(M30,0),F30)</f>
        <v>287500000</v>
      </c>
      <c r="X30" s="33" t="n">
        <f aca="false">F30-W30</f>
        <v>0</v>
      </c>
      <c r="Y30" s="54" t="n">
        <f aca="false">F30/SUMIFS($F$14:$F$35,$A$14:$A$35,A30)</f>
        <v>1</v>
      </c>
    </row>
    <row r="31" customFormat="false" ht="15" hidden="false" customHeight="false" outlineLevel="0" collapsed="false">
      <c r="A31" s="38" t="s">
        <v>1250</v>
      </c>
      <c r="B31" s="38" t="n">
        <v>252059</v>
      </c>
      <c r="C31" s="34" t="s">
        <v>137</v>
      </c>
      <c r="D31" s="38" t="s">
        <v>165</v>
      </c>
      <c r="E31" s="38" t="s">
        <v>1229</v>
      </c>
      <c r="F31" s="39" t="n">
        <v>4700000000</v>
      </c>
      <c r="G31" s="50" t="n">
        <v>1</v>
      </c>
      <c r="H31" s="38" t="s">
        <v>1251</v>
      </c>
      <c r="I31" s="50" t="n">
        <v>0.01</v>
      </c>
      <c r="J31" s="50" t="n">
        <v>0.135423288111736</v>
      </c>
      <c r="K31" s="38" t="n">
        <v>2</v>
      </c>
      <c r="L31" s="38" t="s">
        <v>1230</v>
      </c>
      <c r="M31" s="39" t="n">
        <v>4700000000</v>
      </c>
      <c r="N31" s="39" t="n">
        <v>0</v>
      </c>
      <c r="O31" s="38" t="n">
        <v>1</v>
      </c>
      <c r="P31" s="27" t="n">
        <v>46367</v>
      </c>
      <c r="Q31" s="50" t="n">
        <v>0.135423288111736</v>
      </c>
      <c r="R31" s="51" t="n">
        <f aca="false">IF(LEFT(H31,11)="IBR 6 MESES",Detalle_62!$B$7,IF(LEFT(H31,11)="IBR 3 MESES",Detalle_62!$B$6,IF(H31="DTF",Detalle_62!$B$8,Detalle_62!$B$5)))</f>
        <v>0.12025</v>
      </c>
      <c r="S31" s="52" t="n">
        <f aca="false">(1+(R31+I31)/K31)^K31-1</f>
        <v>0.134491265625</v>
      </c>
      <c r="T31" s="53" t="n">
        <f aca="false">(J31-S31)*10000</f>
        <v>9.32022486735573</v>
      </c>
      <c r="U31" s="33" t="n">
        <f aca="false">M31+N31-F31</f>
        <v>0</v>
      </c>
      <c r="V31" s="44" t="str">
        <f aca="false">IF(ABS(U31)&gt;Resumen!$C$6,"ERROR",IF(OR(M31&lt;0,N31&lt;0),"ERROR","OK"))</f>
        <v>OK</v>
      </c>
      <c r="W31" s="33" t="n">
        <f aca="false">MIN(MAX(M31,0),F31)</f>
        <v>4700000000</v>
      </c>
      <c r="X31" s="33" t="n">
        <f aca="false">F31-W31</f>
        <v>0</v>
      </c>
      <c r="Y31" s="54" t="n">
        <f aca="false">F31/SUMIFS($F$14:$F$35,$A$14:$A$35,A31)</f>
        <v>1</v>
      </c>
    </row>
    <row r="32" customFormat="false" ht="15" hidden="false" customHeight="false" outlineLevel="0" collapsed="false">
      <c r="A32" s="38" t="s">
        <v>343</v>
      </c>
      <c r="B32" s="38" t="n">
        <v>1260105867</v>
      </c>
      <c r="C32" s="34" t="s">
        <v>139</v>
      </c>
      <c r="D32" s="38" t="s">
        <v>165</v>
      </c>
      <c r="E32" s="38" t="s">
        <v>1252</v>
      </c>
      <c r="F32" s="39" t="n">
        <v>3333333333.33333</v>
      </c>
      <c r="G32" s="50" t="n">
        <v>0.653037273642509</v>
      </c>
      <c r="H32" s="38" t="s">
        <v>1192</v>
      </c>
      <c r="I32" s="50" t="n">
        <v>0.015</v>
      </c>
      <c r="J32" s="50" t="n">
        <v>0.141053391053319</v>
      </c>
      <c r="K32" s="38" t="n">
        <v>4</v>
      </c>
      <c r="L32" s="38" t="s">
        <v>1228</v>
      </c>
      <c r="M32" s="39" t="n">
        <v>1666666666.67</v>
      </c>
      <c r="N32" s="39" t="n">
        <v>1666666666.66333</v>
      </c>
      <c r="O32" s="38" t="n">
        <v>7</v>
      </c>
      <c r="P32" s="27" t="n">
        <v>46864</v>
      </c>
      <c r="Q32" s="50" t="n">
        <v>0.0921131219314904</v>
      </c>
      <c r="R32" s="51" t="n">
        <f aca="false">IF(LEFT(H32,11)="IBR 6 MESES",Detalle_62!$B$7,IF(LEFT(H32,11)="IBR 3 MESES",Detalle_62!$B$6,IF(H32="DTF",Detalle_62!$B$8,Detalle_62!$B$5)))</f>
        <v>0.11768</v>
      </c>
      <c r="S32" s="52" t="n">
        <f aca="false">(1+(R32+I32)/K32)^K32-1</f>
        <v>0.139428684971694</v>
      </c>
      <c r="T32" s="53" t="n">
        <f aca="false">(J32-S32)*10000</f>
        <v>16.2470608162571</v>
      </c>
      <c r="U32" s="33" t="n">
        <f aca="false">M32+N32-F32</f>
        <v>0</v>
      </c>
      <c r="V32" s="44" t="str">
        <f aca="false">IF(ABS(U32)&gt;Resumen!$C$6,"ERROR",IF(OR(M32&lt;0,N32&lt;0),"ERROR","OK"))</f>
        <v>OK</v>
      </c>
      <c r="W32" s="33" t="n">
        <f aca="false">MIN(MAX(M32,0),F32)</f>
        <v>1666666666.67</v>
      </c>
      <c r="X32" s="33" t="n">
        <f aca="false">F32-W32</f>
        <v>1666666666.66333</v>
      </c>
      <c r="Y32" s="54" t="n">
        <f aca="false">F32/SUMIFS($F$14:$F$35,$A$14:$A$35,A32)</f>
        <v>0.653037273642509</v>
      </c>
    </row>
    <row r="33" customFormat="false" ht="15" hidden="false" customHeight="false" outlineLevel="0" collapsed="false">
      <c r="A33" s="38" t="s">
        <v>343</v>
      </c>
      <c r="B33" s="38" t="s">
        <v>1253</v>
      </c>
      <c r="C33" s="34" t="s">
        <v>140</v>
      </c>
      <c r="D33" s="38" t="s">
        <v>1221</v>
      </c>
      <c r="E33" s="38" t="s">
        <v>1254</v>
      </c>
      <c r="F33" s="39" t="n">
        <v>497241599</v>
      </c>
      <c r="G33" s="50" t="n">
        <v>0.0974151894457805</v>
      </c>
      <c r="H33" s="38" t="s">
        <v>1192</v>
      </c>
      <c r="I33" s="50" t="n">
        <v>0.0285</v>
      </c>
      <c r="J33" s="50" t="n">
        <v>0.156382742125655</v>
      </c>
      <c r="K33" s="38" t="n">
        <v>4</v>
      </c>
      <c r="L33" s="38" t="s">
        <v>1228</v>
      </c>
      <c r="M33" s="39" t="n">
        <v>154259653</v>
      </c>
      <c r="N33" s="39" t="n">
        <v>342981946</v>
      </c>
      <c r="O33" s="38" t="n">
        <v>15</v>
      </c>
      <c r="P33" s="27" t="n">
        <v>47528</v>
      </c>
      <c r="Q33" s="50" t="n">
        <v>0.0152340544502213</v>
      </c>
      <c r="R33" s="51" t="n">
        <f aca="false">IF(LEFT(H33,11)="IBR 6 MESES",Detalle_62!$B$7,IF(LEFT(H33,11)="IBR 3 MESES",Detalle_62!$B$6,IF(H33="DTF",Detalle_62!$B$8,Detalle_62!$B$5)))</f>
        <v>0.11768</v>
      </c>
      <c r="S33" s="52" t="n">
        <f aca="false">(1+(R33+I33)/K33)^K33-1</f>
        <v>0.15439023461146</v>
      </c>
      <c r="T33" s="53" t="n">
        <f aca="false">(J33-S33)*10000</f>
        <v>19.9250751419505</v>
      </c>
      <c r="U33" s="33" t="n">
        <f aca="false">M33+N33-F33</f>
        <v>0</v>
      </c>
      <c r="V33" s="44" t="str">
        <f aca="false">IF(ABS(U33)&gt;Resumen!$C$6,"ERROR",IF(OR(M33&lt;0,N33&lt;0),"ERROR","OK"))</f>
        <v>OK</v>
      </c>
      <c r="W33" s="33" t="n">
        <f aca="false">MIN(MAX(M33,0),F33)</f>
        <v>154259653</v>
      </c>
      <c r="X33" s="33" t="n">
        <f aca="false">F33-W33</f>
        <v>342981946</v>
      </c>
      <c r="Y33" s="54" t="n">
        <f aca="false">F33/SUMIFS($F$14:$F$35,$A$14:$A$35,A33)</f>
        <v>0.0974151894457805</v>
      </c>
    </row>
    <row r="34" customFormat="false" ht="15" hidden="false" customHeight="false" outlineLevel="0" collapsed="false">
      <c r="A34" s="38" t="s">
        <v>343</v>
      </c>
      <c r="B34" s="38" t="s">
        <v>1255</v>
      </c>
      <c r="C34" s="34" t="s">
        <v>141</v>
      </c>
      <c r="D34" s="38" t="s">
        <v>1221</v>
      </c>
      <c r="E34" s="38" t="s">
        <v>1256</v>
      </c>
      <c r="F34" s="39" t="n">
        <v>770085425.158301</v>
      </c>
      <c r="G34" s="50" t="n">
        <v>0.150868345955163</v>
      </c>
      <c r="H34" s="38" t="s">
        <v>1191</v>
      </c>
      <c r="I34" s="50" t="n">
        <v>0.032</v>
      </c>
      <c r="J34" s="50" t="n">
        <v>0.157948891345503</v>
      </c>
      <c r="K34" s="38" t="n">
        <v>12</v>
      </c>
      <c r="L34" s="38" t="s">
        <v>1223</v>
      </c>
      <c r="M34" s="39" t="n">
        <v>206513651</v>
      </c>
      <c r="N34" s="39" t="n">
        <v>563571774.158301</v>
      </c>
      <c r="O34" s="38" t="n">
        <v>58</v>
      </c>
      <c r="P34" s="27" t="n">
        <v>47995</v>
      </c>
      <c r="Q34" s="50" t="n">
        <v>0.0238294879827477</v>
      </c>
      <c r="R34" s="51" t="n">
        <f aca="false">IF(LEFT(H34,11)="IBR 6 MESES",Detalle_62!$B$7,IF(LEFT(H34,11)="IBR 3 MESES",Detalle_62!$B$6,IF(H34="DTF",Detalle_62!$B$8,Detalle_62!$B$5)))</f>
        <v>0.11555</v>
      </c>
      <c r="S34" s="52" t="n">
        <f aca="false">(1+(R34+I34)/K34)^K34-1</f>
        <v>0.157948891345502</v>
      </c>
      <c r="T34" s="53" t="n">
        <f aca="false">(J34-S34)*10000</f>
        <v>8.88178419700125E-012</v>
      </c>
      <c r="U34" s="33" t="n">
        <f aca="false">M34+N34-F34</f>
        <v>0</v>
      </c>
      <c r="V34" s="44" t="str">
        <f aca="false">IF(ABS(U34)&gt;Resumen!$C$6,"ERROR",IF(OR(M34&lt;0,N34&lt;0),"ERROR","OK"))</f>
        <v>OK</v>
      </c>
      <c r="W34" s="33" t="n">
        <f aca="false">MIN(MAX(M34,0),F34)</f>
        <v>206513651</v>
      </c>
      <c r="X34" s="33" t="n">
        <f aca="false">F34-W34</f>
        <v>563571774.158301</v>
      </c>
      <c r="Y34" s="54" t="n">
        <f aca="false">F34/SUMIFS($F$14:$F$35,$A$14:$A$35,A34)</f>
        <v>0.150868345955163</v>
      </c>
    </row>
    <row r="35" customFormat="false" ht="15" hidden="false" customHeight="false" outlineLevel="0" collapsed="false">
      <c r="A35" s="38" t="s">
        <v>343</v>
      </c>
      <c r="B35" s="38" t="s">
        <v>1257</v>
      </c>
      <c r="C35" s="34" t="s">
        <v>142</v>
      </c>
      <c r="D35" s="38" t="s">
        <v>1221</v>
      </c>
      <c r="E35" s="38" t="s">
        <v>1258</v>
      </c>
      <c r="F35" s="39" t="n">
        <v>503693510</v>
      </c>
      <c r="G35" s="50" t="n">
        <v>0.0986791909565478</v>
      </c>
      <c r="H35" s="38" t="s">
        <v>1191</v>
      </c>
      <c r="I35" s="50" t="n">
        <v>0.0375</v>
      </c>
      <c r="J35" s="50" t="n">
        <v>0.164255943222499</v>
      </c>
      <c r="K35" s="38" t="n">
        <v>12</v>
      </c>
      <c r="L35" s="38" t="s">
        <v>1223</v>
      </c>
      <c r="M35" s="39" t="n">
        <v>388559429</v>
      </c>
      <c r="N35" s="39" t="n">
        <v>115134081</v>
      </c>
      <c r="O35" s="38" t="n">
        <v>24</v>
      </c>
      <c r="P35" s="27" t="n">
        <v>46960</v>
      </c>
      <c r="Q35" s="50" t="n">
        <v>0.0162086435870009</v>
      </c>
      <c r="R35" s="51" t="n">
        <f aca="false">IF(LEFT(H35,11)="IBR 6 MESES",Detalle_62!$B$7,IF(LEFT(H35,11)="IBR 3 MESES",Detalle_62!$B$6,IF(H35="DTF",Detalle_62!$B$8,Detalle_62!$B$5)))</f>
        <v>0.11555</v>
      </c>
      <c r="S35" s="52" t="n">
        <f aca="false">(1+(R35+I35)/K35)^K35-1</f>
        <v>0.1642559432225</v>
      </c>
      <c r="T35" s="53" t="n">
        <f aca="false">(J35-S35)*10000</f>
        <v>0</v>
      </c>
      <c r="U35" s="33" t="n">
        <f aca="false">M35+N35-F35</f>
        <v>0</v>
      </c>
      <c r="V35" s="44" t="str">
        <f aca="false">IF(ABS(U35)&gt;Resumen!$C$6,"ERROR",IF(OR(M35&lt;0,N35&lt;0),"ERROR","OK"))</f>
        <v>OK</v>
      </c>
      <c r="W35" s="33" t="n">
        <f aca="false">MIN(MAX(M35,0),F35)</f>
        <v>388559429</v>
      </c>
      <c r="X35" s="33" t="n">
        <f aca="false">F35-W35</f>
        <v>115134081</v>
      </c>
      <c r="Y35" s="54" t="n">
        <f aca="false">F35/SUMIFS($F$14:$F$35,$A$14:$A$35,A35)</f>
        <v>0.0986791909565478</v>
      </c>
    </row>
    <row r="36" customFormat="false" ht="15" hidden="false" customHeight="false" outlineLevel="0" collapsed="false">
      <c r="E36" s="40" t="s">
        <v>1259</v>
      </c>
      <c r="F36" s="41" t="n">
        <f aca="false">SUM(F14:F35)</f>
        <v>45185912116.9625</v>
      </c>
      <c r="M36" s="41" t="n">
        <f aca="false">SUM(M14:M35)</f>
        <v>21628998619.5403</v>
      </c>
      <c r="N36" s="41" t="n">
        <f aca="false">SUM(N14:N35)</f>
        <v>23809854063.2139</v>
      </c>
      <c r="U36" s="41" t="n">
        <f aca="false">SUM(U14:U35)</f>
        <v>252940565.791742</v>
      </c>
      <c r="W36" s="41" t="n">
        <f aca="false">SUM(W14:W35)</f>
        <v>21341498619.5403</v>
      </c>
      <c r="X36" s="41" t="n">
        <f aca="false">SUM(X14:X35)</f>
        <v>23844413497.4221</v>
      </c>
    </row>
    <row r="37" customFormat="false" ht="15" hidden="false" customHeight="false" outlineLevel="0" collapsed="false">
      <c r="E37" s="26" t="s">
        <v>1260</v>
      </c>
      <c r="F37" s="39" t="n">
        <v>45185912116.9625</v>
      </c>
    </row>
    <row r="38" customFormat="false" ht="15" hidden="false" customHeight="false" outlineLevel="0" collapsed="false">
      <c r="E38" s="26" t="s">
        <v>1261</v>
      </c>
      <c r="F38" s="33" t="n">
        <f aca="false">F36-F37</f>
        <v>0</v>
      </c>
    </row>
    <row r="40" customFormat="false" ht="15" hidden="false" customHeight="false" outlineLevel="0" collapsed="false">
      <c r="A40" s="46" t="s">
        <v>1262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</row>
    <row r="41" customFormat="false" ht="30" hidden="false" customHeight="true" outlineLevel="0" collapsed="false">
      <c r="A41" s="31" t="s">
        <v>157</v>
      </c>
      <c r="B41" s="31"/>
      <c r="C41" s="31"/>
      <c r="D41" s="31"/>
      <c r="E41" s="31"/>
      <c r="F41" s="31" t="s">
        <v>1263</v>
      </c>
      <c r="G41" s="31"/>
      <c r="H41" s="31"/>
      <c r="I41" s="31"/>
      <c r="J41" s="31"/>
      <c r="K41" s="31"/>
      <c r="L41" s="31"/>
      <c r="M41" s="31" t="s">
        <v>1264</v>
      </c>
      <c r="N41" s="31" t="s">
        <v>152</v>
      </c>
      <c r="O41" s="31"/>
      <c r="P41" s="31"/>
      <c r="Q41" s="31" t="s">
        <v>1265</v>
      </c>
      <c r="R41" s="31" t="s">
        <v>1210</v>
      </c>
      <c r="S41" s="31" t="s">
        <v>1266</v>
      </c>
    </row>
    <row r="42" customFormat="false" ht="15" hidden="false" customHeight="false" outlineLevel="0" collapsed="false">
      <c r="A42" s="38" t="s">
        <v>1219</v>
      </c>
      <c r="F42" s="33" t="n">
        <f aca="false">SUMIFS($F$14:$F$35,$A$14:$A$35,A42)</f>
        <v>17065824073.8354</v>
      </c>
      <c r="M42" s="39" t="n">
        <v>17065824073.8354</v>
      </c>
      <c r="N42" s="33" t="n">
        <f aca="false">F42-M42</f>
        <v>0</v>
      </c>
      <c r="Q42" s="52" t="n">
        <f aca="false">SUMPRODUCT(($A$14:$A$35=A42)*$F$14:$F$35*$J$14:$J$35)/F42</f>
        <v>0.157284138383119</v>
      </c>
      <c r="R42" s="55" t="n">
        <v>0.157284138383119</v>
      </c>
      <c r="S42" s="53" t="n">
        <f aca="false">(R42-Q42)*10000</f>
        <v>0</v>
      </c>
    </row>
    <row r="43" customFormat="false" ht="15" hidden="false" customHeight="false" outlineLevel="0" collapsed="false">
      <c r="A43" s="38" t="s">
        <v>306</v>
      </c>
      <c r="F43" s="33" t="n">
        <f aca="false">SUMIFS($F$14:$F$35,$A$14:$A$35,A43)</f>
        <v>18028234175.6354</v>
      </c>
      <c r="M43" s="39" t="n">
        <v>18028234175.6354</v>
      </c>
      <c r="N43" s="33" t="n">
        <f aca="false">F43-M43</f>
        <v>0</v>
      </c>
      <c r="Q43" s="52" t="n">
        <f aca="false">SUMPRODUCT(($A$14:$A$35=A43)*$F$14:$F$35*$J$14:$J$35)/F43</f>
        <v>0.145381553464726</v>
      </c>
      <c r="R43" s="55" t="n">
        <v>0.145381553464726</v>
      </c>
      <c r="S43" s="53" t="n">
        <f aca="false">(R43-Q43)*10000</f>
        <v>0</v>
      </c>
    </row>
    <row r="44" customFormat="false" ht="15" hidden="false" customHeight="false" outlineLevel="0" collapsed="false">
      <c r="A44" s="38" t="s">
        <v>1248</v>
      </c>
      <c r="F44" s="33" t="n">
        <f aca="false">SUMIFS($F$14:$F$35,$A$14:$A$35,A44)</f>
        <v>287500000</v>
      </c>
      <c r="M44" s="39" t="n">
        <v>287500000</v>
      </c>
      <c r="N44" s="33" t="n">
        <f aca="false">F44-M44</f>
        <v>0</v>
      </c>
      <c r="Q44" s="52" t="n">
        <f aca="false">SUMPRODUCT(($A$14:$A$35=A44)*$F$14:$F$35*$J$14:$J$35)/F44</f>
        <v>0.149386780746296</v>
      </c>
      <c r="R44" s="55" t="n">
        <v>0.149386780746296</v>
      </c>
      <c r="S44" s="53" t="n">
        <f aca="false">(R44-Q44)*10000</f>
        <v>0</v>
      </c>
    </row>
    <row r="45" customFormat="false" ht="15" hidden="false" customHeight="false" outlineLevel="0" collapsed="false">
      <c r="A45" s="38" t="s">
        <v>1250</v>
      </c>
      <c r="F45" s="33" t="n">
        <f aca="false">SUMIFS($F$14:$F$35,$A$14:$A$35,A45)</f>
        <v>4700000000</v>
      </c>
      <c r="M45" s="39" t="n">
        <v>4700000000</v>
      </c>
      <c r="N45" s="33" t="n">
        <f aca="false">F45-M45</f>
        <v>0</v>
      </c>
      <c r="Q45" s="52" t="n">
        <f aca="false">SUMPRODUCT(($A$14:$A$35=A45)*$F$14:$F$35*$J$14:$J$35)/F45</f>
        <v>0.135423288111736</v>
      </c>
      <c r="R45" s="55" t="n">
        <v>0.135423288111736</v>
      </c>
      <c r="S45" s="53" t="n">
        <f aca="false">(R45-Q45)*10000</f>
        <v>0</v>
      </c>
    </row>
    <row r="46" customFormat="false" ht="15" hidden="false" customHeight="false" outlineLevel="0" collapsed="false">
      <c r="A46" s="38" t="s">
        <v>343</v>
      </c>
      <c r="F46" s="33" t="n">
        <f aca="false">SUMIFS($F$14:$F$35,$A$14:$A$35,A46)</f>
        <v>5104353867.49163</v>
      </c>
      <c r="M46" s="39" t="n">
        <v>5104353867.49163</v>
      </c>
      <c r="N46" s="33" t="n">
        <f aca="false">F46-M46</f>
        <v>0</v>
      </c>
      <c r="Q46" s="52" t="n">
        <f aca="false">SUMPRODUCT(($A$14:$A$35=A46)*$F$14:$F$35*$J$14:$J$35)/F46</f>
        <v>0.14738530795146</v>
      </c>
      <c r="R46" s="55" t="n">
        <v>0.14738530795146</v>
      </c>
      <c r="S46" s="53" t="n">
        <f aca="false">(R46-Q46)*10000</f>
        <v>0</v>
      </c>
    </row>
    <row r="48" customFormat="false" ht="15" hidden="false" customHeight="false" outlineLevel="0" collapsed="false">
      <c r="A48" s="34" t="s">
        <v>1267</v>
      </c>
      <c r="F48" s="51" t="n">
        <f aca="false">SUMPRODUCT(Detalle_62!$F$14:$F$35,Detalle_62!$J$14:$J$35)/F36</f>
        <v>0.149092952439153</v>
      </c>
    </row>
    <row r="49" customFormat="false" ht="15" hidden="false" customHeight="false" outlineLevel="0" collapsed="false">
      <c r="A49" s="34" t="s">
        <v>1268</v>
      </c>
      <c r="F49" s="51" t="n">
        <f aca="false">SUMPRODUCT(Detalle_62!$F$14:$F$35,Detalle_62!$S$14:$S$35)/F36</f>
        <v>0.148854228692228</v>
      </c>
    </row>
    <row r="50" customFormat="false" ht="15" hidden="false" customHeight="false" outlineLevel="0" collapsed="false">
      <c r="A50" s="24" t="s">
        <v>1269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S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1" min="10" style="0" width="17"/>
    <col collapsed="false" customWidth="true" hidden="false" outlineLevel="0" max="12" min="12" style="0" width="16"/>
    <col collapsed="false" customWidth="true" hidden="false" outlineLevel="0" max="15" min="13" style="0" width="10"/>
    <col collapsed="false" customWidth="true" hidden="false" outlineLevel="0" max="18" min="16" style="0" width="11"/>
    <col collapsed="false" customWidth="true" hidden="false" outlineLevel="0" max="19" min="19" style="0" width="70"/>
  </cols>
  <sheetData>
    <row r="1" customFormat="false" ht="16.15" hidden="false" customHeight="false" outlineLevel="0" collapsed="false">
      <c r="A1" s="23" t="s">
        <v>1270</v>
      </c>
    </row>
    <row r="2" customFormat="false" ht="15" hidden="false" customHeight="false" outlineLevel="0" collapsed="false">
      <c r="A2" s="24" t="s">
        <v>1271</v>
      </c>
    </row>
    <row r="4" customFormat="false" ht="48" hidden="false" customHeight="true" outlineLevel="0" collapsed="false">
      <c r="A4" s="31" t="s">
        <v>51</v>
      </c>
      <c r="B4" s="31" t="s">
        <v>1272</v>
      </c>
      <c r="C4" s="31" t="s">
        <v>157</v>
      </c>
      <c r="D4" s="31" t="s">
        <v>1273</v>
      </c>
      <c r="E4" s="31" t="s">
        <v>1198</v>
      </c>
      <c r="F4" s="31" t="s">
        <v>285</v>
      </c>
      <c r="G4" s="31" t="s">
        <v>1274</v>
      </c>
      <c r="H4" s="31" t="s">
        <v>1275</v>
      </c>
      <c r="I4" s="31" t="s">
        <v>1276</v>
      </c>
      <c r="J4" s="31" t="s">
        <v>1277</v>
      </c>
      <c r="K4" s="31" t="s">
        <v>102</v>
      </c>
      <c r="L4" s="31" t="s">
        <v>1278</v>
      </c>
      <c r="M4" s="31" t="s">
        <v>1279</v>
      </c>
      <c r="N4" s="31" t="s">
        <v>1280</v>
      </c>
      <c r="O4" s="31" t="s">
        <v>1266</v>
      </c>
      <c r="P4" s="31" t="s">
        <v>1281</v>
      </c>
      <c r="Q4" s="31" t="s">
        <v>1282</v>
      </c>
      <c r="R4" s="31" t="s">
        <v>1283</v>
      </c>
      <c r="S4" s="31" t="s">
        <v>1284</v>
      </c>
    </row>
    <row r="5" customFormat="false" ht="36" hidden="false" customHeight="true" outlineLevel="0" collapsed="false">
      <c r="A5" s="26" t="n">
        <v>1</v>
      </c>
      <c r="B5" s="6" t="n">
        <v>1</v>
      </c>
      <c r="C5" s="38" t="s">
        <v>1285</v>
      </c>
      <c r="D5" s="38" t="s">
        <v>1286</v>
      </c>
      <c r="E5" s="34" t="s">
        <v>116</v>
      </c>
      <c r="F5" s="38" t="s">
        <v>1287</v>
      </c>
      <c r="G5" s="27" t="n">
        <v>46102</v>
      </c>
      <c r="H5" s="39" t="n">
        <f aca="false">7499998630.82-127.57</f>
        <v>7499998503.25</v>
      </c>
      <c r="I5" s="39" t="n">
        <v>0</v>
      </c>
      <c r="J5" s="33" t="n">
        <f aca="false">IF(H5="","N/D",H5-I5)</f>
        <v>7499998503.25</v>
      </c>
      <c r="K5" s="32" t="n">
        <f aca="false">SUMIFS(Detalle_62!$F$14:$F$35,Detalle_62!$C$14:$C$35,E5)</f>
        <v>7500000000</v>
      </c>
      <c r="L5" s="33" t="n">
        <f aca="false">IF(H5="","N/D",K5-J5)</f>
        <v>1496.75</v>
      </c>
      <c r="M5" s="50" t="n">
        <v>0.1551</v>
      </c>
      <c r="N5" s="56" t="n">
        <f aca="false">INDEX(Detalle_62!$J$14:$J$35,MATCH(E5,Detalle_62!$C$14:$C$35,0))</f>
        <v>0.155893765625</v>
      </c>
      <c r="O5" s="53" t="n">
        <f aca="false">(N5-M5)*10000</f>
        <v>7.93765624999721</v>
      </c>
      <c r="P5" s="27" t="n">
        <v>52677</v>
      </c>
      <c r="Q5" s="57" t="n">
        <f aca="false">INDEX(Detalle_62!$P$14:$P$35,MATCH(E5,Detalle_62!$C$14:$C$35,0))</f>
        <v>52677</v>
      </c>
      <c r="R5" s="26" t="str">
        <f aca="false">IF(P5="","N/D",IF(P5=Q5,"Sí","NO"))</f>
        <v>Sí</v>
      </c>
      <c r="S5" s="6" t="s">
        <v>1288</v>
      </c>
    </row>
    <row r="6" customFormat="false" ht="36" hidden="false" customHeight="true" outlineLevel="0" collapsed="false">
      <c r="A6" s="26" t="n">
        <v>2</v>
      </c>
      <c r="B6" s="6" t="n">
        <v>2</v>
      </c>
      <c r="C6" s="38" t="s">
        <v>1289</v>
      </c>
      <c r="D6" s="38" t="s">
        <v>1290</v>
      </c>
      <c r="E6" s="34" t="s">
        <v>125</v>
      </c>
      <c r="F6" s="38" t="s">
        <v>1291</v>
      </c>
      <c r="G6" s="27" t="n">
        <v>46169</v>
      </c>
      <c r="H6" s="39" t="n">
        <v>1639499992.59</v>
      </c>
      <c r="I6" s="39" t="n">
        <v>182166667</v>
      </c>
      <c r="J6" s="33" t="n">
        <f aca="false">IF(H6="","N/D",H6-I6)</f>
        <v>1457333325.59</v>
      </c>
      <c r="K6" s="32" t="n">
        <f aca="false">SUMIFS(Detalle_62!$F$14:$F$35,Detalle_62!$C$14:$C$35,E6)</f>
        <v>1457333332</v>
      </c>
      <c r="L6" s="33" t="n">
        <f aca="false">IF(H6="","N/D",K6-J6)</f>
        <v>6.41000008583069</v>
      </c>
      <c r="M6" s="50" t="n">
        <v>0.1494</v>
      </c>
      <c r="N6" s="56" t="n">
        <f aca="false">INDEX(Detalle_62!$J$14:$J$35,MATCH(E6,Detalle_62!$C$14:$C$35,0))</f>
        <v>0.158293089495938</v>
      </c>
      <c r="O6" s="53" t="n">
        <f aca="false">(N6-M6)*10000</f>
        <v>88.9308949593778</v>
      </c>
      <c r="P6" s="27"/>
      <c r="Q6" s="57" t="n">
        <f aca="false">INDEX(Detalle_62!$P$14:$P$35,MATCH(E6,Detalle_62!$C$14:$C$35,0))</f>
        <v>46925</v>
      </c>
      <c r="R6" s="26" t="str">
        <f aca="false">IF(P6="","N/D",IF(P6=Q6,"Sí","NO"))</f>
        <v>N/D</v>
      </c>
      <c r="S6" s="6" t="s">
        <v>1292</v>
      </c>
    </row>
    <row r="7" customFormat="false" ht="36" hidden="false" customHeight="true" outlineLevel="0" collapsed="false">
      <c r="A7" s="26" t="n">
        <v>3</v>
      </c>
      <c r="B7" s="6" t="n">
        <v>4</v>
      </c>
      <c r="C7" s="38" t="s">
        <v>1293</v>
      </c>
      <c r="D7" s="38" t="s">
        <v>1294</v>
      </c>
      <c r="E7" s="34" t="s">
        <v>139</v>
      </c>
      <c r="F7" s="38" t="s">
        <v>1295</v>
      </c>
      <c r="G7" s="27" t="n">
        <v>46245</v>
      </c>
      <c r="H7" s="39" t="n">
        <v>3333333334</v>
      </c>
      <c r="I7" s="39" t="n">
        <v>0</v>
      </c>
      <c r="J7" s="33" t="n">
        <f aca="false">IF(H7="","N/D",H7-I7)</f>
        <v>3333333334</v>
      </c>
      <c r="K7" s="32" t="n">
        <f aca="false">SUMIFS(Detalle_62!$F$14:$F$35,Detalle_62!$C$14:$C$35,E7)</f>
        <v>3333333333.33333</v>
      </c>
      <c r="L7" s="33" t="n">
        <f aca="false">IF(H7="","N/D",K7-J7)</f>
        <v>-0.666666984558106</v>
      </c>
      <c r="M7" s="50" t="n">
        <v>0.1417</v>
      </c>
      <c r="N7" s="56" t="n">
        <f aca="false">INDEX(Detalle_62!$J$14:$J$35,MATCH(E7,Detalle_62!$C$14:$C$35,0))</f>
        <v>0.141053391053319</v>
      </c>
      <c r="O7" s="53" t="n">
        <f aca="false">(N7-M7)*10000</f>
        <v>-6.46608946680588</v>
      </c>
      <c r="P7" s="27" t="n">
        <v>46865</v>
      </c>
      <c r="Q7" s="57" t="n">
        <f aca="false">INDEX(Detalle_62!$P$14:$P$35,MATCH(E7,Detalle_62!$C$14:$C$35,0))</f>
        <v>46864</v>
      </c>
      <c r="R7" s="26" t="str">
        <f aca="false">IF(P7="","N/D",IF(P7=Q7,"Sí","NO"))</f>
        <v>NO</v>
      </c>
      <c r="S7" s="6" t="s">
        <v>1296</v>
      </c>
    </row>
    <row r="8" customFormat="false" ht="36" hidden="false" customHeight="true" outlineLevel="0" collapsed="false">
      <c r="A8" s="26" t="n">
        <v>4</v>
      </c>
      <c r="B8" s="6" t="n">
        <v>6</v>
      </c>
      <c r="C8" s="38" t="s">
        <v>1289</v>
      </c>
      <c r="D8" s="38" t="s">
        <v>1297</v>
      </c>
      <c r="E8" s="34" t="s">
        <v>124</v>
      </c>
      <c r="F8" s="38" t="s">
        <v>1298</v>
      </c>
      <c r="G8" s="27" t="n">
        <v>46195</v>
      </c>
      <c r="H8" s="39" t="n">
        <v>2999999977.39</v>
      </c>
      <c r="I8" s="39" t="n">
        <v>62500000</v>
      </c>
      <c r="J8" s="33" t="n">
        <f aca="false">IF(H8="","N/D",H8-I8)</f>
        <v>2937499977.39</v>
      </c>
      <c r="K8" s="32" t="n">
        <f aca="false">SUMIFS(Detalle_62!$F$14:$F$35,Detalle_62!$C$14:$C$35,E8)</f>
        <v>2937500000</v>
      </c>
      <c r="L8" s="33" t="n">
        <f aca="false">IF(H8="","N/D",K8-J8)</f>
        <v>22.6100001335144</v>
      </c>
      <c r="M8" s="50" t="n">
        <v>0.1696</v>
      </c>
      <c r="N8" s="56" t="n">
        <f aca="false">INDEX(Detalle_62!$J$14:$J$35,MATCH(E8,Detalle_62!$C$14:$C$35,0))</f>
        <v>0.175224160801509</v>
      </c>
      <c r="O8" s="53" t="n">
        <f aca="false">(N8-M8)*10000</f>
        <v>56.241608015086</v>
      </c>
      <c r="P8" s="27"/>
      <c r="Q8" s="57" t="n">
        <f aca="false">INDEX(Detalle_62!$P$14:$P$35,MATCH(E8,Detalle_62!$C$14:$C$35,0))</f>
        <v>47651</v>
      </c>
      <c r="R8" s="26" t="str">
        <f aca="false">IF(P8="","N/D",IF(P8=Q8,"Sí","NO"))</f>
        <v>N/D</v>
      </c>
      <c r="S8" s="6" t="s">
        <v>1299</v>
      </c>
    </row>
    <row r="9" customFormat="false" ht="36" hidden="false" customHeight="true" outlineLevel="0" collapsed="false">
      <c r="A9" s="26" t="n">
        <v>5</v>
      </c>
      <c r="B9" s="6" t="n">
        <v>8</v>
      </c>
      <c r="C9" s="38" t="s">
        <v>1289</v>
      </c>
      <c r="D9" s="38" t="s">
        <v>1300</v>
      </c>
      <c r="E9" s="34" t="s">
        <v>126</v>
      </c>
      <c r="F9" s="38" t="s">
        <v>1291</v>
      </c>
      <c r="G9" s="27" t="n">
        <v>46234</v>
      </c>
      <c r="H9" s="39" t="n">
        <v>1124999996.41</v>
      </c>
      <c r="I9" s="39" t="n">
        <v>0</v>
      </c>
      <c r="J9" s="33" t="n">
        <f aca="false">IF(H9="","N/D",H9-I9)</f>
        <v>1124999996.41</v>
      </c>
      <c r="K9" s="32" t="n">
        <f aca="false">SUMIFS(Detalle_62!$F$14:$F$35,Detalle_62!$C$14:$C$35,E9)</f>
        <v>1125000000</v>
      </c>
      <c r="L9" s="33" t="n">
        <f aca="false">IF(H9="","N/D",K9-J9)</f>
        <v>3.58999991416931</v>
      </c>
      <c r="M9" s="50" t="n">
        <v>0.1665</v>
      </c>
      <c r="N9" s="56" t="n">
        <f aca="false">INDEX(Detalle_62!$J$14:$J$35,MATCH(E9,Detalle_62!$C$14:$C$35,0))</f>
        <v>0.174003555557499</v>
      </c>
      <c r="O9" s="53" t="n">
        <f aca="false">(N9-M9)*10000</f>
        <v>75.0355555749879</v>
      </c>
      <c r="P9" s="27"/>
      <c r="Q9" s="57" t="n">
        <f aca="false">INDEX(Detalle_62!$P$14:$P$35,MATCH(E9,Detalle_62!$C$14:$C$35,0))</f>
        <v>46990</v>
      </c>
      <c r="R9" s="26" t="str">
        <f aca="false">IF(P9="","N/D",IF(P9=Q9,"Sí","NO"))</f>
        <v>N/D</v>
      </c>
      <c r="S9" s="6" t="s">
        <v>1301</v>
      </c>
    </row>
    <row r="10" customFormat="false" ht="36" hidden="false" customHeight="true" outlineLevel="0" collapsed="false">
      <c r="A10" s="26" t="n">
        <v>6</v>
      </c>
      <c r="B10" s="6" t="n">
        <v>10</v>
      </c>
      <c r="C10" s="38" t="s">
        <v>1289</v>
      </c>
      <c r="D10" s="38" t="s">
        <v>1302</v>
      </c>
      <c r="E10" s="34" t="s">
        <v>127</v>
      </c>
      <c r="F10" s="38" t="s">
        <v>1291</v>
      </c>
      <c r="G10" s="27" t="n">
        <v>46190</v>
      </c>
      <c r="H10" s="39" t="n">
        <v>10000000000</v>
      </c>
      <c r="I10" s="39" t="n">
        <v>0</v>
      </c>
      <c r="J10" s="33" t="n">
        <f aca="false">IF(H10="","N/D",H10-I10)</f>
        <v>10000000000</v>
      </c>
      <c r="K10" s="32" t="n">
        <f aca="false">SUMIFS(Detalle_62!$F$14:$F$35,Detalle_62!$C$14:$C$35,E10)</f>
        <v>10000000000</v>
      </c>
      <c r="L10" s="33" t="n">
        <f aca="false">IF(H10="","N/D",K10-J10)</f>
        <v>0</v>
      </c>
      <c r="M10" s="50" t="n">
        <v>0.1239</v>
      </c>
      <c r="N10" s="56" t="n">
        <f aca="false">INDEX(Detalle_62!$J$14:$J$35,MATCH(E10,Detalle_62!$C$14:$C$35,0))</f>
        <v>0.1296288656</v>
      </c>
      <c r="O10" s="53" t="n">
        <f aca="false">(N10-M10)*10000</f>
        <v>57.2886560000001</v>
      </c>
      <c r="P10" s="27"/>
      <c r="Q10" s="57" t="n">
        <f aca="false">INDEX(Detalle_62!$P$14:$P$35,MATCH(E10,Detalle_62!$C$14:$C$35,0))</f>
        <v>46409</v>
      </c>
      <c r="R10" s="26" t="str">
        <f aca="false">IF(P10="","N/D",IF(P10=Q10,"Sí","NO"))</f>
        <v>N/D</v>
      </c>
      <c r="S10" s="6" t="s">
        <v>1303</v>
      </c>
    </row>
    <row r="11" customFormat="false" ht="36" hidden="false" customHeight="true" outlineLevel="0" collapsed="false">
      <c r="A11" s="26" t="n">
        <v>7</v>
      </c>
      <c r="B11" s="6" t="n">
        <v>12</v>
      </c>
      <c r="C11" s="38" t="s">
        <v>1285</v>
      </c>
      <c r="D11" s="38" t="s">
        <v>1304</v>
      </c>
      <c r="E11" s="34" t="s">
        <v>117</v>
      </c>
      <c r="F11" s="38" t="s">
        <v>1287</v>
      </c>
      <c r="G11" s="27" t="n">
        <v>46050</v>
      </c>
      <c r="H11" s="39" t="n">
        <v>3959998435.9</v>
      </c>
      <c r="I11" s="39" t="n">
        <f aca="false">272300000-272299382.05</f>
        <v>617.949999988079</v>
      </c>
      <c r="J11" s="33" t="n">
        <f aca="false">IF(H11="","N/D",H11-I11)</f>
        <v>3959997817.95</v>
      </c>
      <c r="K11" s="32" t="n">
        <f aca="false">SUMIFS(Detalle_62!$F$14:$F$35,Detalle_62!$C$14:$C$35,E11)</f>
        <v>3960000000</v>
      </c>
      <c r="L11" s="33" t="n">
        <f aca="false">IF(H11="","N/D",K11-J11)</f>
        <v>2182.0499997139</v>
      </c>
      <c r="M11" s="50" t="n">
        <v>0.1258</v>
      </c>
      <c r="N11" s="56" t="n">
        <f aca="false">INDEX(Detalle_62!$J$14:$J$35,MATCH(E11,Detalle_62!$C$14:$C$35,0))</f>
        <v>0.160198265625</v>
      </c>
      <c r="O11" s="53" t="n">
        <f aca="false">(N11-M11)*10000</f>
        <v>343.982656250003</v>
      </c>
      <c r="P11" s="27" t="n">
        <v>51710</v>
      </c>
      <c r="Q11" s="57" t="n">
        <f aca="false">INDEX(Detalle_62!$P$14:$P$35,MATCH(E11,Detalle_62!$C$14:$C$35,0))</f>
        <v>51710</v>
      </c>
      <c r="R11" s="26" t="str">
        <f aca="false">IF(P11="","N/D",IF(P11=Q11,"Sí","NO"))</f>
        <v>Sí</v>
      </c>
      <c r="S11" s="6" t="s">
        <v>1305</v>
      </c>
    </row>
    <row r="12" customFormat="false" ht="36" hidden="false" customHeight="true" outlineLevel="0" collapsed="false">
      <c r="A12" s="26" t="n">
        <v>8</v>
      </c>
      <c r="B12" s="6" t="n">
        <v>13</v>
      </c>
      <c r="C12" s="38" t="s">
        <v>1285</v>
      </c>
      <c r="D12" s="38" t="s">
        <v>1306</v>
      </c>
      <c r="E12" s="34" t="s">
        <v>115</v>
      </c>
      <c r="F12" s="38" t="s">
        <v>1287</v>
      </c>
      <c r="G12" s="27" t="n">
        <v>46050</v>
      </c>
      <c r="H12" s="39" t="n">
        <v>2999995943.8</v>
      </c>
      <c r="I12" s="39" t="n">
        <f aca="false">206288000-206287213.2</f>
        <v>786.800000011921</v>
      </c>
      <c r="J12" s="33" t="n">
        <f aca="false">IF(H12="","N/D",H12-I12)</f>
        <v>2999995157</v>
      </c>
      <c r="K12" s="32" t="n">
        <f aca="false">SUMIFS(Detalle_62!$F$14:$F$35,Detalle_62!$C$14:$C$35,E12)</f>
        <v>3000000000</v>
      </c>
      <c r="L12" s="33" t="n">
        <f aca="false">IF(H12="","N/D",K12-J12)</f>
        <v>4843</v>
      </c>
      <c r="M12" s="50" t="n">
        <v>0.1258</v>
      </c>
      <c r="N12" s="56" t="n">
        <f aca="false">INDEX(Detalle_62!$J$14:$J$35,MATCH(E12,Detalle_62!$C$14:$C$35,0))</f>
        <v>0.160198265625</v>
      </c>
      <c r="O12" s="53" t="n">
        <f aca="false">(N12-M12)*10000</f>
        <v>343.982656250003</v>
      </c>
      <c r="P12" s="27" t="n">
        <v>51710</v>
      </c>
      <c r="Q12" s="57" t="n">
        <f aca="false">INDEX(Detalle_62!$P$14:$P$35,MATCH(E12,Detalle_62!$C$14:$C$35,0))</f>
        <v>51710</v>
      </c>
      <c r="R12" s="26" t="str">
        <f aca="false">IF(P12="","N/D",IF(P12=Q12,"Sí","NO"))</f>
        <v>Sí</v>
      </c>
      <c r="S12" s="6" t="s">
        <v>1307</v>
      </c>
    </row>
    <row r="13" customFormat="false" ht="36" hidden="false" customHeight="true" outlineLevel="0" collapsed="false">
      <c r="A13" s="26" t="n">
        <v>9</v>
      </c>
      <c r="B13" s="6" t="s">
        <v>1308</v>
      </c>
      <c r="C13" s="38" t="s">
        <v>1309</v>
      </c>
      <c r="D13" s="38" t="s">
        <v>1310</v>
      </c>
      <c r="E13" s="34" t="s">
        <v>120</v>
      </c>
      <c r="F13" s="38" t="s">
        <v>1311</v>
      </c>
      <c r="G13" s="27" t="n">
        <v>46209</v>
      </c>
      <c r="H13" s="39"/>
      <c r="I13" s="39" t="n">
        <v>0</v>
      </c>
      <c r="J13" s="33" t="str">
        <f aca="false">IF(H13="","N/D",H13-I13)</f>
        <v>N/D</v>
      </c>
      <c r="K13" s="32" t="n">
        <f aca="false">SUMIFS(Detalle_62!$F$14:$F$35,Detalle_62!$C$14:$C$35,E13)</f>
        <v>1883712218.08706</v>
      </c>
      <c r="L13" s="33" t="str">
        <f aca="false">IF(H13="","N/D",K13-J13)</f>
        <v>N/D</v>
      </c>
      <c r="M13" s="50" t="n">
        <v>0.1441</v>
      </c>
      <c r="N13" s="56" t="n">
        <f aca="false">INDEX(Detalle_62!$J$14:$J$35,MATCH(E13,Detalle_62!$C$14:$C$35,0))</f>
        <v>0.148277114550755</v>
      </c>
      <c r="O13" s="53" t="n">
        <f aca="false">(N13-M13)*10000</f>
        <v>41.7711455075528</v>
      </c>
      <c r="P13" s="27"/>
      <c r="Q13" s="57" t="n">
        <f aca="false">INDEX(Detalle_62!$P$14:$P$35,MATCH(E13,Detalle_62!$C$14:$C$35,0))</f>
        <v>48235</v>
      </c>
      <c r="R13" s="26" t="str">
        <f aca="false">IF(P13="","N/D",IF(P13=Q13,"Sí","NO"))</f>
        <v>N/D</v>
      </c>
      <c r="S13" s="6" t="s">
        <v>1312</v>
      </c>
    </row>
    <row r="14" customFormat="false" ht="36" hidden="false" customHeight="true" outlineLevel="0" collapsed="false">
      <c r="A14" s="26" t="n">
        <v>10</v>
      </c>
      <c r="B14" s="6" t="n">
        <v>16</v>
      </c>
      <c r="C14" s="38" t="s">
        <v>1313</v>
      </c>
      <c r="D14" s="38" t="s">
        <v>1314</v>
      </c>
      <c r="E14" s="34" t="s">
        <v>133</v>
      </c>
      <c r="F14" s="38" t="s">
        <v>1315</v>
      </c>
      <c r="G14" s="27" t="n">
        <v>46215</v>
      </c>
      <c r="H14" s="39" t="n">
        <v>1047113003.63</v>
      </c>
      <c r="I14" s="39" t="n">
        <v>62866117.12</v>
      </c>
      <c r="J14" s="33" t="n">
        <f aca="false">IF(H14="","N/D",H14-I14)</f>
        <v>984246886.51</v>
      </c>
      <c r="K14" s="32" t="n">
        <f aca="false">SUMIFS(Detalle_62!$F$14:$F$35,Detalle_62!$C$14:$C$35,E14)</f>
        <v>968620472.418459</v>
      </c>
      <c r="L14" s="33" t="n">
        <f aca="false">IF(H14="","N/D",K14-J14)</f>
        <v>-15626414.0915414</v>
      </c>
      <c r="M14" s="50" t="n">
        <v>0.1604</v>
      </c>
      <c r="N14" s="56" t="n">
        <f aca="false">INDEX(Detalle_62!$J$14:$J$35,MATCH(E14,Detalle_62!$C$14:$C$35,0))</f>
        <v>0.164782455289419</v>
      </c>
      <c r="O14" s="53" t="n">
        <f aca="false">(N14-M14)*10000</f>
        <v>43.8245528941902</v>
      </c>
      <c r="P14" s="27" t="n">
        <v>47321</v>
      </c>
      <c r="Q14" s="57" t="n">
        <f aca="false">INDEX(Detalle_62!$P$14:$P$35,MATCH(E14,Detalle_62!$C$14:$C$35,0))</f>
        <v>47321</v>
      </c>
      <c r="R14" s="26" t="str">
        <f aca="false">IF(P14="","N/D",IF(P14=Q14,"Sí","NO"))</f>
        <v>Sí</v>
      </c>
      <c r="S14" s="6" t="s">
        <v>1316</v>
      </c>
    </row>
    <row r="15" customFormat="false" ht="36" hidden="false" customHeight="true" outlineLevel="0" collapsed="false">
      <c r="A15" s="26" t="n">
        <v>11</v>
      </c>
      <c r="B15" s="6" t="n">
        <v>17</v>
      </c>
      <c r="C15" s="38" t="s">
        <v>1313</v>
      </c>
      <c r="D15" s="38" t="s">
        <v>1317</v>
      </c>
      <c r="E15" s="34" t="s">
        <v>131</v>
      </c>
      <c r="F15" s="38" t="s">
        <v>1315</v>
      </c>
      <c r="G15" s="27" t="n">
        <v>46220</v>
      </c>
      <c r="H15" s="39" t="n">
        <v>280274638.64</v>
      </c>
      <c r="I15" s="39" t="n">
        <v>26602533.7</v>
      </c>
      <c r="J15" s="33" t="n">
        <f aca="false">IF(H15="","N/D",H15-I15)</f>
        <v>253672104.94</v>
      </c>
      <c r="K15" s="32" t="n">
        <f aca="false">SUMIFS(Detalle_62!$F$14:$F$35,Detalle_62!$C$14:$C$35,E15)</f>
        <v>196720178.445431</v>
      </c>
      <c r="L15" s="33" t="n">
        <f aca="false">IF(H15="","N/D",K15-J15)</f>
        <v>-56951926.4945686</v>
      </c>
      <c r="M15" s="50" t="n">
        <v>0.1425</v>
      </c>
      <c r="N15" s="56" t="n">
        <f aca="false">INDEX(Detalle_62!$J$14:$J$35,MATCH(E15,Detalle_62!$C$14:$C$35,0))</f>
        <v>0.145417886389703</v>
      </c>
      <c r="O15" s="53" t="n">
        <f aca="false">(N15-M15)*10000</f>
        <v>29.1788638970292</v>
      </c>
      <c r="P15" s="27" t="n">
        <v>46961</v>
      </c>
      <c r="Q15" s="57" t="n">
        <f aca="false">INDEX(Detalle_62!$P$14:$P$35,MATCH(E15,Detalle_62!$C$14:$C$35,0))</f>
        <v>46870</v>
      </c>
      <c r="R15" s="26" t="str">
        <f aca="false">IF(P15="","N/D",IF(P15=Q15,"Sí","NO"))</f>
        <v>NO</v>
      </c>
      <c r="S15" s="6" t="s">
        <v>1318</v>
      </c>
    </row>
    <row r="16" customFormat="false" ht="36" hidden="false" customHeight="true" outlineLevel="0" collapsed="false">
      <c r="A16" s="26" t="n">
        <v>12</v>
      </c>
      <c r="B16" s="6" t="n">
        <v>18</v>
      </c>
      <c r="C16" s="38" t="s">
        <v>1313</v>
      </c>
      <c r="D16" s="38" t="s">
        <v>1319</v>
      </c>
      <c r="E16" s="34" t="s">
        <v>130</v>
      </c>
      <c r="F16" s="38" t="s">
        <v>1315</v>
      </c>
      <c r="G16" s="27" t="n">
        <v>46220</v>
      </c>
      <c r="H16" s="39" t="n">
        <v>280274638.73</v>
      </c>
      <c r="I16" s="39" t="n">
        <v>26602533.71</v>
      </c>
      <c r="J16" s="33" t="n">
        <f aca="false">IF(H16="","N/D",H16-I16)</f>
        <v>253672105.02</v>
      </c>
      <c r="K16" s="32" t="n">
        <f aca="false">SUMIFS(Detalle_62!$F$14:$F$35,Detalle_62!$C$14:$C$35,E16)</f>
        <v>196720178.445431</v>
      </c>
      <c r="L16" s="33" t="n">
        <f aca="false">IF(H16="","N/D",K16-J16)</f>
        <v>-56951926.5745686</v>
      </c>
      <c r="M16" s="50" t="n">
        <v>0.1425</v>
      </c>
      <c r="N16" s="56" t="n">
        <f aca="false">INDEX(Detalle_62!$J$14:$J$35,MATCH(E16,Detalle_62!$C$14:$C$35,0))</f>
        <v>0.145417886389703</v>
      </c>
      <c r="O16" s="53" t="n">
        <f aca="false">(N16-M16)*10000</f>
        <v>29.1788638970292</v>
      </c>
      <c r="P16" s="27" t="n">
        <v>46961</v>
      </c>
      <c r="Q16" s="57" t="n">
        <f aca="false">INDEX(Detalle_62!$P$14:$P$35,MATCH(E16,Detalle_62!$C$14:$C$35,0))</f>
        <v>46870</v>
      </c>
      <c r="R16" s="26" t="str">
        <f aca="false">IF(P16="","N/D",IF(P16=Q16,"Sí","NO"))</f>
        <v>NO</v>
      </c>
      <c r="S16" s="6" t="s">
        <v>1320</v>
      </c>
    </row>
    <row r="17" customFormat="false" ht="36" hidden="false" customHeight="true" outlineLevel="0" collapsed="false">
      <c r="A17" s="26" t="n">
        <v>13</v>
      </c>
      <c r="B17" s="6" t="n">
        <v>19</v>
      </c>
      <c r="C17" s="38" t="s">
        <v>1313</v>
      </c>
      <c r="D17" s="38" t="s">
        <v>1321</v>
      </c>
      <c r="E17" s="34" t="s">
        <v>129</v>
      </c>
      <c r="F17" s="38" t="s">
        <v>1315</v>
      </c>
      <c r="G17" s="27" t="n">
        <v>46216</v>
      </c>
      <c r="H17" s="39" t="n">
        <v>417650348.81</v>
      </c>
      <c r="I17" s="39" t="n">
        <v>21538319.01</v>
      </c>
      <c r="J17" s="33" t="n">
        <f aca="false">IF(H17="","N/D",H17-I17)</f>
        <v>396112029.8</v>
      </c>
      <c r="K17" s="32" t="n">
        <f aca="false">SUMIFS(Detalle_62!$F$14:$F$35,Detalle_62!$C$14:$C$35,E17)</f>
        <v>381845387.419314</v>
      </c>
      <c r="L17" s="33" t="n">
        <f aca="false">IF(H17="","N/D",K17-J17)</f>
        <v>-14266642.3806862</v>
      </c>
      <c r="M17" s="50" t="n">
        <v>0.1422</v>
      </c>
      <c r="N17" s="56" t="n">
        <f aca="false">INDEX(Detalle_62!$J$14:$J$35,MATCH(E17,Detalle_62!$C$14:$C$35,0))</f>
        <v>0.145417886389703</v>
      </c>
      <c r="O17" s="53" t="n">
        <f aca="false">(N17-M17)*10000</f>
        <v>32.1788638970291</v>
      </c>
      <c r="P17" s="27" t="n">
        <v>47506</v>
      </c>
      <c r="Q17" s="57" t="n">
        <f aca="false">INDEX(Detalle_62!$P$14:$P$35,MATCH(E17,Detalle_62!$C$14:$C$35,0))</f>
        <v>47503</v>
      </c>
      <c r="R17" s="26" t="str">
        <f aca="false">IF(P17="","N/D",IF(P17=Q17,"Sí","NO"))</f>
        <v>NO</v>
      </c>
      <c r="S17" s="6" t="s">
        <v>1322</v>
      </c>
    </row>
    <row r="18" customFormat="false" ht="36" hidden="false" customHeight="true" outlineLevel="0" collapsed="false">
      <c r="A18" s="26" t="n">
        <v>14</v>
      </c>
      <c r="B18" s="6" t="n">
        <v>20</v>
      </c>
      <c r="C18" s="38" t="s">
        <v>1313</v>
      </c>
      <c r="D18" s="38" t="s">
        <v>1323</v>
      </c>
      <c r="E18" s="34" t="s">
        <v>128</v>
      </c>
      <c r="F18" s="38" t="s">
        <v>1315</v>
      </c>
      <c r="G18" s="27" t="n">
        <v>46216</v>
      </c>
      <c r="H18" s="39" t="n">
        <v>417650348.67</v>
      </c>
      <c r="I18" s="39" t="n">
        <v>21538319.02</v>
      </c>
      <c r="J18" s="33" t="n">
        <f aca="false">IF(H18="","N/D",H18-I18)</f>
        <v>396112029.65</v>
      </c>
      <c r="K18" s="32" t="n">
        <f aca="false">SUMIFS(Detalle_62!$F$14:$F$35,Detalle_62!$C$14:$C$35,E18)</f>
        <v>381845387.419314</v>
      </c>
      <c r="L18" s="33" t="n">
        <f aca="false">IF(H18="","N/D",K18-J18)</f>
        <v>-14266642.2306862</v>
      </c>
      <c r="M18" s="50" t="n">
        <v>0.1422</v>
      </c>
      <c r="N18" s="56" t="n">
        <f aca="false">INDEX(Detalle_62!$J$14:$J$35,MATCH(E18,Detalle_62!$C$14:$C$35,0))</f>
        <v>0.145417886389703</v>
      </c>
      <c r="O18" s="53" t="n">
        <f aca="false">(N18-M18)*10000</f>
        <v>32.1788638970291</v>
      </c>
      <c r="P18" s="27" t="n">
        <v>47506</v>
      </c>
      <c r="Q18" s="57" t="n">
        <f aca="false">INDEX(Detalle_62!$P$14:$P$35,MATCH(E18,Detalle_62!$C$14:$C$35,0))</f>
        <v>47503</v>
      </c>
      <c r="R18" s="26" t="str">
        <f aca="false">IF(P18="","N/D",IF(P18=Q18,"Sí","NO"))</f>
        <v>NO</v>
      </c>
      <c r="S18" s="6" t="s">
        <v>1324</v>
      </c>
    </row>
    <row r="19" customFormat="false" ht="36" hidden="false" customHeight="true" outlineLevel="0" collapsed="false">
      <c r="A19" s="26" t="n">
        <v>15</v>
      </c>
      <c r="B19" s="6" t="n">
        <v>21</v>
      </c>
      <c r="C19" s="38" t="s">
        <v>1313</v>
      </c>
      <c r="D19" s="38" t="s">
        <v>1325</v>
      </c>
      <c r="E19" s="34" t="s">
        <v>132</v>
      </c>
      <c r="F19" s="38" t="s">
        <v>1315</v>
      </c>
      <c r="G19" s="27" t="n">
        <v>46213</v>
      </c>
      <c r="H19" s="39" t="n">
        <v>417736780.24</v>
      </c>
      <c r="I19" s="39" t="n">
        <v>21542838.16</v>
      </c>
      <c r="J19" s="33" t="n">
        <f aca="false">IF(H19="","N/D",H19-I19)</f>
        <v>396193942.08</v>
      </c>
      <c r="K19" s="32" t="n">
        <f aca="false">SUMIFS(Detalle_62!$F$14:$F$35,Detalle_62!$C$14:$C$35,E19)</f>
        <v>382649239.487494</v>
      </c>
      <c r="L19" s="33" t="n">
        <f aca="false">IF(H19="","N/D",K19-J19)</f>
        <v>-13544702.592506</v>
      </c>
      <c r="M19" s="50" t="n">
        <v>0.1422</v>
      </c>
      <c r="N19" s="56" t="n">
        <f aca="false">INDEX(Detalle_62!$J$14:$J$35,MATCH(E19,Detalle_62!$C$14:$C$35,0))</f>
        <v>0.145417886389703</v>
      </c>
      <c r="O19" s="53" t="n">
        <f aca="false">(N19-M19)*10000</f>
        <v>32.1788638970291</v>
      </c>
      <c r="P19" s="27" t="n">
        <v>47503</v>
      </c>
      <c r="Q19" s="57" t="n">
        <f aca="false">INDEX(Detalle_62!$P$14:$P$35,MATCH(E19,Detalle_62!$C$14:$C$35,0))</f>
        <v>47503</v>
      </c>
      <c r="R19" s="26" t="str">
        <f aca="false">IF(P19="","N/D",IF(P19=Q19,"Sí","NO"))</f>
        <v>Sí</v>
      </c>
      <c r="S19" s="6" t="s">
        <v>1326</v>
      </c>
    </row>
    <row r="20" customFormat="false" ht="36" hidden="false" customHeight="true" outlineLevel="0" collapsed="false">
      <c r="A20" s="26" t="n">
        <v>16</v>
      </c>
      <c r="B20" s="6" t="s">
        <v>1327</v>
      </c>
      <c r="C20" s="38" t="s">
        <v>1309</v>
      </c>
      <c r="D20" s="38" t="s">
        <v>1328</v>
      </c>
      <c r="E20" s="34" t="s">
        <v>118</v>
      </c>
      <c r="F20" s="38" t="s">
        <v>1311</v>
      </c>
      <c r="G20" s="27" t="n">
        <v>46198</v>
      </c>
      <c r="H20" s="39"/>
      <c r="I20" s="39" t="n">
        <v>0</v>
      </c>
      <c r="J20" s="33" t="str">
        <f aca="false">IF(H20="","N/D",H20-I20)</f>
        <v>N/D</v>
      </c>
      <c r="K20" s="32" t="n">
        <f aca="false">SUMIFS(Detalle_62!$F$14:$F$35,Detalle_62!$C$14:$C$35,E20)</f>
        <v>398582167.21439</v>
      </c>
      <c r="L20" s="33" t="str">
        <f aca="false">IF(H20="","N/D",K20-J20)</f>
        <v>N/D</v>
      </c>
      <c r="M20" s="50" t="n">
        <v>0.1603</v>
      </c>
      <c r="N20" s="56" t="n">
        <f aca="false">INDEX(Detalle_62!$J$14:$J$35,MATCH(E20,Detalle_62!$C$14:$C$35,0))</f>
        <v>0.167133181668336</v>
      </c>
      <c r="O20" s="53" t="n">
        <f aca="false">(N20-M20)*10000</f>
        <v>68.3318166833549</v>
      </c>
      <c r="P20" s="27"/>
      <c r="Q20" s="57" t="n">
        <f aca="false">INDEX(Detalle_62!$P$14:$P$35,MATCH(E20,Detalle_62!$C$14:$C$35,0))</f>
        <v>47037</v>
      </c>
      <c r="R20" s="26" t="str">
        <f aca="false">IF(P20="","N/D",IF(P20=Q20,"Sí","NO"))</f>
        <v>N/D</v>
      </c>
      <c r="S20" s="6" t="s">
        <v>1329</v>
      </c>
    </row>
    <row r="21" customFormat="false" ht="36" hidden="false" customHeight="true" outlineLevel="0" collapsed="false">
      <c r="A21" s="26" t="n">
        <v>17</v>
      </c>
      <c r="B21" s="6" t="s">
        <v>1330</v>
      </c>
      <c r="C21" s="38" t="s">
        <v>1309</v>
      </c>
      <c r="D21" s="38" t="s">
        <v>1331</v>
      </c>
      <c r="E21" s="34" t="s">
        <v>119</v>
      </c>
      <c r="F21" s="38" t="s">
        <v>1311</v>
      </c>
      <c r="G21" s="27" t="n">
        <v>46191</v>
      </c>
      <c r="H21" s="39"/>
      <c r="I21" s="39" t="n">
        <v>0</v>
      </c>
      <c r="J21" s="33" t="str">
        <f aca="false">IF(H21="","N/D",H21-I21)</f>
        <v>N/D</v>
      </c>
      <c r="K21" s="32" t="n">
        <f aca="false">SUMIFS(Detalle_62!$F$14:$F$35,Detalle_62!$C$14:$C$35,E21)</f>
        <v>323529688.533944</v>
      </c>
      <c r="L21" s="33" t="str">
        <f aca="false">IF(H21="","N/D",K21-J21)</f>
        <v>N/D</v>
      </c>
      <c r="M21" s="50" t="n">
        <v>0.1593</v>
      </c>
      <c r="N21" s="56" t="n">
        <f aca="false">INDEX(Detalle_62!$J$14:$J$35,MATCH(E21,Detalle_62!$C$14:$C$35,0))</f>
        <v>0.167133181668336</v>
      </c>
      <c r="O21" s="53" t="n">
        <f aca="false">(N21-M21)*10000</f>
        <v>78.3318166833549</v>
      </c>
      <c r="P21" s="27"/>
      <c r="Q21" s="57" t="n">
        <f aca="false">INDEX(Detalle_62!$P$14:$P$35,MATCH(E21,Detalle_62!$C$14:$C$35,0))</f>
        <v>47098</v>
      </c>
      <c r="R21" s="26" t="str">
        <f aca="false">IF(P21="","N/D",IF(P21=Q21,"Sí","NO"))</f>
        <v>N/D</v>
      </c>
      <c r="S21" s="6" t="s">
        <v>1332</v>
      </c>
    </row>
    <row r="22" customFormat="false" ht="15" hidden="false" customHeight="false" outlineLevel="0" collapsed="false">
      <c r="F22" s="40" t="s">
        <v>1333</v>
      </c>
      <c r="J22" s="41" t="n">
        <f aca="false">SUMIFS(J5:J21,$H$5:$H$21,"&lt;&gt;")</f>
        <v>35993167209.59</v>
      </c>
      <c r="K22" s="41" t="n">
        <f aca="false">SUMIFS(K5:K21,$H$5:$H$21,"&lt;&gt;")</f>
        <v>35821567508.9688</v>
      </c>
      <c r="L22" s="41" t="n">
        <f aca="false">SUM(L5:L21)</f>
        <v>-171599700.621224</v>
      </c>
    </row>
    <row r="23" customFormat="false" ht="15" hidden="false" customHeight="false" outlineLevel="0" collapsed="false">
      <c r="F23" s="26" t="s">
        <v>1334</v>
      </c>
      <c r="L23" s="58" t="n">
        <f aca="false">SUMIFS(L5:L21,E5:E21,"BOG-L*")</f>
        <v>-171608254.364557</v>
      </c>
    </row>
    <row r="24" customFormat="false" ht="15" hidden="false" customHeight="false" outlineLevel="0" collapsed="false">
      <c r="F24" s="26" t="s">
        <v>1335</v>
      </c>
      <c r="L24" s="33" t="n">
        <f aca="false">L22-L23</f>
        <v>8553.74333286285</v>
      </c>
    </row>
    <row r="26" customFormat="false" ht="15" hidden="false" customHeight="false" outlineLevel="0" collapsed="false">
      <c r="A26" s="46" t="s">
        <v>1336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customFormat="false" ht="30" hidden="false" customHeight="true" outlineLevel="0" collapsed="false">
      <c r="A27" s="31"/>
      <c r="B27" s="31"/>
      <c r="C27" s="31" t="s">
        <v>157</v>
      </c>
      <c r="D27" s="31" t="s">
        <v>1337</v>
      </c>
      <c r="E27" s="31" t="s">
        <v>1198</v>
      </c>
      <c r="F27" s="31" t="s">
        <v>1199</v>
      </c>
      <c r="G27" s="31"/>
      <c r="H27" s="31"/>
      <c r="I27" s="31"/>
      <c r="J27" s="31"/>
      <c r="K27" s="31" t="s">
        <v>102</v>
      </c>
    </row>
    <row r="28" customFormat="false" ht="15" hidden="false" customHeight="false" outlineLevel="0" collapsed="false">
      <c r="C28" s="38" t="s">
        <v>1248</v>
      </c>
      <c r="D28" s="38" t="s">
        <v>1249</v>
      </c>
      <c r="E28" s="34" t="s">
        <v>135</v>
      </c>
      <c r="F28" s="26" t="s">
        <v>165</v>
      </c>
      <c r="K28" s="32" t="n">
        <f aca="false">SUMIFS(Detalle_62!$F$14:$F$35,Detalle_62!$C$14:$C$35,E28)</f>
        <v>287500000</v>
      </c>
    </row>
    <row r="29" customFormat="false" ht="15" hidden="false" customHeight="false" outlineLevel="0" collapsed="false">
      <c r="C29" s="38" t="s">
        <v>1250</v>
      </c>
      <c r="D29" s="38" t="s">
        <v>1338</v>
      </c>
      <c r="E29" s="34" t="s">
        <v>137</v>
      </c>
      <c r="F29" s="26" t="s">
        <v>165</v>
      </c>
      <c r="K29" s="32" t="n">
        <f aca="false">SUMIFS(Detalle_62!$F$14:$F$35,Detalle_62!$C$14:$C$35,E29)</f>
        <v>4700000000</v>
      </c>
    </row>
    <row r="30" customFormat="false" ht="15" hidden="false" customHeight="false" outlineLevel="0" collapsed="false">
      <c r="C30" s="38" t="s">
        <v>343</v>
      </c>
      <c r="D30" s="38" t="s">
        <v>1253</v>
      </c>
      <c r="E30" s="34" t="s">
        <v>140</v>
      </c>
      <c r="F30" s="26" t="s">
        <v>1221</v>
      </c>
      <c r="K30" s="32" t="n">
        <f aca="false">SUMIFS(Detalle_62!$F$14:$F$35,Detalle_62!$C$14:$C$35,E30)</f>
        <v>497241599</v>
      </c>
    </row>
    <row r="31" customFormat="false" ht="15" hidden="false" customHeight="false" outlineLevel="0" collapsed="false">
      <c r="C31" s="38" t="s">
        <v>343</v>
      </c>
      <c r="D31" s="38" t="s">
        <v>1255</v>
      </c>
      <c r="E31" s="34" t="s">
        <v>141</v>
      </c>
      <c r="F31" s="26" t="s">
        <v>1221</v>
      </c>
      <c r="K31" s="32" t="n">
        <f aca="false">SUMIFS(Detalle_62!$F$14:$F$35,Detalle_62!$C$14:$C$35,E31)</f>
        <v>770085425.158301</v>
      </c>
    </row>
    <row r="32" customFormat="false" ht="15" hidden="false" customHeight="false" outlineLevel="0" collapsed="false">
      <c r="C32" s="38" t="s">
        <v>343</v>
      </c>
      <c r="D32" s="38" t="s">
        <v>1257</v>
      </c>
      <c r="E32" s="34" t="s">
        <v>142</v>
      </c>
      <c r="F32" s="26" t="s">
        <v>1221</v>
      </c>
      <c r="K32" s="32" t="n">
        <f aca="false">SUMIFS(Detalle_62!$F$14:$F$35,Detalle_62!$C$14:$C$35,E32)</f>
        <v>503693510</v>
      </c>
    </row>
    <row r="33" customFormat="false" ht="15" hidden="false" customHeight="false" outlineLevel="0" collapsed="false">
      <c r="C33" s="38" t="s">
        <v>1293</v>
      </c>
      <c r="D33" s="38" t="s">
        <v>1339</v>
      </c>
      <c r="E33" s="34" t="s">
        <v>143</v>
      </c>
      <c r="F33" s="26" t="s">
        <v>1221</v>
      </c>
      <c r="K33" s="32" t="n">
        <f aca="false">SUMIFS(Mayor_Mov!$F$5:$F$445,Mayor_Mov!$N$5:$N$445,E33)-SUMIFS(Mayor_Mov!$E$5:$E$445,Mayor_Mov!$N$5:$N$445,E33)</f>
        <v>675837500</v>
      </c>
    </row>
    <row r="34" customFormat="false" ht="15" hidden="false" customHeight="false" outlineLevel="0" collapsed="false">
      <c r="F34" s="40" t="s">
        <v>1340</v>
      </c>
      <c r="K34" s="41" t="n">
        <f aca="false">SUM(K28:K32)</f>
        <v>6758520534.1583</v>
      </c>
    </row>
    <row r="35" customFormat="false" ht="15" hidden="false" customHeight="false" outlineLevel="0" collapsed="false">
      <c r="F35" s="26" t="s">
        <v>1341</v>
      </c>
      <c r="K35" s="36" t="n">
        <f aca="false">1-K34/Detalle_62!$F$36</f>
        <v>0.850428591179834</v>
      </c>
    </row>
    <row r="37" customFormat="false" ht="15" hidden="false" customHeight="false" outlineLevel="0" collapsed="false">
      <c r="A37" s="46" t="s">
        <v>1342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customFormat="false" ht="30" hidden="false" customHeight="true" outlineLevel="0" collapsed="false">
      <c r="A38" s="31"/>
      <c r="B38" s="31"/>
      <c r="C38" s="31" t="s">
        <v>1198</v>
      </c>
      <c r="D38" s="31" t="s">
        <v>154</v>
      </c>
      <c r="E38" s="31" t="s">
        <v>1343</v>
      </c>
      <c r="F38" s="31" t="s">
        <v>282</v>
      </c>
      <c r="G38" s="31"/>
      <c r="H38" s="31" t="s">
        <v>1344</v>
      </c>
      <c r="I38" s="31" t="s">
        <v>1345</v>
      </c>
      <c r="J38" s="31" t="s">
        <v>152</v>
      </c>
      <c r="K38" s="31"/>
      <c r="L38" s="31"/>
      <c r="M38" s="31"/>
      <c r="N38" s="31"/>
      <c r="O38" s="31"/>
      <c r="P38" s="31"/>
      <c r="Q38" s="31"/>
      <c r="R38" s="31"/>
      <c r="S38" s="31" t="s">
        <v>1171</v>
      </c>
    </row>
    <row r="39" customFormat="false" ht="24" hidden="false" customHeight="true" outlineLevel="0" collapsed="false">
      <c r="C39" s="34" t="s">
        <v>116</v>
      </c>
      <c r="D39" s="6" t="s">
        <v>1346</v>
      </c>
      <c r="E39" s="38" t="s">
        <v>908</v>
      </c>
      <c r="F39" s="57" t="n">
        <f aca="false">INDEX(Mayor_Mov!$H$5:$H$445,MATCH(E39,Mayor_Mov!$J$5:$J$445,0))</f>
        <v>46105</v>
      </c>
      <c r="H39" s="39" t="n">
        <v>445208000</v>
      </c>
      <c r="I39" s="32" t="n">
        <f aca="false">SUMIFS(Mayor_Mov!$E$5:$E$445,Mayor_Mov!$J$5:$J$445,E39,Mayor_Mov!$N$5:$N$445,C39)</f>
        <v>445208000</v>
      </c>
      <c r="J39" s="33" t="n">
        <f aca="false">I39-H39</f>
        <v>0</v>
      </c>
      <c r="S39" s="6" t="s">
        <v>1347</v>
      </c>
    </row>
    <row r="40" customFormat="false" ht="24" hidden="false" customHeight="true" outlineLevel="0" collapsed="false">
      <c r="C40" s="34" t="s">
        <v>117</v>
      </c>
      <c r="D40" s="6" t="s">
        <v>1348</v>
      </c>
      <c r="E40" s="38" t="s">
        <v>894</v>
      </c>
      <c r="F40" s="57" t="n">
        <f aca="false">INDEX(Mayor_Mov!$H$5:$H$445,MATCH(E40,Mayor_Mov!$J$5:$J$445,0))</f>
        <v>46051</v>
      </c>
      <c r="H40" s="39" t="n">
        <v>243933000</v>
      </c>
      <c r="I40" s="32" t="n">
        <f aca="false">SUMIFS(Mayor_Mov!$E$5:$E$445,Mayor_Mov!$J$5:$J$445,E40,Mayor_Mov!$N$5:$N$445,C40)</f>
        <v>243933000</v>
      </c>
      <c r="J40" s="33" t="n">
        <f aca="false">I40-H40</f>
        <v>0</v>
      </c>
      <c r="S40" s="6" t="s">
        <v>1349</v>
      </c>
    </row>
    <row r="41" customFormat="false" ht="24" hidden="false" customHeight="true" outlineLevel="0" collapsed="false">
      <c r="C41" s="34" t="s">
        <v>115</v>
      </c>
      <c r="D41" s="6" t="s">
        <v>1350</v>
      </c>
      <c r="E41" s="38" t="s">
        <v>896</v>
      </c>
      <c r="F41" s="57" t="n">
        <f aca="false">INDEX(Mayor_Mov!$H$5:$H$445,MATCH(E41,Mayor_Mov!$J$5:$J$445,0))</f>
        <v>46051</v>
      </c>
      <c r="H41" s="39" t="n">
        <v>184798000</v>
      </c>
      <c r="I41" s="32" t="n">
        <f aca="false">SUMIFS(Mayor_Mov!$E$5:$E$445,Mayor_Mov!$J$5:$J$445,E41,Mayor_Mov!$N$5:$N$445,C41)</f>
        <v>184798000</v>
      </c>
      <c r="J41" s="33" t="n">
        <f aca="false">I41-H41</f>
        <v>0</v>
      </c>
      <c r="S41" s="6" t="s">
        <v>1351</v>
      </c>
    </row>
    <row r="42" customFormat="false" ht="24" hidden="false" customHeight="true" outlineLevel="0" collapsed="false">
      <c r="C42" s="34" t="s">
        <v>117</v>
      </c>
      <c r="D42" s="6" t="s">
        <v>1352</v>
      </c>
      <c r="E42" s="38" t="s">
        <v>923</v>
      </c>
      <c r="F42" s="57" t="n">
        <f aca="false">INDEX(Mayor_Mov!$H$5:$H$445,MATCH(E42,Mayor_Mov!$J$5:$J$445,0))</f>
        <v>46231</v>
      </c>
      <c r="H42" s="39" t="n">
        <v>272299382.05</v>
      </c>
      <c r="I42" s="32" t="n">
        <f aca="false">SUMIFS(Mayor_Mov!$E$5:$E$445,Mayor_Mov!$J$5:$J$445,E42,Mayor_Mov!$N$5:$N$445,C42)</f>
        <v>272300000</v>
      </c>
      <c r="J42" s="33" t="n">
        <f aca="false">I42-H42</f>
        <v>617.949999988079</v>
      </c>
      <c r="S42" s="6" t="s">
        <v>1353</v>
      </c>
    </row>
    <row r="43" customFormat="false" ht="24" hidden="false" customHeight="true" outlineLevel="0" collapsed="false">
      <c r="C43" s="34" t="s">
        <v>115</v>
      </c>
      <c r="D43" s="6" t="s">
        <v>1352</v>
      </c>
      <c r="E43" s="38" t="s">
        <v>925</v>
      </c>
      <c r="F43" s="57" t="n">
        <f aca="false">INDEX(Mayor_Mov!$H$5:$H$445,MATCH(E43,Mayor_Mov!$J$5:$J$445,0))</f>
        <v>46231</v>
      </c>
      <c r="H43" s="39" t="n">
        <v>206287213.2</v>
      </c>
      <c r="I43" s="32" t="n">
        <f aca="false">SUMIFS(Mayor_Mov!$E$5:$E$445,Mayor_Mov!$J$5:$J$445,E43,Mayor_Mov!$N$5:$N$445,C43)</f>
        <v>206288000</v>
      </c>
      <c r="J43" s="33" t="n">
        <f aca="false">I43-H43</f>
        <v>786.800000011921</v>
      </c>
      <c r="S43" s="6" t="s">
        <v>1354</v>
      </c>
    </row>
    <row r="44" customFormat="false" ht="24" hidden="false" customHeight="true" outlineLevel="0" collapsed="false">
      <c r="C44" s="34" t="s">
        <v>125</v>
      </c>
      <c r="D44" s="6" t="s">
        <v>1355</v>
      </c>
      <c r="E44" s="38" t="s">
        <v>321</v>
      </c>
      <c r="F44" s="57" t="n">
        <f aca="false">INDEX(Mayor_Mov!$H$5:$H$445,MATCH(E44,Mayor_Mov!$J$5:$J$445,0))</f>
        <v>46100</v>
      </c>
      <c r="H44" s="39" t="n">
        <v>182166667.53</v>
      </c>
      <c r="I44" s="32" t="n">
        <f aca="false">SUMIFS(Mayor_Mov!$E$5:$E$445,Mayor_Mov!$J$5:$J$445,E44,Mayor_Mov!$N$5:$N$445,C44)</f>
        <v>182166667</v>
      </c>
      <c r="J44" s="33" t="n">
        <f aca="false">I44-H44</f>
        <v>-0.530000001192093</v>
      </c>
      <c r="S44" s="6" t="s">
        <v>1356</v>
      </c>
    </row>
    <row r="45" customFormat="false" ht="24" hidden="false" customHeight="true" outlineLevel="0" collapsed="false">
      <c r="C45" s="34" t="s">
        <v>125</v>
      </c>
      <c r="D45" s="6" t="s">
        <v>1357</v>
      </c>
      <c r="E45" s="38" t="s">
        <v>937</v>
      </c>
      <c r="F45" s="57" t="n">
        <f aca="false">INDEX(Mayor_Mov!$H$5:$H$445,MATCH(E45,Mayor_Mov!$J$5:$J$445,0))</f>
        <v>46100</v>
      </c>
      <c r="H45" s="39" t="n">
        <v>56089116.47</v>
      </c>
      <c r="I45" s="32" t="n">
        <f aca="false">SUMIFS(Mayor_Mov!$E$5:$E$445,Mayor_Mov!$J$5:$J$445,E45,Mayor_Mov!$N$5:$N$445,C45)</f>
        <v>56089116</v>
      </c>
      <c r="J45" s="33" t="n">
        <f aca="false">I45-H45</f>
        <v>-0.469999998807907</v>
      </c>
      <c r="S45" s="6"/>
    </row>
    <row r="46" customFormat="false" ht="24" hidden="false" customHeight="true" outlineLevel="0" collapsed="false">
      <c r="C46" s="34" t="s">
        <v>125</v>
      </c>
      <c r="D46" s="6" t="s">
        <v>1358</v>
      </c>
      <c r="E46" s="38" t="s">
        <v>333</v>
      </c>
      <c r="F46" s="57" t="n">
        <f aca="false">INDEX(Mayor_Mov!$H$5:$H$445,MATCH(E46,Mayor_Mov!$J$5:$J$445,0))</f>
        <v>46197</v>
      </c>
      <c r="H46" s="39" t="n">
        <v>182166667</v>
      </c>
      <c r="I46" s="32" t="n">
        <f aca="false">SUMIFS(Mayor_Mov!$E$5:$E$445,Mayor_Mov!$J$5:$J$445,E46,Mayor_Mov!$N$5:$N$445,C46)</f>
        <v>182166667</v>
      </c>
      <c r="J46" s="33" t="n">
        <f aca="false">I46-H46</f>
        <v>0</v>
      </c>
      <c r="S46" s="6"/>
    </row>
    <row r="47" customFormat="false" ht="24" hidden="false" customHeight="true" outlineLevel="0" collapsed="false">
      <c r="C47" s="34" t="s">
        <v>125</v>
      </c>
      <c r="D47" s="6" t="s">
        <v>1359</v>
      </c>
      <c r="E47" s="38" t="s">
        <v>949</v>
      </c>
      <c r="F47" s="57" t="n">
        <f aca="false">INDEX(Mayor_Mov!$H$5:$H$445,MATCH(E47,Mayor_Mov!$J$5:$J$445,0))</f>
        <v>46203</v>
      </c>
      <c r="H47" s="39" t="n">
        <v>59390887.23</v>
      </c>
      <c r="I47" s="32" t="n">
        <f aca="false">SUMIFS(Mayor_Mov!$E$5:$E$445,Mayor_Mov!$J$5:$J$445,E47,Mayor_Mov!$N$5:$N$445,C47)</f>
        <v>59390887</v>
      </c>
      <c r="J47" s="33" t="n">
        <f aca="false">I47-H47</f>
        <v>-0.229999996721745</v>
      </c>
      <c r="S47" s="6"/>
    </row>
    <row r="48" customFormat="false" ht="24" hidden="false" customHeight="true" outlineLevel="0" collapsed="false">
      <c r="C48" s="34" t="s">
        <v>124</v>
      </c>
      <c r="D48" s="6" t="s">
        <v>1360</v>
      </c>
      <c r="E48" s="38" t="s">
        <v>331</v>
      </c>
      <c r="F48" s="57" t="n">
        <f aca="false">INDEX(Mayor_Mov!$H$5:$H$445,MATCH(E48,Mayor_Mov!$J$5:$J$445,0))</f>
        <v>46197</v>
      </c>
      <c r="H48" s="39" t="n">
        <v>62500000.09</v>
      </c>
      <c r="I48" s="32" t="n">
        <f aca="false">SUMIFS(Mayor_Mov!$E$5:$E$445,Mayor_Mov!$J$5:$J$445,E48,Mayor_Mov!$N$5:$N$445,C48)</f>
        <v>62500000</v>
      </c>
      <c r="J48" s="33" t="n">
        <f aca="false">I48-H48</f>
        <v>-0.0900000035762787</v>
      </c>
      <c r="S48" s="6"/>
    </row>
    <row r="49" customFormat="false" ht="24" hidden="false" customHeight="true" outlineLevel="0" collapsed="false">
      <c r="C49" s="34" t="s">
        <v>124</v>
      </c>
      <c r="D49" s="6" t="s">
        <v>1361</v>
      </c>
      <c r="E49" s="38" t="s">
        <v>335</v>
      </c>
      <c r="F49" s="57" t="n">
        <f aca="false">INDEX(Mayor_Mov!$H$5:$H$445,MATCH(E49,Mayor_Mov!$J$5:$J$445,0))</f>
        <v>46230</v>
      </c>
      <c r="H49" s="39" t="n">
        <v>62500000</v>
      </c>
      <c r="I49" s="32" t="n">
        <f aca="false">SUMIFS(Mayor_Mov!$E$5:$E$445,Mayor_Mov!$J$5:$J$445,E49,Mayor_Mov!$N$5:$N$445,C49)</f>
        <v>62500000</v>
      </c>
      <c r="J49" s="33" t="n">
        <f aca="false">I49-H49</f>
        <v>0</v>
      </c>
      <c r="S49" s="6" t="s">
        <v>1362</v>
      </c>
    </row>
    <row r="50" customFormat="false" ht="24" hidden="false" customHeight="true" outlineLevel="0" collapsed="false">
      <c r="C50" s="34" t="s">
        <v>126</v>
      </c>
      <c r="D50" s="6" t="s">
        <v>1363</v>
      </c>
      <c r="E50" s="38" t="s">
        <v>327</v>
      </c>
      <c r="F50" s="57" t="n">
        <f aca="false">INDEX(Mayor_Mov!$H$5:$H$445,MATCH(E50,Mayor_Mov!$J$5:$J$445,0))</f>
        <v>46164</v>
      </c>
      <c r="H50" s="39" t="n">
        <v>125000000.56</v>
      </c>
      <c r="I50" s="32" t="n">
        <f aca="false">SUMIFS(Mayor_Mov!$E$5:$E$445,Mayor_Mov!$J$5:$J$445,E50,Mayor_Mov!$N$5:$N$445,C50)</f>
        <v>125000000</v>
      </c>
      <c r="J50" s="33" t="n">
        <f aca="false">I50-H50</f>
        <v>-0.560000002384186</v>
      </c>
      <c r="S50" s="6"/>
    </row>
    <row r="51" customFormat="false" ht="24" hidden="false" customHeight="true" outlineLevel="0" collapsed="false">
      <c r="C51" s="34" t="s">
        <v>126</v>
      </c>
      <c r="D51" s="6" t="s">
        <v>1364</v>
      </c>
      <c r="E51" s="38" t="s">
        <v>947</v>
      </c>
      <c r="F51" s="57" t="n">
        <f aca="false">INDEX(Mayor_Mov!$H$5:$H$445,MATCH(E51,Mayor_Mov!$J$5:$J$445,0))</f>
        <v>46164</v>
      </c>
      <c r="H51" s="39" t="n">
        <v>46619930.44</v>
      </c>
      <c r="I51" s="32" t="n">
        <f aca="false">SUMIFS(Mayor_Mov!$E$5:$E$445,Mayor_Mov!$J$5:$J$445,E51,Mayor_Mov!$N$5:$N$445,C51)</f>
        <v>46619930</v>
      </c>
      <c r="J51" s="33" t="n">
        <f aca="false">I51-H51</f>
        <v>-0.439999997615814</v>
      </c>
      <c r="S51" s="6"/>
    </row>
    <row r="52" customFormat="false" ht="24" hidden="false" customHeight="true" outlineLevel="0" collapsed="false">
      <c r="C52" s="34" t="s">
        <v>127</v>
      </c>
      <c r="D52" s="6" t="s">
        <v>1365</v>
      </c>
      <c r="E52" s="38" t="s">
        <v>942</v>
      </c>
      <c r="F52" s="57" t="n">
        <f aca="false">INDEX(Mayor_Mov!$H$5:$H$445,MATCH(E52,Mayor_Mov!$J$5:$J$445,0))</f>
        <v>46136</v>
      </c>
      <c r="H52" s="39" t="n">
        <v>254610555.55</v>
      </c>
      <c r="I52" s="32" t="n">
        <f aca="false">SUMIFS(Mayor_Mov!$E$5:$E$445,Mayor_Mov!$J$5:$J$445,E52,Mayor_Mov!$N$5:$N$445,C52)</f>
        <v>254610556</v>
      </c>
      <c r="J52" s="33" t="n">
        <f aca="false">I52-H52</f>
        <v>0.449999988079071</v>
      </c>
      <c r="S52" s="6"/>
    </row>
    <row r="53" customFormat="false" ht="24" hidden="false" customHeight="true" outlineLevel="0" collapsed="false">
      <c r="C53" s="34" t="s">
        <v>127</v>
      </c>
      <c r="D53" s="6" t="s">
        <v>1366</v>
      </c>
      <c r="E53" s="38" t="s">
        <v>957</v>
      </c>
      <c r="F53" s="57" t="n">
        <f aca="false">INDEX(Mayor_Mov!$H$5:$H$445,MATCH(E53,Mayor_Mov!$J$5:$J$445,0))</f>
        <v>46230</v>
      </c>
      <c r="H53" s="39" t="n">
        <v>299617500</v>
      </c>
      <c r="I53" s="32" t="n">
        <f aca="false">SUMIFS(Mayor_Mov!$E$5:$E$445,Mayor_Mov!$J$5:$J$445,E53,Mayor_Mov!$N$5:$N$445,C53)</f>
        <v>299617499</v>
      </c>
      <c r="J53" s="33" t="n">
        <f aca="false">I53-H53</f>
        <v>-1</v>
      </c>
      <c r="S53" s="6"/>
    </row>
    <row r="54" customFormat="false" ht="24" hidden="false" customHeight="true" outlineLevel="0" collapsed="false">
      <c r="C54" s="34" t="s">
        <v>133</v>
      </c>
      <c r="D54" s="6" t="s">
        <v>1367</v>
      </c>
      <c r="E54" s="38" t="s">
        <v>813</v>
      </c>
      <c r="F54" s="57" t="n">
        <f aca="false">INDEX(Mayor_Mov!$H$5:$H$445,MATCH(E54,Mayor_Mov!$J$5:$J$445,0))</f>
        <v>46136</v>
      </c>
      <c r="H54" s="39" t="n">
        <v>62648860.03</v>
      </c>
      <c r="I54" s="32" t="n">
        <f aca="false">SUMIFS(Mayor_Mov!$E$5:$E$445,Mayor_Mov!$J$5:$J$445,E54,Mayor_Mov!$N$5:$N$445,C54)</f>
        <v>62648860.03</v>
      </c>
      <c r="J54" s="33" t="n">
        <f aca="false">I54-H54</f>
        <v>0</v>
      </c>
      <c r="S54" s="6"/>
    </row>
    <row r="55" customFormat="false" ht="24" hidden="false" customHeight="true" outlineLevel="0" collapsed="false">
      <c r="C55" s="34" t="s">
        <v>133</v>
      </c>
      <c r="D55" s="6" t="s">
        <v>1368</v>
      </c>
      <c r="E55" s="38" t="s">
        <v>1039</v>
      </c>
      <c r="F55" s="57" t="n">
        <f aca="false">INDEX(Mayor_Mov!$H$5:$H$445,MATCH(E55,Mayor_Mov!$J$5:$J$445,0))</f>
        <v>46136</v>
      </c>
      <c r="H55" s="39" t="n">
        <v>36783056.97</v>
      </c>
      <c r="I55" s="32" t="n">
        <f aca="false">SUMIFS(Mayor_Mov!$E$5:$E$445,Mayor_Mov!$J$5:$J$445,E55,Mayor_Mov!$N$5:$N$445,C55)</f>
        <v>36783056</v>
      </c>
      <c r="J55" s="33" t="n">
        <f aca="false">I55-H55</f>
        <v>-0.969999998807907</v>
      </c>
      <c r="S55" s="6"/>
    </row>
    <row r="56" customFormat="false" ht="24" hidden="false" customHeight="true" outlineLevel="0" collapsed="false">
      <c r="C56" s="34" t="s">
        <v>133</v>
      </c>
      <c r="D56" s="6" t="s">
        <v>1369</v>
      </c>
      <c r="E56" s="38" t="s">
        <v>829</v>
      </c>
      <c r="F56" s="57" t="n">
        <f aca="false">INDEX(Mayor_Mov!$H$5:$H$445,MATCH(E56,Mayor_Mov!$J$5:$J$445,0))</f>
        <v>46231</v>
      </c>
      <c r="H56" s="39" t="n">
        <v>62866117.12</v>
      </c>
      <c r="I56" s="32" t="n">
        <f aca="false">SUMIFS(Mayor_Mov!$E$5:$E$445,Mayor_Mov!$J$5:$J$445,E56,Mayor_Mov!$N$5:$N$445,C56)</f>
        <v>62866117.12</v>
      </c>
      <c r="J56" s="33" t="n">
        <f aca="false">I56-H56</f>
        <v>0</v>
      </c>
      <c r="S56" s="6"/>
    </row>
    <row r="57" customFormat="false" ht="24" hidden="false" customHeight="true" outlineLevel="0" collapsed="false">
      <c r="C57" s="34" t="s">
        <v>133</v>
      </c>
      <c r="D57" s="6" t="s">
        <v>1370</v>
      </c>
      <c r="E57" s="38" t="s">
        <v>1073</v>
      </c>
      <c r="F57" s="57" t="n">
        <f aca="false">INDEX(Mayor_Mov!$H$5:$H$445,MATCH(E57,Mayor_Mov!$J$5:$J$445,0))</f>
        <v>46231</v>
      </c>
      <c r="H57" s="39" t="n">
        <v>39578631.88</v>
      </c>
      <c r="I57" s="32" t="n">
        <f aca="false">SUMIFS(Mayor_Mov!$E$5:$E$445,Mayor_Mov!$J$5:$J$445,E57,Mayor_Mov!$N$5:$N$445,C57)</f>
        <v>39578631</v>
      </c>
      <c r="J57" s="33" t="n">
        <f aca="false">I57-H57</f>
        <v>-0.880000002682209</v>
      </c>
      <c r="S57" s="6"/>
    </row>
    <row r="58" customFormat="false" ht="24" hidden="false" customHeight="true" outlineLevel="0" collapsed="false">
      <c r="C58" s="34" t="s">
        <v>131</v>
      </c>
      <c r="D58" s="6" t="s">
        <v>1367</v>
      </c>
      <c r="E58" s="38" t="s">
        <v>819</v>
      </c>
      <c r="F58" s="57" t="n">
        <f aca="false">INDEX(Mayor_Mov!$H$5:$H$445,MATCH(E58,Mayor_Mov!$J$5:$J$445,0))</f>
        <v>46136</v>
      </c>
      <c r="H58" s="39" t="n">
        <v>26079255.17</v>
      </c>
      <c r="I58" s="32" t="n">
        <f aca="false">SUMIFS(Mayor_Mov!$E$5:$E$445,Mayor_Mov!$J$5:$J$445,E58,Mayor_Mov!$N$5:$N$445,C58)</f>
        <v>26079255.17</v>
      </c>
      <c r="J58" s="33" t="n">
        <f aca="false">I58-H58</f>
        <v>0</v>
      </c>
      <c r="S58" s="6"/>
    </row>
    <row r="59" customFormat="false" ht="24" hidden="false" customHeight="true" outlineLevel="0" collapsed="false">
      <c r="C59" s="34" t="s">
        <v>131</v>
      </c>
      <c r="D59" s="6" t="s">
        <v>1369</v>
      </c>
      <c r="E59" s="38" t="s">
        <v>823</v>
      </c>
      <c r="F59" s="57" t="n">
        <f aca="false">INDEX(Mayor_Mov!$H$5:$H$445,MATCH(E59,Mayor_Mov!$J$5:$J$445,0))</f>
        <v>46230</v>
      </c>
      <c r="H59" s="39" t="n">
        <v>26602533.7</v>
      </c>
      <c r="I59" s="32" t="n">
        <f aca="false">SUMIFS(Mayor_Mov!$E$5:$E$445,Mayor_Mov!$J$5:$J$445,E59,Mayor_Mov!$N$5:$N$445,C59)</f>
        <v>26602533.7</v>
      </c>
      <c r="J59" s="33" t="n">
        <f aca="false">I59-H59</f>
        <v>0</v>
      </c>
      <c r="S59" s="6"/>
    </row>
    <row r="60" customFormat="false" ht="24" hidden="false" customHeight="true" outlineLevel="0" collapsed="false">
      <c r="C60" s="34" t="s">
        <v>131</v>
      </c>
      <c r="D60" s="6" t="s">
        <v>1370</v>
      </c>
      <c r="E60" s="38" t="s">
        <v>1067</v>
      </c>
      <c r="F60" s="57" t="n">
        <f aca="false">INDEX(Mayor_Mov!$H$5:$H$445,MATCH(E60,Mayor_Mov!$J$5:$J$445,0))</f>
        <v>46230</v>
      </c>
      <c r="H60" s="39" t="n">
        <v>9497274.3</v>
      </c>
      <c r="I60" s="32" t="n">
        <f aca="false">SUMIFS(Mayor_Mov!$E$5:$E$445,Mayor_Mov!$J$5:$J$445,E60,Mayor_Mov!$N$5:$N$445,C60)</f>
        <v>9497274</v>
      </c>
      <c r="J60" s="33" t="n">
        <f aca="false">I60-H60</f>
        <v>-0.300000000745058</v>
      </c>
      <c r="S60" s="6"/>
    </row>
    <row r="61" customFormat="false" ht="24" hidden="false" customHeight="true" outlineLevel="0" collapsed="false">
      <c r="C61" s="34" t="s">
        <v>130</v>
      </c>
      <c r="D61" s="6" t="s">
        <v>1367</v>
      </c>
      <c r="E61" s="38" t="s">
        <v>809</v>
      </c>
      <c r="F61" s="57" t="n">
        <f aca="false">INDEX(Mayor_Mov!$H$5:$H$445,MATCH(E61,Mayor_Mov!$J$5:$J$445,0))</f>
        <v>46136</v>
      </c>
      <c r="H61" s="39" t="n">
        <v>26079255.16</v>
      </c>
      <c r="I61" s="32" t="n">
        <f aca="false">SUMIFS(Mayor_Mov!$E$5:$E$445,Mayor_Mov!$J$5:$J$445,E61,Mayor_Mov!$N$5:$N$445,C61)</f>
        <v>26079255.16</v>
      </c>
      <c r="J61" s="33" t="n">
        <f aca="false">I61-H61</f>
        <v>0</v>
      </c>
      <c r="S61" s="6"/>
    </row>
    <row r="62" customFormat="false" ht="24" hidden="false" customHeight="true" outlineLevel="0" collapsed="false">
      <c r="C62" s="34" t="s">
        <v>130</v>
      </c>
      <c r="D62" s="6" t="s">
        <v>1369</v>
      </c>
      <c r="E62" s="38" t="s">
        <v>821</v>
      </c>
      <c r="F62" s="57" t="n">
        <f aca="false">INDEX(Mayor_Mov!$H$5:$H$445,MATCH(E62,Mayor_Mov!$J$5:$J$445,0))</f>
        <v>46230</v>
      </c>
      <c r="H62" s="39" t="n">
        <v>26602533.71</v>
      </c>
      <c r="I62" s="32" t="n">
        <f aca="false">SUMIFS(Mayor_Mov!$E$5:$E$445,Mayor_Mov!$J$5:$J$445,E62,Mayor_Mov!$N$5:$N$445,C62)</f>
        <v>26602533.71</v>
      </c>
      <c r="J62" s="33" t="n">
        <f aca="false">I62-H62</f>
        <v>0</v>
      </c>
      <c r="S62" s="6"/>
    </row>
    <row r="63" customFormat="false" ht="24" hidden="false" customHeight="true" outlineLevel="0" collapsed="false">
      <c r="C63" s="34" t="s">
        <v>130</v>
      </c>
      <c r="D63" s="6" t="s">
        <v>1370</v>
      </c>
      <c r="E63" s="38" t="s">
        <v>1065</v>
      </c>
      <c r="F63" s="57" t="n">
        <f aca="false">INDEX(Mayor_Mov!$H$5:$H$445,MATCH(E63,Mayor_Mov!$J$5:$J$445,0))</f>
        <v>46230</v>
      </c>
      <c r="H63" s="39" t="n">
        <v>9497274.29</v>
      </c>
      <c r="I63" s="32" t="n">
        <f aca="false">SUMIFS(Mayor_Mov!$E$5:$E$445,Mayor_Mov!$J$5:$J$445,E63,Mayor_Mov!$N$5:$N$445,C63)</f>
        <v>9497274</v>
      </c>
      <c r="J63" s="33" t="n">
        <f aca="false">I63-H63</f>
        <v>-0.28999999910593</v>
      </c>
      <c r="S63" s="6"/>
    </row>
    <row r="64" customFormat="false" ht="24" hidden="false" customHeight="true" outlineLevel="0" collapsed="false">
      <c r="C64" s="34" t="s">
        <v>129</v>
      </c>
      <c r="D64" s="6" t="s">
        <v>1367</v>
      </c>
      <c r="E64" s="38" t="s">
        <v>815</v>
      </c>
      <c r="F64" s="57" t="n">
        <f aca="false">INDEX(Mayor_Mov!$H$5:$H$445,MATCH(E64,Mayor_Mov!$J$5:$J$445,0))</f>
        <v>46136</v>
      </c>
      <c r="H64" s="39" t="n">
        <v>21315470.38</v>
      </c>
      <c r="I64" s="32" t="n">
        <f aca="false">SUMIFS(Mayor_Mov!$E$5:$E$445,Mayor_Mov!$J$5:$J$445,E64,Mayor_Mov!$N$5:$N$445,C64)</f>
        <v>21315470.38</v>
      </c>
      <c r="J64" s="33" t="n">
        <f aca="false">I64-H64</f>
        <v>0</v>
      </c>
      <c r="S64" s="6"/>
    </row>
    <row r="65" customFormat="false" ht="24" hidden="false" customHeight="true" outlineLevel="0" collapsed="false">
      <c r="C65" s="34" t="s">
        <v>129</v>
      </c>
      <c r="D65" s="6" t="s">
        <v>1369</v>
      </c>
      <c r="E65" s="38" t="s">
        <v>827</v>
      </c>
      <c r="F65" s="57" t="n">
        <f aca="false">INDEX(Mayor_Mov!$H$5:$H$445,MATCH(E65,Mayor_Mov!$J$5:$J$445,0))</f>
        <v>46231</v>
      </c>
      <c r="H65" s="39" t="n">
        <v>21538319.01</v>
      </c>
      <c r="I65" s="32" t="n">
        <f aca="false">SUMIFS(Mayor_Mov!$E$5:$E$445,Mayor_Mov!$J$5:$J$445,E65,Mayor_Mov!$N$5:$N$445,C65)</f>
        <v>21538319.01</v>
      </c>
      <c r="J65" s="33" t="n">
        <f aca="false">I65-H65</f>
        <v>0</v>
      </c>
      <c r="S65" s="6"/>
    </row>
    <row r="66" customFormat="false" ht="24" hidden="false" customHeight="true" outlineLevel="0" collapsed="false">
      <c r="C66" s="34" t="s">
        <v>129</v>
      </c>
      <c r="D66" s="6" t="s">
        <v>1370</v>
      </c>
      <c r="E66" s="38" t="s">
        <v>1071</v>
      </c>
      <c r="F66" s="57" t="n">
        <f aca="false">INDEX(Mayor_Mov!$H$5:$H$445,MATCH(E66,Mayor_Mov!$J$5:$J$445,0))</f>
        <v>46231</v>
      </c>
      <c r="H66" s="39" t="n">
        <v>14118857.99</v>
      </c>
      <c r="I66" s="32" t="n">
        <f aca="false">SUMIFS(Mayor_Mov!$E$5:$E$445,Mayor_Mov!$J$5:$J$445,E66,Mayor_Mov!$N$5:$N$445,C66)</f>
        <v>14118857</v>
      </c>
      <c r="J66" s="33" t="n">
        <f aca="false">I66-H66</f>
        <v>-0.990000000223517</v>
      </c>
      <c r="S66" s="6"/>
    </row>
    <row r="67" customFormat="false" ht="24" hidden="false" customHeight="true" outlineLevel="0" collapsed="false">
      <c r="C67" s="34" t="s">
        <v>128</v>
      </c>
      <c r="D67" s="6" t="s">
        <v>1367</v>
      </c>
      <c r="E67" s="38" t="s">
        <v>817</v>
      </c>
      <c r="F67" s="57" t="n">
        <f aca="false">INDEX(Mayor_Mov!$H$5:$H$445,MATCH(E67,Mayor_Mov!$J$5:$J$445,0))</f>
        <v>46136</v>
      </c>
      <c r="H67" s="39" t="n">
        <v>21315470.39</v>
      </c>
      <c r="I67" s="32" t="n">
        <f aca="false">SUMIFS(Mayor_Mov!$E$5:$E$445,Mayor_Mov!$J$5:$J$445,E67,Mayor_Mov!$N$5:$N$445,C67)</f>
        <v>21315470.39</v>
      </c>
      <c r="J67" s="33" t="n">
        <f aca="false">I67-H67</f>
        <v>0</v>
      </c>
      <c r="S67" s="6" t="s">
        <v>1371</v>
      </c>
    </row>
    <row r="68" customFormat="false" ht="24" hidden="false" customHeight="true" outlineLevel="0" collapsed="false">
      <c r="C68" s="34" t="s">
        <v>128</v>
      </c>
      <c r="D68" s="6" t="s">
        <v>1369</v>
      </c>
      <c r="E68" s="38" t="s">
        <v>825</v>
      </c>
      <c r="F68" s="57" t="n">
        <f aca="false">INDEX(Mayor_Mov!$H$5:$H$445,MATCH(E68,Mayor_Mov!$J$5:$J$445,0))</f>
        <v>46231</v>
      </c>
      <c r="H68" s="39" t="n">
        <v>21538319.02</v>
      </c>
      <c r="I68" s="32" t="n">
        <f aca="false">SUMIFS(Mayor_Mov!$E$5:$E$445,Mayor_Mov!$J$5:$J$445,E68,Mayor_Mov!$N$5:$N$445,C68)</f>
        <v>21538319.02</v>
      </c>
      <c r="J68" s="33" t="n">
        <f aca="false">I68-H68</f>
        <v>0</v>
      </c>
      <c r="S68" s="6"/>
    </row>
    <row r="69" customFormat="false" ht="24" hidden="false" customHeight="true" outlineLevel="0" collapsed="false">
      <c r="C69" s="34" t="s">
        <v>128</v>
      </c>
      <c r="D69" s="6" t="s">
        <v>1370</v>
      </c>
      <c r="E69" s="38" t="s">
        <v>1069</v>
      </c>
      <c r="F69" s="57" t="n">
        <f aca="false">INDEX(Mayor_Mov!$H$5:$H$445,MATCH(E69,Mayor_Mov!$J$5:$J$445,0))</f>
        <v>46231</v>
      </c>
      <c r="H69" s="39" t="n">
        <v>14118857.98</v>
      </c>
      <c r="I69" s="32" t="n">
        <f aca="false">SUMIFS(Mayor_Mov!$E$5:$E$445,Mayor_Mov!$J$5:$J$445,E69,Mayor_Mov!$N$5:$N$445,C69)</f>
        <v>14118856</v>
      </c>
      <c r="J69" s="33" t="n">
        <f aca="false">I69-H69</f>
        <v>-1.98000000044703</v>
      </c>
      <c r="S69" s="6"/>
    </row>
    <row r="70" customFormat="false" ht="24" hidden="false" customHeight="true" outlineLevel="0" collapsed="false">
      <c r="C70" s="34" t="s">
        <v>132</v>
      </c>
      <c r="D70" s="6" t="s">
        <v>1367</v>
      </c>
      <c r="E70" s="38" t="s">
        <v>811</v>
      </c>
      <c r="F70" s="57" t="n">
        <f aca="false">INDEX(Mayor_Mov!$H$5:$H$445,MATCH(E70,Mayor_Mov!$J$5:$J$445,0))</f>
        <v>46136</v>
      </c>
      <c r="H70" s="39" t="n">
        <v>21319941.88</v>
      </c>
      <c r="I70" s="32" t="n">
        <f aca="false">SUMIFS(Mayor_Mov!$E$5:$E$445,Mayor_Mov!$J$5:$J$445,E70,Mayor_Mov!$N$5:$N$445,C70)</f>
        <v>21319941.88</v>
      </c>
      <c r="J70" s="33" t="n">
        <f aca="false">I70-H70</f>
        <v>0</v>
      </c>
      <c r="S70" s="6"/>
    </row>
    <row r="71" customFormat="false" ht="24" hidden="false" customHeight="true" outlineLevel="0" collapsed="false">
      <c r="C71" s="34" t="s">
        <v>132</v>
      </c>
      <c r="D71" s="6" t="s">
        <v>1369</v>
      </c>
      <c r="E71" s="38" t="s">
        <v>831</v>
      </c>
      <c r="F71" s="57" t="n">
        <f aca="false">INDEX(Mayor_Mov!$H$5:$H$445,MATCH(E71,Mayor_Mov!$J$5:$J$445,0))</f>
        <v>46231</v>
      </c>
      <c r="H71" s="39" t="n">
        <v>21542838.16</v>
      </c>
      <c r="I71" s="32" t="n">
        <f aca="false">SUMIFS(Mayor_Mov!$E$5:$E$445,Mayor_Mov!$J$5:$J$445,E71,Mayor_Mov!$N$5:$N$445,C71)</f>
        <v>21542838.16</v>
      </c>
      <c r="J71" s="33" t="n">
        <f aca="false">I71-H71</f>
        <v>0</v>
      </c>
      <c r="S71" s="6"/>
    </row>
    <row r="72" customFormat="false" ht="24" hidden="false" customHeight="true" outlineLevel="0" collapsed="false">
      <c r="C72" s="34" t="s">
        <v>132</v>
      </c>
      <c r="D72" s="6" t="s">
        <v>1370</v>
      </c>
      <c r="E72" s="38" t="s">
        <v>1075</v>
      </c>
      <c r="F72" s="57" t="n">
        <f aca="false">INDEX(Mayor_Mov!$H$5:$H$445,MATCH(E72,Mayor_Mov!$J$5:$J$445,0))</f>
        <v>46231</v>
      </c>
      <c r="H72" s="39" t="n">
        <v>14121779.84</v>
      </c>
      <c r="I72" s="32" t="n">
        <f aca="false">SUMIFS(Mayor_Mov!$E$5:$E$445,Mayor_Mov!$J$5:$J$445,E72,Mayor_Mov!$N$5:$N$445,C72)</f>
        <v>14121779.84</v>
      </c>
      <c r="J72" s="33" t="n">
        <f aca="false">I72-H72</f>
        <v>0</v>
      </c>
      <c r="S72" s="6"/>
    </row>
    <row r="73" customFormat="false" ht="24" hidden="false" customHeight="true" outlineLevel="0" collapsed="false">
      <c r="C73" s="34" t="s">
        <v>120</v>
      </c>
      <c r="D73" s="6" t="s">
        <v>1372</v>
      </c>
      <c r="E73" s="38" t="s">
        <v>992</v>
      </c>
      <c r="F73" s="57" t="n">
        <f aca="false">INDEX(Mayor_Mov!$H$5:$H$445,MATCH(E73,Mayor_Mov!$J$5:$J$445,0))</f>
        <v>46136</v>
      </c>
      <c r="H73" s="39" t="n">
        <v>55427870</v>
      </c>
      <c r="I73" s="32" t="n">
        <f aca="false">SUMIFS(Mayor_Mov!$E$5:$E$445,Mayor_Mov!$J$5:$J$445,E73,Mayor_Mov!$N$5:$N$445,C73)</f>
        <v>55427870</v>
      </c>
      <c r="J73" s="33" t="n">
        <f aca="false">I73-H73</f>
        <v>0</v>
      </c>
      <c r="S73" s="6"/>
    </row>
    <row r="74" customFormat="false" ht="24" hidden="false" customHeight="true" outlineLevel="0" collapsed="false">
      <c r="C74" s="34" t="s">
        <v>120</v>
      </c>
      <c r="D74" s="6" t="s">
        <v>1373</v>
      </c>
      <c r="E74" s="38" t="s">
        <v>997</v>
      </c>
      <c r="F74" s="57" t="n">
        <f aca="false">INDEX(Mayor_Mov!$H$5:$H$445,MATCH(E74,Mayor_Mov!$J$5:$J$445,0))</f>
        <v>46231</v>
      </c>
      <c r="H74" s="39" t="n">
        <v>64041851</v>
      </c>
      <c r="I74" s="32" t="n">
        <f aca="false">SUMIFS(Mayor_Mov!$E$5:$E$445,Mayor_Mov!$J$5:$J$445,E74,Mayor_Mov!$N$5:$N$445,C74)</f>
        <v>64041850</v>
      </c>
      <c r="J74" s="33" t="n">
        <f aca="false">I74-H74</f>
        <v>-1</v>
      </c>
      <c r="S74" s="6"/>
    </row>
    <row r="75" customFormat="false" ht="24" hidden="false" customHeight="true" outlineLevel="0" collapsed="false">
      <c r="C75" s="34" t="s">
        <v>119</v>
      </c>
      <c r="D75" s="6" t="s">
        <v>1374</v>
      </c>
      <c r="E75" s="38" t="s">
        <v>787</v>
      </c>
      <c r="F75" s="57" t="n">
        <f aca="false">INDEX(Mayor_Mov!$H$5:$H$445,MATCH(E75,Mayor_Mov!$J$5:$J$445,0))</f>
        <v>46203</v>
      </c>
      <c r="H75" s="39" t="n">
        <v>8901235</v>
      </c>
      <c r="I75" s="32" t="n">
        <f aca="false">SUMIFS(Mayor_Mov!$E$5:$E$445,Mayor_Mov!$J$5:$J$445,E75,Mayor_Mov!$N$5:$N$445,C75)</f>
        <v>8901235</v>
      </c>
      <c r="J75" s="33" t="n">
        <f aca="false">I75-H75</f>
        <v>0</v>
      </c>
      <c r="S75" s="6"/>
    </row>
    <row r="76" customFormat="false" ht="24" hidden="false" customHeight="true" outlineLevel="0" collapsed="false">
      <c r="C76" s="34" t="s">
        <v>119</v>
      </c>
      <c r="D76" s="6" t="s">
        <v>1375</v>
      </c>
      <c r="E76" s="38" t="s">
        <v>793</v>
      </c>
      <c r="F76" s="57" t="n">
        <f aca="false">INDEX(Mayor_Mov!$H$5:$H$445,MATCH(E76,Mayor_Mov!$J$5:$J$445,0))</f>
        <v>46231</v>
      </c>
      <c r="H76" s="39" t="n">
        <v>8867342</v>
      </c>
      <c r="I76" s="32" t="n">
        <f aca="false">SUMIFS(Mayor_Mov!$E$5:$E$445,Mayor_Mov!$J$5:$J$445,E76,Mayor_Mov!$N$5:$N$445,C76)</f>
        <v>8867342</v>
      </c>
      <c r="J76" s="33" t="n">
        <f aca="false">I76-H76</f>
        <v>0</v>
      </c>
      <c r="S76" s="6"/>
    </row>
    <row r="77" customFormat="false" ht="24" hidden="false" customHeight="true" outlineLevel="0" collapsed="false">
      <c r="C77" s="34" t="s">
        <v>118</v>
      </c>
      <c r="D77" s="6" t="s">
        <v>1376</v>
      </c>
      <c r="E77" s="38" t="s">
        <v>789</v>
      </c>
      <c r="F77" s="57" t="n">
        <f aca="false">INDEX(Mayor_Mov!$H$5:$H$445,MATCH(E77,Mayor_Mov!$J$5:$J$445,0))</f>
        <v>46203</v>
      </c>
      <c r="H77" s="39" t="n">
        <v>0</v>
      </c>
      <c r="I77" s="32" t="n">
        <f aca="false">SUMIFS(Mayor_Mov!$E$5:$E$445,Mayor_Mov!$J$5:$J$445,E77,Mayor_Mov!$N$5:$N$445,C77)</f>
        <v>11973677</v>
      </c>
      <c r="J77" s="33" t="n">
        <f aca="false">I77-H77</f>
        <v>11973677</v>
      </c>
      <c r="S77" s="6" t="s">
        <v>1377</v>
      </c>
    </row>
    <row r="78" customFormat="false" ht="24" hidden="false" customHeight="true" outlineLevel="0" collapsed="false">
      <c r="C78" s="34" t="s">
        <v>118</v>
      </c>
      <c r="D78" s="6" t="s">
        <v>1378</v>
      </c>
      <c r="E78" s="38" t="s">
        <v>795</v>
      </c>
      <c r="F78" s="57" t="n">
        <f aca="false">INDEX(Mayor_Mov!$H$5:$H$445,MATCH(E78,Mayor_Mov!$J$5:$J$445,0))</f>
        <v>46231</v>
      </c>
      <c r="H78" s="39" t="n">
        <v>12327298</v>
      </c>
      <c r="I78" s="32" t="n">
        <f aca="false">SUMIFS(Mayor_Mov!$E$5:$E$445,Mayor_Mov!$J$5:$J$445,E78,Mayor_Mov!$N$5:$N$445,C78)</f>
        <v>12327298</v>
      </c>
      <c r="J78" s="33" t="n">
        <f aca="false">I78-H78</f>
        <v>0</v>
      </c>
      <c r="S78" s="6"/>
    </row>
    <row r="79" customFormat="false" ht="15" hidden="false" customHeight="false" outlineLevel="0" collapsed="false">
      <c r="D79" s="40" t="s">
        <v>96</v>
      </c>
      <c r="H79" s="41" t="n">
        <f aca="false">SUM(H39:H78)</f>
        <v>3329917163.1</v>
      </c>
      <c r="I79" s="41" t="n">
        <f aca="false">SUM(I39:I78)</f>
        <v>3341892235.57</v>
      </c>
      <c r="J79" s="41" t="n">
        <f aca="false">SUM(J39:J78)</f>
        <v>11975072.47</v>
      </c>
    </row>
    <row r="81" customFormat="false" ht="15" hidden="false" customHeight="false" outlineLevel="0" collapsed="false">
      <c r="A81" s="46" t="s">
        <v>1379</v>
      </c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</row>
    <row r="82" customFormat="false" ht="39.75" hidden="false" customHeight="true" outlineLevel="0" collapsed="false">
      <c r="A82" s="31"/>
      <c r="B82" s="31" t="s">
        <v>1380</v>
      </c>
      <c r="C82" s="31" t="s">
        <v>1381</v>
      </c>
      <c r="D82" s="31" t="s">
        <v>1198</v>
      </c>
      <c r="E82" s="31" t="s">
        <v>1274</v>
      </c>
      <c r="F82" s="31" t="s">
        <v>1382</v>
      </c>
      <c r="G82" s="31" t="s">
        <v>1383</v>
      </c>
      <c r="H82" s="31" t="s">
        <v>1384</v>
      </c>
      <c r="I82" s="31" t="s">
        <v>1385</v>
      </c>
      <c r="J82" s="31" t="s">
        <v>1386</v>
      </c>
      <c r="K82" s="31" t="s">
        <v>1387</v>
      </c>
      <c r="L82" s="31" t="s">
        <v>1388</v>
      </c>
      <c r="M82" s="31" t="s">
        <v>1389</v>
      </c>
      <c r="N82" s="31" t="s">
        <v>1390</v>
      </c>
      <c r="O82" s="31" t="s">
        <v>1391</v>
      </c>
      <c r="P82" s="31" t="s">
        <v>1392</v>
      </c>
      <c r="Q82" s="31"/>
      <c r="R82" s="31"/>
      <c r="S82" s="31" t="s">
        <v>250</v>
      </c>
    </row>
    <row r="83" customFormat="false" ht="36" hidden="false" customHeight="true" outlineLevel="0" collapsed="false">
      <c r="B83" s="6" t="s">
        <v>1393</v>
      </c>
      <c r="C83" s="38" t="s">
        <v>1310</v>
      </c>
      <c r="D83" s="34" t="s">
        <v>120</v>
      </c>
      <c r="E83" s="27" t="n">
        <v>46209</v>
      </c>
      <c r="F83" s="38" t="s">
        <v>1394</v>
      </c>
      <c r="G83" s="39" t="n">
        <v>0</v>
      </c>
      <c r="H83" s="39" t="n">
        <v>64041851</v>
      </c>
      <c r="I83" s="39" t="n">
        <v>0</v>
      </c>
      <c r="J83" s="50" t="n">
        <v>0.1441</v>
      </c>
      <c r="K83" s="27" t="n">
        <v>46135</v>
      </c>
      <c r="L83" s="39" t="n">
        <v>55427870</v>
      </c>
      <c r="M83" s="59" t="s">
        <v>1395</v>
      </c>
      <c r="N83" s="44" t="str">
        <f aca="false">IF(H83=Recalculo_Intereses!C55,"Sí","NO")</f>
        <v>Sí</v>
      </c>
      <c r="O83" s="44" t="str">
        <f aca="false">IF(G83=Recalculo_Intereses!I55,"Sí","NO")</f>
        <v>Sí</v>
      </c>
      <c r="P83" s="26" t="str">
        <f aca="false">IF(J83=M13,"Sí","NO")</f>
        <v>Sí</v>
      </c>
      <c r="S83" s="6" t="s">
        <v>1396</v>
      </c>
    </row>
    <row r="84" customFormat="false" ht="36" hidden="false" customHeight="true" outlineLevel="0" collapsed="false">
      <c r="B84" s="6" t="s">
        <v>1397</v>
      </c>
      <c r="C84" s="38" t="s">
        <v>1328</v>
      </c>
      <c r="D84" s="34" t="s">
        <v>118</v>
      </c>
      <c r="E84" s="27" t="n">
        <v>46198</v>
      </c>
      <c r="F84" s="38" t="s">
        <v>1398</v>
      </c>
      <c r="G84" s="39" t="n">
        <v>12327298</v>
      </c>
      <c r="H84" s="39" t="n">
        <v>5062372</v>
      </c>
      <c r="I84" s="39" t="n">
        <v>1263646</v>
      </c>
      <c r="J84" s="50" t="n">
        <v>0.1603</v>
      </c>
      <c r="K84" s="27" t="n">
        <v>46184</v>
      </c>
      <c r="L84" s="39" t="n">
        <v>1029562</v>
      </c>
      <c r="M84" s="59" t="s">
        <v>1395</v>
      </c>
      <c r="N84" s="44" t="str">
        <f aca="false">IF(H84=Recalculo_Intereses!C56,"Sí","NO")</f>
        <v>Sí</v>
      </c>
      <c r="O84" s="44" t="str">
        <f aca="false">IF(G84=Recalculo_Intereses!I56,"Sí","NO")</f>
        <v>Sí</v>
      </c>
      <c r="P84" s="26" t="str">
        <f aca="false">IF(J84=M20,"Sí","NO")</f>
        <v>Sí</v>
      </c>
      <c r="S84" s="6" t="s">
        <v>1399</v>
      </c>
    </row>
    <row r="85" customFormat="false" ht="36" hidden="false" customHeight="true" outlineLevel="0" collapsed="false">
      <c r="B85" s="6" t="s">
        <v>1400</v>
      </c>
      <c r="C85" s="38" t="s">
        <v>1331</v>
      </c>
      <c r="D85" s="34" t="s">
        <v>119</v>
      </c>
      <c r="E85" s="27" t="n">
        <v>46191</v>
      </c>
      <c r="F85" s="38" t="s">
        <v>1401</v>
      </c>
      <c r="G85" s="39" t="n">
        <v>8867342</v>
      </c>
      <c r="H85" s="39" t="n">
        <v>4177893</v>
      </c>
      <c r="I85" s="39" t="n">
        <v>1263646</v>
      </c>
      <c r="J85" s="50" t="n">
        <v>0.1593</v>
      </c>
      <c r="K85" s="27" t="n">
        <v>46178</v>
      </c>
      <c r="L85" s="39" t="n">
        <v>14567863</v>
      </c>
      <c r="M85" s="59" t="s">
        <v>1395</v>
      </c>
      <c r="N85" s="44" t="str">
        <f aca="false">IF(H85=Recalculo_Intereses!C57,"Sí","NO")</f>
        <v>Sí</v>
      </c>
      <c r="O85" s="44" t="str">
        <f aca="false">IF(G85=Recalculo_Intereses!I57,"Sí","NO")</f>
        <v>Sí</v>
      </c>
      <c r="P85" s="26" t="str">
        <f aca="false">IF(J85=M21,"Sí","NO")</f>
        <v>Sí</v>
      </c>
      <c r="S85" s="6" t="s">
        <v>1396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K2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62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22"/>
  </cols>
  <sheetData>
    <row r="1" customFormat="false" ht="16.15" hidden="false" customHeight="false" outlineLevel="0" collapsed="false">
      <c r="A1" s="23" t="s">
        <v>1402</v>
      </c>
    </row>
    <row r="2" customFormat="false" ht="15" hidden="false" customHeight="false" outlineLevel="0" collapsed="false">
      <c r="A2" s="24" t="s">
        <v>1403</v>
      </c>
    </row>
    <row r="4" customFormat="false" ht="30" hidden="false" customHeight="true" outlineLevel="0" collapsed="false">
      <c r="A4" s="31" t="s">
        <v>1404</v>
      </c>
      <c r="B4" s="31" t="s">
        <v>1405</v>
      </c>
      <c r="C4" s="31" t="s">
        <v>1406</v>
      </c>
      <c r="D4" s="31" t="s">
        <v>283</v>
      </c>
      <c r="E4" s="31" t="s">
        <v>1407</v>
      </c>
      <c r="F4" s="31" t="s">
        <v>1408</v>
      </c>
      <c r="G4" s="31" t="s">
        <v>1409</v>
      </c>
      <c r="H4" s="31" t="s">
        <v>1410</v>
      </c>
      <c r="I4" s="31" t="s">
        <v>1411</v>
      </c>
      <c r="J4" s="31" t="s">
        <v>1412</v>
      </c>
      <c r="K4" s="31" t="s">
        <v>288</v>
      </c>
    </row>
    <row r="5" customFormat="false" ht="15" hidden="false" customHeight="false" outlineLevel="0" collapsed="false">
      <c r="A5" s="38" t="n">
        <v>68</v>
      </c>
      <c r="B5" s="38" t="s">
        <v>290</v>
      </c>
      <c r="C5" s="38" t="s">
        <v>290</v>
      </c>
      <c r="D5" s="38" t="n">
        <v>860002964</v>
      </c>
      <c r="E5" s="38" t="s">
        <v>306</v>
      </c>
      <c r="F5" s="27" t="n">
        <v>45657</v>
      </c>
      <c r="G5" s="39" t="n">
        <v>187500000</v>
      </c>
      <c r="H5" s="38" t="s">
        <v>1413</v>
      </c>
      <c r="I5" s="38" t="s">
        <v>1414</v>
      </c>
      <c r="J5" s="34" t="s">
        <v>124</v>
      </c>
      <c r="K5" s="38" t="s">
        <v>298</v>
      </c>
    </row>
    <row r="6" customFormat="false" ht="15" hidden="false" customHeight="false" outlineLevel="0" collapsed="false">
      <c r="A6" s="38" t="n">
        <v>69</v>
      </c>
      <c r="B6" s="38" t="s">
        <v>290</v>
      </c>
      <c r="C6" s="38" t="s">
        <v>290</v>
      </c>
      <c r="D6" s="38" t="n">
        <v>860002964</v>
      </c>
      <c r="E6" s="38" t="s">
        <v>306</v>
      </c>
      <c r="F6" s="27" t="n">
        <v>45657</v>
      </c>
      <c r="G6" s="39" t="n">
        <v>446666666</v>
      </c>
      <c r="H6" s="38" t="s">
        <v>1413</v>
      </c>
      <c r="I6" s="38" t="s">
        <v>1414</v>
      </c>
      <c r="J6" s="34" t="s">
        <v>125</v>
      </c>
      <c r="K6" s="38" t="s">
        <v>298</v>
      </c>
    </row>
    <row r="7" customFormat="false" ht="15" hidden="false" customHeight="false" outlineLevel="0" collapsed="false">
      <c r="A7" s="38" t="n">
        <v>70</v>
      </c>
      <c r="B7" s="38" t="s">
        <v>290</v>
      </c>
      <c r="C7" s="38" t="s">
        <v>290</v>
      </c>
      <c r="D7" s="38" t="n">
        <v>890903938</v>
      </c>
      <c r="E7" s="38" t="s">
        <v>343</v>
      </c>
      <c r="F7" s="27" t="n">
        <v>45770</v>
      </c>
      <c r="G7" s="39" t="n">
        <v>1666666667</v>
      </c>
      <c r="H7" s="38" t="s">
        <v>1415</v>
      </c>
      <c r="I7" s="38" t="s">
        <v>1414</v>
      </c>
      <c r="J7" s="34" t="s">
        <v>139</v>
      </c>
      <c r="K7" s="38" t="s">
        <v>298</v>
      </c>
    </row>
    <row r="8" customFormat="false" ht="15" hidden="false" customHeight="false" outlineLevel="0" collapsed="false">
      <c r="A8" s="38" t="n">
        <v>71</v>
      </c>
      <c r="B8" s="38" t="s">
        <v>290</v>
      </c>
      <c r="C8" s="38" t="s">
        <v>290</v>
      </c>
      <c r="D8" s="38" t="n">
        <v>860034313</v>
      </c>
      <c r="E8" s="38" t="s">
        <v>300</v>
      </c>
      <c r="F8" s="27" t="n">
        <v>45869</v>
      </c>
      <c r="G8" s="39" t="n">
        <v>10000000000</v>
      </c>
      <c r="H8" s="38" t="s">
        <v>1416</v>
      </c>
      <c r="I8" s="38" t="s">
        <v>1417</v>
      </c>
      <c r="J8" s="34" t="s">
        <v>114</v>
      </c>
      <c r="K8" s="38" t="s">
        <v>298</v>
      </c>
    </row>
    <row r="9" customFormat="false" ht="15" hidden="false" customHeight="false" outlineLevel="0" collapsed="false">
      <c r="A9" s="38" t="n">
        <v>72</v>
      </c>
      <c r="B9" s="38" t="s">
        <v>290</v>
      </c>
      <c r="C9" s="38" t="s">
        <v>290</v>
      </c>
      <c r="D9" s="38" t="n">
        <v>860003020</v>
      </c>
      <c r="E9" s="38" t="s">
        <v>292</v>
      </c>
      <c r="F9" s="27" t="n">
        <v>46020</v>
      </c>
      <c r="G9" s="39" t="n">
        <v>4700000000</v>
      </c>
      <c r="H9" s="38" t="s">
        <v>1418</v>
      </c>
      <c r="I9" s="38" t="s">
        <v>1419</v>
      </c>
      <c r="J9" s="34" t="s">
        <v>137</v>
      </c>
      <c r="K9" s="38" t="s">
        <v>298</v>
      </c>
    </row>
    <row r="10" customFormat="false" ht="15" hidden="false" customHeight="false" outlineLevel="0" collapsed="false">
      <c r="A10" s="38" t="n">
        <v>73</v>
      </c>
      <c r="B10" s="38" t="s">
        <v>290</v>
      </c>
      <c r="C10" s="38" t="s">
        <v>290</v>
      </c>
      <c r="D10" s="38" t="n">
        <v>860002964</v>
      </c>
      <c r="E10" s="38" t="s">
        <v>306</v>
      </c>
      <c r="F10" s="27" t="n">
        <v>44561</v>
      </c>
      <c r="G10" s="39" t="n">
        <v>62500000</v>
      </c>
      <c r="H10" s="38" t="s">
        <v>1420</v>
      </c>
      <c r="I10" s="38" t="s">
        <v>1421</v>
      </c>
      <c r="J10" s="34" t="s">
        <v>124</v>
      </c>
      <c r="K10" s="38" t="s">
        <v>298</v>
      </c>
    </row>
    <row r="11" customFormat="false" ht="15" hidden="false" customHeight="false" outlineLevel="0" collapsed="false">
      <c r="A11" s="38" t="n">
        <v>74</v>
      </c>
      <c r="B11" s="38" t="s">
        <v>290</v>
      </c>
      <c r="C11" s="38" t="s">
        <v>290</v>
      </c>
      <c r="D11" s="38" t="n">
        <v>860002964</v>
      </c>
      <c r="E11" s="38" t="s">
        <v>306</v>
      </c>
      <c r="F11" s="27" t="n">
        <v>44561</v>
      </c>
      <c r="G11" s="39" t="n">
        <v>62500000</v>
      </c>
      <c r="H11" s="38" t="s">
        <v>1420</v>
      </c>
      <c r="I11" s="38" t="s">
        <v>1421</v>
      </c>
      <c r="J11" s="34" t="s">
        <v>124</v>
      </c>
      <c r="K11" s="38" t="s">
        <v>298</v>
      </c>
    </row>
    <row r="12" customFormat="false" ht="15" hidden="false" customHeight="false" outlineLevel="0" collapsed="false">
      <c r="A12" s="38" t="n">
        <v>75</v>
      </c>
      <c r="B12" s="38" t="s">
        <v>290</v>
      </c>
      <c r="C12" s="38" t="s">
        <v>290</v>
      </c>
      <c r="D12" s="38" t="n">
        <v>860002964</v>
      </c>
      <c r="E12" s="38" t="s">
        <v>306</v>
      </c>
      <c r="F12" s="27" t="n">
        <v>44561</v>
      </c>
      <c r="G12" s="39" t="n">
        <v>62500000</v>
      </c>
      <c r="H12" s="38" t="s">
        <v>1420</v>
      </c>
      <c r="I12" s="38" t="s">
        <v>1421</v>
      </c>
      <c r="J12" s="34" t="s">
        <v>124</v>
      </c>
      <c r="K12" s="38" t="s">
        <v>298</v>
      </c>
    </row>
    <row r="13" customFormat="false" ht="15" hidden="false" customHeight="false" outlineLevel="0" collapsed="false">
      <c r="A13" s="38" t="n">
        <v>76</v>
      </c>
      <c r="B13" s="38" t="s">
        <v>290</v>
      </c>
      <c r="C13" s="38" t="s">
        <v>290</v>
      </c>
      <c r="D13" s="38" t="n">
        <v>860002964</v>
      </c>
      <c r="E13" s="38" t="s">
        <v>306</v>
      </c>
      <c r="F13" s="27" t="n">
        <v>44561</v>
      </c>
      <c r="G13" s="39" t="n">
        <v>62500000</v>
      </c>
      <c r="H13" s="38" t="s">
        <v>1420</v>
      </c>
      <c r="I13" s="38" t="s">
        <v>1421</v>
      </c>
      <c r="J13" s="34" t="s">
        <v>124</v>
      </c>
      <c r="K13" s="38" t="s">
        <v>298</v>
      </c>
    </row>
    <row r="14" customFormat="false" ht="15" hidden="false" customHeight="false" outlineLevel="0" collapsed="false">
      <c r="A14" s="38" t="n">
        <v>77</v>
      </c>
      <c r="B14" s="38" t="s">
        <v>290</v>
      </c>
      <c r="C14" s="38" t="s">
        <v>290</v>
      </c>
      <c r="D14" s="38" t="n">
        <v>860002964</v>
      </c>
      <c r="E14" s="38" t="s">
        <v>306</v>
      </c>
      <c r="F14" s="27" t="n">
        <v>44561</v>
      </c>
      <c r="G14" s="39" t="n">
        <v>62500000</v>
      </c>
      <c r="H14" s="38" t="s">
        <v>1420</v>
      </c>
      <c r="I14" s="38" t="s">
        <v>1421</v>
      </c>
      <c r="J14" s="34" t="s">
        <v>124</v>
      </c>
      <c r="K14" s="38" t="s">
        <v>298</v>
      </c>
    </row>
    <row r="15" customFormat="false" ht="15" hidden="false" customHeight="false" outlineLevel="0" collapsed="false">
      <c r="A15" s="38" t="n">
        <v>78</v>
      </c>
      <c r="B15" s="38" t="s">
        <v>290</v>
      </c>
      <c r="C15" s="38" t="s">
        <v>290</v>
      </c>
      <c r="D15" s="38" t="n">
        <v>860002964</v>
      </c>
      <c r="E15" s="38" t="s">
        <v>306</v>
      </c>
      <c r="F15" s="27" t="n">
        <v>44561</v>
      </c>
      <c r="G15" s="39" t="n">
        <v>62500000</v>
      </c>
      <c r="H15" s="38" t="s">
        <v>1420</v>
      </c>
      <c r="I15" s="38" t="s">
        <v>1421</v>
      </c>
      <c r="J15" s="34" t="s">
        <v>124</v>
      </c>
      <c r="K15" s="38" t="s">
        <v>298</v>
      </c>
    </row>
    <row r="16" customFormat="false" ht="15" hidden="false" customHeight="false" outlineLevel="0" collapsed="false">
      <c r="A16" s="38" t="n">
        <v>79</v>
      </c>
      <c r="B16" s="38" t="s">
        <v>290</v>
      </c>
      <c r="C16" s="38" t="s">
        <v>290</v>
      </c>
      <c r="D16" s="38" t="n">
        <v>860002964</v>
      </c>
      <c r="E16" s="38" t="s">
        <v>306</v>
      </c>
      <c r="F16" s="27" t="n">
        <v>44561</v>
      </c>
      <c r="G16" s="39" t="n">
        <v>62500000</v>
      </c>
      <c r="H16" s="38" t="s">
        <v>1420</v>
      </c>
      <c r="I16" s="38" t="s">
        <v>1421</v>
      </c>
      <c r="J16" s="34" t="s">
        <v>124</v>
      </c>
      <c r="K16" s="38" t="s">
        <v>298</v>
      </c>
    </row>
    <row r="17" customFormat="false" ht="15" hidden="false" customHeight="false" outlineLevel="0" collapsed="false">
      <c r="A17" s="38" t="n">
        <v>80</v>
      </c>
      <c r="B17" s="38" t="s">
        <v>290</v>
      </c>
      <c r="C17" s="38" t="s">
        <v>290</v>
      </c>
      <c r="D17" s="38" t="n">
        <v>860002964</v>
      </c>
      <c r="E17" s="38" t="s">
        <v>306</v>
      </c>
      <c r="F17" s="27" t="n">
        <v>44561</v>
      </c>
      <c r="G17" s="39" t="n">
        <v>62500000</v>
      </c>
      <c r="H17" s="38" t="s">
        <v>1420</v>
      </c>
      <c r="I17" s="38" t="s">
        <v>1421</v>
      </c>
      <c r="J17" s="34" t="s">
        <v>124</v>
      </c>
      <c r="K17" s="38" t="s">
        <v>298</v>
      </c>
    </row>
    <row r="18" customFormat="false" ht="15" hidden="false" customHeight="false" outlineLevel="0" collapsed="false">
      <c r="A18" s="38" t="n">
        <v>81</v>
      </c>
      <c r="B18" s="38" t="s">
        <v>290</v>
      </c>
      <c r="C18" s="38" t="s">
        <v>290</v>
      </c>
      <c r="D18" s="38" t="n">
        <v>860002964</v>
      </c>
      <c r="E18" s="38" t="s">
        <v>306</v>
      </c>
      <c r="F18" s="27" t="n">
        <v>44561</v>
      </c>
      <c r="G18" s="39" t="n">
        <v>62500000</v>
      </c>
      <c r="H18" s="38" t="s">
        <v>1420</v>
      </c>
      <c r="I18" s="38" t="s">
        <v>1421</v>
      </c>
      <c r="J18" s="34" t="s">
        <v>124</v>
      </c>
      <c r="K18" s="38" t="s">
        <v>298</v>
      </c>
    </row>
    <row r="19" customFormat="false" ht="15" hidden="false" customHeight="false" outlineLevel="0" collapsed="false">
      <c r="A19" s="38" t="n">
        <v>82</v>
      </c>
      <c r="B19" s="38" t="s">
        <v>290</v>
      </c>
      <c r="C19" s="38" t="s">
        <v>290</v>
      </c>
      <c r="D19" s="38" t="n">
        <v>860002964</v>
      </c>
      <c r="E19" s="38" t="s">
        <v>306</v>
      </c>
      <c r="F19" s="27" t="n">
        <v>45163</v>
      </c>
      <c r="G19" s="39" t="n">
        <v>375000000</v>
      </c>
      <c r="H19" s="38" t="s">
        <v>1422</v>
      </c>
      <c r="I19" s="38" t="s">
        <v>1423</v>
      </c>
      <c r="J19" s="34" t="s">
        <v>126</v>
      </c>
      <c r="K19" s="38" t="s">
        <v>298</v>
      </c>
    </row>
    <row r="20" customFormat="false" ht="15" hidden="false" customHeight="false" outlineLevel="0" collapsed="false">
      <c r="A20" s="38" t="n">
        <v>83</v>
      </c>
      <c r="B20" s="38" t="s">
        <v>310</v>
      </c>
      <c r="C20" s="38" t="s">
        <v>310</v>
      </c>
      <c r="D20" s="38" t="n">
        <v>860034313</v>
      </c>
      <c r="E20" s="38" t="s">
        <v>300</v>
      </c>
      <c r="F20" s="27" t="n">
        <v>45398</v>
      </c>
      <c r="G20" s="39" t="n">
        <v>7500000000</v>
      </c>
      <c r="H20" s="38" t="s">
        <v>1424</v>
      </c>
      <c r="I20" s="38" t="s">
        <v>1414</v>
      </c>
      <c r="J20" s="34" t="s">
        <v>116</v>
      </c>
      <c r="K20" s="38" t="s">
        <v>316</v>
      </c>
    </row>
    <row r="21" customFormat="false" ht="15" hidden="false" customHeight="false" outlineLevel="0" collapsed="false">
      <c r="A21" s="38" t="n">
        <v>84</v>
      </c>
      <c r="B21" s="38" t="s">
        <v>310</v>
      </c>
      <c r="C21" s="38" t="s">
        <v>310</v>
      </c>
      <c r="D21" s="38" t="n">
        <v>890903938</v>
      </c>
      <c r="E21" s="38" t="s">
        <v>343</v>
      </c>
      <c r="F21" s="27" t="n">
        <v>45770</v>
      </c>
      <c r="G21" s="39" t="n">
        <v>3333333333</v>
      </c>
      <c r="H21" s="38" t="s">
        <v>1415</v>
      </c>
      <c r="I21" s="38" t="s">
        <v>1414</v>
      </c>
      <c r="J21" s="34" t="s">
        <v>139</v>
      </c>
      <c r="K21" s="38" t="s">
        <v>316</v>
      </c>
    </row>
    <row r="22" customFormat="false" ht="15" hidden="false" customHeight="false" outlineLevel="0" collapsed="false">
      <c r="A22" s="38" t="n">
        <v>85</v>
      </c>
      <c r="B22" s="38" t="s">
        <v>310</v>
      </c>
      <c r="C22" s="38" t="s">
        <v>310</v>
      </c>
      <c r="D22" s="38" t="n">
        <v>860002964</v>
      </c>
      <c r="E22" s="38" t="s">
        <v>306</v>
      </c>
      <c r="F22" s="27" t="n">
        <v>45103</v>
      </c>
      <c r="G22" s="39" t="n">
        <v>1375000000</v>
      </c>
      <c r="H22" s="38" t="s">
        <v>1425</v>
      </c>
      <c r="I22" s="38" t="s">
        <v>1426</v>
      </c>
      <c r="J22" s="34" t="s">
        <v>125</v>
      </c>
      <c r="K22" s="38" t="s">
        <v>316</v>
      </c>
    </row>
    <row r="23" customFormat="false" ht="15" hidden="false" customHeight="false" outlineLevel="0" collapsed="false">
      <c r="A23" s="38" t="n">
        <v>86</v>
      </c>
      <c r="B23" s="38" t="s">
        <v>310</v>
      </c>
      <c r="C23" s="38" t="s">
        <v>310</v>
      </c>
      <c r="D23" s="38" t="n">
        <v>860034313</v>
      </c>
      <c r="E23" s="38" t="s">
        <v>300</v>
      </c>
      <c r="F23" s="27" t="n">
        <v>44561</v>
      </c>
      <c r="G23" s="39" t="n">
        <v>115384625</v>
      </c>
      <c r="H23" s="38" t="s">
        <v>1427</v>
      </c>
      <c r="I23" s="38" t="s">
        <v>1428</v>
      </c>
      <c r="J23" s="34" t="s">
        <v>115</v>
      </c>
      <c r="K23" s="38" t="s">
        <v>316</v>
      </c>
    </row>
    <row r="24" customFormat="false" ht="15" hidden="false" customHeight="false" outlineLevel="0" collapsed="false">
      <c r="A24" s="38" t="n">
        <v>87</v>
      </c>
      <c r="B24" s="38" t="s">
        <v>310</v>
      </c>
      <c r="C24" s="38" t="s">
        <v>310</v>
      </c>
      <c r="D24" s="38" t="n">
        <v>860034313</v>
      </c>
      <c r="E24" s="38" t="s">
        <v>300</v>
      </c>
      <c r="F24" s="27" t="n">
        <v>44561</v>
      </c>
      <c r="G24" s="39" t="n">
        <v>115384615</v>
      </c>
      <c r="H24" s="38" t="s">
        <v>1427</v>
      </c>
      <c r="I24" s="38" t="s">
        <v>1428</v>
      </c>
      <c r="J24" s="34" t="s">
        <v>115</v>
      </c>
      <c r="K24" s="38" t="s">
        <v>316</v>
      </c>
    </row>
    <row r="25" customFormat="false" ht="15" hidden="false" customHeight="false" outlineLevel="0" collapsed="false">
      <c r="A25" s="38" t="n">
        <v>88</v>
      </c>
      <c r="B25" s="38" t="s">
        <v>310</v>
      </c>
      <c r="C25" s="38" t="s">
        <v>310</v>
      </c>
      <c r="D25" s="38" t="n">
        <v>860034313</v>
      </c>
      <c r="E25" s="38" t="s">
        <v>300</v>
      </c>
      <c r="F25" s="27" t="n">
        <v>44561</v>
      </c>
      <c r="G25" s="39" t="n">
        <v>115384615</v>
      </c>
      <c r="H25" s="38" t="s">
        <v>1427</v>
      </c>
      <c r="I25" s="38" t="s">
        <v>1428</v>
      </c>
      <c r="J25" s="34" t="s">
        <v>115</v>
      </c>
      <c r="K25" s="38" t="s">
        <v>316</v>
      </c>
    </row>
    <row r="26" customFormat="false" ht="15" hidden="false" customHeight="false" outlineLevel="0" collapsed="false">
      <c r="A26" s="38" t="n">
        <v>89</v>
      </c>
      <c r="B26" s="38" t="s">
        <v>310</v>
      </c>
      <c r="C26" s="38" t="s">
        <v>310</v>
      </c>
      <c r="D26" s="38" t="n">
        <v>860034313</v>
      </c>
      <c r="E26" s="38" t="s">
        <v>300</v>
      </c>
      <c r="F26" s="27" t="n">
        <v>44561</v>
      </c>
      <c r="G26" s="39" t="n">
        <v>115384615</v>
      </c>
      <c r="H26" s="38" t="s">
        <v>1427</v>
      </c>
      <c r="I26" s="38" t="s">
        <v>1428</v>
      </c>
      <c r="J26" s="34" t="s">
        <v>115</v>
      </c>
      <c r="K26" s="38" t="s">
        <v>316</v>
      </c>
    </row>
    <row r="27" customFormat="false" ht="15" hidden="false" customHeight="false" outlineLevel="0" collapsed="false">
      <c r="A27" s="38" t="n">
        <v>90</v>
      </c>
      <c r="B27" s="38" t="s">
        <v>310</v>
      </c>
      <c r="C27" s="38" t="s">
        <v>310</v>
      </c>
      <c r="D27" s="38" t="n">
        <v>860034313</v>
      </c>
      <c r="E27" s="38" t="s">
        <v>300</v>
      </c>
      <c r="F27" s="27" t="n">
        <v>44561</v>
      </c>
      <c r="G27" s="39" t="n">
        <v>115384615</v>
      </c>
      <c r="H27" s="38" t="s">
        <v>1427</v>
      </c>
      <c r="I27" s="38" t="s">
        <v>1428</v>
      </c>
      <c r="J27" s="34" t="s">
        <v>115</v>
      </c>
      <c r="K27" s="38" t="s">
        <v>316</v>
      </c>
    </row>
    <row r="28" customFormat="false" ht="15" hidden="false" customHeight="false" outlineLevel="0" collapsed="false">
      <c r="A28" s="38" t="n">
        <v>91</v>
      </c>
      <c r="B28" s="38" t="s">
        <v>310</v>
      </c>
      <c r="C28" s="38" t="s">
        <v>310</v>
      </c>
      <c r="D28" s="38" t="n">
        <v>860034313</v>
      </c>
      <c r="E28" s="38" t="s">
        <v>300</v>
      </c>
      <c r="F28" s="27" t="n">
        <v>44561</v>
      </c>
      <c r="G28" s="39" t="n">
        <v>115384615</v>
      </c>
      <c r="H28" s="38" t="s">
        <v>1427</v>
      </c>
      <c r="I28" s="38" t="s">
        <v>1428</v>
      </c>
      <c r="J28" s="34" t="s">
        <v>115</v>
      </c>
      <c r="K28" s="38" t="s">
        <v>316</v>
      </c>
    </row>
    <row r="29" customFormat="false" ht="15" hidden="false" customHeight="false" outlineLevel="0" collapsed="false">
      <c r="A29" s="38" t="n">
        <v>92</v>
      </c>
      <c r="B29" s="38" t="s">
        <v>310</v>
      </c>
      <c r="C29" s="38" t="s">
        <v>310</v>
      </c>
      <c r="D29" s="38" t="n">
        <v>860034313</v>
      </c>
      <c r="E29" s="38" t="s">
        <v>300</v>
      </c>
      <c r="F29" s="27" t="n">
        <v>44561</v>
      </c>
      <c r="G29" s="39" t="n">
        <v>115384615</v>
      </c>
      <c r="H29" s="38" t="s">
        <v>1427</v>
      </c>
      <c r="I29" s="38" t="s">
        <v>1428</v>
      </c>
      <c r="J29" s="34" t="s">
        <v>115</v>
      </c>
      <c r="K29" s="38" t="s">
        <v>316</v>
      </c>
    </row>
    <row r="30" customFormat="false" ht="15" hidden="false" customHeight="false" outlineLevel="0" collapsed="false">
      <c r="A30" s="38" t="n">
        <v>93</v>
      </c>
      <c r="B30" s="38" t="s">
        <v>310</v>
      </c>
      <c r="C30" s="38" t="s">
        <v>310</v>
      </c>
      <c r="D30" s="38" t="n">
        <v>860034313</v>
      </c>
      <c r="E30" s="38" t="s">
        <v>300</v>
      </c>
      <c r="F30" s="27" t="n">
        <v>44561</v>
      </c>
      <c r="G30" s="39" t="n">
        <v>115384615</v>
      </c>
      <c r="H30" s="38" t="s">
        <v>1427</v>
      </c>
      <c r="I30" s="38" t="s">
        <v>1428</v>
      </c>
      <c r="J30" s="34" t="s">
        <v>115</v>
      </c>
      <c r="K30" s="38" t="s">
        <v>316</v>
      </c>
    </row>
    <row r="31" customFormat="false" ht="15" hidden="false" customHeight="false" outlineLevel="0" collapsed="false">
      <c r="A31" s="38" t="n">
        <v>94</v>
      </c>
      <c r="B31" s="38" t="s">
        <v>310</v>
      </c>
      <c r="C31" s="38" t="s">
        <v>310</v>
      </c>
      <c r="D31" s="38" t="n">
        <v>860034313</v>
      </c>
      <c r="E31" s="38" t="s">
        <v>300</v>
      </c>
      <c r="F31" s="27" t="n">
        <v>44561</v>
      </c>
      <c r="G31" s="39" t="n">
        <v>115384615</v>
      </c>
      <c r="H31" s="38" t="s">
        <v>1427</v>
      </c>
      <c r="I31" s="38" t="s">
        <v>1428</v>
      </c>
      <c r="J31" s="34" t="s">
        <v>115</v>
      </c>
      <c r="K31" s="38" t="s">
        <v>316</v>
      </c>
    </row>
    <row r="32" customFormat="false" ht="15" hidden="false" customHeight="false" outlineLevel="0" collapsed="false">
      <c r="A32" s="38" t="n">
        <v>95</v>
      </c>
      <c r="B32" s="38" t="s">
        <v>310</v>
      </c>
      <c r="C32" s="38" t="s">
        <v>310</v>
      </c>
      <c r="D32" s="38" t="n">
        <v>860034313</v>
      </c>
      <c r="E32" s="38" t="s">
        <v>300</v>
      </c>
      <c r="F32" s="27" t="n">
        <v>44561</v>
      </c>
      <c r="G32" s="39" t="n">
        <v>115384615</v>
      </c>
      <c r="H32" s="38" t="s">
        <v>1427</v>
      </c>
      <c r="I32" s="38" t="s">
        <v>1428</v>
      </c>
      <c r="J32" s="34" t="s">
        <v>115</v>
      </c>
      <c r="K32" s="38" t="s">
        <v>316</v>
      </c>
    </row>
    <row r="33" customFormat="false" ht="15" hidden="false" customHeight="false" outlineLevel="0" collapsed="false">
      <c r="A33" s="38" t="n">
        <v>96</v>
      </c>
      <c r="B33" s="38" t="s">
        <v>310</v>
      </c>
      <c r="C33" s="38" t="s">
        <v>310</v>
      </c>
      <c r="D33" s="38" t="n">
        <v>860034313</v>
      </c>
      <c r="E33" s="38" t="s">
        <v>300</v>
      </c>
      <c r="F33" s="27" t="n">
        <v>44561</v>
      </c>
      <c r="G33" s="39" t="n">
        <v>115384615</v>
      </c>
      <c r="H33" s="38" t="s">
        <v>1427</v>
      </c>
      <c r="I33" s="38" t="s">
        <v>1428</v>
      </c>
      <c r="J33" s="34" t="s">
        <v>115</v>
      </c>
      <c r="K33" s="38" t="s">
        <v>316</v>
      </c>
    </row>
    <row r="34" customFormat="false" ht="15" hidden="false" customHeight="false" outlineLevel="0" collapsed="false">
      <c r="A34" s="38" t="n">
        <v>97</v>
      </c>
      <c r="B34" s="38" t="s">
        <v>310</v>
      </c>
      <c r="C34" s="38" t="s">
        <v>310</v>
      </c>
      <c r="D34" s="38" t="n">
        <v>860034313</v>
      </c>
      <c r="E34" s="38" t="s">
        <v>300</v>
      </c>
      <c r="F34" s="27" t="n">
        <v>44561</v>
      </c>
      <c r="G34" s="39" t="n">
        <v>115384615</v>
      </c>
      <c r="H34" s="38" t="s">
        <v>1427</v>
      </c>
      <c r="I34" s="38" t="s">
        <v>1428</v>
      </c>
      <c r="J34" s="34" t="s">
        <v>115</v>
      </c>
      <c r="K34" s="38" t="s">
        <v>316</v>
      </c>
    </row>
    <row r="35" customFormat="false" ht="15" hidden="false" customHeight="false" outlineLevel="0" collapsed="false">
      <c r="A35" s="38" t="n">
        <v>98</v>
      </c>
      <c r="B35" s="38" t="s">
        <v>310</v>
      </c>
      <c r="C35" s="38" t="s">
        <v>310</v>
      </c>
      <c r="D35" s="38" t="n">
        <v>860034313</v>
      </c>
      <c r="E35" s="38" t="s">
        <v>300</v>
      </c>
      <c r="F35" s="27" t="n">
        <v>44561</v>
      </c>
      <c r="G35" s="39" t="n">
        <v>115384615</v>
      </c>
      <c r="H35" s="38" t="s">
        <v>1427</v>
      </c>
      <c r="I35" s="38" t="s">
        <v>1428</v>
      </c>
      <c r="J35" s="34" t="s">
        <v>115</v>
      </c>
      <c r="K35" s="38" t="s">
        <v>316</v>
      </c>
    </row>
    <row r="36" customFormat="false" ht="15" hidden="false" customHeight="false" outlineLevel="0" collapsed="false">
      <c r="A36" s="38" t="n">
        <v>99</v>
      </c>
      <c r="B36" s="38" t="s">
        <v>310</v>
      </c>
      <c r="C36" s="38" t="s">
        <v>310</v>
      </c>
      <c r="D36" s="38" t="n">
        <v>860034313</v>
      </c>
      <c r="E36" s="38" t="s">
        <v>300</v>
      </c>
      <c r="F36" s="27" t="n">
        <v>44561</v>
      </c>
      <c r="G36" s="39" t="n">
        <v>115384615</v>
      </c>
      <c r="H36" s="38" t="s">
        <v>1427</v>
      </c>
      <c r="I36" s="38" t="s">
        <v>1428</v>
      </c>
      <c r="J36" s="34" t="s">
        <v>115</v>
      </c>
      <c r="K36" s="38" t="s">
        <v>316</v>
      </c>
    </row>
    <row r="37" customFormat="false" ht="15" hidden="false" customHeight="false" outlineLevel="0" collapsed="false">
      <c r="A37" s="38" t="n">
        <v>100</v>
      </c>
      <c r="B37" s="38" t="s">
        <v>310</v>
      </c>
      <c r="C37" s="38" t="s">
        <v>310</v>
      </c>
      <c r="D37" s="38" t="n">
        <v>860034313</v>
      </c>
      <c r="E37" s="38" t="s">
        <v>300</v>
      </c>
      <c r="F37" s="27" t="n">
        <v>44561</v>
      </c>
      <c r="G37" s="39" t="n">
        <v>115384615</v>
      </c>
      <c r="H37" s="38" t="s">
        <v>1427</v>
      </c>
      <c r="I37" s="38" t="s">
        <v>1428</v>
      </c>
      <c r="J37" s="34" t="s">
        <v>115</v>
      </c>
      <c r="K37" s="38" t="s">
        <v>316</v>
      </c>
    </row>
    <row r="38" customFormat="false" ht="15" hidden="false" customHeight="false" outlineLevel="0" collapsed="false">
      <c r="A38" s="38" t="n">
        <v>101</v>
      </c>
      <c r="B38" s="38" t="s">
        <v>310</v>
      </c>
      <c r="C38" s="38" t="s">
        <v>310</v>
      </c>
      <c r="D38" s="38" t="n">
        <v>860034313</v>
      </c>
      <c r="E38" s="38" t="s">
        <v>300</v>
      </c>
      <c r="F38" s="27" t="n">
        <v>44561</v>
      </c>
      <c r="G38" s="39" t="n">
        <v>115384615</v>
      </c>
      <c r="H38" s="38" t="s">
        <v>1427</v>
      </c>
      <c r="I38" s="38" t="s">
        <v>1428</v>
      </c>
      <c r="J38" s="34" t="s">
        <v>115</v>
      </c>
      <c r="K38" s="38" t="s">
        <v>316</v>
      </c>
    </row>
    <row r="39" customFormat="false" ht="15" hidden="false" customHeight="false" outlineLevel="0" collapsed="false">
      <c r="A39" s="38" t="n">
        <v>102</v>
      </c>
      <c r="B39" s="38" t="s">
        <v>310</v>
      </c>
      <c r="C39" s="38" t="s">
        <v>310</v>
      </c>
      <c r="D39" s="38" t="n">
        <v>860034313</v>
      </c>
      <c r="E39" s="38" t="s">
        <v>300</v>
      </c>
      <c r="F39" s="27" t="n">
        <v>44561</v>
      </c>
      <c r="G39" s="39" t="n">
        <v>115384615</v>
      </c>
      <c r="H39" s="38" t="s">
        <v>1427</v>
      </c>
      <c r="I39" s="38" t="s">
        <v>1428</v>
      </c>
      <c r="J39" s="34" t="s">
        <v>115</v>
      </c>
      <c r="K39" s="38" t="s">
        <v>316</v>
      </c>
    </row>
    <row r="40" customFormat="false" ht="15" hidden="false" customHeight="false" outlineLevel="0" collapsed="false">
      <c r="A40" s="38" t="n">
        <v>103</v>
      </c>
      <c r="B40" s="38" t="s">
        <v>310</v>
      </c>
      <c r="C40" s="38" t="s">
        <v>310</v>
      </c>
      <c r="D40" s="38" t="n">
        <v>860034313</v>
      </c>
      <c r="E40" s="38" t="s">
        <v>300</v>
      </c>
      <c r="F40" s="27" t="n">
        <v>44561</v>
      </c>
      <c r="G40" s="39" t="n">
        <v>115384615</v>
      </c>
      <c r="H40" s="38" t="s">
        <v>1427</v>
      </c>
      <c r="I40" s="38" t="s">
        <v>1428</v>
      </c>
      <c r="J40" s="34" t="s">
        <v>115</v>
      </c>
      <c r="K40" s="38" t="s">
        <v>316</v>
      </c>
    </row>
    <row r="41" customFormat="false" ht="15" hidden="false" customHeight="false" outlineLevel="0" collapsed="false">
      <c r="A41" s="38" t="n">
        <v>104</v>
      </c>
      <c r="B41" s="38" t="s">
        <v>310</v>
      </c>
      <c r="C41" s="38" t="s">
        <v>310</v>
      </c>
      <c r="D41" s="38" t="n">
        <v>860034313</v>
      </c>
      <c r="E41" s="38" t="s">
        <v>300</v>
      </c>
      <c r="F41" s="27" t="n">
        <v>44561</v>
      </c>
      <c r="G41" s="39" t="n">
        <v>115384615</v>
      </c>
      <c r="H41" s="38" t="s">
        <v>1427</v>
      </c>
      <c r="I41" s="38" t="s">
        <v>1428</v>
      </c>
      <c r="J41" s="34" t="s">
        <v>115</v>
      </c>
      <c r="K41" s="38" t="s">
        <v>316</v>
      </c>
    </row>
    <row r="42" customFormat="false" ht="15" hidden="false" customHeight="false" outlineLevel="0" collapsed="false">
      <c r="A42" s="38" t="n">
        <v>105</v>
      </c>
      <c r="B42" s="38" t="s">
        <v>310</v>
      </c>
      <c r="C42" s="38" t="s">
        <v>310</v>
      </c>
      <c r="D42" s="38" t="n">
        <v>860034313</v>
      </c>
      <c r="E42" s="38" t="s">
        <v>300</v>
      </c>
      <c r="F42" s="27" t="n">
        <v>44561</v>
      </c>
      <c r="G42" s="39" t="n">
        <v>115384615</v>
      </c>
      <c r="H42" s="38" t="s">
        <v>1427</v>
      </c>
      <c r="I42" s="38" t="s">
        <v>1428</v>
      </c>
      <c r="J42" s="34" t="s">
        <v>115</v>
      </c>
      <c r="K42" s="38" t="s">
        <v>316</v>
      </c>
    </row>
    <row r="43" customFormat="false" ht="15" hidden="false" customHeight="false" outlineLevel="0" collapsed="false">
      <c r="A43" s="38" t="n">
        <v>106</v>
      </c>
      <c r="B43" s="38" t="s">
        <v>310</v>
      </c>
      <c r="C43" s="38" t="s">
        <v>310</v>
      </c>
      <c r="D43" s="38" t="n">
        <v>860034313</v>
      </c>
      <c r="E43" s="38" t="s">
        <v>300</v>
      </c>
      <c r="F43" s="27" t="n">
        <v>44561</v>
      </c>
      <c r="G43" s="39" t="n">
        <v>115384615</v>
      </c>
      <c r="H43" s="38" t="s">
        <v>1427</v>
      </c>
      <c r="I43" s="38" t="s">
        <v>1428</v>
      </c>
      <c r="J43" s="34" t="s">
        <v>115</v>
      </c>
      <c r="K43" s="38" t="s">
        <v>316</v>
      </c>
    </row>
    <row r="44" customFormat="false" ht="15" hidden="false" customHeight="false" outlineLevel="0" collapsed="false">
      <c r="A44" s="38" t="n">
        <v>107</v>
      </c>
      <c r="B44" s="38" t="s">
        <v>310</v>
      </c>
      <c r="C44" s="38" t="s">
        <v>310</v>
      </c>
      <c r="D44" s="38" t="n">
        <v>860034313</v>
      </c>
      <c r="E44" s="38" t="s">
        <v>300</v>
      </c>
      <c r="F44" s="27" t="n">
        <v>44561</v>
      </c>
      <c r="G44" s="39" t="n">
        <v>115384615</v>
      </c>
      <c r="H44" s="38" t="s">
        <v>1427</v>
      </c>
      <c r="I44" s="38" t="s">
        <v>1428</v>
      </c>
      <c r="J44" s="34" t="s">
        <v>115</v>
      </c>
      <c r="K44" s="38" t="s">
        <v>316</v>
      </c>
    </row>
    <row r="45" customFormat="false" ht="15" hidden="false" customHeight="false" outlineLevel="0" collapsed="false">
      <c r="A45" s="38" t="n">
        <v>108</v>
      </c>
      <c r="B45" s="38" t="s">
        <v>310</v>
      </c>
      <c r="C45" s="38" t="s">
        <v>310</v>
      </c>
      <c r="D45" s="38" t="n">
        <v>860034313</v>
      </c>
      <c r="E45" s="38" t="s">
        <v>300</v>
      </c>
      <c r="F45" s="27" t="n">
        <v>44561</v>
      </c>
      <c r="G45" s="39" t="n">
        <v>115384615</v>
      </c>
      <c r="H45" s="38" t="s">
        <v>1427</v>
      </c>
      <c r="I45" s="38" t="s">
        <v>1428</v>
      </c>
      <c r="J45" s="34" t="s">
        <v>115</v>
      </c>
      <c r="K45" s="38" t="s">
        <v>316</v>
      </c>
    </row>
    <row r="46" customFormat="false" ht="15" hidden="false" customHeight="false" outlineLevel="0" collapsed="false">
      <c r="A46" s="38" t="n">
        <v>109</v>
      </c>
      <c r="B46" s="38" t="s">
        <v>310</v>
      </c>
      <c r="C46" s="38" t="s">
        <v>310</v>
      </c>
      <c r="D46" s="38" t="n">
        <v>860034313</v>
      </c>
      <c r="E46" s="38" t="s">
        <v>300</v>
      </c>
      <c r="F46" s="27" t="n">
        <v>44561</v>
      </c>
      <c r="G46" s="39" t="n">
        <v>115384615</v>
      </c>
      <c r="H46" s="38" t="s">
        <v>1427</v>
      </c>
      <c r="I46" s="38" t="s">
        <v>1428</v>
      </c>
      <c r="J46" s="34" t="s">
        <v>115</v>
      </c>
      <c r="K46" s="38" t="s">
        <v>316</v>
      </c>
    </row>
    <row r="47" customFormat="false" ht="15" hidden="false" customHeight="false" outlineLevel="0" collapsed="false">
      <c r="A47" s="38" t="n">
        <v>110</v>
      </c>
      <c r="B47" s="38" t="s">
        <v>310</v>
      </c>
      <c r="C47" s="38" t="s">
        <v>310</v>
      </c>
      <c r="D47" s="38" t="n">
        <v>860034313</v>
      </c>
      <c r="E47" s="38" t="s">
        <v>300</v>
      </c>
      <c r="F47" s="27" t="n">
        <v>44561</v>
      </c>
      <c r="G47" s="39" t="n">
        <v>115384615</v>
      </c>
      <c r="H47" s="38" t="s">
        <v>1427</v>
      </c>
      <c r="I47" s="38" t="s">
        <v>1428</v>
      </c>
      <c r="J47" s="34" t="s">
        <v>115</v>
      </c>
      <c r="K47" s="38" t="s">
        <v>316</v>
      </c>
    </row>
    <row r="48" customFormat="false" ht="15" hidden="false" customHeight="false" outlineLevel="0" collapsed="false">
      <c r="A48" s="38" t="n">
        <v>111</v>
      </c>
      <c r="B48" s="38" t="s">
        <v>310</v>
      </c>
      <c r="C48" s="38" t="s">
        <v>310</v>
      </c>
      <c r="D48" s="38" t="n">
        <v>860034313</v>
      </c>
      <c r="E48" s="38" t="s">
        <v>300</v>
      </c>
      <c r="F48" s="27" t="n">
        <v>44561</v>
      </c>
      <c r="G48" s="39" t="n">
        <v>115384615</v>
      </c>
      <c r="H48" s="38" t="s">
        <v>1427</v>
      </c>
      <c r="I48" s="38" t="s">
        <v>1428</v>
      </c>
      <c r="J48" s="34" t="s">
        <v>115</v>
      </c>
      <c r="K48" s="38" t="s">
        <v>316</v>
      </c>
    </row>
    <row r="49" customFormat="false" ht="15" hidden="false" customHeight="false" outlineLevel="0" collapsed="false">
      <c r="A49" s="38" t="n">
        <v>112</v>
      </c>
      <c r="B49" s="38" t="s">
        <v>310</v>
      </c>
      <c r="C49" s="38" t="s">
        <v>310</v>
      </c>
      <c r="D49" s="38" t="n">
        <v>860034313</v>
      </c>
      <c r="E49" s="38" t="s">
        <v>300</v>
      </c>
      <c r="F49" s="27" t="n">
        <v>44561</v>
      </c>
      <c r="G49" s="39" t="n">
        <v>152307700</v>
      </c>
      <c r="H49" s="38" t="s">
        <v>1429</v>
      </c>
      <c r="I49" s="38" t="s">
        <v>1430</v>
      </c>
      <c r="J49" s="34" t="s">
        <v>117</v>
      </c>
      <c r="K49" s="38" t="s">
        <v>316</v>
      </c>
    </row>
    <row r="50" customFormat="false" ht="15" hidden="false" customHeight="false" outlineLevel="0" collapsed="false">
      <c r="A50" s="38" t="n">
        <v>113</v>
      </c>
      <c r="B50" s="38" t="s">
        <v>310</v>
      </c>
      <c r="C50" s="38" t="s">
        <v>310</v>
      </c>
      <c r="D50" s="38" t="n">
        <v>860034313</v>
      </c>
      <c r="E50" s="38" t="s">
        <v>300</v>
      </c>
      <c r="F50" s="27" t="n">
        <v>44561</v>
      </c>
      <c r="G50" s="39" t="n">
        <v>152307692</v>
      </c>
      <c r="H50" s="38" t="s">
        <v>1429</v>
      </c>
      <c r="I50" s="38" t="s">
        <v>1430</v>
      </c>
      <c r="J50" s="34" t="s">
        <v>117</v>
      </c>
      <c r="K50" s="38" t="s">
        <v>316</v>
      </c>
    </row>
    <row r="51" customFormat="false" ht="15" hidden="false" customHeight="false" outlineLevel="0" collapsed="false">
      <c r="A51" s="38" t="n">
        <v>114</v>
      </c>
      <c r="B51" s="38" t="s">
        <v>310</v>
      </c>
      <c r="C51" s="38" t="s">
        <v>310</v>
      </c>
      <c r="D51" s="38" t="n">
        <v>860034313</v>
      </c>
      <c r="E51" s="38" t="s">
        <v>300</v>
      </c>
      <c r="F51" s="27" t="n">
        <v>44561</v>
      </c>
      <c r="G51" s="39" t="n">
        <v>152307692</v>
      </c>
      <c r="H51" s="38" t="s">
        <v>1429</v>
      </c>
      <c r="I51" s="38" t="s">
        <v>1430</v>
      </c>
      <c r="J51" s="34" t="s">
        <v>117</v>
      </c>
      <c r="K51" s="38" t="s">
        <v>316</v>
      </c>
    </row>
    <row r="52" customFormat="false" ht="15" hidden="false" customHeight="false" outlineLevel="0" collapsed="false">
      <c r="A52" s="38" t="n">
        <v>115</v>
      </c>
      <c r="B52" s="38" t="s">
        <v>310</v>
      </c>
      <c r="C52" s="38" t="s">
        <v>310</v>
      </c>
      <c r="D52" s="38" t="n">
        <v>860034313</v>
      </c>
      <c r="E52" s="38" t="s">
        <v>300</v>
      </c>
      <c r="F52" s="27" t="n">
        <v>44561</v>
      </c>
      <c r="G52" s="39" t="n">
        <v>152307692</v>
      </c>
      <c r="H52" s="38" t="s">
        <v>1429</v>
      </c>
      <c r="I52" s="38" t="s">
        <v>1430</v>
      </c>
      <c r="J52" s="34" t="s">
        <v>117</v>
      </c>
      <c r="K52" s="38" t="s">
        <v>316</v>
      </c>
    </row>
    <row r="53" customFormat="false" ht="15" hidden="false" customHeight="false" outlineLevel="0" collapsed="false">
      <c r="A53" s="38" t="n">
        <v>116</v>
      </c>
      <c r="B53" s="38" t="s">
        <v>310</v>
      </c>
      <c r="C53" s="38" t="s">
        <v>310</v>
      </c>
      <c r="D53" s="38" t="n">
        <v>860034313</v>
      </c>
      <c r="E53" s="38" t="s">
        <v>300</v>
      </c>
      <c r="F53" s="27" t="n">
        <v>44561</v>
      </c>
      <c r="G53" s="39" t="n">
        <v>152307692</v>
      </c>
      <c r="H53" s="38" t="s">
        <v>1429</v>
      </c>
      <c r="I53" s="38" t="s">
        <v>1430</v>
      </c>
      <c r="J53" s="34" t="s">
        <v>117</v>
      </c>
      <c r="K53" s="38" t="s">
        <v>316</v>
      </c>
    </row>
    <row r="54" customFormat="false" ht="15" hidden="false" customHeight="false" outlineLevel="0" collapsed="false">
      <c r="A54" s="38" t="n">
        <v>117</v>
      </c>
      <c r="B54" s="38" t="s">
        <v>310</v>
      </c>
      <c r="C54" s="38" t="s">
        <v>310</v>
      </c>
      <c r="D54" s="38" t="n">
        <v>860034313</v>
      </c>
      <c r="E54" s="38" t="s">
        <v>300</v>
      </c>
      <c r="F54" s="27" t="n">
        <v>44561</v>
      </c>
      <c r="G54" s="39" t="n">
        <v>152307692</v>
      </c>
      <c r="H54" s="38" t="s">
        <v>1429</v>
      </c>
      <c r="I54" s="38" t="s">
        <v>1430</v>
      </c>
      <c r="J54" s="34" t="s">
        <v>117</v>
      </c>
      <c r="K54" s="38" t="s">
        <v>316</v>
      </c>
    </row>
    <row r="55" customFormat="false" ht="15" hidden="false" customHeight="false" outlineLevel="0" collapsed="false">
      <c r="A55" s="38" t="n">
        <v>118</v>
      </c>
      <c r="B55" s="38" t="s">
        <v>310</v>
      </c>
      <c r="C55" s="38" t="s">
        <v>310</v>
      </c>
      <c r="D55" s="38" t="n">
        <v>860034313</v>
      </c>
      <c r="E55" s="38" t="s">
        <v>300</v>
      </c>
      <c r="F55" s="27" t="n">
        <v>44561</v>
      </c>
      <c r="G55" s="39" t="n">
        <v>152307692</v>
      </c>
      <c r="H55" s="38" t="s">
        <v>1429</v>
      </c>
      <c r="I55" s="38" t="s">
        <v>1430</v>
      </c>
      <c r="J55" s="34" t="s">
        <v>117</v>
      </c>
      <c r="K55" s="38" t="s">
        <v>316</v>
      </c>
    </row>
    <row r="56" customFormat="false" ht="15" hidden="false" customHeight="false" outlineLevel="0" collapsed="false">
      <c r="A56" s="38" t="n">
        <v>119</v>
      </c>
      <c r="B56" s="38" t="s">
        <v>310</v>
      </c>
      <c r="C56" s="38" t="s">
        <v>310</v>
      </c>
      <c r="D56" s="38" t="n">
        <v>860034313</v>
      </c>
      <c r="E56" s="38" t="s">
        <v>300</v>
      </c>
      <c r="F56" s="27" t="n">
        <v>44561</v>
      </c>
      <c r="G56" s="39" t="n">
        <v>152307692</v>
      </c>
      <c r="H56" s="38" t="s">
        <v>1429</v>
      </c>
      <c r="I56" s="38" t="s">
        <v>1430</v>
      </c>
      <c r="J56" s="34" t="s">
        <v>117</v>
      </c>
      <c r="K56" s="38" t="s">
        <v>316</v>
      </c>
    </row>
    <row r="57" customFormat="false" ht="15" hidden="false" customHeight="false" outlineLevel="0" collapsed="false">
      <c r="A57" s="38" t="n">
        <v>120</v>
      </c>
      <c r="B57" s="38" t="s">
        <v>310</v>
      </c>
      <c r="C57" s="38" t="s">
        <v>310</v>
      </c>
      <c r="D57" s="38" t="n">
        <v>860034313</v>
      </c>
      <c r="E57" s="38" t="s">
        <v>300</v>
      </c>
      <c r="F57" s="27" t="n">
        <v>44561</v>
      </c>
      <c r="G57" s="39" t="n">
        <v>152307692</v>
      </c>
      <c r="H57" s="38" t="s">
        <v>1429</v>
      </c>
      <c r="I57" s="38" t="s">
        <v>1430</v>
      </c>
      <c r="J57" s="34" t="s">
        <v>117</v>
      </c>
      <c r="K57" s="38" t="s">
        <v>316</v>
      </c>
    </row>
    <row r="58" customFormat="false" ht="15" hidden="false" customHeight="false" outlineLevel="0" collapsed="false">
      <c r="A58" s="38" t="n">
        <v>121</v>
      </c>
      <c r="B58" s="38" t="s">
        <v>310</v>
      </c>
      <c r="C58" s="38" t="s">
        <v>310</v>
      </c>
      <c r="D58" s="38" t="n">
        <v>860034313</v>
      </c>
      <c r="E58" s="38" t="s">
        <v>300</v>
      </c>
      <c r="F58" s="27" t="n">
        <v>44561</v>
      </c>
      <c r="G58" s="39" t="n">
        <v>152307692</v>
      </c>
      <c r="H58" s="38" t="s">
        <v>1429</v>
      </c>
      <c r="I58" s="38" t="s">
        <v>1430</v>
      </c>
      <c r="J58" s="34" t="s">
        <v>117</v>
      </c>
      <c r="K58" s="38" t="s">
        <v>316</v>
      </c>
    </row>
    <row r="59" customFormat="false" ht="15" hidden="false" customHeight="false" outlineLevel="0" collapsed="false">
      <c r="A59" s="38" t="n">
        <v>122</v>
      </c>
      <c r="B59" s="38" t="s">
        <v>310</v>
      </c>
      <c r="C59" s="38" t="s">
        <v>310</v>
      </c>
      <c r="D59" s="38" t="n">
        <v>860034313</v>
      </c>
      <c r="E59" s="38" t="s">
        <v>300</v>
      </c>
      <c r="F59" s="27" t="n">
        <v>44561</v>
      </c>
      <c r="G59" s="39" t="n">
        <v>152307692</v>
      </c>
      <c r="H59" s="38" t="s">
        <v>1429</v>
      </c>
      <c r="I59" s="38" t="s">
        <v>1430</v>
      </c>
      <c r="J59" s="34" t="s">
        <v>117</v>
      </c>
      <c r="K59" s="38" t="s">
        <v>316</v>
      </c>
    </row>
    <row r="60" customFormat="false" ht="15" hidden="false" customHeight="false" outlineLevel="0" collapsed="false">
      <c r="A60" s="38" t="n">
        <v>123</v>
      </c>
      <c r="B60" s="38" t="s">
        <v>310</v>
      </c>
      <c r="C60" s="38" t="s">
        <v>310</v>
      </c>
      <c r="D60" s="38" t="n">
        <v>860034313</v>
      </c>
      <c r="E60" s="38" t="s">
        <v>300</v>
      </c>
      <c r="F60" s="27" t="n">
        <v>44561</v>
      </c>
      <c r="G60" s="39" t="n">
        <v>152307692</v>
      </c>
      <c r="H60" s="38" t="s">
        <v>1429</v>
      </c>
      <c r="I60" s="38" t="s">
        <v>1430</v>
      </c>
      <c r="J60" s="34" t="s">
        <v>117</v>
      </c>
      <c r="K60" s="38" t="s">
        <v>316</v>
      </c>
    </row>
    <row r="61" customFormat="false" ht="15" hidden="false" customHeight="false" outlineLevel="0" collapsed="false">
      <c r="A61" s="38" t="n">
        <v>124</v>
      </c>
      <c r="B61" s="38" t="s">
        <v>310</v>
      </c>
      <c r="C61" s="38" t="s">
        <v>310</v>
      </c>
      <c r="D61" s="38" t="n">
        <v>860034313</v>
      </c>
      <c r="E61" s="38" t="s">
        <v>300</v>
      </c>
      <c r="F61" s="27" t="n">
        <v>44561</v>
      </c>
      <c r="G61" s="39" t="n">
        <v>152307692</v>
      </c>
      <c r="H61" s="38" t="s">
        <v>1429</v>
      </c>
      <c r="I61" s="38" t="s">
        <v>1430</v>
      </c>
      <c r="J61" s="34" t="s">
        <v>117</v>
      </c>
      <c r="K61" s="38" t="s">
        <v>316</v>
      </c>
    </row>
    <row r="62" customFormat="false" ht="15" hidden="false" customHeight="false" outlineLevel="0" collapsed="false">
      <c r="A62" s="38" t="n">
        <v>125</v>
      </c>
      <c r="B62" s="38" t="s">
        <v>310</v>
      </c>
      <c r="C62" s="38" t="s">
        <v>310</v>
      </c>
      <c r="D62" s="38" t="n">
        <v>860034313</v>
      </c>
      <c r="E62" s="38" t="s">
        <v>300</v>
      </c>
      <c r="F62" s="27" t="n">
        <v>44561</v>
      </c>
      <c r="G62" s="39" t="n">
        <v>152307692</v>
      </c>
      <c r="H62" s="38" t="s">
        <v>1429</v>
      </c>
      <c r="I62" s="38" t="s">
        <v>1430</v>
      </c>
      <c r="J62" s="34" t="s">
        <v>117</v>
      </c>
      <c r="K62" s="38" t="s">
        <v>316</v>
      </c>
    </row>
    <row r="63" customFormat="false" ht="15" hidden="false" customHeight="false" outlineLevel="0" collapsed="false">
      <c r="A63" s="38" t="n">
        <v>126</v>
      </c>
      <c r="B63" s="38" t="s">
        <v>310</v>
      </c>
      <c r="C63" s="38" t="s">
        <v>310</v>
      </c>
      <c r="D63" s="38" t="n">
        <v>860034313</v>
      </c>
      <c r="E63" s="38" t="s">
        <v>300</v>
      </c>
      <c r="F63" s="27" t="n">
        <v>44561</v>
      </c>
      <c r="G63" s="39" t="n">
        <v>152307692</v>
      </c>
      <c r="H63" s="38" t="s">
        <v>1429</v>
      </c>
      <c r="I63" s="38" t="s">
        <v>1430</v>
      </c>
      <c r="J63" s="34" t="s">
        <v>117</v>
      </c>
      <c r="K63" s="38" t="s">
        <v>316</v>
      </c>
    </row>
    <row r="64" customFormat="false" ht="15" hidden="false" customHeight="false" outlineLevel="0" collapsed="false">
      <c r="A64" s="38" t="n">
        <v>127</v>
      </c>
      <c r="B64" s="38" t="s">
        <v>310</v>
      </c>
      <c r="C64" s="38" t="s">
        <v>310</v>
      </c>
      <c r="D64" s="38" t="n">
        <v>860034313</v>
      </c>
      <c r="E64" s="38" t="s">
        <v>300</v>
      </c>
      <c r="F64" s="27" t="n">
        <v>44561</v>
      </c>
      <c r="G64" s="39" t="n">
        <v>152307692</v>
      </c>
      <c r="H64" s="38" t="s">
        <v>1429</v>
      </c>
      <c r="I64" s="38" t="s">
        <v>1430</v>
      </c>
      <c r="J64" s="34" t="s">
        <v>117</v>
      </c>
      <c r="K64" s="38" t="s">
        <v>316</v>
      </c>
    </row>
    <row r="65" customFormat="false" ht="15" hidden="false" customHeight="false" outlineLevel="0" collapsed="false">
      <c r="A65" s="38" t="n">
        <v>128</v>
      </c>
      <c r="B65" s="38" t="s">
        <v>310</v>
      </c>
      <c r="C65" s="38" t="s">
        <v>310</v>
      </c>
      <c r="D65" s="38" t="n">
        <v>860034313</v>
      </c>
      <c r="E65" s="38" t="s">
        <v>300</v>
      </c>
      <c r="F65" s="27" t="n">
        <v>44561</v>
      </c>
      <c r="G65" s="39" t="n">
        <v>152307692</v>
      </c>
      <c r="H65" s="38" t="s">
        <v>1429</v>
      </c>
      <c r="I65" s="38" t="s">
        <v>1430</v>
      </c>
      <c r="J65" s="34" t="s">
        <v>117</v>
      </c>
      <c r="K65" s="38" t="s">
        <v>316</v>
      </c>
    </row>
    <row r="66" customFormat="false" ht="15" hidden="false" customHeight="false" outlineLevel="0" collapsed="false">
      <c r="A66" s="38" t="n">
        <v>129</v>
      </c>
      <c r="B66" s="38" t="s">
        <v>310</v>
      </c>
      <c r="C66" s="38" t="s">
        <v>310</v>
      </c>
      <c r="D66" s="38" t="n">
        <v>860034313</v>
      </c>
      <c r="E66" s="38" t="s">
        <v>300</v>
      </c>
      <c r="F66" s="27" t="n">
        <v>44561</v>
      </c>
      <c r="G66" s="39" t="n">
        <v>152307692</v>
      </c>
      <c r="H66" s="38" t="s">
        <v>1429</v>
      </c>
      <c r="I66" s="38" t="s">
        <v>1430</v>
      </c>
      <c r="J66" s="34" t="s">
        <v>117</v>
      </c>
      <c r="K66" s="38" t="s">
        <v>316</v>
      </c>
    </row>
    <row r="67" customFormat="false" ht="15" hidden="false" customHeight="false" outlineLevel="0" collapsed="false">
      <c r="A67" s="38" t="n">
        <v>130</v>
      </c>
      <c r="B67" s="38" t="s">
        <v>310</v>
      </c>
      <c r="C67" s="38" t="s">
        <v>310</v>
      </c>
      <c r="D67" s="38" t="n">
        <v>860034313</v>
      </c>
      <c r="E67" s="38" t="s">
        <v>300</v>
      </c>
      <c r="F67" s="27" t="n">
        <v>44561</v>
      </c>
      <c r="G67" s="39" t="n">
        <v>152307692</v>
      </c>
      <c r="H67" s="38" t="s">
        <v>1429</v>
      </c>
      <c r="I67" s="38" t="s">
        <v>1430</v>
      </c>
      <c r="J67" s="34" t="s">
        <v>117</v>
      </c>
      <c r="K67" s="38" t="s">
        <v>316</v>
      </c>
    </row>
    <row r="68" customFormat="false" ht="15" hidden="false" customHeight="false" outlineLevel="0" collapsed="false">
      <c r="A68" s="38" t="n">
        <v>131</v>
      </c>
      <c r="B68" s="38" t="s">
        <v>310</v>
      </c>
      <c r="C68" s="38" t="s">
        <v>310</v>
      </c>
      <c r="D68" s="38" t="n">
        <v>860034313</v>
      </c>
      <c r="E68" s="38" t="s">
        <v>300</v>
      </c>
      <c r="F68" s="27" t="n">
        <v>44561</v>
      </c>
      <c r="G68" s="39" t="n">
        <v>152307692</v>
      </c>
      <c r="H68" s="38" t="s">
        <v>1429</v>
      </c>
      <c r="I68" s="38" t="s">
        <v>1430</v>
      </c>
      <c r="J68" s="34" t="s">
        <v>117</v>
      </c>
      <c r="K68" s="38" t="s">
        <v>316</v>
      </c>
    </row>
    <row r="69" customFormat="false" ht="15" hidden="false" customHeight="false" outlineLevel="0" collapsed="false">
      <c r="A69" s="38" t="n">
        <v>132</v>
      </c>
      <c r="B69" s="38" t="s">
        <v>310</v>
      </c>
      <c r="C69" s="38" t="s">
        <v>310</v>
      </c>
      <c r="D69" s="38" t="n">
        <v>860034313</v>
      </c>
      <c r="E69" s="38" t="s">
        <v>300</v>
      </c>
      <c r="F69" s="27" t="n">
        <v>44561</v>
      </c>
      <c r="G69" s="39" t="n">
        <v>152307692</v>
      </c>
      <c r="H69" s="38" t="s">
        <v>1429</v>
      </c>
      <c r="I69" s="38" t="s">
        <v>1430</v>
      </c>
      <c r="J69" s="34" t="s">
        <v>117</v>
      </c>
      <c r="K69" s="38" t="s">
        <v>316</v>
      </c>
    </row>
    <row r="70" customFormat="false" ht="15" hidden="false" customHeight="false" outlineLevel="0" collapsed="false">
      <c r="A70" s="38" t="n">
        <v>133</v>
      </c>
      <c r="B70" s="38" t="s">
        <v>310</v>
      </c>
      <c r="C70" s="38" t="s">
        <v>310</v>
      </c>
      <c r="D70" s="38" t="n">
        <v>860034313</v>
      </c>
      <c r="E70" s="38" t="s">
        <v>300</v>
      </c>
      <c r="F70" s="27" t="n">
        <v>44561</v>
      </c>
      <c r="G70" s="39" t="n">
        <v>152307692</v>
      </c>
      <c r="H70" s="38" t="s">
        <v>1429</v>
      </c>
      <c r="I70" s="38" t="s">
        <v>1430</v>
      </c>
      <c r="J70" s="34" t="s">
        <v>117</v>
      </c>
      <c r="K70" s="38" t="s">
        <v>316</v>
      </c>
    </row>
    <row r="71" customFormat="false" ht="15" hidden="false" customHeight="false" outlineLevel="0" collapsed="false">
      <c r="A71" s="38" t="n">
        <v>134</v>
      </c>
      <c r="B71" s="38" t="s">
        <v>310</v>
      </c>
      <c r="C71" s="38" t="s">
        <v>310</v>
      </c>
      <c r="D71" s="38" t="n">
        <v>860034313</v>
      </c>
      <c r="E71" s="38" t="s">
        <v>300</v>
      </c>
      <c r="F71" s="27" t="n">
        <v>44561</v>
      </c>
      <c r="G71" s="39" t="n">
        <v>152307692</v>
      </c>
      <c r="H71" s="38" t="s">
        <v>1429</v>
      </c>
      <c r="I71" s="38" t="s">
        <v>1430</v>
      </c>
      <c r="J71" s="34" t="s">
        <v>117</v>
      </c>
      <c r="K71" s="38" t="s">
        <v>316</v>
      </c>
    </row>
    <row r="72" customFormat="false" ht="15" hidden="false" customHeight="false" outlineLevel="0" collapsed="false">
      <c r="A72" s="38" t="n">
        <v>135</v>
      </c>
      <c r="B72" s="38" t="s">
        <v>310</v>
      </c>
      <c r="C72" s="38" t="s">
        <v>310</v>
      </c>
      <c r="D72" s="38" t="n">
        <v>860034313</v>
      </c>
      <c r="E72" s="38" t="s">
        <v>300</v>
      </c>
      <c r="F72" s="27" t="n">
        <v>44561</v>
      </c>
      <c r="G72" s="39" t="n">
        <v>152307692</v>
      </c>
      <c r="H72" s="38" t="s">
        <v>1429</v>
      </c>
      <c r="I72" s="38" t="s">
        <v>1430</v>
      </c>
      <c r="J72" s="34" t="s">
        <v>117</v>
      </c>
      <c r="K72" s="38" t="s">
        <v>316</v>
      </c>
    </row>
    <row r="73" customFormat="false" ht="15" hidden="false" customHeight="false" outlineLevel="0" collapsed="false">
      <c r="A73" s="38" t="n">
        <v>136</v>
      </c>
      <c r="B73" s="38" t="s">
        <v>310</v>
      </c>
      <c r="C73" s="38" t="s">
        <v>310</v>
      </c>
      <c r="D73" s="38" t="n">
        <v>860034313</v>
      </c>
      <c r="E73" s="38" t="s">
        <v>300</v>
      </c>
      <c r="F73" s="27" t="n">
        <v>44561</v>
      </c>
      <c r="G73" s="39" t="n">
        <v>152307692</v>
      </c>
      <c r="H73" s="38" t="s">
        <v>1429</v>
      </c>
      <c r="I73" s="38" t="s">
        <v>1430</v>
      </c>
      <c r="J73" s="34" t="s">
        <v>117</v>
      </c>
      <c r="K73" s="38" t="s">
        <v>316</v>
      </c>
    </row>
    <row r="74" customFormat="false" ht="15" hidden="false" customHeight="false" outlineLevel="0" collapsed="false">
      <c r="A74" s="38" t="n">
        <v>137</v>
      </c>
      <c r="B74" s="38" t="s">
        <v>310</v>
      </c>
      <c r="C74" s="38" t="s">
        <v>310</v>
      </c>
      <c r="D74" s="38" t="n">
        <v>860034313</v>
      </c>
      <c r="E74" s="38" t="s">
        <v>300</v>
      </c>
      <c r="F74" s="27" t="n">
        <v>44561</v>
      </c>
      <c r="G74" s="39" t="n">
        <v>152307692</v>
      </c>
      <c r="H74" s="38" t="s">
        <v>1429</v>
      </c>
      <c r="I74" s="38" t="s">
        <v>1430</v>
      </c>
      <c r="J74" s="34" t="s">
        <v>117</v>
      </c>
      <c r="K74" s="38" t="s">
        <v>316</v>
      </c>
    </row>
    <row r="75" customFormat="false" ht="15" hidden="false" customHeight="false" outlineLevel="0" collapsed="false">
      <c r="A75" s="38" t="n">
        <v>138</v>
      </c>
      <c r="B75" s="38" t="s">
        <v>310</v>
      </c>
      <c r="C75" s="38" t="s">
        <v>310</v>
      </c>
      <c r="D75" s="38" t="n">
        <v>860007738</v>
      </c>
      <c r="E75" s="38" t="s">
        <v>337</v>
      </c>
      <c r="F75" s="27" t="n">
        <v>44561</v>
      </c>
      <c r="G75" s="39" t="n">
        <v>575000000</v>
      </c>
      <c r="H75" s="38" t="s">
        <v>1431</v>
      </c>
      <c r="I75" s="38" t="s">
        <v>1432</v>
      </c>
      <c r="J75" s="34" t="s">
        <v>135</v>
      </c>
      <c r="K75" s="38" t="s">
        <v>316</v>
      </c>
    </row>
    <row r="76" customFormat="false" ht="15" hidden="false" customHeight="false" outlineLevel="0" collapsed="false">
      <c r="A76" s="38" t="n">
        <v>139</v>
      </c>
      <c r="B76" s="38" t="s">
        <v>310</v>
      </c>
      <c r="C76" s="38" t="s">
        <v>310</v>
      </c>
      <c r="D76" s="38" t="n">
        <v>860002964</v>
      </c>
      <c r="E76" s="38" t="s">
        <v>306</v>
      </c>
      <c r="F76" s="27" t="n">
        <v>44561</v>
      </c>
      <c r="G76" s="39" t="n">
        <v>62500000</v>
      </c>
      <c r="H76" s="38" t="s">
        <v>1420</v>
      </c>
      <c r="I76" s="38" t="s">
        <v>1421</v>
      </c>
      <c r="J76" s="34" t="s">
        <v>124</v>
      </c>
      <c r="K76" s="38" t="s">
        <v>316</v>
      </c>
    </row>
    <row r="77" customFormat="false" ht="15" hidden="false" customHeight="false" outlineLevel="0" collapsed="false">
      <c r="A77" s="38" t="n">
        <v>140</v>
      </c>
      <c r="B77" s="38" t="s">
        <v>310</v>
      </c>
      <c r="C77" s="38" t="s">
        <v>310</v>
      </c>
      <c r="D77" s="38" t="n">
        <v>860002964</v>
      </c>
      <c r="E77" s="38" t="s">
        <v>306</v>
      </c>
      <c r="F77" s="27" t="n">
        <v>44561</v>
      </c>
      <c r="G77" s="39" t="n">
        <v>62500000</v>
      </c>
      <c r="H77" s="38" t="s">
        <v>1420</v>
      </c>
      <c r="I77" s="38" t="s">
        <v>1421</v>
      </c>
      <c r="J77" s="34" t="s">
        <v>124</v>
      </c>
      <c r="K77" s="38" t="s">
        <v>316</v>
      </c>
    </row>
    <row r="78" customFormat="false" ht="15" hidden="false" customHeight="false" outlineLevel="0" collapsed="false">
      <c r="A78" s="38" t="n">
        <v>141</v>
      </c>
      <c r="B78" s="38" t="s">
        <v>310</v>
      </c>
      <c r="C78" s="38" t="s">
        <v>310</v>
      </c>
      <c r="D78" s="38" t="n">
        <v>860002964</v>
      </c>
      <c r="E78" s="38" t="s">
        <v>306</v>
      </c>
      <c r="F78" s="27" t="n">
        <v>44561</v>
      </c>
      <c r="G78" s="39" t="n">
        <v>62500000</v>
      </c>
      <c r="H78" s="38" t="s">
        <v>1420</v>
      </c>
      <c r="I78" s="38" t="s">
        <v>1421</v>
      </c>
      <c r="J78" s="34" t="s">
        <v>124</v>
      </c>
      <c r="K78" s="38" t="s">
        <v>316</v>
      </c>
    </row>
    <row r="79" customFormat="false" ht="15" hidden="false" customHeight="false" outlineLevel="0" collapsed="false">
      <c r="A79" s="38" t="n">
        <v>142</v>
      </c>
      <c r="B79" s="38" t="s">
        <v>310</v>
      </c>
      <c r="C79" s="38" t="s">
        <v>310</v>
      </c>
      <c r="D79" s="38" t="n">
        <v>860002964</v>
      </c>
      <c r="E79" s="38" t="s">
        <v>306</v>
      </c>
      <c r="F79" s="27" t="n">
        <v>44561</v>
      </c>
      <c r="G79" s="39" t="n">
        <v>62500000</v>
      </c>
      <c r="H79" s="38" t="s">
        <v>1420</v>
      </c>
      <c r="I79" s="38" t="s">
        <v>1421</v>
      </c>
      <c r="J79" s="34" t="s">
        <v>124</v>
      </c>
      <c r="K79" s="38" t="s">
        <v>316</v>
      </c>
    </row>
    <row r="80" customFormat="false" ht="15" hidden="false" customHeight="false" outlineLevel="0" collapsed="false">
      <c r="A80" s="38" t="n">
        <v>143</v>
      </c>
      <c r="B80" s="38" t="s">
        <v>310</v>
      </c>
      <c r="C80" s="38" t="s">
        <v>310</v>
      </c>
      <c r="D80" s="38" t="n">
        <v>860002964</v>
      </c>
      <c r="E80" s="38" t="s">
        <v>306</v>
      </c>
      <c r="F80" s="27" t="n">
        <v>44561</v>
      </c>
      <c r="G80" s="39" t="n">
        <v>62500000</v>
      </c>
      <c r="H80" s="38" t="s">
        <v>1420</v>
      </c>
      <c r="I80" s="38" t="s">
        <v>1421</v>
      </c>
      <c r="J80" s="34" t="s">
        <v>124</v>
      </c>
      <c r="K80" s="38" t="s">
        <v>316</v>
      </c>
    </row>
    <row r="81" customFormat="false" ht="15" hidden="false" customHeight="false" outlineLevel="0" collapsed="false">
      <c r="A81" s="38" t="n">
        <v>144</v>
      </c>
      <c r="B81" s="38" t="s">
        <v>310</v>
      </c>
      <c r="C81" s="38" t="s">
        <v>310</v>
      </c>
      <c r="D81" s="38" t="n">
        <v>860002964</v>
      </c>
      <c r="E81" s="38" t="s">
        <v>306</v>
      </c>
      <c r="F81" s="27" t="n">
        <v>44561</v>
      </c>
      <c r="G81" s="39" t="n">
        <v>62500000</v>
      </c>
      <c r="H81" s="38" t="s">
        <v>1420</v>
      </c>
      <c r="I81" s="38" t="s">
        <v>1421</v>
      </c>
      <c r="J81" s="34" t="s">
        <v>124</v>
      </c>
      <c r="K81" s="38" t="s">
        <v>316</v>
      </c>
    </row>
    <row r="82" customFormat="false" ht="15" hidden="false" customHeight="false" outlineLevel="0" collapsed="false">
      <c r="A82" s="38" t="n">
        <v>145</v>
      </c>
      <c r="B82" s="38" t="s">
        <v>310</v>
      </c>
      <c r="C82" s="38" t="s">
        <v>310</v>
      </c>
      <c r="D82" s="38" t="n">
        <v>860002964</v>
      </c>
      <c r="E82" s="38" t="s">
        <v>306</v>
      </c>
      <c r="F82" s="27" t="n">
        <v>44561</v>
      </c>
      <c r="G82" s="39" t="n">
        <v>62500000</v>
      </c>
      <c r="H82" s="38" t="s">
        <v>1420</v>
      </c>
      <c r="I82" s="38" t="s">
        <v>1421</v>
      </c>
      <c r="J82" s="34" t="s">
        <v>124</v>
      </c>
      <c r="K82" s="38" t="s">
        <v>316</v>
      </c>
    </row>
    <row r="83" customFormat="false" ht="15" hidden="false" customHeight="false" outlineLevel="0" collapsed="false">
      <c r="A83" s="38" t="n">
        <v>146</v>
      </c>
      <c r="B83" s="38" t="s">
        <v>310</v>
      </c>
      <c r="C83" s="38" t="s">
        <v>310</v>
      </c>
      <c r="D83" s="38" t="n">
        <v>860002964</v>
      </c>
      <c r="E83" s="38" t="s">
        <v>306</v>
      </c>
      <c r="F83" s="27" t="n">
        <v>44561</v>
      </c>
      <c r="G83" s="39" t="n">
        <v>62500000</v>
      </c>
      <c r="H83" s="38" t="s">
        <v>1420</v>
      </c>
      <c r="I83" s="38" t="s">
        <v>1421</v>
      </c>
      <c r="J83" s="34" t="s">
        <v>124</v>
      </c>
      <c r="K83" s="38" t="s">
        <v>316</v>
      </c>
    </row>
    <row r="84" customFormat="false" ht="15" hidden="false" customHeight="false" outlineLevel="0" collapsed="false">
      <c r="A84" s="38" t="n">
        <v>147</v>
      </c>
      <c r="B84" s="38" t="s">
        <v>310</v>
      </c>
      <c r="C84" s="38" t="s">
        <v>310</v>
      </c>
      <c r="D84" s="38" t="n">
        <v>860002964</v>
      </c>
      <c r="E84" s="38" t="s">
        <v>306</v>
      </c>
      <c r="F84" s="27" t="n">
        <v>44561</v>
      </c>
      <c r="G84" s="39" t="n">
        <v>62500000</v>
      </c>
      <c r="H84" s="38" t="s">
        <v>1420</v>
      </c>
      <c r="I84" s="38" t="s">
        <v>1421</v>
      </c>
      <c r="J84" s="34" t="s">
        <v>124</v>
      </c>
      <c r="K84" s="38" t="s">
        <v>316</v>
      </c>
    </row>
    <row r="85" customFormat="false" ht="15" hidden="false" customHeight="false" outlineLevel="0" collapsed="false">
      <c r="A85" s="38" t="n">
        <v>148</v>
      </c>
      <c r="B85" s="38" t="s">
        <v>310</v>
      </c>
      <c r="C85" s="38" t="s">
        <v>310</v>
      </c>
      <c r="D85" s="38" t="n">
        <v>860002964</v>
      </c>
      <c r="E85" s="38" t="s">
        <v>306</v>
      </c>
      <c r="F85" s="27" t="n">
        <v>44561</v>
      </c>
      <c r="G85" s="39" t="n">
        <v>62500000</v>
      </c>
      <c r="H85" s="38" t="s">
        <v>1420</v>
      </c>
      <c r="I85" s="38" t="s">
        <v>1421</v>
      </c>
      <c r="J85" s="34" t="s">
        <v>124</v>
      </c>
      <c r="K85" s="38" t="s">
        <v>316</v>
      </c>
    </row>
    <row r="86" customFormat="false" ht="15" hidden="false" customHeight="false" outlineLevel="0" collapsed="false">
      <c r="A86" s="38" t="n">
        <v>149</v>
      </c>
      <c r="B86" s="38" t="s">
        <v>310</v>
      </c>
      <c r="C86" s="38" t="s">
        <v>310</v>
      </c>
      <c r="D86" s="38" t="n">
        <v>860002964</v>
      </c>
      <c r="E86" s="38" t="s">
        <v>306</v>
      </c>
      <c r="F86" s="27" t="n">
        <v>44561</v>
      </c>
      <c r="G86" s="39" t="n">
        <v>62500000</v>
      </c>
      <c r="H86" s="38" t="s">
        <v>1420</v>
      </c>
      <c r="I86" s="38" t="s">
        <v>1421</v>
      </c>
      <c r="J86" s="34" t="s">
        <v>124</v>
      </c>
      <c r="K86" s="38" t="s">
        <v>316</v>
      </c>
    </row>
    <row r="87" customFormat="false" ht="15" hidden="false" customHeight="false" outlineLevel="0" collapsed="false">
      <c r="A87" s="38" t="n">
        <v>150</v>
      </c>
      <c r="B87" s="38" t="s">
        <v>310</v>
      </c>
      <c r="C87" s="38" t="s">
        <v>310</v>
      </c>
      <c r="D87" s="38" t="n">
        <v>860002964</v>
      </c>
      <c r="E87" s="38" t="s">
        <v>306</v>
      </c>
      <c r="F87" s="27" t="n">
        <v>44561</v>
      </c>
      <c r="G87" s="39" t="n">
        <v>62500000</v>
      </c>
      <c r="H87" s="38" t="s">
        <v>1420</v>
      </c>
      <c r="I87" s="38" t="s">
        <v>1421</v>
      </c>
      <c r="J87" s="34" t="s">
        <v>124</v>
      </c>
      <c r="K87" s="38" t="s">
        <v>316</v>
      </c>
    </row>
    <row r="88" customFormat="false" ht="15" hidden="false" customHeight="false" outlineLevel="0" collapsed="false">
      <c r="A88" s="38" t="n">
        <v>151</v>
      </c>
      <c r="B88" s="38" t="s">
        <v>310</v>
      </c>
      <c r="C88" s="38" t="s">
        <v>310</v>
      </c>
      <c r="D88" s="38" t="n">
        <v>860002964</v>
      </c>
      <c r="E88" s="38" t="s">
        <v>306</v>
      </c>
      <c r="F88" s="27" t="n">
        <v>44561</v>
      </c>
      <c r="G88" s="39" t="n">
        <v>62500000</v>
      </c>
      <c r="H88" s="38" t="s">
        <v>1420</v>
      </c>
      <c r="I88" s="38" t="s">
        <v>1421</v>
      </c>
      <c r="J88" s="34" t="s">
        <v>124</v>
      </c>
      <c r="K88" s="38" t="s">
        <v>316</v>
      </c>
    </row>
    <row r="89" customFormat="false" ht="15" hidden="false" customHeight="false" outlineLevel="0" collapsed="false">
      <c r="A89" s="38" t="n">
        <v>152</v>
      </c>
      <c r="B89" s="38" t="s">
        <v>310</v>
      </c>
      <c r="C89" s="38" t="s">
        <v>310</v>
      </c>
      <c r="D89" s="38" t="n">
        <v>860002964</v>
      </c>
      <c r="E89" s="38" t="s">
        <v>306</v>
      </c>
      <c r="F89" s="27" t="n">
        <v>44561</v>
      </c>
      <c r="G89" s="39" t="n">
        <v>62500000</v>
      </c>
      <c r="H89" s="38" t="s">
        <v>1420</v>
      </c>
      <c r="I89" s="38" t="s">
        <v>1421</v>
      </c>
      <c r="J89" s="34" t="s">
        <v>124</v>
      </c>
      <c r="K89" s="38" t="s">
        <v>316</v>
      </c>
    </row>
    <row r="90" customFormat="false" ht="15" hidden="false" customHeight="false" outlineLevel="0" collapsed="false">
      <c r="A90" s="38" t="n">
        <v>153</v>
      </c>
      <c r="B90" s="38" t="s">
        <v>310</v>
      </c>
      <c r="C90" s="38" t="s">
        <v>310</v>
      </c>
      <c r="D90" s="38" t="n">
        <v>860002964</v>
      </c>
      <c r="E90" s="38" t="s">
        <v>306</v>
      </c>
      <c r="F90" s="27" t="n">
        <v>44561</v>
      </c>
      <c r="G90" s="39" t="n">
        <v>62500000</v>
      </c>
      <c r="H90" s="38" t="s">
        <v>1420</v>
      </c>
      <c r="I90" s="38" t="s">
        <v>1421</v>
      </c>
      <c r="J90" s="34" t="s">
        <v>124</v>
      </c>
      <c r="K90" s="38" t="s">
        <v>316</v>
      </c>
    </row>
    <row r="91" customFormat="false" ht="15" hidden="false" customHeight="false" outlineLevel="0" collapsed="false">
      <c r="A91" s="38" t="n">
        <v>154</v>
      </c>
      <c r="B91" s="38" t="s">
        <v>310</v>
      </c>
      <c r="C91" s="38" t="s">
        <v>310</v>
      </c>
      <c r="D91" s="38" t="n">
        <v>860002964</v>
      </c>
      <c r="E91" s="38" t="s">
        <v>306</v>
      </c>
      <c r="F91" s="27" t="n">
        <v>44561</v>
      </c>
      <c r="G91" s="39" t="n">
        <v>62500000</v>
      </c>
      <c r="H91" s="38" t="s">
        <v>1420</v>
      </c>
      <c r="I91" s="38" t="s">
        <v>1421</v>
      </c>
      <c r="J91" s="34" t="s">
        <v>124</v>
      </c>
      <c r="K91" s="38" t="s">
        <v>316</v>
      </c>
    </row>
    <row r="92" customFormat="false" ht="15" hidden="false" customHeight="false" outlineLevel="0" collapsed="false">
      <c r="A92" s="38" t="n">
        <v>155</v>
      </c>
      <c r="B92" s="38" t="s">
        <v>310</v>
      </c>
      <c r="C92" s="38" t="s">
        <v>310</v>
      </c>
      <c r="D92" s="38" t="n">
        <v>860002964</v>
      </c>
      <c r="E92" s="38" t="s">
        <v>306</v>
      </c>
      <c r="F92" s="27" t="n">
        <v>44561</v>
      </c>
      <c r="G92" s="39" t="n">
        <v>62500000</v>
      </c>
      <c r="H92" s="38" t="s">
        <v>1420</v>
      </c>
      <c r="I92" s="38" t="s">
        <v>1421</v>
      </c>
      <c r="J92" s="34" t="s">
        <v>124</v>
      </c>
      <c r="K92" s="38" t="s">
        <v>316</v>
      </c>
    </row>
    <row r="93" customFormat="false" ht="15" hidden="false" customHeight="false" outlineLevel="0" collapsed="false">
      <c r="A93" s="38" t="n">
        <v>156</v>
      </c>
      <c r="B93" s="38" t="s">
        <v>310</v>
      </c>
      <c r="C93" s="38" t="s">
        <v>310</v>
      </c>
      <c r="D93" s="38" t="n">
        <v>860002964</v>
      </c>
      <c r="E93" s="38" t="s">
        <v>306</v>
      </c>
      <c r="F93" s="27" t="n">
        <v>44561</v>
      </c>
      <c r="G93" s="39" t="n">
        <v>62500000</v>
      </c>
      <c r="H93" s="38" t="s">
        <v>1420</v>
      </c>
      <c r="I93" s="38" t="s">
        <v>1421</v>
      </c>
      <c r="J93" s="34" t="s">
        <v>124</v>
      </c>
      <c r="K93" s="38" t="s">
        <v>316</v>
      </c>
    </row>
    <row r="94" customFormat="false" ht="15" hidden="false" customHeight="false" outlineLevel="0" collapsed="false">
      <c r="A94" s="38" t="n">
        <v>157</v>
      </c>
      <c r="B94" s="38" t="s">
        <v>310</v>
      </c>
      <c r="C94" s="38" t="s">
        <v>310</v>
      </c>
      <c r="D94" s="38" t="n">
        <v>860002964</v>
      </c>
      <c r="E94" s="38" t="s">
        <v>306</v>
      </c>
      <c r="F94" s="27" t="n">
        <v>44561</v>
      </c>
      <c r="G94" s="39" t="n">
        <v>62500000</v>
      </c>
      <c r="H94" s="38" t="s">
        <v>1420</v>
      </c>
      <c r="I94" s="38" t="s">
        <v>1421</v>
      </c>
      <c r="J94" s="34" t="s">
        <v>124</v>
      </c>
      <c r="K94" s="38" t="s">
        <v>316</v>
      </c>
    </row>
    <row r="95" customFormat="false" ht="15" hidden="false" customHeight="false" outlineLevel="0" collapsed="false">
      <c r="A95" s="38" t="n">
        <v>158</v>
      </c>
      <c r="B95" s="38" t="s">
        <v>310</v>
      </c>
      <c r="C95" s="38" t="s">
        <v>310</v>
      </c>
      <c r="D95" s="38" t="n">
        <v>860002964</v>
      </c>
      <c r="E95" s="38" t="s">
        <v>306</v>
      </c>
      <c r="F95" s="27" t="n">
        <v>44561</v>
      </c>
      <c r="G95" s="39" t="n">
        <v>62500000</v>
      </c>
      <c r="H95" s="38" t="s">
        <v>1420</v>
      </c>
      <c r="I95" s="38" t="s">
        <v>1421</v>
      </c>
      <c r="J95" s="34" t="s">
        <v>124</v>
      </c>
      <c r="K95" s="38" t="s">
        <v>316</v>
      </c>
    </row>
    <row r="96" customFormat="false" ht="15" hidden="false" customHeight="false" outlineLevel="0" collapsed="false">
      <c r="A96" s="38" t="n">
        <v>159</v>
      </c>
      <c r="B96" s="38" t="s">
        <v>310</v>
      </c>
      <c r="C96" s="38" t="s">
        <v>310</v>
      </c>
      <c r="D96" s="38" t="n">
        <v>860002964</v>
      </c>
      <c r="E96" s="38" t="s">
        <v>306</v>
      </c>
      <c r="F96" s="27" t="n">
        <v>44561</v>
      </c>
      <c r="G96" s="39" t="n">
        <v>62500000</v>
      </c>
      <c r="H96" s="38" t="s">
        <v>1420</v>
      </c>
      <c r="I96" s="38" t="s">
        <v>1421</v>
      </c>
      <c r="J96" s="34" t="s">
        <v>124</v>
      </c>
      <c r="K96" s="38" t="s">
        <v>316</v>
      </c>
    </row>
    <row r="97" customFormat="false" ht="15" hidden="false" customHeight="false" outlineLevel="0" collapsed="false">
      <c r="A97" s="38" t="n">
        <v>160</v>
      </c>
      <c r="B97" s="38" t="s">
        <v>310</v>
      </c>
      <c r="C97" s="38" t="s">
        <v>310</v>
      </c>
      <c r="D97" s="38" t="n">
        <v>860002964</v>
      </c>
      <c r="E97" s="38" t="s">
        <v>306</v>
      </c>
      <c r="F97" s="27" t="n">
        <v>44561</v>
      </c>
      <c r="G97" s="39" t="n">
        <v>62500000</v>
      </c>
      <c r="H97" s="38" t="s">
        <v>1420</v>
      </c>
      <c r="I97" s="38" t="s">
        <v>1421</v>
      </c>
      <c r="J97" s="34" t="s">
        <v>124</v>
      </c>
      <c r="K97" s="38" t="s">
        <v>316</v>
      </c>
    </row>
    <row r="98" customFormat="false" ht="15" hidden="false" customHeight="false" outlineLevel="0" collapsed="false">
      <c r="A98" s="38" t="n">
        <v>161</v>
      </c>
      <c r="B98" s="38" t="s">
        <v>310</v>
      </c>
      <c r="C98" s="38" t="s">
        <v>310</v>
      </c>
      <c r="D98" s="38" t="n">
        <v>860002964</v>
      </c>
      <c r="E98" s="38" t="s">
        <v>306</v>
      </c>
      <c r="F98" s="27" t="n">
        <v>44561</v>
      </c>
      <c r="G98" s="39" t="n">
        <v>62500000</v>
      </c>
      <c r="H98" s="38" t="s">
        <v>1420</v>
      </c>
      <c r="I98" s="38" t="s">
        <v>1421</v>
      </c>
      <c r="J98" s="34" t="s">
        <v>124</v>
      </c>
      <c r="K98" s="38" t="s">
        <v>316</v>
      </c>
    </row>
    <row r="99" customFormat="false" ht="15" hidden="false" customHeight="false" outlineLevel="0" collapsed="false">
      <c r="A99" s="38" t="n">
        <v>162</v>
      </c>
      <c r="B99" s="38" t="s">
        <v>310</v>
      </c>
      <c r="C99" s="38" t="s">
        <v>310</v>
      </c>
      <c r="D99" s="38" t="n">
        <v>860002964</v>
      </c>
      <c r="E99" s="38" t="s">
        <v>306</v>
      </c>
      <c r="F99" s="27" t="n">
        <v>44561</v>
      </c>
      <c r="G99" s="39" t="n">
        <v>62500000</v>
      </c>
      <c r="H99" s="38" t="s">
        <v>1420</v>
      </c>
      <c r="I99" s="38" t="s">
        <v>1421</v>
      </c>
      <c r="J99" s="34" t="s">
        <v>124</v>
      </c>
      <c r="K99" s="38" t="s">
        <v>316</v>
      </c>
    </row>
    <row r="100" customFormat="false" ht="15" hidden="false" customHeight="false" outlineLevel="0" collapsed="false">
      <c r="A100" s="38" t="n">
        <v>163</v>
      </c>
      <c r="B100" s="38" t="s">
        <v>310</v>
      </c>
      <c r="C100" s="38" t="s">
        <v>310</v>
      </c>
      <c r="D100" s="38" t="n">
        <v>860002964</v>
      </c>
      <c r="E100" s="38" t="s">
        <v>306</v>
      </c>
      <c r="F100" s="27" t="n">
        <v>44561</v>
      </c>
      <c r="G100" s="39" t="n">
        <v>62500000</v>
      </c>
      <c r="H100" s="38" t="s">
        <v>1420</v>
      </c>
      <c r="I100" s="38" t="s">
        <v>1421</v>
      </c>
      <c r="J100" s="34" t="s">
        <v>124</v>
      </c>
      <c r="K100" s="38" t="s">
        <v>316</v>
      </c>
    </row>
    <row r="101" customFormat="false" ht="15" hidden="false" customHeight="false" outlineLevel="0" collapsed="false">
      <c r="A101" s="38" t="n">
        <v>164</v>
      </c>
      <c r="B101" s="38" t="s">
        <v>310</v>
      </c>
      <c r="C101" s="38" t="s">
        <v>310</v>
      </c>
      <c r="D101" s="38" t="n">
        <v>860002964</v>
      </c>
      <c r="E101" s="38" t="s">
        <v>306</v>
      </c>
      <c r="F101" s="27" t="n">
        <v>44561</v>
      </c>
      <c r="G101" s="39" t="n">
        <v>62500000</v>
      </c>
      <c r="H101" s="38" t="s">
        <v>1420</v>
      </c>
      <c r="I101" s="38" t="s">
        <v>1421</v>
      </c>
      <c r="J101" s="34" t="s">
        <v>124</v>
      </c>
      <c r="K101" s="38" t="s">
        <v>316</v>
      </c>
    </row>
    <row r="102" customFormat="false" ht="15" hidden="false" customHeight="false" outlineLevel="0" collapsed="false">
      <c r="A102" s="38" t="n">
        <v>165</v>
      </c>
      <c r="B102" s="38" t="s">
        <v>310</v>
      </c>
      <c r="C102" s="38" t="s">
        <v>310</v>
      </c>
      <c r="D102" s="38" t="n">
        <v>860002964</v>
      </c>
      <c r="E102" s="38" t="s">
        <v>306</v>
      </c>
      <c r="F102" s="27" t="n">
        <v>44561</v>
      </c>
      <c r="G102" s="39" t="n">
        <v>62500000</v>
      </c>
      <c r="H102" s="38" t="s">
        <v>1420</v>
      </c>
      <c r="I102" s="38" t="s">
        <v>1421</v>
      </c>
      <c r="J102" s="34" t="s">
        <v>124</v>
      </c>
      <c r="K102" s="38" t="s">
        <v>316</v>
      </c>
    </row>
    <row r="103" customFormat="false" ht="15" hidden="false" customHeight="false" outlineLevel="0" collapsed="false">
      <c r="A103" s="38" t="n">
        <v>166</v>
      </c>
      <c r="B103" s="38" t="s">
        <v>310</v>
      </c>
      <c r="C103" s="38" t="s">
        <v>310</v>
      </c>
      <c r="D103" s="38" t="n">
        <v>860002964</v>
      </c>
      <c r="E103" s="38" t="s">
        <v>306</v>
      </c>
      <c r="F103" s="27" t="n">
        <v>44561</v>
      </c>
      <c r="G103" s="39" t="n">
        <v>62500000</v>
      </c>
      <c r="H103" s="38" t="s">
        <v>1420</v>
      </c>
      <c r="I103" s="38" t="s">
        <v>1421</v>
      </c>
      <c r="J103" s="34" t="s">
        <v>124</v>
      </c>
      <c r="K103" s="38" t="s">
        <v>316</v>
      </c>
    </row>
    <row r="104" customFormat="false" ht="15" hidden="false" customHeight="false" outlineLevel="0" collapsed="false">
      <c r="A104" s="38" t="n">
        <v>167</v>
      </c>
      <c r="B104" s="38" t="s">
        <v>310</v>
      </c>
      <c r="C104" s="38" t="s">
        <v>310</v>
      </c>
      <c r="D104" s="38" t="n">
        <v>860002964</v>
      </c>
      <c r="E104" s="38" t="s">
        <v>306</v>
      </c>
      <c r="F104" s="27" t="n">
        <v>44561</v>
      </c>
      <c r="G104" s="39" t="n">
        <v>62500000</v>
      </c>
      <c r="H104" s="38" t="s">
        <v>1420</v>
      </c>
      <c r="I104" s="38" t="s">
        <v>1421</v>
      </c>
      <c r="J104" s="34" t="s">
        <v>124</v>
      </c>
      <c r="K104" s="38" t="s">
        <v>316</v>
      </c>
    </row>
    <row r="105" customFormat="false" ht="15" hidden="false" customHeight="false" outlineLevel="0" collapsed="false">
      <c r="A105" s="38" t="n">
        <v>168</v>
      </c>
      <c r="B105" s="38" t="s">
        <v>310</v>
      </c>
      <c r="C105" s="38" t="s">
        <v>310</v>
      </c>
      <c r="D105" s="38" t="n">
        <v>860002964</v>
      </c>
      <c r="E105" s="38" t="s">
        <v>306</v>
      </c>
      <c r="F105" s="27" t="n">
        <v>44561</v>
      </c>
      <c r="G105" s="39" t="n">
        <v>62500000</v>
      </c>
      <c r="H105" s="38" t="s">
        <v>1420</v>
      </c>
      <c r="I105" s="38" t="s">
        <v>1421</v>
      </c>
      <c r="J105" s="34" t="s">
        <v>124</v>
      </c>
      <c r="K105" s="38" t="s">
        <v>316</v>
      </c>
    </row>
    <row r="106" customFormat="false" ht="15" hidden="false" customHeight="false" outlineLevel="0" collapsed="false">
      <c r="A106" s="38" t="n">
        <v>169</v>
      </c>
      <c r="B106" s="38" t="s">
        <v>310</v>
      </c>
      <c r="C106" s="38" t="s">
        <v>310</v>
      </c>
      <c r="D106" s="38" t="n">
        <v>860002964</v>
      </c>
      <c r="E106" s="38" t="s">
        <v>306</v>
      </c>
      <c r="F106" s="27" t="n">
        <v>44561</v>
      </c>
      <c r="G106" s="39" t="n">
        <v>62500000</v>
      </c>
      <c r="H106" s="38" t="s">
        <v>1420</v>
      </c>
      <c r="I106" s="38" t="s">
        <v>1421</v>
      </c>
      <c r="J106" s="34" t="s">
        <v>124</v>
      </c>
      <c r="K106" s="38" t="s">
        <v>316</v>
      </c>
    </row>
    <row r="107" customFormat="false" ht="15" hidden="false" customHeight="false" outlineLevel="0" collapsed="false">
      <c r="A107" s="38" t="n">
        <v>170</v>
      </c>
      <c r="B107" s="38" t="s">
        <v>310</v>
      </c>
      <c r="C107" s="38" t="s">
        <v>310</v>
      </c>
      <c r="D107" s="38" t="n">
        <v>860002964</v>
      </c>
      <c r="E107" s="38" t="s">
        <v>306</v>
      </c>
      <c r="F107" s="27" t="n">
        <v>44561</v>
      </c>
      <c r="G107" s="39" t="n">
        <v>62500000</v>
      </c>
      <c r="H107" s="38" t="s">
        <v>1420</v>
      </c>
      <c r="I107" s="38" t="s">
        <v>1421</v>
      </c>
      <c r="J107" s="34" t="s">
        <v>124</v>
      </c>
      <c r="K107" s="38" t="s">
        <v>316</v>
      </c>
    </row>
    <row r="108" customFormat="false" ht="15" hidden="false" customHeight="false" outlineLevel="0" collapsed="false">
      <c r="A108" s="38" t="n">
        <v>171</v>
      </c>
      <c r="B108" s="38" t="s">
        <v>310</v>
      </c>
      <c r="C108" s="38" t="s">
        <v>310</v>
      </c>
      <c r="D108" s="38" t="n">
        <v>860002964</v>
      </c>
      <c r="E108" s="38" t="s">
        <v>306</v>
      </c>
      <c r="F108" s="27" t="n">
        <v>44561</v>
      </c>
      <c r="G108" s="39" t="n">
        <v>62500000</v>
      </c>
      <c r="H108" s="38" t="s">
        <v>1420</v>
      </c>
      <c r="I108" s="38" t="s">
        <v>1421</v>
      </c>
      <c r="J108" s="34" t="s">
        <v>124</v>
      </c>
      <c r="K108" s="38" t="s">
        <v>316</v>
      </c>
    </row>
    <row r="109" customFormat="false" ht="15" hidden="false" customHeight="false" outlineLevel="0" collapsed="false">
      <c r="A109" s="38" t="n">
        <v>172</v>
      </c>
      <c r="B109" s="38" t="s">
        <v>310</v>
      </c>
      <c r="C109" s="38" t="s">
        <v>310</v>
      </c>
      <c r="D109" s="38" t="n">
        <v>860002964</v>
      </c>
      <c r="E109" s="38" t="s">
        <v>306</v>
      </c>
      <c r="F109" s="27" t="n">
        <v>44561</v>
      </c>
      <c r="G109" s="39" t="n">
        <v>62500000</v>
      </c>
      <c r="H109" s="38" t="s">
        <v>1420</v>
      </c>
      <c r="I109" s="38" t="s">
        <v>1421</v>
      </c>
      <c r="J109" s="34" t="s">
        <v>124</v>
      </c>
      <c r="K109" s="38" t="s">
        <v>316</v>
      </c>
    </row>
    <row r="110" customFormat="false" ht="15" hidden="false" customHeight="false" outlineLevel="0" collapsed="false">
      <c r="A110" s="38" t="n">
        <v>173</v>
      </c>
      <c r="B110" s="38" t="s">
        <v>310</v>
      </c>
      <c r="C110" s="38" t="s">
        <v>310</v>
      </c>
      <c r="D110" s="38" t="n">
        <v>860002964</v>
      </c>
      <c r="E110" s="38" t="s">
        <v>306</v>
      </c>
      <c r="F110" s="27" t="n">
        <v>44561</v>
      </c>
      <c r="G110" s="39" t="n">
        <v>62500000</v>
      </c>
      <c r="H110" s="38" t="s">
        <v>1420</v>
      </c>
      <c r="I110" s="38" t="s">
        <v>1421</v>
      </c>
      <c r="J110" s="34" t="s">
        <v>124</v>
      </c>
      <c r="K110" s="38" t="s">
        <v>316</v>
      </c>
    </row>
    <row r="111" customFormat="false" ht="15" hidden="false" customHeight="false" outlineLevel="0" collapsed="false">
      <c r="A111" s="38" t="n">
        <v>174</v>
      </c>
      <c r="B111" s="38" t="s">
        <v>310</v>
      </c>
      <c r="C111" s="38" t="s">
        <v>310</v>
      </c>
      <c r="D111" s="38" t="n">
        <v>860002964</v>
      </c>
      <c r="E111" s="38" t="s">
        <v>306</v>
      </c>
      <c r="F111" s="27" t="n">
        <v>44561</v>
      </c>
      <c r="G111" s="39" t="n">
        <v>62500000</v>
      </c>
      <c r="H111" s="38" t="s">
        <v>1420</v>
      </c>
      <c r="I111" s="38" t="s">
        <v>1421</v>
      </c>
      <c r="J111" s="34" t="s">
        <v>124</v>
      </c>
      <c r="K111" s="38" t="s">
        <v>316</v>
      </c>
    </row>
    <row r="112" customFormat="false" ht="15" hidden="false" customHeight="false" outlineLevel="0" collapsed="false">
      <c r="A112" s="38" t="n">
        <v>175</v>
      </c>
      <c r="B112" s="38" t="s">
        <v>310</v>
      </c>
      <c r="C112" s="38" t="s">
        <v>310</v>
      </c>
      <c r="D112" s="38" t="n">
        <v>860002964</v>
      </c>
      <c r="E112" s="38" t="s">
        <v>306</v>
      </c>
      <c r="F112" s="27" t="n">
        <v>44561</v>
      </c>
      <c r="G112" s="39" t="n">
        <v>62500000</v>
      </c>
      <c r="H112" s="38" t="s">
        <v>1420</v>
      </c>
      <c r="I112" s="38" t="s">
        <v>1421</v>
      </c>
      <c r="J112" s="34" t="s">
        <v>124</v>
      </c>
      <c r="K112" s="38" t="s">
        <v>316</v>
      </c>
    </row>
    <row r="113" customFormat="false" ht="15" hidden="false" customHeight="false" outlineLevel="0" collapsed="false">
      <c r="A113" s="38" t="n">
        <v>176</v>
      </c>
      <c r="B113" s="38" t="s">
        <v>310</v>
      </c>
      <c r="C113" s="38" t="s">
        <v>310</v>
      </c>
      <c r="D113" s="38" t="n">
        <v>860002964</v>
      </c>
      <c r="E113" s="38" t="s">
        <v>306</v>
      </c>
      <c r="F113" s="27" t="n">
        <v>44561</v>
      </c>
      <c r="G113" s="39" t="n">
        <v>62500000</v>
      </c>
      <c r="H113" s="38" t="s">
        <v>1420</v>
      </c>
      <c r="I113" s="38" t="s">
        <v>1421</v>
      </c>
      <c r="J113" s="34" t="s">
        <v>124</v>
      </c>
      <c r="K113" s="38" t="s">
        <v>316</v>
      </c>
    </row>
    <row r="114" customFormat="false" ht="15" hidden="false" customHeight="false" outlineLevel="0" collapsed="false">
      <c r="A114" s="38" t="n">
        <v>177</v>
      </c>
      <c r="B114" s="38" t="s">
        <v>310</v>
      </c>
      <c r="C114" s="38" t="s">
        <v>310</v>
      </c>
      <c r="D114" s="38" t="n">
        <v>860002964</v>
      </c>
      <c r="E114" s="38" t="s">
        <v>306</v>
      </c>
      <c r="F114" s="27" t="n">
        <v>44561</v>
      </c>
      <c r="G114" s="39" t="n">
        <v>62500000</v>
      </c>
      <c r="H114" s="38" t="s">
        <v>1420</v>
      </c>
      <c r="I114" s="38" t="s">
        <v>1421</v>
      </c>
      <c r="J114" s="34" t="s">
        <v>124</v>
      </c>
      <c r="K114" s="38" t="s">
        <v>316</v>
      </c>
    </row>
    <row r="115" customFormat="false" ht="15" hidden="false" customHeight="false" outlineLevel="0" collapsed="false">
      <c r="A115" s="38" t="n">
        <v>178</v>
      </c>
      <c r="B115" s="38" t="s">
        <v>310</v>
      </c>
      <c r="C115" s="38" t="s">
        <v>310</v>
      </c>
      <c r="D115" s="38" t="n">
        <v>860002964</v>
      </c>
      <c r="E115" s="38" t="s">
        <v>306</v>
      </c>
      <c r="F115" s="27" t="n">
        <v>44561</v>
      </c>
      <c r="G115" s="39" t="n">
        <v>62500000</v>
      </c>
      <c r="H115" s="38" t="s">
        <v>1420</v>
      </c>
      <c r="I115" s="38" t="s">
        <v>1421</v>
      </c>
      <c r="J115" s="34" t="s">
        <v>124</v>
      </c>
      <c r="K115" s="38" t="s">
        <v>316</v>
      </c>
    </row>
    <row r="116" customFormat="false" ht="15" hidden="false" customHeight="false" outlineLevel="0" collapsed="false">
      <c r="A116" s="38" t="n">
        <v>179</v>
      </c>
      <c r="B116" s="38" t="s">
        <v>310</v>
      </c>
      <c r="C116" s="38" t="s">
        <v>310</v>
      </c>
      <c r="D116" s="38" t="n">
        <v>860002964</v>
      </c>
      <c r="E116" s="38" t="s">
        <v>306</v>
      </c>
      <c r="F116" s="27" t="n">
        <v>44561</v>
      </c>
      <c r="G116" s="39" t="n">
        <v>62500000</v>
      </c>
      <c r="H116" s="38" t="s">
        <v>1420</v>
      </c>
      <c r="I116" s="38" t="s">
        <v>1421</v>
      </c>
      <c r="J116" s="34" t="s">
        <v>124</v>
      </c>
      <c r="K116" s="38" t="s">
        <v>316</v>
      </c>
    </row>
    <row r="117" customFormat="false" ht="15" hidden="false" customHeight="false" outlineLevel="0" collapsed="false">
      <c r="A117" s="38" t="n">
        <v>180</v>
      </c>
      <c r="B117" s="38" t="s">
        <v>310</v>
      </c>
      <c r="C117" s="38" t="s">
        <v>310</v>
      </c>
      <c r="D117" s="38" t="n">
        <v>860002964</v>
      </c>
      <c r="E117" s="38" t="s">
        <v>306</v>
      </c>
      <c r="F117" s="27" t="n">
        <v>44561</v>
      </c>
      <c r="G117" s="39" t="n">
        <v>62500000</v>
      </c>
      <c r="H117" s="38" t="s">
        <v>1420</v>
      </c>
      <c r="I117" s="38" t="s">
        <v>1421</v>
      </c>
      <c r="J117" s="34" t="s">
        <v>124</v>
      </c>
      <c r="K117" s="38" t="s">
        <v>316</v>
      </c>
    </row>
    <row r="118" customFormat="false" ht="15" hidden="false" customHeight="false" outlineLevel="0" collapsed="false">
      <c r="A118" s="38" t="n">
        <v>181</v>
      </c>
      <c r="B118" s="38" t="s">
        <v>310</v>
      </c>
      <c r="C118" s="38" t="s">
        <v>310</v>
      </c>
      <c r="D118" s="38" t="n">
        <v>860002964</v>
      </c>
      <c r="E118" s="38" t="s">
        <v>306</v>
      </c>
      <c r="F118" s="27" t="n">
        <v>45163</v>
      </c>
      <c r="G118" s="39" t="n">
        <v>1000000000</v>
      </c>
      <c r="H118" s="38" t="s">
        <v>1422</v>
      </c>
      <c r="I118" s="38" t="s">
        <v>1423</v>
      </c>
      <c r="J118" s="34" t="s">
        <v>126</v>
      </c>
      <c r="K118" s="38" t="s">
        <v>316</v>
      </c>
    </row>
    <row r="119" customFormat="false" ht="15" hidden="false" customHeight="false" outlineLevel="0" collapsed="false">
      <c r="A119" s="38" t="n">
        <v>182</v>
      </c>
      <c r="B119" s="38" t="s">
        <v>1433</v>
      </c>
      <c r="C119" s="38" t="s">
        <v>93</v>
      </c>
      <c r="D119" s="38" t="s">
        <v>1434</v>
      </c>
      <c r="E119" s="38" t="s">
        <v>372</v>
      </c>
      <c r="F119" s="27" t="n">
        <v>45925</v>
      </c>
      <c r="G119" s="39" t="n">
        <v>170408.8</v>
      </c>
      <c r="H119" s="38" t="s">
        <v>1435</v>
      </c>
      <c r="I119" s="38" t="s">
        <v>1414</v>
      </c>
      <c r="J119" s="34" t="s">
        <v>352</v>
      </c>
      <c r="K119" s="38" t="s">
        <v>353</v>
      </c>
    </row>
    <row r="120" customFormat="false" ht="15" hidden="false" customHeight="false" outlineLevel="0" collapsed="false">
      <c r="A120" s="38" t="n">
        <v>183</v>
      </c>
      <c r="B120" s="38" t="s">
        <v>1433</v>
      </c>
      <c r="C120" s="38" t="s">
        <v>93</v>
      </c>
      <c r="D120" s="38" t="n">
        <v>900963507</v>
      </c>
      <c r="E120" s="38" t="s">
        <v>503</v>
      </c>
      <c r="F120" s="27" t="n">
        <v>45322</v>
      </c>
      <c r="G120" s="39" t="n">
        <v>5510003.45</v>
      </c>
      <c r="H120" s="38" t="s">
        <v>1436</v>
      </c>
      <c r="I120" s="38" t="s">
        <v>1437</v>
      </c>
      <c r="J120" s="34" t="s">
        <v>352</v>
      </c>
      <c r="K120" s="38" t="s">
        <v>353</v>
      </c>
    </row>
    <row r="121" customFormat="false" ht="15" hidden="false" customHeight="false" outlineLevel="0" collapsed="false">
      <c r="A121" s="38" t="n">
        <v>184</v>
      </c>
      <c r="B121" s="38" t="s">
        <v>1433</v>
      </c>
      <c r="C121" s="38" t="s">
        <v>93</v>
      </c>
      <c r="D121" s="38" t="n">
        <v>901559685</v>
      </c>
      <c r="E121" s="38" t="s">
        <v>697</v>
      </c>
      <c r="F121" s="27" t="n">
        <v>45808</v>
      </c>
      <c r="G121" s="39" t="n">
        <v>177500</v>
      </c>
      <c r="H121" s="38" t="s">
        <v>1438</v>
      </c>
      <c r="I121" s="38" t="s">
        <v>1439</v>
      </c>
      <c r="J121" s="34" t="s">
        <v>352</v>
      </c>
      <c r="K121" s="38" t="s">
        <v>353</v>
      </c>
    </row>
    <row r="122" customFormat="false" ht="15" hidden="false" customHeight="false" outlineLevel="0" collapsed="false">
      <c r="A122" s="38" t="n">
        <v>185</v>
      </c>
      <c r="B122" s="38" t="s">
        <v>1433</v>
      </c>
      <c r="C122" s="38" t="s">
        <v>93</v>
      </c>
      <c r="D122" s="38" t="n">
        <v>900714458</v>
      </c>
      <c r="E122" s="38" t="s">
        <v>676</v>
      </c>
      <c r="F122" s="27" t="n">
        <v>45546</v>
      </c>
      <c r="G122" s="39" t="n">
        <v>1100000.3</v>
      </c>
      <c r="H122" s="38" t="s">
        <v>1440</v>
      </c>
      <c r="I122" s="38" t="s">
        <v>1441</v>
      </c>
      <c r="J122" s="34" t="s">
        <v>352</v>
      </c>
      <c r="K122" s="38" t="s">
        <v>353</v>
      </c>
    </row>
    <row r="123" customFormat="false" ht="15" hidden="false" customHeight="false" outlineLevel="0" collapsed="false">
      <c r="A123" s="38" t="n">
        <v>186</v>
      </c>
      <c r="B123" s="38" t="s">
        <v>1433</v>
      </c>
      <c r="C123" s="38" t="s">
        <v>93</v>
      </c>
      <c r="D123" s="38" t="n">
        <v>901757708</v>
      </c>
      <c r="E123" s="38" t="s">
        <v>714</v>
      </c>
      <c r="F123" s="27" t="n">
        <v>45546</v>
      </c>
      <c r="G123" s="39" t="n">
        <v>521382.47</v>
      </c>
      <c r="H123" s="38" t="s">
        <v>1442</v>
      </c>
      <c r="I123" s="38" t="s">
        <v>1443</v>
      </c>
      <c r="J123" s="34" t="s">
        <v>352</v>
      </c>
      <c r="K123" s="38" t="s">
        <v>353</v>
      </c>
    </row>
    <row r="124" customFormat="false" ht="15" hidden="false" customHeight="false" outlineLevel="0" collapsed="false">
      <c r="A124" s="38" t="n">
        <v>187</v>
      </c>
      <c r="B124" s="38" t="s">
        <v>1433</v>
      </c>
      <c r="C124" s="38" t="s">
        <v>93</v>
      </c>
      <c r="D124" s="38" t="n">
        <v>900596089</v>
      </c>
      <c r="E124" s="38" t="s">
        <v>729</v>
      </c>
      <c r="F124" s="27" t="n">
        <v>45288</v>
      </c>
      <c r="G124" s="39" t="n">
        <v>2480005.22</v>
      </c>
      <c r="H124" s="38" t="s">
        <v>1444</v>
      </c>
      <c r="I124" s="38" t="s">
        <v>1445</v>
      </c>
      <c r="J124" s="34" t="s">
        <v>352</v>
      </c>
      <c r="K124" s="38" t="s">
        <v>353</v>
      </c>
    </row>
    <row r="125" customFormat="false" ht="15" hidden="false" customHeight="false" outlineLevel="0" collapsed="false">
      <c r="A125" s="38" t="n">
        <v>188</v>
      </c>
      <c r="B125" s="38" t="s">
        <v>1433</v>
      </c>
      <c r="C125" s="38" t="s">
        <v>93</v>
      </c>
      <c r="D125" s="38" t="n">
        <v>444444463</v>
      </c>
      <c r="E125" s="38" t="s">
        <v>502</v>
      </c>
      <c r="F125" s="27" t="n">
        <v>45657</v>
      </c>
      <c r="G125" s="39" t="n">
        <v>4349883.43</v>
      </c>
      <c r="H125" s="38" t="s">
        <v>1446</v>
      </c>
      <c r="I125" s="38" t="s">
        <v>1447</v>
      </c>
      <c r="J125" s="34" t="s">
        <v>352</v>
      </c>
      <c r="K125" s="38" t="s">
        <v>353</v>
      </c>
    </row>
    <row r="126" customFormat="false" ht="15" hidden="false" customHeight="false" outlineLevel="0" collapsed="false">
      <c r="A126" s="38" t="n">
        <v>189</v>
      </c>
      <c r="B126" s="38" t="s">
        <v>1433</v>
      </c>
      <c r="C126" s="38" t="s">
        <v>93</v>
      </c>
      <c r="D126" s="38" t="n">
        <v>900113654</v>
      </c>
      <c r="E126" s="38" t="s">
        <v>386</v>
      </c>
      <c r="F126" s="27" t="n">
        <v>45657</v>
      </c>
      <c r="G126" s="39" t="n">
        <v>329935.88</v>
      </c>
      <c r="H126" s="38" t="s">
        <v>1446</v>
      </c>
      <c r="I126" s="38" t="s">
        <v>1448</v>
      </c>
      <c r="J126" s="34" t="s">
        <v>352</v>
      </c>
      <c r="K126" s="38" t="s">
        <v>353</v>
      </c>
    </row>
    <row r="127" customFormat="false" ht="15" hidden="false" customHeight="false" outlineLevel="0" collapsed="false">
      <c r="A127" s="38" t="n">
        <v>190</v>
      </c>
      <c r="B127" s="38" t="s">
        <v>1433</v>
      </c>
      <c r="C127" s="38" t="s">
        <v>93</v>
      </c>
      <c r="D127" s="38" t="n">
        <v>860006864</v>
      </c>
      <c r="E127" s="38" t="s">
        <v>387</v>
      </c>
      <c r="F127" s="27" t="n">
        <v>45685</v>
      </c>
      <c r="G127" s="39" t="n">
        <v>0.65</v>
      </c>
      <c r="H127" s="38" t="s">
        <v>1449</v>
      </c>
      <c r="I127" s="38" t="s">
        <v>1450</v>
      </c>
      <c r="J127" s="34" t="s">
        <v>352</v>
      </c>
      <c r="K127" s="38" t="s">
        <v>353</v>
      </c>
    </row>
    <row r="128" customFormat="false" ht="15" hidden="false" customHeight="false" outlineLevel="0" collapsed="false">
      <c r="A128" s="38" t="n">
        <v>191</v>
      </c>
      <c r="B128" s="38" t="s">
        <v>1433</v>
      </c>
      <c r="C128" s="38" t="s">
        <v>93</v>
      </c>
      <c r="D128" s="38" t="n">
        <v>800215775</v>
      </c>
      <c r="E128" s="38" t="s">
        <v>735</v>
      </c>
      <c r="F128" s="27" t="n">
        <v>45688</v>
      </c>
      <c r="G128" s="39" t="n">
        <v>290912.57</v>
      </c>
      <c r="H128" s="38" t="s">
        <v>1451</v>
      </c>
      <c r="I128" s="38" t="s">
        <v>1452</v>
      </c>
      <c r="J128" s="34" t="s">
        <v>352</v>
      </c>
      <c r="K128" s="38" t="s">
        <v>353</v>
      </c>
    </row>
    <row r="129" customFormat="false" ht="15" hidden="false" customHeight="false" outlineLevel="0" collapsed="false">
      <c r="A129" s="38" t="n">
        <v>192</v>
      </c>
      <c r="B129" s="38" t="s">
        <v>1433</v>
      </c>
      <c r="C129" s="38" t="s">
        <v>93</v>
      </c>
      <c r="D129" s="38" t="n">
        <v>860041021</v>
      </c>
      <c r="E129" s="38" t="s">
        <v>745</v>
      </c>
      <c r="F129" s="27" t="n">
        <v>45656</v>
      </c>
      <c r="G129" s="39" t="n">
        <v>933400</v>
      </c>
      <c r="H129" s="38" t="s">
        <v>1453</v>
      </c>
      <c r="I129" s="38" t="s">
        <v>1454</v>
      </c>
      <c r="J129" s="34" t="s">
        <v>352</v>
      </c>
      <c r="K129" s="38" t="s">
        <v>353</v>
      </c>
    </row>
    <row r="130" customFormat="false" ht="15" hidden="false" customHeight="false" outlineLevel="0" collapsed="false">
      <c r="A130" s="38" t="n">
        <v>193</v>
      </c>
      <c r="B130" s="38" t="s">
        <v>1433</v>
      </c>
      <c r="C130" s="38" t="s">
        <v>93</v>
      </c>
      <c r="D130" s="38" t="n">
        <v>900134367</v>
      </c>
      <c r="E130" s="38" t="s">
        <v>675</v>
      </c>
      <c r="F130" s="27" t="n">
        <v>45546</v>
      </c>
      <c r="G130" s="39" t="n">
        <v>389899.93</v>
      </c>
      <c r="H130" s="38" t="s">
        <v>1455</v>
      </c>
      <c r="I130" s="38" t="s">
        <v>1456</v>
      </c>
      <c r="J130" s="34" t="s">
        <v>352</v>
      </c>
      <c r="K130" s="38" t="s">
        <v>353</v>
      </c>
    </row>
    <row r="131" customFormat="false" ht="15" hidden="false" customHeight="false" outlineLevel="0" collapsed="false">
      <c r="A131" s="38" t="n">
        <v>194</v>
      </c>
      <c r="B131" s="38" t="s">
        <v>1433</v>
      </c>
      <c r="C131" s="38" t="s">
        <v>93</v>
      </c>
      <c r="D131" s="38" t="n">
        <v>900652574</v>
      </c>
      <c r="E131" s="38" t="s">
        <v>599</v>
      </c>
      <c r="F131" s="27" t="n">
        <v>45546</v>
      </c>
      <c r="G131" s="39" t="n">
        <v>190500</v>
      </c>
      <c r="H131" s="38" t="s">
        <v>1457</v>
      </c>
      <c r="I131" s="38" t="s">
        <v>1458</v>
      </c>
      <c r="J131" s="34" t="s">
        <v>352</v>
      </c>
      <c r="K131" s="38" t="s">
        <v>353</v>
      </c>
    </row>
    <row r="132" customFormat="false" ht="15" hidden="false" customHeight="false" outlineLevel="0" collapsed="false">
      <c r="A132" s="38" t="n">
        <v>195</v>
      </c>
      <c r="B132" s="38" t="s">
        <v>1433</v>
      </c>
      <c r="C132" s="38" t="s">
        <v>93</v>
      </c>
      <c r="D132" s="38" t="n">
        <v>900395158</v>
      </c>
      <c r="E132" s="38" t="s">
        <v>504</v>
      </c>
      <c r="F132" s="27" t="n">
        <v>45626</v>
      </c>
      <c r="G132" s="39" t="n">
        <v>190699.88</v>
      </c>
      <c r="H132" s="38" t="s">
        <v>1459</v>
      </c>
      <c r="I132" s="38" t="s">
        <v>1460</v>
      </c>
      <c r="J132" s="34" t="s">
        <v>352</v>
      </c>
      <c r="K132" s="38" t="s">
        <v>353</v>
      </c>
    </row>
    <row r="133" customFormat="false" ht="15" hidden="false" customHeight="false" outlineLevel="0" collapsed="false">
      <c r="A133" s="38" t="n">
        <v>196</v>
      </c>
      <c r="B133" s="38" t="s">
        <v>1433</v>
      </c>
      <c r="C133" s="38" t="s">
        <v>93</v>
      </c>
      <c r="D133" s="38" t="n">
        <v>860076919</v>
      </c>
      <c r="E133" s="38" t="s">
        <v>501</v>
      </c>
      <c r="F133" s="27" t="n">
        <v>45535</v>
      </c>
      <c r="G133" s="39" t="n">
        <v>547100</v>
      </c>
      <c r="H133" s="38" t="s">
        <v>1461</v>
      </c>
      <c r="I133" s="38" t="s">
        <v>1462</v>
      </c>
      <c r="J133" s="34" t="s">
        <v>352</v>
      </c>
      <c r="K133" s="38" t="s">
        <v>353</v>
      </c>
    </row>
    <row r="134" customFormat="false" ht="15" hidden="false" customHeight="false" outlineLevel="0" collapsed="false">
      <c r="A134" s="38" t="n">
        <v>197</v>
      </c>
      <c r="B134" s="38" t="s">
        <v>1433</v>
      </c>
      <c r="C134" s="38" t="s">
        <v>93</v>
      </c>
      <c r="D134" s="38" t="n">
        <v>805006014</v>
      </c>
      <c r="E134" s="38" t="s">
        <v>505</v>
      </c>
      <c r="F134" s="27" t="n">
        <v>45952</v>
      </c>
      <c r="G134" s="39" t="n">
        <v>304600</v>
      </c>
      <c r="H134" s="38" t="s">
        <v>1463</v>
      </c>
      <c r="I134" s="38" t="s">
        <v>1464</v>
      </c>
      <c r="J134" s="34" t="s">
        <v>352</v>
      </c>
      <c r="K134" s="38" t="s">
        <v>353</v>
      </c>
    </row>
    <row r="135" customFormat="false" ht="15" hidden="false" customHeight="false" outlineLevel="0" collapsed="false">
      <c r="A135" s="38" t="n">
        <v>198</v>
      </c>
      <c r="B135" s="38" t="s">
        <v>1433</v>
      </c>
      <c r="C135" s="38" t="s">
        <v>93</v>
      </c>
      <c r="D135" s="38" t="n">
        <v>805006014</v>
      </c>
      <c r="E135" s="38" t="s">
        <v>505</v>
      </c>
      <c r="F135" s="27" t="n">
        <v>45952</v>
      </c>
      <c r="G135" s="39" t="n">
        <v>217000</v>
      </c>
      <c r="H135" s="38" t="s">
        <v>1465</v>
      </c>
      <c r="I135" s="38" t="s">
        <v>1466</v>
      </c>
      <c r="J135" s="34" t="s">
        <v>352</v>
      </c>
      <c r="K135" s="38" t="s">
        <v>353</v>
      </c>
    </row>
    <row r="136" customFormat="false" ht="15" hidden="false" customHeight="false" outlineLevel="0" collapsed="false">
      <c r="A136" s="38" t="n">
        <v>199</v>
      </c>
      <c r="B136" s="38" t="s">
        <v>1433</v>
      </c>
      <c r="C136" s="38" t="s">
        <v>93</v>
      </c>
      <c r="D136" s="38" t="n">
        <v>800200139</v>
      </c>
      <c r="E136" s="38" t="s">
        <v>734</v>
      </c>
      <c r="F136" s="27" t="n">
        <v>45991</v>
      </c>
      <c r="G136" s="39" t="n">
        <v>1046849.43</v>
      </c>
      <c r="H136" s="38" t="s">
        <v>1467</v>
      </c>
      <c r="I136" s="38" t="s">
        <v>1468</v>
      </c>
      <c r="J136" s="34" t="s">
        <v>352</v>
      </c>
      <c r="K136" s="38" t="s">
        <v>353</v>
      </c>
    </row>
    <row r="137" customFormat="false" ht="15" hidden="false" customHeight="false" outlineLevel="0" collapsed="false">
      <c r="A137" s="38" t="n">
        <v>200</v>
      </c>
      <c r="B137" s="38" t="s">
        <v>1433</v>
      </c>
      <c r="C137" s="38" t="s">
        <v>93</v>
      </c>
      <c r="D137" s="38" t="n">
        <v>805006014</v>
      </c>
      <c r="E137" s="38" t="s">
        <v>505</v>
      </c>
      <c r="F137" s="27" t="n">
        <v>45979</v>
      </c>
      <c r="G137" s="39" t="n">
        <v>415900</v>
      </c>
      <c r="H137" s="38" t="s">
        <v>1469</v>
      </c>
      <c r="I137" s="38" t="s">
        <v>1470</v>
      </c>
      <c r="J137" s="34" t="s">
        <v>352</v>
      </c>
      <c r="K137" s="38" t="s">
        <v>353</v>
      </c>
    </row>
    <row r="138" customFormat="false" ht="15" hidden="false" customHeight="false" outlineLevel="0" collapsed="false">
      <c r="A138" s="38" t="n">
        <v>201</v>
      </c>
      <c r="B138" s="38" t="s">
        <v>1433</v>
      </c>
      <c r="C138" s="38" t="s">
        <v>93</v>
      </c>
      <c r="D138" s="38" t="n">
        <v>805006014</v>
      </c>
      <c r="E138" s="38" t="s">
        <v>505</v>
      </c>
      <c r="F138" s="27" t="n">
        <v>45989</v>
      </c>
      <c r="G138" s="39" t="n">
        <v>318500</v>
      </c>
      <c r="H138" s="38" t="s">
        <v>1471</v>
      </c>
      <c r="I138" s="38" t="s">
        <v>1472</v>
      </c>
      <c r="J138" s="34" t="s">
        <v>352</v>
      </c>
      <c r="K138" s="38" t="s">
        <v>353</v>
      </c>
    </row>
    <row r="139" customFormat="false" ht="15" hidden="false" customHeight="false" outlineLevel="0" collapsed="false">
      <c r="A139" s="38" t="n">
        <v>202</v>
      </c>
      <c r="B139" s="38" t="s">
        <v>1433</v>
      </c>
      <c r="C139" s="38" t="s">
        <v>93</v>
      </c>
      <c r="D139" s="38" t="n">
        <v>805006014</v>
      </c>
      <c r="E139" s="38" t="s">
        <v>505</v>
      </c>
      <c r="F139" s="27" t="n">
        <v>46015</v>
      </c>
      <c r="G139" s="39" t="n">
        <v>217000</v>
      </c>
      <c r="H139" s="38" t="s">
        <v>1473</v>
      </c>
      <c r="I139" s="38" t="s">
        <v>1474</v>
      </c>
      <c r="J139" s="34" t="s">
        <v>352</v>
      </c>
      <c r="K139" s="38" t="s">
        <v>353</v>
      </c>
    </row>
    <row r="140" customFormat="false" ht="15" hidden="false" customHeight="false" outlineLevel="0" collapsed="false">
      <c r="A140" s="38" t="n">
        <v>203</v>
      </c>
      <c r="B140" s="38" t="s">
        <v>1433</v>
      </c>
      <c r="C140" s="38" t="s">
        <v>93</v>
      </c>
      <c r="D140" s="38" t="n">
        <v>805006014</v>
      </c>
      <c r="E140" s="38" t="s">
        <v>505</v>
      </c>
      <c r="F140" s="27" t="n">
        <v>46010</v>
      </c>
      <c r="G140" s="39" t="n">
        <v>304600</v>
      </c>
      <c r="H140" s="38" t="s">
        <v>1475</v>
      </c>
      <c r="I140" s="38" t="s">
        <v>1476</v>
      </c>
      <c r="J140" s="34" t="s">
        <v>352</v>
      </c>
      <c r="K140" s="38" t="s">
        <v>353</v>
      </c>
    </row>
    <row r="141" customFormat="false" ht="15" hidden="false" customHeight="false" outlineLevel="0" collapsed="false">
      <c r="A141" s="38" t="n">
        <v>204</v>
      </c>
      <c r="B141" s="38" t="s">
        <v>1433</v>
      </c>
      <c r="C141" s="38" t="s">
        <v>93</v>
      </c>
      <c r="D141" s="38" t="n">
        <v>805006014</v>
      </c>
      <c r="E141" s="38" t="s">
        <v>505</v>
      </c>
      <c r="F141" s="27" t="n">
        <v>46010</v>
      </c>
      <c r="G141" s="39" t="n">
        <v>415900</v>
      </c>
      <c r="H141" s="38" t="s">
        <v>1477</v>
      </c>
      <c r="I141" s="38" t="s">
        <v>1478</v>
      </c>
      <c r="J141" s="34" t="s">
        <v>352</v>
      </c>
      <c r="K141" s="38" t="s">
        <v>353</v>
      </c>
    </row>
    <row r="142" customFormat="false" ht="15" hidden="false" customHeight="false" outlineLevel="0" collapsed="false">
      <c r="A142" s="38" t="n">
        <v>205</v>
      </c>
      <c r="B142" s="38" t="s">
        <v>1433</v>
      </c>
      <c r="C142" s="38" t="s">
        <v>93</v>
      </c>
      <c r="D142" s="38" t="n">
        <v>805006014</v>
      </c>
      <c r="E142" s="38" t="s">
        <v>505</v>
      </c>
      <c r="F142" s="27" t="n">
        <v>46015</v>
      </c>
      <c r="G142" s="39" t="n">
        <v>501700</v>
      </c>
      <c r="H142" s="38" t="s">
        <v>1479</v>
      </c>
      <c r="I142" s="38" t="s">
        <v>1480</v>
      </c>
      <c r="J142" s="34" t="s">
        <v>352</v>
      </c>
      <c r="K142" s="38" t="s">
        <v>353</v>
      </c>
    </row>
    <row r="143" customFormat="false" ht="15" hidden="false" customHeight="false" outlineLevel="0" collapsed="false">
      <c r="A143" s="38" t="n">
        <v>206</v>
      </c>
      <c r="B143" s="38" t="s">
        <v>1433</v>
      </c>
      <c r="C143" s="38" t="s">
        <v>93</v>
      </c>
      <c r="D143" s="38" t="n">
        <v>805006014</v>
      </c>
      <c r="E143" s="38" t="s">
        <v>505</v>
      </c>
      <c r="F143" s="27" t="n">
        <v>46021</v>
      </c>
      <c r="G143" s="39" t="n">
        <v>318500</v>
      </c>
      <c r="H143" s="38" t="s">
        <v>1481</v>
      </c>
      <c r="I143" s="38" t="s">
        <v>1482</v>
      </c>
      <c r="J143" s="34" t="s">
        <v>352</v>
      </c>
      <c r="K143" s="38" t="s">
        <v>353</v>
      </c>
    </row>
    <row r="144" customFormat="false" ht="15" hidden="false" customHeight="false" outlineLevel="0" collapsed="false">
      <c r="A144" s="38" t="n">
        <v>207</v>
      </c>
      <c r="B144" s="38" t="s">
        <v>1433</v>
      </c>
      <c r="C144" s="38" t="s">
        <v>93</v>
      </c>
      <c r="D144" s="38" t="n">
        <v>805006014</v>
      </c>
      <c r="E144" s="38" t="s">
        <v>505</v>
      </c>
      <c r="F144" s="27" t="n">
        <v>46021</v>
      </c>
      <c r="G144" s="39" t="n">
        <v>275600</v>
      </c>
      <c r="H144" s="38" t="s">
        <v>1483</v>
      </c>
      <c r="I144" s="38" t="s">
        <v>1484</v>
      </c>
      <c r="J144" s="34" t="s">
        <v>352</v>
      </c>
      <c r="K144" s="38" t="s">
        <v>353</v>
      </c>
    </row>
    <row r="145" customFormat="false" ht="15" hidden="false" customHeight="false" outlineLevel="0" collapsed="false">
      <c r="A145" s="38" t="n">
        <v>208</v>
      </c>
      <c r="B145" s="38" t="s">
        <v>1433</v>
      </c>
      <c r="C145" s="38" t="s">
        <v>93</v>
      </c>
      <c r="D145" s="38" t="n">
        <v>805006014</v>
      </c>
      <c r="E145" s="38" t="s">
        <v>505</v>
      </c>
      <c r="F145" s="27" t="n">
        <v>45989</v>
      </c>
      <c r="G145" s="39" t="n">
        <v>275600</v>
      </c>
      <c r="H145" s="38" t="s">
        <v>1485</v>
      </c>
      <c r="I145" s="38" t="s">
        <v>1486</v>
      </c>
      <c r="J145" s="34" t="s">
        <v>352</v>
      </c>
      <c r="K145" s="38" t="s">
        <v>353</v>
      </c>
    </row>
    <row r="146" customFormat="false" ht="15" hidden="false" customHeight="false" outlineLevel="0" collapsed="false">
      <c r="A146" s="38" t="n">
        <v>209</v>
      </c>
      <c r="B146" s="38" t="s">
        <v>1433</v>
      </c>
      <c r="C146" s="38" t="s">
        <v>93</v>
      </c>
      <c r="D146" s="38" t="n">
        <v>800153993</v>
      </c>
      <c r="E146" s="38" t="s">
        <v>450</v>
      </c>
      <c r="F146" s="27" t="n">
        <v>46021</v>
      </c>
      <c r="G146" s="39" t="n">
        <v>1388670.94</v>
      </c>
      <c r="H146" s="38" t="s">
        <v>1487</v>
      </c>
      <c r="I146" s="38" t="s">
        <v>1488</v>
      </c>
      <c r="J146" s="34" t="s">
        <v>352</v>
      </c>
      <c r="K146" s="38" t="s">
        <v>353</v>
      </c>
    </row>
    <row r="147" customFormat="false" ht="15" hidden="false" customHeight="false" outlineLevel="0" collapsed="false">
      <c r="A147" s="38" t="n">
        <v>210</v>
      </c>
      <c r="B147" s="38" t="s">
        <v>1433</v>
      </c>
      <c r="C147" s="38" t="s">
        <v>93</v>
      </c>
      <c r="D147" s="38" t="n">
        <v>830122566</v>
      </c>
      <c r="E147" s="38" t="s">
        <v>391</v>
      </c>
      <c r="F147" s="27" t="n">
        <v>46009</v>
      </c>
      <c r="G147" s="39" t="n">
        <v>2182529.47</v>
      </c>
      <c r="H147" s="38" t="s">
        <v>1489</v>
      </c>
      <c r="I147" s="38" t="s">
        <v>1490</v>
      </c>
      <c r="J147" s="34" t="s">
        <v>352</v>
      </c>
      <c r="K147" s="38" t="s">
        <v>353</v>
      </c>
    </row>
    <row r="148" customFormat="false" ht="15" hidden="false" customHeight="false" outlineLevel="0" collapsed="false">
      <c r="A148" s="38" t="n">
        <v>211</v>
      </c>
      <c r="B148" s="38" t="s">
        <v>746</v>
      </c>
      <c r="C148" s="38" t="s">
        <v>746</v>
      </c>
      <c r="D148" s="38" t="n">
        <v>890903938</v>
      </c>
      <c r="E148" s="38" t="s">
        <v>343</v>
      </c>
      <c r="F148" s="27" t="n">
        <v>45838</v>
      </c>
      <c r="G148" s="39" t="n">
        <v>180971729</v>
      </c>
      <c r="H148" s="38" t="s">
        <v>1491</v>
      </c>
      <c r="I148" s="38" t="s">
        <v>1414</v>
      </c>
      <c r="J148" s="34" t="s">
        <v>141</v>
      </c>
      <c r="K148" s="38" t="s">
        <v>750</v>
      </c>
    </row>
    <row r="149" customFormat="false" ht="15" hidden="false" customHeight="false" outlineLevel="0" collapsed="false">
      <c r="A149" s="38" t="n">
        <v>212</v>
      </c>
      <c r="B149" s="38" t="s">
        <v>746</v>
      </c>
      <c r="C149" s="38" t="s">
        <v>746</v>
      </c>
      <c r="D149" s="38" t="n">
        <v>890903938</v>
      </c>
      <c r="E149" s="38" t="s">
        <v>343</v>
      </c>
      <c r="F149" s="27" t="n">
        <v>45199</v>
      </c>
      <c r="G149" s="39" t="n">
        <v>167112372</v>
      </c>
      <c r="H149" s="38" t="s">
        <v>1492</v>
      </c>
      <c r="I149" s="38" t="s">
        <v>1493</v>
      </c>
      <c r="J149" s="34" t="s">
        <v>142</v>
      </c>
      <c r="K149" s="38" t="s">
        <v>750</v>
      </c>
    </row>
    <row r="150" customFormat="false" ht="15" hidden="false" customHeight="false" outlineLevel="0" collapsed="false">
      <c r="A150" s="38" t="n">
        <v>213</v>
      </c>
      <c r="B150" s="38" t="s">
        <v>746</v>
      </c>
      <c r="C150" s="38" t="s">
        <v>746</v>
      </c>
      <c r="D150" s="38" t="n">
        <v>860034313</v>
      </c>
      <c r="E150" s="38" t="s">
        <v>300</v>
      </c>
      <c r="F150" s="27" t="n">
        <v>45230</v>
      </c>
      <c r="G150" s="39" t="n">
        <v>113964073</v>
      </c>
      <c r="H150" s="38" t="s">
        <v>1494</v>
      </c>
      <c r="I150" s="38" t="s">
        <v>1495</v>
      </c>
      <c r="J150" s="34" t="s">
        <v>118</v>
      </c>
      <c r="K150" s="38" t="s">
        <v>750</v>
      </c>
    </row>
    <row r="151" customFormat="false" ht="15" hidden="false" customHeight="false" outlineLevel="0" collapsed="false">
      <c r="A151" s="38" t="n">
        <v>214</v>
      </c>
      <c r="B151" s="38" t="s">
        <v>746</v>
      </c>
      <c r="C151" s="38" t="s">
        <v>746</v>
      </c>
      <c r="D151" s="38" t="n">
        <v>860034313</v>
      </c>
      <c r="E151" s="38" t="s">
        <v>300</v>
      </c>
      <c r="F151" s="27" t="n">
        <v>45288</v>
      </c>
      <c r="G151" s="39" t="n">
        <v>123832017.4</v>
      </c>
      <c r="H151" s="38" t="s">
        <v>1496</v>
      </c>
      <c r="I151" s="38" t="s">
        <v>1497</v>
      </c>
      <c r="J151" s="34" t="s">
        <v>119</v>
      </c>
      <c r="K151" s="38" t="s">
        <v>750</v>
      </c>
    </row>
    <row r="152" customFormat="false" ht="15" hidden="false" customHeight="false" outlineLevel="0" collapsed="false">
      <c r="A152" s="38" t="n">
        <v>215</v>
      </c>
      <c r="B152" s="38" t="s">
        <v>763</v>
      </c>
      <c r="C152" s="38" t="s">
        <v>763</v>
      </c>
      <c r="D152" s="38" t="n">
        <v>890903938</v>
      </c>
      <c r="E152" s="38" t="s">
        <v>343</v>
      </c>
      <c r="F152" s="27" t="n">
        <v>45593</v>
      </c>
      <c r="G152" s="39" t="n">
        <v>421722003</v>
      </c>
      <c r="H152" s="38" t="s">
        <v>1498</v>
      </c>
      <c r="I152" s="38" t="s">
        <v>1499</v>
      </c>
      <c r="J152" s="34" t="s">
        <v>141</v>
      </c>
      <c r="K152" s="38" t="s">
        <v>768</v>
      </c>
    </row>
    <row r="153" customFormat="false" ht="15" hidden="false" customHeight="false" outlineLevel="0" collapsed="false">
      <c r="A153" s="38" t="n">
        <v>216</v>
      </c>
      <c r="B153" s="38" t="s">
        <v>763</v>
      </c>
      <c r="C153" s="38" t="s">
        <v>763</v>
      </c>
      <c r="D153" s="38" t="n">
        <v>890903938</v>
      </c>
      <c r="E153" s="38" t="s">
        <v>343</v>
      </c>
      <c r="F153" s="27" t="n">
        <v>45716</v>
      </c>
      <c r="G153" s="39" t="n">
        <v>495530373</v>
      </c>
      <c r="H153" s="38" t="s">
        <v>1500</v>
      </c>
      <c r="I153" s="38" t="s">
        <v>1501</v>
      </c>
      <c r="J153" s="34" t="s">
        <v>140</v>
      </c>
      <c r="K153" s="38" t="s">
        <v>768</v>
      </c>
    </row>
    <row r="154" customFormat="false" ht="15" hidden="false" customHeight="false" outlineLevel="0" collapsed="false">
      <c r="A154" s="38" t="n">
        <v>217</v>
      </c>
      <c r="B154" s="38" t="s">
        <v>763</v>
      </c>
      <c r="C154" s="38" t="s">
        <v>763</v>
      </c>
      <c r="D154" s="38" t="n">
        <v>890903938</v>
      </c>
      <c r="E154" s="38" t="s">
        <v>343</v>
      </c>
      <c r="F154" s="27" t="n">
        <v>45258</v>
      </c>
      <c r="G154" s="39" t="n">
        <v>246906126</v>
      </c>
      <c r="H154" s="38" t="s">
        <v>1502</v>
      </c>
      <c r="I154" s="38" t="s">
        <v>1503</v>
      </c>
      <c r="J154" s="34" t="s">
        <v>141</v>
      </c>
      <c r="K154" s="38" t="s">
        <v>768</v>
      </c>
    </row>
    <row r="155" customFormat="false" ht="15" hidden="false" customHeight="false" outlineLevel="0" collapsed="false">
      <c r="A155" s="38" t="n">
        <v>218</v>
      </c>
      <c r="B155" s="38" t="s">
        <v>763</v>
      </c>
      <c r="C155" s="38" t="s">
        <v>763</v>
      </c>
      <c r="D155" s="38" t="n">
        <v>860034313</v>
      </c>
      <c r="E155" s="38" t="s">
        <v>300</v>
      </c>
      <c r="F155" s="27" t="n">
        <v>45688</v>
      </c>
      <c r="G155" s="39" t="n">
        <v>1876684264</v>
      </c>
      <c r="H155" s="38" t="s">
        <v>1504</v>
      </c>
      <c r="I155" s="38" t="s">
        <v>1505</v>
      </c>
      <c r="J155" s="34" t="s">
        <v>120</v>
      </c>
      <c r="K155" s="38" t="s">
        <v>768</v>
      </c>
    </row>
    <row r="156" customFormat="false" ht="15" hidden="false" customHeight="false" outlineLevel="0" collapsed="false">
      <c r="A156" s="38" t="n">
        <v>219</v>
      </c>
      <c r="B156" s="38" t="s">
        <v>763</v>
      </c>
      <c r="C156" s="38" t="s">
        <v>763</v>
      </c>
      <c r="D156" s="38" t="n">
        <v>890903938</v>
      </c>
      <c r="E156" s="38" t="s">
        <v>343</v>
      </c>
      <c r="F156" s="27" t="n">
        <v>45199</v>
      </c>
      <c r="G156" s="39" t="n">
        <v>438685805</v>
      </c>
      <c r="H156" s="38" t="s">
        <v>1492</v>
      </c>
      <c r="I156" s="38" t="s">
        <v>1493</v>
      </c>
      <c r="J156" s="34" t="s">
        <v>142</v>
      </c>
      <c r="K156" s="38" t="s">
        <v>768</v>
      </c>
    </row>
    <row r="157" customFormat="false" ht="15" hidden="false" customHeight="false" outlineLevel="0" collapsed="false">
      <c r="A157" s="38" t="n">
        <v>220</v>
      </c>
      <c r="B157" s="38" t="s">
        <v>763</v>
      </c>
      <c r="C157" s="38" t="s">
        <v>763</v>
      </c>
      <c r="D157" s="38" t="n">
        <v>860034313</v>
      </c>
      <c r="E157" s="38" t="s">
        <v>300</v>
      </c>
      <c r="F157" s="27" t="n">
        <v>45230</v>
      </c>
      <c r="G157" s="39" t="n">
        <v>367906833</v>
      </c>
      <c r="H157" s="38" t="s">
        <v>1494</v>
      </c>
      <c r="I157" s="38" t="s">
        <v>1495</v>
      </c>
      <c r="J157" s="34" t="s">
        <v>118</v>
      </c>
      <c r="K157" s="38" t="s">
        <v>768</v>
      </c>
    </row>
    <row r="158" customFormat="false" ht="15" hidden="false" customHeight="false" outlineLevel="0" collapsed="false">
      <c r="A158" s="38" t="n">
        <v>221</v>
      </c>
      <c r="B158" s="38" t="s">
        <v>763</v>
      </c>
      <c r="C158" s="38" t="s">
        <v>763</v>
      </c>
      <c r="D158" s="38" t="n">
        <v>860034313</v>
      </c>
      <c r="E158" s="38" t="s">
        <v>300</v>
      </c>
      <c r="F158" s="27" t="n">
        <v>45869</v>
      </c>
      <c r="G158" s="39" t="n">
        <v>213861900</v>
      </c>
      <c r="H158" s="38" t="s">
        <v>1506</v>
      </c>
      <c r="I158" s="38" t="s">
        <v>1507</v>
      </c>
      <c r="J158" s="34" t="s">
        <v>121</v>
      </c>
      <c r="K158" s="38" t="s">
        <v>768</v>
      </c>
    </row>
    <row r="159" customFormat="false" ht="15" hidden="false" customHeight="false" outlineLevel="0" collapsed="false">
      <c r="A159" s="38" t="n">
        <v>222</v>
      </c>
      <c r="B159" s="38" t="s">
        <v>763</v>
      </c>
      <c r="C159" s="38" t="s">
        <v>763</v>
      </c>
      <c r="D159" s="38" t="n">
        <v>860034313</v>
      </c>
      <c r="E159" s="38" t="s">
        <v>300</v>
      </c>
      <c r="F159" s="27" t="n">
        <v>45288</v>
      </c>
      <c r="G159" s="39" t="n">
        <v>269519680.6</v>
      </c>
      <c r="H159" s="38" t="s">
        <v>1496</v>
      </c>
      <c r="I159" s="38" t="s">
        <v>1497</v>
      </c>
      <c r="J159" s="34" t="s">
        <v>119</v>
      </c>
      <c r="K159" s="38" t="s">
        <v>768</v>
      </c>
    </row>
    <row r="160" customFormat="false" ht="15" hidden="false" customHeight="false" outlineLevel="0" collapsed="false">
      <c r="A160" s="38" t="n">
        <v>223</v>
      </c>
      <c r="B160" s="38" t="s">
        <v>763</v>
      </c>
      <c r="C160" s="38" t="s">
        <v>763</v>
      </c>
      <c r="D160" s="38" t="n">
        <v>860002964</v>
      </c>
      <c r="E160" s="38" t="s">
        <v>306</v>
      </c>
      <c r="F160" s="27" t="n">
        <v>44561</v>
      </c>
      <c r="G160" s="39" t="n">
        <v>331775058.02</v>
      </c>
      <c r="H160" s="38" t="s">
        <v>1508</v>
      </c>
      <c r="I160" s="38" t="s">
        <v>1509</v>
      </c>
      <c r="J160" s="34" t="s">
        <v>131</v>
      </c>
      <c r="K160" s="38" t="s">
        <v>768</v>
      </c>
    </row>
    <row r="161" customFormat="false" ht="15" hidden="false" customHeight="false" outlineLevel="0" collapsed="false">
      <c r="A161" s="38" t="n">
        <v>224</v>
      </c>
      <c r="B161" s="38" t="s">
        <v>763</v>
      </c>
      <c r="C161" s="38" t="s">
        <v>763</v>
      </c>
      <c r="D161" s="38" t="n">
        <v>860002964</v>
      </c>
      <c r="E161" s="38" t="s">
        <v>306</v>
      </c>
      <c r="F161" s="27" t="n">
        <v>44561</v>
      </c>
      <c r="G161" s="39" t="n">
        <v>331775058.82</v>
      </c>
      <c r="H161" s="38" t="s">
        <v>1510</v>
      </c>
      <c r="I161" s="38" t="s">
        <v>1511</v>
      </c>
      <c r="J161" s="34" t="s">
        <v>130</v>
      </c>
      <c r="K161" s="38" t="s">
        <v>768</v>
      </c>
    </row>
    <row r="162" customFormat="false" ht="15" hidden="false" customHeight="false" outlineLevel="0" collapsed="false">
      <c r="A162" s="38" t="n">
        <v>225</v>
      </c>
      <c r="B162" s="38" t="s">
        <v>763</v>
      </c>
      <c r="C162" s="38" t="s">
        <v>763</v>
      </c>
      <c r="D162" s="38" t="n">
        <v>860002964</v>
      </c>
      <c r="E162" s="38" t="s">
        <v>306</v>
      </c>
      <c r="F162" s="27" t="n">
        <v>45716</v>
      </c>
      <c r="G162" s="39" t="n">
        <v>459771023.88</v>
      </c>
      <c r="H162" s="38" t="s">
        <v>1512</v>
      </c>
      <c r="I162" s="38" t="s">
        <v>1513</v>
      </c>
      <c r="J162" s="34" t="s">
        <v>129</v>
      </c>
      <c r="K162" s="38" t="s">
        <v>768</v>
      </c>
    </row>
    <row r="163" customFormat="false" ht="15" hidden="false" customHeight="false" outlineLevel="0" collapsed="false">
      <c r="A163" s="38" t="n">
        <v>226</v>
      </c>
      <c r="B163" s="38" t="s">
        <v>763</v>
      </c>
      <c r="C163" s="38" t="s">
        <v>763</v>
      </c>
      <c r="D163" s="38" t="n">
        <v>860002964</v>
      </c>
      <c r="E163" s="38" t="s">
        <v>306</v>
      </c>
      <c r="F163" s="27" t="n">
        <v>45716</v>
      </c>
      <c r="G163" s="39" t="n">
        <v>459771023.86</v>
      </c>
      <c r="H163" s="38" t="s">
        <v>1514</v>
      </c>
      <c r="I163" s="38" t="s">
        <v>1515</v>
      </c>
      <c r="J163" s="34" t="s">
        <v>128</v>
      </c>
      <c r="K163" s="38" t="s">
        <v>768</v>
      </c>
    </row>
    <row r="164" customFormat="false" ht="15" hidden="false" customHeight="false" outlineLevel="0" collapsed="false">
      <c r="A164" s="38" t="n">
        <v>227</v>
      </c>
      <c r="B164" s="38" t="s">
        <v>763</v>
      </c>
      <c r="C164" s="38" t="s">
        <v>763</v>
      </c>
      <c r="D164" s="38" t="n">
        <v>860002964</v>
      </c>
      <c r="E164" s="38" t="s">
        <v>306</v>
      </c>
      <c r="F164" s="27" t="n">
        <v>45716</v>
      </c>
      <c r="G164" s="39" t="n">
        <v>459866293.13</v>
      </c>
      <c r="H164" s="38" t="s">
        <v>1516</v>
      </c>
      <c r="I164" s="38" t="s">
        <v>1517</v>
      </c>
      <c r="J164" s="34" t="s">
        <v>132</v>
      </c>
      <c r="K164" s="38" t="s">
        <v>768</v>
      </c>
    </row>
    <row r="165" customFormat="false" ht="15" hidden="false" customHeight="false" outlineLevel="0" collapsed="false">
      <c r="A165" s="38" t="n">
        <v>228</v>
      </c>
      <c r="B165" s="38" t="s">
        <v>763</v>
      </c>
      <c r="C165" s="38" t="s">
        <v>763</v>
      </c>
      <c r="D165" s="38" t="n">
        <v>860002964</v>
      </c>
      <c r="E165" s="38" t="s">
        <v>306</v>
      </c>
      <c r="F165" s="27" t="n">
        <v>45716</v>
      </c>
      <c r="G165" s="39" t="n">
        <v>1170839109.63</v>
      </c>
      <c r="H165" s="38" t="s">
        <v>1518</v>
      </c>
      <c r="I165" s="38" t="s">
        <v>1519</v>
      </c>
      <c r="J165" s="34" t="s">
        <v>133</v>
      </c>
      <c r="K165" s="38" t="s">
        <v>768</v>
      </c>
    </row>
    <row r="166" customFormat="false" ht="15" hidden="false" customHeight="false" outlineLevel="0" collapsed="false">
      <c r="A166" s="38" t="n">
        <v>229</v>
      </c>
      <c r="B166" s="38" t="s">
        <v>865</v>
      </c>
      <c r="C166" s="38" t="s">
        <v>865</v>
      </c>
      <c r="D166" s="38" t="n">
        <v>860034313</v>
      </c>
      <c r="E166" s="38" t="s">
        <v>300</v>
      </c>
      <c r="F166" s="27" t="n">
        <v>45961</v>
      </c>
      <c r="G166" s="39" t="n">
        <v>75087500</v>
      </c>
      <c r="H166" s="38" t="s">
        <v>1520</v>
      </c>
      <c r="I166" s="38" t="s">
        <v>1521</v>
      </c>
      <c r="J166" s="34" t="s">
        <v>116</v>
      </c>
      <c r="K166" s="38" t="s">
        <v>869</v>
      </c>
    </row>
    <row r="167" customFormat="false" ht="15" hidden="false" customHeight="false" outlineLevel="0" collapsed="false">
      <c r="A167" s="38" t="n">
        <v>230</v>
      </c>
      <c r="B167" s="38" t="s">
        <v>865</v>
      </c>
      <c r="C167" s="38" t="s">
        <v>865</v>
      </c>
      <c r="D167" s="38" t="n">
        <v>860034313</v>
      </c>
      <c r="E167" s="38" t="s">
        <v>300</v>
      </c>
      <c r="F167" s="27" t="n">
        <v>45991</v>
      </c>
      <c r="G167" s="39" t="n">
        <v>77187500</v>
      </c>
      <c r="H167" s="38" t="s">
        <v>1522</v>
      </c>
      <c r="I167" s="38" t="s">
        <v>1521</v>
      </c>
      <c r="J167" s="34" t="s">
        <v>116</v>
      </c>
      <c r="K167" s="38" t="s">
        <v>869</v>
      </c>
    </row>
    <row r="168" customFormat="false" ht="15" hidden="false" customHeight="false" outlineLevel="0" collapsed="false">
      <c r="A168" s="38" t="n">
        <v>231</v>
      </c>
      <c r="B168" s="38" t="s">
        <v>865</v>
      </c>
      <c r="C168" s="38" t="s">
        <v>865</v>
      </c>
      <c r="D168" s="38" t="n">
        <v>860034313</v>
      </c>
      <c r="E168" s="38" t="s">
        <v>300</v>
      </c>
      <c r="F168" s="27" t="n">
        <v>46022</v>
      </c>
      <c r="G168" s="39" t="n">
        <v>79081250</v>
      </c>
      <c r="H168" s="38" t="s">
        <v>1523</v>
      </c>
      <c r="I168" s="38" t="s">
        <v>1521</v>
      </c>
      <c r="J168" s="34" t="s">
        <v>116</v>
      </c>
      <c r="K168" s="38" t="s">
        <v>869</v>
      </c>
    </row>
    <row r="169" customFormat="false" ht="15" hidden="false" customHeight="false" outlineLevel="0" collapsed="false">
      <c r="A169" s="38" t="n">
        <v>232</v>
      </c>
      <c r="B169" s="38" t="s">
        <v>865</v>
      </c>
      <c r="C169" s="38" t="s">
        <v>865</v>
      </c>
      <c r="D169" s="38" t="n">
        <v>860034313</v>
      </c>
      <c r="E169" s="38" t="s">
        <v>300</v>
      </c>
      <c r="F169" s="27" t="n">
        <v>45961</v>
      </c>
      <c r="G169" s="39" t="n">
        <v>40144500</v>
      </c>
      <c r="H169" s="38" t="s">
        <v>1524</v>
      </c>
      <c r="I169" s="38" t="s">
        <v>1525</v>
      </c>
      <c r="J169" s="34" t="s">
        <v>117</v>
      </c>
      <c r="K169" s="38" t="s">
        <v>869</v>
      </c>
    </row>
    <row r="170" customFormat="false" ht="15" hidden="false" customHeight="false" outlineLevel="0" collapsed="false">
      <c r="A170" s="38" t="n">
        <v>233</v>
      </c>
      <c r="B170" s="38" t="s">
        <v>865</v>
      </c>
      <c r="C170" s="38" t="s">
        <v>865</v>
      </c>
      <c r="D170" s="38" t="n">
        <v>860034313</v>
      </c>
      <c r="E170" s="38" t="s">
        <v>300</v>
      </c>
      <c r="F170" s="27" t="n">
        <v>45961</v>
      </c>
      <c r="G170" s="39" t="n">
        <v>78875000</v>
      </c>
      <c r="H170" s="38" t="s">
        <v>1526</v>
      </c>
      <c r="I170" s="38" t="s">
        <v>1525</v>
      </c>
      <c r="J170" s="34" t="s">
        <v>114</v>
      </c>
      <c r="K170" s="38" t="s">
        <v>869</v>
      </c>
    </row>
    <row r="171" customFormat="false" ht="15" hidden="false" customHeight="false" outlineLevel="0" collapsed="false">
      <c r="A171" s="38" t="n">
        <v>234</v>
      </c>
      <c r="B171" s="38" t="s">
        <v>865</v>
      </c>
      <c r="C171" s="38" t="s">
        <v>865</v>
      </c>
      <c r="D171" s="38" t="n">
        <v>860034313</v>
      </c>
      <c r="E171" s="38" t="s">
        <v>300</v>
      </c>
      <c r="F171" s="27" t="n">
        <v>45961</v>
      </c>
      <c r="G171" s="39" t="n">
        <v>30412500</v>
      </c>
      <c r="H171" s="38" t="s">
        <v>1527</v>
      </c>
      <c r="I171" s="38" t="s">
        <v>1525</v>
      </c>
      <c r="J171" s="34" t="s">
        <v>115</v>
      </c>
      <c r="K171" s="38" t="s">
        <v>869</v>
      </c>
    </row>
    <row r="172" customFormat="false" ht="15" hidden="false" customHeight="false" outlineLevel="0" collapsed="false">
      <c r="A172" s="38" t="n">
        <v>235</v>
      </c>
      <c r="B172" s="38" t="s">
        <v>865</v>
      </c>
      <c r="C172" s="38" t="s">
        <v>865</v>
      </c>
      <c r="D172" s="38" t="n">
        <v>890903938</v>
      </c>
      <c r="E172" s="38" t="s">
        <v>343</v>
      </c>
      <c r="F172" s="27" t="n">
        <v>45930</v>
      </c>
      <c r="G172" s="39" t="n">
        <v>43845833</v>
      </c>
      <c r="H172" s="38" t="s">
        <v>1528</v>
      </c>
      <c r="I172" s="38" t="s">
        <v>1529</v>
      </c>
      <c r="J172" s="34" t="s">
        <v>139</v>
      </c>
      <c r="K172" s="38" t="s">
        <v>869</v>
      </c>
    </row>
    <row r="173" customFormat="false" ht="15" hidden="false" customHeight="false" outlineLevel="0" collapsed="false">
      <c r="A173" s="38" t="n">
        <v>236</v>
      </c>
      <c r="B173" s="38" t="s">
        <v>865</v>
      </c>
      <c r="C173" s="38" t="s">
        <v>865</v>
      </c>
      <c r="D173" s="38" t="n">
        <v>890903938</v>
      </c>
      <c r="E173" s="38" t="s">
        <v>343</v>
      </c>
      <c r="F173" s="27" t="n">
        <v>46022</v>
      </c>
      <c r="G173" s="39" t="n">
        <v>44283333</v>
      </c>
      <c r="H173" s="38" t="s">
        <v>1530</v>
      </c>
      <c r="I173" s="38" t="s">
        <v>1529</v>
      </c>
      <c r="J173" s="34" t="s">
        <v>139</v>
      </c>
      <c r="K173" s="38" t="s">
        <v>869</v>
      </c>
    </row>
    <row r="174" customFormat="false" ht="15" hidden="false" customHeight="false" outlineLevel="0" collapsed="false">
      <c r="A174" s="38" t="n">
        <v>237</v>
      </c>
      <c r="B174" s="38" t="s">
        <v>865</v>
      </c>
      <c r="C174" s="38" t="s">
        <v>865</v>
      </c>
      <c r="D174" s="38" t="n">
        <v>860002964</v>
      </c>
      <c r="E174" s="38" t="s">
        <v>306</v>
      </c>
      <c r="F174" s="27" t="n">
        <v>46022</v>
      </c>
      <c r="G174" s="39" t="n">
        <v>15408021</v>
      </c>
      <c r="H174" s="38" t="s">
        <v>1531</v>
      </c>
      <c r="I174" s="38" t="s">
        <v>1532</v>
      </c>
      <c r="J174" s="34" t="s">
        <v>126</v>
      </c>
      <c r="K174" s="38" t="s">
        <v>869</v>
      </c>
    </row>
    <row r="175" customFormat="false" ht="15" hidden="false" customHeight="false" outlineLevel="0" collapsed="false">
      <c r="A175" s="38" t="n">
        <v>238</v>
      </c>
      <c r="B175" s="38" t="s">
        <v>865</v>
      </c>
      <c r="C175" s="38" t="s">
        <v>865</v>
      </c>
      <c r="D175" s="38" t="n">
        <v>860034313</v>
      </c>
      <c r="E175" s="38" t="s">
        <v>300</v>
      </c>
      <c r="F175" s="27" t="n">
        <v>45930</v>
      </c>
      <c r="G175" s="39" t="n">
        <v>40326000</v>
      </c>
      <c r="H175" s="38" t="s">
        <v>1533</v>
      </c>
      <c r="I175" s="38" t="s">
        <v>1534</v>
      </c>
      <c r="J175" s="34" t="s">
        <v>117</v>
      </c>
      <c r="K175" s="38" t="s">
        <v>869</v>
      </c>
    </row>
    <row r="176" customFormat="false" ht="15" hidden="false" customHeight="false" outlineLevel="0" collapsed="false">
      <c r="A176" s="38" t="n">
        <v>239</v>
      </c>
      <c r="B176" s="38" t="s">
        <v>865</v>
      </c>
      <c r="C176" s="38" t="s">
        <v>865</v>
      </c>
      <c r="D176" s="38" t="n">
        <v>860034313</v>
      </c>
      <c r="E176" s="38" t="s">
        <v>300</v>
      </c>
      <c r="F176" s="27" t="n">
        <v>45961</v>
      </c>
      <c r="G176" s="39" t="n">
        <v>40966200</v>
      </c>
      <c r="H176" s="38" t="s">
        <v>1535</v>
      </c>
      <c r="I176" s="38" t="s">
        <v>1534</v>
      </c>
      <c r="J176" s="34" t="s">
        <v>117</v>
      </c>
      <c r="K176" s="38" t="s">
        <v>869</v>
      </c>
    </row>
    <row r="177" customFormat="false" ht="15" hidden="false" customHeight="false" outlineLevel="0" collapsed="false">
      <c r="A177" s="38" t="n">
        <v>240</v>
      </c>
      <c r="B177" s="38" t="s">
        <v>865</v>
      </c>
      <c r="C177" s="38" t="s">
        <v>865</v>
      </c>
      <c r="D177" s="38" t="n">
        <v>860034313</v>
      </c>
      <c r="E177" s="38" t="s">
        <v>300</v>
      </c>
      <c r="F177" s="27" t="n">
        <v>45991</v>
      </c>
      <c r="G177" s="39" t="n">
        <v>42075000</v>
      </c>
      <c r="H177" s="38" t="s">
        <v>1536</v>
      </c>
      <c r="I177" s="38" t="s">
        <v>1534</v>
      </c>
      <c r="J177" s="34" t="s">
        <v>117</v>
      </c>
      <c r="K177" s="38" t="s">
        <v>869</v>
      </c>
    </row>
    <row r="178" customFormat="false" ht="15" hidden="false" customHeight="false" outlineLevel="0" collapsed="false">
      <c r="A178" s="38" t="n">
        <v>241</v>
      </c>
      <c r="B178" s="38" t="s">
        <v>865</v>
      </c>
      <c r="C178" s="38" t="s">
        <v>865</v>
      </c>
      <c r="D178" s="38" t="n">
        <v>860034313</v>
      </c>
      <c r="E178" s="38" t="s">
        <v>300</v>
      </c>
      <c r="F178" s="27" t="n">
        <v>46022</v>
      </c>
      <c r="G178" s="39" t="n">
        <v>43074900</v>
      </c>
      <c r="H178" s="38" t="s">
        <v>1537</v>
      </c>
      <c r="I178" s="38" t="s">
        <v>1534</v>
      </c>
      <c r="J178" s="34" t="s">
        <v>117</v>
      </c>
      <c r="K178" s="38" t="s">
        <v>869</v>
      </c>
    </row>
    <row r="179" customFormat="false" ht="15" hidden="false" customHeight="false" outlineLevel="0" collapsed="false">
      <c r="A179" s="38" t="n">
        <v>242</v>
      </c>
      <c r="B179" s="38" t="s">
        <v>865</v>
      </c>
      <c r="C179" s="38" t="s">
        <v>865</v>
      </c>
      <c r="D179" s="38" t="n">
        <v>860034313</v>
      </c>
      <c r="E179" s="38" t="s">
        <v>300</v>
      </c>
      <c r="F179" s="27" t="n">
        <v>45930</v>
      </c>
      <c r="G179" s="39" t="n">
        <v>79333333</v>
      </c>
      <c r="H179" s="38" t="s">
        <v>1538</v>
      </c>
      <c r="I179" s="38" t="s">
        <v>1417</v>
      </c>
      <c r="J179" s="34" t="s">
        <v>114</v>
      </c>
      <c r="K179" s="38" t="s">
        <v>869</v>
      </c>
    </row>
    <row r="180" customFormat="false" ht="15" hidden="false" customHeight="false" outlineLevel="0" collapsed="false">
      <c r="A180" s="38" t="n">
        <v>243</v>
      </c>
      <c r="B180" s="38" t="s">
        <v>865</v>
      </c>
      <c r="C180" s="38" t="s">
        <v>865</v>
      </c>
      <c r="D180" s="38" t="n">
        <v>860034313</v>
      </c>
      <c r="E180" s="38" t="s">
        <v>300</v>
      </c>
      <c r="F180" s="27" t="n">
        <v>45961</v>
      </c>
      <c r="G180" s="39" t="n">
        <v>80950000</v>
      </c>
      <c r="H180" s="38" t="s">
        <v>1539</v>
      </c>
      <c r="I180" s="38" t="s">
        <v>1417</v>
      </c>
      <c r="J180" s="34" t="s">
        <v>114</v>
      </c>
      <c r="K180" s="38" t="s">
        <v>869</v>
      </c>
    </row>
    <row r="181" customFormat="false" ht="15" hidden="false" customHeight="false" outlineLevel="0" collapsed="false">
      <c r="A181" s="38" t="n">
        <v>244</v>
      </c>
      <c r="B181" s="38" t="s">
        <v>865</v>
      </c>
      <c r="C181" s="38" t="s">
        <v>865</v>
      </c>
      <c r="D181" s="38" t="n">
        <v>860034313</v>
      </c>
      <c r="E181" s="38" t="s">
        <v>300</v>
      </c>
      <c r="F181" s="27" t="n">
        <v>45991</v>
      </c>
      <c r="G181" s="39" t="n">
        <v>83750000</v>
      </c>
      <c r="H181" s="38" t="s">
        <v>1540</v>
      </c>
      <c r="I181" s="38" t="s">
        <v>1417</v>
      </c>
      <c r="J181" s="34" t="s">
        <v>114</v>
      </c>
      <c r="K181" s="38" t="s">
        <v>869</v>
      </c>
    </row>
    <row r="182" customFormat="false" ht="15" hidden="false" customHeight="false" outlineLevel="0" collapsed="false">
      <c r="A182" s="38" t="n">
        <v>245</v>
      </c>
      <c r="B182" s="38" t="s">
        <v>865</v>
      </c>
      <c r="C182" s="38" t="s">
        <v>865</v>
      </c>
      <c r="D182" s="38" t="n">
        <v>860034313</v>
      </c>
      <c r="E182" s="38" t="s">
        <v>300</v>
      </c>
      <c r="F182" s="27" t="n">
        <v>46022</v>
      </c>
      <c r="G182" s="39" t="n">
        <v>86275000</v>
      </c>
      <c r="H182" s="38" t="s">
        <v>1541</v>
      </c>
      <c r="I182" s="38" t="s">
        <v>1417</v>
      </c>
      <c r="J182" s="34" t="s">
        <v>114</v>
      </c>
      <c r="K182" s="38" t="s">
        <v>869</v>
      </c>
    </row>
    <row r="183" customFormat="false" ht="15" hidden="false" customHeight="false" outlineLevel="0" collapsed="false">
      <c r="A183" s="38" t="n">
        <v>246</v>
      </c>
      <c r="B183" s="38" t="s">
        <v>865</v>
      </c>
      <c r="C183" s="38" t="s">
        <v>865</v>
      </c>
      <c r="D183" s="38" t="n">
        <v>860034313</v>
      </c>
      <c r="E183" s="38" t="s">
        <v>300</v>
      </c>
      <c r="F183" s="27" t="n">
        <v>45930</v>
      </c>
      <c r="G183" s="39" t="n">
        <v>30550000</v>
      </c>
      <c r="H183" s="38" t="s">
        <v>1542</v>
      </c>
      <c r="I183" s="38" t="s">
        <v>1543</v>
      </c>
      <c r="J183" s="34" t="s">
        <v>115</v>
      </c>
      <c r="K183" s="38" t="s">
        <v>869</v>
      </c>
    </row>
    <row r="184" customFormat="false" ht="15" hidden="false" customHeight="false" outlineLevel="0" collapsed="false">
      <c r="A184" s="38" t="n">
        <v>247</v>
      </c>
      <c r="B184" s="38" t="s">
        <v>865</v>
      </c>
      <c r="C184" s="38" t="s">
        <v>865</v>
      </c>
      <c r="D184" s="38" t="n">
        <v>860034313</v>
      </c>
      <c r="E184" s="38" t="s">
        <v>300</v>
      </c>
      <c r="F184" s="27" t="n">
        <v>45961</v>
      </c>
      <c r="G184" s="39" t="n">
        <v>31035000</v>
      </c>
      <c r="H184" s="38" t="s">
        <v>1544</v>
      </c>
      <c r="I184" s="38" t="s">
        <v>1543</v>
      </c>
      <c r="J184" s="34" t="s">
        <v>115</v>
      </c>
      <c r="K184" s="38" t="s">
        <v>869</v>
      </c>
    </row>
    <row r="185" customFormat="false" ht="15" hidden="false" customHeight="false" outlineLevel="0" collapsed="false">
      <c r="A185" s="38" t="n">
        <v>248</v>
      </c>
      <c r="B185" s="38" t="s">
        <v>865</v>
      </c>
      <c r="C185" s="38" t="s">
        <v>865</v>
      </c>
      <c r="D185" s="38" t="n">
        <v>860034313</v>
      </c>
      <c r="E185" s="38" t="s">
        <v>300</v>
      </c>
      <c r="F185" s="27" t="n">
        <v>45991</v>
      </c>
      <c r="G185" s="39" t="n">
        <v>31875000</v>
      </c>
      <c r="H185" s="38" t="s">
        <v>1545</v>
      </c>
      <c r="I185" s="38" t="s">
        <v>1543</v>
      </c>
      <c r="J185" s="34" t="s">
        <v>115</v>
      </c>
      <c r="K185" s="38" t="s">
        <v>869</v>
      </c>
    </row>
    <row r="186" customFormat="false" ht="15" hidden="false" customHeight="false" outlineLevel="0" collapsed="false">
      <c r="A186" s="38" t="n">
        <v>249</v>
      </c>
      <c r="B186" s="38" t="s">
        <v>865</v>
      </c>
      <c r="C186" s="38" t="s">
        <v>865</v>
      </c>
      <c r="D186" s="38" t="n">
        <v>860034313</v>
      </c>
      <c r="E186" s="38" t="s">
        <v>300</v>
      </c>
      <c r="F186" s="27" t="n">
        <v>46022</v>
      </c>
      <c r="G186" s="39" t="n">
        <v>32632500</v>
      </c>
      <c r="H186" s="38" t="s">
        <v>1546</v>
      </c>
      <c r="I186" s="38" t="s">
        <v>1543</v>
      </c>
      <c r="J186" s="34" t="s">
        <v>115</v>
      </c>
      <c r="K186" s="38" t="s">
        <v>869</v>
      </c>
    </row>
    <row r="187" customFormat="false" ht="15" hidden="false" customHeight="false" outlineLevel="0" collapsed="false">
      <c r="A187" s="38" t="n">
        <v>250</v>
      </c>
      <c r="B187" s="38" t="s">
        <v>983</v>
      </c>
      <c r="C187" s="38" t="s">
        <v>983</v>
      </c>
      <c r="D187" s="38" t="n">
        <v>860034313</v>
      </c>
      <c r="E187" s="38" t="s">
        <v>300</v>
      </c>
      <c r="F187" s="27" t="n">
        <v>45991</v>
      </c>
      <c r="G187" s="39" t="n">
        <v>17147812</v>
      </c>
      <c r="H187" s="38" t="s">
        <v>1547</v>
      </c>
      <c r="I187" s="38" t="s">
        <v>1548</v>
      </c>
      <c r="J187" s="34" t="s">
        <v>120</v>
      </c>
      <c r="K187" s="38" t="s">
        <v>986</v>
      </c>
    </row>
    <row r="188" customFormat="false" ht="15" hidden="false" customHeight="false" outlineLevel="0" collapsed="false">
      <c r="A188" s="38" t="n">
        <v>251</v>
      </c>
      <c r="B188" s="38" t="s">
        <v>983</v>
      </c>
      <c r="C188" s="38" t="s">
        <v>983</v>
      </c>
      <c r="D188" s="38" t="n">
        <v>860034313</v>
      </c>
      <c r="E188" s="38" t="s">
        <v>300</v>
      </c>
      <c r="F188" s="27" t="n">
        <v>46022</v>
      </c>
      <c r="G188" s="39" t="n">
        <v>17147812</v>
      </c>
      <c r="H188" s="38" t="s">
        <v>1549</v>
      </c>
      <c r="I188" s="38" t="s">
        <v>1548</v>
      </c>
      <c r="J188" s="34" t="s">
        <v>120</v>
      </c>
      <c r="K188" s="38" t="s">
        <v>986</v>
      </c>
    </row>
    <row r="189" customFormat="false" ht="15" hidden="false" customHeight="false" outlineLevel="0" collapsed="false">
      <c r="A189" s="38" t="n">
        <v>252</v>
      </c>
      <c r="B189" s="38" t="s">
        <v>983</v>
      </c>
      <c r="C189" s="38" t="s">
        <v>983</v>
      </c>
      <c r="D189" s="38" t="n">
        <v>860002964</v>
      </c>
      <c r="E189" s="38" t="s">
        <v>306</v>
      </c>
      <c r="F189" s="27" t="n">
        <v>45930</v>
      </c>
      <c r="G189" s="39" t="n">
        <v>12285632</v>
      </c>
      <c r="H189" s="38" t="s">
        <v>1550</v>
      </c>
      <c r="I189" s="38" t="s">
        <v>1551</v>
      </c>
      <c r="J189" s="34" t="s">
        <v>133</v>
      </c>
      <c r="K189" s="38" t="s">
        <v>986</v>
      </c>
    </row>
    <row r="190" customFormat="false" ht="15" hidden="false" customHeight="false" outlineLevel="0" collapsed="false">
      <c r="A190" s="38" t="n">
        <v>253</v>
      </c>
      <c r="B190" s="38" t="s">
        <v>983</v>
      </c>
      <c r="C190" s="38" t="s">
        <v>983</v>
      </c>
      <c r="D190" s="38" t="n">
        <v>860002964</v>
      </c>
      <c r="E190" s="38" t="s">
        <v>306</v>
      </c>
      <c r="F190" s="27" t="n">
        <v>46022</v>
      </c>
      <c r="G190" s="39" t="n">
        <v>12285632</v>
      </c>
      <c r="H190" s="38" t="s">
        <v>1552</v>
      </c>
      <c r="I190" s="38" t="s">
        <v>1551</v>
      </c>
      <c r="J190" s="34" t="s">
        <v>133</v>
      </c>
      <c r="K190" s="38" t="s">
        <v>986</v>
      </c>
    </row>
    <row r="191" customFormat="false" ht="15" hidden="false" customHeight="false" outlineLevel="0" collapsed="false">
      <c r="A191" s="38" t="n">
        <v>254</v>
      </c>
      <c r="B191" s="38" t="s">
        <v>983</v>
      </c>
      <c r="C191" s="38" t="s">
        <v>983</v>
      </c>
      <c r="D191" s="38" t="n">
        <v>860002964</v>
      </c>
      <c r="E191" s="38" t="s">
        <v>306</v>
      </c>
      <c r="F191" s="27" t="n">
        <v>45930</v>
      </c>
      <c r="G191" s="39" t="n">
        <v>526399</v>
      </c>
      <c r="H191" s="38" t="s">
        <v>1553</v>
      </c>
      <c r="I191" s="38" t="s">
        <v>1554</v>
      </c>
      <c r="J191" s="34" t="s">
        <v>131</v>
      </c>
      <c r="K191" s="38" t="s">
        <v>986</v>
      </c>
    </row>
    <row r="192" customFormat="false" ht="15" hidden="false" customHeight="false" outlineLevel="0" collapsed="false">
      <c r="A192" s="38" t="n">
        <v>255</v>
      </c>
      <c r="B192" s="38" t="s">
        <v>983</v>
      </c>
      <c r="C192" s="38" t="s">
        <v>983</v>
      </c>
      <c r="D192" s="38" t="n">
        <v>860002964</v>
      </c>
      <c r="E192" s="38" t="s">
        <v>306</v>
      </c>
      <c r="F192" s="27" t="n">
        <v>46022</v>
      </c>
      <c r="G192" s="39" t="n">
        <v>526399</v>
      </c>
      <c r="H192" s="38" t="s">
        <v>1555</v>
      </c>
      <c r="I192" s="38" t="s">
        <v>1554</v>
      </c>
      <c r="J192" s="34" t="s">
        <v>131</v>
      </c>
      <c r="K192" s="38" t="s">
        <v>986</v>
      </c>
    </row>
    <row r="193" customFormat="false" ht="15" hidden="false" customHeight="false" outlineLevel="0" collapsed="false">
      <c r="A193" s="38" t="n">
        <v>256</v>
      </c>
      <c r="B193" s="38" t="s">
        <v>983</v>
      </c>
      <c r="C193" s="38" t="s">
        <v>983</v>
      </c>
      <c r="D193" s="38" t="n">
        <v>860002964</v>
      </c>
      <c r="E193" s="38" t="s">
        <v>306</v>
      </c>
      <c r="F193" s="27" t="n">
        <v>45930</v>
      </c>
      <c r="G193" s="39" t="n">
        <v>526399</v>
      </c>
      <c r="H193" s="38" t="s">
        <v>1556</v>
      </c>
      <c r="I193" s="38" t="s">
        <v>1557</v>
      </c>
      <c r="J193" s="34" t="s">
        <v>130</v>
      </c>
      <c r="K193" s="38" t="s">
        <v>986</v>
      </c>
    </row>
    <row r="194" customFormat="false" ht="15" hidden="false" customHeight="false" outlineLevel="0" collapsed="false">
      <c r="A194" s="38" t="n">
        <v>257</v>
      </c>
      <c r="B194" s="38" t="s">
        <v>983</v>
      </c>
      <c r="C194" s="38" t="s">
        <v>983</v>
      </c>
      <c r="D194" s="38" t="n">
        <v>860002964</v>
      </c>
      <c r="E194" s="38" t="s">
        <v>306</v>
      </c>
      <c r="F194" s="27" t="n">
        <v>46022</v>
      </c>
      <c r="G194" s="39" t="n">
        <v>526399</v>
      </c>
      <c r="H194" s="38" t="s">
        <v>1558</v>
      </c>
      <c r="I194" s="38" t="s">
        <v>1557</v>
      </c>
      <c r="J194" s="34" t="s">
        <v>130</v>
      </c>
      <c r="K194" s="38" t="s">
        <v>986</v>
      </c>
    </row>
    <row r="195" customFormat="false" ht="15" hidden="false" customHeight="false" outlineLevel="0" collapsed="false">
      <c r="A195" s="38" t="n">
        <v>258</v>
      </c>
      <c r="B195" s="38" t="s">
        <v>983</v>
      </c>
      <c r="C195" s="38" t="s">
        <v>983</v>
      </c>
      <c r="D195" s="38" t="n">
        <v>860002964</v>
      </c>
      <c r="E195" s="38" t="s">
        <v>306</v>
      </c>
      <c r="F195" s="27" t="n">
        <v>45930</v>
      </c>
      <c r="G195" s="39" t="n">
        <v>5317945</v>
      </c>
      <c r="H195" s="38" t="s">
        <v>1559</v>
      </c>
      <c r="I195" s="38" t="s">
        <v>1560</v>
      </c>
      <c r="J195" s="34" t="s">
        <v>129</v>
      </c>
      <c r="K195" s="38" t="s">
        <v>986</v>
      </c>
    </row>
    <row r="196" customFormat="false" ht="15" hidden="false" customHeight="false" outlineLevel="0" collapsed="false">
      <c r="A196" s="38" t="n">
        <v>259</v>
      </c>
      <c r="B196" s="38" t="s">
        <v>983</v>
      </c>
      <c r="C196" s="38" t="s">
        <v>983</v>
      </c>
      <c r="D196" s="38" t="n">
        <v>860002964</v>
      </c>
      <c r="E196" s="38" t="s">
        <v>306</v>
      </c>
      <c r="F196" s="27" t="n">
        <v>46022</v>
      </c>
      <c r="G196" s="39" t="n">
        <v>5317945</v>
      </c>
      <c r="H196" s="38" t="s">
        <v>1561</v>
      </c>
      <c r="I196" s="38" t="s">
        <v>1560</v>
      </c>
      <c r="J196" s="34" t="s">
        <v>129</v>
      </c>
      <c r="K196" s="38" t="s">
        <v>986</v>
      </c>
    </row>
    <row r="197" customFormat="false" ht="15" hidden="false" customHeight="false" outlineLevel="0" collapsed="false">
      <c r="A197" s="38" t="n">
        <v>260</v>
      </c>
      <c r="B197" s="38" t="s">
        <v>983</v>
      </c>
      <c r="C197" s="38" t="s">
        <v>983</v>
      </c>
      <c r="D197" s="38" t="n">
        <v>860002964</v>
      </c>
      <c r="E197" s="38" t="s">
        <v>306</v>
      </c>
      <c r="F197" s="27" t="n">
        <v>45930</v>
      </c>
      <c r="G197" s="39" t="n">
        <v>5317945</v>
      </c>
      <c r="H197" s="38" t="s">
        <v>1562</v>
      </c>
      <c r="I197" s="38" t="s">
        <v>1563</v>
      </c>
      <c r="J197" s="34" t="s">
        <v>128</v>
      </c>
      <c r="K197" s="38" t="s">
        <v>986</v>
      </c>
    </row>
    <row r="198" customFormat="false" ht="15" hidden="false" customHeight="false" outlineLevel="0" collapsed="false">
      <c r="A198" s="38" t="n">
        <v>261</v>
      </c>
      <c r="B198" s="38" t="s">
        <v>983</v>
      </c>
      <c r="C198" s="38" t="s">
        <v>983</v>
      </c>
      <c r="D198" s="38" t="n">
        <v>860002964</v>
      </c>
      <c r="E198" s="38" t="s">
        <v>306</v>
      </c>
      <c r="F198" s="27" t="n">
        <v>46022</v>
      </c>
      <c r="G198" s="39" t="n">
        <v>5317945</v>
      </c>
      <c r="H198" s="38" t="s">
        <v>1564</v>
      </c>
      <c r="I198" s="38" t="s">
        <v>1563</v>
      </c>
      <c r="J198" s="34" t="s">
        <v>128</v>
      </c>
      <c r="K198" s="38" t="s">
        <v>986</v>
      </c>
    </row>
    <row r="199" customFormat="false" ht="15" hidden="false" customHeight="false" outlineLevel="0" collapsed="false">
      <c r="A199" s="38" t="n">
        <v>262</v>
      </c>
      <c r="B199" s="38" t="s">
        <v>983</v>
      </c>
      <c r="C199" s="38" t="s">
        <v>983</v>
      </c>
      <c r="D199" s="38" t="n">
        <v>860002964</v>
      </c>
      <c r="E199" s="38" t="s">
        <v>306</v>
      </c>
      <c r="F199" s="27" t="n">
        <v>45930</v>
      </c>
      <c r="G199" s="39" t="n">
        <v>5405125</v>
      </c>
      <c r="H199" s="38" t="s">
        <v>1565</v>
      </c>
      <c r="I199" s="38" t="s">
        <v>1566</v>
      </c>
      <c r="J199" s="34" t="s">
        <v>132</v>
      </c>
      <c r="K199" s="38" t="s">
        <v>986</v>
      </c>
    </row>
    <row r="200" customFormat="false" ht="15" hidden="false" customHeight="false" outlineLevel="0" collapsed="false">
      <c r="A200" s="38" t="n">
        <v>263</v>
      </c>
      <c r="B200" s="38" t="s">
        <v>983</v>
      </c>
      <c r="C200" s="38" t="s">
        <v>983</v>
      </c>
      <c r="D200" s="38" t="n">
        <v>860002964</v>
      </c>
      <c r="E200" s="38" t="s">
        <v>306</v>
      </c>
      <c r="F200" s="27" t="n">
        <v>46022</v>
      </c>
      <c r="G200" s="39" t="n">
        <v>5405125</v>
      </c>
      <c r="H200" s="38" t="s">
        <v>1567</v>
      </c>
      <c r="I200" s="38" t="s">
        <v>1566</v>
      </c>
      <c r="J200" s="34" t="s">
        <v>132</v>
      </c>
      <c r="K200" s="38" t="s">
        <v>986</v>
      </c>
    </row>
    <row r="201" customFormat="false" ht="15" hidden="false" customHeight="false" outlineLevel="0" collapsed="false">
      <c r="E201" s="40" t="s">
        <v>96</v>
      </c>
      <c r="G201" s="41" t="n">
        <f aca="false">SUM(G5:G200)</f>
        <v>50662748875.76</v>
      </c>
    </row>
    <row r="203" customFormat="false" ht="15" hidden="false" customHeight="false" outlineLevel="0" collapsed="false">
      <c r="A203" s="46" t="s">
        <v>1568</v>
      </c>
      <c r="B203" s="47"/>
      <c r="C203" s="47"/>
      <c r="D203" s="47"/>
      <c r="E203" s="47"/>
      <c r="F203" s="47"/>
      <c r="G203" s="47"/>
      <c r="H203" s="47"/>
      <c r="I203" s="47"/>
      <c r="J203" s="47"/>
      <c r="K203" s="47"/>
    </row>
    <row r="204" customFormat="false" ht="30" hidden="false" customHeight="true" outlineLevel="0" collapsed="false">
      <c r="A204" s="31"/>
      <c r="B204" s="31" t="s">
        <v>163</v>
      </c>
      <c r="C204" s="31"/>
      <c r="D204" s="31"/>
      <c r="E204" s="31" t="s">
        <v>100</v>
      </c>
      <c r="F204" s="31"/>
      <c r="G204" s="31" t="s">
        <v>1569</v>
      </c>
      <c r="H204" s="31" t="s">
        <v>1570</v>
      </c>
      <c r="I204" s="31" t="s">
        <v>152</v>
      </c>
    </row>
    <row r="205" customFormat="false" ht="15" hidden="false" customHeight="false" outlineLevel="0" collapsed="false">
      <c r="B205" s="38" t="s">
        <v>290</v>
      </c>
      <c r="E205" s="26" t="s">
        <v>291</v>
      </c>
      <c r="G205" s="33" t="n">
        <f aca="false">SUMIFS($G$5:$G$200,$C$5:$C$200,B205)</f>
        <v>17938333333</v>
      </c>
      <c r="H205" s="32" t="n">
        <f aca="false">-Balance_21!$C$16</f>
        <v>17938333333</v>
      </c>
      <c r="I205" s="33" t="n">
        <f aca="false">G205-H205</f>
        <v>0</v>
      </c>
    </row>
    <row r="206" customFormat="false" ht="15" hidden="false" customHeight="false" outlineLevel="0" collapsed="false">
      <c r="B206" s="38" t="s">
        <v>310</v>
      </c>
      <c r="E206" s="26" t="s">
        <v>311</v>
      </c>
      <c r="G206" s="33" t="n">
        <f aca="false">SUMIFS($G$5:$G$200,$C$5:$C$200,B206)</f>
        <v>23368333333</v>
      </c>
      <c r="H206" s="32" t="n">
        <f aca="false">-Balance_21!$C$18</f>
        <v>23368333333</v>
      </c>
      <c r="I206" s="33" t="n">
        <f aca="false">G206-H206</f>
        <v>0</v>
      </c>
    </row>
    <row r="207" customFormat="false" ht="15" hidden="false" customHeight="false" outlineLevel="0" collapsed="false">
      <c r="B207" s="38" t="s">
        <v>93</v>
      </c>
      <c r="E207" s="26" t="s">
        <v>347</v>
      </c>
      <c r="G207" s="33" t="n">
        <f aca="false">SUMIFS($G$5:$G$200,$C$5:$C$200,B207)</f>
        <v>25364582.42</v>
      </c>
      <c r="H207" s="32" t="n">
        <f aca="false">-Balance_21!$C$19</f>
        <v>25364582.42</v>
      </c>
      <c r="I207" s="33" t="n">
        <f aca="false">G207-H207</f>
        <v>0</v>
      </c>
    </row>
    <row r="208" customFormat="false" ht="15" hidden="false" customHeight="false" outlineLevel="0" collapsed="false">
      <c r="B208" s="38" t="s">
        <v>746</v>
      </c>
      <c r="E208" s="26" t="s">
        <v>747</v>
      </c>
      <c r="G208" s="33" t="n">
        <f aca="false">SUMIFS($G$5:$G$200,$C$5:$C$200,B208)</f>
        <v>585880191.4</v>
      </c>
      <c r="H208" s="32" t="n">
        <f aca="false">-Balance_21!$C$22</f>
        <v>585880191.4</v>
      </c>
      <c r="I208" s="33" t="n">
        <f aca="false">G208-H208</f>
        <v>0</v>
      </c>
    </row>
    <row r="209" customFormat="false" ht="15" hidden="false" customHeight="false" outlineLevel="0" collapsed="false">
      <c r="B209" s="38" t="s">
        <v>763</v>
      </c>
      <c r="E209" s="26" t="s">
        <v>764</v>
      </c>
      <c r="G209" s="33" t="n">
        <f aca="false">SUMIFS($G$5:$G$200,$C$5:$C$200,B209)</f>
        <v>7544614551.94</v>
      </c>
      <c r="H209" s="32" t="n">
        <f aca="false">-Balance_21!$C$24</f>
        <v>7544614551.94</v>
      </c>
      <c r="I209" s="33" t="n">
        <f aca="false">G209-H209</f>
        <v>0</v>
      </c>
    </row>
    <row r="210" customFormat="false" ht="15" hidden="false" customHeight="false" outlineLevel="0" collapsed="false">
      <c r="B210" s="38" t="s">
        <v>865</v>
      </c>
      <c r="E210" s="26" t="s">
        <v>866</v>
      </c>
      <c r="G210" s="33" t="n">
        <f aca="false">SUMIFS($G$5:$G$200,$C$5:$C$200,B210)</f>
        <v>1107168370</v>
      </c>
      <c r="H210" s="32" t="n">
        <f aca="false">-Balance_21!$C$27</f>
        <v>1107168370</v>
      </c>
      <c r="I210" s="33" t="n">
        <f aca="false">G210-H210</f>
        <v>0</v>
      </c>
    </row>
    <row r="211" customFormat="false" ht="15" hidden="false" customHeight="false" outlineLevel="0" collapsed="false">
      <c r="B211" s="38" t="s">
        <v>983</v>
      </c>
      <c r="E211" s="26" t="s">
        <v>984</v>
      </c>
      <c r="G211" s="33" t="n">
        <f aca="false">SUMIFS($G$5:$G$200,$C$5:$C$200,B211)</f>
        <v>93054514</v>
      </c>
      <c r="H211" s="32" t="n">
        <f aca="false">-Balance_21!$C$28</f>
        <v>93054514</v>
      </c>
      <c r="I211" s="33" t="n">
        <f aca="false">G211-H211</f>
        <v>0</v>
      </c>
    </row>
    <row r="212" customFormat="false" ht="15" hidden="false" customHeight="false" outlineLevel="0" collapsed="false">
      <c r="E212" s="34" t="s">
        <v>1571</v>
      </c>
      <c r="G212" s="60" t="n">
        <f aca="false">COUNTIF($J$5:$J$200,"SIN-ID")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R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34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12" min="8" style="0" width="17"/>
    <col collapsed="false" customWidth="true" hidden="false" outlineLevel="0" max="13" min="13" style="0" width="22"/>
    <col collapsed="false" customWidth="true" hidden="false" outlineLevel="0" max="17" min="14" style="0" width="15"/>
    <col collapsed="false" customWidth="true" hidden="false" outlineLevel="0" max="18" min="18" style="0" width="30"/>
  </cols>
  <sheetData>
    <row r="1" customFormat="false" ht="16.15" hidden="false" customHeight="false" outlineLevel="0" collapsed="false">
      <c r="A1" s="23" t="s">
        <v>1572</v>
      </c>
    </row>
    <row r="2" customFormat="false" ht="15" hidden="false" customHeight="false" outlineLevel="0" collapsed="false">
      <c r="A2" s="24" t="s">
        <v>1573</v>
      </c>
    </row>
    <row r="4" customFormat="false" ht="48" hidden="false" customHeight="true" outlineLevel="0" collapsed="false">
      <c r="A4" s="31" t="s">
        <v>1198</v>
      </c>
      <c r="B4" s="31" t="s">
        <v>157</v>
      </c>
      <c r="C4" s="31" t="s">
        <v>1199</v>
      </c>
      <c r="D4" s="31" t="s">
        <v>100</v>
      </c>
      <c r="E4" s="31" t="s">
        <v>1574</v>
      </c>
      <c r="F4" s="31" t="s">
        <v>1575</v>
      </c>
      <c r="G4" s="31" t="s">
        <v>1576</v>
      </c>
      <c r="H4" s="31" t="s">
        <v>1577</v>
      </c>
      <c r="I4" s="31" t="s">
        <v>102</v>
      </c>
      <c r="J4" s="31" t="s">
        <v>1578</v>
      </c>
      <c r="K4" s="31" t="s">
        <v>1579</v>
      </c>
      <c r="L4" s="31" t="s">
        <v>1580</v>
      </c>
      <c r="M4" s="31" t="s">
        <v>1581</v>
      </c>
      <c r="N4" s="31" t="s">
        <v>1582</v>
      </c>
      <c r="O4" s="31" t="s">
        <v>1583</v>
      </c>
      <c r="P4" s="31" t="s">
        <v>1584</v>
      </c>
      <c r="Q4" s="31" t="s">
        <v>1585</v>
      </c>
      <c r="R4" s="31" t="s">
        <v>250</v>
      </c>
    </row>
    <row r="5" customFormat="false" ht="15" hidden="false" customHeight="false" outlineLevel="0" collapsed="false">
      <c r="A5" s="34" t="s">
        <v>114</v>
      </c>
      <c r="B5" s="38" t="s">
        <v>1219</v>
      </c>
      <c r="C5" s="26" t="s">
        <v>165</v>
      </c>
      <c r="D5" s="38" t="s">
        <v>1586</v>
      </c>
      <c r="E5" s="32" t="n">
        <f aca="false">SUMIFS(Mayor_Dic25!$G$5:$G$200,Mayor_Dic25!$J$5:$J$200,A5,Mayor_Dic25!$C$5:$C$200,"&lt;&gt;2130*",Mayor_Dic25!$C$5:$C$200,"&lt;&gt;21050301")</f>
        <v>10000000000</v>
      </c>
      <c r="F5" s="32" t="n">
        <f aca="false">SUMIFS(Mayor_Mov!$F$5:$F$445,Mayor_Mov!$N$5:$N$445,$A5,Mayor_Mov!$B$5:$B$445,"21050100")+SUMIFS(Mayor_Mov!$F$5:$F$445,Mayor_Mov!$N$5:$N$445,$A5,Mayor_Mov!$B$5:$B$445,"21050201")+SUMIFS(Mayor_Mov!$F$5:$F$445,Mayor_Mov!$N$5:$N$445,$A5,Mayor_Mov!$B$5:$B$445,"21202040")+SUMIFS(Mayor_Mov!$F$5:$F$445,Mayor_Mov!$N$5:$N$445,$A5,Mayor_Mov!$B$5:$B$445,"21202140")</f>
        <v>0</v>
      </c>
      <c r="G5" s="32" t="n">
        <f aca="false">SUMIFS(Mayor_Mov!$E$5:$E$445,Mayor_Mov!$N$5:$N$445,$A5,Mayor_Mov!$B$5:$B$445,"21050100")+SUMIFS(Mayor_Mov!$E$5:$E$445,Mayor_Mov!$N$5:$N$445,$A5,Mayor_Mov!$B$5:$B$445,"21050201")+SUMIFS(Mayor_Mov!$E$5:$E$445,Mayor_Mov!$N$5:$N$445,$A5,Mayor_Mov!$B$5:$B$445,"21202040")+SUMIFS(Mayor_Mov!$E$5:$E$445,Mayor_Mov!$N$5:$N$445,$A5,Mayor_Mov!$B$5:$B$445,"21202140")</f>
        <v>10000000000</v>
      </c>
      <c r="H5" s="33" t="n">
        <f aca="false">E5+F5-G5</f>
        <v>0</v>
      </c>
      <c r="I5" s="32" t="n">
        <f aca="false">SUMIFS(Detalle_62!$F$14:$F$35,Detalle_62!$C$14:$C$35,A5)</f>
        <v>0</v>
      </c>
      <c r="J5" s="32" t="str">
        <f aca="false">IFERROR(INDEX(Rev_Tablas_Amort!$N:$N,MATCH(A5,Rev_Tablas_Amort!$A:$A,0)),"Sin tabla")</f>
        <v>Sin tabla</v>
      </c>
      <c r="K5" s="39" t="n">
        <v>10000000000</v>
      </c>
      <c r="L5" s="33" t="n">
        <f aca="false">IF(ISNUMBER(K5),K5+F5-G5,"N/D")</f>
        <v>0</v>
      </c>
      <c r="M5" s="26" t="str">
        <f aca="false">IF(ISNUMBER(K5),"[E] Extracto dic-25 + mov. 2026","[P] Sin soporte bancario")</f>
        <v>[E] Extracto dic-25 + mov. 2026</v>
      </c>
      <c r="N5" s="33" t="n">
        <f aca="false">H5-I5</f>
        <v>0</v>
      </c>
      <c r="O5" s="33" t="n">
        <f aca="false">IF(ISNUMBER(L5),H5-L5,"N/D")</f>
        <v>0</v>
      </c>
      <c r="P5" s="33" t="n">
        <f aca="false">IF(ISNUMBER(L5),I5-L5,"N/D")</f>
        <v>0</v>
      </c>
      <c r="Q5" s="33" t="str">
        <f aca="false">IF(AND(ISNUMBER(J5),ISNUMBER(L5)),J5-L5,"N/D")</f>
        <v>N/D</v>
      </c>
      <c r="R5" s="14" t="str">
        <f aca="false">IF(NOT(ISNUMBER(L5)),"Pendiente soporte bancario",IF(ABS(O5)&lt;=Resumen!$C$6,IF(ABS(N5)&lt;=Resumen!$C$6,"OK","Mayor OK – detalle 62 desactualizado"),"Diferencia mayor vs banco"))</f>
        <v>OK</v>
      </c>
    </row>
    <row r="6" customFormat="false" ht="15" hidden="false" customHeight="false" outlineLevel="0" collapsed="false">
      <c r="A6" s="34" t="s">
        <v>115</v>
      </c>
      <c r="B6" s="38" t="s">
        <v>1219</v>
      </c>
      <c r="C6" s="26" t="s">
        <v>165</v>
      </c>
      <c r="D6" s="38" t="s">
        <v>1587</v>
      </c>
      <c r="E6" s="32" t="n">
        <f aca="false">SUMIFS(Mayor_Dic25!$G$5:$G$200,Mayor_Dic25!$J$5:$J$200,A6,Mayor_Dic25!$C$5:$C$200,"&lt;&gt;2130*",Mayor_Dic25!$C$5:$C$200,"&lt;&gt;21050301")</f>
        <v>3000000000</v>
      </c>
      <c r="F6" s="32" t="n">
        <f aca="false">SUMIFS(Mayor_Mov!$F$5:$F$445,Mayor_Mov!$N$5:$N$445,$A6,Mayor_Mov!$B$5:$B$445,"21050100")+SUMIFS(Mayor_Mov!$F$5:$F$445,Mayor_Mov!$N$5:$N$445,$A6,Mayor_Mov!$B$5:$B$445,"21050201")+SUMIFS(Mayor_Mov!$F$5:$F$445,Mayor_Mov!$N$5:$N$445,$A6,Mayor_Mov!$B$5:$B$445,"21202040")+SUMIFS(Mayor_Mov!$F$5:$F$445,Mayor_Mov!$N$5:$N$445,$A6,Mayor_Mov!$B$5:$B$445,"21202140")</f>
        <v>0</v>
      </c>
      <c r="G6" s="32" t="n">
        <f aca="false">SUMIFS(Mayor_Mov!$E$5:$E$445,Mayor_Mov!$N$5:$N$445,$A6,Mayor_Mov!$B$5:$B$445,"21050100")+SUMIFS(Mayor_Mov!$E$5:$E$445,Mayor_Mov!$N$5:$N$445,$A6,Mayor_Mov!$B$5:$B$445,"21050201")+SUMIFS(Mayor_Mov!$E$5:$E$445,Mayor_Mov!$N$5:$N$445,$A6,Mayor_Mov!$B$5:$B$445,"21202040")+SUMIFS(Mayor_Mov!$E$5:$E$445,Mayor_Mov!$N$5:$N$445,$A6,Mayor_Mov!$B$5:$B$445,"21202140")</f>
        <v>0</v>
      </c>
      <c r="H6" s="33" t="n">
        <f aca="false">E6+F6-G6</f>
        <v>3000000000</v>
      </c>
      <c r="I6" s="32" t="n">
        <f aca="false">SUMIFS(Detalle_62!$F$14:$F$35,Detalle_62!$C$14:$C$35,A6)</f>
        <v>3000000000</v>
      </c>
      <c r="J6" s="32" t="n">
        <f aca="false">IFERROR(INDEX(Rev_Tablas_Amort!$N:$N,MATCH(A6,Rev_Tablas_Amort!$A:$A,0)),"Sin tabla")</f>
        <v>3000000000</v>
      </c>
      <c r="K6" s="39" t="n">
        <v>2999996571.59</v>
      </c>
      <c r="L6" s="32" t="n">
        <f aca="false">Certificados!J12</f>
        <v>2999995157</v>
      </c>
      <c r="M6" s="26" t="s">
        <v>1588</v>
      </c>
      <c r="N6" s="33" t="n">
        <f aca="false">H6-I6</f>
        <v>0</v>
      </c>
      <c r="O6" s="33" t="n">
        <f aca="false">IF(ISNUMBER(L6),H6-L6,"N/D")</f>
        <v>4843</v>
      </c>
      <c r="P6" s="33" t="n">
        <f aca="false">IF(ISNUMBER(L6),I6-L6,"N/D")</f>
        <v>4843</v>
      </c>
      <c r="Q6" s="33" t="n">
        <f aca="false">IF(AND(ISNUMBER(J6),ISNUMBER(L6)),J6-L6,"N/D")</f>
        <v>4843</v>
      </c>
      <c r="R6" s="14" t="str">
        <f aca="false">IF(NOT(ISNUMBER(L6)),"Pendiente soporte bancario",IF(ABS(O6)&lt;=Resumen!$C$6,IF(ABS(N6)&lt;=Resumen!$C$6,"OK","Mayor OK – detalle 62 desactualizado"),"Diferencia mayor vs banco"))</f>
        <v>Diferencia mayor vs banco</v>
      </c>
    </row>
    <row r="7" customFormat="false" ht="15" hidden="false" customHeight="false" outlineLevel="0" collapsed="false">
      <c r="A7" s="34" t="s">
        <v>116</v>
      </c>
      <c r="B7" s="38" t="s">
        <v>1219</v>
      </c>
      <c r="C7" s="26" t="s">
        <v>165</v>
      </c>
      <c r="D7" s="38" t="s">
        <v>1589</v>
      </c>
      <c r="E7" s="32" t="n">
        <f aca="false">SUMIFS(Mayor_Dic25!$G$5:$G$200,Mayor_Dic25!$J$5:$J$200,A7,Mayor_Dic25!$C$5:$C$200,"&lt;&gt;2130*",Mayor_Dic25!$C$5:$C$200,"&lt;&gt;21050301")</f>
        <v>7500000000</v>
      </c>
      <c r="F7" s="32" t="n">
        <f aca="false">SUMIFS(Mayor_Mov!$F$5:$F$445,Mayor_Mov!$N$5:$N$445,$A7,Mayor_Mov!$B$5:$B$445,"21050100")+SUMIFS(Mayor_Mov!$F$5:$F$445,Mayor_Mov!$N$5:$N$445,$A7,Mayor_Mov!$B$5:$B$445,"21050201")+SUMIFS(Mayor_Mov!$F$5:$F$445,Mayor_Mov!$N$5:$N$445,$A7,Mayor_Mov!$B$5:$B$445,"21202040")+SUMIFS(Mayor_Mov!$F$5:$F$445,Mayor_Mov!$N$5:$N$445,$A7,Mayor_Mov!$B$5:$B$445,"21202140")</f>
        <v>0</v>
      </c>
      <c r="G7" s="32" t="n">
        <f aca="false">SUMIFS(Mayor_Mov!$E$5:$E$445,Mayor_Mov!$N$5:$N$445,$A7,Mayor_Mov!$B$5:$B$445,"21050100")+SUMIFS(Mayor_Mov!$E$5:$E$445,Mayor_Mov!$N$5:$N$445,$A7,Mayor_Mov!$B$5:$B$445,"21050201")+SUMIFS(Mayor_Mov!$E$5:$E$445,Mayor_Mov!$N$5:$N$445,$A7,Mayor_Mov!$B$5:$B$445,"21202040")+SUMIFS(Mayor_Mov!$E$5:$E$445,Mayor_Mov!$N$5:$N$445,$A7,Mayor_Mov!$B$5:$B$445,"21202140")</f>
        <v>0</v>
      </c>
      <c r="H7" s="33" t="n">
        <f aca="false">E7+F7-G7</f>
        <v>7500000000</v>
      </c>
      <c r="I7" s="32" t="n">
        <f aca="false">SUMIFS(Detalle_62!$F$14:$F$35,Detalle_62!$C$14:$C$35,A7)</f>
        <v>7500000000</v>
      </c>
      <c r="J7" s="32" t="n">
        <f aca="false">IFERROR(INDEX(Rev_Tablas_Amort!$N:$N,MATCH(A7,Rev_Tablas_Amort!$A:$A,0)),"Sin tabla")</f>
        <v>7500000000</v>
      </c>
      <c r="K7" s="39" t="n">
        <v>7499998630.82</v>
      </c>
      <c r="L7" s="32" t="n">
        <f aca="false">Certificados!J5</f>
        <v>7499998503.25</v>
      </c>
      <c r="M7" s="26" t="s">
        <v>1588</v>
      </c>
      <c r="N7" s="33" t="n">
        <f aca="false">H7-I7</f>
        <v>0</v>
      </c>
      <c r="O7" s="33" t="n">
        <f aca="false">IF(ISNUMBER(L7),H7-L7,"N/D")</f>
        <v>1496.75</v>
      </c>
      <c r="P7" s="33" t="n">
        <f aca="false">IF(ISNUMBER(L7),I7-L7,"N/D")</f>
        <v>1496.75</v>
      </c>
      <c r="Q7" s="33" t="n">
        <f aca="false">IF(AND(ISNUMBER(J7),ISNUMBER(L7)),J7-L7,"N/D")</f>
        <v>1496.75</v>
      </c>
      <c r="R7" s="14" t="str">
        <f aca="false">IF(NOT(ISNUMBER(L7)),"Pendiente soporte bancario",IF(ABS(O7)&lt;=Resumen!$C$6,IF(ABS(N7)&lt;=Resumen!$C$6,"OK","Mayor OK – detalle 62 desactualizado"),"Diferencia mayor vs banco"))</f>
        <v>Diferencia mayor vs banco</v>
      </c>
    </row>
    <row r="8" customFormat="false" ht="15" hidden="false" customHeight="false" outlineLevel="0" collapsed="false">
      <c r="A8" s="34" t="s">
        <v>117</v>
      </c>
      <c r="B8" s="38" t="s">
        <v>1219</v>
      </c>
      <c r="C8" s="26" t="s">
        <v>165</v>
      </c>
      <c r="D8" s="38" t="s">
        <v>1590</v>
      </c>
      <c r="E8" s="32" t="n">
        <f aca="false">SUMIFS(Mayor_Dic25!$G$5:$G$200,Mayor_Dic25!$J$5:$J$200,A8,Mayor_Dic25!$C$5:$C$200,"&lt;&gt;2130*",Mayor_Dic25!$C$5:$C$200,"&lt;&gt;21050301")</f>
        <v>3960000000</v>
      </c>
      <c r="F8" s="32" t="n">
        <f aca="false">SUMIFS(Mayor_Mov!$F$5:$F$445,Mayor_Mov!$N$5:$N$445,$A8,Mayor_Mov!$B$5:$B$445,"21050100")+SUMIFS(Mayor_Mov!$F$5:$F$445,Mayor_Mov!$N$5:$N$445,$A8,Mayor_Mov!$B$5:$B$445,"21050201")+SUMIFS(Mayor_Mov!$F$5:$F$445,Mayor_Mov!$N$5:$N$445,$A8,Mayor_Mov!$B$5:$B$445,"21202040")+SUMIFS(Mayor_Mov!$F$5:$F$445,Mayor_Mov!$N$5:$N$445,$A8,Mayor_Mov!$B$5:$B$445,"21202140")</f>
        <v>0</v>
      </c>
      <c r="G8" s="32" t="n">
        <f aca="false">SUMIFS(Mayor_Mov!$E$5:$E$445,Mayor_Mov!$N$5:$N$445,$A8,Mayor_Mov!$B$5:$B$445,"21050100")+SUMIFS(Mayor_Mov!$E$5:$E$445,Mayor_Mov!$N$5:$N$445,$A8,Mayor_Mov!$B$5:$B$445,"21050201")+SUMIFS(Mayor_Mov!$E$5:$E$445,Mayor_Mov!$N$5:$N$445,$A8,Mayor_Mov!$B$5:$B$445,"21202040")+SUMIFS(Mayor_Mov!$E$5:$E$445,Mayor_Mov!$N$5:$N$445,$A8,Mayor_Mov!$B$5:$B$445,"21202140")</f>
        <v>0</v>
      </c>
      <c r="H8" s="33" t="n">
        <f aca="false">E8+F8-G8</f>
        <v>3960000000</v>
      </c>
      <c r="I8" s="32" t="n">
        <f aca="false">SUMIFS(Detalle_62!$F$14:$F$35,Detalle_62!$C$14:$C$35,A8)</f>
        <v>3960000000</v>
      </c>
      <c r="J8" s="32" t="n">
        <f aca="false">IFERROR(INDEX(Rev_Tablas_Amort!$N:$N,MATCH(A8,Rev_Tablas_Amort!$A:$A,0)),"Sin tabla")</f>
        <v>3960000000</v>
      </c>
      <c r="K8" s="39" t="n">
        <v>3959998705.37</v>
      </c>
      <c r="L8" s="32" t="n">
        <f aca="false">Certificados!J11</f>
        <v>3959997817.95</v>
      </c>
      <c r="M8" s="26" t="s">
        <v>1588</v>
      </c>
      <c r="N8" s="33" t="n">
        <f aca="false">H8-I8</f>
        <v>0</v>
      </c>
      <c r="O8" s="33" t="n">
        <f aca="false">IF(ISNUMBER(L8),H8-L8,"N/D")</f>
        <v>2182.0499997139</v>
      </c>
      <c r="P8" s="33" t="n">
        <f aca="false">IF(ISNUMBER(L8),I8-L8,"N/D")</f>
        <v>2182.0499997139</v>
      </c>
      <c r="Q8" s="33" t="n">
        <f aca="false">IF(AND(ISNUMBER(J8),ISNUMBER(L8)),J8-L8,"N/D")</f>
        <v>2182.0499997139</v>
      </c>
      <c r="R8" s="14" t="str">
        <f aca="false">IF(NOT(ISNUMBER(L8)),"Pendiente soporte bancario",IF(ABS(O8)&lt;=Resumen!$C$6,IF(ABS(N8)&lt;=Resumen!$C$6,"OK","Mayor OK – detalle 62 desactualizado"),"Diferencia mayor vs banco"))</f>
        <v>Diferencia mayor vs banco</v>
      </c>
    </row>
    <row r="9" customFormat="false" ht="15" hidden="false" customHeight="false" outlineLevel="0" collapsed="false">
      <c r="A9" s="34" t="s">
        <v>118</v>
      </c>
      <c r="B9" s="38" t="s">
        <v>1219</v>
      </c>
      <c r="C9" s="26" t="s">
        <v>1221</v>
      </c>
      <c r="D9" s="38" t="s">
        <v>1591</v>
      </c>
      <c r="E9" s="32" t="n">
        <f aca="false">SUMIFS(Mayor_Dic25!$G$5:$G$200,Mayor_Dic25!$J$5:$J$200,A9,Mayor_Dic25!$C$5:$C$200,"&lt;&gt;2130*",Mayor_Dic25!$C$5:$C$200,"&lt;&gt;21050301")</f>
        <v>481870906</v>
      </c>
      <c r="F9" s="32" t="n">
        <f aca="false">SUMIFS(Mayor_Mov!$F$5:$F$445,Mayor_Mov!$N$5:$N$445,$A9,Mayor_Mov!$B$5:$B$445,"21050100")+SUMIFS(Mayor_Mov!$F$5:$F$445,Mayor_Mov!$N$5:$N$445,$A9,Mayor_Mov!$B$5:$B$445,"21050201")+SUMIFS(Mayor_Mov!$F$5:$F$445,Mayor_Mov!$N$5:$N$445,$A9,Mayor_Mov!$B$5:$B$445,"21202040")+SUMIFS(Mayor_Mov!$F$5:$F$445,Mayor_Mov!$N$5:$N$445,$A9,Mayor_Mov!$B$5:$B$445,"21202140")</f>
        <v>0</v>
      </c>
      <c r="G9" s="32" t="n">
        <f aca="false">SUMIFS(Mayor_Mov!$E$5:$E$445,Mayor_Mov!$N$5:$N$445,$A9,Mayor_Mov!$B$5:$B$445,"21050100")+SUMIFS(Mayor_Mov!$E$5:$E$445,Mayor_Mov!$N$5:$N$445,$A9,Mayor_Mov!$B$5:$B$445,"21050201")+SUMIFS(Mayor_Mov!$E$5:$E$445,Mayor_Mov!$N$5:$N$445,$A9,Mayor_Mov!$B$5:$B$445,"21202040")+SUMIFS(Mayor_Mov!$E$5:$E$445,Mayor_Mov!$N$5:$N$445,$A9,Mayor_Mov!$B$5:$B$445,"21202140")</f>
        <v>82483752</v>
      </c>
      <c r="H9" s="33" t="n">
        <f aca="false">E9+F9-G9</f>
        <v>399387154</v>
      </c>
      <c r="I9" s="32" t="n">
        <f aca="false">SUMIFS(Detalle_62!$F$14:$F$35,Detalle_62!$C$14:$C$35,A9)</f>
        <v>398582167.21439</v>
      </c>
      <c r="J9" s="32" t="n">
        <f aca="false">IFERROR(INDEX(Rev_Tablas_Amort!$N:$N,MATCH(A9,Rev_Tablas_Amort!$A:$A,0)),"Sin tabla")</f>
        <v>398582167.21439</v>
      </c>
      <c r="K9" s="39" t="n">
        <v>481870906</v>
      </c>
      <c r="L9" s="33" t="n">
        <f aca="false">IF(ISNUMBER(K9),K9+F9-G9,"N/D")</f>
        <v>399387154</v>
      </c>
      <c r="M9" s="26" t="str">
        <f aca="false">IF(ISNUMBER(K9),"[E] Extracto dic-25 + mov. 2026","[P] Sin soporte bancario")</f>
        <v>[E] Extracto dic-25 + mov. 2026</v>
      </c>
      <c r="N9" s="33" t="n">
        <f aca="false">H9-I9</f>
        <v>804986.78561002</v>
      </c>
      <c r="O9" s="33" t="n">
        <f aca="false">IF(ISNUMBER(L9),H9-L9,"N/D")</f>
        <v>0</v>
      </c>
      <c r="P9" s="33" t="n">
        <f aca="false">IF(ISNUMBER(L9),I9-L9,"N/D")</f>
        <v>-804986.78561002</v>
      </c>
      <c r="Q9" s="33" t="n">
        <f aca="false">IF(AND(ISNUMBER(J9),ISNUMBER(L9)),J9-L9,"N/D")</f>
        <v>-804986.78561002</v>
      </c>
      <c r="R9" s="14" t="str">
        <f aca="false">IF(NOT(ISNUMBER(L9)),"Pendiente soporte bancario",IF(ABS(O9)&lt;=Resumen!$C$6,IF(ABS(N9)&lt;=Resumen!$C$6,"OK","Mayor OK – detalle 62 desactualizado"),"Diferencia mayor vs banco"))</f>
        <v>Mayor OK – detalle 62 desactualizado</v>
      </c>
    </row>
    <row r="10" customFormat="false" ht="15" hidden="false" customHeight="false" outlineLevel="0" collapsed="false">
      <c r="A10" s="34" t="s">
        <v>119</v>
      </c>
      <c r="B10" s="38" t="s">
        <v>1219</v>
      </c>
      <c r="C10" s="26" t="s">
        <v>1221</v>
      </c>
      <c r="D10" s="38" t="s">
        <v>1592</v>
      </c>
      <c r="E10" s="32" t="n">
        <f aca="false">SUMIFS(Mayor_Dic25!$G$5:$G$200,Mayor_Dic25!$J$5:$J$200,A10,Mayor_Dic25!$C$5:$C$200,"&lt;&gt;2130*",Mayor_Dic25!$C$5:$C$200,"&lt;&gt;21050301")</f>
        <v>393351698</v>
      </c>
      <c r="F10" s="32" t="n">
        <f aca="false">SUMIFS(Mayor_Mov!$F$5:$F$445,Mayor_Mov!$N$5:$N$445,$A10,Mayor_Mov!$B$5:$B$445,"21050100")+SUMIFS(Mayor_Mov!$F$5:$F$445,Mayor_Mov!$N$5:$N$445,$A10,Mayor_Mov!$B$5:$B$445,"21050201")+SUMIFS(Mayor_Mov!$F$5:$F$445,Mayor_Mov!$N$5:$N$445,$A10,Mayor_Mov!$B$5:$B$445,"21202040")+SUMIFS(Mayor_Mov!$F$5:$F$445,Mayor_Mov!$N$5:$N$445,$A10,Mayor_Mov!$B$5:$B$445,"21202140")</f>
        <v>0</v>
      </c>
      <c r="G10" s="32" t="n">
        <f aca="false">SUMIFS(Mayor_Mov!$E$5:$E$445,Mayor_Mov!$N$5:$N$445,$A10,Mayor_Mov!$B$5:$B$445,"21050100")+SUMIFS(Mayor_Mov!$E$5:$E$445,Mayor_Mov!$N$5:$N$445,$A10,Mayor_Mov!$B$5:$B$445,"21050201")+SUMIFS(Mayor_Mov!$E$5:$E$445,Mayor_Mov!$N$5:$N$445,$A10,Mayor_Mov!$B$5:$B$445,"21202040")+SUMIFS(Mayor_Mov!$E$5:$E$445,Mayor_Mov!$N$5:$N$445,$A10,Mayor_Mov!$B$5:$B$445,"21202140")</f>
        <v>60352563</v>
      </c>
      <c r="H10" s="33" t="n">
        <f aca="false">E10+F10-G10</f>
        <v>332999135</v>
      </c>
      <c r="I10" s="32" t="n">
        <f aca="false">SUMIFS(Detalle_62!$F$14:$F$35,Detalle_62!$C$14:$C$35,A10)</f>
        <v>323529688.533944</v>
      </c>
      <c r="J10" s="32" t="n">
        <f aca="false">IFERROR(INDEX(Rev_Tablas_Amort!$N:$N,MATCH(A10,Rev_Tablas_Amort!$A:$A,0)),"Sin tabla")</f>
        <v>323529688.533944</v>
      </c>
      <c r="K10" s="39" t="n">
        <v>393351698</v>
      </c>
      <c r="L10" s="33" t="n">
        <f aca="false">IF(ISNUMBER(K10),K10+F10-G10,"N/D")</f>
        <v>332999135</v>
      </c>
      <c r="M10" s="26" t="str">
        <f aca="false">IF(ISNUMBER(K10),"[E] Extracto dic-25 + mov. 2026","[P] Sin soporte bancario")</f>
        <v>[E] Extracto dic-25 + mov. 2026</v>
      </c>
      <c r="N10" s="33" t="n">
        <f aca="false">H10-I10</f>
        <v>9469446.46605557</v>
      </c>
      <c r="O10" s="33" t="n">
        <f aca="false">IF(ISNUMBER(L10),H10-L10,"N/D")</f>
        <v>0</v>
      </c>
      <c r="P10" s="33" t="n">
        <f aca="false">IF(ISNUMBER(L10),I10-L10,"N/D")</f>
        <v>-9469446.46605557</v>
      </c>
      <c r="Q10" s="33" t="n">
        <f aca="false">IF(AND(ISNUMBER(J10),ISNUMBER(L10)),J10-L10,"N/D")</f>
        <v>-9469446.46605557</v>
      </c>
      <c r="R10" s="14" t="str">
        <f aca="false">IF(NOT(ISNUMBER(L10)),"Pendiente soporte bancario",IF(ABS(O10)&lt;=Resumen!$C$6,IF(ABS(N10)&lt;=Resumen!$C$6,"OK","Mayor OK – detalle 62 desactualizado"),"Diferencia mayor vs banco"))</f>
        <v>Mayor OK – detalle 62 desactualizado</v>
      </c>
    </row>
    <row r="11" customFormat="false" ht="15" hidden="false" customHeight="false" outlineLevel="0" collapsed="false">
      <c r="A11" s="34" t="s">
        <v>120</v>
      </c>
      <c r="B11" s="38" t="s">
        <v>1219</v>
      </c>
      <c r="C11" s="26" t="s">
        <v>1221</v>
      </c>
      <c r="D11" s="38" t="s">
        <v>1593</v>
      </c>
      <c r="E11" s="32" t="n">
        <f aca="false">SUMIFS(Mayor_Dic25!$G$5:$G$200,Mayor_Dic25!$J$5:$J$200,A11,Mayor_Dic25!$C$5:$C$200,"&lt;&gt;2130*",Mayor_Dic25!$C$5:$C$200,"&lt;&gt;21050301")</f>
        <v>1876684264</v>
      </c>
      <c r="F11" s="32" t="n">
        <f aca="false">SUMIFS(Mayor_Mov!$F$5:$F$445,Mayor_Mov!$N$5:$N$445,$A11,Mayor_Mov!$B$5:$B$445,"21050100")+SUMIFS(Mayor_Mov!$F$5:$F$445,Mayor_Mov!$N$5:$N$445,$A11,Mayor_Mov!$B$5:$B$445,"21050201")+SUMIFS(Mayor_Mov!$F$5:$F$445,Mayor_Mov!$N$5:$N$445,$A11,Mayor_Mov!$B$5:$B$445,"21202040")+SUMIFS(Mayor_Mov!$F$5:$F$445,Mayor_Mov!$N$5:$N$445,$A11,Mayor_Mov!$B$5:$B$445,"21202140")</f>
        <v>0</v>
      </c>
      <c r="G11" s="32" t="n">
        <f aca="false">SUMIFS(Mayor_Mov!$E$5:$E$445,Mayor_Mov!$N$5:$N$445,$A11,Mayor_Mov!$B$5:$B$445,"21050100")+SUMIFS(Mayor_Mov!$E$5:$E$445,Mayor_Mov!$N$5:$N$445,$A11,Mayor_Mov!$B$5:$B$445,"21050201")+SUMIFS(Mayor_Mov!$E$5:$E$445,Mayor_Mov!$N$5:$N$445,$A11,Mayor_Mov!$B$5:$B$445,"21202040")+SUMIFS(Mayor_Mov!$E$5:$E$445,Mayor_Mov!$N$5:$N$445,$A11,Mayor_Mov!$B$5:$B$445,"21202140")</f>
        <v>0</v>
      </c>
      <c r="H11" s="33" t="n">
        <f aca="false">E11+F11-G11</f>
        <v>1876684264</v>
      </c>
      <c r="I11" s="32" t="n">
        <f aca="false">SUMIFS(Detalle_62!$F$14:$F$35,Detalle_62!$C$14:$C$35,A11)</f>
        <v>1883712218.08706</v>
      </c>
      <c r="J11" s="32" t="n">
        <f aca="false">IFERROR(INDEX(Rev_Tablas_Amort!$N:$N,MATCH(A11,Rev_Tablas_Amort!$A:$A,0)),"Sin tabla")</f>
        <v>1883712218.08706</v>
      </c>
      <c r="K11" s="39" t="n">
        <v>1876684264</v>
      </c>
      <c r="L11" s="33" t="n">
        <f aca="false">IF(ISNUMBER(K11),K11+F11-G11,"N/D")</f>
        <v>1876684264</v>
      </c>
      <c r="M11" s="26" t="str">
        <f aca="false">IF(ISNUMBER(K11),"[E] Extracto dic-25 + mov. 2026","[P] Sin soporte bancario")</f>
        <v>[E] Extracto dic-25 + mov. 2026</v>
      </c>
      <c r="N11" s="33" t="n">
        <f aca="false">H11-I11</f>
        <v>-7027954.08705711</v>
      </c>
      <c r="O11" s="33" t="n">
        <f aca="false">IF(ISNUMBER(L11),H11-L11,"N/D")</f>
        <v>0</v>
      </c>
      <c r="P11" s="33" t="n">
        <f aca="false">IF(ISNUMBER(L11),I11-L11,"N/D")</f>
        <v>7027954.08705711</v>
      </c>
      <c r="Q11" s="33" t="n">
        <f aca="false">IF(AND(ISNUMBER(J11),ISNUMBER(L11)),J11-L11,"N/D")</f>
        <v>7027954.08705711</v>
      </c>
      <c r="R11" s="14" t="str">
        <f aca="false">IF(NOT(ISNUMBER(L11)),"Pendiente soporte bancario",IF(ABS(O11)&lt;=Resumen!$C$6,IF(ABS(N11)&lt;=Resumen!$C$6,"OK","Mayor OK – detalle 62 desactualizado"),"Diferencia mayor vs banco"))</f>
        <v>Mayor OK – detalle 62 desactualizado</v>
      </c>
    </row>
    <row r="12" customFormat="false" ht="15" hidden="false" customHeight="false" outlineLevel="0" collapsed="false">
      <c r="A12" s="34" t="s">
        <v>121</v>
      </c>
      <c r="B12" s="38" t="s">
        <v>1219</v>
      </c>
      <c r="C12" s="26" t="s">
        <v>1221</v>
      </c>
      <c r="D12" s="38" t="s">
        <v>1594</v>
      </c>
      <c r="E12" s="32" t="n">
        <f aca="false">SUMIFS(Mayor_Dic25!$G$5:$G$200,Mayor_Dic25!$J$5:$J$200,A12,Mayor_Dic25!$C$5:$C$200,"&lt;&gt;2130*",Mayor_Dic25!$C$5:$C$200,"&lt;&gt;21050301")</f>
        <v>213861900</v>
      </c>
      <c r="F12" s="32" t="n">
        <f aca="false">SUMIFS(Mayor_Mov!$F$5:$F$445,Mayor_Mov!$N$5:$N$445,$A12,Mayor_Mov!$B$5:$B$445,"21050100")+SUMIFS(Mayor_Mov!$F$5:$F$445,Mayor_Mov!$N$5:$N$445,$A12,Mayor_Mov!$B$5:$B$445,"21050201")+SUMIFS(Mayor_Mov!$F$5:$F$445,Mayor_Mov!$N$5:$N$445,$A12,Mayor_Mov!$B$5:$B$445,"21202040")+SUMIFS(Mayor_Mov!$F$5:$F$445,Mayor_Mov!$N$5:$N$445,$A12,Mayor_Mov!$B$5:$B$445,"21202140")</f>
        <v>0</v>
      </c>
      <c r="G12" s="32" t="n">
        <f aca="false">SUMIFS(Mayor_Mov!$E$5:$E$445,Mayor_Mov!$N$5:$N$445,$A12,Mayor_Mov!$B$5:$B$445,"21050100")+SUMIFS(Mayor_Mov!$E$5:$E$445,Mayor_Mov!$N$5:$N$445,$A12,Mayor_Mov!$B$5:$B$445,"21050201")+SUMIFS(Mayor_Mov!$E$5:$E$445,Mayor_Mov!$N$5:$N$445,$A12,Mayor_Mov!$B$5:$B$445,"21202040")+SUMIFS(Mayor_Mov!$E$5:$E$445,Mayor_Mov!$N$5:$N$445,$A12,Mayor_Mov!$B$5:$B$445,"21202140")</f>
        <v>0</v>
      </c>
      <c r="H12" s="33" t="n">
        <f aca="false">E12+F12-G12</f>
        <v>213861900</v>
      </c>
      <c r="I12" s="32" t="n">
        <f aca="false">SUMIFS(Detalle_62!$F$14:$F$35,Detalle_62!$C$14:$C$35,A12)</f>
        <v>0</v>
      </c>
      <c r="J12" s="32" t="str">
        <f aca="false">IFERROR(INDEX(Rev_Tablas_Amort!$N:$N,MATCH(A12,Rev_Tablas_Amort!$A:$A,0)),"Sin tabla")</f>
        <v>Sin tabla</v>
      </c>
      <c r="K12" s="39" t="s">
        <v>1595</v>
      </c>
      <c r="L12" s="33" t="str">
        <f aca="false">IF(ISNUMBER(K12),K12+F12-G12,"N/D")</f>
        <v>N/D</v>
      </c>
      <c r="M12" s="26" t="str">
        <f aca="false">IF(ISNUMBER(K12),"[E] Extracto dic-25 + mov. 2026","[P] Sin soporte bancario")</f>
        <v>[P] Sin soporte bancario</v>
      </c>
      <c r="N12" s="33" t="n">
        <f aca="false">H12-I12</f>
        <v>213861900</v>
      </c>
      <c r="O12" s="33" t="str">
        <f aca="false">IF(ISNUMBER(L12),H12-L12,"N/D")</f>
        <v>N/D</v>
      </c>
      <c r="P12" s="33" t="str">
        <f aca="false">IF(ISNUMBER(L12),I12-L12,"N/D")</f>
        <v>N/D</v>
      </c>
      <c r="Q12" s="33" t="str">
        <f aca="false">IF(AND(ISNUMBER(J12),ISNUMBER(L12)),J12-L12,"N/D")</f>
        <v>N/D</v>
      </c>
      <c r="R12" s="14" t="str">
        <f aca="false">IF(NOT(ISNUMBER(L12)),"Pendiente soporte bancario",IF(ABS(O12)&lt;=Resumen!$C$6,IF(ABS(N12)&lt;=Resumen!$C$6,"OK","Mayor OK – detalle 62 desactualizado"),"Diferencia mayor vs banco"))</f>
        <v>Pendiente soporte bancario</v>
      </c>
    </row>
    <row r="13" customFormat="false" ht="15" hidden="false" customHeight="false" outlineLevel="0" collapsed="false">
      <c r="A13" s="34" t="s">
        <v>124</v>
      </c>
      <c r="B13" s="38" t="s">
        <v>306</v>
      </c>
      <c r="C13" s="26" t="s">
        <v>165</v>
      </c>
      <c r="D13" s="38" t="s">
        <v>1596</v>
      </c>
      <c r="E13" s="32" t="n">
        <f aca="false">SUMIFS(Mayor_Dic25!$G$5:$G$200,Mayor_Dic25!$J$5:$J$200,A13,Mayor_Dic25!$C$5:$C$200,"&lt;&gt;2130*",Mayor_Dic25!$C$5:$C$200,"&lt;&gt;21050301")</f>
        <v>3375000000</v>
      </c>
      <c r="F13" s="32" t="n">
        <f aca="false">SUMIFS(Mayor_Mov!$F$5:$F$445,Mayor_Mov!$N$5:$N$445,$A13,Mayor_Mov!$B$5:$B$445,"21050100")+SUMIFS(Mayor_Mov!$F$5:$F$445,Mayor_Mov!$N$5:$N$445,$A13,Mayor_Mov!$B$5:$B$445,"21050201")+SUMIFS(Mayor_Mov!$F$5:$F$445,Mayor_Mov!$N$5:$N$445,$A13,Mayor_Mov!$B$5:$B$445,"21202040")+SUMIFS(Mayor_Mov!$F$5:$F$445,Mayor_Mov!$N$5:$N$445,$A13,Mayor_Mov!$B$5:$B$445,"21202140")</f>
        <v>0</v>
      </c>
      <c r="G13" s="32" t="n">
        <f aca="false">SUMIFS(Mayor_Mov!$E$5:$E$445,Mayor_Mov!$N$5:$N$445,$A13,Mayor_Mov!$B$5:$B$445,"21050100")+SUMIFS(Mayor_Mov!$E$5:$E$445,Mayor_Mov!$N$5:$N$445,$A13,Mayor_Mov!$B$5:$B$445,"21050201")+SUMIFS(Mayor_Mov!$E$5:$E$445,Mayor_Mov!$N$5:$N$445,$A13,Mayor_Mov!$B$5:$B$445,"21202040")+SUMIFS(Mayor_Mov!$E$5:$E$445,Mayor_Mov!$N$5:$N$445,$A13,Mayor_Mov!$B$5:$B$445,"21202140")</f>
        <v>437500000</v>
      </c>
      <c r="H13" s="33" t="n">
        <f aca="false">E13+F13-G13</f>
        <v>2937500000</v>
      </c>
      <c r="I13" s="32" t="n">
        <f aca="false">SUMIFS(Detalle_62!$F$14:$F$35,Detalle_62!$C$14:$C$35,A13)</f>
        <v>2937500000</v>
      </c>
      <c r="J13" s="32" t="n">
        <f aca="false">IFERROR(INDEX(Rev_Tablas_Amort!$N:$N,MATCH(A13,Rev_Tablas_Amort!$A:$A,0)),"Sin tabla")</f>
        <v>2937500000</v>
      </c>
      <c r="K13" s="39" t="n">
        <v>3374999979</v>
      </c>
      <c r="L13" s="32" t="n">
        <f aca="false">Certificados!J8</f>
        <v>2937499977.39</v>
      </c>
      <c r="M13" s="26" t="s">
        <v>1588</v>
      </c>
      <c r="N13" s="33" t="n">
        <f aca="false">H13-I13</f>
        <v>0</v>
      </c>
      <c r="O13" s="33" t="n">
        <f aca="false">IF(ISNUMBER(L13),H13-L13,"N/D")</f>
        <v>22.6100001335144</v>
      </c>
      <c r="P13" s="33" t="n">
        <f aca="false">IF(ISNUMBER(L13),I13-L13,"N/D")</f>
        <v>22.6100001335144</v>
      </c>
      <c r="Q13" s="33" t="n">
        <f aca="false">IF(AND(ISNUMBER(J13),ISNUMBER(L13)),J13-L13,"N/D")</f>
        <v>22.6100001335144</v>
      </c>
      <c r="R13" s="14" t="str">
        <f aca="false">IF(NOT(ISNUMBER(L13)),"Pendiente soporte bancario",IF(ABS(O13)&lt;=Resumen!$C$6,IF(ABS(N13)&lt;=Resumen!$C$6,"OK","Mayor OK – detalle 62 desactualizado"),"Diferencia mayor vs banco"))</f>
        <v>OK</v>
      </c>
    </row>
    <row r="14" customFormat="false" ht="15" hidden="false" customHeight="false" outlineLevel="0" collapsed="false">
      <c r="A14" s="34" t="s">
        <v>125</v>
      </c>
      <c r="B14" s="38" t="s">
        <v>306</v>
      </c>
      <c r="C14" s="26" t="s">
        <v>165</v>
      </c>
      <c r="D14" s="38" t="s">
        <v>1597</v>
      </c>
      <c r="E14" s="32" t="n">
        <f aca="false">SUMIFS(Mayor_Dic25!$G$5:$G$200,Mayor_Dic25!$J$5:$J$200,A14,Mayor_Dic25!$C$5:$C$200,"&lt;&gt;2130*",Mayor_Dic25!$C$5:$C$200,"&lt;&gt;21050301")</f>
        <v>1821666666</v>
      </c>
      <c r="F14" s="32" t="n">
        <f aca="false">SUMIFS(Mayor_Mov!$F$5:$F$445,Mayor_Mov!$N$5:$N$445,$A14,Mayor_Mov!$B$5:$B$445,"21050100")+SUMIFS(Mayor_Mov!$F$5:$F$445,Mayor_Mov!$N$5:$N$445,$A14,Mayor_Mov!$B$5:$B$445,"21050201")+SUMIFS(Mayor_Mov!$F$5:$F$445,Mayor_Mov!$N$5:$N$445,$A14,Mayor_Mov!$B$5:$B$445,"21202040")+SUMIFS(Mayor_Mov!$F$5:$F$445,Mayor_Mov!$N$5:$N$445,$A14,Mayor_Mov!$B$5:$B$445,"21202140")</f>
        <v>0</v>
      </c>
      <c r="G14" s="32" t="n">
        <f aca="false">SUMIFS(Mayor_Mov!$E$5:$E$445,Mayor_Mov!$N$5:$N$445,$A14,Mayor_Mov!$B$5:$B$445,"21050100")+SUMIFS(Mayor_Mov!$E$5:$E$445,Mayor_Mov!$N$5:$N$445,$A14,Mayor_Mov!$B$5:$B$445,"21050201")+SUMIFS(Mayor_Mov!$E$5:$E$445,Mayor_Mov!$N$5:$N$445,$A14,Mayor_Mov!$B$5:$B$445,"21202040")+SUMIFS(Mayor_Mov!$E$5:$E$445,Mayor_Mov!$N$5:$N$445,$A14,Mayor_Mov!$B$5:$B$445,"21202140")</f>
        <v>364333334</v>
      </c>
      <c r="H14" s="33" t="n">
        <f aca="false">E14+F14-G14</f>
        <v>1457333332</v>
      </c>
      <c r="I14" s="32" t="n">
        <f aca="false">SUMIFS(Detalle_62!$F$14:$F$35,Detalle_62!$C$14:$C$35,A14)</f>
        <v>1457333332</v>
      </c>
      <c r="J14" s="32" t="n">
        <f aca="false">IFERROR(INDEX(Rev_Tablas_Amort!$N:$N,MATCH(A14,Rev_Tablas_Amort!$A:$A,0)),"Sin tabla")</f>
        <v>1457333336</v>
      </c>
      <c r="K14" s="39" t="n">
        <f aca="false">2003833327.94-182166667</f>
        <v>1821666660.94</v>
      </c>
      <c r="L14" s="32" t="n">
        <f aca="false">Certificados!J6</f>
        <v>1457333325.59</v>
      </c>
      <c r="M14" s="26" t="s">
        <v>1588</v>
      </c>
      <c r="N14" s="33" t="n">
        <f aca="false">H14-I14</f>
        <v>0</v>
      </c>
      <c r="O14" s="33" t="n">
        <f aca="false">IF(ISNUMBER(L14),H14-L14,"N/D")</f>
        <v>6.41000008583069</v>
      </c>
      <c r="P14" s="33" t="n">
        <f aca="false">IF(ISNUMBER(L14),I14-L14,"N/D")</f>
        <v>6.41000008583069</v>
      </c>
      <c r="Q14" s="33" t="n">
        <f aca="false">IF(AND(ISNUMBER(J14),ISNUMBER(L14)),J14-L14,"N/D")</f>
        <v>10.4100000858307</v>
      </c>
      <c r="R14" s="14" t="str">
        <f aca="false">IF(NOT(ISNUMBER(L14)),"Pendiente soporte bancario",IF(ABS(O14)&lt;=Resumen!$C$6,IF(ABS(N14)&lt;=Resumen!$C$6,"OK","Mayor OK – detalle 62 desactualizado"),"Diferencia mayor vs banco"))</f>
        <v>OK</v>
      </c>
    </row>
    <row r="15" customFormat="false" ht="15" hidden="false" customHeight="false" outlineLevel="0" collapsed="false">
      <c r="A15" s="34" t="s">
        <v>126</v>
      </c>
      <c r="B15" s="38" t="s">
        <v>306</v>
      </c>
      <c r="C15" s="26" t="s">
        <v>165</v>
      </c>
      <c r="D15" s="38" t="s">
        <v>1598</v>
      </c>
      <c r="E15" s="32" t="n">
        <f aca="false">SUMIFS(Mayor_Dic25!$G$5:$G$200,Mayor_Dic25!$J$5:$J$200,A15,Mayor_Dic25!$C$5:$C$200,"&lt;&gt;2130*",Mayor_Dic25!$C$5:$C$200,"&lt;&gt;21050301")</f>
        <v>1375000000</v>
      </c>
      <c r="F15" s="32" t="n">
        <f aca="false">SUMIFS(Mayor_Mov!$F$5:$F$445,Mayor_Mov!$N$5:$N$445,$A15,Mayor_Mov!$B$5:$B$445,"21050100")+SUMIFS(Mayor_Mov!$F$5:$F$445,Mayor_Mov!$N$5:$N$445,$A15,Mayor_Mov!$B$5:$B$445,"21050201")+SUMIFS(Mayor_Mov!$F$5:$F$445,Mayor_Mov!$N$5:$N$445,$A15,Mayor_Mov!$B$5:$B$445,"21202040")+SUMIFS(Mayor_Mov!$F$5:$F$445,Mayor_Mov!$N$5:$N$445,$A15,Mayor_Mov!$B$5:$B$445,"21202140")</f>
        <v>0</v>
      </c>
      <c r="G15" s="32" t="n">
        <f aca="false">SUMIFS(Mayor_Mov!$E$5:$E$445,Mayor_Mov!$N$5:$N$445,$A15,Mayor_Mov!$B$5:$B$445,"21050100")+SUMIFS(Mayor_Mov!$E$5:$E$445,Mayor_Mov!$N$5:$N$445,$A15,Mayor_Mov!$B$5:$B$445,"21050201")+SUMIFS(Mayor_Mov!$E$5:$E$445,Mayor_Mov!$N$5:$N$445,$A15,Mayor_Mov!$B$5:$B$445,"21202040")+SUMIFS(Mayor_Mov!$E$5:$E$445,Mayor_Mov!$N$5:$N$445,$A15,Mayor_Mov!$B$5:$B$445,"21202140")</f>
        <v>250000000</v>
      </c>
      <c r="H15" s="33" t="n">
        <f aca="false">E15+F15-G15</f>
        <v>1125000000</v>
      </c>
      <c r="I15" s="32" t="n">
        <f aca="false">SUMIFS(Detalle_62!$F$14:$F$35,Detalle_62!$C$14:$C$35,A15)</f>
        <v>1125000000</v>
      </c>
      <c r="J15" s="32" t="n">
        <f aca="false">IFERROR(INDEX(Rev_Tablas_Amort!$N:$N,MATCH(A15,Rev_Tablas_Amort!$A:$A,0)),"Sin tabla")</f>
        <v>1125000000</v>
      </c>
      <c r="K15" s="39" t="n">
        <v>1375000000</v>
      </c>
      <c r="L15" s="32" t="n">
        <f aca="false">Certificados!J9</f>
        <v>1124999996.41</v>
      </c>
      <c r="M15" s="26" t="s">
        <v>1588</v>
      </c>
      <c r="N15" s="33" t="n">
        <f aca="false">H15-I15</f>
        <v>0</v>
      </c>
      <c r="O15" s="33" t="n">
        <f aca="false">IF(ISNUMBER(L15),H15-L15,"N/D")</f>
        <v>3.58999991416931</v>
      </c>
      <c r="P15" s="33" t="n">
        <f aca="false">IF(ISNUMBER(L15),I15-L15,"N/D")</f>
        <v>3.58999991416931</v>
      </c>
      <c r="Q15" s="33" t="n">
        <f aca="false">IF(AND(ISNUMBER(J15),ISNUMBER(L15)),J15-L15,"N/D")</f>
        <v>3.58999991416931</v>
      </c>
      <c r="R15" s="14" t="str">
        <f aca="false">IF(NOT(ISNUMBER(L15)),"Pendiente soporte bancario",IF(ABS(O15)&lt;=Resumen!$C$6,IF(ABS(N15)&lt;=Resumen!$C$6,"OK","Mayor OK – detalle 62 desactualizado"),"Diferencia mayor vs banco"))</f>
        <v>OK</v>
      </c>
    </row>
    <row r="16" customFormat="false" ht="15" hidden="false" customHeight="false" outlineLevel="0" collapsed="false">
      <c r="A16" s="34" t="s">
        <v>127</v>
      </c>
      <c r="B16" s="38" t="s">
        <v>306</v>
      </c>
      <c r="C16" s="26" t="s">
        <v>165</v>
      </c>
      <c r="D16" s="38" t="s">
        <v>1599</v>
      </c>
      <c r="E16" s="32" t="n">
        <f aca="false">SUMIFS(Mayor_Dic25!$G$5:$G$200,Mayor_Dic25!$J$5:$J$200,A16,Mayor_Dic25!$C$5:$C$200,"&lt;&gt;2130*",Mayor_Dic25!$C$5:$C$200,"&lt;&gt;21050301")</f>
        <v>0</v>
      </c>
      <c r="F16" s="32" t="n">
        <f aca="false">SUMIFS(Mayor_Mov!$F$5:$F$445,Mayor_Mov!$N$5:$N$445,$A16,Mayor_Mov!$B$5:$B$445,"21050100")+SUMIFS(Mayor_Mov!$F$5:$F$445,Mayor_Mov!$N$5:$N$445,$A16,Mayor_Mov!$B$5:$B$445,"21050201")+SUMIFS(Mayor_Mov!$F$5:$F$445,Mayor_Mov!$N$5:$N$445,$A16,Mayor_Mov!$B$5:$B$445,"21202040")+SUMIFS(Mayor_Mov!$F$5:$F$445,Mayor_Mov!$N$5:$N$445,$A16,Mayor_Mov!$B$5:$B$445,"21202140")</f>
        <v>20000000000</v>
      </c>
      <c r="G16" s="32" t="n">
        <f aca="false">SUMIFS(Mayor_Mov!$E$5:$E$445,Mayor_Mov!$N$5:$N$445,$A16,Mayor_Mov!$B$5:$B$445,"21050100")+SUMIFS(Mayor_Mov!$E$5:$E$445,Mayor_Mov!$N$5:$N$445,$A16,Mayor_Mov!$B$5:$B$445,"21050201")+SUMIFS(Mayor_Mov!$E$5:$E$445,Mayor_Mov!$N$5:$N$445,$A16,Mayor_Mov!$B$5:$B$445,"21202040")+SUMIFS(Mayor_Mov!$E$5:$E$445,Mayor_Mov!$N$5:$N$445,$A16,Mayor_Mov!$B$5:$B$445,"21202140")</f>
        <v>10000000000</v>
      </c>
      <c r="H16" s="33" t="n">
        <f aca="false">E16+F16-G16</f>
        <v>10000000000</v>
      </c>
      <c r="I16" s="32" t="n">
        <f aca="false">SUMIFS(Detalle_62!$F$14:$F$35,Detalle_62!$C$14:$C$35,A16)</f>
        <v>10000000000</v>
      </c>
      <c r="J16" s="32" t="n">
        <f aca="false">IFERROR(INDEX(Rev_Tablas_Amort!$N:$N,MATCH(A16,Rev_Tablas_Amort!$A:$A,0)),"Sin tabla")</f>
        <v>10000000000</v>
      </c>
      <c r="K16" s="39" t="n">
        <v>0</v>
      </c>
      <c r="L16" s="32" t="n">
        <f aca="false">Certificados!J10</f>
        <v>10000000000</v>
      </c>
      <c r="M16" s="26" t="s">
        <v>1588</v>
      </c>
      <c r="N16" s="33" t="n">
        <f aca="false">H16-I16</f>
        <v>0</v>
      </c>
      <c r="O16" s="33" t="n">
        <f aca="false">IF(ISNUMBER(L16),H16-L16,"N/D")</f>
        <v>0</v>
      </c>
      <c r="P16" s="33" t="n">
        <f aca="false">IF(ISNUMBER(L16),I16-L16,"N/D")</f>
        <v>0</v>
      </c>
      <c r="Q16" s="33" t="n">
        <f aca="false">IF(AND(ISNUMBER(J16),ISNUMBER(L16)),J16-L16,"N/D")</f>
        <v>0</v>
      </c>
      <c r="R16" s="14" t="str">
        <f aca="false">IF(NOT(ISNUMBER(L16)),"Pendiente soporte bancario",IF(ABS(O16)&lt;=Resumen!$C$6,IF(ABS(N16)&lt;=Resumen!$C$6,"OK","Mayor OK – detalle 62 desactualizado"),"Diferencia mayor vs banco"))</f>
        <v>OK</v>
      </c>
    </row>
    <row r="17" customFormat="false" ht="15" hidden="false" customHeight="false" outlineLevel="0" collapsed="false">
      <c r="A17" s="34" t="s">
        <v>128</v>
      </c>
      <c r="B17" s="38" t="s">
        <v>306</v>
      </c>
      <c r="C17" s="26" t="s">
        <v>1221</v>
      </c>
      <c r="D17" s="38" t="s">
        <v>1600</v>
      </c>
      <c r="E17" s="32" t="n">
        <f aca="false">SUMIFS(Mayor_Dic25!$G$5:$G$200,Mayor_Dic25!$J$5:$J$200,A17,Mayor_Dic25!$C$5:$C$200,"&lt;&gt;2130*",Mayor_Dic25!$C$5:$C$200,"&lt;&gt;21050301")</f>
        <v>459771023.86</v>
      </c>
      <c r="F17" s="32" t="n">
        <f aca="false">SUMIFS(Mayor_Mov!$F$5:$F$445,Mayor_Mov!$N$5:$N$445,$A17,Mayor_Mov!$B$5:$B$445,"21050100")+SUMIFS(Mayor_Mov!$F$5:$F$445,Mayor_Mov!$N$5:$N$445,$A17,Mayor_Mov!$B$5:$B$445,"21050201")+SUMIFS(Mayor_Mov!$F$5:$F$445,Mayor_Mov!$N$5:$N$445,$A17,Mayor_Mov!$B$5:$B$445,"21202040")+SUMIFS(Mayor_Mov!$F$5:$F$445,Mayor_Mov!$N$5:$N$445,$A17,Mayor_Mov!$B$5:$B$445,"21202140")</f>
        <v>0</v>
      </c>
      <c r="G17" s="32" t="n">
        <f aca="false">SUMIFS(Mayor_Mov!$E$5:$E$445,Mayor_Mov!$N$5:$N$445,$A17,Mayor_Mov!$B$5:$B$445,"21050100")+SUMIFS(Mayor_Mov!$E$5:$E$445,Mayor_Mov!$N$5:$N$445,$A17,Mayor_Mov!$B$5:$B$445,"21050201")+SUMIFS(Mayor_Mov!$E$5:$E$445,Mayor_Mov!$N$5:$N$445,$A17,Mayor_Mov!$B$5:$B$445,"21202040")+SUMIFS(Mayor_Mov!$E$5:$E$445,Mayor_Mov!$N$5:$N$445,$A17,Mayor_Mov!$B$5:$B$445,"21202140")</f>
        <v>63658993.88</v>
      </c>
      <c r="H17" s="33" t="n">
        <f aca="false">E17+F17-G17</f>
        <v>396112029.98</v>
      </c>
      <c r="I17" s="32" t="n">
        <f aca="false">SUMIFS(Detalle_62!$F$14:$F$35,Detalle_62!$C$14:$C$35,A17)</f>
        <v>381845387.419314</v>
      </c>
      <c r="J17" s="32" t="n">
        <f aca="false">IFERROR(INDEX(Rev_Tablas_Amort!$N:$N,MATCH(A17,Rev_Tablas_Amort!$A:$A,0)),"Sin tabla")</f>
        <v>381845387.419314</v>
      </c>
      <c r="K17" s="39" t="n">
        <v>459771024</v>
      </c>
      <c r="L17" s="32" t="n">
        <f aca="false">Certificados!J18</f>
        <v>396112029.65</v>
      </c>
      <c r="M17" s="26" t="s">
        <v>1588</v>
      </c>
      <c r="N17" s="33" t="n">
        <f aca="false">H17-I17</f>
        <v>14266642.5606862</v>
      </c>
      <c r="O17" s="33" t="n">
        <f aca="false">IF(ISNUMBER(L17),H17-L17,"N/D")</f>
        <v>0.329999983310699</v>
      </c>
      <c r="P17" s="33" t="n">
        <f aca="false">IF(ISNUMBER(L17),I17-L17,"N/D")</f>
        <v>-14266642.2306862</v>
      </c>
      <c r="Q17" s="33" t="n">
        <f aca="false">IF(AND(ISNUMBER(J17),ISNUMBER(L17)),J17-L17,"N/D")</f>
        <v>-14266642.2306862</v>
      </c>
      <c r="R17" s="14" t="str">
        <f aca="false">IF(NOT(ISNUMBER(L17)),"Pendiente soporte bancario",IF(ABS(O17)&lt;=Resumen!$C$6,IF(ABS(N17)&lt;=Resumen!$C$6,"OK","Mayor OK – detalle 62 desactualizado"),"Diferencia mayor vs banco"))</f>
        <v>Mayor OK – detalle 62 desactualizado</v>
      </c>
    </row>
    <row r="18" customFormat="false" ht="15" hidden="false" customHeight="false" outlineLevel="0" collapsed="false">
      <c r="A18" s="34" t="s">
        <v>129</v>
      </c>
      <c r="B18" s="38" t="s">
        <v>306</v>
      </c>
      <c r="C18" s="26" t="s">
        <v>1221</v>
      </c>
      <c r="D18" s="38" t="s">
        <v>1601</v>
      </c>
      <c r="E18" s="32" t="n">
        <f aca="false">SUMIFS(Mayor_Dic25!$G$5:$G$200,Mayor_Dic25!$J$5:$J$200,A18,Mayor_Dic25!$C$5:$C$200,"&lt;&gt;2130*",Mayor_Dic25!$C$5:$C$200,"&lt;&gt;21050301")</f>
        <v>459771023.88</v>
      </c>
      <c r="F18" s="32" t="n">
        <f aca="false">SUMIFS(Mayor_Mov!$F$5:$F$445,Mayor_Mov!$N$5:$N$445,$A18,Mayor_Mov!$B$5:$B$445,"21050100")+SUMIFS(Mayor_Mov!$F$5:$F$445,Mayor_Mov!$N$5:$N$445,$A18,Mayor_Mov!$B$5:$B$445,"21050201")+SUMIFS(Mayor_Mov!$F$5:$F$445,Mayor_Mov!$N$5:$N$445,$A18,Mayor_Mov!$B$5:$B$445,"21202040")+SUMIFS(Mayor_Mov!$F$5:$F$445,Mayor_Mov!$N$5:$N$445,$A18,Mayor_Mov!$B$5:$B$445,"21202140")</f>
        <v>0</v>
      </c>
      <c r="G18" s="32" t="n">
        <f aca="false">SUMIFS(Mayor_Mov!$E$5:$E$445,Mayor_Mov!$N$5:$N$445,$A18,Mayor_Mov!$B$5:$B$445,"21050100")+SUMIFS(Mayor_Mov!$E$5:$E$445,Mayor_Mov!$N$5:$N$445,$A18,Mayor_Mov!$B$5:$B$445,"21050201")+SUMIFS(Mayor_Mov!$E$5:$E$445,Mayor_Mov!$N$5:$N$445,$A18,Mayor_Mov!$B$5:$B$445,"21202040")+SUMIFS(Mayor_Mov!$E$5:$E$445,Mayor_Mov!$N$5:$N$445,$A18,Mayor_Mov!$B$5:$B$445,"21202140")</f>
        <v>63658993.86</v>
      </c>
      <c r="H18" s="33" t="n">
        <f aca="false">E18+F18-G18</f>
        <v>396112030.02</v>
      </c>
      <c r="I18" s="32" t="n">
        <f aca="false">SUMIFS(Detalle_62!$F$14:$F$35,Detalle_62!$C$14:$C$35,A18)</f>
        <v>381845387.419314</v>
      </c>
      <c r="J18" s="32" t="n">
        <f aca="false">IFERROR(INDEX(Rev_Tablas_Amort!$N:$N,MATCH(A18,Rev_Tablas_Amort!$A:$A,0)),"Sin tabla")</f>
        <v>381845387.419314</v>
      </c>
      <c r="K18" s="39" t="n">
        <v>459771024</v>
      </c>
      <c r="L18" s="32" t="n">
        <f aca="false">Certificados!J17</f>
        <v>396112029.8</v>
      </c>
      <c r="M18" s="26" t="s">
        <v>1588</v>
      </c>
      <c r="N18" s="33" t="n">
        <f aca="false">H18-I18</f>
        <v>14266642.6006862</v>
      </c>
      <c r="O18" s="33" t="n">
        <f aca="false">IF(ISNUMBER(L18),H18-L18,"N/D")</f>
        <v>0.219999969005585</v>
      </c>
      <c r="P18" s="33" t="n">
        <f aca="false">IF(ISNUMBER(L18),I18-L18,"N/D")</f>
        <v>-14266642.3806862</v>
      </c>
      <c r="Q18" s="33" t="n">
        <f aca="false">IF(AND(ISNUMBER(J18),ISNUMBER(L18)),J18-L18,"N/D")</f>
        <v>-14266642.3806862</v>
      </c>
      <c r="R18" s="14" t="str">
        <f aca="false">IF(NOT(ISNUMBER(L18)),"Pendiente soporte bancario",IF(ABS(O18)&lt;=Resumen!$C$6,IF(ABS(N18)&lt;=Resumen!$C$6,"OK","Mayor OK – detalle 62 desactualizado"),"Diferencia mayor vs banco"))</f>
        <v>Mayor OK – detalle 62 desactualizado</v>
      </c>
    </row>
    <row r="19" customFormat="false" ht="15" hidden="false" customHeight="false" outlineLevel="0" collapsed="false">
      <c r="A19" s="34" t="s">
        <v>130</v>
      </c>
      <c r="B19" s="38" t="s">
        <v>306</v>
      </c>
      <c r="C19" s="26" t="s">
        <v>1221</v>
      </c>
      <c r="D19" s="38" t="s">
        <v>1602</v>
      </c>
      <c r="E19" s="32" t="n">
        <f aca="false">SUMIFS(Mayor_Dic25!$G$5:$G$200,Mayor_Dic25!$J$5:$J$200,A19,Mayor_Dic25!$C$5:$C$200,"&lt;&gt;2130*",Mayor_Dic25!$C$5:$C$200,"&lt;&gt;21050301")</f>
        <v>331775058.82</v>
      </c>
      <c r="F19" s="32" t="n">
        <f aca="false">SUMIFS(Mayor_Mov!$F$5:$F$445,Mayor_Mov!$N$5:$N$445,$A19,Mayor_Mov!$B$5:$B$445,"21050100")+SUMIFS(Mayor_Mov!$F$5:$F$445,Mayor_Mov!$N$5:$N$445,$A19,Mayor_Mov!$B$5:$B$445,"21050201")+SUMIFS(Mayor_Mov!$F$5:$F$445,Mayor_Mov!$N$5:$N$445,$A19,Mayor_Mov!$B$5:$B$445,"21202040")+SUMIFS(Mayor_Mov!$F$5:$F$445,Mayor_Mov!$N$5:$N$445,$A19,Mayor_Mov!$B$5:$B$445,"21202140")</f>
        <v>0</v>
      </c>
      <c r="G19" s="32" t="n">
        <f aca="false">SUMIFS(Mayor_Mov!$E$5:$E$445,Mayor_Mov!$N$5:$N$445,$A19,Mayor_Mov!$B$5:$B$445,"21050100")+SUMIFS(Mayor_Mov!$E$5:$E$445,Mayor_Mov!$N$5:$N$445,$A19,Mayor_Mov!$B$5:$B$445,"21050201")+SUMIFS(Mayor_Mov!$E$5:$E$445,Mayor_Mov!$N$5:$N$445,$A19,Mayor_Mov!$B$5:$B$445,"21202040")+SUMIFS(Mayor_Mov!$E$5:$E$445,Mayor_Mov!$N$5:$N$445,$A19,Mayor_Mov!$B$5:$B$445,"21202140")</f>
        <v>78102953.86</v>
      </c>
      <c r="H19" s="33" t="n">
        <f aca="false">E19+F19-G19</f>
        <v>253672104.96</v>
      </c>
      <c r="I19" s="32" t="n">
        <f aca="false">SUMIFS(Detalle_62!$F$14:$F$35,Detalle_62!$C$14:$C$35,A19)</f>
        <v>196720178.445431</v>
      </c>
      <c r="J19" s="32" t="n">
        <f aca="false">IFERROR(INDEX(Rev_Tablas_Amort!$N:$N,MATCH(A19,Rev_Tablas_Amort!$A:$A,0)),"Sin tabla")</f>
        <v>196720178.445431</v>
      </c>
      <c r="K19" s="39" t="n">
        <v>331775059</v>
      </c>
      <c r="L19" s="32" t="n">
        <f aca="false">Certificados!J16</f>
        <v>253672105.02</v>
      </c>
      <c r="M19" s="26" t="s">
        <v>1588</v>
      </c>
      <c r="N19" s="33" t="n">
        <f aca="false">H19-I19</f>
        <v>56951926.5145686</v>
      </c>
      <c r="O19" s="33" t="n">
        <f aca="false">IF(ISNUMBER(L19),H19-L19,"N/D")</f>
        <v>-0.0600000321865082</v>
      </c>
      <c r="P19" s="33" t="n">
        <f aca="false">IF(ISNUMBER(L19),I19-L19,"N/D")</f>
        <v>-56951926.5745686</v>
      </c>
      <c r="Q19" s="33" t="n">
        <f aca="false">IF(AND(ISNUMBER(J19),ISNUMBER(L19)),J19-L19,"N/D")</f>
        <v>-56951926.5745686</v>
      </c>
      <c r="R19" s="14" t="str">
        <f aca="false">IF(NOT(ISNUMBER(L19)),"Pendiente soporte bancario",IF(ABS(O19)&lt;=Resumen!$C$6,IF(ABS(N19)&lt;=Resumen!$C$6,"OK","Mayor OK – detalle 62 desactualizado"),"Diferencia mayor vs banco"))</f>
        <v>Mayor OK – detalle 62 desactualizado</v>
      </c>
    </row>
    <row r="20" customFormat="false" ht="15" hidden="false" customHeight="false" outlineLevel="0" collapsed="false">
      <c r="A20" s="34" t="s">
        <v>131</v>
      </c>
      <c r="B20" s="38" t="s">
        <v>306</v>
      </c>
      <c r="C20" s="26" t="s">
        <v>1221</v>
      </c>
      <c r="D20" s="38" t="s">
        <v>1603</v>
      </c>
      <c r="E20" s="32" t="n">
        <f aca="false">SUMIFS(Mayor_Dic25!$G$5:$G$200,Mayor_Dic25!$J$5:$J$200,A20,Mayor_Dic25!$C$5:$C$200,"&lt;&gt;2130*",Mayor_Dic25!$C$5:$C$200,"&lt;&gt;21050301")</f>
        <v>331775058.02</v>
      </c>
      <c r="F20" s="32" t="n">
        <f aca="false">SUMIFS(Mayor_Mov!$F$5:$F$445,Mayor_Mov!$N$5:$N$445,$A20,Mayor_Mov!$B$5:$B$445,"21050100")+SUMIFS(Mayor_Mov!$F$5:$F$445,Mayor_Mov!$N$5:$N$445,$A20,Mayor_Mov!$B$5:$B$445,"21050201")+SUMIFS(Mayor_Mov!$F$5:$F$445,Mayor_Mov!$N$5:$N$445,$A20,Mayor_Mov!$B$5:$B$445,"21202040")+SUMIFS(Mayor_Mov!$F$5:$F$445,Mayor_Mov!$N$5:$N$445,$A20,Mayor_Mov!$B$5:$B$445,"21202140")</f>
        <v>0</v>
      </c>
      <c r="G20" s="32" t="n">
        <f aca="false">SUMIFS(Mayor_Mov!$E$5:$E$445,Mayor_Mov!$N$5:$N$445,$A20,Mayor_Mov!$B$5:$B$445,"21050100")+SUMIFS(Mayor_Mov!$E$5:$E$445,Mayor_Mov!$N$5:$N$445,$A20,Mayor_Mov!$B$5:$B$445,"21050201")+SUMIFS(Mayor_Mov!$E$5:$E$445,Mayor_Mov!$N$5:$N$445,$A20,Mayor_Mov!$B$5:$B$445,"21202040")+SUMIFS(Mayor_Mov!$E$5:$E$445,Mayor_Mov!$N$5:$N$445,$A20,Mayor_Mov!$B$5:$B$445,"21202140")</f>
        <v>78102953.86</v>
      </c>
      <c r="H20" s="33" t="n">
        <f aca="false">E20+F20-G20</f>
        <v>253672104.16</v>
      </c>
      <c r="I20" s="32" t="n">
        <f aca="false">SUMIFS(Detalle_62!$F$14:$F$35,Detalle_62!$C$14:$C$35,A20)</f>
        <v>196720178.445431</v>
      </c>
      <c r="J20" s="32" t="n">
        <f aca="false">IFERROR(INDEX(Rev_Tablas_Amort!$N:$N,MATCH(A20,Rev_Tablas_Amort!$A:$A,0)),"Sin tabla")</f>
        <v>196720178.445431</v>
      </c>
      <c r="K20" s="39" t="n">
        <v>331775059</v>
      </c>
      <c r="L20" s="32" t="n">
        <f aca="false">Certificados!J15</f>
        <v>253672104.94</v>
      </c>
      <c r="M20" s="26" t="s">
        <v>1588</v>
      </c>
      <c r="N20" s="33" t="n">
        <f aca="false">H20-I20</f>
        <v>56951925.7145686</v>
      </c>
      <c r="O20" s="33" t="n">
        <f aca="false">IF(ISNUMBER(L20),H20-L20,"N/D")</f>
        <v>-0.780000030994415</v>
      </c>
      <c r="P20" s="33" t="n">
        <f aca="false">IF(ISNUMBER(L20),I20-L20,"N/D")</f>
        <v>-56951926.4945686</v>
      </c>
      <c r="Q20" s="33" t="n">
        <f aca="false">IF(AND(ISNUMBER(J20),ISNUMBER(L20)),J20-L20,"N/D")</f>
        <v>-56951926.4945686</v>
      </c>
      <c r="R20" s="14" t="str">
        <f aca="false">IF(NOT(ISNUMBER(L20)),"Pendiente soporte bancario",IF(ABS(O20)&lt;=Resumen!$C$6,IF(ABS(N20)&lt;=Resumen!$C$6,"OK","Mayor OK – detalle 62 desactualizado"),"Diferencia mayor vs banco"))</f>
        <v>Mayor OK – detalle 62 desactualizado</v>
      </c>
    </row>
    <row r="21" customFormat="false" ht="15" hidden="false" customHeight="false" outlineLevel="0" collapsed="false">
      <c r="A21" s="34" t="s">
        <v>132</v>
      </c>
      <c r="B21" s="38" t="s">
        <v>306</v>
      </c>
      <c r="C21" s="26" t="s">
        <v>1221</v>
      </c>
      <c r="D21" s="38" t="s">
        <v>1604</v>
      </c>
      <c r="E21" s="32" t="n">
        <f aca="false">SUMIFS(Mayor_Dic25!$G$5:$G$200,Mayor_Dic25!$J$5:$J$200,A21,Mayor_Dic25!$C$5:$C$200,"&lt;&gt;2130*",Mayor_Dic25!$C$5:$C$200,"&lt;&gt;21050301")</f>
        <v>459866293.13</v>
      </c>
      <c r="F21" s="32" t="n">
        <f aca="false">SUMIFS(Mayor_Mov!$F$5:$F$445,Mayor_Mov!$N$5:$N$445,$A21,Mayor_Mov!$B$5:$B$445,"21050100")+SUMIFS(Mayor_Mov!$F$5:$F$445,Mayor_Mov!$N$5:$N$445,$A21,Mayor_Mov!$B$5:$B$445,"21050201")+SUMIFS(Mayor_Mov!$F$5:$F$445,Mayor_Mov!$N$5:$N$445,$A21,Mayor_Mov!$B$5:$B$445,"21202040")+SUMIFS(Mayor_Mov!$F$5:$F$445,Mayor_Mov!$N$5:$N$445,$A21,Mayor_Mov!$B$5:$B$445,"21202140")</f>
        <v>0</v>
      </c>
      <c r="G21" s="32" t="n">
        <f aca="false">SUMIFS(Mayor_Mov!$E$5:$E$445,Mayor_Mov!$N$5:$N$445,$A21,Mayor_Mov!$B$5:$B$445,"21050100")+SUMIFS(Mayor_Mov!$E$5:$E$445,Mayor_Mov!$N$5:$N$445,$A21,Mayor_Mov!$B$5:$B$445,"21050201")+SUMIFS(Mayor_Mov!$E$5:$E$445,Mayor_Mov!$N$5:$N$445,$A21,Mayor_Mov!$B$5:$B$445,"21202040")+SUMIFS(Mayor_Mov!$E$5:$E$445,Mayor_Mov!$N$5:$N$445,$A21,Mayor_Mov!$B$5:$B$445,"21202140")</f>
        <v>63672349.73</v>
      </c>
      <c r="H21" s="33" t="n">
        <f aca="false">E21+F21-G21</f>
        <v>396193943.4</v>
      </c>
      <c r="I21" s="32" t="n">
        <f aca="false">SUMIFS(Detalle_62!$F$14:$F$35,Detalle_62!$C$14:$C$35,A21)</f>
        <v>382649239.487494</v>
      </c>
      <c r="J21" s="32" t="n">
        <f aca="false">IFERROR(INDEX(Rev_Tablas_Amort!$N:$N,MATCH(A21,Rev_Tablas_Amort!$A:$A,0)),"Sin tabla")</f>
        <v>382649239.487494</v>
      </c>
      <c r="K21" s="39" t="n">
        <v>459866292</v>
      </c>
      <c r="L21" s="32" t="n">
        <f aca="false">Certificados!J19</f>
        <v>396193942.08</v>
      </c>
      <c r="M21" s="26" t="s">
        <v>1588</v>
      </c>
      <c r="N21" s="33" t="n">
        <f aca="false">H21-I21</f>
        <v>13544703.912506</v>
      </c>
      <c r="O21" s="33" t="n">
        <f aca="false">IF(ISNUMBER(L21),H21-L21,"N/D")</f>
        <v>1.31999999284744</v>
      </c>
      <c r="P21" s="33" t="n">
        <f aca="false">IF(ISNUMBER(L21),I21-L21,"N/D")</f>
        <v>-13544702.592506</v>
      </c>
      <c r="Q21" s="33" t="n">
        <f aca="false">IF(AND(ISNUMBER(J21),ISNUMBER(L21)),J21-L21,"N/D")</f>
        <v>-13544702.592506</v>
      </c>
      <c r="R21" s="14" t="str">
        <f aca="false">IF(NOT(ISNUMBER(L21)),"Pendiente soporte bancario",IF(ABS(O21)&lt;=Resumen!$C$6,IF(ABS(N21)&lt;=Resumen!$C$6,"OK","Mayor OK – detalle 62 desactualizado"),"Diferencia mayor vs banco"))</f>
        <v>Mayor OK – detalle 62 desactualizado</v>
      </c>
    </row>
    <row r="22" customFormat="false" ht="15" hidden="false" customHeight="false" outlineLevel="0" collapsed="false">
      <c r="A22" s="34" t="s">
        <v>133</v>
      </c>
      <c r="B22" s="38" t="s">
        <v>306</v>
      </c>
      <c r="C22" s="26" t="s">
        <v>1221</v>
      </c>
      <c r="D22" s="38" t="s">
        <v>1605</v>
      </c>
      <c r="E22" s="32" t="n">
        <f aca="false">SUMIFS(Mayor_Dic25!$G$5:$G$200,Mayor_Dic25!$J$5:$J$200,A22,Mayor_Dic25!$C$5:$C$200,"&lt;&gt;2130*",Mayor_Dic25!$C$5:$C$200,"&lt;&gt;21050301")</f>
        <v>1170839109.63</v>
      </c>
      <c r="F22" s="32" t="n">
        <f aca="false">SUMIFS(Mayor_Mov!$F$5:$F$445,Mayor_Mov!$N$5:$N$445,$A22,Mayor_Mov!$B$5:$B$445,"21050100")+SUMIFS(Mayor_Mov!$F$5:$F$445,Mayor_Mov!$N$5:$N$445,$A22,Mayor_Mov!$B$5:$B$445,"21050201")+SUMIFS(Mayor_Mov!$F$5:$F$445,Mayor_Mov!$N$5:$N$445,$A22,Mayor_Mov!$B$5:$B$445,"21202040")+SUMIFS(Mayor_Mov!$F$5:$F$445,Mayor_Mov!$N$5:$N$445,$A22,Mayor_Mov!$B$5:$B$445,"21202140")</f>
        <v>0</v>
      </c>
      <c r="G22" s="32" t="n">
        <f aca="false">SUMIFS(Mayor_Mov!$E$5:$E$445,Mayor_Mov!$N$5:$N$445,$A22,Mayor_Mov!$B$5:$B$445,"21050100")+SUMIFS(Mayor_Mov!$E$5:$E$445,Mayor_Mov!$N$5:$N$445,$A22,Mayor_Mov!$B$5:$B$445,"21050201")+SUMIFS(Mayor_Mov!$E$5:$E$445,Mayor_Mov!$N$5:$N$445,$A22,Mayor_Mov!$B$5:$B$445,"21202040")+SUMIFS(Mayor_Mov!$E$5:$E$445,Mayor_Mov!$N$5:$N$445,$A22,Mayor_Mov!$B$5:$B$445,"21202140")</f>
        <v>186592222.82</v>
      </c>
      <c r="H22" s="33" t="n">
        <f aca="false">E22+F22-G22</f>
        <v>984246886.81</v>
      </c>
      <c r="I22" s="32" t="n">
        <f aca="false">SUMIFS(Detalle_62!$F$14:$F$35,Detalle_62!$C$14:$C$35,A22)</f>
        <v>968620472.418459</v>
      </c>
      <c r="J22" s="32" t="n">
        <f aca="false">IFERROR(INDEX(Rev_Tablas_Amort!$N:$N,MATCH(A22,Rev_Tablas_Amort!$A:$A,0)),"Sin tabla")</f>
        <v>968620472.418459</v>
      </c>
      <c r="K22" s="39" t="n">
        <v>1170839109</v>
      </c>
      <c r="L22" s="32" t="n">
        <f aca="false">Certificados!J14</f>
        <v>984246886.51</v>
      </c>
      <c r="M22" s="26" t="s">
        <v>1588</v>
      </c>
      <c r="N22" s="33" t="n">
        <f aca="false">H22-I22</f>
        <v>15626414.3915416</v>
      </c>
      <c r="O22" s="33" t="n">
        <f aca="false">IF(ISNUMBER(L22),H22-L22,"N/D")</f>
        <v>0.300000190734863</v>
      </c>
      <c r="P22" s="33" t="n">
        <f aca="false">IF(ISNUMBER(L22),I22-L22,"N/D")</f>
        <v>-15626414.0915414</v>
      </c>
      <c r="Q22" s="33" t="n">
        <f aca="false">IF(AND(ISNUMBER(J22),ISNUMBER(L22)),J22-L22,"N/D")</f>
        <v>-15626414.0915414</v>
      </c>
      <c r="R22" s="14" t="str">
        <f aca="false">IF(NOT(ISNUMBER(L22)),"Pendiente soporte bancario",IF(ABS(O22)&lt;=Resumen!$C$6,IF(ABS(N22)&lt;=Resumen!$C$6,"OK","Mayor OK – detalle 62 desactualizado"),"Diferencia mayor vs banco"))</f>
        <v>Mayor OK – detalle 62 desactualizado</v>
      </c>
    </row>
    <row r="23" customFormat="false" ht="15" hidden="false" customHeight="false" outlineLevel="0" collapsed="false">
      <c r="A23" s="34" t="s">
        <v>135</v>
      </c>
      <c r="B23" s="38" t="s">
        <v>1248</v>
      </c>
      <c r="C23" s="26" t="s">
        <v>165</v>
      </c>
      <c r="D23" s="38" t="s">
        <v>1606</v>
      </c>
      <c r="E23" s="32" t="n">
        <f aca="false">SUMIFS(Mayor_Dic25!$G$5:$G$200,Mayor_Dic25!$J$5:$J$200,A23,Mayor_Dic25!$C$5:$C$200,"&lt;&gt;2130*",Mayor_Dic25!$C$5:$C$200,"&lt;&gt;21050301")</f>
        <v>575000000</v>
      </c>
      <c r="F23" s="32" t="n">
        <f aca="false">SUMIFS(Mayor_Mov!$F$5:$F$445,Mayor_Mov!$N$5:$N$445,$A23,Mayor_Mov!$B$5:$B$445,"21050100")+SUMIFS(Mayor_Mov!$F$5:$F$445,Mayor_Mov!$N$5:$N$445,$A23,Mayor_Mov!$B$5:$B$445,"21050201")+SUMIFS(Mayor_Mov!$F$5:$F$445,Mayor_Mov!$N$5:$N$445,$A23,Mayor_Mov!$B$5:$B$445,"21202040")+SUMIFS(Mayor_Mov!$F$5:$F$445,Mayor_Mov!$N$5:$N$445,$A23,Mayor_Mov!$B$5:$B$445,"21202140")</f>
        <v>0</v>
      </c>
      <c r="G23" s="32" t="n">
        <f aca="false">SUMIFS(Mayor_Mov!$E$5:$E$445,Mayor_Mov!$N$5:$N$445,$A23,Mayor_Mov!$B$5:$B$445,"21050100")+SUMIFS(Mayor_Mov!$E$5:$E$445,Mayor_Mov!$N$5:$N$445,$A23,Mayor_Mov!$B$5:$B$445,"21050201")+SUMIFS(Mayor_Mov!$E$5:$E$445,Mayor_Mov!$N$5:$N$445,$A23,Mayor_Mov!$B$5:$B$445,"21202040")+SUMIFS(Mayor_Mov!$E$5:$E$445,Mayor_Mov!$N$5:$N$445,$A23,Mayor_Mov!$B$5:$B$445,"21202140")</f>
        <v>287500000</v>
      </c>
      <c r="H23" s="33" t="n">
        <f aca="false">E23+F23-G23</f>
        <v>287500000</v>
      </c>
      <c r="I23" s="32" t="n">
        <f aca="false">SUMIFS(Detalle_62!$F$14:$F$35,Detalle_62!$C$14:$C$35,A23)</f>
        <v>287500000</v>
      </c>
      <c r="J23" s="32" t="n">
        <f aca="false">IFERROR(INDEX(Rev_Tablas_Amort!$N:$N,MATCH(A23,Rev_Tablas_Amort!$A:$A,0)),"Sin tabla")</f>
        <v>287500000</v>
      </c>
      <c r="K23" s="39" t="n">
        <v>575000000</v>
      </c>
      <c r="L23" s="33" t="n">
        <f aca="false">IF(ISNUMBER(K23),K23+F23-G23,"N/D")</f>
        <v>287500000</v>
      </c>
      <c r="M23" s="26" t="str">
        <f aca="false">IF(ISNUMBER(K23),"[E] Extracto dic-25 + mov. 2026","[P] Sin soporte bancario")</f>
        <v>[E] Extracto dic-25 + mov. 2026</v>
      </c>
      <c r="N23" s="33" t="n">
        <f aca="false">H23-I23</f>
        <v>0</v>
      </c>
      <c r="O23" s="33" t="n">
        <f aca="false">IF(ISNUMBER(L23),H23-L23,"N/D")</f>
        <v>0</v>
      </c>
      <c r="P23" s="33" t="n">
        <f aca="false">IF(ISNUMBER(L23),I23-L23,"N/D")</f>
        <v>0</v>
      </c>
      <c r="Q23" s="33" t="n">
        <f aca="false">IF(AND(ISNUMBER(J23),ISNUMBER(L23)),J23-L23,"N/D")</f>
        <v>0</v>
      </c>
      <c r="R23" s="14" t="str">
        <f aca="false">IF(NOT(ISNUMBER(L23)),"Pendiente soporte bancario",IF(ABS(O23)&lt;=Resumen!$C$6,IF(ABS(N23)&lt;=Resumen!$C$6,"OK","Mayor OK – detalle 62 desactualizado"),"Diferencia mayor vs banco"))</f>
        <v>OK</v>
      </c>
    </row>
    <row r="24" customFormat="false" ht="15" hidden="false" customHeight="false" outlineLevel="0" collapsed="false">
      <c r="A24" s="34" t="s">
        <v>137</v>
      </c>
      <c r="B24" s="38" t="s">
        <v>1250</v>
      </c>
      <c r="C24" s="26" t="s">
        <v>165</v>
      </c>
      <c r="D24" s="38" t="s">
        <v>1607</v>
      </c>
      <c r="E24" s="32" t="n">
        <f aca="false">SUMIFS(Mayor_Dic25!$G$5:$G$200,Mayor_Dic25!$J$5:$J$200,A24,Mayor_Dic25!$C$5:$C$200,"&lt;&gt;2130*",Mayor_Dic25!$C$5:$C$200,"&lt;&gt;21050301")</f>
        <v>4700000000</v>
      </c>
      <c r="F24" s="32" t="n">
        <f aca="false">SUMIFS(Mayor_Mov!$F$5:$F$445,Mayor_Mov!$N$5:$N$445,$A24,Mayor_Mov!$B$5:$B$445,"21050100")+SUMIFS(Mayor_Mov!$F$5:$F$445,Mayor_Mov!$N$5:$N$445,$A24,Mayor_Mov!$B$5:$B$445,"21050201")+SUMIFS(Mayor_Mov!$F$5:$F$445,Mayor_Mov!$N$5:$N$445,$A24,Mayor_Mov!$B$5:$B$445,"21202040")+SUMIFS(Mayor_Mov!$F$5:$F$445,Mayor_Mov!$N$5:$N$445,$A24,Mayor_Mov!$B$5:$B$445,"21202140")</f>
        <v>4700000000</v>
      </c>
      <c r="G24" s="32" t="n">
        <f aca="false">SUMIFS(Mayor_Mov!$E$5:$E$445,Mayor_Mov!$N$5:$N$445,$A24,Mayor_Mov!$B$5:$B$445,"21050100")+SUMIFS(Mayor_Mov!$E$5:$E$445,Mayor_Mov!$N$5:$N$445,$A24,Mayor_Mov!$B$5:$B$445,"21050201")+SUMIFS(Mayor_Mov!$E$5:$E$445,Mayor_Mov!$N$5:$N$445,$A24,Mayor_Mov!$B$5:$B$445,"21202040")+SUMIFS(Mayor_Mov!$E$5:$E$445,Mayor_Mov!$N$5:$N$445,$A24,Mayor_Mov!$B$5:$B$445,"21202140")</f>
        <v>4700000000</v>
      </c>
      <c r="H24" s="33" t="n">
        <f aca="false">E24+F24-G24</f>
        <v>4700000000</v>
      </c>
      <c r="I24" s="32" t="n">
        <f aca="false">SUMIFS(Detalle_62!$F$14:$F$35,Detalle_62!$C$14:$C$35,A24)</f>
        <v>4700000000</v>
      </c>
      <c r="J24" s="32" t="str">
        <f aca="false">IFERROR(INDEX(Rev_Tablas_Amort!$N:$N,MATCH(A24,Rev_Tablas_Amort!$A:$A,0)),"Sin tabla")</f>
        <v>Sin tabla</v>
      </c>
      <c r="K24" s="39" t="n">
        <v>4700000000</v>
      </c>
      <c r="L24" s="33" t="n">
        <f aca="false">IF(ISNUMBER(K24),K24+F24-G24,"N/D")</f>
        <v>4700000000</v>
      </c>
      <c r="M24" s="26" t="str">
        <f aca="false">IF(ISNUMBER(K24),"[E] Extracto dic-25 + mov. 2026","[P] Sin soporte bancario")</f>
        <v>[E] Extracto dic-25 + mov. 2026</v>
      </c>
      <c r="N24" s="33" t="n">
        <f aca="false">H24-I24</f>
        <v>0</v>
      </c>
      <c r="O24" s="33" t="n">
        <f aca="false">IF(ISNUMBER(L24),H24-L24,"N/D")</f>
        <v>0</v>
      </c>
      <c r="P24" s="33" t="n">
        <f aca="false">IF(ISNUMBER(L24),I24-L24,"N/D")</f>
        <v>0</v>
      </c>
      <c r="Q24" s="33" t="str">
        <f aca="false">IF(AND(ISNUMBER(J24),ISNUMBER(L24)),J24-L24,"N/D")</f>
        <v>N/D</v>
      </c>
      <c r="R24" s="14" t="str">
        <f aca="false">IF(NOT(ISNUMBER(L24)),"Pendiente soporte bancario",IF(ABS(O24)&lt;=Resumen!$C$6,IF(ABS(N24)&lt;=Resumen!$C$6,"OK","Mayor OK – detalle 62 desactualizado"),"Diferencia mayor vs banco"))</f>
        <v>OK</v>
      </c>
    </row>
    <row r="25" customFormat="false" ht="15" hidden="false" customHeight="false" outlineLevel="0" collapsed="false">
      <c r="A25" s="34" t="s">
        <v>139</v>
      </c>
      <c r="B25" s="38" t="s">
        <v>343</v>
      </c>
      <c r="C25" s="26" t="s">
        <v>165</v>
      </c>
      <c r="D25" s="38" t="s">
        <v>1608</v>
      </c>
      <c r="E25" s="32" t="n">
        <f aca="false">SUMIFS(Mayor_Dic25!$G$5:$G$200,Mayor_Dic25!$J$5:$J$200,A25,Mayor_Dic25!$C$5:$C$200,"&lt;&gt;2130*",Mayor_Dic25!$C$5:$C$200,"&lt;&gt;21050301")</f>
        <v>5000000000</v>
      </c>
      <c r="F25" s="32" t="n">
        <f aca="false">SUMIFS(Mayor_Mov!$F$5:$F$445,Mayor_Mov!$N$5:$N$445,$A25,Mayor_Mov!$B$5:$B$445,"21050100")+SUMIFS(Mayor_Mov!$F$5:$F$445,Mayor_Mov!$N$5:$N$445,$A25,Mayor_Mov!$B$5:$B$445,"21050201")+SUMIFS(Mayor_Mov!$F$5:$F$445,Mayor_Mov!$N$5:$N$445,$A25,Mayor_Mov!$B$5:$B$445,"21202040")+SUMIFS(Mayor_Mov!$F$5:$F$445,Mayor_Mov!$N$5:$N$445,$A25,Mayor_Mov!$B$5:$B$445,"21202140")</f>
        <v>0</v>
      </c>
      <c r="G25" s="32" t="n">
        <f aca="false">SUMIFS(Mayor_Mov!$E$5:$E$445,Mayor_Mov!$N$5:$N$445,$A25,Mayor_Mov!$B$5:$B$445,"21050100")+SUMIFS(Mayor_Mov!$E$5:$E$445,Mayor_Mov!$N$5:$N$445,$A25,Mayor_Mov!$B$5:$B$445,"21050201")+SUMIFS(Mayor_Mov!$E$5:$E$445,Mayor_Mov!$N$5:$N$445,$A25,Mayor_Mov!$B$5:$B$445,"21202040")+SUMIFS(Mayor_Mov!$E$5:$E$445,Mayor_Mov!$N$5:$N$445,$A25,Mayor_Mov!$B$5:$B$445,"21202140")</f>
        <v>1666666666</v>
      </c>
      <c r="H25" s="33" t="n">
        <f aca="false">E25+F25-G25</f>
        <v>3333333334</v>
      </c>
      <c r="I25" s="32" t="n">
        <f aca="false">SUMIFS(Detalle_62!$F$14:$F$35,Detalle_62!$C$14:$C$35,A25)</f>
        <v>3333333333.33333</v>
      </c>
      <c r="J25" s="32" t="n">
        <f aca="false">IFERROR(INDEX(Rev_Tablas_Amort!$N:$N,MATCH(A25,Rev_Tablas_Amort!$A:$A,0)),"Sin tabla")</f>
        <v>3333333333.33333</v>
      </c>
      <c r="K25" s="39" t="n">
        <v>5000000000</v>
      </c>
      <c r="L25" s="32" t="n">
        <f aca="false">Certificados!J7</f>
        <v>3333333334</v>
      </c>
      <c r="M25" s="26" t="s">
        <v>1588</v>
      </c>
      <c r="N25" s="33" t="n">
        <f aca="false">H25-I25</f>
        <v>0.666666984558106</v>
      </c>
      <c r="O25" s="33" t="n">
        <f aca="false">IF(ISNUMBER(L25),H25-L25,"N/D")</f>
        <v>0</v>
      </c>
      <c r="P25" s="33" t="n">
        <f aca="false">IF(ISNUMBER(L25),I25-L25,"N/D")</f>
        <v>-0.666666984558106</v>
      </c>
      <c r="Q25" s="33" t="n">
        <f aca="false">IF(AND(ISNUMBER(J25),ISNUMBER(L25)),J25-L25,"N/D")</f>
        <v>-0.666666984558106</v>
      </c>
      <c r="R25" s="14" t="str">
        <f aca="false">IF(NOT(ISNUMBER(L25)),"Pendiente soporte bancario",IF(ABS(O25)&lt;=Resumen!$C$6,IF(ABS(N25)&lt;=Resumen!$C$6,"OK","Mayor OK – detalle 62 desactualizado"),"Diferencia mayor vs banco"))</f>
        <v>OK</v>
      </c>
    </row>
    <row r="26" customFormat="false" ht="15" hidden="false" customHeight="false" outlineLevel="0" collapsed="false">
      <c r="A26" s="34" t="s">
        <v>140</v>
      </c>
      <c r="B26" s="38" t="s">
        <v>343</v>
      </c>
      <c r="C26" s="26" t="s">
        <v>1221</v>
      </c>
      <c r="D26" s="38" t="s">
        <v>1609</v>
      </c>
      <c r="E26" s="32" t="n">
        <f aca="false">SUMIFS(Mayor_Dic25!$G$5:$G$200,Mayor_Dic25!$J$5:$J$200,A26,Mayor_Dic25!$C$5:$C$200,"&lt;&gt;2130*",Mayor_Dic25!$C$5:$C$200,"&lt;&gt;21050301")</f>
        <v>495530373</v>
      </c>
      <c r="F26" s="32" t="n">
        <f aca="false">SUMIFS(Mayor_Mov!$F$5:$F$445,Mayor_Mov!$N$5:$N$445,$A26,Mayor_Mov!$B$5:$B$445,"21050100")+SUMIFS(Mayor_Mov!$F$5:$F$445,Mayor_Mov!$N$5:$N$445,$A26,Mayor_Mov!$B$5:$B$445,"21050201")+SUMIFS(Mayor_Mov!$F$5:$F$445,Mayor_Mov!$N$5:$N$445,$A26,Mayor_Mov!$B$5:$B$445,"21202040")+SUMIFS(Mayor_Mov!$F$5:$F$445,Mayor_Mov!$N$5:$N$445,$A26,Mayor_Mov!$B$5:$B$445,"21202140")</f>
        <v>0</v>
      </c>
      <c r="G26" s="32" t="n">
        <f aca="false">SUMIFS(Mayor_Mov!$E$5:$E$445,Mayor_Mov!$N$5:$N$445,$A26,Mayor_Mov!$B$5:$B$445,"21050100")+SUMIFS(Mayor_Mov!$E$5:$E$445,Mayor_Mov!$N$5:$N$445,$A26,Mayor_Mov!$B$5:$B$445,"21050201")+SUMIFS(Mayor_Mov!$E$5:$E$445,Mayor_Mov!$N$5:$N$445,$A26,Mayor_Mov!$B$5:$B$445,"21202040")+SUMIFS(Mayor_Mov!$E$5:$E$445,Mayor_Mov!$N$5:$N$445,$A26,Mayor_Mov!$B$5:$B$445,"21202140")</f>
        <v>47053001</v>
      </c>
      <c r="H26" s="33" t="n">
        <f aca="false">E26+F26-G26</f>
        <v>448477372</v>
      </c>
      <c r="I26" s="32" t="n">
        <f aca="false">SUMIFS(Detalle_62!$F$14:$F$35,Detalle_62!$C$14:$C$35,A26)</f>
        <v>497241599</v>
      </c>
      <c r="J26" s="32" t="n">
        <f aca="false">IFERROR(INDEX(Rev_Tablas_Amort!$N:$N,MATCH(A26,Rev_Tablas_Amort!$A:$A,0)),"Sin tabla")</f>
        <v>524519291.134113</v>
      </c>
      <c r="K26" s="39" t="n">
        <v>495530373</v>
      </c>
      <c r="L26" s="33" t="n">
        <f aca="false">IF(ISNUMBER(K26),K26+F26-G26,"N/D")</f>
        <v>448477372</v>
      </c>
      <c r="M26" s="26" t="str">
        <f aca="false">IF(ISNUMBER(K26),"[E] Extracto dic-25 + mov. 2026","[P] Sin soporte bancario")</f>
        <v>[E] Extracto dic-25 + mov. 2026</v>
      </c>
      <c r="N26" s="33" t="n">
        <f aca="false">H26-I26</f>
        <v>-48764227</v>
      </c>
      <c r="O26" s="33" t="n">
        <f aca="false">IF(ISNUMBER(L26),H26-L26,"N/D")</f>
        <v>0</v>
      </c>
      <c r="P26" s="33" t="n">
        <f aca="false">IF(ISNUMBER(L26),I26-L26,"N/D")</f>
        <v>48764227</v>
      </c>
      <c r="Q26" s="33" t="n">
        <f aca="false">IF(AND(ISNUMBER(J26),ISNUMBER(L26)),J26-L26,"N/D")</f>
        <v>76041919.1341134</v>
      </c>
      <c r="R26" s="14" t="str">
        <f aca="false">IF(NOT(ISNUMBER(L26)),"Pendiente soporte bancario",IF(ABS(O26)&lt;=Resumen!$C$6,IF(ABS(N26)&lt;=Resumen!$C$6,"OK","Mayor OK – detalle 62 desactualizado"),"Diferencia mayor vs banco"))</f>
        <v>Mayor OK – detalle 62 desactualizado</v>
      </c>
    </row>
    <row r="27" customFormat="false" ht="15" hidden="false" customHeight="false" outlineLevel="0" collapsed="false">
      <c r="A27" s="34" t="s">
        <v>141</v>
      </c>
      <c r="B27" s="38" t="s">
        <v>343</v>
      </c>
      <c r="C27" s="26" t="s">
        <v>1221</v>
      </c>
      <c r="D27" s="38" t="s">
        <v>1610</v>
      </c>
      <c r="E27" s="32" t="n">
        <f aca="false">SUMIFS(Mayor_Dic25!$G$5:$G$200,Mayor_Dic25!$J$5:$J$200,A27,Mayor_Dic25!$C$5:$C$200,"&lt;&gt;2130*",Mayor_Dic25!$C$5:$C$200,"&lt;&gt;21050301")</f>
        <v>849599858</v>
      </c>
      <c r="F27" s="32" t="n">
        <f aca="false">SUMIFS(Mayor_Mov!$F$5:$F$445,Mayor_Mov!$N$5:$N$445,$A27,Mayor_Mov!$B$5:$B$445,"21050100")+SUMIFS(Mayor_Mov!$F$5:$F$445,Mayor_Mov!$N$5:$N$445,$A27,Mayor_Mov!$B$5:$B$445,"21050201")+SUMIFS(Mayor_Mov!$F$5:$F$445,Mayor_Mov!$N$5:$N$445,$A27,Mayor_Mov!$B$5:$B$445,"21202040")+SUMIFS(Mayor_Mov!$F$5:$F$445,Mayor_Mov!$N$5:$N$445,$A27,Mayor_Mov!$B$5:$B$445,"21202140")</f>
        <v>0</v>
      </c>
      <c r="G27" s="32" t="n">
        <f aca="false">SUMIFS(Mayor_Mov!$E$5:$E$445,Mayor_Mov!$N$5:$N$445,$A27,Mayor_Mov!$B$5:$B$445,"21050100")+SUMIFS(Mayor_Mov!$E$5:$E$445,Mayor_Mov!$N$5:$N$445,$A27,Mayor_Mov!$B$5:$B$445,"21050201")+SUMIFS(Mayor_Mov!$E$5:$E$445,Mayor_Mov!$N$5:$N$445,$A27,Mayor_Mov!$B$5:$B$445,"21202040")+SUMIFS(Mayor_Mov!$E$5:$E$445,Mayor_Mov!$N$5:$N$445,$A27,Mayor_Mov!$B$5:$B$445,"21202140")</f>
        <v>61870158</v>
      </c>
      <c r="H27" s="33" t="n">
        <f aca="false">E27+F27-G27</f>
        <v>787729700</v>
      </c>
      <c r="I27" s="32" t="n">
        <f aca="false">SUMIFS(Detalle_62!$F$14:$F$35,Detalle_62!$C$14:$C$35,A27)</f>
        <v>770085425.158301</v>
      </c>
      <c r="J27" s="32" t="n">
        <f aca="false">IFERROR(INDEX(Rev_Tablas_Amort!$N:$N,MATCH(A27,Rev_Tablas_Amort!$A:$A,0)),"Sin tabla")</f>
        <v>770085425.158301</v>
      </c>
      <c r="K27" s="39" t="n">
        <v>849599858</v>
      </c>
      <c r="L27" s="33" t="n">
        <f aca="false">IF(ISNUMBER(K27),K27+F27-G27,"N/D")</f>
        <v>787729700</v>
      </c>
      <c r="M27" s="26" t="str">
        <f aca="false">IF(ISNUMBER(K27),"[E] Extracto dic-25 + mov. 2026","[P] Sin soporte bancario")</f>
        <v>[E] Extracto dic-25 + mov. 2026</v>
      </c>
      <c r="N27" s="33" t="n">
        <f aca="false">H27-I27</f>
        <v>17644274.8416994</v>
      </c>
      <c r="O27" s="33" t="n">
        <f aca="false">IF(ISNUMBER(L27),H27-L27,"N/D")</f>
        <v>0</v>
      </c>
      <c r="P27" s="33" t="n">
        <f aca="false">IF(ISNUMBER(L27),I27-L27,"N/D")</f>
        <v>-17644274.8416994</v>
      </c>
      <c r="Q27" s="33" t="n">
        <f aca="false">IF(AND(ISNUMBER(J27),ISNUMBER(L27)),J27-L27,"N/D")</f>
        <v>-17644274.8416994</v>
      </c>
      <c r="R27" s="14" t="str">
        <f aca="false">IF(NOT(ISNUMBER(L27)),"Pendiente soporte bancario",IF(ABS(O27)&lt;=Resumen!$C$6,IF(ABS(N27)&lt;=Resumen!$C$6,"OK","Mayor OK – detalle 62 desactualizado"),"Diferencia mayor vs banco"))</f>
        <v>Mayor OK – detalle 62 desactualizado</v>
      </c>
    </row>
    <row r="28" customFormat="false" ht="15" hidden="false" customHeight="false" outlineLevel="0" collapsed="false">
      <c r="A28" s="34" t="s">
        <v>142</v>
      </c>
      <c r="B28" s="38" t="s">
        <v>343</v>
      </c>
      <c r="C28" s="26" t="s">
        <v>1221</v>
      </c>
      <c r="D28" s="38" t="s">
        <v>1611</v>
      </c>
      <c r="E28" s="32" t="n">
        <f aca="false">SUMIFS(Mayor_Dic25!$G$5:$G$200,Mayor_Dic25!$J$5:$J$200,A28,Mayor_Dic25!$C$5:$C$200,"&lt;&gt;2130*",Mayor_Dic25!$C$5:$C$200,"&lt;&gt;21050301")</f>
        <v>605798177</v>
      </c>
      <c r="F28" s="32" t="n">
        <f aca="false">SUMIFS(Mayor_Mov!$F$5:$F$445,Mayor_Mov!$N$5:$N$445,$A28,Mayor_Mov!$B$5:$B$445,"21050100")+SUMIFS(Mayor_Mov!$F$5:$F$445,Mayor_Mov!$N$5:$N$445,$A28,Mayor_Mov!$B$5:$B$445,"21050201")+SUMIFS(Mayor_Mov!$F$5:$F$445,Mayor_Mov!$N$5:$N$445,$A28,Mayor_Mov!$B$5:$B$445,"21202040")+SUMIFS(Mayor_Mov!$F$5:$F$445,Mayor_Mov!$N$5:$N$445,$A28,Mayor_Mov!$B$5:$B$445,"21202140")</f>
        <v>0</v>
      </c>
      <c r="G28" s="32" t="n">
        <f aca="false">SUMIFS(Mayor_Mov!$E$5:$E$445,Mayor_Mov!$N$5:$N$445,$A28,Mayor_Mov!$B$5:$B$445,"21050100")+SUMIFS(Mayor_Mov!$E$5:$E$445,Mayor_Mov!$N$5:$N$445,$A28,Mayor_Mov!$B$5:$B$445,"21050201")+SUMIFS(Mayor_Mov!$E$5:$E$445,Mayor_Mov!$N$5:$N$445,$A28,Mayor_Mov!$B$5:$B$445,"21202040")+SUMIFS(Mayor_Mov!$E$5:$E$445,Mayor_Mov!$N$5:$N$445,$A28,Mayor_Mov!$B$5:$B$445,"21202140")</f>
        <v>117272673</v>
      </c>
      <c r="H28" s="33" t="n">
        <f aca="false">E28+F28-G28</f>
        <v>488525504</v>
      </c>
      <c r="I28" s="32" t="n">
        <f aca="false">SUMIFS(Detalle_62!$F$14:$F$35,Detalle_62!$C$14:$C$35,A28)</f>
        <v>503693510</v>
      </c>
      <c r="J28" s="32" t="n">
        <f aca="false">IFERROR(INDEX(Rev_Tablas_Amort!$N:$N,MATCH(A28,Rev_Tablas_Amort!$A:$A,0)),"Sin tabla")</f>
        <v>503693510</v>
      </c>
      <c r="K28" s="39" t="n">
        <v>605798177</v>
      </c>
      <c r="L28" s="33" t="n">
        <f aca="false">IF(ISNUMBER(K28),K28+F28-G28,"N/D")</f>
        <v>488525504</v>
      </c>
      <c r="M28" s="26" t="str">
        <f aca="false">IF(ISNUMBER(K28),"[E] Extracto dic-25 + mov. 2026","[P] Sin soporte bancario")</f>
        <v>[E] Extracto dic-25 + mov. 2026</v>
      </c>
      <c r="N28" s="33" t="n">
        <f aca="false">H28-I28</f>
        <v>-15168006</v>
      </c>
      <c r="O28" s="33" t="n">
        <f aca="false">IF(ISNUMBER(L28),H28-L28,"N/D")</f>
        <v>0</v>
      </c>
      <c r="P28" s="33" t="n">
        <f aca="false">IF(ISNUMBER(L28),I28-L28,"N/D")</f>
        <v>15168006</v>
      </c>
      <c r="Q28" s="33" t="n">
        <f aca="false">IF(AND(ISNUMBER(J28),ISNUMBER(L28)),J28-L28,"N/D")</f>
        <v>15168006</v>
      </c>
      <c r="R28" s="14" t="str">
        <f aca="false">IF(NOT(ISNUMBER(L28)),"Pendiente soporte bancario",IF(ABS(O28)&lt;=Resumen!$C$6,IF(ABS(N28)&lt;=Resumen!$C$6,"OK","Mayor OK – detalle 62 desactualizado"),"Diferencia mayor vs banco"))</f>
        <v>Mayor OK – detalle 62 desactualizado</v>
      </c>
    </row>
    <row r="29" customFormat="false" ht="15" hidden="false" customHeight="false" outlineLevel="0" collapsed="false">
      <c r="A29" s="34" t="s">
        <v>143</v>
      </c>
      <c r="B29" s="38" t="s">
        <v>343</v>
      </c>
      <c r="C29" s="26" t="s">
        <v>1221</v>
      </c>
      <c r="D29" s="38" t="s">
        <v>1612</v>
      </c>
      <c r="E29" s="32" t="n">
        <f aca="false">SUMIFS(Mayor_Dic25!$G$5:$G$200,Mayor_Dic25!$J$5:$J$200,A29,Mayor_Dic25!$C$5:$C$200,"&lt;&gt;2130*",Mayor_Dic25!$C$5:$C$200,"&lt;&gt;21050301")</f>
        <v>0</v>
      </c>
      <c r="F29" s="32" t="n">
        <f aca="false">SUMIFS(Mayor_Mov!$F$5:$F$445,Mayor_Mov!$N$5:$N$445,$A29,Mayor_Mov!$B$5:$B$445,"21050100")+SUMIFS(Mayor_Mov!$F$5:$F$445,Mayor_Mov!$N$5:$N$445,$A29,Mayor_Mov!$B$5:$B$445,"21050201")+SUMIFS(Mayor_Mov!$F$5:$F$445,Mayor_Mov!$N$5:$N$445,$A29,Mayor_Mov!$B$5:$B$445,"21202040")+SUMIFS(Mayor_Mov!$F$5:$F$445,Mayor_Mov!$N$5:$N$445,$A29,Mayor_Mov!$B$5:$B$445,"21202140")</f>
        <v>675837500</v>
      </c>
      <c r="G29" s="32" t="n">
        <f aca="false">SUMIFS(Mayor_Mov!$E$5:$E$445,Mayor_Mov!$N$5:$N$445,$A29,Mayor_Mov!$B$5:$B$445,"21050100")+SUMIFS(Mayor_Mov!$E$5:$E$445,Mayor_Mov!$N$5:$N$445,$A29,Mayor_Mov!$B$5:$B$445,"21050201")+SUMIFS(Mayor_Mov!$E$5:$E$445,Mayor_Mov!$N$5:$N$445,$A29,Mayor_Mov!$B$5:$B$445,"21202040")+SUMIFS(Mayor_Mov!$E$5:$E$445,Mayor_Mov!$N$5:$N$445,$A29,Mayor_Mov!$B$5:$B$445,"21202140")</f>
        <v>0</v>
      </c>
      <c r="H29" s="33" t="n">
        <f aca="false">E29+F29-G29</f>
        <v>675837500</v>
      </c>
      <c r="I29" s="32" t="n">
        <f aca="false">SUMIFS(Detalle_62!$F$14:$F$35,Detalle_62!$C$14:$C$35,A29)</f>
        <v>0</v>
      </c>
      <c r="J29" s="32" t="str">
        <f aca="false">IFERROR(INDEX(Rev_Tablas_Amort!$N:$N,MATCH(A29,Rev_Tablas_Amort!$A:$A,0)),"Sin tabla")</f>
        <v>Sin tabla</v>
      </c>
      <c r="K29" s="39" t="s">
        <v>1595</v>
      </c>
      <c r="L29" s="33" t="str">
        <f aca="false">IF(ISNUMBER(K29),K29+F29-G29,"N/D")</f>
        <v>N/D</v>
      </c>
      <c r="M29" s="26" t="str">
        <f aca="false">IF(ISNUMBER(K29),"[E] Extracto dic-25 + mov. 2026","[P] Sin soporte bancario")</f>
        <v>[P] Sin soporte bancario</v>
      </c>
      <c r="N29" s="33" t="n">
        <f aca="false">H29-I29</f>
        <v>675837500</v>
      </c>
      <c r="O29" s="33" t="str">
        <f aca="false">IF(ISNUMBER(L29),H29-L29,"N/D")</f>
        <v>N/D</v>
      </c>
      <c r="P29" s="33" t="str">
        <f aca="false">IF(ISNUMBER(L29),I29-L29,"N/D")</f>
        <v>N/D</v>
      </c>
      <c r="Q29" s="33" t="str">
        <f aca="false">IF(AND(ISNUMBER(J29),ISNUMBER(L29)),J29-L29,"N/D")</f>
        <v>N/D</v>
      </c>
      <c r="R29" s="14" t="str">
        <f aca="false">IF(NOT(ISNUMBER(L29)),"Pendiente soporte bancario",IF(ABS(O29)&lt;=Resumen!$C$6,IF(ABS(N29)&lt;=Resumen!$C$6,"OK","Mayor OK – detalle 62 desactualizado"),"Diferencia mayor vs banco"))</f>
        <v>Pendiente soporte bancario</v>
      </c>
    </row>
    <row r="30" customFormat="false" ht="15" hidden="false" customHeight="false" outlineLevel="0" collapsed="false">
      <c r="A30" s="34" t="s">
        <v>145</v>
      </c>
      <c r="B30" s="38" t="s">
        <v>1613</v>
      </c>
      <c r="C30" s="26" t="s">
        <v>1221</v>
      </c>
      <c r="D30" s="38" t="s">
        <v>1614</v>
      </c>
      <c r="E30" s="32" t="n">
        <f aca="false">SUMIFS(Mayor_Dic25!$G$5:$G$200,Mayor_Dic25!$J$5:$J$200,A30,Mayor_Dic25!$C$5:$C$200,"&lt;&gt;2130*",Mayor_Dic25!$C$5:$C$200,"&lt;&gt;21050301")</f>
        <v>0</v>
      </c>
      <c r="F30" s="32" t="n">
        <f aca="false">SUMIFS(Mayor_Mov!$F$5:$F$445,Mayor_Mov!$N$5:$N$445,$A30,Mayor_Mov!$B$5:$B$445,"21050100")+SUMIFS(Mayor_Mov!$F$5:$F$445,Mayor_Mov!$N$5:$N$445,$A30,Mayor_Mov!$B$5:$B$445,"21050201")+SUMIFS(Mayor_Mov!$F$5:$F$445,Mayor_Mov!$N$5:$N$445,$A30,Mayor_Mov!$B$5:$B$445,"21202040")+SUMIFS(Mayor_Mov!$F$5:$F$445,Mayor_Mov!$N$5:$N$445,$A30,Mayor_Mov!$B$5:$B$445,"21202140")</f>
        <v>35428634</v>
      </c>
      <c r="G30" s="32" t="n">
        <f aca="false">SUMIFS(Mayor_Mov!$E$5:$E$445,Mayor_Mov!$N$5:$N$445,$A30,Mayor_Mov!$B$5:$B$445,"21050100")+SUMIFS(Mayor_Mov!$E$5:$E$445,Mayor_Mov!$N$5:$N$445,$A30,Mayor_Mov!$B$5:$B$445,"21050201")+SUMIFS(Mayor_Mov!$E$5:$E$445,Mayor_Mov!$N$5:$N$445,$A30,Mayor_Mov!$B$5:$B$445,"21202040")+SUMIFS(Mayor_Mov!$E$5:$E$445,Mayor_Mov!$N$5:$N$445,$A30,Mayor_Mov!$B$5:$B$445,"21202140")</f>
        <v>35428634</v>
      </c>
      <c r="H30" s="33" t="n">
        <f aca="false">E30+F30-G30</f>
        <v>0</v>
      </c>
      <c r="I30" s="32" t="n">
        <f aca="false">SUMIFS(Detalle_62!$F$14:$F$35,Detalle_62!$C$14:$C$35,A30)</f>
        <v>0</v>
      </c>
      <c r="J30" s="32" t="str">
        <f aca="false">IFERROR(INDEX(Rev_Tablas_Amort!$N:$N,MATCH(A30,Rev_Tablas_Amort!$A:$A,0)),"Sin tabla")</f>
        <v>Sin tabla</v>
      </c>
      <c r="K30" s="39" t="s">
        <v>1595</v>
      </c>
      <c r="L30" s="33" t="str">
        <f aca="false">IF(ISNUMBER(K30),K30+F30-G30,"N/D")</f>
        <v>N/D</v>
      </c>
      <c r="M30" s="26" t="str">
        <f aca="false">IF(ISNUMBER(K30),"[E] Extracto dic-25 + mov. 2026","[P] Sin soporte bancario")</f>
        <v>[P] Sin soporte bancario</v>
      </c>
      <c r="N30" s="33" t="n">
        <f aca="false">H30-I30</f>
        <v>0</v>
      </c>
      <c r="O30" s="33" t="str">
        <f aca="false">IF(ISNUMBER(L30),H30-L30,"N/D")</f>
        <v>N/D</v>
      </c>
      <c r="P30" s="33" t="str">
        <f aca="false">IF(ISNUMBER(L30),I30-L30,"N/D")</f>
        <v>N/D</v>
      </c>
      <c r="Q30" s="33" t="str">
        <f aca="false">IF(AND(ISNUMBER(J30),ISNUMBER(L30)),J30-L30,"N/D")</f>
        <v>N/D</v>
      </c>
      <c r="R30" s="14" t="str">
        <f aca="false">IF(NOT(ISNUMBER(L30)),"Pendiente soporte bancario",IF(ABS(O30)&lt;=Resumen!$C$6,IF(ABS(N30)&lt;=Resumen!$C$6,"OK","Mayor OK – detalle 62 desactualizado"),"Diferencia mayor vs banco"))</f>
        <v>Pendiente soporte bancario</v>
      </c>
    </row>
    <row r="31" customFormat="false" ht="15" hidden="false" customHeight="false" outlineLevel="0" collapsed="false">
      <c r="A31" s="34" t="s">
        <v>146</v>
      </c>
      <c r="B31" s="38" t="s">
        <v>1613</v>
      </c>
      <c r="C31" s="26" t="s">
        <v>1221</v>
      </c>
      <c r="D31" s="38" t="s">
        <v>1615</v>
      </c>
      <c r="E31" s="32" t="n">
        <f aca="false">SUMIFS(Mayor_Dic25!$G$5:$G$200,Mayor_Dic25!$J$5:$J$200,A31,Mayor_Dic25!$C$5:$C$200,"&lt;&gt;2130*",Mayor_Dic25!$C$5:$C$200,"&lt;&gt;21050301")</f>
        <v>0</v>
      </c>
      <c r="F31" s="32" t="n">
        <f aca="false">SUMIFS(Mayor_Mov!$F$5:$F$445,Mayor_Mov!$N$5:$N$445,$A31,Mayor_Mov!$B$5:$B$445,"21050100")+SUMIFS(Mayor_Mov!$F$5:$F$445,Mayor_Mov!$N$5:$N$445,$A31,Mayor_Mov!$B$5:$B$445,"21050201")+SUMIFS(Mayor_Mov!$F$5:$F$445,Mayor_Mov!$N$5:$N$445,$A31,Mayor_Mov!$B$5:$B$445,"21202040")+SUMIFS(Mayor_Mov!$F$5:$F$445,Mayor_Mov!$N$5:$N$445,$A31,Mayor_Mov!$B$5:$B$445,"21202140")</f>
        <v>8261283</v>
      </c>
      <c r="G31" s="32" t="n">
        <f aca="false">SUMIFS(Mayor_Mov!$E$5:$E$445,Mayor_Mov!$N$5:$N$445,$A31,Mayor_Mov!$B$5:$B$445,"21050100")+SUMIFS(Mayor_Mov!$E$5:$E$445,Mayor_Mov!$N$5:$N$445,$A31,Mayor_Mov!$B$5:$B$445,"21050201")+SUMIFS(Mayor_Mov!$E$5:$E$445,Mayor_Mov!$N$5:$N$445,$A31,Mayor_Mov!$B$5:$B$445,"21202040")+SUMIFS(Mayor_Mov!$E$5:$E$445,Mayor_Mov!$N$5:$N$445,$A31,Mayor_Mov!$B$5:$B$445,"21202140")</f>
        <v>8261283</v>
      </c>
      <c r="H31" s="33" t="n">
        <f aca="false">E31+F31-G31</f>
        <v>0</v>
      </c>
      <c r="I31" s="32" t="n">
        <f aca="false">SUMIFS(Detalle_62!$F$14:$F$35,Detalle_62!$C$14:$C$35,A31)</f>
        <v>0</v>
      </c>
      <c r="J31" s="32" t="str">
        <f aca="false">IFERROR(INDEX(Rev_Tablas_Amort!$N:$N,MATCH(A31,Rev_Tablas_Amort!$A:$A,0)),"Sin tabla")</f>
        <v>Sin tabla</v>
      </c>
      <c r="K31" s="39" t="s">
        <v>1595</v>
      </c>
      <c r="L31" s="33" t="str">
        <f aca="false">IF(ISNUMBER(K31),K31+F31-G31,"N/D")</f>
        <v>N/D</v>
      </c>
      <c r="M31" s="26" t="str">
        <f aca="false">IF(ISNUMBER(K31),"[E] Extracto dic-25 + mov. 2026","[P] Sin soporte bancario")</f>
        <v>[P] Sin soporte bancario</v>
      </c>
      <c r="N31" s="33" t="n">
        <f aca="false">H31-I31</f>
        <v>0</v>
      </c>
      <c r="O31" s="33" t="str">
        <f aca="false">IF(ISNUMBER(L31),H31-L31,"N/D")</f>
        <v>N/D</v>
      </c>
      <c r="P31" s="33" t="str">
        <f aca="false">IF(ISNUMBER(L31),I31-L31,"N/D")</f>
        <v>N/D</v>
      </c>
      <c r="Q31" s="33" t="str">
        <f aca="false">IF(AND(ISNUMBER(J31),ISNUMBER(L31)),J31-L31,"N/D")</f>
        <v>N/D</v>
      </c>
      <c r="R31" s="14" t="str">
        <f aca="false">IF(NOT(ISNUMBER(L31)),"Pendiente soporte bancario",IF(ABS(O31)&lt;=Resumen!$C$6,IF(ABS(N31)&lt;=Resumen!$C$6,"OK","Mayor OK – detalle 62 desactualizado"),"Diferencia mayor vs banco"))</f>
        <v>Pendiente soporte bancario</v>
      </c>
    </row>
    <row r="32" customFormat="false" ht="15" hidden="false" customHeight="false" outlineLevel="0" collapsed="false">
      <c r="A32" s="40" t="s">
        <v>1616</v>
      </c>
      <c r="E32" s="41" t="n">
        <f aca="false">SUMIFS(E5:E31,$C$5:$C$31,"Crédito")</f>
        <v>41306666666</v>
      </c>
      <c r="F32" s="41" t="n">
        <f aca="false">SUMIFS(F5:F31,$C$5:$C$31,"Crédito")</f>
        <v>24700000000</v>
      </c>
      <c r="G32" s="41" t="n">
        <f aca="false">SUMIFS(G5:G31,$C$5:$C$31,"Crédito")</f>
        <v>27706000000</v>
      </c>
      <c r="H32" s="41" t="n">
        <f aca="false">SUMIFS(H5:H31,$C$5:$C$31,"Crédito")</f>
        <v>38300666666</v>
      </c>
      <c r="I32" s="41" t="n">
        <f aca="false">SUMIFS(I5:I31,$C$5:$C$31,"Crédito")</f>
        <v>38300666665.3333</v>
      </c>
      <c r="J32" s="41" t="n">
        <f aca="false">SUMIFS(J5:J31,$C$5:$C$31,"Crédito")</f>
        <v>33600666669.3333</v>
      </c>
      <c r="L32" s="41" t="n">
        <f aca="false">SUMIFS(L5:L31,$C$5:$C$31,"Crédito")</f>
        <v>38300658111.59</v>
      </c>
      <c r="N32" s="41" t="n">
        <f aca="false">SUMIFS(N5:N31,$C$5:$C$31,"Crédito")</f>
        <v>0.666666984558106</v>
      </c>
      <c r="O32" s="41" t="n">
        <f aca="false">SUMIFS(O5:O31,$C$5:$C$31,"Crédito")</f>
        <v>8554.40999984741</v>
      </c>
      <c r="P32" s="41" t="n">
        <f aca="false">SUMIFS(P5:P31,$C$5:$C$31,"Crédito")</f>
        <v>8553.74333286285</v>
      </c>
      <c r="Q32" s="41" t="n">
        <f aca="false">SUMIFS(Q5:Q31,$C$5:$C$31,"Crédito")</f>
        <v>8557.74333286285</v>
      </c>
    </row>
    <row r="33" customFormat="false" ht="15" hidden="false" customHeight="false" outlineLevel="0" collapsed="false">
      <c r="A33" s="26" t="s">
        <v>1617</v>
      </c>
      <c r="E33" s="32" t="n">
        <f aca="false">-(Balance_21!$C$16+Balance_21!$C$18)</f>
        <v>41306666666</v>
      </c>
      <c r="F33" s="32" t="n">
        <f aca="false">Balance_21!$E$16+Balance_21!$E$18</f>
        <v>24700000000</v>
      </c>
      <c r="G33" s="32" t="n">
        <f aca="false">Balance_21!$D$16+Balance_21!$D$18</f>
        <v>27706000000</v>
      </c>
      <c r="H33" s="32" t="n">
        <f aca="false">-(Balance_21!$F$16+Balance_21!$F$18)</f>
        <v>38300666666</v>
      </c>
    </row>
    <row r="34" customFormat="false" ht="15" hidden="false" customHeight="false" outlineLevel="0" collapsed="false">
      <c r="A34" s="26" t="s">
        <v>1618</v>
      </c>
      <c r="E34" s="58" t="n">
        <f aca="false">E32-E33</f>
        <v>0</v>
      </c>
      <c r="F34" s="58" t="n">
        <f aca="false">F32-F33</f>
        <v>0</v>
      </c>
      <c r="G34" s="58" t="n">
        <f aca="false">G32-G33</f>
        <v>0</v>
      </c>
      <c r="H34" s="58" t="n">
        <f aca="false">H32-H33</f>
        <v>0</v>
      </c>
    </row>
    <row r="36" customFormat="false" ht="15" hidden="false" customHeight="false" outlineLevel="0" collapsed="false">
      <c r="A36" s="40" t="s">
        <v>1619</v>
      </c>
      <c r="E36" s="41" t="n">
        <f aca="false">SUMIFS(E5:E31,$C$5:$C$31,"Leasing")</f>
        <v>8130494743.34</v>
      </c>
      <c r="F36" s="41" t="n">
        <f aca="false">SUMIFS(F5:F31,$C$5:$C$31,"Leasing")</f>
        <v>719527417</v>
      </c>
      <c r="G36" s="41" t="n">
        <f aca="false">SUMIFS(G5:G31,$C$5:$C$31,"Leasing")</f>
        <v>946510532.01</v>
      </c>
      <c r="H36" s="41" t="n">
        <f aca="false">SUMIFS(H5:H31,$C$5:$C$31,"Leasing")</f>
        <v>7903511628.33</v>
      </c>
      <c r="I36" s="41" t="n">
        <f aca="false">SUMIFS(I5:I31,$C$5:$C$31,"Leasing")</f>
        <v>6885245451.62914</v>
      </c>
      <c r="J36" s="41" t="n">
        <f aca="false">SUMIFS(J5:J31,$C$5:$C$31,"Leasing")</f>
        <v>6912523143.76325</v>
      </c>
      <c r="L36" s="41" t="n">
        <f aca="false">SUMIFS(L5:L31,$C$5:$C$31,"Leasing")</f>
        <v>7013812227</v>
      </c>
      <c r="N36" s="41" t="n">
        <f aca="false">SUMIFS(N5:N31,$C$5:$C$31,"Leasing")</f>
        <v>1018266176.70087</v>
      </c>
      <c r="O36" s="41" t="n">
        <f aca="false">SUMIFS(O5:O31,$C$5:$C$31,"Leasing")</f>
        <v>1.33000007271767</v>
      </c>
      <c r="P36" s="41" t="n">
        <f aca="false">SUMIFS(P5:P31,$C$5:$C$31,"Leasing")</f>
        <v>-128566775.370865</v>
      </c>
      <c r="Q36" s="41" t="n">
        <f aca="false">SUMIFS(Q5:Q31,$C$5:$C$31,"Leasing")</f>
        <v>-101289083.236752</v>
      </c>
    </row>
    <row r="37" customFormat="false" ht="15" hidden="false" customHeight="false" outlineLevel="0" collapsed="false">
      <c r="A37" s="26" t="s">
        <v>1620</v>
      </c>
      <c r="E37" s="32" t="n">
        <f aca="false">-(Balance_21!$C$22+Balance_21!$C$24)</f>
        <v>8130494743.34</v>
      </c>
      <c r="F37" s="32" t="n">
        <f aca="false">Balance_21!$E$22+Balance_21!$E$24</f>
        <v>719527417</v>
      </c>
      <c r="G37" s="32" t="n">
        <f aca="false">Balance_21!$D$22+Balance_21!$D$24</f>
        <v>946510532.01</v>
      </c>
      <c r="H37" s="32" t="n">
        <f aca="false">-(Balance_21!$F$22+Balance_21!$F$24)</f>
        <v>7903511628.33</v>
      </c>
    </row>
    <row r="38" customFormat="false" ht="15" hidden="false" customHeight="false" outlineLevel="0" collapsed="false">
      <c r="A38" s="26" t="s">
        <v>1618</v>
      </c>
      <c r="E38" s="58" t="n">
        <f aca="false">E36-E37</f>
        <v>0</v>
      </c>
      <c r="F38" s="58" t="n">
        <f aca="false">F36-F37</f>
        <v>0</v>
      </c>
      <c r="G38" s="58" t="n">
        <f aca="false">G36-G37</f>
        <v>0</v>
      </c>
      <c r="H38" s="58" t="n">
        <f aca="false">H36-H37</f>
        <v>0</v>
      </c>
    </row>
    <row r="40" customFormat="false" ht="15" hidden="false" customHeight="false" outlineLevel="0" collapsed="false">
      <c r="A40" s="24" t="s">
        <v>1621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3" topLeftCell="B24" activePane="bottomRight" state="frozen"/>
      <selection pane="topLeft" activeCell="A1" activeCellId="0" sqref="A1"/>
      <selection pane="topRight" activeCell="B1" activeCellId="0" sqref="B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8" min="4" style="0" width="18"/>
    <col collapsed="false" customWidth="true" hidden="false" outlineLevel="0" max="9" min="9" style="0" width="60"/>
  </cols>
  <sheetData>
    <row r="1" customFormat="false" ht="16.15" hidden="false" customHeight="false" outlineLevel="0" collapsed="false">
      <c r="A1" s="23" t="s">
        <v>1622</v>
      </c>
    </row>
    <row r="2" customFormat="false" ht="15" hidden="false" customHeight="false" outlineLevel="0" collapsed="false">
      <c r="A2" s="24" t="s">
        <v>1623</v>
      </c>
    </row>
    <row r="4" customFormat="false" ht="15" hidden="false" customHeight="false" outlineLevel="0" collapsed="false">
      <c r="A4" s="25" t="s">
        <v>1624</v>
      </c>
    </row>
    <row r="5" customFormat="false" ht="30" hidden="false" customHeight="true" outlineLevel="0" collapsed="false">
      <c r="A5" s="31" t="s">
        <v>154</v>
      </c>
      <c r="B5" s="31" t="s">
        <v>1625</v>
      </c>
      <c r="C5" s="31"/>
      <c r="D5" s="31" t="s">
        <v>102</v>
      </c>
      <c r="E5" s="31" t="s">
        <v>101</v>
      </c>
      <c r="F5" s="31" t="s">
        <v>1626</v>
      </c>
      <c r="G5" s="31" t="s">
        <v>227</v>
      </c>
    </row>
    <row r="6" customFormat="false" ht="15" hidden="false" customHeight="false" outlineLevel="0" collapsed="false">
      <c r="A6" s="26" t="s">
        <v>1627</v>
      </c>
      <c r="B6" s="26" t="s">
        <v>1628</v>
      </c>
      <c r="D6" s="32" t="n">
        <f aca="false">SUMIFS(Detalle_62!$F$14:$F$35,Detalle_62!$D$14:$D$35,"Crédito")</f>
        <v>38300666665.3333</v>
      </c>
      <c r="E6" s="32" t="n">
        <f aca="false">-(Balance_21!$F$16+Balance_21!$F$18)</f>
        <v>38300666666</v>
      </c>
      <c r="F6" s="33" t="n">
        <f aca="false">E6-D6</f>
        <v>0.666664123535156</v>
      </c>
      <c r="G6" s="44" t="str">
        <f aca="false">IF(ABS(F6)&lt;=Resumen!$C$6,"OK","DIFERENCIA")</f>
        <v>OK</v>
      </c>
    </row>
    <row r="7" customFormat="false" ht="15" hidden="false" customHeight="false" outlineLevel="0" collapsed="false">
      <c r="A7" s="26" t="s">
        <v>1629</v>
      </c>
      <c r="B7" s="26" t="s">
        <v>1630</v>
      </c>
      <c r="D7" s="32" t="n">
        <f aca="false">SUMIFS(Detalle_62!$F$14:$F$35,Detalle_62!$D$14:$D$35,"Leasing")</f>
        <v>6885245451.62914</v>
      </c>
      <c r="E7" s="32" t="n">
        <f aca="false">-(Balance_21!$F$22+Balance_21!$F$24)</f>
        <v>7903511628.33</v>
      </c>
      <c r="F7" s="58" t="n">
        <f aca="false">E7-D7</f>
        <v>1018266176.70086</v>
      </c>
      <c r="G7" s="44" t="str">
        <f aca="false">IF(ABS(F7)&lt;=Resumen!$C$6,"OK","DIFERENCIA")</f>
        <v>DIFERENCIA</v>
      </c>
    </row>
    <row r="8" customFormat="false" ht="15" hidden="false" customHeight="false" outlineLevel="0" collapsed="false">
      <c r="A8" s="40" t="s">
        <v>96</v>
      </c>
      <c r="D8" s="41" t="n">
        <f aca="false">D6+D7</f>
        <v>45185912116.9625</v>
      </c>
      <c r="E8" s="41" t="n">
        <f aca="false">E6+E7</f>
        <v>46204178294.33</v>
      </c>
      <c r="F8" s="33" t="n">
        <f aca="false">E8-D8</f>
        <v>1018266177.36753</v>
      </c>
      <c r="G8" s="44" t="str">
        <f aca="false">IF(ABS(F8)&lt;=Resumen!$C$6,"OK","DIFERENCIA")</f>
        <v>DIFERENCIA</v>
      </c>
    </row>
    <row r="9" customFormat="false" ht="15" hidden="false" customHeight="false" outlineLevel="0" collapsed="false">
      <c r="A9" s="26" t="s">
        <v>1631</v>
      </c>
      <c r="D9" s="32" t="n">
        <f aca="false">Detalle_62!F36-D8</f>
        <v>0</v>
      </c>
    </row>
    <row r="10" customFormat="false" ht="15" hidden="false" customHeight="false" outlineLevel="0" collapsed="false">
      <c r="A10" s="24" t="s">
        <v>1632</v>
      </c>
    </row>
    <row r="12" customFormat="false" ht="15" hidden="false" customHeight="false" outlineLevel="0" collapsed="false">
      <c r="A12" s="25" t="s">
        <v>1633</v>
      </c>
    </row>
    <row r="13" customFormat="false" ht="30" hidden="false" customHeight="true" outlineLevel="0" collapsed="false">
      <c r="A13" s="31" t="s">
        <v>1634</v>
      </c>
      <c r="B13" s="31"/>
      <c r="C13" s="31"/>
      <c r="D13" s="31"/>
      <c r="E13" s="31"/>
      <c r="F13" s="31" t="s">
        <v>1635</v>
      </c>
      <c r="G13" s="31"/>
      <c r="H13" s="31"/>
      <c r="I13" s="31" t="s">
        <v>1636</v>
      </c>
    </row>
    <row r="14" customFormat="false" ht="30" hidden="false" customHeight="true" outlineLevel="0" collapsed="false">
      <c r="A14" s="13" t="s">
        <v>1637</v>
      </c>
      <c r="B14" s="13"/>
      <c r="C14" s="13"/>
      <c r="D14" s="13"/>
      <c r="E14" s="13"/>
      <c r="F14" s="32" t="n">
        <f aca="false">SUMIFS(Saldos_x_Obligacion!$N$5:$N$31,Saldos_x_Obligacion!$A$5:$A$31,"BCL-L386735")</f>
        <v>675837500</v>
      </c>
      <c r="I14" s="13" t="s">
        <v>1638</v>
      </c>
    </row>
    <row r="15" customFormat="false" ht="30" hidden="false" customHeight="true" outlineLevel="0" collapsed="false">
      <c r="A15" s="13" t="s">
        <v>1639</v>
      </c>
      <c r="B15" s="13"/>
      <c r="C15" s="13"/>
      <c r="D15" s="13"/>
      <c r="E15" s="13"/>
      <c r="F15" s="32" t="n">
        <f aca="false">SUMIFS(Saldos_x_Obligacion!$N$5:$N$31,Saldos_x_Obligacion!$A$5:$A$31,"DAV-LGECOLSA")</f>
        <v>213861900</v>
      </c>
      <c r="I15" s="13" t="s">
        <v>1640</v>
      </c>
    </row>
    <row r="16" customFormat="false" ht="30" hidden="false" customHeight="true" outlineLevel="0" collapsed="false">
      <c r="A16" s="13" t="s">
        <v>1641</v>
      </c>
      <c r="B16" s="13"/>
      <c r="C16" s="13"/>
      <c r="D16" s="13"/>
      <c r="E16" s="13"/>
      <c r="F16" s="32" t="n">
        <f aca="false">SUMIFS(Saldos_x_Obligacion!$N$5:$N$31,Saldos_x_Obligacion!$A$5:$A$31,"BOG-L*")</f>
        <v>171608255.694557</v>
      </c>
      <c r="I16" s="13" t="s">
        <v>1642</v>
      </c>
    </row>
    <row r="17" customFormat="false" ht="30" hidden="false" customHeight="true" outlineLevel="0" collapsed="false">
      <c r="A17" s="13" t="s">
        <v>1643</v>
      </c>
      <c r="B17" s="13"/>
      <c r="C17" s="13"/>
      <c r="D17" s="13"/>
      <c r="E17" s="13"/>
      <c r="F17" s="32" t="n">
        <f aca="false">SUMIFS(Saldos_x_Obligacion!$N$5:$N$31,Saldos_x_Obligacion!$A$5:$A$31,"DAV-L1*")</f>
        <v>3246479.16460848</v>
      </c>
      <c r="I17" s="13" t="s">
        <v>1644</v>
      </c>
    </row>
    <row r="18" customFormat="false" ht="30" hidden="false" customHeight="true" outlineLevel="0" collapsed="false">
      <c r="A18" s="13" t="s">
        <v>1645</v>
      </c>
      <c r="B18" s="13"/>
      <c r="C18" s="13"/>
      <c r="D18" s="13"/>
      <c r="E18" s="13"/>
      <c r="F18" s="32" t="n">
        <f aca="false">SUMIFS(Saldos_x_Obligacion!$N$5:$N$31,Saldos_x_Obligacion!$A$5:$A$31,"BCL-L362095")+SUMIFS(Saldos_x_Obligacion!$N$5:$N$31,Saldos_x_Obligacion!$A$5:$A$31,"BCL-L336817")+SUMIFS(Saldos_x_Obligacion!$N$5:$N$31,Saldos_x_Obligacion!$A$5:$A$31,"BCL-L331330")</f>
        <v>-46287958.1583006</v>
      </c>
      <c r="I18" s="13" t="s">
        <v>1646</v>
      </c>
    </row>
    <row r="19" customFormat="false" ht="15" hidden="false" customHeight="true" outlineLevel="0" collapsed="false">
      <c r="A19" s="13" t="s">
        <v>1647</v>
      </c>
      <c r="B19" s="13"/>
      <c r="C19" s="13"/>
      <c r="D19" s="13"/>
      <c r="E19" s="13"/>
      <c r="F19" s="58" t="n">
        <f aca="false">F7-SUM(F14:F18)</f>
        <v>0</v>
      </c>
    </row>
    <row r="20" customFormat="false" ht="15" hidden="false" customHeight="false" outlineLevel="0" collapsed="false">
      <c r="A20" s="40" t="s">
        <v>1648</v>
      </c>
      <c r="F20" s="41" t="n">
        <f aca="false">SUM(F14:F19)</f>
        <v>1018266176.70087</v>
      </c>
      <c r="G20" s="26" t="str">
        <f aca="false">IF(ABS(F20-F7)&lt;0.01,"Cuadra","Revisar")</f>
        <v>Cuadra</v>
      </c>
    </row>
    <row r="22" customFormat="false" ht="15" hidden="false" customHeight="false" outlineLevel="0" collapsed="false">
      <c r="A22" s="25" t="s">
        <v>1649</v>
      </c>
    </row>
    <row r="23" customFormat="false" ht="30" hidden="false" customHeight="true" outlineLevel="0" collapsed="false">
      <c r="A23" s="31" t="s">
        <v>1198</v>
      </c>
      <c r="B23" s="31" t="s">
        <v>157</v>
      </c>
      <c r="C23" s="31" t="s">
        <v>1199</v>
      </c>
      <c r="D23" s="31" t="s">
        <v>1650</v>
      </c>
      <c r="E23" s="31" t="s">
        <v>1651</v>
      </c>
      <c r="F23" s="31" t="s">
        <v>1652</v>
      </c>
      <c r="G23" s="31" t="s">
        <v>1653</v>
      </c>
      <c r="H23" s="31" t="s">
        <v>1654</v>
      </c>
      <c r="I23" s="31" t="s">
        <v>1171</v>
      </c>
    </row>
    <row r="24" customFormat="false" ht="15" hidden="false" customHeight="false" outlineLevel="0" collapsed="false">
      <c r="A24" s="34" t="s">
        <v>118</v>
      </c>
      <c r="B24" s="38" t="s">
        <v>1219</v>
      </c>
      <c r="C24" s="26" t="s">
        <v>1221</v>
      </c>
      <c r="D24" s="32" t="n">
        <f aca="false">SUMIFS(Detalle_62!$F$14:$F$35,Detalle_62!$C$14:$C$35,A24)</f>
        <v>398582167.21439</v>
      </c>
      <c r="E24" s="32" t="n">
        <f aca="false">SUMIFS(Mayor_Mov!$E$5:$E$445,Mayor_Mov!$N$5:$N$445,$A24,Mayor_Mov!$B$5:$B$445,"21050100")+SUMIFS(Mayor_Mov!$E$5:$E$445,Mayor_Mov!$N$5:$N$445,$A24,Mayor_Mov!$B$5:$B$445,"21050201")+SUMIFS(Mayor_Mov!$E$5:$E$445,Mayor_Mov!$N$5:$N$445,$A24,Mayor_Mov!$B$5:$B$445,"21202040")+SUMIFS(Mayor_Mov!$E$5:$E$445,Mayor_Mov!$N$5:$N$445,$A24,Mayor_Mov!$B$5:$B$445,"21202140")</f>
        <v>82483752</v>
      </c>
      <c r="F24" s="32" t="n">
        <f aca="false">SUMIFS(Mayor_Mov!$F$5:$F$445,Mayor_Mov!$N$5:$N$445,$A24,Mayor_Mov!$B$5:$B$445,"21050100")+SUMIFS(Mayor_Mov!$F$5:$F$445,Mayor_Mov!$N$5:$N$445,$A24,Mayor_Mov!$B$5:$B$445,"21050201")+SUMIFS(Mayor_Mov!$F$5:$F$445,Mayor_Mov!$N$5:$N$445,$A24,Mayor_Mov!$B$5:$B$445,"21202040")+SUMIFS(Mayor_Mov!$F$5:$F$445,Mayor_Mov!$N$5:$N$445,$A24,Mayor_Mov!$B$5:$B$445,"21202140")</f>
        <v>0</v>
      </c>
      <c r="G24" s="33" t="n">
        <f aca="false">D24+E24-F24</f>
        <v>481065919.21439</v>
      </c>
      <c r="H24" s="44" t="str">
        <f aca="false">IF(COUNTIF(Detalle_62!$C$14:$C$35,A24)&gt;0,"Sí","NO")</f>
        <v>Sí</v>
      </c>
      <c r="I24" s="6"/>
    </row>
    <row r="25" customFormat="false" ht="15" hidden="false" customHeight="false" outlineLevel="0" collapsed="false">
      <c r="A25" s="34" t="s">
        <v>119</v>
      </c>
      <c r="B25" s="38" t="s">
        <v>1219</v>
      </c>
      <c r="C25" s="26" t="s">
        <v>1221</v>
      </c>
      <c r="D25" s="32" t="n">
        <f aca="false">SUMIFS(Detalle_62!$F$14:$F$35,Detalle_62!$C$14:$C$35,A25)</f>
        <v>323529688.533944</v>
      </c>
      <c r="E25" s="32" t="n">
        <f aca="false">SUMIFS(Mayor_Mov!$E$5:$E$445,Mayor_Mov!$N$5:$N$445,$A25,Mayor_Mov!$B$5:$B$445,"21050100")+SUMIFS(Mayor_Mov!$E$5:$E$445,Mayor_Mov!$N$5:$N$445,$A25,Mayor_Mov!$B$5:$B$445,"21050201")+SUMIFS(Mayor_Mov!$E$5:$E$445,Mayor_Mov!$N$5:$N$445,$A25,Mayor_Mov!$B$5:$B$445,"21202040")+SUMIFS(Mayor_Mov!$E$5:$E$445,Mayor_Mov!$N$5:$N$445,$A25,Mayor_Mov!$B$5:$B$445,"21202140")</f>
        <v>60352563</v>
      </c>
      <c r="F25" s="32" t="n">
        <f aca="false">SUMIFS(Mayor_Mov!$F$5:$F$445,Mayor_Mov!$N$5:$N$445,$A25,Mayor_Mov!$B$5:$B$445,"21050100")+SUMIFS(Mayor_Mov!$F$5:$F$445,Mayor_Mov!$N$5:$N$445,$A25,Mayor_Mov!$B$5:$B$445,"21050201")+SUMIFS(Mayor_Mov!$F$5:$F$445,Mayor_Mov!$N$5:$N$445,$A25,Mayor_Mov!$B$5:$B$445,"21202040")+SUMIFS(Mayor_Mov!$F$5:$F$445,Mayor_Mov!$N$5:$N$445,$A25,Mayor_Mov!$B$5:$B$445,"21202140")</f>
        <v>0</v>
      </c>
      <c r="G25" s="33" t="n">
        <f aca="false">D25+E25-F25</f>
        <v>383882251.533944</v>
      </c>
      <c r="H25" s="44" t="str">
        <f aca="false">IF(COUNTIF(Detalle_62!$C$14:$C$35,A25)&gt;0,"Sí","NO")</f>
        <v>Sí</v>
      </c>
      <c r="I25" s="6"/>
    </row>
    <row r="26" customFormat="false" ht="15" hidden="false" customHeight="false" outlineLevel="0" collapsed="false">
      <c r="A26" s="34" t="s">
        <v>120</v>
      </c>
      <c r="B26" s="38" t="s">
        <v>1219</v>
      </c>
      <c r="C26" s="26" t="s">
        <v>1221</v>
      </c>
      <c r="D26" s="32" t="n">
        <f aca="false">SUMIFS(Detalle_62!$F$14:$F$35,Detalle_62!$C$14:$C$35,A26)</f>
        <v>1883712218.08706</v>
      </c>
      <c r="E26" s="32" t="n">
        <f aca="false">SUMIFS(Mayor_Mov!$E$5:$E$445,Mayor_Mov!$N$5:$N$445,$A26,Mayor_Mov!$B$5:$B$445,"21050100")+SUMIFS(Mayor_Mov!$E$5:$E$445,Mayor_Mov!$N$5:$N$445,$A26,Mayor_Mov!$B$5:$B$445,"21050201")+SUMIFS(Mayor_Mov!$E$5:$E$445,Mayor_Mov!$N$5:$N$445,$A26,Mayor_Mov!$B$5:$B$445,"21202040")+SUMIFS(Mayor_Mov!$E$5:$E$445,Mayor_Mov!$N$5:$N$445,$A26,Mayor_Mov!$B$5:$B$445,"21202140")</f>
        <v>0</v>
      </c>
      <c r="F26" s="32" t="n">
        <f aca="false">SUMIFS(Mayor_Mov!$F$5:$F$445,Mayor_Mov!$N$5:$N$445,$A26,Mayor_Mov!$B$5:$B$445,"21050100")+SUMIFS(Mayor_Mov!$F$5:$F$445,Mayor_Mov!$N$5:$N$445,$A26,Mayor_Mov!$B$5:$B$445,"21050201")+SUMIFS(Mayor_Mov!$F$5:$F$445,Mayor_Mov!$N$5:$N$445,$A26,Mayor_Mov!$B$5:$B$445,"21202040")+SUMIFS(Mayor_Mov!$F$5:$F$445,Mayor_Mov!$N$5:$N$445,$A26,Mayor_Mov!$B$5:$B$445,"21202140")</f>
        <v>0</v>
      </c>
      <c r="G26" s="33" t="n">
        <f aca="false">D26+E26-F26</f>
        <v>1883712218.08706</v>
      </c>
      <c r="H26" s="44" t="str">
        <f aca="false">IF(COUNTIF(Detalle_62!$C$14:$C$35,A26)&gt;0,"Sí","NO")</f>
        <v>Sí</v>
      </c>
      <c r="I26" s="6"/>
    </row>
    <row r="27" customFormat="false" ht="15" hidden="false" customHeight="false" outlineLevel="0" collapsed="false">
      <c r="A27" s="34" t="s">
        <v>115</v>
      </c>
      <c r="B27" s="38" t="s">
        <v>1219</v>
      </c>
      <c r="C27" s="26" t="s">
        <v>165</v>
      </c>
      <c r="D27" s="32" t="n">
        <f aca="false">SUMIFS(Detalle_62!$F$14:$F$35,Detalle_62!$C$14:$C$35,A27)</f>
        <v>3000000000</v>
      </c>
      <c r="E27" s="32" t="n">
        <f aca="false">SUMIFS(Mayor_Mov!$E$5:$E$445,Mayor_Mov!$N$5:$N$445,$A27,Mayor_Mov!$B$5:$B$445,"21050100")+SUMIFS(Mayor_Mov!$E$5:$E$445,Mayor_Mov!$N$5:$N$445,$A27,Mayor_Mov!$B$5:$B$445,"21050201")+SUMIFS(Mayor_Mov!$E$5:$E$445,Mayor_Mov!$N$5:$N$445,$A27,Mayor_Mov!$B$5:$B$445,"21202040")+SUMIFS(Mayor_Mov!$E$5:$E$445,Mayor_Mov!$N$5:$N$445,$A27,Mayor_Mov!$B$5:$B$445,"21202140")</f>
        <v>0</v>
      </c>
      <c r="F27" s="32" t="n">
        <f aca="false">SUMIFS(Mayor_Mov!$F$5:$F$445,Mayor_Mov!$N$5:$N$445,$A27,Mayor_Mov!$B$5:$B$445,"21050100")+SUMIFS(Mayor_Mov!$F$5:$F$445,Mayor_Mov!$N$5:$N$445,$A27,Mayor_Mov!$B$5:$B$445,"21050201")+SUMIFS(Mayor_Mov!$F$5:$F$445,Mayor_Mov!$N$5:$N$445,$A27,Mayor_Mov!$B$5:$B$445,"21202040")+SUMIFS(Mayor_Mov!$F$5:$F$445,Mayor_Mov!$N$5:$N$445,$A27,Mayor_Mov!$B$5:$B$445,"21202140")</f>
        <v>0</v>
      </c>
      <c r="G27" s="33" t="n">
        <f aca="false">D27+E27-F27</f>
        <v>3000000000</v>
      </c>
      <c r="H27" s="44" t="str">
        <f aca="false">IF(COUNTIF(Detalle_62!$C$14:$C$35,A27)&gt;0,"Sí","NO")</f>
        <v>Sí</v>
      </c>
      <c r="I27" s="6"/>
    </row>
    <row r="28" customFormat="false" ht="15" hidden="false" customHeight="false" outlineLevel="0" collapsed="false">
      <c r="A28" s="34" t="s">
        <v>116</v>
      </c>
      <c r="B28" s="38" t="s">
        <v>1219</v>
      </c>
      <c r="C28" s="26" t="s">
        <v>165</v>
      </c>
      <c r="D28" s="32" t="n">
        <f aca="false">SUMIFS(Detalle_62!$F$14:$F$35,Detalle_62!$C$14:$C$35,A28)</f>
        <v>7500000000</v>
      </c>
      <c r="E28" s="32" t="n">
        <f aca="false">SUMIFS(Mayor_Mov!$E$5:$E$445,Mayor_Mov!$N$5:$N$445,$A28,Mayor_Mov!$B$5:$B$445,"21050100")+SUMIFS(Mayor_Mov!$E$5:$E$445,Mayor_Mov!$N$5:$N$445,$A28,Mayor_Mov!$B$5:$B$445,"21050201")+SUMIFS(Mayor_Mov!$E$5:$E$445,Mayor_Mov!$N$5:$N$445,$A28,Mayor_Mov!$B$5:$B$445,"21202040")+SUMIFS(Mayor_Mov!$E$5:$E$445,Mayor_Mov!$N$5:$N$445,$A28,Mayor_Mov!$B$5:$B$445,"21202140")</f>
        <v>0</v>
      </c>
      <c r="F28" s="32" t="n">
        <f aca="false">SUMIFS(Mayor_Mov!$F$5:$F$445,Mayor_Mov!$N$5:$N$445,$A28,Mayor_Mov!$B$5:$B$445,"21050100")+SUMIFS(Mayor_Mov!$F$5:$F$445,Mayor_Mov!$N$5:$N$445,$A28,Mayor_Mov!$B$5:$B$445,"21050201")+SUMIFS(Mayor_Mov!$F$5:$F$445,Mayor_Mov!$N$5:$N$445,$A28,Mayor_Mov!$B$5:$B$445,"21202040")+SUMIFS(Mayor_Mov!$F$5:$F$445,Mayor_Mov!$N$5:$N$445,$A28,Mayor_Mov!$B$5:$B$445,"21202140")</f>
        <v>0</v>
      </c>
      <c r="G28" s="33" t="n">
        <f aca="false">D28+E28-F28</f>
        <v>7500000000</v>
      </c>
      <c r="H28" s="44" t="str">
        <f aca="false">IF(COUNTIF(Detalle_62!$C$14:$C$35,A28)&gt;0,"Sí","NO")</f>
        <v>Sí</v>
      </c>
      <c r="I28" s="6"/>
    </row>
    <row r="29" customFormat="false" ht="15" hidden="false" customHeight="false" outlineLevel="0" collapsed="false">
      <c r="A29" s="34" t="s">
        <v>117</v>
      </c>
      <c r="B29" s="38" t="s">
        <v>1219</v>
      </c>
      <c r="C29" s="26" t="s">
        <v>165</v>
      </c>
      <c r="D29" s="32" t="n">
        <f aca="false">SUMIFS(Detalle_62!$F$14:$F$35,Detalle_62!$C$14:$C$35,A29)</f>
        <v>3960000000</v>
      </c>
      <c r="E29" s="32" t="n">
        <f aca="false">SUMIFS(Mayor_Mov!$E$5:$E$445,Mayor_Mov!$N$5:$N$445,$A29,Mayor_Mov!$B$5:$B$445,"21050100")+SUMIFS(Mayor_Mov!$E$5:$E$445,Mayor_Mov!$N$5:$N$445,$A29,Mayor_Mov!$B$5:$B$445,"21050201")+SUMIFS(Mayor_Mov!$E$5:$E$445,Mayor_Mov!$N$5:$N$445,$A29,Mayor_Mov!$B$5:$B$445,"21202040")+SUMIFS(Mayor_Mov!$E$5:$E$445,Mayor_Mov!$N$5:$N$445,$A29,Mayor_Mov!$B$5:$B$445,"21202140")</f>
        <v>0</v>
      </c>
      <c r="F29" s="32" t="n">
        <f aca="false">SUMIFS(Mayor_Mov!$F$5:$F$445,Mayor_Mov!$N$5:$N$445,$A29,Mayor_Mov!$B$5:$B$445,"21050100")+SUMIFS(Mayor_Mov!$F$5:$F$445,Mayor_Mov!$N$5:$N$445,$A29,Mayor_Mov!$B$5:$B$445,"21050201")+SUMIFS(Mayor_Mov!$F$5:$F$445,Mayor_Mov!$N$5:$N$445,$A29,Mayor_Mov!$B$5:$B$445,"21202040")+SUMIFS(Mayor_Mov!$F$5:$F$445,Mayor_Mov!$N$5:$N$445,$A29,Mayor_Mov!$B$5:$B$445,"21202140")</f>
        <v>0</v>
      </c>
      <c r="G29" s="33" t="n">
        <f aca="false">D29+E29-F29</f>
        <v>3960000000</v>
      </c>
      <c r="H29" s="44" t="str">
        <f aca="false">IF(COUNTIF(Detalle_62!$C$14:$C$35,A29)&gt;0,"Sí","NO")</f>
        <v>Sí</v>
      </c>
      <c r="I29" s="6"/>
    </row>
    <row r="30" customFormat="false" ht="15" hidden="false" customHeight="false" outlineLevel="0" collapsed="false">
      <c r="A30" s="34" t="s">
        <v>124</v>
      </c>
      <c r="B30" s="38" t="s">
        <v>306</v>
      </c>
      <c r="C30" s="26" t="s">
        <v>165</v>
      </c>
      <c r="D30" s="32" t="n">
        <f aca="false">SUMIFS(Detalle_62!$F$14:$F$35,Detalle_62!$C$14:$C$35,A30)</f>
        <v>2937500000</v>
      </c>
      <c r="E30" s="32" t="n">
        <f aca="false">SUMIFS(Mayor_Mov!$E$5:$E$445,Mayor_Mov!$N$5:$N$445,$A30,Mayor_Mov!$B$5:$B$445,"21050100")+SUMIFS(Mayor_Mov!$E$5:$E$445,Mayor_Mov!$N$5:$N$445,$A30,Mayor_Mov!$B$5:$B$445,"21050201")+SUMIFS(Mayor_Mov!$E$5:$E$445,Mayor_Mov!$N$5:$N$445,$A30,Mayor_Mov!$B$5:$B$445,"21202040")+SUMIFS(Mayor_Mov!$E$5:$E$445,Mayor_Mov!$N$5:$N$445,$A30,Mayor_Mov!$B$5:$B$445,"21202140")</f>
        <v>437500000</v>
      </c>
      <c r="F30" s="32" t="n">
        <f aca="false">SUMIFS(Mayor_Mov!$F$5:$F$445,Mayor_Mov!$N$5:$N$445,$A30,Mayor_Mov!$B$5:$B$445,"21050100")+SUMIFS(Mayor_Mov!$F$5:$F$445,Mayor_Mov!$N$5:$N$445,$A30,Mayor_Mov!$B$5:$B$445,"21050201")+SUMIFS(Mayor_Mov!$F$5:$F$445,Mayor_Mov!$N$5:$N$445,$A30,Mayor_Mov!$B$5:$B$445,"21202040")+SUMIFS(Mayor_Mov!$F$5:$F$445,Mayor_Mov!$N$5:$N$445,$A30,Mayor_Mov!$B$5:$B$445,"21202140")</f>
        <v>0</v>
      </c>
      <c r="G30" s="33" t="n">
        <f aca="false">D30+E30-F30</f>
        <v>3375000000</v>
      </c>
      <c r="H30" s="44" t="str">
        <f aca="false">IF(COUNTIF(Detalle_62!$C$14:$C$35,A30)&gt;0,"Sí","NO")</f>
        <v>Sí</v>
      </c>
      <c r="I30" s="6"/>
    </row>
    <row r="31" customFormat="false" ht="15" hidden="false" customHeight="false" outlineLevel="0" collapsed="false">
      <c r="A31" s="34" t="s">
        <v>125</v>
      </c>
      <c r="B31" s="38" t="s">
        <v>306</v>
      </c>
      <c r="C31" s="26" t="s">
        <v>165</v>
      </c>
      <c r="D31" s="32" t="n">
        <f aca="false">SUMIFS(Detalle_62!$F$14:$F$35,Detalle_62!$C$14:$C$35,A31)</f>
        <v>1457333332</v>
      </c>
      <c r="E31" s="32" t="n">
        <f aca="false">SUMIFS(Mayor_Mov!$E$5:$E$445,Mayor_Mov!$N$5:$N$445,$A31,Mayor_Mov!$B$5:$B$445,"21050100")+SUMIFS(Mayor_Mov!$E$5:$E$445,Mayor_Mov!$N$5:$N$445,$A31,Mayor_Mov!$B$5:$B$445,"21050201")+SUMIFS(Mayor_Mov!$E$5:$E$445,Mayor_Mov!$N$5:$N$445,$A31,Mayor_Mov!$B$5:$B$445,"21202040")+SUMIFS(Mayor_Mov!$E$5:$E$445,Mayor_Mov!$N$5:$N$445,$A31,Mayor_Mov!$B$5:$B$445,"21202140")</f>
        <v>364333334</v>
      </c>
      <c r="F31" s="32" t="n">
        <f aca="false">SUMIFS(Mayor_Mov!$F$5:$F$445,Mayor_Mov!$N$5:$N$445,$A31,Mayor_Mov!$B$5:$B$445,"21050100")+SUMIFS(Mayor_Mov!$F$5:$F$445,Mayor_Mov!$N$5:$N$445,$A31,Mayor_Mov!$B$5:$B$445,"21050201")+SUMIFS(Mayor_Mov!$F$5:$F$445,Mayor_Mov!$N$5:$N$445,$A31,Mayor_Mov!$B$5:$B$445,"21202040")+SUMIFS(Mayor_Mov!$F$5:$F$445,Mayor_Mov!$N$5:$N$445,$A31,Mayor_Mov!$B$5:$B$445,"21202140")</f>
        <v>0</v>
      </c>
      <c r="G31" s="33" t="n">
        <f aca="false">D31+E31-F31</f>
        <v>1821666666</v>
      </c>
      <c r="H31" s="44" t="str">
        <f aca="false">IF(COUNTIF(Detalle_62!$C$14:$C$35,A31)&gt;0,"Sí","NO")</f>
        <v>Sí</v>
      </c>
      <c r="I31" s="6"/>
    </row>
    <row r="32" customFormat="false" ht="15" hidden="false" customHeight="false" outlineLevel="0" collapsed="false">
      <c r="A32" s="34" t="s">
        <v>126</v>
      </c>
      <c r="B32" s="38" t="s">
        <v>306</v>
      </c>
      <c r="C32" s="26" t="s">
        <v>165</v>
      </c>
      <c r="D32" s="32" t="n">
        <f aca="false">SUMIFS(Detalle_62!$F$14:$F$35,Detalle_62!$C$14:$C$35,A32)</f>
        <v>1125000000</v>
      </c>
      <c r="E32" s="32" t="n">
        <f aca="false">SUMIFS(Mayor_Mov!$E$5:$E$445,Mayor_Mov!$N$5:$N$445,$A32,Mayor_Mov!$B$5:$B$445,"21050100")+SUMIFS(Mayor_Mov!$E$5:$E$445,Mayor_Mov!$N$5:$N$445,$A32,Mayor_Mov!$B$5:$B$445,"21050201")+SUMIFS(Mayor_Mov!$E$5:$E$445,Mayor_Mov!$N$5:$N$445,$A32,Mayor_Mov!$B$5:$B$445,"21202040")+SUMIFS(Mayor_Mov!$E$5:$E$445,Mayor_Mov!$N$5:$N$445,$A32,Mayor_Mov!$B$5:$B$445,"21202140")</f>
        <v>250000000</v>
      </c>
      <c r="F32" s="32" t="n">
        <f aca="false">SUMIFS(Mayor_Mov!$F$5:$F$445,Mayor_Mov!$N$5:$N$445,$A32,Mayor_Mov!$B$5:$B$445,"21050100")+SUMIFS(Mayor_Mov!$F$5:$F$445,Mayor_Mov!$N$5:$N$445,$A32,Mayor_Mov!$B$5:$B$445,"21050201")+SUMIFS(Mayor_Mov!$F$5:$F$445,Mayor_Mov!$N$5:$N$445,$A32,Mayor_Mov!$B$5:$B$445,"21202040")+SUMIFS(Mayor_Mov!$F$5:$F$445,Mayor_Mov!$N$5:$N$445,$A32,Mayor_Mov!$B$5:$B$445,"21202140")</f>
        <v>0</v>
      </c>
      <c r="G32" s="33" t="n">
        <f aca="false">D32+E32-F32</f>
        <v>1375000000</v>
      </c>
      <c r="H32" s="44" t="str">
        <f aca="false">IF(COUNTIF(Detalle_62!$C$14:$C$35,A32)&gt;0,"Sí","NO")</f>
        <v>Sí</v>
      </c>
      <c r="I32" s="6"/>
    </row>
    <row r="33" customFormat="false" ht="15" hidden="false" customHeight="false" outlineLevel="0" collapsed="false">
      <c r="A33" s="34" t="s">
        <v>127</v>
      </c>
      <c r="B33" s="38" t="s">
        <v>306</v>
      </c>
      <c r="C33" s="26" t="s">
        <v>165</v>
      </c>
      <c r="D33" s="32" t="n">
        <f aca="false">SUMIFS(Detalle_62!$F$14:$F$35,Detalle_62!$C$14:$C$35,A33)</f>
        <v>10000000000</v>
      </c>
      <c r="E33" s="32" t="n">
        <f aca="false">SUMIFS(Mayor_Mov!$E$5:$E$445,Mayor_Mov!$N$5:$N$445,$A33,Mayor_Mov!$B$5:$B$445,"21050100")+SUMIFS(Mayor_Mov!$E$5:$E$445,Mayor_Mov!$N$5:$N$445,$A33,Mayor_Mov!$B$5:$B$445,"21050201")+SUMIFS(Mayor_Mov!$E$5:$E$445,Mayor_Mov!$N$5:$N$445,$A33,Mayor_Mov!$B$5:$B$445,"21202040")+SUMIFS(Mayor_Mov!$E$5:$E$445,Mayor_Mov!$N$5:$N$445,$A33,Mayor_Mov!$B$5:$B$445,"21202140")</f>
        <v>10000000000</v>
      </c>
      <c r="F33" s="32" t="n">
        <f aca="false">SUMIFS(Mayor_Mov!$F$5:$F$445,Mayor_Mov!$N$5:$N$445,$A33,Mayor_Mov!$B$5:$B$445,"21050100")+SUMIFS(Mayor_Mov!$F$5:$F$445,Mayor_Mov!$N$5:$N$445,$A33,Mayor_Mov!$B$5:$B$445,"21050201")+SUMIFS(Mayor_Mov!$F$5:$F$445,Mayor_Mov!$N$5:$N$445,$A33,Mayor_Mov!$B$5:$B$445,"21202040")+SUMIFS(Mayor_Mov!$F$5:$F$445,Mayor_Mov!$N$5:$N$445,$A33,Mayor_Mov!$B$5:$B$445,"21202140")</f>
        <v>20000000000</v>
      </c>
      <c r="G33" s="33" t="n">
        <f aca="false">D33+E33-F33</f>
        <v>0</v>
      </c>
      <c r="H33" s="44" t="str">
        <f aca="false">IF(COUNTIF(Detalle_62!$C$14:$C$35,A33)&gt;0,"Sí","NO")</f>
        <v>Sí</v>
      </c>
      <c r="I33" s="6" t="s">
        <v>1655</v>
      </c>
    </row>
    <row r="34" customFormat="false" ht="15" hidden="false" customHeight="false" outlineLevel="0" collapsed="false">
      <c r="A34" s="34" t="s">
        <v>128</v>
      </c>
      <c r="B34" s="38" t="s">
        <v>306</v>
      </c>
      <c r="C34" s="26" t="s">
        <v>1221</v>
      </c>
      <c r="D34" s="32" t="n">
        <f aca="false">SUMIFS(Detalle_62!$F$14:$F$35,Detalle_62!$C$14:$C$35,A34)</f>
        <v>381845387.419314</v>
      </c>
      <c r="E34" s="32" t="n">
        <f aca="false">SUMIFS(Mayor_Mov!$E$5:$E$445,Mayor_Mov!$N$5:$N$445,$A34,Mayor_Mov!$B$5:$B$445,"21050100")+SUMIFS(Mayor_Mov!$E$5:$E$445,Mayor_Mov!$N$5:$N$445,$A34,Mayor_Mov!$B$5:$B$445,"21050201")+SUMIFS(Mayor_Mov!$E$5:$E$445,Mayor_Mov!$N$5:$N$445,$A34,Mayor_Mov!$B$5:$B$445,"21202040")+SUMIFS(Mayor_Mov!$E$5:$E$445,Mayor_Mov!$N$5:$N$445,$A34,Mayor_Mov!$B$5:$B$445,"21202140")</f>
        <v>63658993.88</v>
      </c>
      <c r="F34" s="32" t="n">
        <f aca="false">SUMIFS(Mayor_Mov!$F$5:$F$445,Mayor_Mov!$N$5:$N$445,$A34,Mayor_Mov!$B$5:$B$445,"21050100")+SUMIFS(Mayor_Mov!$F$5:$F$445,Mayor_Mov!$N$5:$N$445,$A34,Mayor_Mov!$B$5:$B$445,"21050201")+SUMIFS(Mayor_Mov!$F$5:$F$445,Mayor_Mov!$N$5:$N$445,$A34,Mayor_Mov!$B$5:$B$445,"21202040")+SUMIFS(Mayor_Mov!$F$5:$F$445,Mayor_Mov!$N$5:$N$445,$A34,Mayor_Mov!$B$5:$B$445,"21202140")</f>
        <v>0</v>
      </c>
      <c r="G34" s="33" t="n">
        <f aca="false">D34+E34-F34</f>
        <v>445504381.299314</v>
      </c>
      <c r="H34" s="44" t="str">
        <f aca="false">IF(COUNTIF(Detalle_62!$C$14:$C$35,A34)&gt;0,"Sí","NO")</f>
        <v>Sí</v>
      </c>
      <c r="I34" s="6"/>
    </row>
    <row r="35" customFormat="false" ht="15" hidden="false" customHeight="false" outlineLevel="0" collapsed="false">
      <c r="A35" s="34" t="s">
        <v>129</v>
      </c>
      <c r="B35" s="38" t="s">
        <v>306</v>
      </c>
      <c r="C35" s="26" t="s">
        <v>1221</v>
      </c>
      <c r="D35" s="32" t="n">
        <f aca="false">SUMIFS(Detalle_62!$F$14:$F$35,Detalle_62!$C$14:$C$35,A35)</f>
        <v>381845387.419314</v>
      </c>
      <c r="E35" s="32" t="n">
        <f aca="false">SUMIFS(Mayor_Mov!$E$5:$E$445,Mayor_Mov!$N$5:$N$445,$A35,Mayor_Mov!$B$5:$B$445,"21050100")+SUMIFS(Mayor_Mov!$E$5:$E$445,Mayor_Mov!$N$5:$N$445,$A35,Mayor_Mov!$B$5:$B$445,"21050201")+SUMIFS(Mayor_Mov!$E$5:$E$445,Mayor_Mov!$N$5:$N$445,$A35,Mayor_Mov!$B$5:$B$445,"21202040")+SUMIFS(Mayor_Mov!$E$5:$E$445,Mayor_Mov!$N$5:$N$445,$A35,Mayor_Mov!$B$5:$B$445,"21202140")</f>
        <v>63658993.86</v>
      </c>
      <c r="F35" s="32" t="n">
        <f aca="false">SUMIFS(Mayor_Mov!$F$5:$F$445,Mayor_Mov!$N$5:$N$445,$A35,Mayor_Mov!$B$5:$B$445,"21050100")+SUMIFS(Mayor_Mov!$F$5:$F$445,Mayor_Mov!$N$5:$N$445,$A35,Mayor_Mov!$B$5:$B$445,"21050201")+SUMIFS(Mayor_Mov!$F$5:$F$445,Mayor_Mov!$N$5:$N$445,$A35,Mayor_Mov!$B$5:$B$445,"21202040")+SUMIFS(Mayor_Mov!$F$5:$F$445,Mayor_Mov!$N$5:$N$445,$A35,Mayor_Mov!$B$5:$B$445,"21202140")</f>
        <v>0</v>
      </c>
      <c r="G35" s="33" t="n">
        <f aca="false">D35+E35-F35</f>
        <v>445504381.279314</v>
      </c>
      <c r="H35" s="44" t="str">
        <f aca="false">IF(COUNTIF(Detalle_62!$C$14:$C$35,A35)&gt;0,"Sí","NO")</f>
        <v>Sí</v>
      </c>
      <c r="I35" s="6"/>
    </row>
    <row r="36" customFormat="false" ht="15" hidden="false" customHeight="false" outlineLevel="0" collapsed="false">
      <c r="A36" s="34" t="s">
        <v>130</v>
      </c>
      <c r="B36" s="38" t="s">
        <v>306</v>
      </c>
      <c r="C36" s="26" t="s">
        <v>1221</v>
      </c>
      <c r="D36" s="32" t="n">
        <f aca="false">SUMIFS(Detalle_62!$F$14:$F$35,Detalle_62!$C$14:$C$35,A36)</f>
        <v>196720178.445431</v>
      </c>
      <c r="E36" s="32" t="n">
        <f aca="false">SUMIFS(Mayor_Mov!$E$5:$E$445,Mayor_Mov!$N$5:$N$445,$A36,Mayor_Mov!$B$5:$B$445,"21050100")+SUMIFS(Mayor_Mov!$E$5:$E$445,Mayor_Mov!$N$5:$N$445,$A36,Mayor_Mov!$B$5:$B$445,"21050201")+SUMIFS(Mayor_Mov!$E$5:$E$445,Mayor_Mov!$N$5:$N$445,$A36,Mayor_Mov!$B$5:$B$445,"21202040")+SUMIFS(Mayor_Mov!$E$5:$E$445,Mayor_Mov!$N$5:$N$445,$A36,Mayor_Mov!$B$5:$B$445,"21202140")</f>
        <v>78102953.86</v>
      </c>
      <c r="F36" s="32" t="n">
        <f aca="false">SUMIFS(Mayor_Mov!$F$5:$F$445,Mayor_Mov!$N$5:$N$445,$A36,Mayor_Mov!$B$5:$B$445,"21050100")+SUMIFS(Mayor_Mov!$F$5:$F$445,Mayor_Mov!$N$5:$N$445,$A36,Mayor_Mov!$B$5:$B$445,"21050201")+SUMIFS(Mayor_Mov!$F$5:$F$445,Mayor_Mov!$N$5:$N$445,$A36,Mayor_Mov!$B$5:$B$445,"21202040")+SUMIFS(Mayor_Mov!$F$5:$F$445,Mayor_Mov!$N$5:$N$445,$A36,Mayor_Mov!$B$5:$B$445,"21202140")</f>
        <v>0</v>
      </c>
      <c r="G36" s="33" t="n">
        <f aca="false">D36+E36-F36</f>
        <v>274823132.305431</v>
      </c>
      <c r="H36" s="44" t="str">
        <f aca="false">IF(COUNTIF(Detalle_62!$C$14:$C$35,A36)&gt;0,"Sí","NO")</f>
        <v>Sí</v>
      </c>
      <c r="I36" s="6"/>
    </row>
    <row r="37" customFormat="false" ht="15" hidden="false" customHeight="false" outlineLevel="0" collapsed="false">
      <c r="A37" s="34" t="s">
        <v>131</v>
      </c>
      <c r="B37" s="38" t="s">
        <v>306</v>
      </c>
      <c r="C37" s="26" t="s">
        <v>1221</v>
      </c>
      <c r="D37" s="32" t="n">
        <f aca="false">SUMIFS(Detalle_62!$F$14:$F$35,Detalle_62!$C$14:$C$35,A37)</f>
        <v>196720178.445431</v>
      </c>
      <c r="E37" s="32" t="n">
        <f aca="false">SUMIFS(Mayor_Mov!$E$5:$E$445,Mayor_Mov!$N$5:$N$445,$A37,Mayor_Mov!$B$5:$B$445,"21050100")+SUMIFS(Mayor_Mov!$E$5:$E$445,Mayor_Mov!$N$5:$N$445,$A37,Mayor_Mov!$B$5:$B$445,"21050201")+SUMIFS(Mayor_Mov!$E$5:$E$445,Mayor_Mov!$N$5:$N$445,$A37,Mayor_Mov!$B$5:$B$445,"21202040")+SUMIFS(Mayor_Mov!$E$5:$E$445,Mayor_Mov!$N$5:$N$445,$A37,Mayor_Mov!$B$5:$B$445,"21202140")</f>
        <v>78102953.86</v>
      </c>
      <c r="F37" s="32" t="n">
        <f aca="false">SUMIFS(Mayor_Mov!$F$5:$F$445,Mayor_Mov!$N$5:$N$445,$A37,Mayor_Mov!$B$5:$B$445,"21050100")+SUMIFS(Mayor_Mov!$F$5:$F$445,Mayor_Mov!$N$5:$N$445,$A37,Mayor_Mov!$B$5:$B$445,"21050201")+SUMIFS(Mayor_Mov!$F$5:$F$445,Mayor_Mov!$N$5:$N$445,$A37,Mayor_Mov!$B$5:$B$445,"21202040")+SUMIFS(Mayor_Mov!$F$5:$F$445,Mayor_Mov!$N$5:$N$445,$A37,Mayor_Mov!$B$5:$B$445,"21202140")</f>
        <v>0</v>
      </c>
      <c r="G37" s="33" t="n">
        <f aca="false">D37+E37-F37</f>
        <v>274823132.305431</v>
      </c>
      <c r="H37" s="44" t="str">
        <f aca="false">IF(COUNTIF(Detalle_62!$C$14:$C$35,A37)&gt;0,"Sí","NO")</f>
        <v>Sí</v>
      </c>
      <c r="I37" s="6"/>
    </row>
    <row r="38" customFormat="false" ht="15" hidden="false" customHeight="false" outlineLevel="0" collapsed="false">
      <c r="A38" s="34" t="s">
        <v>132</v>
      </c>
      <c r="B38" s="38" t="s">
        <v>306</v>
      </c>
      <c r="C38" s="26" t="s">
        <v>1221</v>
      </c>
      <c r="D38" s="32" t="n">
        <f aca="false">SUMIFS(Detalle_62!$F$14:$F$35,Detalle_62!$C$14:$C$35,A38)</f>
        <v>382649239.487494</v>
      </c>
      <c r="E38" s="32" t="n">
        <f aca="false">SUMIFS(Mayor_Mov!$E$5:$E$445,Mayor_Mov!$N$5:$N$445,$A38,Mayor_Mov!$B$5:$B$445,"21050100")+SUMIFS(Mayor_Mov!$E$5:$E$445,Mayor_Mov!$N$5:$N$445,$A38,Mayor_Mov!$B$5:$B$445,"21050201")+SUMIFS(Mayor_Mov!$E$5:$E$445,Mayor_Mov!$N$5:$N$445,$A38,Mayor_Mov!$B$5:$B$445,"21202040")+SUMIFS(Mayor_Mov!$E$5:$E$445,Mayor_Mov!$N$5:$N$445,$A38,Mayor_Mov!$B$5:$B$445,"21202140")</f>
        <v>63672349.73</v>
      </c>
      <c r="F38" s="32" t="n">
        <f aca="false">SUMIFS(Mayor_Mov!$F$5:$F$445,Mayor_Mov!$N$5:$N$445,$A38,Mayor_Mov!$B$5:$B$445,"21050100")+SUMIFS(Mayor_Mov!$F$5:$F$445,Mayor_Mov!$N$5:$N$445,$A38,Mayor_Mov!$B$5:$B$445,"21050201")+SUMIFS(Mayor_Mov!$F$5:$F$445,Mayor_Mov!$N$5:$N$445,$A38,Mayor_Mov!$B$5:$B$445,"21202040")+SUMIFS(Mayor_Mov!$F$5:$F$445,Mayor_Mov!$N$5:$N$445,$A38,Mayor_Mov!$B$5:$B$445,"21202140")</f>
        <v>0</v>
      </c>
      <c r="G38" s="33" t="n">
        <f aca="false">D38+E38-F38</f>
        <v>446321589.217494</v>
      </c>
      <c r="H38" s="44" t="str">
        <f aca="false">IF(COUNTIF(Detalle_62!$C$14:$C$35,A38)&gt;0,"Sí","NO")</f>
        <v>Sí</v>
      </c>
      <c r="I38" s="6"/>
    </row>
    <row r="39" customFormat="false" ht="15" hidden="false" customHeight="false" outlineLevel="0" collapsed="false">
      <c r="A39" s="34" t="s">
        <v>133</v>
      </c>
      <c r="B39" s="38" t="s">
        <v>306</v>
      </c>
      <c r="C39" s="26" t="s">
        <v>1221</v>
      </c>
      <c r="D39" s="32" t="n">
        <f aca="false">SUMIFS(Detalle_62!$F$14:$F$35,Detalle_62!$C$14:$C$35,A39)</f>
        <v>968620472.418459</v>
      </c>
      <c r="E39" s="32" t="n">
        <f aca="false">SUMIFS(Mayor_Mov!$E$5:$E$445,Mayor_Mov!$N$5:$N$445,$A39,Mayor_Mov!$B$5:$B$445,"21050100")+SUMIFS(Mayor_Mov!$E$5:$E$445,Mayor_Mov!$N$5:$N$445,$A39,Mayor_Mov!$B$5:$B$445,"21050201")+SUMIFS(Mayor_Mov!$E$5:$E$445,Mayor_Mov!$N$5:$N$445,$A39,Mayor_Mov!$B$5:$B$445,"21202040")+SUMIFS(Mayor_Mov!$E$5:$E$445,Mayor_Mov!$N$5:$N$445,$A39,Mayor_Mov!$B$5:$B$445,"21202140")</f>
        <v>186592222.82</v>
      </c>
      <c r="F39" s="32" t="n">
        <f aca="false">SUMIFS(Mayor_Mov!$F$5:$F$445,Mayor_Mov!$N$5:$N$445,$A39,Mayor_Mov!$B$5:$B$445,"21050100")+SUMIFS(Mayor_Mov!$F$5:$F$445,Mayor_Mov!$N$5:$N$445,$A39,Mayor_Mov!$B$5:$B$445,"21050201")+SUMIFS(Mayor_Mov!$F$5:$F$445,Mayor_Mov!$N$5:$N$445,$A39,Mayor_Mov!$B$5:$B$445,"21202040")+SUMIFS(Mayor_Mov!$F$5:$F$445,Mayor_Mov!$N$5:$N$445,$A39,Mayor_Mov!$B$5:$B$445,"21202140")</f>
        <v>0</v>
      </c>
      <c r="G39" s="33" t="n">
        <f aca="false">D39+E39-F39</f>
        <v>1155212695.23846</v>
      </c>
      <c r="H39" s="44" t="str">
        <f aca="false">IF(COUNTIF(Detalle_62!$C$14:$C$35,A39)&gt;0,"Sí","NO")</f>
        <v>Sí</v>
      </c>
      <c r="I39" s="6"/>
    </row>
    <row r="40" customFormat="false" ht="15" hidden="false" customHeight="false" outlineLevel="0" collapsed="false">
      <c r="A40" s="34" t="s">
        <v>135</v>
      </c>
      <c r="B40" s="38" t="s">
        <v>1248</v>
      </c>
      <c r="C40" s="26" t="s">
        <v>165</v>
      </c>
      <c r="D40" s="32" t="n">
        <f aca="false">SUMIFS(Detalle_62!$F$14:$F$35,Detalle_62!$C$14:$C$35,A40)</f>
        <v>287500000</v>
      </c>
      <c r="E40" s="32" t="n">
        <f aca="false">SUMIFS(Mayor_Mov!$E$5:$E$445,Mayor_Mov!$N$5:$N$445,$A40,Mayor_Mov!$B$5:$B$445,"21050100")+SUMIFS(Mayor_Mov!$E$5:$E$445,Mayor_Mov!$N$5:$N$445,$A40,Mayor_Mov!$B$5:$B$445,"21050201")+SUMIFS(Mayor_Mov!$E$5:$E$445,Mayor_Mov!$N$5:$N$445,$A40,Mayor_Mov!$B$5:$B$445,"21202040")+SUMIFS(Mayor_Mov!$E$5:$E$445,Mayor_Mov!$N$5:$N$445,$A40,Mayor_Mov!$B$5:$B$445,"21202140")</f>
        <v>287500000</v>
      </c>
      <c r="F40" s="32" t="n">
        <f aca="false">SUMIFS(Mayor_Mov!$F$5:$F$445,Mayor_Mov!$N$5:$N$445,$A40,Mayor_Mov!$B$5:$B$445,"21050100")+SUMIFS(Mayor_Mov!$F$5:$F$445,Mayor_Mov!$N$5:$N$445,$A40,Mayor_Mov!$B$5:$B$445,"21050201")+SUMIFS(Mayor_Mov!$F$5:$F$445,Mayor_Mov!$N$5:$N$445,$A40,Mayor_Mov!$B$5:$B$445,"21202040")+SUMIFS(Mayor_Mov!$F$5:$F$445,Mayor_Mov!$N$5:$N$445,$A40,Mayor_Mov!$B$5:$B$445,"21202140")</f>
        <v>0</v>
      </c>
      <c r="G40" s="33" t="n">
        <f aca="false">D40+E40-F40</f>
        <v>575000000</v>
      </c>
      <c r="H40" s="44" t="str">
        <f aca="false">IF(COUNTIF(Detalle_62!$C$14:$C$35,A40)&gt;0,"Sí","NO")</f>
        <v>Sí</v>
      </c>
      <c r="I40" s="6"/>
    </row>
    <row r="41" customFormat="false" ht="22.35" hidden="false" customHeight="false" outlineLevel="0" collapsed="false">
      <c r="A41" s="34" t="s">
        <v>137</v>
      </c>
      <c r="B41" s="38" t="s">
        <v>1250</v>
      </c>
      <c r="C41" s="26" t="s">
        <v>165</v>
      </c>
      <c r="D41" s="32" t="n">
        <f aca="false">SUMIFS(Detalle_62!$F$14:$F$35,Detalle_62!$C$14:$C$35,A41)</f>
        <v>4700000000</v>
      </c>
      <c r="E41" s="32" t="n">
        <f aca="false">SUMIFS(Mayor_Mov!$E$5:$E$445,Mayor_Mov!$N$5:$N$445,$A41,Mayor_Mov!$B$5:$B$445,"21050100")+SUMIFS(Mayor_Mov!$E$5:$E$445,Mayor_Mov!$N$5:$N$445,$A41,Mayor_Mov!$B$5:$B$445,"21050201")+SUMIFS(Mayor_Mov!$E$5:$E$445,Mayor_Mov!$N$5:$N$445,$A41,Mayor_Mov!$B$5:$B$445,"21202040")+SUMIFS(Mayor_Mov!$E$5:$E$445,Mayor_Mov!$N$5:$N$445,$A41,Mayor_Mov!$B$5:$B$445,"21202140")</f>
        <v>4700000000</v>
      </c>
      <c r="F41" s="32" t="n">
        <f aca="false">SUMIFS(Mayor_Mov!$F$5:$F$445,Mayor_Mov!$N$5:$N$445,$A41,Mayor_Mov!$B$5:$B$445,"21050100")+SUMIFS(Mayor_Mov!$F$5:$F$445,Mayor_Mov!$N$5:$N$445,$A41,Mayor_Mov!$B$5:$B$445,"21050201")+SUMIFS(Mayor_Mov!$F$5:$F$445,Mayor_Mov!$N$5:$N$445,$A41,Mayor_Mov!$B$5:$B$445,"21202040")+SUMIFS(Mayor_Mov!$F$5:$F$445,Mayor_Mov!$N$5:$N$445,$A41,Mayor_Mov!$B$5:$B$445,"21202140")</f>
        <v>4700000000</v>
      </c>
      <c r="G41" s="33" t="n">
        <f aca="false">D41+E41-F41</f>
        <v>4700000000</v>
      </c>
      <c r="H41" s="44" t="str">
        <f aca="false">IF(COUNTIF(Detalle_62!$C$14:$C$35,A41)&gt;0,"Sí","NO")</f>
        <v>Sí</v>
      </c>
      <c r="I41" s="6" t="s">
        <v>1656</v>
      </c>
    </row>
    <row r="42" customFormat="false" ht="15" hidden="false" customHeight="false" outlineLevel="0" collapsed="false">
      <c r="A42" s="34" t="s">
        <v>139</v>
      </c>
      <c r="B42" s="38" t="s">
        <v>343</v>
      </c>
      <c r="C42" s="26" t="s">
        <v>165</v>
      </c>
      <c r="D42" s="32" t="n">
        <f aca="false">SUMIFS(Detalle_62!$F$14:$F$35,Detalle_62!$C$14:$C$35,A42)</f>
        <v>3333333333.33333</v>
      </c>
      <c r="E42" s="32" t="n">
        <f aca="false">SUMIFS(Mayor_Mov!$E$5:$E$445,Mayor_Mov!$N$5:$N$445,$A42,Mayor_Mov!$B$5:$B$445,"21050100")+SUMIFS(Mayor_Mov!$E$5:$E$445,Mayor_Mov!$N$5:$N$445,$A42,Mayor_Mov!$B$5:$B$445,"21050201")+SUMIFS(Mayor_Mov!$E$5:$E$445,Mayor_Mov!$N$5:$N$445,$A42,Mayor_Mov!$B$5:$B$445,"21202040")+SUMIFS(Mayor_Mov!$E$5:$E$445,Mayor_Mov!$N$5:$N$445,$A42,Mayor_Mov!$B$5:$B$445,"21202140")</f>
        <v>1666666666</v>
      </c>
      <c r="F42" s="32" t="n">
        <f aca="false">SUMIFS(Mayor_Mov!$F$5:$F$445,Mayor_Mov!$N$5:$N$445,$A42,Mayor_Mov!$B$5:$B$445,"21050100")+SUMIFS(Mayor_Mov!$F$5:$F$445,Mayor_Mov!$N$5:$N$445,$A42,Mayor_Mov!$B$5:$B$445,"21050201")+SUMIFS(Mayor_Mov!$F$5:$F$445,Mayor_Mov!$N$5:$N$445,$A42,Mayor_Mov!$B$5:$B$445,"21202040")+SUMIFS(Mayor_Mov!$F$5:$F$445,Mayor_Mov!$N$5:$N$445,$A42,Mayor_Mov!$B$5:$B$445,"21202140")</f>
        <v>0</v>
      </c>
      <c r="G42" s="33" t="n">
        <f aca="false">D42+E42-F42</f>
        <v>4999999999.33333</v>
      </c>
      <c r="H42" s="44" t="str">
        <f aca="false">IF(COUNTIF(Detalle_62!$C$14:$C$35,A42)&gt;0,"Sí","NO")</f>
        <v>Sí</v>
      </c>
      <c r="I42" s="6" t="s">
        <v>1657</v>
      </c>
    </row>
    <row r="43" customFormat="false" ht="15" hidden="false" customHeight="false" outlineLevel="0" collapsed="false">
      <c r="A43" s="34" t="s">
        <v>140</v>
      </c>
      <c r="B43" s="38" t="s">
        <v>343</v>
      </c>
      <c r="C43" s="26" t="s">
        <v>1221</v>
      </c>
      <c r="D43" s="32" t="n">
        <f aca="false">SUMIFS(Detalle_62!$F$14:$F$35,Detalle_62!$C$14:$C$35,A43)</f>
        <v>497241599</v>
      </c>
      <c r="E43" s="32" t="n">
        <f aca="false">SUMIFS(Mayor_Mov!$E$5:$E$445,Mayor_Mov!$N$5:$N$445,$A43,Mayor_Mov!$B$5:$B$445,"21050100")+SUMIFS(Mayor_Mov!$E$5:$E$445,Mayor_Mov!$N$5:$N$445,$A43,Mayor_Mov!$B$5:$B$445,"21050201")+SUMIFS(Mayor_Mov!$E$5:$E$445,Mayor_Mov!$N$5:$N$445,$A43,Mayor_Mov!$B$5:$B$445,"21202040")+SUMIFS(Mayor_Mov!$E$5:$E$445,Mayor_Mov!$N$5:$N$445,$A43,Mayor_Mov!$B$5:$B$445,"21202140")</f>
        <v>47053001</v>
      </c>
      <c r="F43" s="32" t="n">
        <f aca="false">SUMIFS(Mayor_Mov!$F$5:$F$445,Mayor_Mov!$N$5:$N$445,$A43,Mayor_Mov!$B$5:$B$445,"21050100")+SUMIFS(Mayor_Mov!$F$5:$F$445,Mayor_Mov!$N$5:$N$445,$A43,Mayor_Mov!$B$5:$B$445,"21050201")+SUMIFS(Mayor_Mov!$F$5:$F$445,Mayor_Mov!$N$5:$N$445,$A43,Mayor_Mov!$B$5:$B$445,"21202040")+SUMIFS(Mayor_Mov!$F$5:$F$445,Mayor_Mov!$N$5:$N$445,$A43,Mayor_Mov!$B$5:$B$445,"21202140")</f>
        <v>0</v>
      </c>
      <c r="G43" s="33" t="n">
        <f aca="false">D43+E43-F43</f>
        <v>544294600</v>
      </c>
      <c r="H43" s="44" t="str">
        <f aca="false">IF(COUNTIF(Detalle_62!$C$14:$C$35,A43)&gt;0,"Sí","NO")</f>
        <v>Sí</v>
      </c>
      <c r="I43" s="6"/>
    </row>
    <row r="44" customFormat="false" ht="15" hidden="false" customHeight="false" outlineLevel="0" collapsed="false">
      <c r="A44" s="34" t="s">
        <v>141</v>
      </c>
      <c r="B44" s="38" t="s">
        <v>343</v>
      </c>
      <c r="C44" s="26" t="s">
        <v>1221</v>
      </c>
      <c r="D44" s="32" t="n">
        <f aca="false">SUMIFS(Detalle_62!$F$14:$F$35,Detalle_62!$C$14:$C$35,A44)</f>
        <v>770085425.158301</v>
      </c>
      <c r="E44" s="32" t="n">
        <f aca="false">SUMIFS(Mayor_Mov!$E$5:$E$445,Mayor_Mov!$N$5:$N$445,$A44,Mayor_Mov!$B$5:$B$445,"21050100")+SUMIFS(Mayor_Mov!$E$5:$E$445,Mayor_Mov!$N$5:$N$445,$A44,Mayor_Mov!$B$5:$B$445,"21050201")+SUMIFS(Mayor_Mov!$E$5:$E$445,Mayor_Mov!$N$5:$N$445,$A44,Mayor_Mov!$B$5:$B$445,"21202040")+SUMIFS(Mayor_Mov!$E$5:$E$445,Mayor_Mov!$N$5:$N$445,$A44,Mayor_Mov!$B$5:$B$445,"21202140")</f>
        <v>61870158</v>
      </c>
      <c r="F44" s="32" t="n">
        <f aca="false">SUMIFS(Mayor_Mov!$F$5:$F$445,Mayor_Mov!$N$5:$N$445,$A44,Mayor_Mov!$B$5:$B$445,"21050100")+SUMIFS(Mayor_Mov!$F$5:$F$445,Mayor_Mov!$N$5:$N$445,$A44,Mayor_Mov!$B$5:$B$445,"21050201")+SUMIFS(Mayor_Mov!$F$5:$F$445,Mayor_Mov!$N$5:$N$445,$A44,Mayor_Mov!$B$5:$B$445,"21202040")+SUMIFS(Mayor_Mov!$F$5:$F$445,Mayor_Mov!$N$5:$N$445,$A44,Mayor_Mov!$B$5:$B$445,"21202140")</f>
        <v>0</v>
      </c>
      <c r="G44" s="33" t="n">
        <f aca="false">D44+E44-F44</f>
        <v>831955583.158301</v>
      </c>
      <c r="H44" s="44" t="str">
        <f aca="false">IF(COUNTIF(Detalle_62!$C$14:$C$35,A44)&gt;0,"Sí","NO")</f>
        <v>Sí</v>
      </c>
      <c r="I44" s="6"/>
    </row>
    <row r="45" customFormat="false" ht="15" hidden="false" customHeight="false" outlineLevel="0" collapsed="false">
      <c r="A45" s="34" t="s">
        <v>142</v>
      </c>
      <c r="B45" s="38" t="s">
        <v>343</v>
      </c>
      <c r="C45" s="26" t="s">
        <v>1221</v>
      </c>
      <c r="D45" s="32" t="n">
        <f aca="false">SUMIFS(Detalle_62!$F$14:$F$35,Detalle_62!$C$14:$C$35,A45)</f>
        <v>503693510</v>
      </c>
      <c r="E45" s="32" t="n">
        <f aca="false">SUMIFS(Mayor_Mov!$E$5:$E$445,Mayor_Mov!$N$5:$N$445,$A45,Mayor_Mov!$B$5:$B$445,"21050100")+SUMIFS(Mayor_Mov!$E$5:$E$445,Mayor_Mov!$N$5:$N$445,$A45,Mayor_Mov!$B$5:$B$445,"21050201")+SUMIFS(Mayor_Mov!$E$5:$E$445,Mayor_Mov!$N$5:$N$445,$A45,Mayor_Mov!$B$5:$B$445,"21202040")+SUMIFS(Mayor_Mov!$E$5:$E$445,Mayor_Mov!$N$5:$N$445,$A45,Mayor_Mov!$B$5:$B$445,"21202140")</f>
        <v>117272673</v>
      </c>
      <c r="F45" s="32" t="n">
        <f aca="false">SUMIFS(Mayor_Mov!$F$5:$F$445,Mayor_Mov!$N$5:$N$445,$A45,Mayor_Mov!$B$5:$B$445,"21050100")+SUMIFS(Mayor_Mov!$F$5:$F$445,Mayor_Mov!$N$5:$N$445,$A45,Mayor_Mov!$B$5:$B$445,"21050201")+SUMIFS(Mayor_Mov!$F$5:$F$445,Mayor_Mov!$N$5:$N$445,$A45,Mayor_Mov!$B$5:$B$445,"21202040")+SUMIFS(Mayor_Mov!$F$5:$F$445,Mayor_Mov!$N$5:$N$445,$A45,Mayor_Mov!$B$5:$B$445,"21202140")</f>
        <v>0</v>
      </c>
      <c r="G45" s="33" t="n">
        <f aca="false">D45+E45-F45</f>
        <v>620966183</v>
      </c>
      <c r="H45" s="44" t="str">
        <f aca="false">IF(COUNTIF(Detalle_62!$C$14:$C$35,A45)&gt;0,"Sí","NO")</f>
        <v>Sí</v>
      </c>
      <c r="I45" s="6"/>
    </row>
    <row r="46" customFormat="false" ht="22.35" hidden="false" customHeight="false" outlineLevel="0" collapsed="false">
      <c r="A46" s="34" t="s">
        <v>114</v>
      </c>
      <c r="B46" s="38" t="s">
        <v>1219</v>
      </c>
      <c r="C46" s="26" t="s">
        <v>165</v>
      </c>
      <c r="D46" s="32" t="n">
        <f aca="false">SUMIFS(Detalle_62!$F$14:$F$35,Detalle_62!$C$14:$C$35,A46)</f>
        <v>0</v>
      </c>
      <c r="E46" s="32" t="n">
        <f aca="false">SUMIFS(Mayor_Mov!$E$5:$E$445,Mayor_Mov!$N$5:$N$445,$A46,Mayor_Mov!$B$5:$B$445,"21050100")+SUMIFS(Mayor_Mov!$E$5:$E$445,Mayor_Mov!$N$5:$N$445,$A46,Mayor_Mov!$B$5:$B$445,"21050201")+SUMIFS(Mayor_Mov!$E$5:$E$445,Mayor_Mov!$N$5:$N$445,$A46,Mayor_Mov!$B$5:$B$445,"21202040")+SUMIFS(Mayor_Mov!$E$5:$E$445,Mayor_Mov!$N$5:$N$445,$A46,Mayor_Mov!$B$5:$B$445,"21202140")</f>
        <v>10000000000</v>
      </c>
      <c r="F46" s="32" t="n">
        <f aca="false">SUMIFS(Mayor_Mov!$F$5:$F$445,Mayor_Mov!$N$5:$N$445,$A46,Mayor_Mov!$B$5:$B$445,"21050100")+SUMIFS(Mayor_Mov!$F$5:$F$445,Mayor_Mov!$N$5:$N$445,$A46,Mayor_Mov!$B$5:$B$445,"21050201")+SUMIFS(Mayor_Mov!$F$5:$F$445,Mayor_Mov!$N$5:$N$445,$A46,Mayor_Mov!$B$5:$B$445,"21202040")+SUMIFS(Mayor_Mov!$F$5:$F$445,Mayor_Mov!$N$5:$N$445,$A46,Mayor_Mov!$B$5:$B$445,"21202140")</f>
        <v>0</v>
      </c>
      <c r="G46" s="33" t="n">
        <f aca="false">D46+E46-F46</f>
        <v>10000000000</v>
      </c>
      <c r="H46" s="44" t="str">
        <f aca="false">IF(COUNTIF(Detalle_62!$C$14:$C$35,A46)&gt;0,"Sí","NO")</f>
        <v>NO</v>
      </c>
      <c r="I46" s="6" t="s">
        <v>1658</v>
      </c>
    </row>
    <row r="47" customFormat="false" ht="15" hidden="false" customHeight="false" outlineLevel="0" collapsed="false">
      <c r="A47" s="34" t="s">
        <v>143</v>
      </c>
      <c r="B47" s="38" t="s">
        <v>343</v>
      </c>
      <c r="C47" s="26" t="s">
        <v>1221</v>
      </c>
      <c r="D47" s="32" t="n">
        <f aca="false">SUMIFS(Detalle_62!$F$14:$F$35,Detalle_62!$C$14:$C$35,A47)</f>
        <v>0</v>
      </c>
      <c r="E47" s="32" t="n">
        <f aca="false">SUMIFS(Mayor_Mov!$E$5:$E$445,Mayor_Mov!$N$5:$N$445,$A47,Mayor_Mov!$B$5:$B$445,"21050100")+SUMIFS(Mayor_Mov!$E$5:$E$445,Mayor_Mov!$N$5:$N$445,$A47,Mayor_Mov!$B$5:$B$445,"21050201")+SUMIFS(Mayor_Mov!$E$5:$E$445,Mayor_Mov!$N$5:$N$445,$A47,Mayor_Mov!$B$5:$B$445,"21202040")+SUMIFS(Mayor_Mov!$E$5:$E$445,Mayor_Mov!$N$5:$N$445,$A47,Mayor_Mov!$B$5:$B$445,"21202140")</f>
        <v>0</v>
      </c>
      <c r="F47" s="32" t="n">
        <f aca="false">SUMIFS(Mayor_Mov!$F$5:$F$445,Mayor_Mov!$N$5:$N$445,$A47,Mayor_Mov!$B$5:$B$445,"21050100")+SUMIFS(Mayor_Mov!$F$5:$F$445,Mayor_Mov!$N$5:$N$445,$A47,Mayor_Mov!$B$5:$B$445,"21050201")+SUMIFS(Mayor_Mov!$F$5:$F$445,Mayor_Mov!$N$5:$N$445,$A47,Mayor_Mov!$B$5:$B$445,"21202040")+SUMIFS(Mayor_Mov!$F$5:$F$445,Mayor_Mov!$N$5:$N$445,$A47,Mayor_Mov!$B$5:$B$445,"21202140")</f>
        <v>675837500</v>
      </c>
      <c r="G47" s="33" t="n">
        <f aca="false">D47+E47-F47</f>
        <v>-675837500</v>
      </c>
      <c r="H47" s="44" t="str">
        <f aca="false">IF(COUNTIF(Detalle_62!$C$14:$C$35,A47)&gt;0,"Sí","NO")</f>
        <v>NO</v>
      </c>
      <c r="I47" s="6" t="s">
        <v>1659</v>
      </c>
    </row>
    <row r="48" customFormat="false" ht="22.35" hidden="false" customHeight="false" outlineLevel="0" collapsed="false">
      <c r="A48" s="34" t="s">
        <v>121</v>
      </c>
      <c r="B48" s="38" t="s">
        <v>1219</v>
      </c>
      <c r="C48" s="26" t="s">
        <v>1221</v>
      </c>
      <c r="D48" s="32" t="n">
        <f aca="false">SUMIFS(Detalle_62!$F$14:$F$35,Detalle_62!$C$14:$C$35,A48)</f>
        <v>0</v>
      </c>
      <c r="E48" s="32" t="n">
        <f aca="false">SUMIFS(Mayor_Mov!$E$5:$E$445,Mayor_Mov!$N$5:$N$445,$A48,Mayor_Mov!$B$5:$B$445,"21050100")+SUMIFS(Mayor_Mov!$E$5:$E$445,Mayor_Mov!$N$5:$N$445,$A48,Mayor_Mov!$B$5:$B$445,"21050201")+SUMIFS(Mayor_Mov!$E$5:$E$445,Mayor_Mov!$N$5:$N$445,$A48,Mayor_Mov!$B$5:$B$445,"21202040")+SUMIFS(Mayor_Mov!$E$5:$E$445,Mayor_Mov!$N$5:$N$445,$A48,Mayor_Mov!$B$5:$B$445,"21202140")</f>
        <v>0</v>
      </c>
      <c r="F48" s="32" t="n">
        <f aca="false">SUMIFS(Mayor_Mov!$F$5:$F$445,Mayor_Mov!$N$5:$N$445,$A48,Mayor_Mov!$B$5:$B$445,"21050100")+SUMIFS(Mayor_Mov!$F$5:$F$445,Mayor_Mov!$N$5:$N$445,$A48,Mayor_Mov!$B$5:$B$445,"21050201")+SUMIFS(Mayor_Mov!$F$5:$F$445,Mayor_Mov!$N$5:$N$445,$A48,Mayor_Mov!$B$5:$B$445,"21202040")+SUMIFS(Mayor_Mov!$F$5:$F$445,Mayor_Mov!$N$5:$N$445,$A48,Mayor_Mov!$B$5:$B$445,"21202140")</f>
        <v>0</v>
      </c>
      <c r="G48" s="33" t="n">
        <f aca="false">D48+E48-F48</f>
        <v>0</v>
      </c>
      <c r="H48" s="44" t="str">
        <f aca="false">IF(COUNTIF(Detalle_62!$C$14:$C$35,A48)&gt;0,"Sí","NO")</f>
        <v>NO</v>
      </c>
      <c r="I48" s="6" t="s">
        <v>1660</v>
      </c>
    </row>
    <row r="49" customFormat="false" ht="22.35" hidden="false" customHeight="false" outlineLevel="0" collapsed="false">
      <c r="A49" s="34" t="s">
        <v>145</v>
      </c>
      <c r="B49" s="38" t="s">
        <v>95</v>
      </c>
      <c r="C49" s="26" t="s">
        <v>1221</v>
      </c>
      <c r="D49" s="32" t="n">
        <f aca="false">SUMIFS(Detalle_62!$F$14:$F$35,Detalle_62!$C$14:$C$35,A49)</f>
        <v>0</v>
      </c>
      <c r="E49" s="32" t="n">
        <f aca="false">SUMIFS(Mayor_Mov!$E$5:$E$445,Mayor_Mov!$N$5:$N$445,$A49,Mayor_Mov!$B$5:$B$445,"21050100")+SUMIFS(Mayor_Mov!$E$5:$E$445,Mayor_Mov!$N$5:$N$445,$A49,Mayor_Mov!$B$5:$B$445,"21050201")+SUMIFS(Mayor_Mov!$E$5:$E$445,Mayor_Mov!$N$5:$N$445,$A49,Mayor_Mov!$B$5:$B$445,"21202040")+SUMIFS(Mayor_Mov!$E$5:$E$445,Mayor_Mov!$N$5:$N$445,$A49,Mayor_Mov!$B$5:$B$445,"21202140")</f>
        <v>35428634</v>
      </c>
      <c r="F49" s="32" t="n">
        <f aca="false">SUMIFS(Mayor_Mov!$F$5:$F$445,Mayor_Mov!$N$5:$N$445,$A49,Mayor_Mov!$B$5:$B$445,"21050100")+SUMIFS(Mayor_Mov!$F$5:$F$445,Mayor_Mov!$N$5:$N$445,$A49,Mayor_Mov!$B$5:$B$445,"21050201")+SUMIFS(Mayor_Mov!$F$5:$F$445,Mayor_Mov!$N$5:$N$445,$A49,Mayor_Mov!$B$5:$B$445,"21202040")+SUMIFS(Mayor_Mov!$F$5:$F$445,Mayor_Mov!$N$5:$N$445,$A49,Mayor_Mov!$B$5:$B$445,"21202140")</f>
        <v>35428634</v>
      </c>
      <c r="G49" s="33" t="n">
        <f aca="false">D49+E49-F49</f>
        <v>0</v>
      </c>
      <c r="H49" s="44" t="str">
        <f aca="false">IF(COUNTIF(Detalle_62!$C$14:$C$35,A49)&gt;0,"Sí","NO")</f>
        <v>NO</v>
      </c>
      <c r="I49" s="6" t="s">
        <v>1661</v>
      </c>
    </row>
    <row r="50" customFormat="false" ht="15" hidden="false" customHeight="false" outlineLevel="0" collapsed="false">
      <c r="A50" s="34" t="s">
        <v>146</v>
      </c>
      <c r="B50" s="38" t="s">
        <v>95</v>
      </c>
      <c r="C50" s="26" t="s">
        <v>1221</v>
      </c>
      <c r="D50" s="32" t="n">
        <f aca="false">SUMIFS(Detalle_62!$F$14:$F$35,Detalle_62!$C$14:$C$35,A50)</f>
        <v>0</v>
      </c>
      <c r="E50" s="32" t="n">
        <f aca="false">SUMIFS(Mayor_Mov!$E$5:$E$445,Mayor_Mov!$N$5:$N$445,$A50,Mayor_Mov!$B$5:$B$445,"21050100")+SUMIFS(Mayor_Mov!$E$5:$E$445,Mayor_Mov!$N$5:$N$445,$A50,Mayor_Mov!$B$5:$B$445,"21050201")+SUMIFS(Mayor_Mov!$E$5:$E$445,Mayor_Mov!$N$5:$N$445,$A50,Mayor_Mov!$B$5:$B$445,"21202040")+SUMIFS(Mayor_Mov!$E$5:$E$445,Mayor_Mov!$N$5:$N$445,$A50,Mayor_Mov!$B$5:$B$445,"21202140")</f>
        <v>8261283</v>
      </c>
      <c r="F50" s="32" t="n">
        <f aca="false">SUMIFS(Mayor_Mov!$F$5:$F$445,Mayor_Mov!$N$5:$N$445,$A50,Mayor_Mov!$B$5:$B$445,"21050100")+SUMIFS(Mayor_Mov!$F$5:$F$445,Mayor_Mov!$N$5:$N$445,$A50,Mayor_Mov!$B$5:$B$445,"21050201")+SUMIFS(Mayor_Mov!$F$5:$F$445,Mayor_Mov!$N$5:$N$445,$A50,Mayor_Mov!$B$5:$B$445,"21202040")+SUMIFS(Mayor_Mov!$F$5:$F$445,Mayor_Mov!$N$5:$N$445,$A50,Mayor_Mov!$B$5:$B$445,"21202140")</f>
        <v>8261283</v>
      </c>
      <c r="G50" s="33" t="n">
        <f aca="false">D50+E50-F50</f>
        <v>0</v>
      </c>
      <c r="H50" s="44" t="str">
        <f aca="false">IF(COUNTIF(Detalle_62!$C$14:$C$35,A50)&gt;0,"Sí","NO")</f>
        <v>NO</v>
      </c>
      <c r="I50" s="6" t="s">
        <v>1662</v>
      </c>
    </row>
    <row r="51" customFormat="false" ht="15" hidden="false" customHeight="false" outlineLevel="0" collapsed="false">
      <c r="A51" s="40" t="s">
        <v>1663</v>
      </c>
      <c r="D51" s="41" t="n">
        <f aca="false">SUMIFS(D24:D50,$C$24:$C$50,"Crédito")</f>
        <v>38300666665.3333</v>
      </c>
      <c r="E51" s="41" t="n">
        <f aca="false">SUMIFS(E24:E50,$C$24:$C$50,"Crédito")</f>
        <v>27706000000</v>
      </c>
      <c r="F51" s="41" t="n">
        <f aca="false">SUMIFS(F24:F50,$C$24:$C$50,"Crédito")</f>
        <v>24700000000</v>
      </c>
      <c r="G51" s="41" t="n">
        <f aca="false">SUMIFS(G24:G50,$C$24:$C$50,"Crédito")</f>
        <v>41306666665.3333</v>
      </c>
    </row>
    <row r="52" customFormat="false" ht="15" hidden="false" customHeight="false" outlineLevel="0" collapsed="false">
      <c r="A52" s="26" t="s">
        <v>1664</v>
      </c>
      <c r="E52" s="32" t="n">
        <f aca="false">Balance_21!$D$16+Balance_21!$D$18</f>
        <v>27706000000</v>
      </c>
      <c r="F52" s="32" t="n">
        <f aca="false">Balance_21!$E$16+Balance_21!$E$18</f>
        <v>24700000000</v>
      </c>
      <c r="G52" s="32" t="n">
        <f aca="false">-(Balance_21!$C$16+Balance_21!$C$18)</f>
        <v>41306666666</v>
      </c>
    </row>
    <row r="53" customFormat="false" ht="15" hidden="false" customHeight="false" outlineLevel="0" collapsed="false">
      <c r="A53" s="26" t="s">
        <v>1665</v>
      </c>
      <c r="E53" s="33" t="n">
        <f aca="false">E51-E52</f>
        <v>0</v>
      </c>
      <c r="F53" s="33" t="n">
        <f aca="false">F51-F52</f>
        <v>0</v>
      </c>
      <c r="G53" s="58" t="n">
        <f aca="false">G51-G52</f>
        <v>-0.666664123535156</v>
      </c>
    </row>
    <row r="55" customFormat="false" ht="15" hidden="false" customHeight="false" outlineLevel="0" collapsed="false">
      <c r="A55" s="40" t="s">
        <v>1666</v>
      </c>
      <c r="D55" s="41" t="n">
        <f aca="false">SUMIFS(D24:D50,$C$24:$C$50,"Leasing")</f>
        <v>6885245451.62914</v>
      </c>
      <c r="E55" s="41" t="n">
        <f aca="false">SUMIFS(E24:E50,$C$24:$C$50,"Leasing")</f>
        <v>946510532.01</v>
      </c>
      <c r="F55" s="41" t="n">
        <f aca="false">SUMIFS(F24:F50,$C$24:$C$50,"Leasing")</f>
        <v>719527417</v>
      </c>
      <c r="G55" s="41" t="n">
        <f aca="false">SUMIFS(G24:G50,$C$24:$C$50,"Leasing")</f>
        <v>7112228566.63914</v>
      </c>
    </row>
    <row r="56" customFormat="false" ht="15" hidden="false" customHeight="false" outlineLevel="0" collapsed="false">
      <c r="A56" s="26" t="s">
        <v>1667</v>
      </c>
      <c r="E56" s="32" t="n">
        <f aca="false">Balance_21!$D$22+Balance_21!$D$24</f>
        <v>946510532.01</v>
      </c>
      <c r="F56" s="32" t="n">
        <f aca="false">Balance_21!$E$22+Balance_21!$E$24</f>
        <v>719527417</v>
      </c>
      <c r="G56" s="32" t="n">
        <f aca="false">-(Balance_21!$C$22+Balance_21!$C$24)</f>
        <v>8130494743.34</v>
      </c>
    </row>
    <row r="57" customFormat="false" ht="15" hidden="false" customHeight="false" outlineLevel="0" collapsed="false">
      <c r="A57" s="26" t="s">
        <v>1668</v>
      </c>
      <c r="E57" s="33" t="n">
        <f aca="false">E55-E56</f>
        <v>0</v>
      </c>
      <c r="F57" s="33" t="n">
        <f aca="false">F55-F56</f>
        <v>0</v>
      </c>
      <c r="G57" s="58" t="n">
        <f aca="false">G55-G56</f>
        <v>-1018266176.70086</v>
      </c>
    </row>
  </sheetData>
  <mergeCells count="6">
    <mergeCell ref="A14:E14"/>
    <mergeCell ref="A15:E15"/>
    <mergeCell ref="A16:E16"/>
    <mergeCell ref="A17:E17"/>
    <mergeCell ref="A18:E18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7"/>
    <col collapsed="false" customWidth="true" hidden="false" outlineLevel="0" max="11" min="8" style="0" width="16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50"/>
  </cols>
  <sheetData>
    <row r="1" customFormat="false" ht="16.15" hidden="false" customHeight="false" outlineLevel="0" collapsed="false">
      <c r="A1" s="23" t="s">
        <v>1669</v>
      </c>
    </row>
    <row r="2" customFormat="false" ht="15" hidden="false" customHeight="false" outlineLevel="0" collapsed="false">
      <c r="A2" s="24" t="s">
        <v>1670</v>
      </c>
    </row>
    <row r="4" customFormat="false" ht="15" hidden="false" customHeight="false" outlineLevel="0" collapsed="false">
      <c r="A4" s="25" t="s">
        <v>1671</v>
      </c>
    </row>
    <row r="5" customFormat="false" ht="39.75" hidden="false" customHeight="true" outlineLevel="0" collapsed="false">
      <c r="A5" s="31" t="s">
        <v>1198</v>
      </c>
      <c r="B5" s="31" t="s">
        <v>1672</v>
      </c>
      <c r="C5" s="31" t="s">
        <v>1673</v>
      </c>
      <c r="D5" s="31" t="s">
        <v>1674</v>
      </c>
      <c r="E5" s="31" t="s">
        <v>1675</v>
      </c>
      <c r="F5" s="31" t="s">
        <v>1676</v>
      </c>
      <c r="G5" s="31" t="s">
        <v>1677</v>
      </c>
      <c r="H5" s="31" t="s">
        <v>1678</v>
      </c>
      <c r="I5" s="31" t="s">
        <v>1679</v>
      </c>
      <c r="J5" s="31" t="s">
        <v>1680</v>
      </c>
      <c r="K5" s="31" t="s">
        <v>1681</v>
      </c>
      <c r="L5" s="31" t="s">
        <v>1682</v>
      </c>
      <c r="M5" s="31" t="s">
        <v>1683</v>
      </c>
      <c r="N5" s="31" t="s">
        <v>250</v>
      </c>
      <c r="O5" s="31" t="s">
        <v>1171</v>
      </c>
    </row>
    <row r="6" customFormat="false" ht="25.5" hidden="false" customHeight="true" outlineLevel="0" collapsed="false">
      <c r="A6" s="34" t="s">
        <v>116</v>
      </c>
      <c r="B6" s="6" t="s">
        <v>1684</v>
      </c>
      <c r="C6" s="32" t="n">
        <f aca="false">Certificados!J5</f>
        <v>7499998503.25</v>
      </c>
      <c r="D6" s="50" t="n">
        <v>0.1551</v>
      </c>
      <c r="E6" s="27" t="n">
        <v>46102</v>
      </c>
      <c r="F6" s="27" t="n">
        <v>46286</v>
      </c>
      <c r="G6" s="60" t="n">
        <f aca="false">F6-E6</f>
        <v>184</v>
      </c>
      <c r="H6" s="33" t="n">
        <f aca="false">C6*((1+D6)^(G6/365)-1)</f>
        <v>565446040.044346</v>
      </c>
      <c r="I6" s="33" t="n">
        <f aca="false">C6*((1+D6)^(G6/360)-1)</f>
        <v>573592442.693754</v>
      </c>
      <c r="J6" s="39" t="n">
        <v>565738188.8</v>
      </c>
      <c r="K6" s="33" t="n">
        <f aca="false">IF(ABS(H6-J6)&lt;=ABS(I6-J6),H6-J6,I6-J6)</f>
        <v>-292148.755654216</v>
      </c>
      <c r="L6" s="54" t="n">
        <f aca="false">K6/J6</f>
        <v>-0.000516402748546813</v>
      </c>
      <c r="M6" s="54" t="n">
        <f aca="false">(1+J6/C6)^(365/G6)-1</f>
        <v>0.155183000000314</v>
      </c>
      <c r="N6" s="44" t="str">
        <f aca="false">IF(ABS(L6)&lt;=Resumen!$C$7,"Razonable","Diferencia")</f>
        <v>Razonable</v>
      </c>
      <c r="O6" s="6"/>
    </row>
    <row r="7" customFormat="false" ht="25.5" hidden="false" customHeight="true" outlineLevel="0" collapsed="false">
      <c r="A7" s="34" t="s">
        <v>117</v>
      </c>
      <c r="B7" s="6" t="s">
        <v>1685</v>
      </c>
      <c r="C7" s="32" t="n">
        <f aca="false">Certificados!H11</f>
        <v>3959998435.9</v>
      </c>
      <c r="D7" s="50" t="n">
        <v>0.1258</v>
      </c>
      <c r="E7" s="27" t="n">
        <v>46050</v>
      </c>
      <c r="F7" s="27" t="n">
        <v>46231</v>
      </c>
      <c r="G7" s="60" t="n">
        <f aca="false">F7-E7</f>
        <v>181</v>
      </c>
      <c r="H7" s="33" t="n">
        <f aca="false">C7*((1+D7)^(G7/365)-1)</f>
        <v>239661759.281274</v>
      </c>
      <c r="I7" s="33" t="n">
        <f aca="false">C7*((1+D7)^(G7/360)-1)</f>
        <v>243090546.747218</v>
      </c>
      <c r="J7" s="39" t="n">
        <v>272299382.05</v>
      </c>
      <c r="K7" s="33" t="n">
        <f aca="false">IF(ABS(H7-J7)&lt;=ABS(I7-J7),H7-J7,I7-J7)</f>
        <v>-29208835.3027824</v>
      </c>
      <c r="L7" s="54" t="n">
        <f aca="false">K7/J7</f>
        <v>-0.107267358019267</v>
      </c>
      <c r="M7" s="54" t="n">
        <f aca="false">(1+J7/C7)^(365/G7)-1</f>
        <v>0.143513000002364</v>
      </c>
      <c r="N7" s="44" t="str">
        <f aca="false">IF(ABS(L7)&lt;=Resumen!$C$7,"Razonable","Diferencia")</f>
        <v>Diferencia</v>
      </c>
      <c r="O7" s="6" t="s">
        <v>1686</v>
      </c>
    </row>
    <row r="8" customFormat="false" ht="25.5" hidden="false" customHeight="true" outlineLevel="0" collapsed="false">
      <c r="A8" s="34" t="s">
        <v>115</v>
      </c>
      <c r="B8" s="6" t="s">
        <v>1685</v>
      </c>
      <c r="C8" s="32" t="n">
        <f aca="false">Certificados!H12</f>
        <v>2999995943.8</v>
      </c>
      <c r="D8" s="50" t="n">
        <v>0.1258</v>
      </c>
      <c r="E8" s="27" t="n">
        <v>46050</v>
      </c>
      <c r="F8" s="27" t="n">
        <v>46231</v>
      </c>
      <c r="G8" s="60" t="n">
        <f aca="false">F8-E8</f>
        <v>181</v>
      </c>
      <c r="H8" s="33" t="n">
        <f aca="false">C8*((1+D8)^(G8/365)-1)</f>
        <v>181561765.077917</v>
      </c>
      <c r="I8" s="33" t="n">
        <f aca="false">C8*((1+D8)^(G8/360)-1)</f>
        <v>184159328.853885</v>
      </c>
      <c r="J8" s="39" t="n">
        <v>206287213.2</v>
      </c>
      <c r="K8" s="33" t="n">
        <f aca="false">IF(ABS(H8-J8)&lt;=ABS(I8-J8),H8-J8,I8-J8)</f>
        <v>-22127884.3461153</v>
      </c>
      <c r="L8" s="54" t="n">
        <f aca="false">K8/J8</f>
        <v>-0.107267357985305</v>
      </c>
      <c r="M8" s="54" t="n">
        <f aca="false">(1+J8/C8)^(365/G8)-1</f>
        <v>0.14351299999672</v>
      </c>
      <c r="N8" s="44" t="str">
        <f aca="false">IF(ABS(L8)&lt;=Resumen!$C$7,"Razonable","Diferencia")</f>
        <v>Diferencia</v>
      </c>
      <c r="O8" s="6" t="s">
        <v>1687</v>
      </c>
    </row>
    <row r="9" customFormat="false" ht="25.5" hidden="false" customHeight="true" outlineLevel="0" collapsed="false">
      <c r="A9" s="34" t="s">
        <v>125</v>
      </c>
      <c r="B9" s="6" t="s">
        <v>1688</v>
      </c>
      <c r="C9" s="39" t="n">
        <v>1639499992.59</v>
      </c>
      <c r="D9" s="50" t="n">
        <v>0.1494</v>
      </c>
      <c r="E9" s="27" t="n">
        <v>46102</v>
      </c>
      <c r="F9" s="27" t="n">
        <v>46194</v>
      </c>
      <c r="G9" s="60" t="n">
        <f aca="false">F9-E9</f>
        <v>92</v>
      </c>
      <c r="H9" s="33" t="n">
        <f aca="false">C9*((1+D9)^(G9/365)-1)</f>
        <v>58561733.1980925</v>
      </c>
      <c r="I9" s="33" t="n">
        <f aca="false">C9*((1+D9)^(G9/360)-1)</f>
        <v>59389648.7017872</v>
      </c>
      <c r="J9" s="39" t="n">
        <v>59390887.23</v>
      </c>
      <c r="K9" s="33" t="n">
        <f aca="false">IF(ABS(H9-J9)&lt;=ABS(I9-J9),H9-J9,I9-J9)</f>
        <v>-1238.52821275592</v>
      </c>
      <c r="L9" s="54" t="n">
        <f aca="false">K9/J9</f>
        <v>-2.0853842576211E-005</v>
      </c>
      <c r="M9" s="54" t="n">
        <f aca="false">(1+J9/C9)^(365/G9)-1</f>
        <v>0.151628294550968</v>
      </c>
      <c r="N9" s="44" t="str">
        <f aca="false">IF(ABS(L9)&lt;=Resumen!$C$7,"Razonable","Diferencia")</f>
        <v>Razonable</v>
      </c>
      <c r="O9" s="6" t="s">
        <v>1689</v>
      </c>
    </row>
    <row r="10" customFormat="false" ht="25.5" hidden="false" customHeight="true" outlineLevel="0" collapsed="false">
      <c r="A10" s="34" t="s">
        <v>126</v>
      </c>
      <c r="B10" s="6" t="s">
        <v>1690</v>
      </c>
      <c r="C10" s="32" t="n">
        <f aca="false">Certificados!H9</f>
        <v>1124999996.41</v>
      </c>
      <c r="D10" s="50" t="n">
        <v>0.1665</v>
      </c>
      <c r="E10" s="27" t="n">
        <v>46167</v>
      </c>
      <c r="F10" s="27" t="n">
        <v>46259</v>
      </c>
      <c r="G10" s="60" t="n">
        <f aca="false">F10-E10</f>
        <v>92</v>
      </c>
      <c r="H10" s="33" t="n">
        <f aca="false">C10*((1+D10)^(G10/365)-1)</f>
        <v>44529396.9469868</v>
      </c>
      <c r="I10" s="33" t="n">
        <f aca="false">C10*((1+D10)^(G10/360)-1)</f>
        <v>45160112.352436</v>
      </c>
      <c r="J10" s="39" t="n">
        <v>45166249.86</v>
      </c>
      <c r="K10" s="33" t="n">
        <f aca="false">IF(ABS(H10-J10)&lt;=ABS(I10-J10),H10-J10,I10-J10)</f>
        <v>-6137.50756401569</v>
      </c>
      <c r="L10" s="54" t="n">
        <f aca="false">K10/J10</f>
        <v>-0.000135887030316661</v>
      </c>
      <c r="M10" s="54" t="n">
        <f aca="false">(1+J10/C10)^(365/G10)-1</f>
        <v>0.169022136812226</v>
      </c>
      <c r="N10" s="44" t="str">
        <f aca="false">IF(ABS(L10)&lt;=Resumen!$C$7,"Razonable","Diferencia")</f>
        <v>Razonable</v>
      </c>
      <c r="O10" s="6" t="s">
        <v>1691</v>
      </c>
    </row>
    <row r="11" customFormat="false" ht="25.5" hidden="false" customHeight="true" outlineLevel="0" collapsed="false">
      <c r="A11" s="34" t="s">
        <v>124</v>
      </c>
      <c r="B11" s="6" t="s">
        <v>1692</v>
      </c>
      <c r="C11" s="32" t="n">
        <f aca="false">Certificados!H8</f>
        <v>2999999977.39</v>
      </c>
      <c r="D11" s="50" t="n">
        <v>0.1696</v>
      </c>
      <c r="E11" s="27" t="n">
        <v>46190</v>
      </c>
      <c r="F11" s="27" t="n">
        <v>46220</v>
      </c>
      <c r="G11" s="60" t="n">
        <f aca="false">F11-E11</f>
        <v>30</v>
      </c>
      <c r="H11" s="33" t="n">
        <f aca="false">C11*((1+D11)^(G11/365)-1)</f>
        <v>38878709.2107185</v>
      </c>
      <c r="I11" s="33" t="n">
        <f aca="false">C11*((1+D11)^(G11/360)-1)</f>
        <v>39422223.8319259</v>
      </c>
      <c r="J11" s="39" t="n">
        <v>38894999.71</v>
      </c>
      <c r="K11" s="33" t="n">
        <f aca="false">IF(ABS(H11-J11)&lt;=ABS(I11-J11),H11-J11,I11-J11)</f>
        <v>-16290.4992814809</v>
      </c>
      <c r="L11" s="54" t="n">
        <f aca="false">K11/J11</f>
        <v>-0.000418832739502311</v>
      </c>
      <c r="M11" s="54" t="n">
        <f aca="false">(1+J11/C11)^(365/G11)-1</f>
        <v>0.169676285676148</v>
      </c>
      <c r="N11" s="44" t="str">
        <f aca="false">IF(ABS(L11)&lt;=Resumen!$C$7,"Razonable","Diferencia")</f>
        <v>Razonable</v>
      </c>
      <c r="O11" s="6" t="s">
        <v>1693</v>
      </c>
    </row>
    <row r="12" customFormat="false" ht="25.5" hidden="false" customHeight="true" outlineLevel="0" collapsed="false">
      <c r="A12" s="34" t="s">
        <v>127</v>
      </c>
      <c r="B12" s="6" t="s">
        <v>1694</v>
      </c>
      <c r="C12" s="39" t="n">
        <v>10000000000</v>
      </c>
      <c r="D12" s="50" t="n">
        <v>0.1239</v>
      </c>
      <c r="E12" s="27" t="n">
        <v>46126</v>
      </c>
      <c r="F12" s="27" t="n">
        <v>46217</v>
      </c>
      <c r="G12" s="60" t="n">
        <f aca="false">F12-E12</f>
        <v>91</v>
      </c>
      <c r="H12" s="33" t="n">
        <f aca="false">C12*((1+D12)^(G12/365)-1)</f>
        <v>295493596.6112</v>
      </c>
      <c r="I12" s="33" t="n">
        <f aca="false">C12*((1+D12)^(G12/360)-1)</f>
        <v>299658564.418011</v>
      </c>
      <c r="J12" s="39" t="n">
        <v>299617500</v>
      </c>
      <c r="K12" s="33" t="n">
        <f aca="false">IF(ABS(H12-J12)&lt;=ABS(I12-J12),H12-J12,I12-J12)</f>
        <v>41064.4180105329</v>
      </c>
      <c r="L12" s="54" t="n">
        <f aca="false">K12/J12</f>
        <v>0.000137056139946875</v>
      </c>
      <c r="M12" s="54" t="n">
        <f aca="false">(1+J12/C12)^(365/G12)-1</f>
        <v>0.125706767782814</v>
      </c>
      <c r="N12" s="44" t="str">
        <f aca="false">IF(ABS(L12)&lt;=Resumen!$C$7,"Razonable","Diferencia")</f>
        <v>Razonable</v>
      </c>
      <c r="O12" s="6" t="s">
        <v>1691</v>
      </c>
    </row>
    <row r="13" customFormat="false" ht="25.5" hidden="false" customHeight="true" outlineLevel="0" collapsed="false">
      <c r="A13" s="34" t="s">
        <v>139</v>
      </c>
      <c r="B13" s="6" t="s">
        <v>1695</v>
      </c>
      <c r="C13" s="32" t="n">
        <f aca="false">Certificados!H7</f>
        <v>3333333334</v>
      </c>
      <c r="D13" s="50" t="n">
        <v>0.1417</v>
      </c>
      <c r="E13" s="27" t="n">
        <v>46225</v>
      </c>
      <c r="F13" s="27" t="n">
        <v>46245</v>
      </c>
      <c r="G13" s="60" t="n">
        <f aca="false">F13-E13</f>
        <v>20</v>
      </c>
      <c r="H13" s="33" t="n">
        <f aca="false">C13*((1+D13)^(G13/365)-1)</f>
        <v>24292360.3611409</v>
      </c>
      <c r="I13" s="33" t="n">
        <f aca="false">C13*((1+D13)^(G13/360)-1)</f>
        <v>24630997.7691466</v>
      </c>
      <c r="J13" s="39" t="n">
        <v>24607407</v>
      </c>
      <c r="K13" s="33" t="n">
        <f aca="false">IF(ABS(H13-J13)&lt;=ABS(I13-J13),H13-J13,I13-J13)</f>
        <v>23590.7691466324</v>
      </c>
      <c r="L13" s="54" t="n">
        <f aca="false">K13/J13</f>
        <v>0.000958685697628864</v>
      </c>
      <c r="M13" s="54" t="n">
        <f aca="false">(1+J13/C13)^(365/G13)-1</f>
        <v>0.143656631069129</v>
      </c>
      <c r="N13" s="44" t="str">
        <f aca="false">IF(ABS(L13)&lt;=Resumen!$C$7,"Razonable","Diferencia")</f>
        <v>Razonable</v>
      </c>
      <c r="O13" s="6"/>
    </row>
    <row r="14" customFormat="false" ht="25.5" hidden="false" customHeight="true" outlineLevel="0" collapsed="false">
      <c r="A14" s="34" t="s">
        <v>133</v>
      </c>
      <c r="B14" s="6" t="s">
        <v>1696</v>
      </c>
      <c r="C14" s="32" t="n">
        <f aca="false">Certificados!H14</f>
        <v>1047113003.63</v>
      </c>
      <c r="D14" s="50" t="n">
        <v>0.1604</v>
      </c>
      <c r="E14" s="27" t="n">
        <v>46134</v>
      </c>
      <c r="F14" s="27" t="n">
        <v>46225</v>
      </c>
      <c r="G14" s="60" t="n">
        <f aca="false">F14-E14</f>
        <v>91</v>
      </c>
      <c r="H14" s="33" t="n">
        <f aca="false">C14*((1+D14)^(G14/365)-1)</f>
        <v>39565887.9624642</v>
      </c>
      <c r="I14" s="33" t="n">
        <f aca="false">C14*((1+D14)^(G14/360)-1)</f>
        <v>40125812.1530879</v>
      </c>
      <c r="J14" s="39" t="n">
        <v>39578631.88</v>
      </c>
      <c r="K14" s="33" t="n">
        <f aca="false">IF(ABS(H14-J14)&lt;=ABS(I14-J14),H14-J14,I14-J14)</f>
        <v>-12743.9175358266</v>
      </c>
      <c r="L14" s="54" t="n">
        <f aca="false">K14/J14</f>
        <v>-0.000321989844784563</v>
      </c>
      <c r="M14" s="54" t="n">
        <f aca="false">(1+J14/C14)^(365/G14)-1</f>
        <v>0.160454584405098</v>
      </c>
      <c r="N14" s="44" t="str">
        <f aca="false">IF(ABS(L14)&lt;=Resumen!$C$7,"Razonable","Diferencia")</f>
        <v>Razonable</v>
      </c>
      <c r="O14" s="6"/>
    </row>
    <row r="15" customFormat="false" ht="25.5" hidden="false" customHeight="true" outlineLevel="0" collapsed="false">
      <c r="A15" s="34" t="s">
        <v>131</v>
      </c>
      <c r="B15" s="6" t="s">
        <v>1697</v>
      </c>
      <c r="C15" s="32" t="n">
        <f aca="false">Certificados!H15</f>
        <v>280274638.64</v>
      </c>
      <c r="D15" s="50" t="n">
        <v>0.1425</v>
      </c>
      <c r="E15" s="27" t="n">
        <v>46139</v>
      </c>
      <c r="F15" s="27" t="n">
        <v>46230</v>
      </c>
      <c r="G15" s="60" t="n">
        <f aca="false">F15-E15</f>
        <v>91</v>
      </c>
      <c r="H15" s="33" t="n">
        <f aca="false">C15*((1+D15)^(G15/365)-1)</f>
        <v>9465208.02479805</v>
      </c>
      <c r="I15" s="33" t="n">
        <f aca="false">C15*((1+D15)^(G15/360)-1)</f>
        <v>9598895.30593434</v>
      </c>
      <c r="J15" s="39" t="n">
        <v>9497274.3</v>
      </c>
      <c r="K15" s="33" t="n">
        <f aca="false">IF(ABS(H15-J15)&lt;=ABS(I15-J15),H15-J15,I15-J15)</f>
        <v>-32066.2752019558</v>
      </c>
      <c r="L15" s="54" t="n">
        <f aca="false">K15/J15</f>
        <v>-0.00337636612243113</v>
      </c>
      <c r="M15" s="54" t="n">
        <f aca="false">(1+J15/C15)^(365/G15)-1</f>
        <v>0.143007247985136</v>
      </c>
      <c r="N15" s="44" t="str">
        <f aca="false">IF(ABS(L15)&lt;=Resumen!$C$7,"Razonable","Diferencia")</f>
        <v>Razonable</v>
      </c>
      <c r="O15" s="6"/>
    </row>
    <row r="16" customFormat="false" ht="25.5" hidden="false" customHeight="true" outlineLevel="0" collapsed="false">
      <c r="A16" s="34" t="s">
        <v>130</v>
      </c>
      <c r="B16" s="6" t="s">
        <v>1697</v>
      </c>
      <c r="C16" s="32" t="n">
        <f aca="false">Certificados!H16</f>
        <v>280274638.73</v>
      </c>
      <c r="D16" s="50" t="n">
        <v>0.1425</v>
      </c>
      <c r="E16" s="27" t="n">
        <v>46139</v>
      </c>
      <c r="F16" s="27" t="n">
        <v>46230</v>
      </c>
      <c r="G16" s="60" t="n">
        <f aca="false">F16-E16</f>
        <v>91</v>
      </c>
      <c r="H16" s="33" t="n">
        <f aca="false">C16*((1+D16)^(G16/365)-1)</f>
        <v>9465208.02783745</v>
      </c>
      <c r="I16" s="33" t="n">
        <f aca="false">C16*((1+D16)^(G16/360)-1)</f>
        <v>9598895.30901668</v>
      </c>
      <c r="J16" s="39" t="n">
        <v>9497274.29</v>
      </c>
      <c r="K16" s="33" t="n">
        <f aca="false">IF(ABS(H16-J16)&lt;=ABS(I16-J16),H16-J16,I16-J16)</f>
        <v>-32066.2621625457</v>
      </c>
      <c r="L16" s="54" t="n">
        <f aca="false">K16/J16</f>
        <v>-0.00337636475302281</v>
      </c>
      <c r="M16" s="54" t="n">
        <f aca="false">(1+J16/C16)^(365/G16)-1</f>
        <v>0.143007247778672</v>
      </c>
      <c r="N16" s="44" t="str">
        <f aca="false">IF(ABS(L16)&lt;=Resumen!$C$7,"Razonable","Diferencia")</f>
        <v>Razonable</v>
      </c>
      <c r="O16" s="6"/>
    </row>
    <row r="17" customFormat="false" ht="25.5" hidden="false" customHeight="true" outlineLevel="0" collapsed="false">
      <c r="A17" s="34" t="s">
        <v>129</v>
      </c>
      <c r="B17" s="6" t="s">
        <v>1698</v>
      </c>
      <c r="C17" s="32" t="n">
        <f aca="false">Certificados!H17</f>
        <v>417650348.81</v>
      </c>
      <c r="D17" s="50" t="n">
        <v>0.1422</v>
      </c>
      <c r="E17" s="27" t="n">
        <v>46135</v>
      </c>
      <c r="F17" s="27" t="n">
        <v>46226</v>
      </c>
      <c r="G17" s="60" t="n">
        <f aca="false">F17-E17</f>
        <v>91</v>
      </c>
      <c r="H17" s="33" t="n">
        <f aca="false">C17*((1+D17)^(G17/365)-1)</f>
        <v>14076281.3033142</v>
      </c>
      <c r="I17" s="33" t="n">
        <f aca="false">C17*((1+D17)^(G17/360)-1)</f>
        <v>14275089.1532473</v>
      </c>
      <c r="J17" s="39" t="n">
        <v>14118857.99</v>
      </c>
      <c r="K17" s="33" t="n">
        <f aca="false">IF(ABS(H17-J17)&lt;=ABS(I17-J17),H17-J17,I17-J17)</f>
        <v>-42576.6866857838</v>
      </c>
      <c r="L17" s="54" t="n">
        <f aca="false">K17/J17</f>
        <v>-0.00301558998014851</v>
      </c>
      <c r="M17" s="54" t="n">
        <f aca="false">(1+J17/C17)^(365/G17)-1</f>
        <v>0.142651877930721</v>
      </c>
      <c r="N17" s="44" t="str">
        <f aca="false">IF(ABS(L17)&lt;=Resumen!$C$7,"Razonable","Diferencia")</f>
        <v>Razonable</v>
      </c>
      <c r="O17" s="6"/>
    </row>
    <row r="18" customFormat="false" ht="25.5" hidden="false" customHeight="true" outlineLevel="0" collapsed="false">
      <c r="A18" s="34" t="s">
        <v>128</v>
      </c>
      <c r="B18" s="6" t="s">
        <v>1698</v>
      </c>
      <c r="C18" s="32" t="n">
        <f aca="false">Certificados!H18</f>
        <v>417650348.67</v>
      </c>
      <c r="D18" s="50" t="n">
        <v>0.1422</v>
      </c>
      <c r="E18" s="27" t="n">
        <v>46135</v>
      </c>
      <c r="F18" s="27" t="n">
        <v>46226</v>
      </c>
      <c r="G18" s="60" t="n">
        <f aca="false">F18-E18</f>
        <v>91</v>
      </c>
      <c r="H18" s="33" t="n">
        <f aca="false">C18*((1+D18)^(G18/365)-1)</f>
        <v>14076281.2985957</v>
      </c>
      <c r="I18" s="33" t="n">
        <f aca="false">C18*((1+D18)^(G18/360)-1)</f>
        <v>14275089.1484622</v>
      </c>
      <c r="J18" s="39" t="n">
        <v>14118857.98</v>
      </c>
      <c r="K18" s="33" t="n">
        <f aca="false">IF(ABS(H18-J18)&lt;=ABS(I18-J18),H18-J18,I18-J18)</f>
        <v>-42576.681404274</v>
      </c>
      <c r="L18" s="54" t="n">
        <f aca="false">K18/J18</f>
        <v>-0.00301558960820951</v>
      </c>
      <c r="M18" s="54" t="n">
        <f aca="false">(1+J18/C18)^(365/G18)-1</f>
        <v>0.14265187787481</v>
      </c>
      <c r="N18" s="44" t="str">
        <f aca="false">IF(ABS(L18)&lt;=Resumen!$C$7,"Razonable","Diferencia")</f>
        <v>Razonable</v>
      </c>
      <c r="O18" s="6"/>
    </row>
    <row r="19" customFormat="false" ht="25.5" hidden="false" customHeight="true" outlineLevel="0" collapsed="false">
      <c r="A19" s="34" t="s">
        <v>132</v>
      </c>
      <c r="B19" s="6" t="s">
        <v>1699</v>
      </c>
      <c r="C19" s="32" t="n">
        <f aca="false">Certificados!H19</f>
        <v>417736780.24</v>
      </c>
      <c r="D19" s="50" t="n">
        <v>0.1422</v>
      </c>
      <c r="E19" s="27" t="n">
        <v>46132</v>
      </c>
      <c r="F19" s="27" t="n">
        <v>46223</v>
      </c>
      <c r="G19" s="60" t="n">
        <f aca="false">F19-E19</f>
        <v>91</v>
      </c>
      <c r="H19" s="33" t="n">
        <f aca="false">C19*((1+D19)^(G19/365)-1)</f>
        <v>14079194.3455889</v>
      </c>
      <c r="I19" s="33" t="n">
        <f aca="false">C19*((1+D19)^(G19/360)-1)</f>
        <v>14278043.3381831</v>
      </c>
      <c r="J19" s="39" t="n">
        <v>14121779.84</v>
      </c>
      <c r="K19" s="33" t="n">
        <f aca="false">IF(ABS(H19-J19)&lt;=ABS(I19-J19),H19-J19,I19-J19)</f>
        <v>-42585.4944110811</v>
      </c>
      <c r="L19" s="54" t="n">
        <f aca="false">K19/J19</f>
        <v>-0.0030155897410649</v>
      </c>
      <c r="M19" s="54" t="n">
        <f aca="false">(1+J19/C19)^(365/G19)-1</f>
        <v>0.142651877894781</v>
      </c>
      <c r="N19" s="44" t="str">
        <f aca="false">IF(ABS(L19)&lt;=Resumen!$C$7,"Razonable","Diferencia")</f>
        <v>Razonable</v>
      </c>
      <c r="O19" s="6"/>
    </row>
    <row r="20" customFormat="false" ht="15" hidden="false" customHeight="false" outlineLevel="0" collapsed="false">
      <c r="B20" s="40" t="s">
        <v>96</v>
      </c>
      <c r="J20" s="41" t="n">
        <f aca="false">SUM(J6:J19)</f>
        <v>1612934504.13</v>
      </c>
      <c r="K20" s="41" t="n">
        <f aca="false">SUM(K6:K19)</f>
        <v>-51792495.0698545</v>
      </c>
      <c r="L20" s="61" t="n">
        <f aca="false">K20/J20</f>
        <v>-0.0321107242341442</v>
      </c>
    </row>
    <row r="22" customFormat="false" ht="15" hidden="false" customHeight="false" outlineLevel="0" collapsed="false">
      <c r="A22" s="25" t="s">
        <v>1700</v>
      </c>
    </row>
    <row r="23" customFormat="false" ht="39.75" hidden="false" customHeight="true" outlineLevel="0" collapsed="false">
      <c r="A23" s="31" t="s">
        <v>1198</v>
      </c>
      <c r="B23" s="31" t="s">
        <v>1701</v>
      </c>
      <c r="C23" s="31" t="s">
        <v>1702</v>
      </c>
      <c r="D23" s="31" t="s">
        <v>1674</v>
      </c>
      <c r="E23" s="31" t="s">
        <v>1703</v>
      </c>
      <c r="F23" s="31" t="s">
        <v>1274</v>
      </c>
      <c r="G23" s="31" t="s">
        <v>1677</v>
      </c>
      <c r="H23" s="31" t="s">
        <v>1704</v>
      </c>
      <c r="I23" s="31" t="s">
        <v>1705</v>
      </c>
      <c r="J23" s="31" t="s">
        <v>1706</v>
      </c>
      <c r="K23" s="31" t="s">
        <v>1707</v>
      </c>
      <c r="L23" s="31" t="s">
        <v>1708</v>
      </c>
      <c r="M23" s="31" t="s">
        <v>1709</v>
      </c>
      <c r="N23" s="31"/>
      <c r="O23" s="31" t="s">
        <v>1171</v>
      </c>
    </row>
    <row r="24" customFormat="false" ht="25.5" hidden="false" customHeight="true" outlineLevel="0" collapsed="false">
      <c r="A24" s="34" t="s">
        <v>116</v>
      </c>
      <c r="B24" s="38" t="s">
        <v>1710</v>
      </c>
      <c r="C24" s="32" t="n">
        <f aca="false">Certificados!J5</f>
        <v>7499998503.25</v>
      </c>
      <c r="D24" s="50" t="n">
        <v>0.1551</v>
      </c>
      <c r="E24" s="27" t="n">
        <v>46102</v>
      </c>
      <c r="F24" s="27" t="n">
        <v>46234</v>
      </c>
      <c r="G24" s="60" t="n">
        <f aca="false">F24-E24</f>
        <v>132</v>
      </c>
      <c r="H24" s="43" t="n">
        <v>365</v>
      </c>
      <c r="I24" s="33" t="n">
        <f aca="false">C24*((1+D24)^(G24/H24)-1)</f>
        <v>401458173.071409</v>
      </c>
      <c r="J24" s="32" t="n">
        <f aca="false">SUMIFS(Mayor_Mov!$F$5:$F$445,Mayor_Mov!$N$5:$N$445,A24,Mayor_Mov!$B$5:$B$445,L24,Mayor_Mov!$H$5:$H$445,"&gt;"&amp;M24)-SUMIFS(Mayor_Mov!$E$5:$E$445,Mayor_Mov!$N$5:$N$445,A24,Mayor_Mov!$B$5:$B$445,L24,Mayor_Mov!$H$5:$H$445,"&gt;"&amp;M24)</f>
        <v>372400000</v>
      </c>
      <c r="K24" s="62" t="n">
        <f aca="false">I24-J24</f>
        <v>29058173.0714088</v>
      </c>
      <c r="L24" s="38" t="s">
        <v>865</v>
      </c>
      <c r="M24" s="63" t="n">
        <f aca="false">_xlfn.MAXIFS(Mayor_Mov!$H$5:$H$445,Mayor_Mov!$N$5:$N$445,A24,Mayor_Mov!$B$5:$B$445,L24,Mayor_Mov!$E$5:$E$445,"&gt;1000")</f>
        <v>46105</v>
      </c>
      <c r="O24" s="6" t="s">
        <v>1711</v>
      </c>
    </row>
    <row r="25" customFormat="false" ht="25.5" hidden="false" customHeight="true" outlineLevel="0" collapsed="false">
      <c r="A25" s="34" t="s">
        <v>117</v>
      </c>
      <c r="B25" s="38" t="s">
        <v>1712</v>
      </c>
      <c r="C25" s="32" t="n">
        <f aca="false">Certificados!J11</f>
        <v>3959997817.95</v>
      </c>
      <c r="D25" s="56" t="n">
        <f aca="false">INDEX(Detalle_62!$J$14:$J$35,MATCH("DAV-607691",Detalle_62!$C$14:$C$35,0))</f>
        <v>0.160198265625</v>
      </c>
      <c r="E25" s="27" t="n">
        <v>46231</v>
      </c>
      <c r="F25" s="27" t="n">
        <v>46234</v>
      </c>
      <c r="G25" s="60" t="n">
        <f aca="false">F25-E25</f>
        <v>3</v>
      </c>
      <c r="H25" s="43" t="n">
        <v>365</v>
      </c>
      <c r="I25" s="33" t="n">
        <f aca="false">C25*((1+D25)^(G25/H25)-1)</f>
        <v>4839280.59774044</v>
      </c>
      <c r="J25" s="32" t="n">
        <f aca="false">SUMIFS(Mayor_Mov!$F$5:$F$445,Mayor_Mov!$N$5:$N$445,A25,Mayor_Mov!$B$5:$B$445,L25,Mayor_Mov!$H$5:$H$445,"&gt;"&amp;M25)-SUMIFS(Mayor_Mov!$E$5:$E$445,Mayor_Mov!$N$5:$N$445,A25,Mayor_Mov!$B$5:$B$445,L25,Mayor_Mov!$H$5:$H$445,"&gt;"&amp;M25)</f>
        <v>0</v>
      </c>
      <c r="K25" s="62" t="n">
        <f aca="false">I25-J25</f>
        <v>4839280.59774044</v>
      </c>
      <c r="L25" s="38" t="s">
        <v>865</v>
      </c>
      <c r="M25" s="63" t="n">
        <f aca="false">_xlfn.MAXIFS(Mayor_Mov!$H$5:$H$445,Mayor_Mov!$N$5:$N$445,A25,Mayor_Mov!$B$5:$B$445,L25,Mayor_Mov!$E$5:$E$445,"&gt;1000")</f>
        <v>46231</v>
      </c>
      <c r="O25" s="6" t="s">
        <v>1713</v>
      </c>
    </row>
    <row r="26" customFormat="false" ht="25.5" hidden="false" customHeight="true" outlineLevel="0" collapsed="false">
      <c r="A26" s="34" t="s">
        <v>115</v>
      </c>
      <c r="B26" s="38" t="s">
        <v>1712</v>
      </c>
      <c r="C26" s="32" t="n">
        <f aca="false">Certificados!J12</f>
        <v>2999995157</v>
      </c>
      <c r="D26" s="56" t="n">
        <f aca="false">INDEX(Detalle_62!$J$14:$J$35,MATCH("DAV-569032",Detalle_62!$C$14:$C$35,0))</f>
        <v>0.160198265625</v>
      </c>
      <c r="E26" s="27" t="n">
        <v>46231</v>
      </c>
      <c r="F26" s="27" t="n">
        <v>46234</v>
      </c>
      <c r="G26" s="60" t="n">
        <f aca="false">F26-E26</f>
        <v>3</v>
      </c>
      <c r="H26" s="43" t="n">
        <v>365</v>
      </c>
      <c r="I26" s="33" t="n">
        <f aca="false">C26*((1+D26)^(G26/H26)-1)</f>
        <v>3666117.76672668</v>
      </c>
      <c r="J26" s="32" t="n">
        <f aca="false">SUMIFS(Mayor_Mov!$F$5:$F$445,Mayor_Mov!$N$5:$N$445,A26,Mayor_Mov!$B$5:$B$445,L26,Mayor_Mov!$H$5:$H$445,"&gt;"&amp;M26)-SUMIFS(Mayor_Mov!$E$5:$E$445,Mayor_Mov!$N$5:$N$445,A26,Mayor_Mov!$B$5:$B$445,L26,Mayor_Mov!$H$5:$H$445,"&gt;"&amp;M26)</f>
        <v>0</v>
      </c>
      <c r="K26" s="62" t="n">
        <f aca="false">I26-J26</f>
        <v>3666117.76672668</v>
      </c>
      <c r="L26" s="38" t="s">
        <v>865</v>
      </c>
      <c r="M26" s="63" t="n">
        <f aca="false">_xlfn.MAXIFS(Mayor_Mov!$H$5:$H$445,Mayor_Mov!$N$5:$N$445,A26,Mayor_Mov!$B$5:$B$445,L26,Mayor_Mov!$E$5:$E$445,"&gt;1000")</f>
        <v>46231</v>
      </c>
      <c r="O26" s="6" t="s">
        <v>1714</v>
      </c>
    </row>
    <row r="27" customFormat="false" ht="25.5" hidden="false" customHeight="true" outlineLevel="0" collapsed="false">
      <c r="A27" s="34" t="s">
        <v>137</v>
      </c>
      <c r="B27" s="38" t="s">
        <v>1715</v>
      </c>
      <c r="C27" s="32" t="n">
        <f aca="false">SUMIFS(Detalle_62!$F$14:$F$35,Detalle_62!$C$14:$C$35,"BBVA-0141")</f>
        <v>4700000000</v>
      </c>
      <c r="D27" s="56" t="n">
        <f aca="false">INDEX(Detalle_62!$J$14:$J$35,MATCH("BBVA-0141",Detalle_62!$C$14:$C$35,0))</f>
        <v>0.135423288111736</v>
      </c>
      <c r="E27" s="27" t="n">
        <v>46203</v>
      </c>
      <c r="F27" s="27" t="n">
        <v>46234</v>
      </c>
      <c r="G27" s="60" t="n">
        <f aca="false">F27-E27</f>
        <v>31</v>
      </c>
      <c r="H27" s="43" t="n">
        <v>365</v>
      </c>
      <c r="I27" s="33" t="n">
        <f aca="false">C27*((1+D27)^(G27/H27)-1)</f>
        <v>50972239.5760856</v>
      </c>
      <c r="J27" s="32" t="n">
        <f aca="false">SUMIFS(Mayor_Mov!$F$5:$F$445,Mayor_Mov!$N$5:$N$445,A27,Mayor_Mov!$B$5:$B$445,L27,Mayor_Mov!$H$5:$H$445,"&gt;"&amp;M27)-SUMIFS(Mayor_Mov!$E$5:$E$445,Mayor_Mov!$N$5:$N$445,A27,Mayor_Mov!$B$5:$B$445,L27,Mayor_Mov!$H$5:$H$445,"&gt;"&amp;M27)</f>
        <v>0</v>
      </c>
      <c r="K27" s="62" t="n">
        <f aca="false">I27-J27</f>
        <v>50972239.5760856</v>
      </c>
      <c r="L27" s="38" t="s">
        <v>865</v>
      </c>
      <c r="M27" s="63" t="n">
        <f aca="false">_xlfn.MAXIFS(Mayor_Mov!$H$5:$H$445,Mayor_Mov!$N$5:$N$445,A27,Mayor_Mov!$B$5:$B$445,L27,Mayor_Mov!$E$5:$E$445,"&gt;1000")</f>
        <v>46203</v>
      </c>
      <c r="O27" s="6" t="s">
        <v>1716</v>
      </c>
    </row>
    <row r="28" customFormat="false" ht="25.5" hidden="false" customHeight="true" outlineLevel="0" collapsed="false">
      <c r="A28" s="34" t="s">
        <v>124</v>
      </c>
      <c r="B28" s="38" t="s">
        <v>1710</v>
      </c>
      <c r="C28" s="32" t="n">
        <f aca="false">Certificados!J8</f>
        <v>2937499977.39</v>
      </c>
      <c r="D28" s="50" t="n">
        <v>0.1696</v>
      </c>
      <c r="E28" s="27" t="n">
        <v>46220</v>
      </c>
      <c r="F28" s="27" t="n">
        <v>46234</v>
      </c>
      <c r="G28" s="60" t="n">
        <f aca="false">F28-E28</f>
        <v>14</v>
      </c>
      <c r="H28" s="43" t="n">
        <v>365</v>
      </c>
      <c r="I28" s="33" t="n">
        <f aca="false">C28*((1+D28)^(G28/H28)-1)</f>
        <v>17704418.3193534</v>
      </c>
      <c r="J28" s="32" t="n">
        <f aca="false">SUMIFS(Mayor_Mov!$F$5:$F$445,Mayor_Mov!$N$5:$N$445,A28,Mayor_Mov!$B$5:$B$445,L28,Mayor_Mov!$H$5:$H$445,"&gt;"&amp;M28)-SUMIFS(Mayor_Mov!$E$5:$E$445,Mayor_Mov!$N$5:$N$445,A28,Mayor_Mov!$B$5:$B$445,L28,Mayor_Mov!$H$5:$H$445,"&gt;"&amp;M28)</f>
        <v>0</v>
      </c>
      <c r="K28" s="62" t="n">
        <f aca="false">I28-J28</f>
        <v>17704418.3193534</v>
      </c>
      <c r="L28" s="38" t="s">
        <v>865</v>
      </c>
      <c r="M28" s="63" t="n">
        <f aca="false">_xlfn.MAXIFS(Mayor_Mov!$H$5:$H$445,Mayor_Mov!$N$5:$N$445,A28,Mayor_Mov!$B$5:$B$445,L28,Mayor_Mov!$E$5:$E$445,"&gt;1000")</f>
        <v>0</v>
      </c>
      <c r="O28" s="6" t="s">
        <v>1717</v>
      </c>
    </row>
    <row r="29" customFormat="false" ht="25.5" hidden="false" customHeight="true" outlineLevel="0" collapsed="false">
      <c r="A29" s="34" t="s">
        <v>125</v>
      </c>
      <c r="B29" s="38" t="s">
        <v>1710</v>
      </c>
      <c r="C29" s="32" t="n">
        <f aca="false">Certificados!J6</f>
        <v>1457333325.59</v>
      </c>
      <c r="D29" s="50" t="n">
        <v>0.1494</v>
      </c>
      <c r="E29" s="27" t="n">
        <v>46194</v>
      </c>
      <c r="F29" s="27" t="n">
        <v>46234</v>
      </c>
      <c r="G29" s="60" t="n">
        <f aca="false">F29-E29</f>
        <v>40</v>
      </c>
      <c r="H29" s="43" t="n">
        <v>360</v>
      </c>
      <c r="I29" s="33" t="n">
        <f aca="false">C29*((1+D29)^(G29/H29)-1)</f>
        <v>22721889.9812955</v>
      </c>
      <c r="J29" s="32" t="n">
        <f aca="false">SUMIFS(Mayor_Mov!$F$5:$F$445,Mayor_Mov!$N$5:$N$445,A29,Mayor_Mov!$B$5:$B$445,L29,Mayor_Mov!$H$5:$H$445,"&gt;"&amp;M29)-SUMIFS(Mayor_Mov!$E$5:$E$445,Mayor_Mov!$N$5:$N$445,A29,Mayor_Mov!$B$5:$B$445,L29,Mayor_Mov!$H$5:$H$445,"&gt;"&amp;M29)</f>
        <v>17825616</v>
      </c>
      <c r="K29" s="62" t="n">
        <f aca="false">I29-J29</f>
        <v>4896273.98129553</v>
      </c>
      <c r="L29" s="38" t="s">
        <v>865</v>
      </c>
      <c r="M29" s="63" t="n">
        <f aca="false">_xlfn.MAXIFS(Mayor_Mov!$H$5:$H$445,Mayor_Mov!$N$5:$N$445,A29,Mayor_Mov!$B$5:$B$445,L29,Mayor_Mov!$E$5:$E$445,"&gt;1000")</f>
        <v>46203</v>
      </c>
      <c r="O29" s="6" t="s">
        <v>1718</v>
      </c>
    </row>
    <row r="30" customFormat="false" ht="25.5" hidden="false" customHeight="true" outlineLevel="0" collapsed="false">
      <c r="A30" s="34" t="s">
        <v>126</v>
      </c>
      <c r="B30" s="38" t="s">
        <v>1710</v>
      </c>
      <c r="C30" s="32" t="n">
        <f aca="false">Certificados!J9</f>
        <v>1124999996.41</v>
      </c>
      <c r="D30" s="50" t="n">
        <v>0.1665</v>
      </c>
      <c r="E30" s="27" t="n">
        <v>46167</v>
      </c>
      <c r="F30" s="27" t="n">
        <v>46234</v>
      </c>
      <c r="G30" s="60" t="n">
        <f aca="false">F30-E30</f>
        <v>67</v>
      </c>
      <c r="H30" s="43" t="n">
        <v>360</v>
      </c>
      <c r="I30" s="33" t="n">
        <f aca="false">C30*((1+D30)^(G30/H30)-1)</f>
        <v>32711950.3469859</v>
      </c>
      <c r="J30" s="32" t="n">
        <f aca="false">SUMIFS(Mayor_Mov!$F$5:$F$445,Mayor_Mov!$N$5:$N$445,A30,Mayor_Mov!$B$5:$B$445,L30,Mayor_Mov!$H$5:$H$445,"&gt;"&amp;M30)-SUMIFS(Mayor_Mov!$E$5:$E$445,Mayor_Mov!$N$5:$N$445,A30,Mayor_Mov!$B$5:$B$445,L30,Mayor_Mov!$H$5:$H$445,"&gt;"&amp;M30)</f>
        <v>30088126</v>
      </c>
      <c r="K30" s="62" t="n">
        <f aca="false">I30-J30</f>
        <v>2623824.34698591</v>
      </c>
      <c r="L30" s="38" t="s">
        <v>865</v>
      </c>
      <c r="M30" s="63" t="n">
        <f aca="false">_xlfn.MAXIFS(Mayor_Mov!$H$5:$H$445,Mayor_Mov!$N$5:$N$445,A30,Mayor_Mov!$B$5:$B$445,L30,Mayor_Mov!$E$5:$E$445,"&gt;1000")</f>
        <v>46164</v>
      </c>
      <c r="O30" s="6" t="s">
        <v>1718</v>
      </c>
    </row>
    <row r="31" customFormat="false" ht="25.5" hidden="false" customHeight="true" outlineLevel="0" collapsed="false">
      <c r="A31" s="34" t="s">
        <v>127</v>
      </c>
      <c r="B31" s="38" t="s">
        <v>1719</v>
      </c>
      <c r="C31" s="32" t="n">
        <f aca="false">Certificados!J10</f>
        <v>10000000000</v>
      </c>
      <c r="D31" s="56" t="n">
        <f aca="false">INDEX(Detalle_62!$J$14:$J$35,MATCH("BOG-1159383796",Detalle_62!$C$14:$C$35,0))</f>
        <v>0.1296288656</v>
      </c>
      <c r="E31" s="27" t="n">
        <v>46225</v>
      </c>
      <c r="F31" s="27" t="n">
        <v>46234</v>
      </c>
      <c r="G31" s="60" t="n">
        <f aca="false">F31-E31</f>
        <v>9</v>
      </c>
      <c r="H31" s="43" t="n">
        <v>360</v>
      </c>
      <c r="I31" s="33" t="n">
        <f aca="false">C31*((1+D31)^(G31/H31)-1)</f>
        <v>30518760.5171553</v>
      </c>
      <c r="J31" s="32" t="n">
        <f aca="false">SUMIFS(Mayor_Mov!$F$5:$F$445,Mayor_Mov!$N$5:$N$445,A31,Mayor_Mov!$B$5:$B$445,L31,Mayor_Mov!$H$5:$H$445,"&gt;"&amp;M31)-SUMIFS(Mayor_Mov!$E$5:$E$445,Mayor_Mov!$N$5:$N$445,A31,Mayor_Mov!$B$5:$B$445,L31,Mayor_Mov!$H$5:$H$445,"&gt;"&amp;M31)</f>
        <v>0</v>
      </c>
      <c r="K31" s="62" t="n">
        <f aca="false">I31-J31</f>
        <v>30518760.5171553</v>
      </c>
      <c r="L31" s="38" t="s">
        <v>865</v>
      </c>
      <c r="M31" s="63" t="n">
        <f aca="false">_xlfn.MAXIFS(Mayor_Mov!$H$5:$H$445,Mayor_Mov!$N$5:$N$445,A31,Mayor_Mov!$B$5:$B$445,L31,Mayor_Mov!$E$5:$E$445,"&gt;1000")</f>
        <v>46230</v>
      </c>
      <c r="O31" s="6" t="s">
        <v>1720</v>
      </c>
    </row>
    <row r="32" customFormat="false" ht="25.5" hidden="false" customHeight="true" outlineLevel="0" collapsed="false">
      <c r="A32" s="34" t="s">
        <v>135</v>
      </c>
      <c r="B32" s="38" t="s">
        <v>1715</v>
      </c>
      <c r="C32" s="32" t="n">
        <f aca="false">SUMIFS(Detalle_62!$F$14:$F$35,Detalle_62!$C$14:$C$35,"POP-631309940")</f>
        <v>287500000</v>
      </c>
      <c r="D32" s="56" t="n">
        <f aca="false">INDEX(Detalle_62!$J$14:$J$35,MATCH("POP-631309940",Detalle_62!$C$14:$C$35,0))</f>
        <v>0.149386780746296</v>
      </c>
      <c r="E32" s="27" t="n">
        <v>46190</v>
      </c>
      <c r="F32" s="27" t="n">
        <v>46234</v>
      </c>
      <c r="G32" s="60" t="n">
        <f aca="false">F32-E32</f>
        <v>44</v>
      </c>
      <c r="H32" s="43" t="n">
        <v>365</v>
      </c>
      <c r="I32" s="33" t="n">
        <f aca="false">C32*((1+D32)^(G32/H32)-1)</f>
        <v>4866039.68585017</v>
      </c>
      <c r="J32" s="32" t="n">
        <f aca="false">SUMIFS(Mayor_Mov!$F$5:$F$445,Mayor_Mov!$N$5:$N$445,A32,Mayor_Mov!$B$5:$B$445,L32,Mayor_Mov!$H$5:$H$445,"&gt;"&amp;M32)-SUMIFS(Mayor_Mov!$E$5:$E$445,Mayor_Mov!$N$5:$N$445,A32,Mayor_Mov!$B$5:$B$445,L32,Mayor_Mov!$H$5:$H$445,"&gt;"&amp;M32)</f>
        <v>3324938</v>
      </c>
      <c r="K32" s="62" t="n">
        <f aca="false">I32-J32</f>
        <v>1541101.68585017</v>
      </c>
      <c r="L32" s="38" t="s">
        <v>865</v>
      </c>
      <c r="M32" s="63" t="n">
        <f aca="false">_xlfn.MAXIFS(Mayor_Mov!$H$5:$H$445,Mayor_Mov!$N$5:$N$445,A32,Mayor_Mov!$B$5:$B$445,L32,Mayor_Mov!$E$5:$E$445,"&gt;1000")</f>
        <v>46203</v>
      </c>
      <c r="O32" s="6" t="s">
        <v>1721</v>
      </c>
    </row>
    <row r="33" customFormat="false" ht="25.5" hidden="false" customHeight="true" outlineLevel="0" collapsed="false">
      <c r="A33" s="34" t="s">
        <v>139</v>
      </c>
      <c r="B33" s="38" t="s">
        <v>1710</v>
      </c>
      <c r="C33" s="32" t="n">
        <f aca="false">Certificados!J7</f>
        <v>3333333334</v>
      </c>
      <c r="D33" s="50" t="n">
        <v>0.1417</v>
      </c>
      <c r="E33" s="27" t="n">
        <v>46225</v>
      </c>
      <c r="F33" s="27" t="n">
        <v>46234</v>
      </c>
      <c r="G33" s="60" t="n">
        <f aca="false">F33-E33</f>
        <v>9</v>
      </c>
      <c r="H33" s="43" t="n">
        <v>365</v>
      </c>
      <c r="I33" s="33" t="n">
        <f aca="false">C33*((1+D33)^(G33/H33)-1)</f>
        <v>10909736.1129754</v>
      </c>
      <c r="J33" s="32" t="n">
        <f aca="false">SUMIFS(Mayor_Mov!$F$5:$F$445,Mayor_Mov!$N$5:$N$445,A33,Mayor_Mov!$B$5:$B$445,L33,Mayor_Mov!$H$5:$H$445,"&gt;"&amp;M33)-SUMIFS(Mayor_Mov!$E$5:$E$445,Mayor_Mov!$N$5:$N$445,A33,Mayor_Mov!$B$5:$B$445,L33,Mayor_Mov!$H$5:$H$445,"&gt;"&amp;M33)</f>
        <v>0</v>
      </c>
      <c r="K33" s="62" t="n">
        <f aca="false">I33-J33</f>
        <v>10909736.1129754</v>
      </c>
      <c r="L33" s="38" t="s">
        <v>865</v>
      </c>
      <c r="M33" s="63" t="n">
        <f aca="false">_xlfn.MAXIFS(Mayor_Mov!$H$5:$H$445,Mayor_Mov!$N$5:$N$445,A33,Mayor_Mov!$B$5:$B$445,L33,Mayor_Mov!$E$5:$E$445,"&gt;1000")</f>
        <v>46231</v>
      </c>
      <c r="O33" s="6" t="s">
        <v>1722</v>
      </c>
    </row>
    <row r="34" customFormat="false" ht="25.5" hidden="false" customHeight="true" outlineLevel="0" collapsed="false">
      <c r="A34" s="34" t="s">
        <v>120</v>
      </c>
      <c r="B34" s="38" t="s">
        <v>1723</v>
      </c>
      <c r="C34" s="32" t="n">
        <f aca="false">Saldos_x_Obligacion!L11</f>
        <v>1876684264</v>
      </c>
      <c r="D34" s="50" t="n">
        <v>0.1441</v>
      </c>
      <c r="E34" s="27" t="n">
        <v>46226</v>
      </c>
      <c r="F34" s="27" t="n">
        <v>46234</v>
      </c>
      <c r="G34" s="60" t="n">
        <f aca="false">F34-E34</f>
        <v>8</v>
      </c>
      <c r="H34" s="43" t="n">
        <v>365</v>
      </c>
      <c r="I34" s="33" t="n">
        <f aca="false">C34*((1+D34)^(G34/H34)-1)</f>
        <v>5545405.40210023</v>
      </c>
      <c r="J34" s="32" t="n">
        <f aca="false">SUMIFS(Mayor_Mov!$F$5:$F$445,Mayor_Mov!$N$5:$N$445,A34,Mayor_Mov!$B$5:$B$445,L34,Mayor_Mov!$H$5:$H$445,"&gt;"&amp;M34)-SUMIFS(Mayor_Mov!$E$5:$E$445,Mayor_Mov!$N$5:$N$445,A34,Mayor_Mov!$B$5:$B$445,L34,Mayor_Mov!$H$5:$H$445,"&gt;"&amp;M34)</f>
        <v>0</v>
      </c>
      <c r="K34" s="62" t="n">
        <f aca="false">I34-J34</f>
        <v>5545405.40210023</v>
      </c>
      <c r="L34" s="38" t="s">
        <v>983</v>
      </c>
      <c r="M34" s="63" t="n">
        <f aca="false">_xlfn.MAXIFS(Mayor_Mov!$H$5:$H$445,Mayor_Mov!$N$5:$N$445,A34,Mayor_Mov!$B$5:$B$445,L34,Mayor_Mov!$E$5:$E$445,"&gt;1000")</f>
        <v>46231</v>
      </c>
      <c r="O34" s="6"/>
    </row>
    <row r="35" customFormat="false" ht="25.5" hidden="false" customHeight="true" outlineLevel="0" collapsed="false">
      <c r="A35" s="34" t="s">
        <v>118</v>
      </c>
      <c r="B35" s="38" t="s">
        <v>1723</v>
      </c>
      <c r="C35" s="32" t="n">
        <f aca="false">Saldos_x_Obligacion!L9</f>
        <v>399387154</v>
      </c>
      <c r="D35" s="50" t="n">
        <v>0.1603</v>
      </c>
      <c r="E35" s="27" t="n">
        <v>46216</v>
      </c>
      <c r="F35" s="27" t="n">
        <v>46234</v>
      </c>
      <c r="G35" s="60" t="n">
        <f aca="false">F35-E35</f>
        <v>18</v>
      </c>
      <c r="H35" s="43" t="n">
        <v>365</v>
      </c>
      <c r="I35" s="33" t="n">
        <f aca="false">C35*((1+D35)^(G35/H35)-1)</f>
        <v>2939106.2775128</v>
      </c>
      <c r="J35" s="32" t="n">
        <f aca="false">SUMIFS(Mayor_Mov!$F$5:$F$445,Mayor_Mov!$N$5:$N$445,A35,Mayor_Mov!$B$5:$B$445,L35,Mayor_Mov!$H$5:$H$445,"&gt;"&amp;M35)-SUMIFS(Mayor_Mov!$E$5:$E$445,Mayor_Mov!$N$5:$N$445,A35,Mayor_Mov!$B$5:$B$445,L35,Mayor_Mov!$H$5:$H$445,"&gt;"&amp;M35)</f>
        <v>0</v>
      </c>
      <c r="K35" s="62" t="n">
        <f aca="false">I35-J35</f>
        <v>2939106.2775128</v>
      </c>
      <c r="L35" s="38" t="s">
        <v>983</v>
      </c>
      <c r="M35" s="63" t="n">
        <f aca="false">_xlfn.MAXIFS(Mayor_Mov!$H$5:$H$445,Mayor_Mov!$N$5:$N$445,A35,Mayor_Mov!$B$5:$B$445,L35,Mayor_Mov!$E$5:$E$445,"&gt;1000")</f>
        <v>0</v>
      </c>
      <c r="O35" s="6"/>
    </row>
    <row r="36" customFormat="false" ht="25.5" hidden="false" customHeight="true" outlineLevel="0" collapsed="false">
      <c r="A36" s="34" t="s">
        <v>119</v>
      </c>
      <c r="B36" s="38" t="s">
        <v>1723</v>
      </c>
      <c r="C36" s="32" t="n">
        <f aca="false">Saldos_x_Obligacion!L10</f>
        <v>332999135</v>
      </c>
      <c r="D36" s="50" t="n">
        <v>0.1593</v>
      </c>
      <c r="E36" s="27" t="n">
        <v>46209</v>
      </c>
      <c r="F36" s="27" t="n">
        <v>46234</v>
      </c>
      <c r="G36" s="60" t="n">
        <f aca="false">F36-E36</f>
        <v>25</v>
      </c>
      <c r="H36" s="43" t="n">
        <v>365</v>
      </c>
      <c r="I36" s="33" t="n">
        <f aca="false">C36*((1+D36)^(G36/H36)-1)</f>
        <v>3388544.07316055</v>
      </c>
      <c r="J36" s="32" t="n">
        <f aca="false">SUMIFS(Mayor_Mov!$F$5:$F$445,Mayor_Mov!$N$5:$N$445,A36,Mayor_Mov!$B$5:$B$445,L36,Mayor_Mov!$H$5:$H$445,"&gt;"&amp;M36)-SUMIFS(Mayor_Mov!$E$5:$E$445,Mayor_Mov!$N$5:$N$445,A36,Mayor_Mov!$B$5:$B$445,L36,Mayor_Mov!$H$5:$H$445,"&gt;"&amp;M36)</f>
        <v>0</v>
      </c>
      <c r="K36" s="62" t="n">
        <f aca="false">I36-J36</f>
        <v>3388544.07316055</v>
      </c>
      <c r="L36" s="38" t="s">
        <v>983</v>
      </c>
      <c r="M36" s="63" t="n">
        <f aca="false">_xlfn.MAXIFS(Mayor_Mov!$H$5:$H$445,Mayor_Mov!$N$5:$N$445,A36,Mayor_Mov!$B$5:$B$445,L36,Mayor_Mov!$E$5:$E$445,"&gt;1000")</f>
        <v>0</v>
      </c>
      <c r="O36" s="6"/>
    </row>
    <row r="37" customFormat="false" ht="25.5" hidden="false" customHeight="true" outlineLevel="0" collapsed="false">
      <c r="A37" s="34" t="s">
        <v>133</v>
      </c>
      <c r="B37" s="38" t="s">
        <v>1710</v>
      </c>
      <c r="C37" s="32" t="n">
        <f aca="false">Certificados!J14</f>
        <v>984246886.51</v>
      </c>
      <c r="D37" s="50" t="n">
        <v>0.1604</v>
      </c>
      <c r="E37" s="27" t="n">
        <v>46225</v>
      </c>
      <c r="F37" s="27" t="n">
        <v>46234</v>
      </c>
      <c r="G37" s="60" t="n">
        <f aca="false">F37-E37</f>
        <v>9</v>
      </c>
      <c r="H37" s="43" t="n">
        <v>365</v>
      </c>
      <c r="I37" s="33" t="n">
        <f aca="false">C37*((1+D37)^(G37/H37)-1)</f>
        <v>3617017.21971566</v>
      </c>
      <c r="J37" s="32" t="n">
        <f aca="false">SUMIFS(Mayor_Mov!$F$5:$F$445,Mayor_Mov!$N$5:$N$445,A37,Mayor_Mov!$B$5:$B$445,L37,Mayor_Mov!$H$5:$H$445,"&gt;"&amp;M37)-SUMIFS(Mayor_Mov!$E$5:$E$445,Mayor_Mov!$N$5:$N$445,A37,Mayor_Mov!$B$5:$B$445,L37,Mayor_Mov!$H$5:$H$445,"&gt;"&amp;M37)</f>
        <v>0</v>
      </c>
      <c r="K37" s="62" t="n">
        <f aca="false">I37-J37</f>
        <v>3617017.21971566</v>
      </c>
      <c r="L37" s="38" t="s">
        <v>983</v>
      </c>
      <c r="M37" s="63" t="n">
        <f aca="false">_xlfn.MAXIFS(Mayor_Mov!$H$5:$H$445,Mayor_Mov!$N$5:$N$445,A37,Mayor_Mov!$B$5:$B$445,L37,Mayor_Mov!$E$5:$E$445,"&gt;1000")</f>
        <v>46231</v>
      </c>
      <c r="O37" s="6"/>
    </row>
    <row r="38" customFormat="false" ht="25.5" hidden="false" customHeight="true" outlineLevel="0" collapsed="false">
      <c r="A38" s="34" t="s">
        <v>131</v>
      </c>
      <c r="B38" s="38" t="s">
        <v>1710</v>
      </c>
      <c r="C38" s="32" t="n">
        <f aca="false">Certificados!J15</f>
        <v>253672104.94</v>
      </c>
      <c r="D38" s="50" t="n">
        <v>0.1425</v>
      </c>
      <c r="E38" s="27" t="n">
        <v>46230</v>
      </c>
      <c r="F38" s="27" t="n">
        <v>46234</v>
      </c>
      <c r="G38" s="60" t="n">
        <f aca="false">F38-E38</f>
        <v>4</v>
      </c>
      <c r="H38" s="43" t="n">
        <v>365</v>
      </c>
      <c r="I38" s="33" t="n">
        <f aca="false">C38*((1+D38)^(G38/H38)-1)</f>
        <v>370614.629483698</v>
      </c>
      <c r="J38" s="32" t="n">
        <f aca="false">SUMIFS(Mayor_Mov!$F$5:$F$445,Mayor_Mov!$N$5:$N$445,A38,Mayor_Mov!$B$5:$B$445,L38,Mayor_Mov!$H$5:$H$445,"&gt;"&amp;M38)-SUMIFS(Mayor_Mov!$E$5:$E$445,Mayor_Mov!$N$5:$N$445,A38,Mayor_Mov!$B$5:$B$445,L38,Mayor_Mov!$H$5:$H$445,"&gt;"&amp;M38)</f>
        <v>0</v>
      </c>
      <c r="K38" s="62" t="n">
        <f aca="false">I38-J38</f>
        <v>370614.629483698</v>
      </c>
      <c r="L38" s="38" t="s">
        <v>983</v>
      </c>
      <c r="M38" s="63" t="n">
        <f aca="false">_xlfn.MAXIFS(Mayor_Mov!$H$5:$H$445,Mayor_Mov!$N$5:$N$445,A38,Mayor_Mov!$B$5:$B$445,L38,Mayor_Mov!$E$5:$E$445,"&gt;1000")</f>
        <v>46230</v>
      </c>
      <c r="O38" s="6"/>
    </row>
    <row r="39" customFormat="false" ht="25.5" hidden="false" customHeight="true" outlineLevel="0" collapsed="false">
      <c r="A39" s="34" t="s">
        <v>130</v>
      </c>
      <c r="B39" s="38" t="s">
        <v>1710</v>
      </c>
      <c r="C39" s="32" t="n">
        <f aca="false">Certificados!J16</f>
        <v>253672105.02</v>
      </c>
      <c r="D39" s="50" t="n">
        <v>0.1425</v>
      </c>
      <c r="E39" s="27" t="n">
        <v>46230</v>
      </c>
      <c r="F39" s="27" t="n">
        <v>46234</v>
      </c>
      <c r="G39" s="60" t="n">
        <f aca="false">F39-E39</f>
        <v>4</v>
      </c>
      <c r="H39" s="43" t="n">
        <v>365</v>
      </c>
      <c r="I39" s="33" t="n">
        <f aca="false">C39*((1+D39)^(G39/H39)-1)</f>
        <v>370614.629600578</v>
      </c>
      <c r="J39" s="32" t="n">
        <f aca="false">SUMIFS(Mayor_Mov!$F$5:$F$445,Mayor_Mov!$N$5:$N$445,A39,Mayor_Mov!$B$5:$B$445,L39,Mayor_Mov!$H$5:$H$445,"&gt;"&amp;M39)-SUMIFS(Mayor_Mov!$E$5:$E$445,Mayor_Mov!$N$5:$N$445,A39,Mayor_Mov!$B$5:$B$445,L39,Mayor_Mov!$H$5:$H$445,"&gt;"&amp;M39)</f>
        <v>0</v>
      </c>
      <c r="K39" s="62" t="n">
        <f aca="false">I39-J39</f>
        <v>370614.629600578</v>
      </c>
      <c r="L39" s="38" t="s">
        <v>983</v>
      </c>
      <c r="M39" s="63" t="n">
        <f aca="false">_xlfn.MAXIFS(Mayor_Mov!$H$5:$H$445,Mayor_Mov!$N$5:$N$445,A39,Mayor_Mov!$B$5:$B$445,L39,Mayor_Mov!$E$5:$E$445,"&gt;1000")</f>
        <v>46230</v>
      </c>
      <c r="O39" s="6"/>
    </row>
    <row r="40" customFormat="false" ht="25.5" hidden="false" customHeight="true" outlineLevel="0" collapsed="false">
      <c r="A40" s="34" t="s">
        <v>129</v>
      </c>
      <c r="B40" s="38" t="s">
        <v>1710</v>
      </c>
      <c r="C40" s="32" t="n">
        <f aca="false">Certificados!J17</f>
        <v>396112029.8</v>
      </c>
      <c r="D40" s="50" t="n">
        <v>0.1422</v>
      </c>
      <c r="E40" s="27" t="n">
        <v>46226</v>
      </c>
      <c r="F40" s="27" t="n">
        <v>46234</v>
      </c>
      <c r="G40" s="60" t="n">
        <f aca="false">F40-E40</f>
        <v>8</v>
      </c>
      <c r="H40" s="43" t="n">
        <v>365</v>
      </c>
      <c r="I40" s="33" t="n">
        <f aca="false">C40*((1+D40)^(G40/H40)-1)</f>
        <v>1155997.19975989</v>
      </c>
      <c r="J40" s="32" t="n">
        <f aca="false">SUMIFS(Mayor_Mov!$F$5:$F$445,Mayor_Mov!$N$5:$N$445,A40,Mayor_Mov!$B$5:$B$445,L40,Mayor_Mov!$H$5:$H$445,"&gt;"&amp;M40)-SUMIFS(Mayor_Mov!$E$5:$E$445,Mayor_Mov!$N$5:$N$445,A40,Mayor_Mov!$B$5:$B$445,L40,Mayor_Mov!$H$5:$H$445,"&gt;"&amp;M40)</f>
        <v>0</v>
      </c>
      <c r="K40" s="62" t="n">
        <f aca="false">I40-J40</f>
        <v>1155997.19975989</v>
      </c>
      <c r="L40" s="38" t="s">
        <v>983</v>
      </c>
      <c r="M40" s="63" t="n">
        <f aca="false">_xlfn.MAXIFS(Mayor_Mov!$H$5:$H$445,Mayor_Mov!$N$5:$N$445,A40,Mayor_Mov!$B$5:$B$445,L40,Mayor_Mov!$E$5:$E$445,"&gt;1000")</f>
        <v>46231</v>
      </c>
      <c r="O40" s="6"/>
    </row>
    <row r="41" customFormat="false" ht="25.5" hidden="false" customHeight="true" outlineLevel="0" collapsed="false">
      <c r="A41" s="34" t="s">
        <v>128</v>
      </c>
      <c r="B41" s="38" t="s">
        <v>1710</v>
      </c>
      <c r="C41" s="32" t="n">
        <f aca="false">Certificados!J18</f>
        <v>396112029.65</v>
      </c>
      <c r="D41" s="50" t="n">
        <v>0.1422</v>
      </c>
      <c r="E41" s="27" t="n">
        <v>46226</v>
      </c>
      <c r="F41" s="27" t="n">
        <v>46234</v>
      </c>
      <c r="G41" s="60" t="n">
        <f aca="false">F41-E41</f>
        <v>8</v>
      </c>
      <c r="H41" s="43" t="n">
        <v>365</v>
      </c>
      <c r="I41" s="33" t="n">
        <f aca="false">C41*((1+D41)^(G41/H41)-1)</f>
        <v>1155997.19932213</v>
      </c>
      <c r="J41" s="32" t="n">
        <f aca="false">SUMIFS(Mayor_Mov!$F$5:$F$445,Mayor_Mov!$N$5:$N$445,A41,Mayor_Mov!$B$5:$B$445,L41,Mayor_Mov!$H$5:$H$445,"&gt;"&amp;M41)-SUMIFS(Mayor_Mov!$E$5:$E$445,Mayor_Mov!$N$5:$N$445,A41,Mayor_Mov!$B$5:$B$445,L41,Mayor_Mov!$H$5:$H$445,"&gt;"&amp;M41)</f>
        <v>0</v>
      </c>
      <c r="K41" s="62" t="n">
        <f aca="false">I41-J41</f>
        <v>1155997.19932213</v>
      </c>
      <c r="L41" s="38" t="s">
        <v>983</v>
      </c>
      <c r="M41" s="63" t="n">
        <f aca="false">_xlfn.MAXIFS(Mayor_Mov!$H$5:$H$445,Mayor_Mov!$N$5:$N$445,A41,Mayor_Mov!$B$5:$B$445,L41,Mayor_Mov!$E$5:$E$445,"&gt;1000")</f>
        <v>46231</v>
      </c>
      <c r="O41" s="6"/>
    </row>
    <row r="42" customFormat="false" ht="25.5" hidden="false" customHeight="true" outlineLevel="0" collapsed="false">
      <c r="A42" s="34" t="s">
        <v>132</v>
      </c>
      <c r="B42" s="38" t="s">
        <v>1710</v>
      </c>
      <c r="C42" s="32" t="n">
        <f aca="false">Certificados!J19</f>
        <v>396193942.08</v>
      </c>
      <c r="D42" s="50" t="n">
        <v>0.1422</v>
      </c>
      <c r="E42" s="27" t="n">
        <v>46223</v>
      </c>
      <c r="F42" s="27" t="n">
        <v>46234</v>
      </c>
      <c r="G42" s="60" t="n">
        <f aca="false">F42-E42</f>
        <v>11</v>
      </c>
      <c r="H42" s="43" t="n">
        <v>365</v>
      </c>
      <c r="I42" s="33" t="n">
        <f aca="false">C42*((1+D42)^(G42/H42)-1)</f>
        <v>1590694.25438737</v>
      </c>
      <c r="J42" s="32" t="n">
        <f aca="false">SUMIFS(Mayor_Mov!$F$5:$F$445,Mayor_Mov!$N$5:$N$445,A42,Mayor_Mov!$B$5:$B$445,L42,Mayor_Mov!$H$5:$H$445,"&gt;"&amp;M42)-SUMIFS(Mayor_Mov!$E$5:$E$445,Mayor_Mov!$N$5:$N$445,A42,Mayor_Mov!$B$5:$B$445,L42,Mayor_Mov!$H$5:$H$445,"&gt;"&amp;M42)</f>
        <v>0</v>
      </c>
      <c r="K42" s="62" t="n">
        <f aca="false">I42-J42</f>
        <v>1590694.25438737</v>
      </c>
      <c r="L42" s="38" t="s">
        <v>983</v>
      </c>
      <c r="M42" s="63" t="n">
        <f aca="false">_xlfn.MAXIFS(Mayor_Mov!$H$5:$H$445,Mayor_Mov!$N$5:$N$445,A42,Mayor_Mov!$B$5:$B$445,L42,Mayor_Mov!$E$5:$E$445,"&gt;1000")</f>
        <v>46231</v>
      </c>
      <c r="O42" s="6"/>
    </row>
    <row r="43" customFormat="false" ht="25.5" hidden="false" customHeight="true" outlineLevel="0" collapsed="false">
      <c r="A43" s="34" t="s">
        <v>140</v>
      </c>
      <c r="B43" s="38" t="s">
        <v>1724</v>
      </c>
      <c r="C43" s="32" t="n">
        <f aca="false">Saldos_x_Obligacion!L26</f>
        <v>448477372</v>
      </c>
      <c r="D43" s="56" t="n">
        <f aca="false">INDEX(Detalle_62!$J$14:$J$35,MATCH("BCL-L362095",Detalle_62!$C$14:$C$35,0))</f>
        <v>0.156382742125655</v>
      </c>
      <c r="E43" s="27" t="n">
        <v>46203</v>
      </c>
      <c r="F43" s="27" t="n">
        <v>46234</v>
      </c>
      <c r="G43" s="60" t="n">
        <f aca="false">F43-E43</f>
        <v>31</v>
      </c>
      <c r="H43" s="43" t="n">
        <v>365</v>
      </c>
      <c r="I43" s="33" t="n">
        <f aca="false">C43*((1+D43)^(G43/H43)-1)</f>
        <v>5568623.41062859</v>
      </c>
      <c r="J43" s="32" t="n">
        <f aca="false">SUMIFS(Mayor_Mov!$F$5:$F$445,Mayor_Mov!$N$5:$N$445,A43,Mayor_Mov!$B$5:$B$445,L43,Mayor_Mov!$H$5:$H$445,"&gt;"&amp;M43)-SUMIFS(Mayor_Mov!$E$5:$E$445,Mayor_Mov!$N$5:$N$445,A43,Mayor_Mov!$B$5:$B$445,L43,Mayor_Mov!$H$5:$H$445,"&gt;"&amp;M43)</f>
        <v>3750337</v>
      </c>
      <c r="K43" s="62" t="n">
        <f aca="false">I43-J43</f>
        <v>1818286.41062859</v>
      </c>
      <c r="L43" s="38" t="s">
        <v>983</v>
      </c>
      <c r="M43" s="63" t="n">
        <f aca="false">_xlfn.MAXIFS(Mayor_Mov!$H$5:$H$445,Mayor_Mov!$N$5:$N$445,A43,Mayor_Mov!$B$5:$B$445,L43,Mayor_Mov!$E$5:$E$445,"&gt;1000")</f>
        <v>46203</v>
      </c>
      <c r="O43" s="6" t="s">
        <v>1725</v>
      </c>
    </row>
    <row r="44" customFormat="false" ht="25.5" hidden="false" customHeight="true" outlineLevel="0" collapsed="false">
      <c r="A44" s="34" t="s">
        <v>141</v>
      </c>
      <c r="B44" s="38" t="s">
        <v>1724</v>
      </c>
      <c r="C44" s="32" t="n">
        <f aca="false">Saldos_x_Obligacion!L27</f>
        <v>787729700</v>
      </c>
      <c r="D44" s="56" t="n">
        <f aca="false">INDEX(Detalle_62!$J$14:$J$35,MATCH("BCL-L336817",Detalle_62!$C$14:$C$35,0))</f>
        <v>0.157948891345503</v>
      </c>
      <c r="E44" s="27" t="n">
        <v>46222</v>
      </c>
      <c r="F44" s="27" t="n">
        <v>46234</v>
      </c>
      <c r="G44" s="60" t="n">
        <f aca="false">F44-E44</f>
        <v>12</v>
      </c>
      <c r="H44" s="43" t="n">
        <v>365</v>
      </c>
      <c r="I44" s="33" t="n">
        <f aca="false">C44*((1+D44)^(G44/H44)-1)</f>
        <v>3807112.91633949</v>
      </c>
      <c r="J44" s="32" t="n">
        <f aca="false">SUMIFS(Mayor_Mov!$F$5:$F$445,Mayor_Mov!$N$5:$N$445,A44,Mayor_Mov!$B$5:$B$445,L44,Mayor_Mov!$H$5:$H$445,"&gt;"&amp;M44)-SUMIFS(Mayor_Mov!$E$5:$E$445,Mayor_Mov!$N$5:$N$445,A44,Mayor_Mov!$B$5:$B$445,L44,Mayor_Mov!$H$5:$H$445,"&gt;"&amp;M44)</f>
        <v>0</v>
      </c>
      <c r="K44" s="62" t="n">
        <f aca="false">I44-J44</f>
        <v>3807112.91633949</v>
      </c>
      <c r="L44" s="38" t="s">
        <v>983</v>
      </c>
      <c r="M44" s="63" t="n">
        <f aca="false">_xlfn.MAXIFS(Mayor_Mov!$H$5:$H$445,Mayor_Mov!$N$5:$N$445,A44,Mayor_Mov!$B$5:$B$445,L44,Mayor_Mov!$E$5:$E$445,"&gt;1000")</f>
        <v>0</v>
      </c>
      <c r="O44" s="6" t="s">
        <v>1726</v>
      </c>
    </row>
    <row r="45" customFormat="false" ht="25.5" hidden="false" customHeight="true" outlineLevel="0" collapsed="false">
      <c r="A45" s="34" t="s">
        <v>142</v>
      </c>
      <c r="B45" s="38" t="s">
        <v>1724</v>
      </c>
      <c r="C45" s="32" t="n">
        <f aca="false">Saldos_x_Obligacion!L28</f>
        <v>488525504</v>
      </c>
      <c r="D45" s="56" t="n">
        <f aca="false">INDEX(Detalle_62!$J$14:$J$35,MATCH("BCL-L331330",Detalle_62!$C$14:$C$35,0))</f>
        <v>0.164255943222499</v>
      </c>
      <c r="E45" s="27" t="n">
        <v>46212</v>
      </c>
      <c r="F45" s="27" t="n">
        <v>46234</v>
      </c>
      <c r="G45" s="60" t="n">
        <f aca="false">F45-E45</f>
        <v>22</v>
      </c>
      <c r="H45" s="43" t="n">
        <v>365</v>
      </c>
      <c r="I45" s="33" t="n">
        <f aca="false">C45*((1+D45)^(G45/H45)-1)</f>
        <v>4498704.71647143</v>
      </c>
      <c r="J45" s="32" t="n">
        <f aca="false">SUMIFS(Mayor_Mov!$F$5:$F$445,Mayor_Mov!$N$5:$N$445,A45,Mayor_Mov!$B$5:$B$445,L45,Mayor_Mov!$H$5:$H$445,"&gt;"&amp;M45)-SUMIFS(Mayor_Mov!$E$5:$E$445,Mayor_Mov!$N$5:$N$445,A45,Mayor_Mov!$B$5:$B$445,L45,Mayor_Mov!$H$5:$H$445,"&gt;"&amp;M45)</f>
        <v>0</v>
      </c>
      <c r="K45" s="62" t="n">
        <f aca="false">I45-J45</f>
        <v>4498704.71647143</v>
      </c>
      <c r="L45" s="38" t="s">
        <v>983</v>
      </c>
      <c r="M45" s="63" t="n">
        <f aca="false">_xlfn.MAXIFS(Mayor_Mov!$H$5:$H$445,Mayor_Mov!$N$5:$N$445,A45,Mayor_Mov!$B$5:$B$445,L45,Mayor_Mov!$E$5:$E$445,"&gt;1000")</f>
        <v>0</v>
      </c>
      <c r="O45" s="6" t="s">
        <v>1727</v>
      </c>
    </row>
    <row r="46" customFormat="false" ht="25.5" hidden="false" customHeight="true" outlineLevel="0" collapsed="false">
      <c r="A46" s="34" t="s">
        <v>143</v>
      </c>
      <c r="B46" s="38" t="s">
        <v>1728</v>
      </c>
      <c r="C46" s="32" t="n">
        <f aca="false">SUMIFS(Mayor_Mov!$F$5:$F$445,Mayor_Mov!$N$5:$N$445,"BCL-L386735")</f>
        <v>675837500</v>
      </c>
      <c r="D46" s="56" t="n">
        <f aca="false">(1+(Detalle_62!$B$6+0.0135)/4)^4-1</f>
        <v>0.137775314543555</v>
      </c>
      <c r="E46" s="27" t="n">
        <v>46231</v>
      </c>
      <c r="F46" s="27" t="n">
        <v>46234</v>
      </c>
      <c r="G46" s="60" t="n">
        <f aca="false">F46-E46</f>
        <v>3</v>
      </c>
      <c r="H46" s="43" t="n">
        <v>365</v>
      </c>
      <c r="I46" s="33" t="n">
        <f aca="false">C46*((1+D46)^(G46/H46)-1)</f>
        <v>717369.299115863</v>
      </c>
      <c r="J46" s="32" t="n">
        <f aca="false">SUMIFS(Mayor_Mov!$F$5:$F$445,Mayor_Mov!$N$5:$N$445,A46,Mayor_Mov!$B$5:$B$445,L46,Mayor_Mov!$H$5:$H$445,"&gt;"&amp;M46)-SUMIFS(Mayor_Mov!$E$5:$E$445,Mayor_Mov!$N$5:$N$445,A46,Mayor_Mov!$B$5:$B$445,L46,Mayor_Mov!$H$5:$H$445,"&gt;"&amp;M46)</f>
        <v>0</v>
      </c>
      <c r="K46" s="62" t="n">
        <f aca="false">I46-J46</f>
        <v>717369.299115863</v>
      </c>
      <c r="L46" s="38" t="s">
        <v>983</v>
      </c>
      <c r="M46" s="63" t="n">
        <f aca="false">_xlfn.MAXIFS(Mayor_Mov!$H$5:$H$445,Mayor_Mov!$N$5:$N$445,A46,Mayor_Mov!$B$5:$B$445,L46,Mayor_Mov!$E$5:$E$445,"&gt;1000")</f>
        <v>0</v>
      </c>
      <c r="O46" s="6" t="s">
        <v>1729</v>
      </c>
    </row>
    <row r="47" customFormat="false" ht="15" hidden="false" customHeight="false" outlineLevel="0" collapsed="false">
      <c r="B47" s="40" t="s">
        <v>96</v>
      </c>
      <c r="I47" s="41" t="n">
        <f aca="false">SUM(I24:I46)</f>
        <v>615094407.203176</v>
      </c>
      <c r="J47" s="41" t="n">
        <f aca="false">SUM(J24:J46)</f>
        <v>427389017</v>
      </c>
      <c r="K47" s="41" t="n">
        <f aca="false">SUM(K24:K46)</f>
        <v>187705390.203176</v>
      </c>
    </row>
    <row r="48" customFormat="false" ht="15" hidden="false" customHeight="false" outlineLevel="0" collapsed="false">
      <c r="B48" s="26" t="s">
        <v>1730</v>
      </c>
      <c r="I48" s="33" t="n">
        <f aca="false">SUMIFS(I24:I46,$L$24:$L$46,"21300101")</f>
        <v>580368605.975577</v>
      </c>
      <c r="J48" s="33" t="n">
        <f aca="false">SUMIFS(J24:J46,$L$24:$L$46,"21300101")</f>
        <v>423638680</v>
      </c>
      <c r="K48" s="33" t="n">
        <f aca="false">SUMIFS(K24:K46,$L$24:$L$46,"21300101")</f>
        <v>156729925.975577</v>
      </c>
    </row>
    <row r="49" customFormat="false" ht="15" hidden="false" customHeight="false" outlineLevel="0" collapsed="false">
      <c r="B49" s="26" t="s">
        <v>1731</v>
      </c>
      <c r="I49" s="33" t="n">
        <f aca="false">SUMIFS(I24:I46,$L$24:$L$46,"21300102")</f>
        <v>34725801.2275983</v>
      </c>
      <c r="J49" s="33" t="n">
        <f aca="false">SUMIFS(J24:J46,$L$24:$L$46,"21300102")</f>
        <v>3750337</v>
      </c>
      <c r="K49" s="33" t="n">
        <f aca="false">SUMIFS(K24:K46,$L$24:$L$46,"21300102")</f>
        <v>30975464.2275983</v>
      </c>
    </row>
    <row r="50" customFormat="false" ht="15" hidden="false" customHeight="false" outlineLevel="0" collapsed="false">
      <c r="B50" s="26" t="s">
        <v>1732</v>
      </c>
      <c r="J50" s="32" t="n">
        <f aca="false">-Balance_21!$F$25</f>
        <v>427389017.16</v>
      </c>
    </row>
    <row r="51" customFormat="false" ht="15" hidden="false" customHeight="false" outlineLevel="0" collapsed="false">
      <c r="B51" s="26" t="s">
        <v>1733</v>
      </c>
      <c r="J51" s="33" t="n">
        <f aca="false">J47-J50</f>
        <v>-0.160000026226044</v>
      </c>
      <c r="K51" s="24" t="s">
        <v>1734</v>
      </c>
    </row>
    <row r="53" customFormat="false" ht="15" hidden="false" customHeight="false" outlineLevel="0" collapsed="false">
      <c r="A53" s="25" t="s">
        <v>1735</v>
      </c>
    </row>
    <row r="54" customFormat="false" ht="39.75" hidden="false" customHeight="true" outlineLevel="0" collapsed="false">
      <c r="A54" s="31" t="s">
        <v>1198</v>
      </c>
      <c r="B54" s="31" t="s">
        <v>1736</v>
      </c>
      <c r="C54" s="31" t="s">
        <v>1737</v>
      </c>
      <c r="D54" s="31" t="s">
        <v>1674</v>
      </c>
      <c r="E54" s="31" t="s">
        <v>1675</v>
      </c>
      <c r="F54" s="31" t="s">
        <v>1676</v>
      </c>
      <c r="G54" s="31" t="s">
        <v>1677</v>
      </c>
      <c r="H54" s="31" t="s">
        <v>1738</v>
      </c>
      <c r="I54" s="31" t="s">
        <v>1739</v>
      </c>
      <c r="J54" s="31" t="s">
        <v>1740</v>
      </c>
      <c r="K54" s="31" t="s">
        <v>102</v>
      </c>
      <c r="L54" s="31" t="s">
        <v>1741</v>
      </c>
      <c r="M54" s="31"/>
      <c r="N54" s="31"/>
      <c r="O54" s="31" t="s">
        <v>1171</v>
      </c>
    </row>
    <row r="55" customFormat="false" ht="22.35" hidden="false" customHeight="false" outlineLevel="0" collapsed="false">
      <c r="A55" s="34" t="s">
        <v>120</v>
      </c>
      <c r="B55" s="38" t="s">
        <v>1742</v>
      </c>
      <c r="C55" s="39" t="n">
        <v>64041851</v>
      </c>
      <c r="D55" s="50" t="n">
        <v>0.1441</v>
      </c>
      <c r="E55" s="27" t="n">
        <v>46135</v>
      </c>
      <c r="F55" s="27" t="n">
        <v>46226</v>
      </c>
      <c r="G55" s="60" t="n">
        <f aca="false">F55-E55</f>
        <v>91</v>
      </c>
      <c r="H55" s="33" t="n">
        <f aca="false">C55/((1+D55)^(G55/365)-1)</f>
        <v>1876302602.58705</v>
      </c>
      <c r="I55" s="39" t="n">
        <v>0</v>
      </c>
      <c r="J55" s="33" t="n">
        <f aca="false">H55-I55</f>
        <v>1876302602.58705</v>
      </c>
      <c r="K55" s="32" t="n">
        <f aca="false">SUMIFS(Detalle_62!$F$14:$F$35,Detalle_62!$C$14:$C$35,A55)</f>
        <v>1883712218.08706</v>
      </c>
      <c r="L55" s="33" t="n">
        <f aca="false">K55-J55</f>
        <v>7409615.50000811</v>
      </c>
      <c r="O55" s="6" t="s">
        <v>1743</v>
      </c>
    </row>
    <row r="56" customFormat="false" ht="22.35" hidden="false" customHeight="false" outlineLevel="0" collapsed="false">
      <c r="A56" s="34" t="s">
        <v>118</v>
      </c>
      <c r="B56" s="38" t="s">
        <v>1744</v>
      </c>
      <c r="C56" s="39" t="n">
        <v>5062372</v>
      </c>
      <c r="D56" s="50" t="n">
        <v>0.1603</v>
      </c>
      <c r="E56" s="27" t="n">
        <v>46184</v>
      </c>
      <c r="F56" s="27" t="n">
        <v>46216</v>
      </c>
      <c r="G56" s="60" t="n">
        <f aca="false">F56-E56</f>
        <v>32</v>
      </c>
      <c r="H56" s="33" t="n">
        <f aca="false">C56/((1+D56)^(G56/365)-1)</f>
        <v>385846839.882521</v>
      </c>
      <c r="I56" s="39" t="n">
        <v>12327298</v>
      </c>
      <c r="J56" s="33" t="n">
        <f aca="false">H56-I56</f>
        <v>373519541.882521</v>
      </c>
      <c r="K56" s="32" t="n">
        <f aca="false">SUMIFS(Detalle_62!$F$14:$F$35,Detalle_62!$C$14:$C$35,A56)</f>
        <v>398582167.21439</v>
      </c>
      <c r="L56" s="33" t="n">
        <f aca="false">K56-J56</f>
        <v>25062625.3318693</v>
      </c>
      <c r="O56" s="6" t="s">
        <v>1743</v>
      </c>
    </row>
    <row r="57" customFormat="false" ht="22.35" hidden="false" customHeight="false" outlineLevel="0" collapsed="false">
      <c r="A57" s="34" t="s">
        <v>119</v>
      </c>
      <c r="B57" s="38" t="s">
        <v>1745</v>
      </c>
      <c r="C57" s="39" t="n">
        <v>4177893</v>
      </c>
      <c r="D57" s="50" t="n">
        <v>0.1593</v>
      </c>
      <c r="E57" s="27" t="n">
        <v>46178</v>
      </c>
      <c r="F57" s="27" t="n">
        <v>46209</v>
      </c>
      <c r="G57" s="60" t="n">
        <f aca="false">F57-E57</f>
        <v>31</v>
      </c>
      <c r="H57" s="33" t="n">
        <f aca="false">C57/((1+D57)^(G57/365)-1)</f>
        <v>330702105.858094</v>
      </c>
      <c r="I57" s="39" t="n">
        <v>8867342</v>
      </c>
      <c r="J57" s="33" t="n">
        <f aca="false">H57-I57</f>
        <v>321834763.858094</v>
      </c>
      <c r="K57" s="32" t="n">
        <f aca="false">SUMIFS(Detalle_62!$F$14:$F$35,Detalle_62!$C$14:$C$35,A57)</f>
        <v>323529688.533944</v>
      </c>
      <c r="L57" s="33" t="n">
        <f aca="false">K57-J57</f>
        <v>1694924.67585093</v>
      </c>
      <c r="O57" s="6" t="s">
        <v>1743</v>
      </c>
    </row>
    <row r="58" customFormat="false" ht="15" hidden="false" customHeight="false" outlineLevel="0" collapsed="false">
      <c r="B58" s="40" t="s">
        <v>96</v>
      </c>
      <c r="J58" s="41" t="n">
        <f aca="false">SUM(J55:J57)</f>
        <v>2571656908.32766</v>
      </c>
      <c r="K58" s="41" t="n">
        <f aca="false">SUM(K55:K57)</f>
        <v>2605824073.83539</v>
      </c>
      <c r="L58" s="41" t="n">
        <f aca="false">SUM(L55:L57)</f>
        <v>34167165.5077283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1746</v>
      </c>
    </row>
    <row r="2" customFormat="false" ht="15" hidden="false" customHeight="false" outlineLevel="0" collapsed="false">
      <c r="A2" s="24" t="s">
        <v>1747</v>
      </c>
    </row>
    <row r="3" customFormat="false" ht="15" hidden="false" customHeight="false" outlineLevel="0" collapsed="false">
      <c r="A3" s="34" t="s">
        <v>1748</v>
      </c>
      <c r="C3" s="38" t="s">
        <v>1749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726630000</v>
      </c>
      <c r="F4" s="26" t="s">
        <v>1752</v>
      </c>
      <c r="I4" s="57" t="n">
        <f aca="false">_xlfn.MAXIFS($B$12:$B$72,$B$12:$B$72,"&lt;="&amp;Resumen!$C$5)</f>
        <v>46214</v>
      </c>
    </row>
    <row r="5" customFormat="false" ht="15" hidden="false" customHeight="false" outlineLevel="0" collapsed="false">
      <c r="A5" s="34" t="s">
        <v>1753</v>
      </c>
      <c r="C5" s="27" t="n">
        <v>45210</v>
      </c>
      <c r="F5" s="26" t="s">
        <v>1754</v>
      </c>
      <c r="I5" s="58" t="n">
        <f aca="false">SUMIFS($G$12:$G$72,$B$12:$B$72,I4)</f>
        <v>398582167.21439</v>
      </c>
    </row>
    <row r="6" customFormat="false" ht="15" hidden="false" customHeight="false" outlineLevel="0" collapsed="false">
      <c r="A6" s="34" t="s">
        <v>1755</v>
      </c>
      <c r="C6" s="38" t="s">
        <v>1756</v>
      </c>
      <c r="F6" s="26" t="s">
        <v>1757</v>
      </c>
      <c r="I6" s="33" t="n">
        <f aca="false">SUMIFS($J$12:$J$72,$B$12:$B$72,I4)</f>
        <v>398582167.21439</v>
      </c>
    </row>
    <row r="7" customFormat="false" ht="15" hidden="false" customHeight="false" outlineLevel="0" collapsed="false">
      <c r="A7" s="34" t="s">
        <v>1758</v>
      </c>
      <c r="C7" s="64" t="n">
        <v>0.0133570443058773</v>
      </c>
      <c r="F7" s="26" t="s">
        <v>1759</v>
      </c>
      <c r="I7" s="33" t="n">
        <f aca="false">SUMIFS($D$12:$D$72,$O$12:$O$72,1)</f>
        <v>41709581.6713573</v>
      </c>
    </row>
    <row r="8" customFormat="false" ht="15" hidden="false" customHeight="false" outlineLevel="0" collapsed="false">
      <c r="A8" s="34" t="s">
        <v>1760</v>
      </c>
      <c r="C8" s="65" t="n">
        <f aca="false">IFERROR(IRR($M$12:$M$72),"N/A")</f>
        <v>0.013357044305877</v>
      </c>
      <c r="F8" s="26" t="s">
        <v>1761</v>
      </c>
      <c r="I8" s="33" t="n">
        <f aca="false">SUMIFS($E$12:$E$72,$P$12:$P$72,1)</f>
        <v>159681765.768447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0.1726</v>
      </c>
      <c r="F9" s="26" t="s">
        <v>1763</v>
      </c>
      <c r="I9" s="33" t="n">
        <f aca="false">SUMPRODUCT(MAX(ABS($L$12:$L$72)))</f>
        <v>7.45058059692383E-009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45210</v>
      </c>
      <c r="C12" s="39"/>
      <c r="D12" s="39" t="n">
        <v>0</v>
      </c>
      <c r="E12" s="39" t="n">
        <v>0</v>
      </c>
      <c r="F12" s="39" t="n">
        <v>0</v>
      </c>
      <c r="G12" s="39" t="n">
        <v>726630000</v>
      </c>
      <c r="H12" s="33" t="n">
        <f aca="false">G12</f>
        <v>726630000</v>
      </c>
      <c r="I12" s="33" t="n">
        <v>0</v>
      </c>
      <c r="J12" s="33" t="n">
        <f aca="false">H12</f>
        <v>726630000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-726630000</v>
      </c>
      <c r="N12" s="65" t="n">
        <f aca="false">$C$7</f>
        <v>0.0133570443058773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45241</v>
      </c>
      <c r="C13" s="39" t="n">
        <v>726630000</v>
      </c>
      <c r="D13" s="39" t="n">
        <v>9705629.10397959</v>
      </c>
      <c r="E13" s="39" t="n">
        <v>7975587.87595463</v>
      </c>
      <c r="F13" s="39" t="n">
        <v>17681216.9799342</v>
      </c>
      <c r="G13" s="39" t="n">
        <v>718654412.124045</v>
      </c>
      <c r="H13" s="33" t="n">
        <f aca="false">J12</f>
        <v>726630000</v>
      </c>
      <c r="I13" s="33" t="n">
        <f aca="false">H13*N13</f>
        <v>9705629.10397959</v>
      </c>
      <c r="J13" s="33" t="n">
        <f aca="false">H13+I13-F13</f>
        <v>718654412.124045</v>
      </c>
      <c r="K13" s="33" t="n">
        <f aca="false">D13-I13</f>
        <v>0</v>
      </c>
      <c r="L13" s="33" t="n">
        <f aca="false">G13-J13</f>
        <v>0</v>
      </c>
      <c r="M13" s="33" t="n">
        <f aca="false">F13</f>
        <v>17681216.9799342</v>
      </c>
      <c r="N13" s="65" t="n">
        <f aca="false">$C$7</f>
        <v>0.0133570443058773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45271</v>
      </c>
      <c r="C14" s="39" t="n">
        <v>718654412.124045</v>
      </c>
      <c r="D14" s="39" t="n">
        <v>9599098.82335505</v>
      </c>
      <c r="E14" s="39" t="n">
        <v>8082118.15657914</v>
      </c>
      <c r="F14" s="39" t="n">
        <v>17681216.9799342</v>
      </c>
      <c r="G14" s="39" t="n">
        <v>710572293.967466</v>
      </c>
      <c r="H14" s="33" t="n">
        <f aca="false">J13</f>
        <v>718654412.124045</v>
      </c>
      <c r="I14" s="33" t="n">
        <f aca="false">H14*N14</f>
        <v>9599098.82335504</v>
      </c>
      <c r="J14" s="33" t="n">
        <f aca="false">H14+I14-F14</f>
        <v>710572293.967466</v>
      </c>
      <c r="K14" s="33" t="n">
        <f aca="false">D14-I14</f>
        <v>0</v>
      </c>
      <c r="L14" s="33" t="n">
        <f aca="false">G14-J14</f>
        <v>0</v>
      </c>
      <c r="M14" s="33" t="n">
        <f aca="false">F14</f>
        <v>17681216.9799342</v>
      </c>
      <c r="N14" s="65" t="n">
        <f aca="false">$C$7</f>
        <v>0.0133570443058773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45302</v>
      </c>
      <c r="C15" s="39" t="n">
        <v>710572293.967466</v>
      </c>
      <c r="D15" s="39" t="n">
        <v>9491145.61305228</v>
      </c>
      <c r="E15" s="39" t="n">
        <v>8190071.36688197</v>
      </c>
      <c r="F15" s="39" t="n">
        <v>17681216.9799343</v>
      </c>
      <c r="G15" s="39" t="n">
        <v>702382222.600584</v>
      </c>
      <c r="H15" s="33" t="n">
        <f aca="false">J14</f>
        <v>710572293.967466</v>
      </c>
      <c r="I15" s="33" t="n">
        <f aca="false">H15*N15</f>
        <v>9491145.61305228</v>
      </c>
      <c r="J15" s="33" t="n">
        <f aca="false">H15+I15-F15</f>
        <v>702382222.600584</v>
      </c>
      <c r="K15" s="33" t="n">
        <f aca="false">D15-I15</f>
        <v>0</v>
      </c>
      <c r="L15" s="33" t="n">
        <f aca="false">G15-J15</f>
        <v>0</v>
      </c>
      <c r="M15" s="33" t="n">
        <f aca="false">F15</f>
        <v>17681216.9799343</v>
      </c>
      <c r="N15" s="65" t="n">
        <f aca="false">$C$7</f>
        <v>0.0133570443058773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45333</v>
      </c>
      <c r="C16" s="39" t="n">
        <v>702382222.600584</v>
      </c>
      <c r="D16" s="39" t="n">
        <v>9381750.46693654</v>
      </c>
      <c r="E16" s="39" t="n">
        <v>8299466.51299763</v>
      </c>
      <c r="F16" s="39" t="n">
        <v>17681216.9799342</v>
      </c>
      <c r="G16" s="39" t="n">
        <v>694082756.087587</v>
      </c>
      <c r="H16" s="33" t="n">
        <f aca="false">J15</f>
        <v>702382222.600584</v>
      </c>
      <c r="I16" s="33" t="n">
        <f aca="false">H16*N16</f>
        <v>9381750.46693654</v>
      </c>
      <c r="J16" s="33" t="n">
        <f aca="false">H16+I16-F16</f>
        <v>694082756.087587</v>
      </c>
      <c r="K16" s="33" t="n">
        <f aca="false">D16-I16</f>
        <v>0</v>
      </c>
      <c r="L16" s="33" t="n">
        <f aca="false">G16-J16</f>
        <v>0</v>
      </c>
      <c r="M16" s="33" t="n">
        <f aca="false">F16</f>
        <v>17681216.9799342</v>
      </c>
      <c r="N16" s="65" t="n">
        <f aca="false">$C$7</f>
        <v>0.0133570443058773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45362</v>
      </c>
      <c r="C17" s="39" t="n">
        <v>694082756.087587</v>
      </c>
      <c r="D17" s="39" t="n">
        <v>9270894.12500729</v>
      </c>
      <c r="E17" s="39" t="n">
        <v>8410322.85492694</v>
      </c>
      <c r="F17" s="39" t="n">
        <v>17681216.9799342</v>
      </c>
      <c r="G17" s="39" t="n">
        <v>685672433.23266</v>
      </c>
      <c r="H17" s="33" t="n">
        <f aca="false">J16</f>
        <v>694082756.087587</v>
      </c>
      <c r="I17" s="33" t="n">
        <f aca="false">H17*N17</f>
        <v>9270894.12500729</v>
      </c>
      <c r="J17" s="33" t="n">
        <f aca="false">H17+I17-F17</f>
        <v>685672433.23266</v>
      </c>
      <c r="K17" s="33" t="n">
        <f aca="false">D17-I17</f>
        <v>0</v>
      </c>
      <c r="L17" s="33" t="n">
        <f aca="false">G17-J17</f>
        <v>0</v>
      </c>
      <c r="M17" s="33" t="n">
        <f aca="false">F17</f>
        <v>17681216.9799342</v>
      </c>
      <c r="N17" s="65" t="n">
        <f aca="false">$C$7</f>
        <v>0.0133570443058773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45393</v>
      </c>
      <c r="C18" s="39" t="n">
        <v>685672433.23266</v>
      </c>
      <c r="D18" s="39" t="n">
        <v>9158557.0700073</v>
      </c>
      <c r="E18" s="39" t="n">
        <v>8522659.90992689</v>
      </c>
      <c r="F18" s="39" t="n">
        <v>17681216.9799342</v>
      </c>
      <c r="G18" s="39" t="n">
        <v>677149773.322733</v>
      </c>
      <c r="H18" s="33" t="n">
        <f aca="false">J17</f>
        <v>685672433.23266</v>
      </c>
      <c r="I18" s="33" t="n">
        <f aca="false">H18*N18</f>
        <v>9158557.0700073</v>
      </c>
      <c r="J18" s="33" t="n">
        <f aca="false">H18+I18-F18</f>
        <v>677149773.322733</v>
      </c>
      <c r="K18" s="33" t="n">
        <f aca="false">D18-I18</f>
        <v>0</v>
      </c>
      <c r="L18" s="33" t="n">
        <f aca="false">G18-J18</f>
        <v>0</v>
      </c>
      <c r="M18" s="33" t="n">
        <f aca="false">F18</f>
        <v>17681216.9799342</v>
      </c>
      <c r="N18" s="65" t="n">
        <f aca="false">$C$7</f>
        <v>0.0133570443058773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45423</v>
      </c>
      <c r="C19" s="39" t="n">
        <v>677149773.322733</v>
      </c>
      <c r="D19" s="39" t="n">
        <v>9044719.52398648</v>
      </c>
      <c r="E19" s="39" t="n">
        <v>8636497.45594776</v>
      </c>
      <c r="F19" s="39" t="n">
        <v>17681216.9799342</v>
      </c>
      <c r="G19" s="39" t="n">
        <v>668513275.866785</v>
      </c>
      <c r="H19" s="33" t="n">
        <f aca="false">J18</f>
        <v>677149773.322733</v>
      </c>
      <c r="I19" s="33" t="n">
        <f aca="false">H19*N19</f>
        <v>9044719.52398648</v>
      </c>
      <c r="J19" s="33" t="n">
        <f aca="false">H19+I19-F19</f>
        <v>668513275.866785</v>
      </c>
      <c r="K19" s="33" t="n">
        <f aca="false">D19-I19</f>
        <v>0</v>
      </c>
      <c r="L19" s="33" t="n">
        <f aca="false">G19-J19</f>
        <v>0</v>
      </c>
      <c r="M19" s="33" t="n">
        <f aca="false">F19</f>
        <v>17681216.9799342</v>
      </c>
      <c r="N19" s="65" t="n">
        <f aca="false">$C$7</f>
        <v>0.0133570443058773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45454</v>
      </c>
      <c r="C20" s="39" t="n">
        <v>668513275.866785</v>
      </c>
      <c r="D20" s="39" t="n">
        <v>8929361.44481979</v>
      </c>
      <c r="E20" s="39" t="n">
        <v>8751855.53511441</v>
      </c>
      <c r="F20" s="39" t="n">
        <v>17681216.9799342</v>
      </c>
      <c r="G20" s="39" t="n">
        <v>659761420.331671</v>
      </c>
      <c r="H20" s="33" t="n">
        <f aca="false">J19</f>
        <v>668513275.866785</v>
      </c>
      <c r="I20" s="33" t="n">
        <f aca="false">H20*N20</f>
        <v>8929361.44481979</v>
      </c>
      <c r="J20" s="33" t="n">
        <f aca="false">H20+I20-F20</f>
        <v>659761420.331671</v>
      </c>
      <c r="K20" s="33" t="n">
        <f aca="false">D20-I20</f>
        <v>0</v>
      </c>
      <c r="L20" s="33" t="n">
        <f aca="false">G20-J20</f>
        <v>0</v>
      </c>
      <c r="M20" s="33" t="n">
        <f aca="false">F20</f>
        <v>17681216.9799342</v>
      </c>
      <c r="N20" s="65" t="n">
        <f aca="false">$C$7</f>
        <v>0.0133570443058773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45484</v>
      </c>
      <c r="C21" s="39" t="n">
        <v>659761420.331671</v>
      </c>
      <c r="D21" s="39" t="n">
        <v>8812462.52267863</v>
      </c>
      <c r="E21" s="39" t="n">
        <v>8868754.4572556</v>
      </c>
      <c r="F21" s="39" t="n">
        <v>17681216.9799342</v>
      </c>
      <c r="G21" s="39" t="n">
        <v>650892665.874415</v>
      </c>
      <c r="H21" s="33" t="n">
        <f aca="false">J20</f>
        <v>659761420.331671</v>
      </c>
      <c r="I21" s="33" t="n">
        <f aca="false">H21*N21</f>
        <v>8812462.52267863</v>
      </c>
      <c r="J21" s="33" t="n">
        <f aca="false">H21+I21-F21</f>
        <v>650892665.874415</v>
      </c>
      <c r="K21" s="33" t="n">
        <f aca="false">D21-I21</f>
        <v>0</v>
      </c>
      <c r="L21" s="33" t="n">
        <f aca="false">G21-J21</f>
        <v>0</v>
      </c>
      <c r="M21" s="33" t="n">
        <f aca="false">F21</f>
        <v>17681216.9799342</v>
      </c>
      <c r="N21" s="65" t="n">
        <f aca="false">$C$7</f>
        <v>0.0133570443058773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45515</v>
      </c>
      <c r="C22" s="39" t="n">
        <v>650892665.874415</v>
      </c>
      <c r="D22" s="39" t="n">
        <v>8694002.17645512</v>
      </c>
      <c r="E22" s="39" t="n">
        <v>8987214.80347908</v>
      </c>
      <c r="F22" s="39" t="n">
        <v>17681216.9799342</v>
      </c>
      <c r="G22" s="39" t="n">
        <v>641905451.070936</v>
      </c>
      <c r="H22" s="33" t="n">
        <f aca="false">J21</f>
        <v>650892665.874415</v>
      </c>
      <c r="I22" s="33" t="n">
        <f aca="false">H22*N22</f>
        <v>8694002.17645512</v>
      </c>
      <c r="J22" s="33" t="n">
        <f aca="false">H22+I22-F22</f>
        <v>641905451.070936</v>
      </c>
      <c r="K22" s="33" t="n">
        <f aca="false">D22-I22</f>
        <v>0</v>
      </c>
      <c r="L22" s="33" t="n">
        <f aca="false">G22-J22</f>
        <v>0</v>
      </c>
      <c r="M22" s="33" t="n">
        <f aca="false">F22</f>
        <v>17681216.9799342</v>
      </c>
      <c r="N22" s="65" t="n">
        <f aca="false">$C$7</f>
        <v>0.0133570443058773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45546</v>
      </c>
      <c r="C23" s="39" t="n">
        <v>641905451.070936</v>
      </c>
      <c r="D23" s="39" t="n">
        <v>8573959.55013862</v>
      </c>
      <c r="E23" s="39" t="n">
        <v>9107257.42979562</v>
      </c>
      <c r="F23" s="39" t="n">
        <v>17681216.9799342</v>
      </c>
      <c r="G23" s="39" t="n">
        <v>632798193.64114</v>
      </c>
      <c r="H23" s="33" t="n">
        <f aca="false">J22</f>
        <v>641905451.070936</v>
      </c>
      <c r="I23" s="33" t="n">
        <f aca="false">H23*N23</f>
        <v>8573959.55013861</v>
      </c>
      <c r="J23" s="33" t="n">
        <f aca="false">H23+I23-F23</f>
        <v>632798193.64114</v>
      </c>
      <c r="K23" s="33" t="n">
        <f aca="false">D23-I23</f>
        <v>0</v>
      </c>
      <c r="L23" s="33" t="n">
        <f aca="false">G23-J23</f>
        <v>0</v>
      </c>
      <c r="M23" s="33" t="n">
        <f aca="false">F23</f>
        <v>17681216.9799342</v>
      </c>
      <c r="N23" s="65" t="n">
        <f aca="false">$C$7</f>
        <v>0.0133570443058773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45576</v>
      </c>
      <c r="C24" s="39" t="n">
        <v>632798193.64114</v>
      </c>
      <c r="D24" s="39" t="n">
        <v>8452313.50914381</v>
      </c>
      <c r="E24" s="39" t="n">
        <v>9228903.47079039</v>
      </c>
      <c r="F24" s="39" t="n">
        <v>17681216.9799342</v>
      </c>
      <c r="G24" s="39" t="n">
        <v>623569290.17035</v>
      </c>
      <c r="H24" s="33" t="n">
        <f aca="false">J23</f>
        <v>632798193.64114</v>
      </c>
      <c r="I24" s="33" t="n">
        <f aca="false">H24*N24</f>
        <v>8452313.5091438</v>
      </c>
      <c r="J24" s="33" t="n">
        <f aca="false">H24+I24-F24</f>
        <v>623569290.17035</v>
      </c>
      <c r="K24" s="33" t="n">
        <f aca="false">D24-I24</f>
        <v>0</v>
      </c>
      <c r="L24" s="33" t="n">
        <f aca="false">G24-J24</f>
        <v>0</v>
      </c>
      <c r="M24" s="33" t="n">
        <f aca="false">F24</f>
        <v>17681216.9799342</v>
      </c>
      <c r="N24" s="65" t="n">
        <f aca="false">$C$7</f>
        <v>0.0133570443058773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45607</v>
      </c>
      <c r="C25" s="39" t="n">
        <v>623569290.17035</v>
      </c>
      <c r="D25" s="39" t="n">
        <v>8329042.63658979</v>
      </c>
      <c r="E25" s="39" t="n">
        <v>9352174.34334445</v>
      </c>
      <c r="F25" s="39" t="n">
        <v>17681216.9799343</v>
      </c>
      <c r="G25" s="39" t="n">
        <v>614217115.827006</v>
      </c>
      <c r="H25" s="33" t="n">
        <f aca="false">J24</f>
        <v>623569290.17035</v>
      </c>
      <c r="I25" s="33" t="n">
        <f aca="false">H25*N25</f>
        <v>8329042.63658979</v>
      </c>
      <c r="J25" s="33" t="n">
        <f aca="false">H25+I25-F25</f>
        <v>614217115.827006</v>
      </c>
      <c r="K25" s="33" t="n">
        <f aca="false">D25-I25</f>
        <v>0</v>
      </c>
      <c r="L25" s="33" t="n">
        <f aca="false">G25-J25</f>
        <v>0</v>
      </c>
      <c r="M25" s="33" t="n">
        <f aca="false">F25</f>
        <v>17681216.9799343</v>
      </c>
      <c r="N25" s="65" t="n">
        <f aca="false">$C$7</f>
        <v>0.0133570443058773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45637</v>
      </c>
      <c r="C26" s="39" t="n">
        <v>614217115.827006</v>
      </c>
      <c r="D26" s="39" t="n">
        <v>8204125.22952945</v>
      </c>
      <c r="E26" s="39" t="n">
        <v>9477091.75040472</v>
      </c>
      <c r="F26" s="39" t="n">
        <v>17681216.9799342</v>
      </c>
      <c r="G26" s="39" t="n">
        <v>604740024.076601</v>
      </c>
      <c r="H26" s="33" t="n">
        <f aca="false">J25</f>
        <v>614217115.827006</v>
      </c>
      <c r="I26" s="33" t="n">
        <f aca="false">H26*N26</f>
        <v>8204125.22952945</v>
      </c>
      <c r="J26" s="33" t="n">
        <f aca="false">H26+I26-F26</f>
        <v>604740024.076601</v>
      </c>
      <c r="K26" s="33" t="n">
        <f aca="false">D26-I26</f>
        <v>0</v>
      </c>
      <c r="L26" s="33" t="n">
        <f aca="false">G26-J26</f>
        <v>0</v>
      </c>
      <c r="M26" s="33" t="n">
        <f aca="false">F26</f>
        <v>17681216.9799342</v>
      </c>
      <c r="N26" s="65" t="n">
        <f aca="false">$C$7</f>
        <v>0.0133570443058773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45668</v>
      </c>
      <c r="C27" s="39" t="n">
        <v>604740024.076601</v>
      </c>
      <c r="D27" s="39" t="n">
        <v>8077539.29512843</v>
      </c>
      <c r="E27" s="39" t="n">
        <v>9603677.68480575</v>
      </c>
      <c r="F27" s="39" t="n">
        <v>17681216.9799342</v>
      </c>
      <c r="G27" s="39" t="n">
        <v>595136346.391795</v>
      </c>
      <c r="H27" s="33" t="n">
        <f aca="false">J26</f>
        <v>604740024.076601</v>
      </c>
      <c r="I27" s="33" t="n">
        <f aca="false">H27*N27</f>
        <v>8077539.29512843</v>
      </c>
      <c r="J27" s="33" t="n">
        <f aca="false">H27+I27-F27</f>
        <v>595136346.391795</v>
      </c>
      <c r="K27" s="33" t="n">
        <f aca="false">D27-I27</f>
        <v>0</v>
      </c>
      <c r="L27" s="33" t="n">
        <f aca="false">G27-J27</f>
        <v>0</v>
      </c>
      <c r="M27" s="33" t="n">
        <f aca="false">F27</f>
        <v>17681216.9799342</v>
      </c>
      <c r="N27" s="65" t="n">
        <f aca="false">$C$7</f>
        <v>0.0133570443058773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45699</v>
      </c>
      <c r="C28" s="39" t="n">
        <v>595136346.391795</v>
      </c>
      <c r="D28" s="39" t="n">
        <v>7949262.54679312</v>
      </c>
      <c r="E28" s="39" t="n">
        <v>9731954.43314111</v>
      </c>
      <c r="F28" s="39" t="n">
        <v>17681216.9799342</v>
      </c>
      <c r="G28" s="39" t="n">
        <v>585404391.958654</v>
      </c>
      <c r="H28" s="33" t="n">
        <f aca="false">J27</f>
        <v>595136346.391795</v>
      </c>
      <c r="I28" s="33" t="n">
        <f aca="false">H28*N28</f>
        <v>7949262.54679312</v>
      </c>
      <c r="J28" s="33" t="n">
        <f aca="false">H28+I28-F28</f>
        <v>585404391.958654</v>
      </c>
      <c r="K28" s="33" t="n">
        <f aca="false">D28-I28</f>
        <v>0</v>
      </c>
      <c r="L28" s="33" t="n">
        <f aca="false">G28-J28</f>
        <v>0</v>
      </c>
      <c r="M28" s="33" t="n">
        <f aca="false">F28</f>
        <v>17681216.9799342</v>
      </c>
      <c r="N28" s="65" t="n">
        <f aca="false">$C$7</f>
        <v>0.0133570443058773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45727</v>
      </c>
      <c r="C29" s="39" t="n">
        <v>585404391.958654</v>
      </c>
      <c r="D29" s="39" t="n">
        <v>7819272.40024687</v>
      </c>
      <c r="E29" s="39" t="n">
        <v>9861944.57968736</v>
      </c>
      <c r="F29" s="39" t="n">
        <v>17681216.9799342</v>
      </c>
      <c r="G29" s="39" t="n">
        <v>575542447.378967</v>
      </c>
      <c r="H29" s="33" t="n">
        <f aca="false">J28</f>
        <v>585404391.958654</v>
      </c>
      <c r="I29" s="33" t="n">
        <f aca="false">H29*N29</f>
        <v>7819272.40024687</v>
      </c>
      <c r="J29" s="33" t="n">
        <f aca="false">H29+I29-F29</f>
        <v>575542447.378967</v>
      </c>
      <c r="K29" s="33" t="n">
        <f aca="false">D29-I29</f>
        <v>0</v>
      </c>
      <c r="L29" s="33" t="n">
        <f aca="false">G29-J29</f>
        <v>0</v>
      </c>
      <c r="M29" s="33" t="n">
        <f aca="false">F29</f>
        <v>17681216.9799342</v>
      </c>
      <c r="N29" s="65" t="n">
        <f aca="false">$C$7</f>
        <v>0.0133570443058773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45758</v>
      </c>
      <c r="C30" s="39" t="n">
        <v>575542447.378967</v>
      </c>
      <c r="D30" s="39" t="n">
        <v>7687545.96955388</v>
      </c>
      <c r="E30" s="39" t="n">
        <v>9993671.01038039</v>
      </c>
      <c r="F30" s="39" t="n">
        <v>17681216.9799343</v>
      </c>
      <c r="G30" s="39" t="n">
        <v>565548776.368586</v>
      </c>
      <c r="H30" s="33" t="n">
        <f aca="false">J29</f>
        <v>575542447.378967</v>
      </c>
      <c r="I30" s="33" t="n">
        <f aca="false">H30*N30</f>
        <v>7687545.96955388</v>
      </c>
      <c r="J30" s="33" t="n">
        <f aca="false">H30+I30-F30</f>
        <v>565548776.368586</v>
      </c>
      <c r="K30" s="33" t="n">
        <f aca="false">D30-I30</f>
        <v>0</v>
      </c>
      <c r="L30" s="33" t="n">
        <f aca="false">G30-J30</f>
        <v>0</v>
      </c>
      <c r="M30" s="33" t="n">
        <f aca="false">F30</f>
        <v>17681216.9799343</v>
      </c>
      <c r="N30" s="65" t="n">
        <f aca="false">$C$7</f>
        <v>0.0133570443058773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45788</v>
      </c>
      <c r="C31" s="39" t="n">
        <v>565548776.368586</v>
      </c>
      <c r="D31" s="39" t="n">
        <v>7554060.06308987</v>
      </c>
      <c r="E31" s="39" t="n">
        <v>10127156.9168444</v>
      </c>
      <c r="F31" s="39" t="n">
        <v>17681216.9799342</v>
      </c>
      <c r="G31" s="39" t="n">
        <v>555421619.451742</v>
      </c>
      <c r="H31" s="33" t="n">
        <f aca="false">J30</f>
        <v>565548776.368586</v>
      </c>
      <c r="I31" s="33" t="n">
        <f aca="false">H31*N31</f>
        <v>7554060.06308987</v>
      </c>
      <c r="J31" s="33" t="n">
        <f aca="false">H31+I31-F31</f>
        <v>555421619.451742</v>
      </c>
      <c r="K31" s="33" t="n">
        <f aca="false">D31-I31</f>
        <v>0</v>
      </c>
      <c r="L31" s="33" t="n">
        <f aca="false">G31-J31</f>
        <v>0</v>
      </c>
      <c r="M31" s="33" t="n">
        <f aca="false">F31</f>
        <v>17681216.9799342</v>
      </c>
      <c r="N31" s="65" t="n">
        <f aca="false">$C$7</f>
        <v>0.0133570443058773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45819</v>
      </c>
      <c r="C32" s="39" t="n">
        <v>555421619.451742</v>
      </c>
      <c r="D32" s="39" t="n">
        <v>7418791.17945901</v>
      </c>
      <c r="E32" s="39" t="n">
        <v>10262425.8004752</v>
      </c>
      <c r="F32" s="39" t="n">
        <v>17681216.9799343</v>
      </c>
      <c r="G32" s="39" t="n">
        <v>545159193.651267</v>
      </c>
      <c r="H32" s="33" t="n">
        <f aca="false">J31</f>
        <v>555421619.451742</v>
      </c>
      <c r="I32" s="33" t="n">
        <f aca="false">H32*N32</f>
        <v>7418791.17945901</v>
      </c>
      <c r="J32" s="33" t="n">
        <f aca="false">H32+I32-F32</f>
        <v>545159193.651267</v>
      </c>
      <c r="K32" s="33" t="n">
        <f aca="false">D32-I32</f>
        <v>0</v>
      </c>
      <c r="L32" s="33" t="n">
        <f aca="false">G32-J32</f>
        <v>0</v>
      </c>
      <c r="M32" s="33" t="n">
        <f aca="false">F32</f>
        <v>17681216.9799343</v>
      </c>
      <c r="N32" s="65" t="n">
        <f aca="false">$C$7</f>
        <v>0.0133570443058773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45849</v>
      </c>
      <c r="C33" s="39" t="n">
        <v>545159193.651267</v>
      </c>
      <c r="D33" s="39" t="n">
        <v>7281715.50335628</v>
      </c>
      <c r="E33" s="39" t="n">
        <v>10399501.4765778</v>
      </c>
      <c r="F33" s="39" t="n">
        <v>17681216.9799341</v>
      </c>
      <c r="G33" s="39" t="n">
        <v>534759692.174689</v>
      </c>
      <c r="H33" s="33" t="n">
        <f aca="false">J32</f>
        <v>545159193.651267</v>
      </c>
      <c r="I33" s="33" t="n">
        <f aca="false">H33*N33</f>
        <v>7281715.50335628</v>
      </c>
      <c r="J33" s="33" t="n">
        <f aca="false">H33+I33-F33</f>
        <v>534759692.174689</v>
      </c>
      <c r="K33" s="33" t="n">
        <f aca="false">D33-I33</f>
        <v>0</v>
      </c>
      <c r="L33" s="33" t="n">
        <f aca="false">G33-J33</f>
        <v>0</v>
      </c>
      <c r="M33" s="33" t="n">
        <f aca="false">F33</f>
        <v>17681216.9799341</v>
      </c>
      <c r="N33" s="65" t="n">
        <f aca="false">$C$7</f>
        <v>0.0133570443058773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45880</v>
      </c>
      <c r="C34" s="39" t="n">
        <v>534759692.174689</v>
      </c>
      <c r="D34" s="39" t="n">
        <v>7142808.9013746</v>
      </c>
      <c r="E34" s="39" t="n">
        <v>10538408.0785595</v>
      </c>
      <c r="F34" s="39" t="n">
        <v>17681216.9799341</v>
      </c>
      <c r="G34" s="39" t="n">
        <v>524221284.096129</v>
      </c>
      <c r="H34" s="33" t="n">
        <f aca="false">J33</f>
        <v>534759692.174689</v>
      </c>
      <c r="I34" s="33" t="n">
        <f aca="false">H34*N34</f>
        <v>7142808.9013746</v>
      </c>
      <c r="J34" s="33" t="n">
        <f aca="false">H34+I34-F34</f>
        <v>524221284.096129</v>
      </c>
      <c r="K34" s="33" t="n">
        <f aca="false">D34-I34</f>
        <v>0</v>
      </c>
      <c r="L34" s="33" t="n">
        <f aca="false">G34-J34</f>
        <v>0</v>
      </c>
      <c r="M34" s="33" t="n">
        <f aca="false">F34</f>
        <v>17681216.9799341</v>
      </c>
      <c r="N34" s="65" t="n">
        <f aca="false">$C$7</f>
        <v>0.0133570443058773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45911</v>
      </c>
      <c r="C35" s="39" t="n">
        <v>524221284.096129</v>
      </c>
      <c r="D35" s="39" t="n">
        <v>7002046.91775587</v>
      </c>
      <c r="E35" s="39" t="n">
        <v>10679170.0621783</v>
      </c>
      <c r="F35" s="39" t="n">
        <v>17681216.9799342</v>
      </c>
      <c r="G35" s="39" t="n">
        <v>513542114.033951</v>
      </c>
      <c r="H35" s="33" t="n">
        <f aca="false">J34</f>
        <v>524221284.096129</v>
      </c>
      <c r="I35" s="33" t="n">
        <f aca="false">H35*N35</f>
        <v>7002046.91775587</v>
      </c>
      <c r="J35" s="33" t="n">
        <f aca="false">H35+I35-F35</f>
        <v>513542114.033951</v>
      </c>
      <c r="K35" s="33" t="n">
        <f aca="false">D35-I35</f>
        <v>0</v>
      </c>
      <c r="L35" s="33" t="n">
        <f aca="false">G35-J35</f>
        <v>0</v>
      </c>
      <c r="M35" s="33" t="n">
        <f aca="false">F35</f>
        <v>17681216.9799342</v>
      </c>
      <c r="N35" s="65" t="n">
        <f aca="false">$C$7</f>
        <v>0.0133570443058773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45941</v>
      </c>
      <c r="C36" s="39" t="n">
        <v>513542114.033951</v>
      </c>
      <c r="D36" s="39" t="n">
        <v>6859404.77008535</v>
      </c>
      <c r="E36" s="39" t="n">
        <v>10821812.2098488</v>
      </c>
      <c r="F36" s="39" t="n">
        <v>17681216.9799342</v>
      </c>
      <c r="G36" s="39" t="n">
        <v>502720301.824102</v>
      </c>
      <c r="H36" s="33" t="n">
        <f aca="false">J35</f>
        <v>513542114.033951</v>
      </c>
      <c r="I36" s="33" t="n">
        <f aca="false">H36*N36</f>
        <v>6859404.77008535</v>
      </c>
      <c r="J36" s="33" t="n">
        <f aca="false">H36+I36-F36</f>
        <v>502720301.824102</v>
      </c>
      <c r="K36" s="33" t="n">
        <f aca="false">D36-I36</f>
        <v>0</v>
      </c>
      <c r="L36" s="33" t="n">
        <f aca="false">G36-J36</f>
        <v>0</v>
      </c>
      <c r="M36" s="33" t="n">
        <f aca="false">F36</f>
        <v>17681216.9799342</v>
      </c>
      <c r="N36" s="65" t="n">
        <f aca="false">$C$7</f>
        <v>0.0133570443058773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45972</v>
      </c>
      <c r="C37" s="39" t="n">
        <v>502720301.824102</v>
      </c>
      <c r="D37" s="39" t="n">
        <v>6714857.34492852</v>
      </c>
      <c r="E37" s="39" t="n">
        <v>10966359.6350057</v>
      </c>
      <c r="F37" s="39" t="n">
        <v>17681216.9799342</v>
      </c>
      <c r="G37" s="39" t="n">
        <v>491753942.189097</v>
      </c>
      <c r="H37" s="33" t="n">
        <f aca="false">J36</f>
        <v>502720301.824102</v>
      </c>
      <c r="I37" s="33" t="n">
        <f aca="false">H37*N37</f>
        <v>6714857.34492852</v>
      </c>
      <c r="J37" s="33" t="n">
        <f aca="false">H37+I37-F37</f>
        <v>491753942.189097</v>
      </c>
      <c r="K37" s="33" t="n">
        <f aca="false">D37-I37</f>
        <v>0</v>
      </c>
      <c r="L37" s="33" t="n">
        <f aca="false">G37-J37</f>
        <v>0</v>
      </c>
      <c r="M37" s="33" t="n">
        <f aca="false">F37</f>
        <v>17681216.9799342</v>
      </c>
      <c r="N37" s="65" t="n">
        <f aca="false">$C$7</f>
        <v>0.0133570443058773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46002</v>
      </c>
      <c r="C38" s="39" t="n">
        <v>491753942.189097</v>
      </c>
      <c r="D38" s="39" t="n">
        <v>6568379.19340956</v>
      </c>
      <c r="E38" s="39" t="n">
        <v>11112837.7865246</v>
      </c>
      <c r="F38" s="39" t="n">
        <v>17681216.9799342</v>
      </c>
      <c r="G38" s="39" t="n">
        <v>480641104.402572</v>
      </c>
      <c r="H38" s="33" t="n">
        <f aca="false">J37</f>
        <v>491753942.189097</v>
      </c>
      <c r="I38" s="33" t="n">
        <f aca="false">H38*N38</f>
        <v>6568379.19340956</v>
      </c>
      <c r="J38" s="33" t="n">
        <f aca="false">H38+I38-F38</f>
        <v>480641104.402572</v>
      </c>
      <c r="K38" s="33" t="n">
        <f aca="false">D38-I38</f>
        <v>0</v>
      </c>
      <c r="L38" s="33" t="n">
        <f aca="false">G38-J38</f>
        <v>0</v>
      </c>
      <c r="M38" s="33" t="n">
        <f aca="false">F38</f>
        <v>17681216.9799342</v>
      </c>
      <c r="N38" s="65" t="n">
        <f aca="false">$C$7</f>
        <v>0.0133570443058773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46033</v>
      </c>
      <c r="C39" s="39" t="n">
        <v>480641104.402572</v>
      </c>
      <c r="D39" s="39" t="n">
        <v>6419944.52673093</v>
      </c>
      <c r="E39" s="39" t="n">
        <v>11261272.4532032</v>
      </c>
      <c r="F39" s="39" t="n">
        <v>17681216.9799341</v>
      </c>
      <c r="G39" s="39" t="n">
        <v>469379831.949369</v>
      </c>
      <c r="H39" s="33" t="n">
        <f aca="false">J38</f>
        <v>480641104.402572</v>
      </c>
      <c r="I39" s="33" t="n">
        <f aca="false">H39*N39</f>
        <v>6419944.52673093</v>
      </c>
      <c r="J39" s="33" t="n">
        <f aca="false">H39+I39-F39</f>
        <v>469379831.949369</v>
      </c>
      <c r="K39" s="33" t="n">
        <f aca="false">D39-I39</f>
        <v>0</v>
      </c>
      <c r="L39" s="33" t="n">
        <f aca="false">G39-J39</f>
        <v>0</v>
      </c>
      <c r="M39" s="33" t="n">
        <f aca="false">F39</f>
        <v>17681216.9799341</v>
      </c>
      <c r="N39" s="65" t="n">
        <f aca="false">$C$7</f>
        <v>0.0133570443058773</v>
      </c>
      <c r="O39" s="48" t="n">
        <f aca="false">IF(AND(B39&gt;=DATE(2026,1,1),B39&lt;=Resumen!$C$5),1,0)</f>
        <v>1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46064</v>
      </c>
      <c r="C40" s="39" t="n">
        <v>469379831.949369</v>
      </c>
      <c r="D40" s="39" t="n">
        <v>6269527.21163294</v>
      </c>
      <c r="E40" s="39" t="n">
        <v>11411689.7683013</v>
      </c>
      <c r="F40" s="39" t="n">
        <v>17681216.9799342</v>
      </c>
      <c r="G40" s="39" t="n">
        <v>457968142.181067</v>
      </c>
      <c r="H40" s="33" t="n">
        <f aca="false">J39</f>
        <v>469379831.949369</v>
      </c>
      <c r="I40" s="33" t="n">
        <f aca="false">H40*N40</f>
        <v>6269527.21163294</v>
      </c>
      <c r="J40" s="33" t="n">
        <f aca="false">H40+I40-F40</f>
        <v>457968142.181067</v>
      </c>
      <c r="K40" s="33" t="n">
        <f aca="false">D40-I40</f>
        <v>0</v>
      </c>
      <c r="L40" s="33" t="n">
        <f aca="false">G40-J40</f>
        <v>0</v>
      </c>
      <c r="M40" s="33" t="n">
        <f aca="false">F40</f>
        <v>17681216.9799342</v>
      </c>
      <c r="N40" s="65" t="n">
        <f aca="false">$C$7</f>
        <v>0.0133570443058773</v>
      </c>
      <c r="O40" s="48" t="n">
        <f aca="false">IF(AND(B40&gt;=DATE(2026,1,1),B40&lt;=Resumen!$C$5),1,0)</f>
        <v>1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46092</v>
      </c>
      <c r="C41" s="39" t="n">
        <v>457968142.181067</v>
      </c>
      <c r="D41" s="39" t="n">
        <v>6117100.76579281</v>
      </c>
      <c r="E41" s="39" t="n">
        <v>11564116.2141414</v>
      </c>
      <c r="F41" s="39" t="n">
        <v>17681216.9799342</v>
      </c>
      <c r="G41" s="39" t="n">
        <v>446404025.966926</v>
      </c>
      <c r="H41" s="33" t="n">
        <f aca="false">J40</f>
        <v>457968142.181067</v>
      </c>
      <c r="I41" s="33" t="n">
        <f aca="false">H41*N41</f>
        <v>6117100.76579281</v>
      </c>
      <c r="J41" s="33" t="n">
        <f aca="false">H41+I41-F41</f>
        <v>446404025.966926</v>
      </c>
      <c r="K41" s="33" t="n">
        <f aca="false">D41-I41</f>
        <v>0</v>
      </c>
      <c r="L41" s="33" t="n">
        <f aca="false">G41-J41</f>
        <v>0</v>
      </c>
      <c r="M41" s="33" t="n">
        <f aca="false">F41</f>
        <v>17681216.9799342</v>
      </c>
      <c r="N41" s="65" t="n">
        <f aca="false">$C$7</f>
        <v>0.0133570443058773</v>
      </c>
      <c r="O41" s="48" t="n">
        <f aca="false">IF(AND(B41&gt;=DATE(2026,1,1),B41&lt;=Resumen!$C$5),1,0)</f>
        <v>1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46123</v>
      </c>
      <c r="C42" s="39" t="n">
        <v>446404025.966926</v>
      </c>
      <c r="D42" s="39" t="n">
        <v>5962638.35316221</v>
      </c>
      <c r="E42" s="39" t="n">
        <v>11718578.6267719</v>
      </c>
      <c r="F42" s="39" t="n">
        <v>17681216.9799341</v>
      </c>
      <c r="G42" s="39" t="n">
        <v>434685447.340154</v>
      </c>
      <c r="H42" s="33" t="n">
        <f aca="false">J41</f>
        <v>446404025.966926</v>
      </c>
      <c r="I42" s="33" t="n">
        <f aca="false">H42*N42</f>
        <v>5962638.35316221</v>
      </c>
      <c r="J42" s="33" t="n">
        <f aca="false">H42+I42-F42</f>
        <v>434685447.340154</v>
      </c>
      <c r="K42" s="33" t="n">
        <f aca="false">D42-I42</f>
        <v>0</v>
      </c>
      <c r="L42" s="33" t="n">
        <f aca="false">G42-J42</f>
        <v>0</v>
      </c>
      <c r="M42" s="33" t="n">
        <f aca="false">F42</f>
        <v>17681216.9799341</v>
      </c>
      <c r="N42" s="65" t="n">
        <f aca="false">$C$7</f>
        <v>0.0133570443058773</v>
      </c>
      <c r="O42" s="48" t="n">
        <f aca="false">IF(AND(B42&gt;=DATE(2026,1,1),B42&lt;=Resumen!$C$5),1,0)</f>
        <v>1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46153</v>
      </c>
      <c r="C43" s="39" t="n">
        <v>434685447.340154</v>
      </c>
      <c r="D43" s="39" t="n">
        <v>5806112.77924251</v>
      </c>
      <c r="E43" s="39" t="n">
        <v>11875104.2006916</v>
      </c>
      <c r="F43" s="39" t="n">
        <v>17681216.9799342</v>
      </c>
      <c r="G43" s="39" t="n">
        <v>422810343.139463</v>
      </c>
      <c r="H43" s="33" t="n">
        <f aca="false">J42</f>
        <v>434685447.340154</v>
      </c>
      <c r="I43" s="33" t="n">
        <f aca="false">H43*N43</f>
        <v>5806112.77924251</v>
      </c>
      <c r="J43" s="33" t="n">
        <f aca="false">H43+I43-F43</f>
        <v>422810343.139463</v>
      </c>
      <c r="K43" s="33" t="n">
        <f aca="false">D43-I43</f>
        <v>0</v>
      </c>
      <c r="L43" s="33" t="n">
        <f aca="false">G43-J43</f>
        <v>0</v>
      </c>
      <c r="M43" s="33" t="n">
        <f aca="false">F43</f>
        <v>17681216.9799342</v>
      </c>
      <c r="N43" s="65" t="n">
        <f aca="false">$C$7</f>
        <v>0.0133570443058773</v>
      </c>
      <c r="O43" s="48" t="n">
        <f aca="false">IF(AND(B43&gt;=DATE(2026,1,1),B43&lt;=Resumen!$C$5),1,0)</f>
        <v>1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46184</v>
      </c>
      <c r="C44" s="39" t="n">
        <v>422810343.139463</v>
      </c>
      <c r="D44" s="39" t="n">
        <v>5647496.48629697</v>
      </c>
      <c r="E44" s="39" t="n">
        <v>12033720.4936372</v>
      </c>
      <c r="F44" s="39" t="n">
        <v>17681216.9799342</v>
      </c>
      <c r="G44" s="39" t="n">
        <v>410776622.645825</v>
      </c>
      <c r="H44" s="33" t="n">
        <f aca="false">J43</f>
        <v>422810343.139463</v>
      </c>
      <c r="I44" s="33" t="n">
        <f aca="false">H44*N44</f>
        <v>5647496.48629696</v>
      </c>
      <c r="J44" s="33" t="n">
        <f aca="false">H44+I44-F44</f>
        <v>410776622.645825</v>
      </c>
      <c r="K44" s="33" t="n">
        <f aca="false">D44-I44</f>
        <v>0</v>
      </c>
      <c r="L44" s="33" t="n">
        <f aca="false">G44-J44</f>
        <v>0</v>
      </c>
      <c r="M44" s="33" t="n">
        <f aca="false">F44</f>
        <v>17681216.9799342</v>
      </c>
      <c r="N44" s="65" t="n">
        <f aca="false">$C$7</f>
        <v>0.0133570443058773</v>
      </c>
      <c r="O44" s="48" t="n">
        <f aca="false">IF(AND(B44&gt;=DATE(2026,1,1),B44&lt;=Resumen!$C$5),1,0)</f>
        <v>1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46214</v>
      </c>
      <c r="C45" s="39" t="n">
        <v>410776622.645825</v>
      </c>
      <c r="D45" s="39" t="n">
        <v>5486761.54849891</v>
      </c>
      <c r="E45" s="39" t="n">
        <v>12194455.4314352</v>
      </c>
      <c r="F45" s="39" t="n">
        <v>17681216.9799341</v>
      </c>
      <c r="G45" s="39" t="n">
        <v>398582167.21439</v>
      </c>
      <c r="H45" s="33" t="n">
        <f aca="false">J44</f>
        <v>410776622.645825</v>
      </c>
      <c r="I45" s="33" t="n">
        <f aca="false">H45*N45</f>
        <v>5486761.54849891</v>
      </c>
      <c r="J45" s="33" t="n">
        <f aca="false">H45+I45-F45</f>
        <v>398582167.21439</v>
      </c>
      <c r="K45" s="33" t="n">
        <f aca="false">D45-I45</f>
        <v>0</v>
      </c>
      <c r="L45" s="33" t="n">
        <f aca="false">G45-J45</f>
        <v>0</v>
      </c>
      <c r="M45" s="33" t="n">
        <f aca="false">F45</f>
        <v>17681216.9799341</v>
      </c>
      <c r="N45" s="65" t="n">
        <f aca="false">$C$7</f>
        <v>0.0133570443058773</v>
      </c>
      <c r="O45" s="48" t="n">
        <f aca="false">IF(AND(B45&gt;=DATE(2026,1,1),B45&lt;=Resumen!$C$5),1,0)</f>
        <v>1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46245</v>
      </c>
      <c r="C46" s="39" t="n">
        <v>398582167.21439</v>
      </c>
      <c r="D46" s="39" t="n">
        <v>5323879.66701518</v>
      </c>
      <c r="E46" s="39" t="n">
        <v>12357337.312919</v>
      </c>
      <c r="F46" s="39" t="n">
        <v>17681216.9799341</v>
      </c>
      <c r="G46" s="39" t="n">
        <v>386224829.901471</v>
      </c>
      <c r="H46" s="33" t="n">
        <f aca="false">J45</f>
        <v>398582167.21439</v>
      </c>
      <c r="I46" s="33" t="n">
        <f aca="false">H46*N46</f>
        <v>5323879.66701518</v>
      </c>
      <c r="J46" s="33" t="n">
        <f aca="false">H46+I46-F46</f>
        <v>386224829.901471</v>
      </c>
      <c r="K46" s="33" t="n">
        <f aca="false">D46-I46</f>
        <v>0</v>
      </c>
      <c r="L46" s="33" t="n">
        <f aca="false">G46-J46</f>
        <v>0</v>
      </c>
      <c r="M46" s="33" t="n">
        <f aca="false">F46</f>
        <v>17681216.9799341</v>
      </c>
      <c r="N46" s="65" t="n">
        <f aca="false">$C$7</f>
        <v>0.0133570443058773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1</v>
      </c>
    </row>
    <row r="47" customFormat="false" ht="15" hidden="false" customHeight="false" outlineLevel="0" collapsed="false">
      <c r="A47" s="38" t="n">
        <v>35</v>
      </c>
      <c r="B47" s="27" t="n">
        <v>46276</v>
      </c>
      <c r="C47" s="39" t="n">
        <v>386224829.901471</v>
      </c>
      <c r="D47" s="39" t="n">
        <v>5158822.16502386</v>
      </c>
      <c r="E47" s="39" t="n">
        <v>12522394.8149103</v>
      </c>
      <c r="F47" s="39" t="n">
        <v>17681216.9799342</v>
      </c>
      <c r="G47" s="39" t="n">
        <v>373702435.086561</v>
      </c>
      <c r="H47" s="33" t="n">
        <f aca="false">J46</f>
        <v>386224829.901471</v>
      </c>
      <c r="I47" s="33" t="n">
        <f aca="false">H47*N47</f>
        <v>5158822.16502385</v>
      </c>
      <c r="J47" s="33" t="n">
        <f aca="false">H47+I47-F47</f>
        <v>373702435.086561</v>
      </c>
      <c r="K47" s="33" t="n">
        <f aca="false">D47-I47</f>
        <v>0</v>
      </c>
      <c r="L47" s="33" t="n">
        <f aca="false">G47-J47</f>
        <v>0</v>
      </c>
      <c r="M47" s="33" t="n">
        <f aca="false">F47</f>
        <v>17681216.9799342</v>
      </c>
      <c r="N47" s="65" t="n">
        <f aca="false">$C$7</f>
        <v>0.0133570443058773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1</v>
      </c>
    </row>
    <row r="48" customFormat="false" ht="15" hidden="false" customHeight="false" outlineLevel="0" collapsed="false">
      <c r="A48" s="38" t="n">
        <v>36</v>
      </c>
      <c r="B48" s="27" t="n">
        <v>46306</v>
      </c>
      <c r="C48" s="39" t="n">
        <v>373702435.086561</v>
      </c>
      <c r="D48" s="39" t="n">
        <v>4991559.98266541</v>
      </c>
      <c r="E48" s="39" t="n">
        <v>12689656.9972687</v>
      </c>
      <c r="F48" s="39" t="n">
        <v>17681216.9799342</v>
      </c>
      <c r="G48" s="39" t="n">
        <v>361012778.089292</v>
      </c>
      <c r="H48" s="33" t="n">
        <f aca="false">J47</f>
        <v>373702435.086561</v>
      </c>
      <c r="I48" s="33" t="n">
        <f aca="false">H48*N48</f>
        <v>4991559.98266541</v>
      </c>
      <c r="J48" s="33" t="n">
        <f aca="false">H48+I48-F48</f>
        <v>361012778.089292</v>
      </c>
      <c r="K48" s="33" t="n">
        <f aca="false">D48-I48</f>
        <v>0</v>
      </c>
      <c r="L48" s="33" t="n">
        <f aca="false">G48-J48</f>
        <v>0</v>
      </c>
      <c r="M48" s="33" t="n">
        <f aca="false">F48</f>
        <v>17681216.9799342</v>
      </c>
      <c r="N48" s="65" t="n">
        <f aca="false">$C$7</f>
        <v>0.0133570443058773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1</v>
      </c>
    </row>
    <row r="49" customFormat="false" ht="15" hidden="false" customHeight="false" outlineLevel="0" collapsed="false">
      <c r="A49" s="38" t="n">
        <v>37</v>
      </c>
      <c r="B49" s="27" t="n">
        <v>46337</v>
      </c>
      <c r="C49" s="39" t="n">
        <v>361012778.089292</v>
      </c>
      <c r="D49" s="39" t="n">
        <v>4822063.67192651</v>
      </c>
      <c r="E49" s="39" t="n">
        <v>12859153.3080077</v>
      </c>
      <c r="F49" s="39" t="n">
        <v>17681216.9799342</v>
      </c>
      <c r="G49" s="39" t="n">
        <v>348153624.781284</v>
      </c>
      <c r="H49" s="33" t="n">
        <f aca="false">J48</f>
        <v>361012778.089292</v>
      </c>
      <c r="I49" s="33" t="n">
        <f aca="false">H49*N49</f>
        <v>4822063.67192651</v>
      </c>
      <c r="J49" s="33" t="n">
        <f aca="false">H49+I49-F49</f>
        <v>348153624.781284</v>
      </c>
      <c r="K49" s="33" t="n">
        <f aca="false">D49-I49</f>
        <v>0</v>
      </c>
      <c r="L49" s="33" t="n">
        <f aca="false">G49-J49</f>
        <v>0</v>
      </c>
      <c r="M49" s="33" t="n">
        <f aca="false">F49</f>
        <v>17681216.9799342</v>
      </c>
      <c r="N49" s="65" t="n">
        <f aca="false">$C$7</f>
        <v>0.0133570443058773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1</v>
      </c>
    </row>
    <row r="50" customFormat="false" ht="15" hidden="false" customHeight="false" outlineLevel="0" collapsed="false">
      <c r="A50" s="38" t="n">
        <v>38</v>
      </c>
      <c r="B50" s="27" t="n">
        <v>46367</v>
      </c>
      <c r="C50" s="39" t="n">
        <v>348153624.781284</v>
      </c>
      <c r="D50" s="39" t="n">
        <v>4650303.39145538</v>
      </c>
      <c r="E50" s="39" t="n">
        <v>13030913.5884788</v>
      </c>
      <c r="F50" s="39" t="n">
        <v>17681216.9799342</v>
      </c>
      <c r="G50" s="39" t="n">
        <v>335122711.192806</v>
      </c>
      <c r="H50" s="33" t="n">
        <f aca="false">J49</f>
        <v>348153624.781284</v>
      </c>
      <c r="I50" s="33" t="n">
        <f aca="false">H50*N50</f>
        <v>4650303.39145538</v>
      </c>
      <c r="J50" s="33" t="n">
        <f aca="false">H50+I50-F50</f>
        <v>335122711.192806</v>
      </c>
      <c r="K50" s="33" t="n">
        <f aca="false">D50-I50</f>
        <v>0</v>
      </c>
      <c r="L50" s="33" t="n">
        <f aca="false">G50-J50</f>
        <v>0</v>
      </c>
      <c r="M50" s="33" t="n">
        <f aca="false">F50</f>
        <v>17681216.9799342</v>
      </c>
      <c r="N50" s="65" t="n">
        <f aca="false">$C$7</f>
        <v>0.0133570443058773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46398</v>
      </c>
      <c r="C51" s="39" t="n">
        <v>335122711.192806</v>
      </c>
      <c r="D51" s="39" t="n">
        <v>4476248.90130801</v>
      </c>
      <c r="E51" s="39" t="n">
        <v>13204968.0786262</v>
      </c>
      <c r="F51" s="39" t="n">
        <v>17681216.9799342</v>
      </c>
      <c r="G51" s="39" t="n">
        <v>321917743.114179</v>
      </c>
      <c r="H51" s="33" t="n">
        <f aca="false">J50</f>
        <v>335122711.192806</v>
      </c>
      <c r="I51" s="33" t="n">
        <f aca="false">H51*N51</f>
        <v>4476248.90130801</v>
      </c>
      <c r="J51" s="33" t="n">
        <f aca="false">H51+I51-F51</f>
        <v>321917743.114179</v>
      </c>
      <c r="K51" s="33" t="n">
        <f aca="false">D51-I51</f>
        <v>0</v>
      </c>
      <c r="L51" s="33" t="n">
        <f aca="false">G51-J51</f>
        <v>0</v>
      </c>
      <c r="M51" s="33" t="n">
        <f aca="false">F51</f>
        <v>17681216.9799342</v>
      </c>
      <c r="N51" s="65" t="n">
        <f aca="false">$C$7</f>
        <v>0.0133570443058773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46429</v>
      </c>
      <c r="C52" s="39" t="n">
        <v>321917743.114179</v>
      </c>
      <c r="D52" s="39" t="n">
        <v>4299869.55762411</v>
      </c>
      <c r="E52" s="39" t="n">
        <v>13381347.4223101</v>
      </c>
      <c r="F52" s="39" t="n">
        <v>17681216.9799342</v>
      </c>
      <c r="G52" s="39" t="n">
        <v>308536395.691869</v>
      </c>
      <c r="H52" s="33" t="n">
        <f aca="false">J51</f>
        <v>321917743.114179</v>
      </c>
      <c r="I52" s="33" t="n">
        <f aca="false">H52*N52</f>
        <v>4299869.55762411</v>
      </c>
      <c r="J52" s="33" t="n">
        <f aca="false">H52+I52-F52</f>
        <v>308536395.691869</v>
      </c>
      <c r="K52" s="33" t="n">
        <f aca="false">D52-I52</f>
        <v>0</v>
      </c>
      <c r="L52" s="33" t="n">
        <f aca="false">G52-J52</f>
        <v>0</v>
      </c>
      <c r="M52" s="33" t="n">
        <f aca="false">F52</f>
        <v>17681216.9799342</v>
      </c>
      <c r="N52" s="65" t="n">
        <f aca="false">$C$7</f>
        <v>0.0133570443058773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46457</v>
      </c>
      <c r="C53" s="39" t="n">
        <v>308536395.691869</v>
      </c>
      <c r="D53" s="39" t="n">
        <v>4121134.30723198</v>
      </c>
      <c r="E53" s="39" t="n">
        <v>13560082.6727022</v>
      </c>
      <c r="F53" s="39" t="n">
        <v>17681216.9799342</v>
      </c>
      <c r="G53" s="39" t="n">
        <v>294976313.019167</v>
      </c>
      <c r="H53" s="33" t="n">
        <f aca="false">J52</f>
        <v>308536395.691869</v>
      </c>
      <c r="I53" s="33" t="n">
        <f aca="false">H53*N53</f>
        <v>4121134.30723197</v>
      </c>
      <c r="J53" s="33" t="n">
        <f aca="false">H53+I53-F53</f>
        <v>294976313.019167</v>
      </c>
      <c r="K53" s="33" t="n">
        <f aca="false">D53-I53</f>
        <v>0</v>
      </c>
      <c r="L53" s="33" t="n">
        <f aca="false">G53-J53</f>
        <v>0</v>
      </c>
      <c r="M53" s="33" t="n">
        <f aca="false">F53</f>
        <v>17681216.9799342</v>
      </c>
      <c r="N53" s="65" t="n">
        <f aca="false">$C$7</f>
        <v>0.0133570443058773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1</v>
      </c>
    </row>
    <row r="54" customFormat="false" ht="15" hidden="false" customHeight="false" outlineLevel="0" collapsed="false">
      <c r="A54" s="38" t="n">
        <v>42</v>
      </c>
      <c r="B54" s="27" t="n">
        <v>46488</v>
      </c>
      <c r="C54" s="39" t="n">
        <v>294976313.019167</v>
      </c>
      <c r="D54" s="39" t="n">
        <v>3940011.68218133</v>
      </c>
      <c r="E54" s="39" t="n">
        <v>13741205.2977528</v>
      </c>
      <c r="F54" s="39" t="n">
        <v>17681216.9799341</v>
      </c>
      <c r="G54" s="39" t="n">
        <v>281235107.721414</v>
      </c>
      <c r="H54" s="33" t="n">
        <f aca="false">J53</f>
        <v>294976313.019167</v>
      </c>
      <c r="I54" s="33" t="n">
        <f aca="false">H54*N54</f>
        <v>3940011.68218133</v>
      </c>
      <c r="J54" s="33" t="n">
        <f aca="false">H54+I54-F54</f>
        <v>281235107.721414</v>
      </c>
      <c r="K54" s="33" t="n">
        <f aca="false">D54-I54</f>
        <v>0</v>
      </c>
      <c r="L54" s="33" t="n">
        <f aca="false">G54-J54</f>
        <v>0</v>
      </c>
      <c r="M54" s="33" t="n">
        <f aca="false">F54</f>
        <v>17681216.9799341</v>
      </c>
      <c r="N54" s="65" t="n">
        <f aca="false">$C$7</f>
        <v>0.0133570443058773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1</v>
      </c>
    </row>
    <row r="55" customFormat="false" ht="15" hidden="false" customHeight="false" outlineLevel="0" collapsed="false">
      <c r="A55" s="38" t="n">
        <v>43</v>
      </c>
      <c r="B55" s="27" t="n">
        <v>46518</v>
      </c>
      <c r="C55" s="39" t="n">
        <v>281235107.721414</v>
      </c>
      <c r="D55" s="39" t="n">
        <v>3756469.79420309</v>
      </c>
      <c r="E55" s="39" t="n">
        <v>13924747.1857311</v>
      </c>
      <c r="F55" s="39" t="n">
        <v>17681216.9799342</v>
      </c>
      <c r="G55" s="39" t="n">
        <v>267310360.535683</v>
      </c>
      <c r="H55" s="33" t="n">
        <f aca="false">J54</f>
        <v>281235107.721414</v>
      </c>
      <c r="I55" s="33" t="n">
        <f aca="false">H55*N55</f>
        <v>3756469.79420309</v>
      </c>
      <c r="J55" s="33" t="n">
        <f aca="false">H55+I55-F55</f>
        <v>267310360.535683</v>
      </c>
      <c r="K55" s="33" t="n">
        <f aca="false">D55-I55</f>
        <v>0</v>
      </c>
      <c r="L55" s="33" t="n">
        <f aca="false">G55-J55</f>
        <v>0</v>
      </c>
      <c r="M55" s="33" t="n">
        <f aca="false">F55</f>
        <v>17681216.9799342</v>
      </c>
      <c r="N55" s="65" t="n">
        <f aca="false">$C$7</f>
        <v>0.0133570443058773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1</v>
      </c>
    </row>
    <row r="56" customFormat="false" ht="15" hidden="false" customHeight="false" outlineLevel="0" collapsed="false">
      <c r="A56" s="38" t="n">
        <v>44</v>
      </c>
      <c r="B56" s="27" t="n">
        <v>46549</v>
      </c>
      <c r="C56" s="39" t="n">
        <v>267310360.535683</v>
      </c>
      <c r="D56" s="39" t="n">
        <v>3570476.32909514</v>
      </c>
      <c r="E56" s="39" t="n">
        <v>14110740.650839</v>
      </c>
      <c r="F56" s="39" t="n">
        <v>17681216.9799342</v>
      </c>
      <c r="G56" s="39" t="n">
        <v>253199619.884844</v>
      </c>
      <c r="H56" s="33" t="n">
        <f aca="false">J55</f>
        <v>267310360.535683</v>
      </c>
      <c r="I56" s="33" t="n">
        <f aca="false">H56*N56</f>
        <v>3570476.32909514</v>
      </c>
      <c r="J56" s="33" t="n">
        <f aca="false">H56+I56-F56</f>
        <v>253199619.884844</v>
      </c>
      <c r="K56" s="33" t="n">
        <f aca="false">D56-I56</f>
        <v>0</v>
      </c>
      <c r="L56" s="33" t="n">
        <f aca="false">G56-J56</f>
        <v>0</v>
      </c>
      <c r="M56" s="33" t="n">
        <f aca="false">F56</f>
        <v>17681216.9799342</v>
      </c>
      <c r="N56" s="65" t="n">
        <f aca="false">$C$7</f>
        <v>0.0133570443058773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1</v>
      </c>
    </row>
    <row r="57" customFormat="false" ht="15" hidden="false" customHeight="false" outlineLevel="0" collapsed="false">
      <c r="A57" s="38" t="n">
        <v>45</v>
      </c>
      <c r="B57" s="27" t="n">
        <v>46579</v>
      </c>
      <c r="C57" s="39" t="n">
        <v>253199619.884844</v>
      </c>
      <c r="D57" s="39" t="n">
        <v>3381998.54103315</v>
      </c>
      <c r="E57" s="39" t="n">
        <v>14299218.438901</v>
      </c>
      <c r="F57" s="39" t="n">
        <v>17681216.9799342</v>
      </c>
      <c r="G57" s="39" t="n">
        <v>238900401.445943</v>
      </c>
      <c r="H57" s="33" t="n">
        <f aca="false">J56</f>
        <v>253199619.884844</v>
      </c>
      <c r="I57" s="33" t="n">
        <f aca="false">H57*N57</f>
        <v>3381998.54103314</v>
      </c>
      <c r="J57" s="33" t="n">
        <f aca="false">H57+I57-F57</f>
        <v>238900401.445943</v>
      </c>
      <c r="K57" s="33" t="n">
        <f aca="false">D57-I57</f>
        <v>0</v>
      </c>
      <c r="L57" s="33" t="n">
        <f aca="false">G57-J57</f>
        <v>0</v>
      </c>
      <c r="M57" s="33" t="n">
        <f aca="false">F57</f>
        <v>17681216.9799342</v>
      </c>
      <c r="N57" s="65" t="n">
        <f aca="false">$C$7</f>
        <v>0.0133570443058773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1</v>
      </c>
    </row>
    <row r="58" customFormat="false" ht="15" hidden="false" customHeight="false" outlineLevel="0" collapsed="false">
      <c r="A58" s="38" t="n">
        <v>46</v>
      </c>
      <c r="B58" s="27" t="n">
        <v>46610</v>
      </c>
      <c r="C58" s="39" t="n">
        <v>238900401.445943</v>
      </c>
      <c r="D58" s="39" t="n">
        <v>3191003.24680533</v>
      </c>
      <c r="E58" s="39" t="n">
        <v>14490213.7331288</v>
      </c>
      <c r="F58" s="39" t="n">
        <v>17681216.9799341</v>
      </c>
      <c r="G58" s="39" t="n">
        <v>224410187.712815</v>
      </c>
      <c r="H58" s="33" t="n">
        <f aca="false">J57</f>
        <v>238900401.445943</v>
      </c>
      <c r="I58" s="33" t="n">
        <f aca="false">H58*N58</f>
        <v>3191003.24680533</v>
      </c>
      <c r="J58" s="33" t="n">
        <f aca="false">H58+I58-F58</f>
        <v>224410187.712814</v>
      </c>
      <c r="K58" s="33" t="n">
        <f aca="false">D58-I58</f>
        <v>0</v>
      </c>
      <c r="L58" s="33" t="n">
        <f aca="false">G58-J58</f>
        <v>0</v>
      </c>
      <c r="M58" s="33" t="n">
        <f aca="false">F58</f>
        <v>17681216.9799341</v>
      </c>
      <c r="N58" s="65" t="n">
        <f aca="false">$C$7</f>
        <v>0.0133570443058773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46641</v>
      </c>
      <c r="C59" s="39" t="n">
        <v>224410187.712815</v>
      </c>
      <c r="D59" s="39" t="n">
        <v>2997456.81997029</v>
      </c>
      <c r="E59" s="39" t="n">
        <v>14683760.1599639</v>
      </c>
      <c r="F59" s="39" t="n">
        <v>17681216.9799342</v>
      </c>
      <c r="G59" s="39" t="n">
        <v>209726427.552851</v>
      </c>
      <c r="H59" s="33" t="n">
        <f aca="false">J58</f>
        <v>224410187.712814</v>
      </c>
      <c r="I59" s="33" t="n">
        <f aca="false">H59*N59</f>
        <v>2997456.81997029</v>
      </c>
      <c r="J59" s="33" t="n">
        <f aca="false">H59+I59-F59</f>
        <v>209726427.552851</v>
      </c>
      <c r="K59" s="33" t="n">
        <f aca="false">D59-I59</f>
        <v>0</v>
      </c>
      <c r="L59" s="33" t="n">
        <f aca="false">G59-J59</f>
        <v>0</v>
      </c>
      <c r="M59" s="33" t="n">
        <f aca="false">F59</f>
        <v>17681216.9799342</v>
      </c>
      <c r="N59" s="65" t="n">
        <f aca="false">$C$7</f>
        <v>0.0133570443058773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46671</v>
      </c>
      <c r="C60" s="39" t="n">
        <v>209726427.552851</v>
      </c>
      <c r="D60" s="39" t="n">
        <v>2801325.18493678</v>
      </c>
      <c r="E60" s="39" t="n">
        <v>14879891.7949974</v>
      </c>
      <c r="F60" s="39" t="n">
        <v>17681216.9799341</v>
      </c>
      <c r="G60" s="39" t="n">
        <v>194846535.757853</v>
      </c>
      <c r="H60" s="33" t="n">
        <f aca="false">J59</f>
        <v>209726427.552851</v>
      </c>
      <c r="I60" s="33" t="n">
        <f aca="false">H60*N60</f>
        <v>2801325.18493678</v>
      </c>
      <c r="J60" s="33" t="n">
        <f aca="false">H60+I60-F60</f>
        <v>194846535.757853</v>
      </c>
      <c r="K60" s="33" t="n">
        <f aca="false">D60-I60</f>
        <v>0</v>
      </c>
      <c r="L60" s="33" t="n">
        <f aca="false">G60-J60</f>
        <v>0</v>
      </c>
      <c r="M60" s="33" t="n">
        <f aca="false">F60</f>
        <v>17681216.9799341</v>
      </c>
      <c r="N60" s="65" t="n">
        <f aca="false">$C$7</f>
        <v>0.0133570443058773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46702</v>
      </c>
      <c r="C61" s="39" t="n">
        <v>194846535.757853</v>
      </c>
      <c r="D61" s="39" t="n">
        <v>2602573.81096434</v>
      </c>
      <c r="E61" s="39" t="n">
        <v>15078643.1689698</v>
      </c>
      <c r="F61" s="39" t="n">
        <v>17681216.9799342</v>
      </c>
      <c r="G61" s="39" t="n">
        <v>179767892.588883</v>
      </c>
      <c r="H61" s="33" t="n">
        <f aca="false">J60</f>
        <v>194846535.757853</v>
      </c>
      <c r="I61" s="33" t="n">
        <f aca="false">H61*N61</f>
        <v>2602573.81096434</v>
      </c>
      <c r="J61" s="33" t="n">
        <f aca="false">H61+I61-F61</f>
        <v>179767892.588883</v>
      </c>
      <c r="K61" s="33" t="n">
        <f aca="false">D61-I61</f>
        <v>0</v>
      </c>
      <c r="L61" s="33" t="n">
        <f aca="false">G61-J61</f>
        <v>0</v>
      </c>
      <c r="M61" s="33" t="n">
        <f aca="false">F61</f>
        <v>17681216.9799342</v>
      </c>
      <c r="N61" s="65" t="n">
        <f aca="false">$C$7</f>
        <v>0.0133570443058773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46732</v>
      </c>
      <c r="C62" s="39" t="n">
        <v>179767892.588883</v>
      </c>
      <c r="D62" s="39" t="n">
        <v>2401167.7060839</v>
      </c>
      <c r="E62" s="39" t="n">
        <v>15280049.2738503</v>
      </c>
      <c r="F62" s="39" t="n">
        <v>17681216.9799342</v>
      </c>
      <c r="G62" s="39" t="n">
        <v>164487843.315033</v>
      </c>
      <c r="H62" s="33" t="n">
        <f aca="false">J61</f>
        <v>179767892.588883</v>
      </c>
      <c r="I62" s="33" t="n">
        <f aca="false">H62*N62</f>
        <v>2401167.7060839</v>
      </c>
      <c r="J62" s="33" t="n">
        <f aca="false">H62+I62-F62</f>
        <v>164487843.315033</v>
      </c>
      <c r="K62" s="33" t="n">
        <f aca="false">D62-I62</f>
        <v>0</v>
      </c>
      <c r="L62" s="33" t="n">
        <f aca="false">G62-J62</f>
        <v>0</v>
      </c>
      <c r="M62" s="33" t="n">
        <f aca="false">F62</f>
        <v>17681216.9799342</v>
      </c>
      <c r="N62" s="65" t="n">
        <f aca="false">$C$7</f>
        <v>0.0133570443058773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46763</v>
      </c>
      <c r="C63" s="39" t="n">
        <v>164487843.315033</v>
      </c>
      <c r="D63" s="39" t="n">
        <v>2197071.41093709</v>
      </c>
      <c r="E63" s="39" t="n">
        <v>15484145.5689971</v>
      </c>
      <c r="F63" s="39" t="n">
        <v>17681216.9799342</v>
      </c>
      <c r="G63" s="39" t="n">
        <v>149003697.746036</v>
      </c>
      <c r="H63" s="33" t="n">
        <f aca="false">J62</f>
        <v>164487843.315033</v>
      </c>
      <c r="I63" s="33" t="n">
        <f aca="false">H63*N63</f>
        <v>2197071.41093709</v>
      </c>
      <c r="J63" s="33" t="n">
        <f aca="false">H63+I63-F63</f>
        <v>149003697.746036</v>
      </c>
      <c r="K63" s="33" t="n">
        <f aca="false">D63-I63</f>
        <v>0</v>
      </c>
      <c r="L63" s="33" t="n">
        <f aca="false">G63-J63</f>
        <v>0</v>
      </c>
      <c r="M63" s="33" t="n">
        <f aca="false">F63</f>
        <v>17681216.9799342</v>
      </c>
      <c r="N63" s="65" t="n">
        <f aca="false">$C$7</f>
        <v>0.0133570443058773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46794</v>
      </c>
      <c r="C64" s="39" t="n">
        <v>149003697.746036</v>
      </c>
      <c r="D64" s="39" t="n">
        <v>1990248.99253335</v>
      </c>
      <c r="E64" s="39" t="n">
        <v>15690967.9874008</v>
      </c>
      <c r="F64" s="39" t="n">
        <v>17681216.9799342</v>
      </c>
      <c r="G64" s="39" t="n">
        <v>133312729.758635</v>
      </c>
      <c r="H64" s="33" t="n">
        <f aca="false">J63</f>
        <v>149003697.746036</v>
      </c>
      <c r="I64" s="33" t="n">
        <f aca="false">H64*N64</f>
        <v>1990248.99253335</v>
      </c>
      <c r="J64" s="33" t="n">
        <f aca="false">H64+I64-F64</f>
        <v>133312729.758635</v>
      </c>
      <c r="K64" s="33" t="n">
        <f aca="false">D64-I64</f>
        <v>0</v>
      </c>
      <c r="L64" s="33" t="n">
        <f aca="false">G64-J64</f>
        <v>0</v>
      </c>
      <c r="M64" s="33" t="n">
        <f aca="false">F64</f>
        <v>17681216.9799342</v>
      </c>
      <c r="N64" s="65" t="n">
        <f aca="false">$C$7</f>
        <v>0.0133570443058773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46823</v>
      </c>
      <c r="C65" s="39" t="n">
        <v>133312729.758635</v>
      </c>
      <c r="D65" s="39" t="n">
        <v>1780664.03792353</v>
      </c>
      <c r="E65" s="39" t="n">
        <v>15900552.9420106</v>
      </c>
      <c r="F65" s="39" t="n">
        <v>17681216.9799341</v>
      </c>
      <c r="G65" s="39" t="n">
        <v>117412176.816625</v>
      </c>
      <c r="H65" s="33" t="n">
        <f aca="false">J64</f>
        <v>133312729.758635</v>
      </c>
      <c r="I65" s="33" t="n">
        <f aca="false">H65*N65</f>
        <v>1780664.03792353</v>
      </c>
      <c r="J65" s="33" t="n">
        <f aca="false">H65+I65-F65</f>
        <v>117412176.816625</v>
      </c>
      <c r="K65" s="33" t="n">
        <f aca="false">D65-I65</f>
        <v>0</v>
      </c>
      <c r="L65" s="33" t="n">
        <f aca="false">G65-J65</f>
        <v>0</v>
      </c>
      <c r="M65" s="33" t="n">
        <f aca="false">F65</f>
        <v>17681216.9799341</v>
      </c>
      <c r="N65" s="65" t="n">
        <f aca="false">$C$7</f>
        <v>0.0133570443058773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46854</v>
      </c>
      <c r="C66" s="39" t="n">
        <v>117412176.816625</v>
      </c>
      <c r="D66" s="39" t="n">
        <v>1568279.64778915</v>
      </c>
      <c r="E66" s="39" t="n">
        <v>16112937.332145</v>
      </c>
      <c r="F66" s="39" t="n">
        <v>17681216.9799342</v>
      </c>
      <c r="G66" s="39" t="n">
        <v>101299239.48448</v>
      </c>
      <c r="H66" s="33" t="n">
        <f aca="false">J65</f>
        <v>117412176.816625</v>
      </c>
      <c r="I66" s="33" t="n">
        <f aca="false">H66*N66</f>
        <v>1568279.64778915</v>
      </c>
      <c r="J66" s="33" t="n">
        <f aca="false">H66+I66-F66</f>
        <v>101299239.48448</v>
      </c>
      <c r="K66" s="33" t="n">
        <f aca="false">D66-I66</f>
        <v>0</v>
      </c>
      <c r="L66" s="33" t="n">
        <f aca="false">G66-J66</f>
        <v>0</v>
      </c>
      <c r="M66" s="33" t="n">
        <f aca="false">F66</f>
        <v>17681216.9799342</v>
      </c>
      <c r="N66" s="65" t="n">
        <f aca="false">$C$7</f>
        <v>0.0133570443058773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46884</v>
      </c>
      <c r="C67" s="39" t="n">
        <v>101299239.48448</v>
      </c>
      <c r="D67" s="39" t="n">
        <v>1353058.42994587</v>
      </c>
      <c r="E67" s="39" t="n">
        <v>16328158.5499883</v>
      </c>
      <c r="F67" s="39" t="n">
        <v>17681216.9799342</v>
      </c>
      <c r="G67" s="39" t="n">
        <v>84971080.9344914</v>
      </c>
      <c r="H67" s="33" t="n">
        <f aca="false">J66</f>
        <v>101299239.48448</v>
      </c>
      <c r="I67" s="33" t="n">
        <f aca="false">H67*N67</f>
        <v>1353058.42994587</v>
      </c>
      <c r="J67" s="33" t="n">
        <f aca="false">H67+I67-F67</f>
        <v>84971080.9344914</v>
      </c>
      <c r="K67" s="33" t="n">
        <f aca="false">D67-I67</f>
        <v>0</v>
      </c>
      <c r="L67" s="33" t="n">
        <f aca="false">G67-J67</f>
        <v>0</v>
      </c>
      <c r="M67" s="33" t="n">
        <f aca="false">F67</f>
        <v>17681216.9799342</v>
      </c>
      <c r="N67" s="65" t="n">
        <f aca="false">$C$7</f>
        <v>0.0133570443058773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46915</v>
      </c>
      <c r="C68" s="39" t="n">
        <v>84971080.9344914</v>
      </c>
      <c r="D68" s="39" t="n">
        <v>1134962.49276028</v>
      </c>
      <c r="E68" s="39" t="n">
        <v>16546254.4871739</v>
      </c>
      <c r="F68" s="39" t="n">
        <v>17681216.9799342</v>
      </c>
      <c r="G68" s="39" t="n">
        <v>68424826.4473175</v>
      </c>
      <c r="H68" s="33" t="n">
        <f aca="false">J67</f>
        <v>84971080.9344914</v>
      </c>
      <c r="I68" s="33" t="n">
        <f aca="false">H68*N68</f>
        <v>1134962.49276028</v>
      </c>
      <c r="J68" s="33" t="n">
        <f aca="false">H68+I68-F68</f>
        <v>68424826.4473175</v>
      </c>
      <c r="K68" s="33" t="n">
        <f aca="false">D68-I68</f>
        <v>0</v>
      </c>
      <c r="L68" s="33" t="n">
        <f aca="false">G68-J68</f>
        <v>0</v>
      </c>
      <c r="M68" s="33" t="n">
        <f aca="false">F68</f>
        <v>17681216.9799342</v>
      </c>
      <c r="N68" s="65" t="n">
        <f aca="false">$C$7</f>
        <v>0.0133570443058773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46945</v>
      </c>
      <c r="C69" s="39" t="n">
        <v>68424826.4473175</v>
      </c>
      <c r="D69" s="39" t="n">
        <v>913953.438478782</v>
      </c>
      <c r="E69" s="39" t="n">
        <v>16767263.5414554</v>
      </c>
      <c r="F69" s="39" t="n">
        <v>17681216.9799342</v>
      </c>
      <c r="G69" s="39" t="n">
        <v>51657562.9058621</v>
      </c>
      <c r="H69" s="33" t="n">
        <f aca="false">J68</f>
        <v>68424826.4473175</v>
      </c>
      <c r="I69" s="33" t="n">
        <f aca="false">H69*N69</f>
        <v>913953.438478782</v>
      </c>
      <c r="J69" s="33" t="n">
        <f aca="false">H69+I69-F69</f>
        <v>51657562.9058621</v>
      </c>
      <c r="K69" s="33" t="n">
        <f aca="false">D69-I69</f>
        <v>0</v>
      </c>
      <c r="L69" s="33" t="n">
        <f aca="false">G69-J69</f>
        <v>0</v>
      </c>
      <c r="M69" s="33" t="n">
        <f aca="false">F69</f>
        <v>17681216.9799342</v>
      </c>
      <c r="N69" s="65" t="n">
        <f aca="false">$C$7</f>
        <v>0.0133570443058773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46976</v>
      </c>
      <c r="C70" s="39" t="n">
        <v>51657562.9058621</v>
      </c>
      <c r="D70" s="39" t="n">
        <v>689992.356467242</v>
      </c>
      <c r="E70" s="39" t="n">
        <v>16991224.6234669</v>
      </c>
      <c r="F70" s="39" t="n">
        <v>17681216.9799342</v>
      </c>
      <c r="G70" s="39" t="n">
        <v>34666338.2823952</v>
      </c>
      <c r="H70" s="33" t="n">
        <f aca="false">J69</f>
        <v>51657562.9058621</v>
      </c>
      <c r="I70" s="33" t="n">
        <f aca="false">H70*N70</f>
        <v>689992.356467242</v>
      </c>
      <c r="J70" s="33" t="n">
        <f aca="false">H70+I70-F70</f>
        <v>34666338.2823952</v>
      </c>
      <c r="K70" s="33" t="n">
        <f aca="false">D70-I70</f>
        <v>0</v>
      </c>
      <c r="L70" s="33" t="n">
        <f aca="false">G70-J70</f>
        <v>0</v>
      </c>
      <c r="M70" s="33" t="n">
        <f aca="false">F70</f>
        <v>17681216.9799342</v>
      </c>
      <c r="N70" s="65" t="n">
        <f aca="false">$C$7</f>
        <v>0.0133570443058773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47007</v>
      </c>
      <c r="C71" s="39" t="n">
        <v>34666338.2823952</v>
      </c>
      <c r="D71" s="39" t="n">
        <v>463039.816360482</v>
      </c>
      <c r="E71" s="39" t="n">
        <v>17218177.1635737</v>
      </c>
      <c r="F71" s="39" t="n">
        <v>17681216.9799342</v>
      </c>
      <c r="G71" s="39" t="n">
        <v>17448161.1188215</v>
      </c>
      <c r="H71" s="33" t="n">
        <f aca="false">J70</f>
        <v>34666338.2823952</v>
      </c>
      <c r="I71" s="33" t="n">
        <f aca="false">H71*N71</f>
        <v>463039.816360481</v>
      </c>
      <c r="J71" s="33" t="n">
        <f aca="false">H71+I71-F71</f>
        <v>17448161.1188215</v>
      </c>
      <c r="K71" s="33" t="n">
        <f aca="false">D71-I71</f>
        <v>0</v>
      </c>
      <c r="L71" s="33" t="n">
        <f aca="false">G71-J71</f>
        <v>0</v>
      </c>
      <c r="M71" s="33" t="n">
        <f aca="false">F71</f>
        <v>17681216.9799342</v>
      </c>
      <c r="N71" s="65" t="n">
        <f aca="false">$C$7</f>
        <v>0.0133570443058773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47037</v>
      </c>
      <c r="C72" s="39" t="n">
        <v>17448161.1188215</v>
      </c>
      <c r="D72" s="39" t="n">
        <v>233055.861120184</v>
      </c>
      <c r="E72" s="39" t="n">
        <v>17448161.118814</v>
      </c>
      <c r="F72" s="39" t="n">
        <v>17681216.9799342</v>
      </c>
      <c r="G72" s="39" t="n">
        <v>7.54371285438538E-006</v>
      </c>
      <c r="H72" s="33" t="n">
        <f aca="false">J71</f>
        <v>17448161.1188215</v>
      </c>
      <c r="I72" s="33" t="n">
        <f aca="false">H72*N72</f>
        <v>233055.861120184</v>
      </c>
      <c r="J72" s="33" t="n">
        <f aca="false">H72+I72-F72</f>
        <v>7.5511634349823E-006</v>
      </c>
      <c r="K72" s="33" t="n">
        <f aca="false">D72-I72</f>
        <v>0</v>
      </c>
      <c r="L72" s="33" t="n">
        <f aca="false">G72-J72</f>
        <v>-7.45058059692383E-009</v>
      </c>
      <c r="M72" s="33" t="n">
        <f aca="false">F72</f>
        <v>17681216.9799342</v>
      </c>
      <c r="N72" s="65" t="n">
        <f aca="false">$C$7</f>
        <v>0.0133570443058773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1779</v>
      </c>
    </row>
    <row r="2" customFormat="false" ht="15" hidden="false" customHeight="false" outlineLevel="0" collapsed="false">
      <c r="A2" s="24" t="s">
        <v>1780</v>
      </c>
    </row>
    <row r="3" customFormat="false" ht="15" hidden="false" customHeight="false" outlineLevel="0" collapsed="false">
      <c r="A3" s="34" t="s">
        <v>1748</v>
      </c>
      <c r="C3" s="38" t="s">
        <v>1781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560790000</v>
      </c>
      <c r="F4" s="26" t="s">
        <v>1752</v>
      </c>
      <c r="I4" s="57" t="n">
        <f aca="false">_xlfn.MAXIFS($B$12:$B$72,$B$12:$B$72,"&lt;="&amp;Resumen!$C$5)</f>
        <v>46208</v>
      </c>
    </row>
    <row r="5" customFormat="false" ht="15" hidden="false" customHeight="false" outlineLevel="0" collapsed="false">
      <c r="A5" s="34" t="s">
        <v>1753</v>
      </c>
      <c r="C5" s="27" t="n">
        <v>45265</v>
      </c>
      <c r="F5" s="26" t="s">
        <v>1754</v>
      </c>
      <c r="I5" s="58" t="n">
        <f aca="false">SUMIFS($G$12:$G$72,$B$12:$B$72,I4)</f>
        <v>323529688.533944</v>
      </c>
    </row>
    <row r="6" customFormat="false" ht="15" hidden="false" customHeight="false" outlineLevel="0" collapsed="false">
      <c r="A6" s="34" t="s">
        <v>1755</v>
      </c>
      <c r="C6" s="38" t="s">
        <v>1756</v>
      </c>
      <c r="F6" s="26" t="s">
        <v>1757</v>
      </c>
      <c r="I6" s="33" t="n">
        <f aca="false">SUMIFS($J$12:$J$72,$B$12:$B$72,I4)</f>
        <v>323529688.533944</v>
      </c>
    </row>
    <row r="7" customFormat="false" ht="15" hidden="false" customHeight="false" outlineLevel="0" collapsed="false">
      <c r="A7" s="34" t="s">
        <v>1758</v>
      </c>
      <c r="C7" s="64" t="n">
        <v>0.0126667070727526</v>
      </c>
      <c r="F7" s="26" t="s">
        <v>1759</v>
      </c>
      <c r="I7" s="33" t="n">
        <f aca="false">SUMIFS($D$12:$D$72,$O$12:$O$72,1)</f>
        <v>31864025.6207989</v>
      </c>
    </row>
    <row r="8" customFormat="false" ht="15" hidden="false" customHeight="false" outlineLevel="0" collapsed="false">
      <c r="A8" s="34" t="s">
        <v>1760</v>
      </c>
      <c r="C8" s="65" t="n">
        <f aca="false">IFERROR(IRR($M$12:$M$72),"N/A")</f>
        <v>0.0126667070726281</v>
      </c>
      <c r="F8" s="26" t="s">
        <v>1761</v>
      </c>
      <c r="I8" s="33" t="n">
        <f aca="false">SUMIFS($E$12:$E$72,$P$12:$P$72,1)</f>
        <v>119739145.958007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0.163049999998279</v>
      </c>
      <c r="F9" s="26" t="s">
        <v>1763</v>
      </c>
      <c r="I9" s="33" t="n">
        <f aca="false">SUMPRODUCT(MAX(ABS($L$12:$L$72)))</f>
        <v>9.49949026107788E-008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45265</v>
      </c>
      <c r="C12" s="39"/>
      <c r="D12" s="39" t="n">
        <v>0</v>
      </c>
      <c r="E12" s="39" t="n">
        <v>0</v>
      </c>
      <c r="F12" s="39" t="n">
        <v>0</v>
      </c>
      <c r="G12" s="39" t="n">
        <v>560790000</v>
      </c>
      <c r="H12" s="33" t="n">
        <f aca="false">G12</f>
        <v>560790000</v>
      </c>
      <c r="I12" s="33" t="n">
        <v>0</v>
      </c>
      <c r="J12" s="33" t="n">
        <f aca="false">H12</f>
        <v>560790000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-560790000</v>
      </c>
      <c r="N12" s="65" t="n">
        <f aca="false">$C$7</f>
        <v>0.0126667070727526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45296</v>
      </c>
      <c r="C13" s="39" t="n">
        <v>560790000</v>
      </c>
      <c r="D13" s="39" t="n">
        <v>7103362.65932895</v>
      </c>
      <c r="E13" s="39" t="n">
        <v>6296751.93253326</v>
      </c>
      <c r="F13" s="39" t="n">
        <v>13400114.5918622</v>
      </c>
      <c r="G13" s="39" t="n">
        <v>554493248.067467</v>
      </c>
      <c r="H13" s="33" t="n">
        <f aca="false">J12</f>
        <v>560790000</v>
      </c>
      <c r="I13" s="33" t="n">
        <f aca="false">H13*N13</f>
        <v>7103362.65932895</v>
      </c>
      <c r="J13" s="33" t="n">
        <f aca="false">H13+I13-F13</f>
        <v>554493248.067467</v>
      </c>
      <c r="K13" s="33" t="n">
        <f aca="false">D13-I13</f>
        <v>0</v>
      </c>
      <c r="L13" s="33" t="n">
        <f aca="false">G13-J13</f>
        <v>0</v>
      </c>
      <c r="M13" s="33" t="n">
        <f aca="false">F13</f>
        <v>13400114.5918622</v>
      </c>
      <c r="N13" s="65" t="n">
        <f aca="false">$C$7</f>
        <v>0.0126667070727526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45327</v>
      </c>
      <c r="C14" s="39" t="n">
        <v>554493248.067467</v>
      </c>
      <c r="D14" s="39" t="n">
        <v>7023603.54708976</v>
      </c>
      <c r="E14" s="39" t="n">
        <v>6376511.04477239</v>
      </c>
      <c r="F14" s="39" t="n">
        <v>13400114.5918622</v>
      </c>
      <c r="G14" s="39" t="n">
        <v>548116737.022694</v>
      </c>
      <c r="H14" s="33" t="n">
        <f aca="false">J13</f>
        <v>554493248.067467</v>
      </c>
      <c r="I14" s="33" t="n">
        <f aca="false">H14*N14</f>
        <v>7023603.54708977</v>
      </c>
      <c r="J14" s="33" t="n">
        <f aca="false">H14+I14-F14</f>
        <v>548116737.022694</v>
      </c>
      <c r="K14" s="33" t="n">
        <f aca="false">D14-I14</f>
        <v>0</v>
      </c>
      <c r="L14" s="33" t="n">
        <f aca="false">G14-J14</f>
        <v>0</v>
      </c>
      <c r="M14" s="33" t="n">
        <f aca="false">F14</f>
        <v>13400114.5918622</v>
      </c>
      <c r="N14" s="65" t="n">
        <f aca="false">$C$7</f>
        <v>0.0126667070727526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45356</v>
      </c>
      <c r="C15" s="39" t="n">
        <v>548116737.022694</v>
      </c>
      <c r="D15" s="39" t="n">
        <v>6942834.14953946</v>
      </c>
      <c r="E15" s="39" t="n">
        <v>6457280.44232273</v>
      </c>
      <c r="F15" s="39" t="n">
        <v>13400114.5918622</v>
      </c>
      <c r="G15" s="39" t="n">
        <v>541659456.580372</v>
      </c>
      <c r="H15" s="33" t="n">
        <f aca="false">J14</f>
        <v>548116737.022694</v>
      </c>
      <c r="I15" s="33" t="n">
        <f aca="false">H15*N15</f>
        <v>6942834.14953946</v>
      </c>
      <c r="J15" s="33" t="n">
        <f aca="false">H15+I15-F15</f>
        <v>541659456.580372</v>
      </c>
      <c r="K15" s="33" t="n">
        <f aca="false">D15-I15</f>
        <v>0</v>
      </c>
      <c r="L15" s="33" t="n">
        <f aca="false">G15-J15</f>
        <v>0</v>
      </c>
      <c r="M15" s="33" t="n">
        <f aca="false">F15</f>
        <v>13400114.5918622</v>
      </c>
      <c r="N15" s="65" t="n">
        <f aca="false">$C$7</f>
        <v>0.0126667070727526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45387</v>
      </c>
      <c r="C16" s="39" t="n">
        <v>541659456.580372</v>
      </c>
      <c r="D16" s="39" t="n">
        <v>6861041.66968994</v>
      </c>
      <c r="E16" s="39" t="n">
        <v>6539072.92217225</v>
      </c>
      <c r="F16" s="39" t="n">
        <v>13400114.5918622</v>
      </c>
      <c r="G16" s="39" t="n">
        <v>535120383.658199</v>
      </c>
      <c r="H16" s="33" t="n">
        <f aca="false">J15</f>
        <v>541659456.580372</v>
      </c>
      <c r="I16" s="33" t="n">
        <f aca="false">H16*N16</f>
        <v>6861041.66968995</v>
      </c>
      <c r="J16" s="33" t="n">
        <f aca="false">H16+I16-F16</f>
        <v>535120383.658199</v>
      </c>
      <c r="K16" s="33" t="n">
        <f aca="false">D16-I16</f>
        <v>0</v>
      </c>
      <c r="L16" s="33" t="n">
        <f aca="false">G16-J16</f>
        <v>0</v>
      </c>
      <c r="M16" s="33" t="n">
        <f aca="false">F16</f>
        <v>13400114.5918622</v>
      </c>
      <c r="N16" s="65" t="n">
        <f aca="false">$C$7</f>
        <v>0.0126667070727526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45417</v>
      </c>
      <c r="C17" s="39" t="n">
        <v>535120383.658199</v>
      </c>
      <c r="D17" s="39" t="n">
        <v>6778213.14845742</v>
      </c>
      <c r="E17" s="39" t="n">
        <v>6621901.44340468</v>
      </c>
      <c r="F17" s="39" t="n">
        <v>13400114.5918621</v>
      </c>
      <c r="G17" s="39" t="n">
        <v>528498482.214795</v>
      </c>
      <c r="H17" s="33" t="n">
        <f aca="false">J16</f>
        <v>535120383.658199</v>
      </c>
      <c r="I17" s="33" t="n">
        <f aca="false">H17*N17</f>
        <v>6778213.14845742</v>
      </c>
      <c r="J17" s="33" t="n">
        <f aca="false">H17+I17-F17</f>
        <v>528498482.214795</v>
      </c>
      <c r="K17" s="33" t="n">
        <f aca="false">D17-I17</f>
        <v>0</v>
      </c>
      <c r="L17" s="33" t="n">
        <f aca="false">G17-J17</f>
        <v>0</v>
      </c>
      <c r="M17" s="33" t="n">
        <f aca="false">F17</f>
        <v>13400114.5918621</v>
      </c>
      <c r="N17" s="65" t="n">
        <f aca="false">$C$7</f>
        <v>0.0126667070727526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45448</v>
      </c>
      <c r="C18" s="39" t="n">
        <v>528498482.214795</v>
      </c>
      <c r="D18" s="39" t="n">
        <v>6694335.46260917</v>
      </c>
      <c r="E18" s="39" t="n">
        <v>6705779.12925297</v>
      </c>
      <c r="F18" s="39" t="n">
        <v>13400114.5918621</v>
      </c>
      <c r="G18" s="39" t="n">
        <v>521792703.085542</v>
      </c>
      <c r="H18" s="33" t="n">
        <f aca="false">J17</f>
        <v>528498482.214795</v>
      </c>
      <c r="I18" s="33" t="n">
        <f aca="false">H18*N18</f>
        <v>6694335.46260918</v>
      </c>
      <c r="J18" s="33" t="n">
        <f aca="false">H18+I18-F18</f>
        <v>521792703.085542</v>
      </c>
      <c r="K18" s="33" t="n">
        <f aca="false">D18-I18</f>
        <v>0</v>
      </c>
      <c r="L18" s="33" t="n">
        <f aca="false">G18-J18</f>
        <v>0</v>
      </c>
      <c r="M18" s="33" t="n">
        <f aca="false">F18</f>
        <v>13400114.5918621</v>
      </c>
      <c r="N18" s="65" t="n">
        <f aca="false">$C$7</f>
        <v>0.0126667070727526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45478</v>
      </c>
      <c r="C19" s="39" t="n">
        <v>521792703.085542</v>
      </c>
      <c r="D19" s="39" t="n">
        <v>6609395.32268435</v>
      </c>
      <c r="E19" s="39" t="n">
        <v>6790719.26917779</v>
      </c>
      <c r="F19" s="39" t="n">
        <v>13400114.5918621</v>
      </c>
      <c r="G19" s="39" t="n">
        <v>515001983.816364</v>
      </c>
      <c r="H19" s="33" t="n">
        <f aca="false">J18</f>
        <v>521792703.085542</v>
      </c>
      <c r="I19" s="33" t="n">
        <f aca="false">H19*N19</f>
        <v>6609395.32268435</v>
      </c>
      <c r="J19" s="33" t="n">
        <f aca="false">H19+I19-F19</f>
        <v>515001983.816364</v>
      </c>
      <c r="K19" s="33" t="n">
        <f aca="false">D19-I19</f>
        <v>0</v>
      </c>
      <c r="L19" s="33" t="n">
        <f aca="false">G19-J19</f>
        <v>0</v>
      </c>
      <c r="M19" s="33" t="n">
        <f aca="false">F19</f>
        <v>13400114.5918621</v>
      </c>
      <c r="N19" s="65" t="n">
        <f aca="false">$C$7</f>
        <v>0.0126667070727526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45509</v>
      </c>
      <c r="C20" s="39" t="n">
        <v>515001983.816364</v>
      </c>
      <c r="D20" s="39" t="n">
        <v>6523379.27088838</v>
      </c>
      <c r="E20" s="39" t="n">
        <v>6876735.32097375</v>
      </c>
      <c r="F20" s="39" t="n">
        <v>13400114.5918621</v>
      </c>
      <c r="G20" s="39" t="n">
        <v>508125248.49539</v>
      </c>
      <c r="H20" s="33" t="n">
        <f aca="false">J19</f>
        <v>515001983.816364</v>
      </c>
      <c r="I20" s="33" t="n">
        <f aca="false">H20*N20</f>
        <v>6523379.27088838</v>
      </c>
      <c r="J20" s="33" t="n">
        <f aca="false">H20+I20-F20</f>
        <v>508125248.49539</v>
      </c>
      <c r="K20" s="33" t="n">
        <f aca="false">D20-I20</f>
        <v>0</v>
      </c>
      <c r="L20" s="33" t="n">
        <f aca="false">G20-J20</f>
        <v>0</v>
      </c>
      <c r="M20" s="33" t="n">
        <f aca="false">F20</f>
        <v>13400114.5918621</v>
      </c>
      <c r="N20" s="65" t="n">
        <f aca="false">$C$7</f>
        <v>0.0126667070727526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45540</v>
      </c>
      <c r="C21" s="39" t="n">
        <v>508125248.49539</v>
      </c>
      <c r="D21" s="39" t="n">
        <v>6436273.67896075</v>
      </c>
      <c r="E21" s="39" t="n">
        <v>6963840.9129014</v>
      </c>
      <c r="F21" s="39" t="n">
        <v>13400114.5918622</v>
      </c>
      <c r="G21" s="39" t="n">
        <v>501161407.582489</v>
      </c>
      <c r="H21" s="33" t="n">
        <f aca="false">J20</f>
        <v>508125248.49539</v>
      </c>
      <c r="I21" s="33" t="n">
        <f aca="false">H21*N21</f>
        <v>6436273.67896075</v>
      </c>
      <c r="J21" s="33" t="n">
        <f aca="false">H21+I21-F21</f>
        <v>501161407.582489</v>
      </c>
      <c r="K21" s="33" t="n">
        <f aca="false">D21-I21</f>
        <v>0</v>
      </c>
      <c r="L21" s="33" t="n">
        <f aca="false">G21-J21</f>
        <v>0</v>
      </c>
      <c r="M21" s="33" t="n">
        <f aca="false">F21</f>
        <v>13400114.5918622</v>
      </c>
      <c r="N21" s="65" t="n">
        <f aca="false">$C$7</f>
        <v>0.0126667070727526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45570</v>
      </c>
      <c r="C22" s="39" t="n">
        <v>501161407.582489</v>
      </c>
      <c r="D22" s="39" t="n">
        <v>6348064.74601578</v>
      </c>
      <c r="E22" s="39" t="n">
        <v>7052049.84584636</v>
      </c>
      <c r="F22" s="39" t="n">
        <v>13400114.5918621</v>
      </c>
      <c r="G22" s="39" t="n">
        <v>494109357.736642</v>
      </c>
      <c r="H22" s="33" t="n">
        <f aca="false">J21</f>
        <v>501161407.582489</v>
      </c>
      <c r="I22" s="33" t="n">
        <f aca="false">H22*N22</f>
        <v>6348064.74601578</v>
      </c>
      <c r="J22" s="33" t="n">
        <f aca="false">H22+I22-F22</f>
        <v>494109357.736642</v>
      </c>
      <c r="K22" s="33" t="n">
        <f aca="false">D22-I22</f>
        <v>0</v>
      </c>
      <c r="L22" s="33" t="n">
        <f aca="false">G22-J22</f>
        <v>0</v>
      </c>
      <c r="M22" s="33" t="n">
        <f aca="false">F22</f>
        <v>13400114.5918621</v>
      </c>
      <c r="N22" s="65" t="n">
        <f aca="false">$C$7</f>
        <v>0.0126667070727526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45601</v>
      </c>
      <c r="C23" s="39" t="n">
        <v>494109357.736642</v>
      </c>
      <c r="D23" s="39" t="n">
        <v>6258738.49635599</v>
      </c>
      <c r="E23" s="39" t="n">
        <v>7141376.09550613</v>
      </c>
      <c r="F23" s="39" t="n">
        <v>13400114.5918621</v>
      </c>
      <c r="G23" s="39" t="n">
        <v>486967981.641136</v>
      </c>
      <c r="H23" s="33" t="n">
        <f aca="false">J22</f>
        <v>494109357.736642</v>
      </c>
      <c r="I23" s="33" t="n">
        <f aca="false">H23*N23</f>
        <v>6258738.49635599</v>
      </c>
      <c r="J23" s="33" t="n">
        <f aca="false">H23+I23-F23</f>
        <v>486967981.641136</v>
      </c>
      <c r="K23" s="33" t="n">
        <f aca="false">D23-I23</f>
        <v>0</v>
      </c>
      <c r="L23" s="33" t="n">
        <f aca="false">G23-J23</f>
        <v>0</v>
      </c>
      <c r="M23" s="33" t="n">
        <f aca="false">F23</f>
        <v>13400114.5918621</v>
      </c>
      <c r="N23" s="65" t="n">
        <f aca="false">$C$7</f>
        <v>0.0126667070727526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45631</v>
      </c>
      <c r="C24" s="39" t="n">
        <v>486967981.641136</v>
      </c>
      <c r="D24" s="39" t="n">
        <v>6168280.77725786</v>
      </c>
      <c r="E24" s="39" t="n">
        <v>7231833.81460428</v>
      </c>
      <c r="F24" s="39" t="n">
        <v>13400114.5918621</v>
      </c>
      <c r="G24" s="39" t="n">
        <v>479736147.826532</v>
      </c>
      <c r="H24" s="33" t="n">
        <f aca="false">J23</f>
        <v>486967981.641136</v>
      </c>
      <c r="I24" s="33" t="n">
        <f aca="false">H24*N24</f>
        <v>6168280.77725786</v>
      </c>
      <c r="J24" s="33" t="n">
        <f aca="false">H24+I24-F24</f>
        <v>479736147.826532</v>
      </c>
      <c r="K24" s="33" t="n">
        <f aca="false">D24-I24</f>
        <v>0</v>
      </c>
      <c r="L24" s="33" t="n">
        <f aca="false">G24-J24</f>
        <v>0</v>
      </c>
      <c r="M24" s="33" t="n">
        <f aca="false">F24</f>
        <v>13400114.5918621</v>
      </c>
      <c r="N24" s="65" t="n">
        <f aca="false">$C$7</f>
        <v>0.0126667070727526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45662</v>
      </c>
      <c r="C25" s="39" t="n">
        <v>479736147.826532</v>
      </c>
      <c r="D25" s="39" t="n">
        <v>6076677.25672944</v>
      </c>
      <c r="E25" s="39" t="n">
        <v>7323437.33513272</v>
      </c>
      <c r="F25" s="39" t="n">
        <v>13400114.5918622</v>
      </c>
      <c r="G25" s="39" t="n">
        <v>472412710.491399</v>
      </c>
      <c r="H25" s="33" t="n">
        <f aca="false">J24</f>
        <v>479736147.826532</v>
      </c>
      <c r="I25" s="33" t="n">
        <f aca="false">H25*N25</f>
        <v>6076677.25672944</v>
      </c>
      <c r="J25" s="33" t="n">
        <f aca="false">H25+I25-F25</f>
        <v>472412710.491399</v>
      </c>
      <c r="K25" s="33" t="n">
        <f aca="false">D25-I25</f>
        <v>0</v>
      </c>
      <c r="L25" s="33" t="n">
        <f aca="false">G25-J25</f>
        <v>0</v>
      </c>
      <c r="M25" s="33" t="n">
        <f aca="false">F25</f>
        <v>13400114.5918622</v>
      </c>
      <c r="N25" s="65" t="n">
        <f aca="false">$C$7</f>
        <v>0.0126667070727526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45693</v>
      </c>
      <c r="C26" s="39" t="n">
        <v>472412710.491399</v>
      </c>
      <c r="D26" s="39" t="n">
        <v>5983913.42123965</v>
      </c>
      <c r="E26" s="39" t="n">
        <v>7416201.17062247</v>
      </c>
      <c r="F26" s="39" t="n">
        <v>13400114.5918621</v>
      </c>
      <c r="G26" s="39" t="n">
        <v>464996509.320777</v>
      </c>
      <c r="H26" s="33" t="n">
        <f aca="false">J25</f>
        <v>472412710.491399</v>
      </c>
      <c r="I26" s="33" t="n">
        <f aca="false">H26*N26</f>
        <v>5983913.42123965</v>
      </c>
      <c r="J26" s="33" t="n">
        <f aca="false">H26+I26-F26</f>
        <v>464996509.320777</v>
      </c>
      <c r="K26" s="33" t="n">
        <f aca="false">D26-I26</f>
        <v>0</v>
      </c>
      <c r="L26" s="33" t="n">
        <f aca="false">G26-J26</f>
        <v>0</v>
      </c>
      <c r="M26" s="33" t="n">
        <f aca="false">F26</f>
        <v>13400114.5918621</v>
      </c>
      <c r="N26" s="65" t="n">
        <f aca="false">$C$7</f>
        <v>0.0126667070727526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45721</v>
      </c>
      <c r="C27" s="39" t="n">
        <v>464996509.320777</v>
      </c>
      <c r="D27" s="39" t="n">
        <v>5889974.57341877</v>
      </c>
      <c r="E27" s="39" t="n">
        <v>7510140.01844335</v>
      </c>
      <c r="F27" s="39" t="n">
        <v>13400114.5918621</v>
      </c>
      <c r="G27" s="39" t="n">
        <v>457486369.302334</v>
      </c>
      <c r="H27" s="33" t="n">
        <f aca="false">J26</f>
        <v>464996509.320777</v>
      </c>
      <c r="I27" s="33" t="n">
        <f aca="false">H27*N27</f>
        <v>5889974.57341877</v>
      </c>
      <c r="J27" s="33" t="n">
        <f aca="false">H27+I27-F27</f>
        <v>457486369.302333</v>
      </c>
      <c r="K27" s="33" t="n">
        <f aca="false">D27-I27</f>
        <v>0</v>
      </c>
      <c r="L27" s="33" t="n">
        <f aca="false">G27-J27</f>
        <v>0</v>
      </c>
      <c r="M27" s="33" t="n">
        <f aca="false">F27</f>
        <v>13400114.5918621</v>
      </c>
      <c r="N27" s="65" t="n">
        <f aca="false">$C$7</f>
        <v>0.0126667070727526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45752</v>
      </c>
      <c r="C28" s="39" t="n">
        <v>457486369.302334</v>
      </c>
      <c r="D28" s="39" t="n">
        <v>5794845.82972979</v>
      </c>
      <c r="E28" s="39" t="n">
        <v>7605268.76213235</v>
      </c>
      <c r="F28" s="39" t="n">
        <v>13400114.5918621</v>
      </c>
      <c r="G28" s="39" t="n">
        <v>449881100.540201</v>
      </c>
      <c r="H28" s="33" t="n">
        <f aca="false">J27</f>
        <v>457486369.302333</v>
      </c>
      <c r="I28" s="33" t="n">
        <f aca="false">H28*N28</f>
        <v>5794845.82972979</v>
      </c>
      <c r="J28" s="33" t="n">
        <f aca="false">H28+I28-F28</f>
        <v>449881100.540201</v>
      </c>
      <c r="K28" s="33" t="n">
        <f aca="false">D28-I28</f>
        <v>0</v>
      </c>
      <c r="L28" s="33" t="n">
        <f aca="false">G28-J28</f>
        <v>0</v>
      </c>
      <c r="M28" s="33" t="n">
        <f aca="false">F28</f>
        <v>13400114.5918621</v>
      </c>
      <c r="N28" s="65" t="n">
        <f aca="false">$C$7</f>
        <v>0.0126667070727526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45782</v>
      </c>
      <c r="C29" s="39" t="n">
        <v>449881100.540201</v>
      </c>
      <c r="D29" s="39" t="n">
        <v>5698512.11811031</v>
      </c>
      <c r="E29" s="39" t="n">
        <v>7701602.47375184</v>
      </c>
      <c r="F29" s="39" t="n">
        <v>13400114.5918622</v>
      </c>
      <c r="G29" s="39" t="n">
        <v>442179498.066449</v>
      </c>
      <c r="H29" s="33" t="n">
        <f aca="false">J28</f>
        <v>449881100.540201</v>
      </c>
      <c r="I29" s="33" t="n">
        <f aca="false">H29*N29</f>
        <v>5698512.11811031</v>
      </c>
      <c r="J29" s="33" t="n">
        <f aca="false">H29+I29-F29</f>
        <v>442179498.066449</v>
      </c>
      <c r="K29" s="33" t="n">
        <f aca="false">D29-I29</f>
        <v>0</v>
      </c>
      <c r="L29" s="33" t="n">
        <f aca="false">G29-J29</f>
        <v>0</v>
      </c>
      <c r="M29" s="33" t="n">
        <f aca="false">F29</f>
        <v>13400114.5918622</v>
      </c>
      <c r="N29" s="65" t="n">
        <f aca="false">$C$7</f>
        <v>0.0126667070727526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45813</v>
      </c>
      <c r="C30" s="39" t="n">
        <v>442179498.066449</v>
      </c>
      <c r="D30" s="39" t="n">
        <v>5600958.1755845</v>
      </c>
      <c r="E30" s="39" t="n">
        <v>7799156.41627765</v>
      </c>
      <c r="F30" s="39" t="n">
        <v>13400114.5918622</v>
      </c>
      <c r="G30" s="39" t="n">
        <v>434380341.650172</v>
      </c>
      <c r="H30" s="33" t="n">
        <f aca="false">J29</f>
        <v>442179498.066449</v>
      </c>
      <c r="I30" s="33" t="n">
        <f aca="false">H30*N30</f>
        <v>5600958.1755845</v>
      </c>
      <c r="J30" s="33" t="n">
        <f aca="false">H30+I30-F30</f>
        <v>434380341.650172</v>
      </c>
      <c r="K30" s="33" t="n">
        <f aca="false">D30-I30</f>
        <v>0</v>
      </c>
      <c r="L30" s="33" t="n">
        <f aca="false">G30-J30</f>
        <v>0</v>
      </c>
      <c r="M30" s="33" t="n">
        <f aca="false">F30</f>
        <v>13400114.5918622</v>
      </c>
      <c r="N30" s="65" t="n">
        <f aca="false">$C$7</f>
        <v>0.0126667070727526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45843</v>
      </c>
      <c r="C31" s="39" t="n">
        <v>434380341.650172</v>
      </c>
      <c r="D31" s="39" t="n">
        <v>5502168.54584494</v>
      </c>
      <c r="E31" s="39" t="n">
        <v>7897946.04601723</v>
      </c>
      <c r="F31" s="39" t="n">
        <v>13400114.5918622</v>
      </c>
      <c r="G31" s="39" t="n">
        <v>426482395.604154</v>
      </c>
      <c r="H31" s="33" t="n">
        <f aca="false">J30</f>
        <v>434380341.650172</v>
      </c>
      <c r="I31" s="33" t="n">
        <f aca="false">H31*N31</f>
        <v>5502168.54584494</v>
      </c>
      <c r="J31" s="33" t="n">
        <f aca="false">H31+I31-F31</f>
        <v>426482395.604154</v>
      </c>
      <c r="K31" s="33" t="n">
        <f aca="false">D31-I31</f>
        <v>0</v>
      </c>
      <c r="L31" s="33" t="n">
        <f aca="false">G31-J31</f>
        <v>0</v>
      </c>
      <c r="M31" s="33" t="n">
        <f aca="false">F31</f>
        <v>13400114.5918622</v>
      </c>
      <c r="N31" s="65" t="n">
        <f aca="false">$C$7</f>
        <v>0.0126667070727526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45874</v>
      </c>
      <c r="C32" s="39" t="n">
        <v>426482395.604154</v>
      </c>
      <c r="D32" s="39" t="n">
        <v>5402127.57680363</v>
      </c>
      <c r="E32" s="39" t="n">
        <v>7997987.01505852</v>
      </c>
      <c r="F32" s="39" t="n">
        <v>13400114.5918622</v>
      </c>
      <c r="G32" s="39" t="n">
        <v>418484408.589096</v>
      </c>
      <c r="H32" s="33" t="n">
        <f aca="false">J31</f>
        <v>426482395.604154</v>
      </c>
      <c r="I32" s="33" t="n">
        <f aca="false">H32*N32</f>
        <v>5402127.57680363</v>
      </c>
      <c r="J32" s="33" t="n">
        <f aca="false">H32+I32-F32</f>
        <v>418484408.589096</v>
      </c>
      <c r="K32" s="33" t="n">
        <f aca="false">D32-I32</f>
        <v>0</v>
      </c>
      <c r="L32" s="33" t="n">
        <f aca="false">G32-J32</f>
        <v>0</v>
      </c>
      <c r="M32" s="33" t="n">
        <f aca="false">F32</f>
        <v>13400114.5918622</v>
      </c>
      <c r="N32" s="65" t="n">
        <f aca="false">$C$7</f>
        <v>0.0126667070727526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45905</v>
      </c>
      <c r="C33" s="39" t="n">
        <v>418484408.589096</v>
      </c>
      <c r="D33" s="39" t="n">
        <v>5300819.41811221</v>
      </c>
      <c r="E33" s="39" t="n">
        <v>8099295.17374992</v>
      </c>
      <c r="F33" s="39" t="n">
        <v>13400114.5918621</v>
      </c>
      <c r="G33" s="39" t="n">
        <v>410385113.415346</v>
      </c>
      <c r="H33" s="33" t="n">
        <f aca="false">J32</f>
        <v>418484408.589096</v>
      </c>
      <c r="I33" s="33" t="n">
        <f aca="false">H33*N33</f>
        <v>5300819.41811221</v>
      </c>
      <c r="J33" s="33" t="n">
        <f aca="false">H33+I33-F33</f>
        <v>410385113.415346</v>
      </c>
      <c r="K33" s="33" t="n">
        <f aca="false">D33-I33</f>
        <v>0</v>
      </c>
      <c r="L33" s="33" t="n">
        <f aca="false">G33-J33</f>
        <v>0</v>
      </c>
      <c r="M33" s="33" t="n">
        <f aca="false">F33</f>
        <v>13400114.5918621</v>
      </c>
      <c r="N33" s="65" t="n">
        <f aca="false">$C$7</f>
        <v>0.0126667070727526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45935</v>
      </c>
      <c r="C34" s="39" t="n">
        <v>410385113.415346</v>
      </c>
      <c r="D34" s="39" t="n">
        <v>5198228.01865056</v>
      </c>
      <c r="E34" s="39" t="n">
        <v>8201886.57321161</v>
      </c>
      <c r="F34" s="39" t="n">
        <v>13400114.5918622</v>
      </c>
      <c r="G34" s="39" t="n">
        <v>402183226.842134</v>
      </c>
      <c r="H34" s="33" t="n">
        <f aca="false">J33</f>
        <v>410385113.415346</v>
      </c>
      <c r="I34" s="33" t="n">
        <f aca="false">H34*N34</f>
        <v>5198228.01865056</v>
      </c>
      <c r="J34" s="33" t="n">
        <f aca="false">H34+I34-F34</f>
        <v>402183226.842134</v>
      </c>
      <c r="K34" s="33" t="n">
        <f aca="false">D34-I34</f>
        <v>0</v>
      </c>
      <c r="L34" s="33" t="n">
        <f aca="false">G34-J34</f>
        <v>0</v>
      </c>
      <c r="M34" s="33" t="n">
        <f aca="false">F34</f>
        <v>13400114.5918622</v>
      </c>
      <c r="N34" s="65" t="n">
        <f aca="false">$C$7</f>
        <v>0.0126667070727526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45966</v>
      </c>
      <c r="C35" s="39" t="n">
        <v>402183226.842134</v>
      </c>
      <c r="D35" s="39" t="n">
        <v>5094337.12398374</v>
      </c>
      <c r="E35" s="39" t="n">
        <v>8305777.4678784</v>
      </c>
      <c r="F35" s="39" t="n">
        <v>13400114.5918621</v>
      </c>
      <c r="G35" s="39" t="n">
        <v>393877449.374256</v>
      </c>
      <c r="H35" s="33" t="n">
        <f aca="false">J34</f>
        <v>402183226.842134</v>
      </c>
      <c r="I35" s="33" t="n">
        <f aca="false">H35*N35</f>
        <v>5094337.12398374</v>
      </c>
      <c r="J35" s="33" t="n">
        <f aca="false">H35+I35-F35</f>
        <v>393877449.374256</v>
      </c>
      <c r="K35" s="33" t="n">
        <f aca="false">D35-I35</f>
        <v>0</v>
      </c>
      <c r="L35" s="33" t="n">
        <f aca="false">G35-J35</f>
        <v>0</v>
      </c>
      <c r="M35" s="33" t="n">
        <f aca="false">F35</f>
        <v>13400114.5918621</v>
      </c>
      <c r="N35" s="65" t="n">
        <f aca="false">$C$7</f>
        <v>0.0126667070727526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45996</v>
      </c>
      <c r="C36" s="39" t="n">
        <v>393877449.374256</v>
      </c>
      <c r="D36" s="39" t="n">
        <v>4989130.27378666</v>
      </c>
      <c r="E36" s="39" t="n">
        <v>8410984.31807548</v>
      </c>
      <c r="F36" s="39" t="n">
        <v>13400114.5918621</v>
      </c>
      <c r="G36" s="39" t="n">
        <v>385466465.056181</v>
      </c>
      <c r="H36" s="33" t="n">
        <f aca="false">J35</f>
        <v>393877449.374256</v>
      </c>
      <c r="I36" s="33" t="n">
        <f aca="false">H36*N36</f>
        <v>4989130.27378666</v>
      </c>
      <c r="J36" s="33" t="n">
        <f aca="false">H36+I36-F36</f>
        <v>385466465.05618</v>
      </c>
      <c r="K36" s="33" t="n">
        <f aca="false">D36-I36</f>
        <v>0</v>
      </c>
      <c r="L36" s="33" t="n">
        <f aca="false">G36-J36</f>
        <v>0</v>
      </c>
      <c r="M36" s="33" t="n">
        <f aca="false">F36</f>
        <v>13400114.5918621</v>
      </c>
      <c r="N36" s="65" t="n">
        <f aca="false">$C$7</f>
        <v>0.0126667070727526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46027</v>
      </c>
      <c r="C37" s="39" t="n">
        <v>385466465.056181</v>
      </c>
      <c r="D37" s="39" t="n">
        <v>4882590.79923608</v>
      </c>
      <c r="E37" s="39" t="n">
        <v>8517523.79262608</v>
      </c>
      <c r="F37" s="39" t="n">
        <v>13400114.5918622</v>
      </c>
      <c r="G37" s="39" t="n">
        <v>376948941.263554</v>
      </c>
      <c r="H37" s="33" t="n">
        <f aca="false">J36</f>
        <v>385466465.05618</v>
      </c>
      <c r="I37" s="33" t="n">
        <f aca="false">H37*N37</f>
        <v>4882590.79923608</v>
      </c>
      <c r="J37" s="33" t="n">
        <f aca="false">H37+I37-F37</f>
        <v>376948941.263554</v>
      </c>
      <c r="K37" s="33" t="n">
        <f aca="false">D37-I37</f>
        <v>0</v>
      </c>
      <c r="L37" s="33" t="n">
        <f aca="false">G37-J37</f>
        <v>0</v>
      </c>
      <c r="M37" s="33" t="n">
        <f aca="false">F37</f>
        <v>13400114.5918622</v>
      </c>
      <c r="N37" s="65" t="n">
        <f aca="false">$C$7</f>
        <v>0.0126667070727526</v>
      </c>
      <c r="O37" s="48" t="n">
        <f aca="false">IF(AND(B37&gt;=DATE(2026,1,1),B37&lt;=Resumen!$C$5),1,0)</f>
        <v>1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46058</v>
      </c>
      <c r="C38" s="39" t="n">
        <v>376948941.263554</v>
      </c>
      <c r="D38" s="39" t="n">
        <v>4774701.82036968</v>
      </c>
      <c r="E38" s="39" t="n">
        <v>8625412.77149248</v>
      </c>
      <c r="F38" s="39" t="n">
        <v>13400114.5918622</v>
      </c>
      <c r="G38" s="39" t="n">
        <v>368323528.492062</v>
      </c>
      <c r="H38" s="33" t="n">
        <f aca="false">J37</f>
        <v>376948941.263554</v>
      </c>
      <c r="I38" s="33" t="n">
        <f aca="false">H38*N38</f>
        <v>4774701.82036968</v>
      </c>
      <c r="J38" s="33" t="n">
        <f aca="false">H38+I38-F38</f>
        <v>368323528.492062</v>
      </c>
      <c r="K38" s="33" t="n">
        <f aca="false">D38-I38</f>
        <v>0</v>
      </c>
      <c r="L38" s="33" t="n">
        <f aca="false">G38-J38</f>
        <v>0</v>
      </c>
      <c r="M38" s="33" t="n">
        <f aca="false">F38</f>
        <v>13400114.5918622</v>
      </c>
      <c r="N38" s="65" t="n">
        <f aca="false">$C$7</f>
        <v>0.0126667070727526</v>
      </c>
      <c r="O38" s="48" t="n">
        <f aca="false">IF(AND(B38&gt;=DATE(2026,1,1),B38&lt;=Resumen!$C$5),1,0)</f>
        <v>1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46086</v>
      </c>
      <c r="C39" s="39" t="n">
        <v>368323528.492062</v>
      </c>
      <c r="D39" s="39" t="n">
        <v>4665446.24341161</v>
      </c>
      <c r="E39" s="39" t="n">
        <v>8734668.34845054</v>
      </c>
      <c r="F39" s="39" t="n">
        <v>13400114.5918622</v>
      </c>
      <c r="G39" s="39" t="n">
        <v>359588860.143611</v>
      </c>
      <c r="H39" s="33" t="n">
        <f aca="false">J38</f>
        <v>368323528.492062</v>
      </c>
      <c r="I39" s="33" t="n">
        <f aca="false">H39*N39</f>
        <v>4665446.24341161</v>
      </c>
      <c r="J39" s="33" t="n">
        <f aca="false">H39+I39-F39</f>
        <v>359588860.143611</v>
      </c>
      <c r="K39" s="33" t="n">
        <f aca="false">D39-I39</f>
        <v>0</v>
      </c>
      <c r="L39" s="33" t="n">
        <f aca="false">G39-J39</f>
        <v>0</v>
      </c>
      <c r="M39" s="33" t="n">
        <f aca="false">F39</f>
        <v>13400114.5918622</v>
      </c>
      <c r="N39" s="65" t="n">
        <f aca="false">$C$7</f>
        <v>0.0126667070727526</v>
      </c>
      <c r="O39" s="48" t="n">
        <f aca="false">IF(AND(B39&gt;=DATE(2026,1,1),B39&lt;=Resumen!$C$5),1,0)</f>
        <v>1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46117</v>
      </c>
      <c r="C40" s="39" t="n">
        <v>359588860.143611</v>
      </c>
      <c r="D40" s="39" t="n">
        <v>4554806.75806414</v>
      </c>
      <c r="E40" s="39" t="n">
        <v>8845307.83379799</v>
      </c>
      <c r="F40" s="39" t="n">
        <v>13400114.5918621</v>
      </c>
      <c r="G40" s="39" t="n">
        <v>350743552.309813</v>
      </c>
      <c r="H40" s="33" t="n">
        <f aca="false">J39</f>
        <v>359588860.143611</v>
      </c>
      <c r="I40" s="33" t="n">
        <f aca="false">H40*N40</f>
        <v>4554806.75806414</v>
      </c>
      <c r="J40" s="33" t="n">
        <f aca="false">H40+I40-F40</f>
        <v>350743552.309813</v>
      </c>
      <c r="K40" s="33" t="n">
        <f aca="false">D40-I40</f>
        <v>0</v>
      </c>
      <c r="L40" s="33" t="n">
        <f aca="false">G40-J40</f>
        <v>0</v>
      </c>
      <c r="M40" s="33" t="n">
        <f aca="false">F40</f>
        <v>13400114.5918621</v>
      </c>
      <c r="N40" s="65" t="n">
        <f aca="false">$C$7</f>
        <v>0.0126667070727526</v>
      </c>
      <c r="O40" s="48" t="n">
        <f aca="false">IF(AND(B40&gt;=DATE(2026,1,1),B40&lt;=Resumen!$C$5),1,0)</f>
        <v>1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46147</v>
      </c>
      <c r="C41" s="39" t="n">
        <v>350743552.309813</v>
      </c>
      <c r="D41" s="39" t="n">
        <v>4442765.8347651</v>
      </c>
      <c r="E41" s="39" t="n">
        <v>8957348.75709707</v>
      </c>
      <c r="F41" s="39" t="n">
        <v>13400114.5918622</v>
      </c>
      <c r="G41" s="39" t="n">
        <v>341786203.552716</v>
      </c>
      <c r="H41" s="33" t="n">
        <f aca="false">J40</f>
        <v>350743552.309813</v>
      </c>
      <c r="I41" s="33" t="n">
        <f aca="false">H41*N41</f>
        <v>4442765.8347651</v>
      </c>
      <c r="J41" s="33" t="n">
        <f aca="false">H41+I41-F41</f>
        <v>341786203.552716</v>
      </c>
      <c r="K41" s="33" t="n">
        <f aca="false">D41-I41</f>
        <v>0</v>
      </c>
      <c r="L41" s="33" t="n">
        <f aca="false">G41-J41</f>
        <v>0</v>
      </c>
      <c r="M41" s="33" t="n">
        <f aca="false">F41</f>
        <v>13400114.5918622</v>
      </c>
      <c r="N41" s="65" t="n">
        <f aca="false">$C$7</f>
        <v>0.0126667070727526</v>
      </c>
      <c r="O41" s="48" t="n">
        <f aca="false">IF(AND(B41&gt;=DATE(2026,1,1),B41&lt;=Resumen!$C$5),1,0)</f>
        <v>1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46178</v>
      </c>
      <c r="C42" s="39" t="n">
        <v>341786203.552716</v>
      </c>
      <c r="D42" s="39" t="n">
        <v>4329305.72191046</v>
      </c>
      <c r="E42" s="39" t="n">
        <v>9070808.86995167</v>
      </c>
      <c r="F42" s="39" t="n">
        <v>13400114.5918621</v>
      </c>
      <c r="G42" s="39" t="n">
        <v>332715394.682765</v>
      </c>
      <c r="H42" s="33" t="n">
        <f aca="false">J41</f>
        <v>341786203.552716</v>
      </c>
      <c r="I42" s="33" t="n">
        <f aca="false">H42*N42</f>
        <v>4329305.72191047</v>
      </c>
      <c r="J42" s="33" t="n">
        <f aca="false">H42+I42-F42</f>
        <v>332715394.682765</v>
      </c>
      <c r="K42" s="33" t="n">
        <f aca="false">D42-I42</f>
        <v>0</v>
      </c>
      <c r="L42" s="33" t="n">
        <f aca="false">G42-J42</f>
        <v>0</v>
      </c>
      <c r="M42" s="33" t="n">
        <f aca="false">F42</f>
        <v>13400114.5918621</v>
      </c>
      <c r="N42" s="65" t="n">
        <f aca="false">$C$7</f>
        <v>0.0126667070727526</v>
      </c>
      <c r="O42" s="48" t="n">
        <f aca="false">IF(AND(B42&gt;=DATE(2026,1,1),B42&lt;=Resumen!$C$5),1,0)</f>
        <v>1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46208</v>
      </c>
      <c r="C43" s="39" t="n">
        <v>332715394.682765</v>
      </c>
      <c r="D43" s="39" t="n">
        <v>4214408.44304186</v>
      </c>
      <c r="E43" s="39" t="n">
        <v>9185706.14882028</v>
      </c>
      <c r="F43" s="39" t="n">
        <v>13400114.5918621</v>
      </c>
      <c r="G43" s="39" t="n">
        <v>323529688.533944</v>
      </c>
      <c r="H43" s="33" t="n">
        <f aca="false">J42</f>
        <v>332715394.682765</v>
      </c>
      <c r="I43" s="33" t="n">
        <f aca="false">H43*N43</f>
        <v>4214408.44304186</v>
      </c>
      <c r="J43" s="33" t="n">
        <f aca="false">H43+I43-F43</f>
        <v>323529688.533944</v>
      </c>
      <c r="K43" s="33" t="n">
        <f aca="false">D43-I43</f>
        <v>0</v>
      </c>
      <c r="L43" s="33" t="n">
        <f aca="false">G43-J43</f>
        <v>0</v>
      </c>
      <c r="M43" s="33" t="n">
        <f aca="false">F43</f>
        <v>13400114.5918621</v>
      </c>
      <c r="N43" s="65" t="n">
        <f aca="false">$C$7</f>
        <v>0.0126667070727526</v>
      </c>
      <c r="O43" s="48" t="n">
        <f aca="false">IF(AND(B43&gt;=DATE(2026,1,1),B43&lt;=Resumen!$C$5),1,0)</f>
        <v>1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46239</v>
      </c>
      <c r="C44" s="39" t="n">
        <v>323529688.533944</v>
      </c>
      <c r="D44" s="39" t="n">
        <v>4098055.79399837</v>
      </c>
      <c r="E44" s="39" t="n">
        <v>9302058.79786378</v>
      </c>
      <c r="F44" s="39" t="n">
        <v>13400114.5918622</v>
      </c>
      <c r="G44" s="39" t="n">
        <v>314227629.736081</v>
      </c>
      <c r="H44" s="33" t="n">
        <f aca="false">J43</f>
        <v>323529688.533944</v>
      </c>
      <c r="I44" s="33" t="n">
        <f aca="false">H44*N44</f>
        <v>4098055.79399837</v>
      </c>
      <c r="J44" s="33" t="n">
        <f aca="false">H44+I44-F44</f>
        <v>314227629.736081</v>
      </c>
      <c r="K44" s="33" t="n">
        <f aca="false">D44-I44</f>
        <v>0</v>
      </c>
      <c r="L44" s="33" t="n">
        <f aca="false">G44-J44</f>
        <v>0</v>
      </c>
      <c r="M44" s="33" t="n">
        <f aca="false">F44</f>
        <v>13400114.5918622</v>
      </c>
      <c r="N44" s="65" t="n">
        <f aca="false">$C$7</f>
        <v>0.0126667070727526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1</v>
      </c>
    </row>
    <row r="45" customFormat="false" ht="15" hidden="false" customHeight="false" outlineLevel="0" collapsed="false">
      <c r="A45" s="38" t="n">
        <v>33</v>
      </c>
      <c r="B45" s="27" t="n">
        <v>46270</v>
      </c>
      <c r="C45" s="39" t="n">
        <v>314227629.736081</v>
      </c>
      <c r="D45" s="39" t="n">
        <v>3980229.34003231</v>
      </c>
      <c r="E45" s="39" t="n">
        <v>9419885.25182986</v>
      </c>
      <c r="F45" s="39" t="n">
        <v>13400114.5918622</v>
      </c>
      <c r="G45" s="39" t="n">
        <v>304807744.484251</v>
      </c>
      <c r="H45" s="33" t="n">
        <f aca="false">J44</f>
        <v>314227629.736081</v>
      </c>
      <c r="I45" s="33" t="n">
        <f aca="false">H45*N45</f>
        <v>3980229.34003231</v>
      </c>
      <c r="J45" s="33" t="n">
        <f aca="false">H45+I45-F45</f>
        <v>304807744.484251</v>
      </c>
      <c r="K45" s="33" t="n">
        <f aca="false">D45-I45</f>
        <v>0</v>
      </c>
      <c r="L45" s="33" t="n">
        <f aca="false">G45-J45</f>
        <v>0</v>
      </c>
      <c r="M45" s="33" t="n">
        <f aca="false">F45</f>
        <v>13400114.5918622</v>
      </c>
      <c r="N45" s="65" t="n">
        <f aca="false">$C$7</f>
        <v>0.0126667070727526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1</v>
      </c>
    </row>
    <row r="46" customFormat="false" ht="15" hidden="false" customHeight="false" outlineLevel="0" collapsed="false">
      <c r="A46" s="38" t="n">
        <v>34</v>
      </c>
      <c r="B46" s="27" t="n">
        <v>46300</v>
      </c>
      <c r="C46" s="39" t="n">
        <v>304807744.484251</v>
      </c>
      <c r="D46" s="39" t="n">
        <v>3860910.41288844</v>
      </c>
      <c r="E46" s="39" t="n">
        <v>9539204.17897373</v>
      </c>
      <c r="F46" s="39" t="n">
        <v>13400114.5918622</v>
      </c>
      <c r="G46" s="39" t="n">
        <v>295268540.305277</v>
      </c>
      <c r="H46" s="33" t="n">
        <f aca="false">J45</f>
        <v>304807744.484251</v>
      </c>
      <c r="I46" s="33" t="n">
        <f aca="false">H46*N46</f>
        <v>3860910.41288844</v>
      </c>
      <c r="J46" s="33" t="n">
        <f aca="false">H46+I46-F46</f>
        <v>295268540.305277</v>
      </c>
      <c r="K46" s="33" t="n">
        <f aca="false">D46-I46</f>
        <v>0</v>
      </c>
      <c r="L46" s="33" t="n">
        <f aca="false">G46-J46</f>
        <v>0</v>
      </c>
      <c r="M46" s="33" t="n">
        <f aca="false">F46</f>
        <v>13400114.5918622</v>
      </c>
      <c r="N46" s="65" t="n">
        <f aca="false">$C$7</f>
        <v>0.0126667070727526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1</v>
      </c>
    </row>
    <row r="47" customFormat="false" ht="15" hidden="false" customHeight="false" outlineLevel="0" collapsed="false">
      <c r="A47" s="38" t="n">
        <v>35</v>
      </c>
      <c r="B47" s="27" t="n">
        <v>46331</v>
      </c>
      <c r="C47" s="39" t="n">
        <v>295268540.305277</v>
      </c>
      <c r="D47" s="39" t="n">
        <v>3740080.1078462</v>
      </c>
      <c r="E47" s="39" t="n">
        <v>9660034.48401594</v>
      </c>
      <c r="F47" s="39" t="n">
        <v>13400114.5918621</v>
      </c>
      <c r="G47" s="39" t="n">
        <v>285608505.821261</v>
      </c>
      <c r="H47" s="33" t="n">
        <f aca="false">J46</f>
        <v>295268540.305277</v>
      </c>
      <c r="I47" s="33" t="n">
        <f aca="false">H47*N47</f>
        <v>3740080.1078462</v>
      </c>
      <c r="J47" s="33" t="n">
        <f aca="false">H47+I47-F47</f>
        <v>285608505.821261</v>
      </c>
      <c r="K47" s="33" t="n">
        <f aca="false">D47-I47</f>
        <v>0</v>
      </c>
      <c r="L47" s="33" t="n">
        <f aca="false">G47-J47</f>
        <v>0</v>
      </c>
      <c r="M47" s="33" t="n">
        <f aca="false">F47</f>
        <v>13400114.5918621</v>
      </c>
      <c r="N47" s="65" t="n">
        <f aca="false">$C$7</f>
        <v>0.0126667070727526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1</v>
      </c>
    </row>
    <row r="48" customFormat="false" ht="15" hidden="false" customHeight="false" outlineLevel="0" collapsed="false">
      <c r="A48" s="38" t="n">
        <v>36</v>
      </c>
      <c r="B48" s="27" t="n">
        <v>46361</v>
      </c>
      <c r="C48" s="39" t="n">
        <v>285608505.821261</v>
      </c>
      <c r="D48" s="39" t="n">
        <v>3617719.28072448</v>
      </c>
      <c r="E48" s="39" t="n">
        <v>9782395.31113768</v>
      </c>
      <c r="F48" s="39" t="n">
        <v>13400114.5918622</v>
      </c>
      <c r="G48" s="39" t="n">
        <v>275826110.510123</v>
      </c>
      <c r="H48" s="33" t="n">
        <f aca="false">J47</f>
        <v>285608505.821261</v>
      </c>
      <c r="I48" s="33" t="n">
        <f aca="false">H48*N48</f>
        <v>3617719.28072448</v>
      </c>
      <c r="J48" s="33" t="n">
        <f aca="false">H48+I48-F48</f>
        <v>275826110.510123</v>
      </c>
      <c r="K48" s="33" t="n">
        <f aca="false">D48-I48</f>
        <v>0</v>
      </c>
      <c r="L48" s="33" t="n">
        <f aca="false">G48-J48</f>
        <v>0</v>
      </c>
      <c r="M48" s="33" t="n">
        <f aca="false">F48</f>
        <v>13400114.5918622</v>
      </c>
      <c r="N48" s="65" t="n">
        <f aca="false">$C$7</f>
        <v>0.0126667070727526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1</v>
      </c>
    </row>
    <row r="49" customFormat="false" ht="15" hidden="false" customHeight="false" outlineLevel="0" collapsed="false">
      <c r="A49" s="38" t="n">
        <v>37</v>
      </c>
      <c r="B49" s="27" t="n">
        <v>46392</v>
      </c>
      <c r="C49" s="39" t="n">
        <v>275826110.510123</v>
      </c>
      <c r="D49" s="39" t="n">
        <v>3493808.54484843</v>
      </c>
      <c r="E49" s="39" t="n">
        <v>9906306.0470137</v>
      </c>
      <c r="F49" s="39" t="n">
        <v>13400114.5918621</v>
      </c>
      <c r="G49" s="39" t="n">
        <v>265919804.46311</v>
      </c>
      <c r="H49" s="33" t="n">
        <f aca="false">J48</f>
        <v>275826110.510123</v>
      </c>
      <c r="I49" s="33" t="n">
        <f aca="false">H49*N49</f>
        <v>3493808.54484843</v>
      </c>
      <c r="J49" s="33" t="n">
        <f aca="false">H49+I49-F49</f>
        <v>265919804.46311</v>
      </c>
      <c r="K49" s="33" t="n">
        <f aca="false">D49-I49</f>
        <v>0</v>
      </c>
      <c r="L49" s="33" t="n">
        <f aca="false">G49-J49</f>
        <v>0</v>
      </c>
      <c r="M49" s="33" t="n">
        <f aca="false">F49</f>
        <v>13400114.5918621</v>
      </c>
      <c r="N49" s="65" t="n">
        <f aca="false">$C$7</f>
        <v>0.0126667070727526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1</v>
      </c>
    </row>
    <row r="50" customFormat="false" ht="15" hidden="false" customHeight="false" outlineLevel="0" collapsed="false">
      <c r="A50" s="38" t="n">
        <v>38</v>
      </c>
      <c r="B50" s="27" t="n">
        <v>46423</v>
      </c>
      <c r="C50" s="39" t="n">
        <v>265919804.46311</v>
      </c>
      <c r="D50" s="39" t="n">
        <v>3368328.26797787</v>
      </c>
      <c r="E50" s="39" t="n">
        <v>10031786.3238843</v>
      </c>
      <c r="F50" s="39" t="n">
        <v>13400114.5918621</v>
      </c>
      <c r="G50" s="39" t="n">
        <v>255888018.139225</v>
      </c>
      <c r="H50" s="33" t="n">
        <f aca="false">J49</f>
        <v>265919804.46311</v>
      </c>
      <c r="I50" s="33" t="n">
        <f aca="false">H50*N50</f>
        <v>3368328.26797787</v>
      </c>
      <c r="J50" s="33" t="n">
        <f aca="false">H50+I50-F50</f>
        <v>255888018.139225</v>
      </c>
      <c r="K50" s="33" t="n">
        <f aca="false">D50-I50</f>
        <v>0</v>
      </c>
      <c r="L50" s="33" t="n">
        <f aca="false">G50-J50</f>
        <v>0</v>
      </c>
      <c r="M50" s="33" t="n">
        <f aca="false">F50</f>
        <v>13400114.5918621</v>
      </c>
      <c r="N50" s="65" t="n">
        <f aca="false">$C$7</f>
        <v>0.0126667070727526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46451</v>
      </c>
      <c r="C51" s="39" t="n">
        <v>255888018.139225</v>
      </c>
      <c r="D51" s="39" t="n">
        <v>3241258.56919678</v>
      </c>
      <c r="E51" s="39" t="n">
        <v>10158856.0226654</v>
      </c>
      <c r="F51" s="39" t="n">
        <v>13400114.5918621</v>
      </c>
      <c r="G51" s="39" t="n">
        <v>245729162.11656</v>
      </c>
      <c r="H51" s="33" t="n">
        <f aca="false">J50</f>
        <v>255888018.139225</v>
      </c>
      <c r="I51" s="33" t="n">
        <f aca="false">H51*N51</f>
        <v>3241258.56919678</v>
      </c>
      <c r="J51" s="33" t="n">
        <f aca="false">H51+I51-F51</f>
        <v>245729162.11656</v>
      </c>
      <c r="K51" s="33" t="n">
        <f aca="false">D51-I51</f>
        <v>0</v>
      </c>
      <c r="L51" s="33" t="n">
        <f aca="false">G51-J51</f>
        <v>0</v>
      </c>
      <c r="M51" s="33" t="n">
        <f aca="false">F51</f>
        <v>13400114.5918621</v>
      </c>
      <c r="N51" s="65" t="n">
        <f aca="false">$C$7</f>
        <v>0.0126667070727526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46482</v>
      </c>
      <c r="C52" s="39" t="n">
        <v>245729162.11656</v>
      </c>
      <c r="D52" s="39" t="n">
        <v>3112579.31576341</v>
      </c>
      <c r="E52" s="39" t="n">
        <v>10287535.2760987</v>
      </c>
      <c r="F52" s="39" t="n">
        <v>13400114.5918621</v>
      </c>
      <c r="G52" s="39" t="n">
        <v>235441626.840461</v>
      </c>
      <c r="H52" s="33" t="n">
        <f aca="false">J51</f>
        <v>245729162.11656</v>
      </c>
      <c r="I52" s="33" t="n">
        <f aca="false">H52*N52</f>
        <v>3112579.31576341</v>
      </c>
      <c r="J52" s="33" t="n">
        <f aca="false">H52+I52-F52</f>
        <v>235441626.840461</v>
      </c>
      <c r="K52" s="33" t="n">
        <f aca="false">D52-I52</f>
        <v>0</v>
      </c>
      <c r="L52" s="33" t="n">
        <f aca="false">G52-J52</f>
        <v>0</v>
      </c>
      <c r="M52" s="33" t="n">
        <f aca="false">F52</f>
        <v>13400114.5918621</v>
      </c>
      <c r="N52" s="65" t="n">
        <f aca="false">$C$7</f>
        <v>0.0126667070727526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46512</v>
      </c>
      <c r="C53" s="39" t="n">
        <v>235441626.840461</v>
      </c>
      <c r="D53" s="39" t="n">
        <v>2982270.11992046</v>
      </c>
      <c r="E53" s="39" t="n">
        <v>10417844.4719417</v>
      </c>
      <c r="F53" s="39" t="n">
        <v>13400114.5918621</v>
      </c>
      <c r="G53" s="39" t="n">
        <v>225023782.36852</v>
      </c>
      <c r="H53" s="33" t="n">
        <f aca="false">J52</f>
        <v>235441626.840461</v>
      </c>
      <c r="I53" s="33" t="n">
        <f aca="false">H53*N53</f>
        <v>2982270.11992046</v>
      </c>
      <c r="J53" s="33" t="n">
        <f aca="false">H53+I53-F53</f>
        <v>225023782.36852</v>
      </c>
      <c r="K53" s="33" t="n">
        <f aca="false">D53-I53</f>
        <v>0</v>
      </c>
      <c r="L53" s="33" t="n">
        <f aca="false">G53-J53</f>
        <v>0</v>
      </c>
      <c r="M53" s="33" t="n">
        <f aca="false">F53</f>
        <v>13400114.5918621</v>
      </c>
      <c r="N53" s="65" t="n">
        <f aca="false">$C$7</f>
        <v>0.0126667070727526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1</v>
      </c>
    </row>
    <row r="54" customFormat="false" ht="15" hidden="false" customHeight="false" outlineLevel="0" collapsed="false">
      <c r="A54" s="38" t="n">
        <v>42</v>
      </c>
      <c r="B54" s="27" t="n">
        <v>46543</v>
      </c>
      <c r="C54" s="39" t="n">
        <v>225023782.36852</v>
      </c>
      <c r="D54" s="39" t="n">
        <v>2850310.33566488</v>
      </c>
      <c r="E54" s="39" t="n">
        <v>10549804.2561973</v>
      </c>
      <c r="F54" s="39" t="n">
        <v>13400114.5918622</v>
      </c>
      <c r="G54" s="39" t="n">
        <v>214473978.112322</v>
      </c>
      <c r="H54" s="33" t="n">
        <f aca="false">J53</f>
        <v>225023782.36852</v>
      </c>
      <c r="I54" s="33" t="n">
        <f aca="false">H54*N54</f>
        <v>2850310.33566488</v>
      </c>
      <c r="J54" s="33" t="n">
        <f aca="false">H54+I54-F54</f>
        <v>214473978.112322</v>
      </c>
      <c r="K54" s="33" t="n">
        <f aca="false">D54-I54</f>
        <v>0</v>
      </c>
      <c r="L54" s="33" t="n">
        <f aca="false">G54-J54</f>
        <v>0</v>
      </c>
      <c r="M54" s="33" t="n">
        <f aca="false">F54</f>
        <v>13400114.5918622</v>
      </c>
      <c r="N54" s="65" t="n">
        <f aca="false">$C$7</f>
        <v>0.0126667070727526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1</v>
      </c>
    </row>
    <row r="55" customFormat="false" ht="15" hidden="false" customHeight="false" outlineLevel="0" collapsed="false">
      <c r="A55" s="38" t="n">
        <v>43</v>
      </c>
      <c r="B55" s="27" t="n">
        <v>46573</v>
      </c>
      <c r="C55" s="39" t="n">
        <v>214473978.112322</v>
      </c>
      <c r="D55" s="39" t="n">
        <v>2716679.05547675</v>
      </c>
      <c r="E55" s="39" t="n">
        <v>10683435.5363854</v>
      </c>
      <c r="F55" s="39" t="n">
        <v>13400114.5918621</v>
      </c>
      <c r="G55" s="39" t="n">
        <v>203790542.575937</v>
      </c>
      <c r="H55" s="33" t="n">
        <f aca="false">J54</f>
        <v>214473978.112322</v>
      </c>
      <c r="I55" s="33" t="n">
        <f aca="false">H55*N55</f>
        <v>2716679.05547675</v>
      </c>
      <c r="J55" s="33" t="n">
        <f aca="false">H55+I55-F55</f>
        <v>203790542.575937</v>
      </c>
      <c r="K55" s="33" t="n">
        <f aca="false">D55-I55</f>
        <v>0</v>
      </c>
      <c r="L55" s="33" t="n">
        <f aca="false">G55-J55</f>
        <v>0</v>
      </c>
      <c r="M55" s="33" t="n">
        <f aca="false">F55</f>
        <v>13400114.5918621</v>
      </c>
      <c r="N55" s="65" t="n">
        <f aca="false">$C$7</f>
        <v>0.0126667070727526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1</v>
      </c>
    </row>
    <row r="56" customFormat="false" ht="15" hidden="false" customHeight="false" outlineLevel="0" collapsed="false">
      <c r="A56" s="38" t="n">
        <v>44</v>
      </c>
      <c r="B56" s="27" t="n">
        <v>46604</v>
      </c>
      <c r="C56" s="39" t="n">
        <v>203790542.575937</v>
      </c>
      <c r="D56" s="39" t="n">
        <v>2581355.10700672</v>
      </c>
      <c r="E56" s="39" t="n">
        <v>10818759.4848554</v>
      </c>
      <c r="F56" s="39" t="n">
        <v>13400114.5918621</v>
      </c>
      <c r="G56" s="39" t="n">
        <v>192971783.091082</v>
      </c>
      <c r="H56" s="33" t="n">
        <f aca="false">J55</f>
        <v>203790542.575937</v>
      </c>
      <c r="I56" s="33" t="n">
        <f aca="false">H56*N56</f>
        <v>2581355.10700672</v>
      </c>
      <c r="J56" s="33" t="n">
        <f aca="false">H56+I56-F56</f>
        <v>192971783.091082</v>
      </c>
      <c r="K56" s="33" t="n">
        <f aca="false">D56-I56</f>
        <v>0</v>
      </c>
      <c r="L56" s="33" t="n">
        <f aca="false">G56-J56</f>
        <v>0</v>
      </c>
      <c r="M56" s="33" t="n">
        <f aca="false">F56</f>
        <v>13400114.5918621</v>
      </c>
      <c r="N56" s="65" t="n">
        <f aca="false">$C$7</f>
        <v>0.0126667070727526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46635</v>
      </c>
      <c r="C57" s="39" t="n">
        <v>192971783.091082</v>
      </c>
      <c r="D57" s="39" t="n">
        <v>2444317.04972149</v>
      </c>
      <c r="E57" s="39" t="n">
        <v>10955797.5421407</v>
      </c>
      <c r="F57" s="39" t="n">
        <v>13400114.5918622</v>
      </c>
      <c r="G57" s="39" t="n">
        <v>182015985.548941</v>
      </c>
      <c r="H57" s="33" t="n">
        <f aca="false">J56</f>
        <v>192971783.091082</v>
      </c>
      <c r="I57" s="33" t="n">
        <f aca="false">H57*N57</f>
        <v>2444317.04972149</v>
      </c>
      <c r="J57" s="33" t="n">
        <f aca="false">H57+I57-F57</f>
        <v>182015985.548941</v>
      </c>
      <c r="K57" s="33" t="n">
        <f aca="false">D57-I57</f>
        <v>0</v>
      </c>
      <c r="L57" s="33" t="n">
        <f aca="false">G57-J57</f>
        <v>0</v>
      </c>
      <c r="M57" s="33" t="n">
        <f aca="false">F57</f>
        <v>13400114.5918622</v>
      </c>
      <c r="N57" s="65" t="n">
        <f aca="false">$C$7</f>
        <v>0.0126667070727526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46665</v>
      </c>
      <c r="C58" s="39" t="n">
        <v>182015985.548941</v>
      </c>
      <c r="D58" s="39" t="n">
        <v>2305543.17150681</v>
      </c>
      <c r="E58" s="39" t="n">
        <v>11094571.4203553</v>
      </c>
      <c r="F58" s="39" t="n">
        <v>13400114.5918621</v>
      </c>
      <c r="G58" s="39" t="n">
        <v>170921414.128586</v>
      </c>
      <c r="H58" s="33" t="n">
        <f aca="false">J57</f>
        <v>182015985.548941</v>
      </c>
      <c r="I58" s="33" t="n">
        <f aca="false">H58*N58</f>
        <v>2305543.17150681</v>
      </c>
      <c r="J58" s="33" t="n">
        <f aca="false">H58+I58-F58</f>
        <v>170921414.128586</v>
      </c>
      <c r="K58" s="33" t="n">
        <f aca="false">D58-I58</f>
        <v>0</v>
      </c>
      <c r="L58" s="33" t="n">
        <f aca="false">G58-J58</f>
        <v>0</v>
      </c>
      <c r="M58" s="33" t="n">
        <f aca="false">F58</f>
        <v>13400114.5918621</v>
      </c>
      <c r="N58" s="65" t="n">
        <f aca="false">$C$7</f>
        <v>0.0126667070727526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46696</v>
      </c>
      <c r="C59" s="39" t="n">
        <v>170921414.128586</v>
      </c>
      <c r="D59" s="39" t="n">
        <v>2165011.48522744</v>
      </c>
      <c r="E59" s="39" t="n">
        <v>11235103.1066347</v>
      </c>
      <c r="F59" s="39" t="n">
        <v>13400114.5918621</v>
      </c>
      <c r="G59" s="39" t="n">
        <v>159686311.021951</v>
      </c>
      <c r="H59" s="33" t="n">
        <f aca="false">J58</f>
        <v>170921414.128586</v>
      </c>
      <c r="I59" s="33" t="n">
        <f aca="false">H59*N59</f>
        <v>2165011.48522744</v>
      </c>
      <c r="J59" s="33" t="n">
        <f aca="false">H59+I59-F59</f>
        <v>159686311.021951</v>
      </c>
      <c r="K59" s="33" t="n">
        <f aca="false">D59-I59</f>
        <v>0</v>
      </c>
      <c r="L59" s="33" t="n">
        <f aca="false">G59-J59</f>
        <v>0</v>
      </c>
      <c r="M59" s="33" t="n">
        <f aca="false">F59</f>
        <v>13400114.5918621</v>
      </c>
      <c r="N59" s="65" t="n">
        <f aca="false">$C$7</f>
        <v>0.0126667070727526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46726</v>
      </c>
      <c r="C60" s="39" t="n">
        <v>159686311.021951</v>
      </c>
      <c r="D60" s="39" t="n">
        <v>2022699.72524352</v>
      </c>
      <c r="E60" s="39" t="n">
        <v>11377414.8666186</v>
      </c>
      <c r="F60" s="39" t="n">
        <v>13400114.5918622</v>
      </c>
      <c r="G60" s="39" t="n">
        <v>148308896.155332</v>
      </c>
      <c r="H60" s="33" t="n">
        <f aca="false">J59</f>
        <v>159686311.021951</v>
      </c>
      <c r="I60" s="33" t="n">
        <f aca="false">H60*N60</f>
        <v>2022699.72524352</v>
      </c>
      <c r="J60" s="33" t="n">
        <f aca="false">H60+I60-F60</f>
        <v>148308896.155332</v>
      </c>
      <c r="K60" s="33" t="n">
        <f aca="false">D60-I60</f>
        <v>0</v>
      </c>
      <c r="L60" s="33" t="n">
        <f aca="false">G60-J60</f>
        <v>0</v>
      </c>
      <c r="M60" s="33" t="n">
        <f aca="false">F60</f>
        <v>13400114.5918622</v>
      </c>
      <c r="N60" s="65" t="n">
        <f aca="false">$C$7</f>
        <v>0.0126667070727526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46757</v>
      </c>
      <c r="C61" s="39" t="n">
        <v>148308896.155332</v>
      </c>
      <c r="D61" s="39" t="n">
        <v>1878585.34388288</v>
      </c>
      <c r="E61" s="39" t="n">
        <v>11521529.2479793</v>
      </c>
      <c r="F61" s="39" t="n">
        <v>13400114.5918621</v>
      </c>
      <c r="G61" s="39" t="n">
        <v>136787366.907353</v>
      </c>
      <c r="H61" s="33" t="n">
        <f aca="false">J60</f>
        <v>148308896.155332</v>
      </c>
      <c r="I61" s="33" t="n">
        <f aca="false">H61*N61</f>
        <v>1878585.34388288</v>
      </c>
      <c r="J61" s="33" t="n">
        <f aca="false">H61+I61-F61</f>
        <v>136787366.907353</v>
      </c>
      <c r="K61" s="33" t="n">
        <f aca="false">D61-I61</f>
        <v>0</v>
      </c>
      <c r="L61" s="33" t="n">
        <f aca="false">G61-J61</f>
        <v>0</v>
      </c>
      <c r="M61" s="33" t="n">
        <f aca="false">F61</f>
        <v>13400114.5918621</v>
      </c>
      <c r="N61" s="65" t="n">
        <f aca="false">$C$7</f>
        <v>0.0126667070727526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46788</v>
      </c>
      <c r="C62" s="39" t="n">
        <v>136787366.907353</v>
      </c>
      <c r="D62" s="39" t="n">
        <v>1732645.50786858</v>
      </c>
      <c r="E62" s="39" t="n">
        <v>11667469.0839936</v>
      </c>
      <c r="F62" s="39" t="n">
        <v>13400114.5918621</v>
      </c>
      <c r="G62" s="39" t="n">
        <v>125119897.82336</v>
      </c>
      <c r="H62" s="33" t="n">
        <f aca="false">J61</f>
        <v>136787366.907353</v>
      </c>
      <c r="I62" s="33" t="n">
        <f aca="false">H62*N62</f>
        <v>1732645.50786858</v>
      </c>
      <c r="J62" s="33" t="n">
        <f aca="false">H62+I62-F62</f>
        <v>125119897.823359</v>
      </c>
      <c r="K62" s="33" t="n">
        <f aca="false">D62-I62</f>
        <v>0</v>
      </c>
      <c r="L62" s="33" t="n">
        <f aca="false">G62-J62</f>
        <v>0</v>
      </c>
      <c r="M62" s="33" t="n">
        <f aca="false">F62</f>
        <v>13400114.5918621</v>
      </c>
      <c r="N62" s="65" t="n">
        <f aca="false">$C$7</f>
        <v>0.0126667070727526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46817</v>
      </c>
      <c r="C63" s="39" t="n">
        <v>125119897.82336</v>
      </c>
      <c r="D63" s="39" t="n">
        <v>1584857.09470123</v>
      </c>
      <c r="E63" s="39" t="n">
        <v>11815257.4971609</v>
      </c>
      <c r="F63" s="39" t="n">
        <v>13400114.5918622</v>
      </c>
      <c r="G63" s="39" t="n">
        <v>113304640.326199</v>
      </c>
      <c r="H63" s="33" t="n">
        <f aca="false">J62</f>
        <v>125119897.823359</v>
      </c>
      <c r="I63" s="33" t="n">
        <f aca="false">H63*N63</f>
        <v>1584857.09470123</v>
      </c>
      <c r="J63" s="33" t="n">
        <f aca="false">H63+I63-F63</f>
        <v>113304640.326198</v>
      </c>
      <c r="K63" s="33" t="n">
        <f aca="false">D63-I63</f>
        <v>0</v>
      </c>
      <c r="L63" s="33" t="n">
        <f aca="false">G63-J63</f>
        <v>0</v>
      </c>
      <c r="M63" s="33" t="n">
        <f aca="false">F63</f>
        <v>13400114.5918622</v>
      </c>
      <c r="N63" s="65" t="n">
        <f aca="false">$C$7</f>
        <v>0.0126667070727526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46848</v>
      </c>
      <c r="C64" s="39" t="n">
        <v>113304640.326199</v>
      </c>
      <c r="D64" s="39" t="n">
        <v>1435196.68899555</v>
      </c>
      <c r="E64" s="39" t="n">
        <v>11964917.9028666</v>
      </c>
      <c r="F64" s="39" t="n">
        <v>13400114.5918621</v>
      </c>
      <c r="G64" s="39" t="n">
        <v>101339722.423332</v>
      </c>
      <c r="H64" s="33" t="n">
        <f aca="false">J63</f>
        <v>113304640.326198</v>
      </c>
      <c r="I64" s="33" t="n">
        <f aca="false">H64*N64</f>
        <v>1435196.68899555</v>
      </c>
      <c r="J64" s="33" t="n">
        <f aca="false">H64+I64-F64</f>
        <v>101339722.423332</v>
      </c>
      <c r="K64" s="33" t="n">
        <f aca="false">D64-I64</f>
        <v>0</v>
      </c>
      <c r="L64" s="33" t="n">
        <f aca="false">G64-J64</f>
        <v>0</v>
      </c>
      <c r="M64" s="33" t="n">
        <f aca="false">F64</f>
        <v>13400114.5918621</v>
      </c>
      <c r="N64" s="65" t="n">
        <f aca="false">$C$7</f>
        <v>0.0126667070727526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46878</v>
      </c>
      <c r="C65" s="39" t="n">
        <v>101339722.423332</v>
      </c>
      <c r="D65" s="39" t="n">
        <v>1283640.57877041</v>
      </c>
      <c r="E65" s="39" t="n">
        <v>12116474.0130917</v>
      </c>
      <c r="F65" s="39" t="n">
        <v>13400114.5918621</v>
      </c>
      <c r="G65" s="39" t="n">
        <v>89223248.4102402</v>
      </c>
      <c r="H65" s="33" t="n">
        <f aca="false">J64</f>
        <v>101339722.423332</v>
      </c>
      <c r="I65" s="33" t="n">
        <f aca="false">H65*N65</f>
        <v>1283640.57877041</v>
      </c>
      <c r="J65" s="33" t="n">
        <f aca="false">H65+I65-F65</f>
        <v>89223248.4102402</v>
      </c>
      <c r="K65" s="33" t="n">
        <f aca="false">D65-I65</f>
        <v>0</v>
      </c>
      <c r="L65" s="33" t="n">
        <f aca="false">G65-J65</f>
        <v>0</v>
      </c>
      <c r="M65" s="33" t="n">
        <f aca="false">F65</f>
        <v>13400114.5918621</v>
      </c>
      <c r="N65" s="65" t="n">
        <f aca="false">$C$7</f>
        <v>0.0126667070727526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46909</v>
      </c>
      <c r="C66" s="39" t="n">
        <v>89223248.4102402</v>
      </c>
      <c r="D66" s="39" t="n">
        <v>1130164.75169196</v>
      </c>
      <c r="E66" s="39" t="n">
        <v>12269949.8401702</v>
      </c>
      <c r="F66" s="39" t="n">
        <v>13400114.5918622</v>
      </c>
      <c r="G66" s="39" t="n">
        <v>76953298.57007</v>
      </c>
      <c r="H66" s="33" t="n">
        <f aca="false">J65</f>
        <v>89223248.4102402</v>
      </c>
      <c r="I66" s="33" t="n">
        <f aca="false">H66*N66</f>
        <v>1130164.75169196</v>
      </c>
      <c r="J66" s="33" t="n">
        <f aca="false">H66+I66-F66</f>
        <v>76953298.57007</v>
      </c>
      <c r="K66" s="33" t="n">
        <f aca="false">D66-I66</f>
        <v>0</v>
      </c>
      <c r="L66" s="33" t="n">
        <f aca="false">G66-J66</f>
        <v>0</v>
      </c>
      <c r="M66" s="33" t="n">
        <f aca="false">F66</f>
        <v>13400114.5918622</v>
      </c>
      <c r="N66" s="65" t="n">
        <f aca="false">$C$7</f>
        <v>0.0126667070727526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46939</v>
      </c>
      <c r="C67" s="39" t="n">
        <v>76953298.57007</v>
      </c>
      <c r="D67" s="39" t="n">
        <v>974744.891269152</v>
      </c>
      <c r="E67" s="39" t="n">
        <v>12425369.700593</v>
      </c>
      <c r="F67" s="39" t="n">
        <v>13400114.5918622</v>
      </c>
      <c r="G67" s="39" t="n">
        <v>64527928.8694771</v>
      </c>
      <c r="H67" s="33" t="n">
        <f aca="false">J66</f>
        <v>76953298.57007</v>
      </c>
      <c r="I67" s="33" t="n">
        <f aca="false">H67*N67</f>
        <v>974744.891269151</v>
      </c>
      <c r="J67" s="33" t="n">
        <f aca="false">H67+I67-F67</f>
        <v>64527928.869477</v>
      </c>
      <c r="K67" s="33" t="n">
        <f aca="false">D67-I67</f>
        <v>0</v>
      </c>
      <c r="L67" s="33" t="n">
        <f aca="false">G67-J67</f>
        <v>0</v>
      </c>
      <c r="M67" s="33" t="n">
        <f aca="false">F67</f>
        <v>13400114.5918622</v>
      </c>
      <c r="N67" s="65" t="n">
        <f aca="false">$C$7</f>
        <v>0.0126667070727526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46970</v>
      </c>
      <c r="C68" s="39" t="n">
        <v>64527928.8694771</v>
      </c>
      <c r="D68" s="39" t="n">
        <v>817356.373001084</v>
      </c>
      <c r="E68" s="39" t="n">
        <v>12582758.2188611</v>
      </c>
      <c r="F68" s="39" t="n">
        <v>13400114.5918621</v>
      </c>
      <c r="G68" s="39" t="n">
        <v>51945170.650616</v>
      </c>
      <c r="H68" s="33" t="n">
        <f aca="false">J67</f>
        <v>64527928.869477</v>
      </c>
      <c r="I68" s="33" t="n">
        <f aca="false">H68*N68</f>
        <v>817356.373001083</v>
      </c>
      <c r="J68" s="33" t="n">
        <f aca="false">H68+I68-F68</f>
        <v>51945170.6506159</v>
      </c>
      <c r="K68" s="33" t="n">
        <f aca="false">D68-I68</f>
        <v>0</v>
      </c>
      <c r="L68" s="33" t="n">
        <f aca="false">G68-J68</f>
        <v>0</v>
      </c>
      <c r="M68" s="33" t="n">
        <f aca="false">F68</f>
        <v>13400114.5918621</v>
      </c>
      <c r="N68" s="65" t="n">
        <f aca="false">$C$7</f>
        <v>0.0126667070727526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47001</v>
      </c>
      <c r="C69" s="39" t="n">
        <v>51945170.650616</v>
      </c>
      <c r="D69" s="39" t="n">
        <v>657974.2604755</v>
      </c>
      <c r="E69" s="39" t="n">
        <v>12742140.3313866</v>
      </c>
      <c r="F69" s="39" t="n">
        <v>13400114.5918621</v>
      </c>
      <c r="G69" s="39" t="n">
        <v>39203030.3192294</v>
      </c>
      <c r="H69" s="33" t="n">
        <f aca="false">J68</f>
        <v>51945170.6506159</v>
      </c>
      <c r="I69" s="33" t="n">
        <f aca="false">H69*N69</f>
        <v>657974.260475499</v>
      </c>
      <c r="J69" s="33" t="n">
        <f aca="false">H69+I69-F69</f>
        <v>39203030.3192293</v>
      </c>
      <c r="K69" s="33" t="n">
        <f aca="false">D69-I69</f>
        <v>0</v>
      </c>
      <c r="L69" s="33" t="n">
        <f aca="false">G69-J69</f>
        <v>0</v>
      </c>
      <c r="M69" s="33" t="n">
        <f aca="false">F69</f>
        <v>13400114.5918621</v>
      </c>
      <c r="N69" s="65" t="n">
        <f aca="false">$C$7</f>
        <v>0.0126667070727526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47031</v>
      </c>
      <c r="C70" s="39" t="n">
        <v>39203030.3192294</v>
      </c>
      <c r="D70" s="39" t="n">
        <v>496573.301417919</v>
      </c>
      <c r="E70" s="39" t="n">
        <v>12903541.2904442</v>
      </c>
      <c r="F70" s="39" t="n">
        <v>13400114.5918622</v>
      </c>
      <c r="G70" s="39" t="n">
        <v>26299489.0287851</v>
      </c>
      <c r="H70" s="33" t="n">
        <f aca="false">J69</f>
        <v>39203030.3192293</v>
      </c>
      <c r="I70" s="33" t="n">
        <f aca="false">H70*N70</f>
        <v>496573.301417918</v>
      </c>
      <c r="J70" s="33" t="n">
        <f aca="false">H70+I70-F70</f>
        <v>26299489.028785</v>
      </c>
      <c r="K70" s="33" t="n">
        <f aca="false">D70-I70</f>
        <v>0</v>
      </c>
      <c r="L70" s="33" t="n">
        <f aca="false">G70-J70</f>
        <v>0</v>
      </c>
      <c r="M70" s="33" t="n">
        <f aca="false">F70</f>
        <v>13400114.5918622</v>
      </c>
      <c r="N70" s="65" t="n">
        <f aca="false">$C$7</f>
        <v>0.0126667070727526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47062</v>
      </c>
      <c r="C71" s="39" t="n">
        <v>26299489.0287851</v>
      </c>
      <c r="D71" s="39" t="n">
        <v>333127.923690693</v>
      </c>
      <c r="E71" s="39" t="n">
        <v>13066986.6681715</v>
      </c>
      <c r="F71" s="39" t="n">
        <v>13400114.5918622</v>
      </c>
      <c r="G71" s="39" t="n">
        <v>13232502.3606137</v>
      </c>
      <c r="H71" s="33" t="n">
        <f aca="false">J70</f>
        <v>26299489.028785</v>
      </c>
      <c r="I71" s="33" t="n">
        <f aca="false">H71*N71</f>
        <v>333127.923690692</v>
      </c>
      <c r="J71" s="33" t="n">
        <f aca="false">H71+I71-F71</f>
        <v>13232502.3606136</v>
      </c>
      <c r="K71" s="33" t="n">
        <f aca="false">D71-I71</f>
        <v>0</v>
      </c>
      <c r="L71" s="33" t="n">
        <f aca="false">G71-J71</f>
        <v>9.31322574615479E-008</v>
      </c>
      <c r="M71" s="33" t="n">
        <f aca="false">F71</f>
        <v>13400114.5918622</v>
      </c>
      <c r="N71" s="65" t="n">
        <f aca="false">$C$7</f>
        <v>0.0126667070727526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47092</v>
      </c>
      <c r="C72" s="39" t="n">
        <v>13232502.3606137</v>
      </c>
      <c r="D72" s="39" t="n">
        <v>167612.231241401</v>
      </c>
      <c r="E72" s="39" t="n">
        <v>13232502.3606207</v>
      </c>
      <c r="F72" s="39" t="n">
        <v>13400114.5918622</v>
      </c>
      <c r="G72" s="39" t="n">
        <v>-7.07805156707764E-006</v>
      </c>
      <c r="H72" s="33" t="n">
        <f aca="false">J71</f>
        <v>13232502.3606136</v>
      </c>
      <c r="I72" s="33" t="n">
        <f aca="false">H72*N72</f>
        <v>167612.2312414</v>
      </c>
      <c r="J72" s="33" t="n">
        <f aca="false">H72+I72-F72</f>
        <v>-7.17304646968842E-006</v>
      </c>
      <c r="K72" s="33" t="n">
        <f aca="false">D72-I72</f>
        <v>1.10594555735588E-009</v>
      </c>
      <c r="L72" s="33" t="n">
        <f aca="false">G72-J72</f>
        <v>9.49949026107788E-008</v>
      </c>
      <c r="M72" s="33" t="n">
        <f aca="false">F72</f>
        <v>13400114.5918622</v>
      </c>
      <c r="N72" s="65" t="n">
        <f aca="false">$C$7</f>
        <v>0.0126667070727526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1782</v>
      </c>
    </row>
    <row r="2" customFormat="false" ht="15" hidden="false" customHeight="false" outlineLevel="0" collapsed="false">
      <c r="A2" s="24" t="s">
        <v>1783</v>
      </c>
    </row>
    <row r="3" customFormat="false" ht="15" hidden="false" customHeight="false" outlineLevel="0" collapsed="false">
      <c r="A3" s="34" t="s">
        <v>1748</v>
      </c>
      <c r="C3" s="38" t="s">
        <v>1784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1876684264</v>
      </c>
      <c r="F4" s="26" t="s">
        <v>1752</v>
      </c>
      <c r="I4" s="57" t="n">
        <f aca="false">_xlfn.MAXIFS($B$12:$B$40,$B$12:$B$40,"&lt;="&amp;Resumen!$C$5)</f>
        <v>46225</v>
      </c>
    </row>
    <row r="5" customFormat="false" ht="15" hidden="false" customHeight="false" outlineLevel="0" collapsed="false">
      <c r="A5" s="34" t="s">
        <v>1753</v>
      </c>
      <c r="C5" s="27" t="n">
        <v>45679</v>
      </c>
      <c r="F5" s="26" t="s">
        <v>1754</v>
      </c>
      <c r="I5" s="58" t="n">
        <f aca="false">SUMIFS($G$12:$G$40,$B$12:$B$40,I4)</f>
        <v>1883712218.08706</v>
      </c>
    </row>
    <row r="6" customFormat="false" ht="15" hidden="false" customHeight="false" outlineLevel="0" collapsed="false">
      <c r="A6" s="34" t="s">
        <v>1755</v>
      </c>
      <c r="C6" s="38" t="s">
        <v>1785</v>
      </c>
      <c r="F6" s="26" t="s">
        <v>1757</v>
      </c>
      <c r="I6" s="33" t="n">
        <f aca="false">SUMIFS($J$12:$J$40,$B$12:$B$40,I4)</f>
        <v>1883712218.08706</v>
      </c>
    </row>
    <row r="7" customFormat="false" ht="15" hidden="false" customHeight="false" outlineLevel="0" collapsed="false">
      <c r="A7" s="34" t="s">
        <v>1758</v>
      </c>
      <c r="C7" s="64" t="n">
        <v>0.0273627142719182</v>
      </c>
      <c r="F7" s="26" t="s">
        <v>1759</v>
      </c>
      <c r="I7" s="33" t="n">
        <f aca="false">SUMIFS($D$12:$D$40,$O$12:$O$40,1)</f>
        <v>154428550.826659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0.0273627142719176</v>
      </c>
      <c r="F8" s="26" t="s">
        <v>1761</v>
      </c>
      <c r="I8" s="33" t="n">
        <f aca="false">SUMIFS($E$12:$E$40,$P$12:$P$40,1)</f>
        <v>-5359114.08681464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0.114025674301772</v>
      </c>
      <c r="F9" s="26" t="s">
        <v>1763</v>
      </c>
      <c r="I9" s="33" t="n">
        <f aca="false">SUMPRODUCT(MAX(ABS($L$12:$L$40)))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45679</v>
      </c>
      <c r="C12" s="39"/>
      <c r="D12" s="39" t="n">
        <v>0</v>
      </c>
      <c r="E12" s="39" t="n">
        <v>0</v>
      </c>
      <c r="F12" s="39" t="n">
        <v>0</v>
      </c>
      <c r="G12" s="39" t="n">
        <v>1876684264</v>
      </c>
      <c r="H12" s="33" t="n">
        <f aca="false">G12</f>
        <v>1876684264</v>
      </c>
      <c r="I12" s="33" t="n">
        <v>0</v>
      </c>
      <c r="J12" s="33" t="n">
        <f aca="false">H12</f>
        <v>1876684264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-1876684264</v>
      </c>
      <c r="N12" s="65" t="n">
        <f aca="false">$C$7</f>
        <v>0.0273627142719182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45769</v>
      </c>
      <c r="C13" s="39" t="n">
        <v>1876684264</v>
      </c>
      <c r="D13" s="39" t="n">
        <v>51351175.294437</v>
      </c>
      <c r="E13" s="39" t="n">
        <v>-1093721.44869113</v>
      </c>
      <c r="F13" s="39" t="n">
        <v>50257453.8457459</v>
      </c>
      <c r="G13" s="39" t="n">
        <v>1877777985.44869</v>
      </c>
      <c r="H13" s="33" t="n">
        <f aca="false">J12</f>
        <v>1876684264</v>
      </c>
      <c r="I13" s="33" t="n">
        <f aca="false">H13*N13</f>
        <v>51351175.294437</v>
      </c>
      <c r="J13" s="33" t="n">
        <f aca="false">H13+I13-F13</f>
        <v>1877777985.44869</v>
      </c>
      <c r="K13" s="33" t="n">
        <f aca="false">D13-I13</f>
        <v>0</v>
      </c>
      <c r="L13" s="33" t="n">
        <f aca="false">G13-J13</f>
        <v>0</v>
      </c>
      <c r="M13" s="33" t="n">
        <f aca="false">F13</f>
        <v>50257453.8457459</v>
      </c>
      <c r="N13" s="65" t="n">
        <f aca="false">$C$7</f>
        <v>0.0273627142719182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45860</v>
      </c>
      <c r="C14" s="39" t="n">
        <v>1877777985.44869</v>
      </c>
      <c r="D14" s="39" t="n">
        <v>51381102.4819306</v>
      </c>
      <c r="E14" s="39" t="n">
        <v>-1123648.63618493</v>
      </c>
      <c r="F14" s="39" t="n">
        <v>50257453.8457457</v>
      </c>
      <c r="G14" s="39" t="n">
        <v>1878901634.08488</v>
      </c>
      <c r="H14" s="33" t="n">
        <f aca="false">J13</f>
        <v>1877777985.44869</v>
      </c>
      <c r="I14" s="33" t="n">
        <f aca="false">H14*N14</f>
        <v>51381102.4819306</v>
      </c>
      <c r="J14" s="33" t="n">
        <f aca="false">H14+I14-F14</f>
        <v>1878901634.08488</v>
      </c>
      <c r="K14" s="33" t="n">
        <f aca="false">D14-I14</f>
        <v>0</v>
      </c>
      <c r="L14" s="33" t="n">
        <f aca="false">G14-J14</f>
        <v>0</v>
      </c>
      <c r="M14" s="33" t="n">
        <f aca="false">F14</f>
        <v>50257453.8457457</v>
      </c>
      <c r="N14" s="65" t="n">
        <f aca="false">$C$7</f>
        <v>0.0273627142719182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45952</v>
      </c>
      <c r="C15" s="39" t="n">
        <v>1878901634.08488</v>
      </c>
      <c r="D15" s="39" t="n">
        <v>51411848.5585046</v>
      </c>
      <c r="E15" s="39" t="n">
        <v>-1154394.71275878</v>
      </c>
      <c r="F15" s="39" t="n">
        <v>50257453.8457458</v>
      </c>
      <c r="G15" s="39" t="n">
        <v>1880056028.79764</v>
      </c>
      <c r="H15" s="33" t="n">
        <f aca="false">J14</f>
        <v>1878901634.08488</v>
      </c>
      <c r="I15" s="33" t="n">
        <f aca="false">H15*N15</f>
        <v>51411848.5585046</v>
      </c>
      <c r="J15" s="33" t="n">
        <f aca="false">H15+I15-F15</f>
        <v>1880056028.79763</v>
      </c>
      <c r="K15" s="33" t="n">
        <f aca="false">D15-I15</f>
        <v>0</v>
      </c>
      <c r="L15" s="33" t="n">
        <f aca="false">G15-J15</f>
        <v>0</v>
      </c>
      <c r="M15" s="33" t="n">
        <f aca="false">F15</f>
        <v>50257453.8457458</v>
      </c>
      <c r="N15" s="65" t="n">
        <f aca="false">$C$7</f>
        <v>0.0273627142719182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46044</v>
      </c>
      <c r="C16" s="39" t="n">
        <v>1880056028.79764</v>
      </c>
      <c r="D16" s="39" t="n">
        <v>51443435.9311868</v>
      </c>
      <c r="E16" s="39" t="n">
        <v>-1185982.08544111</v>
      </c>
      <c r="F16" s="39" t="n">
        <v>50257453.8457457</v>
      </c>
      <c r="G16" s="39" t="n">
        <v>1881242010.88308</v>
      </c>
      <c r="H16" s="33" t="n">
        <f aca="false">J15</f>
        <v>1880056028.79763</v>
      </c>
      <c r="I16" s="33" t="n">
        <f aca="false">H16*N16</f>
        <v>51443435.9311868</v>
      </c>
      <c r="J16" s="33" t="n">
        <f aca="false">H16+I16-F16</f>
        <v>1881242010.88308</v>
      </c>
      <c r="K16" s="33" t="n">
        <f aca="false">D16-I16</f>
        <v>0</v>
      </c>
      <c r="L16" s="33" t="n">
        <f aca="false">G16-J16</f>
        <v>0</v>
      </c>
      <c r="M16" s="33" t="n">
        <f aca="false">F16</f>
        <v>50257453.8457457</v>
      </c>
      <c r="N16" s="65" t="n">
        <f aca="false">$C$7</f>
        <v>0.0273627142719182</v>
      </c>
      <c r="O16" s="48" t="n">
        <f aca="false">IF(AND(B16&gt;=DATE(2026,1,1),B16&lt;=Resumen!$C$5),1,0)</f>
        <v>1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46134</v>
      </c>
      <c r="C17" s="39" t="n">
        <v>1881242010.88308</v>
      </c>
      <c r="D17" s="39" t="n">
        <v>51475887.6201224</v>
      </c>
      <c r="E17" s="39" t="n">
        <v>-1218433.77437663</v>
      </c>
      <c r="F17" s="39" t="n">
        <v>50257453.8457457</v>
      </c>
      <c r="G17" s="39" t="n">
        <v>1882460444.65745</v>
      </c>
      <c r="H17" s="33" t="n">
        <f aca="false">J16</f>
        <v>1881242010.88308</v>
      </c>
      <c r="I17" s="33" t="n">
        <f aca="false">H17*N17</f>
        <v>51475887.6201224</v>
      </c>
      <c r="J17" s="33" t="n">
        <f aca="false">H17+I17-F17</f>
        <v>1882460444.65745</v>
      </c>
      <c r="K17" s="33" t="n">
        <f aca="false">D17-I17</f>
        <v>0</v>
      </c>
      <c r="L17" s="33" t="n">
        <f aca="false">G17-J17</f>
        <v>0</v>
      </c>
      <c r="M17" s="33" t="n">
        <f aca="false">F17</f>
        <v>50257453.8457457</v>
      </c>
      <c r="N17" s="65" t="n">
        <f aca="false">$C$7</f>
        <v>0.0273627142719182</v>
      </c>
      <c r="O17" s="48" t="n">
        <f aca="false">IF(AND(B17&gt;=DATE(2026,1,1),B17&lt;=Resumen!$C$5),1,0)</f>
        <v>1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46225</v>
      </c>
      <c r="C18" s="39" t="n">
        <v>1882460444.65745</v>
      </c>
      <c r="D18" s="39" t="n">
        <v>51509227.2753499</v>
      </c>
      <c r="E18" s="39" t="n">
        <v>-1251773.42960405</v>
      </c>
      <c r="F18" s="39" t="n">
        <v>50257453.8457458</v>
      </c>
      <c r="G18" s="39" t="n">
        <v>1883712218.08706</v>
      </c>
      <c r="H18" s="33" t="n">
        <f aca="false">J17</f>
        <v>1882460444.65745</v>
      </c>
      <c r="I18" s="33" t="n">
        <f aca="false">H18*N18</f>
        <v>51509227.2753499</v>
      </c>
      <c r="J18" s="33" t="n">
        <f aca="false">H18+I18-F18</f>
        <v>1883712218.08706</v>
      </c>
      <c r="K18" s="33" t="n">
        <f aca="false">D18-I18</f>
        <v>0</v>
      </c>
      <c r="L18" s="33" t="n">
        <f aca="false">G18-J18</f>
        <v>0</v>
      </c>
      <c r="M18" s="33" t="n">
        <f aca="false">F18</f>
        <v>50257453.8457458</v>
      </c>
      <c r="N18" s="65" t="n">
        <f aca="false">$C$7</f>
        <v>0.0273627142719182</v>
      </c>
      <c r="O18" s="48" t="n">
        <f aca="false">IF(AND(B18&gt;=DATE(2026,1,1),B18&lt;=Resumen!$C$5),1,0)</f>
        <v>1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46317</v>
      </c>
      <c r="C19" s="39" t="n">
        <v>1883712218.08706</v>
      </c>
      <c r="D19" s="39" t="n">
        <v>51543479.1940373</v>
      </c>
      <c r="E19" s="39" t="n">
        <v>-1286025.34829164</v>
      </c>
      <c r="F19" s="39" t="n">
        <v>50257453.8457457</v>
      </c>
      <c r="G19" s="39" t="n">
        <v>1884998243.43535</v>
      </c>
      <c r="H19" s="33" t="n">
        <f aca="false">J18</f>
        <v>1883712218.08706</v>
      </c>
      <c r="I19" s="33" t="n">
        <f aca="false">H19*N19</f>
        <v>51543479.1940373</v>
      </c>
      <c r="J19" s="33" t="n">
        <f aca="false">H19+I19-F19</f>
        <v>1884998243.43535</v>
      </c>
      <c r="K19" s="33" t="n">
        <f aca="false">D19-I19</f>
        <v>0</v>
      </c>
      <c r="L19" s="33" t="n">
        <f aca="false">G19-J19</f>
        <v>0</v>
      </c>
      <c r="M19" s="33" t="n">
        <f aca="false">F19</f>
        <v>50257453.8457457</v>
      </c>
      <c r="N19" s="65" t="n">
        <f aca="false">$C$7</f>
        <v>0.0273627142719182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1</v>
      </c>
    </row>
    <row r="20" customFormat="false" ht="15" hidden="false" customHeight="false" outlineLevel="0" collapsed="false">
      <c r="A20" s="38" t="n">
        <v>8</v>
      </c>
      <c r="B20" s="27" t="n">
        <v>46409</v>
      </c>
      <c r="C20" s="39" t="n">
        <v>1884998243.43535</v>
      </c>
      <c r="D20" s="39" t="n">
        <v>51578668.3381891</v>
      </c>
      <c r="E20" s="39" t="n">
        <v>-1321214.49244332</v>
      </c>
      <c r="F20" s="39" t="n">
        <v>50257453.8457458</v>
      </c>
      <c r="G20" s="39" t="n">
        <v>1886319457.92779</v>
      </c>
      <c r="H20" s="33" t="n">
        <f aca="false">J19</f>
        <v>1884998243.43535</v>
      </c>
      <c r="I20" s="33" t="n">
        <f aca="false">H20*N20</f>
        <v>51578668.3381891</v>
      </c>
      <c r="J20" s="33" t="n">
        <f aca="false">H20+I20-F20</f>
        <v>1886319457.92779</v>
      </c>
      <c r="K20" s="33" t="n">
        <f aca="false">D20-I20</f>
        <v>0</v>
      </c>
      <c r="L20" s="33" t="n">
        <f aca="false">G20-J20</f>
        <v>0</v>
      </c>
      <c r="M20" s="33" t="n">
        <f aca="false">F20</f>
        <v>50257453.8457458</v>
      </c>
      <c r="N20" s="65" t="n">
        <f aca="false">$C$7</f>
        <v>0.0273627142719182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1</v>
      </c>
    </row>
    <row r="21" customFormat="false" ht="15" hidden="false" customHeight="false" outlineLevel="0" collapsed="false">
      <c r="A21" s="38" t="n">
        <v>9</v>
      </c>
      <c r="B21" s="27" t="n">
        <v>46499</v>
      </c>
      <c r="C21" s="39" t="n">
        <v>1886319457.92779</v>
      </c>
      <c r="D21" s="39" t="n">
        <v>51614820.3528377</v>
      </c>
      <c r="E21" s="39" t="n">
        <v>-1357366.507092</v>
      </c>
      <c r="F21" s="39" t="n">
        <v>50257453.8457457</v>
      </c>
      <c r="G21" s="39" t="n">
        <v>1887676824.43488</v>
      </c>
      <c r="H21" s="33" t="n">
        <f aca="false">J20</f>
        <v>1886319457.92779</v>
      </c>
      <c r="I21" s="33" t="n">
        <f aca="false">H21*N21</f>
        <v>51614820.3528377</v>
      </c>
      <c r="J21" s="33" t="n">
        <f aca="false">H21+I21-F21</f>
        <v>1887676824.43488</v>
      </c>
      <c r="K21" s="33" t="n">
        <f aca="false">D21-I21</f>
        <v>0</v>
      </c>
      <c r="L21" s="33" t="n">
        <f aca="false">G21-J21</f>
        <v>0</v>
      </c>
      <c r="M21" s="33" t="n">
        <f aca="false">F21</f>
        <v>50257453.8457457</v>
      </c>
      <c r="N21" s="65" t="n">
        <f aca="false">$C$7</f>
        <v>0.0273627142719182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1</v>
      </c>
    </row>
    <row r="22" customFormat="false" ht="15" hidden="false" customHeight="false" outlineLevel="0" collapsed="false">
      <c r="A22" s="38" t="n">
        <v>10</v>
      </c>
      <c r="B22" s="27" t="n">
        <v>46590</v>
      </c>
      <c r="C22" s="39" t="n">
        <v>1887676824.43488</v>
      </c>
      <c r="D22" s="39" t="n">
        <v>51651961.5847336</v>
      </c>
      <c r="E22" s="39" t="n">
        <v>-1394507.73898768</v>
      </c>
      <c r="F22" s="39" t="n">
        <v>50257453.8457459</v>
      </c>
      <c r="G22" s="39" t="n">
        <v>1889071332.17387</v>
      </c>
      <c r="H22" s="33" t="n">
        <f aca="false">J21</f>
        <v>1887676824.43488</v>
      </c>
      <c r="I22" s="33" t="n">
        <f aca="false">H22*N22</f>
        <v>51651961.5847335</v>
      </c>
      <c r="J22" s="33" t="n">
        <f aca="false">H22+I22-F22</f>
        <v>1889071332.17387</v>
      </c>
      <c r="K22" s="33" t="n">
        <f aca="false">D22-I22</f>
        <v>0</v>
      </c>
      <c r="L22" s="33" t="n">
        <f aca="false">G22-J22</f>
        <v>0</v>
      </c>
      <c r="M22" s="33" t="n">
        <f aca="false">F22</f>
        <v>50257453.8457459</v>
      </c>
      <c r="N22" s="65" t="n">
        <f aca="false">$C$7</f>
        <v>0.0273627142719182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1</v>
      </c>
    </row>
    <row r="23" customFormat="false" ht="15" hidden="false" customHeight="false" outlineLevel="0" collapsed="false">
      <c r="A23" s="38" t="n">
        <v>11</v>
      </c>
      <c r="B23" s="27" t="n">
        <v>46682</v>
      </c>
      <c r="C23" s="39" t="n">
        <v>1889071332.17387</v>
      </c>
      <c r="D23" s="39" t="n">
        <v>51690119.1015455</v>
      </c>
      <c r="E23" s="39" t="n">
        <v>-1432665.25579953</v>
      </c>
      <c r="F23" s="39" t="n">
        <v>50257453.8457459</v>
      </c>
      <c r="G23" s="39" t="n">
        <v>1890503997.42967</v>
      </c>
      <c r="H23" s="33" t="n">
        <f aca="false">J22</f>
        <v>1889071332.17387</v>
      </c>
      <c r="I23" s="33" t="n">
        <f aca="false">H23*N23</f>
        <v>51690119.1015454</v>
      </c>
      <c r="J23" s="33" t="n">
        <f aca="false">H23+I23-F23</f>
        <v>1890503997.42967</v>
      </c>
      <c r="K23" s="33" t="n">
        <f aca="false">D23-I23</f>
        <v>0</v>
      </c>
      <c r="L23" s="33" t="n">
        <f aca="false">G23-J23</f>
        <v>0</v>
      </c>
      <c r="M23" s="33" t="n">
        <f aca="false">F23</f>
        <v>50257453.8457459</v>
      </c>
      <c r="N23" s="65" t="n">
        <f aca="false">$C$7</f>
        <v>0.0273627142719182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46774</v>
      </c>
      <c r="C24" s="39" t="n">
        <v>1890503997.42967</v>
      </c>
      <c r="D24" s="39" t="n">
        <v>51729320.7115872</v>
      </c>
      <c r="E24" s="39" t="n">
        <v>-1471866.86584139</v>
      </c>
      <c r="F24" s="39" t="n">
        <v>50257453.8457458</v>
      </c>
      <c r="G24" s="39" t="n">
        <v>1891975864.29551</v>
      </c>
      <c r="H24" s="33" t="n">
        <f aca="false">J23</f>
        <v>1890503997.42967</v>
      </c>
      <c r="I24" s="33" t="n">
        <f aca="false">H24*N24</f>
        <v>51729320.7115872</v>
      </c>
      <c r="J24" s="33" t="n">
        <f aca="false">H24+I24-F24</f>
        <v>1891975864.29551</v>
      </c>
      <c r="K24" s="33" t="n">
        <f aca="false">D24-I24</f>
        <v>0</v>
      </c>
      <c r="L24" s="33" t="n">
        <f aca="false">G24-J24</f>
        <v>0</v>
      </c>
      <c r="M24" s="33" t="n">
        <f aca="false">F24</f>
        <v>50257453.8457458</v>
      </c>
      <c r="N24" s="65" t="n">
        <f aca="false">$C$7</f>
        <v>0.0273627142719182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46865</v>
      </c>
      <c r="C25" s="39" t="n">
        <v>1891975864.29551</v>
      </c>
      <c r="D25" s="39" t="n">
        <v>51769594.9840835</v>
      </c>
      <c r="E25" s="39" t="n">
        <v>94881238.0159166</v>
      </c>
      <c r="F25" s="39" t="n">
        <v>146650833</v>
      </c>
      <c r="G25" s="39" t="n">
        <v>1797094626.2796</v>
      </c>
      <c r="H25" s="33" t="n">
        <f aca="false">J24</f>
        <v>1891975864.29551</v>
      </c>
      <c r="I25" s="33" t="n">
        <f aca="false">H25*N25</f>
        <v>51769594.9840835</v>
      </c>
      <c r="J25" s="33" t="n">
        <f aca="false">H25+I25-F25</f>
        <v>1797094626.2796</v>
      </c>
      <c r="K25" s="33" t="n">
        <f aca="false">D25-I25</f>
        <v>0</v>
      </c>
      <c r="L25" s="33" t="n">
        <f aca="false">G25-J25</f>
        <v>0</v>
      </c>
      <c r="M25" s="33" t="n">
        <f aca="false">F25</f>
        <v>146650833</v>
      </c>
      <c r="N25" s="65" t="n">
        <f aca="false">$C$7</f>
        <v>0.0273627142719182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46956</v>
      </c>
      <c r="C26" s="39" t="n">
        <v>1797094626.2796</v>
      </c>
      <c r="D26" s="39" t="n">
        <v>49173386.7784881</v>
      </c>
      <c r="E26" s="39" t="n">
        <v>97477446.2215118</v>
      </c>
      <c r="F26" s="39" t="n">
        <v>146650833</v>
      </c>
      <c r="G26" s="39" t="n">
        <v>1699617180.05808</v>
      </c>
      <c r="H26" s="33" t="n">
        <f aca="false">J25</f>
        <v>1797094626.2796</v>
      </c>
      <c r="I26" s="33" t="n">
        <f aca="false">H26*N26</f>
        <v>49173386.7784881</v>
      </c>
      <c r="J26" s="33" t="n">
        <f aca="false">H26+I26-F26</f>
        <v>1699617180.05808</v>
      </c>
      <c r="K26" s="33" t="n">
        <f aca="false">D26-I26</f>
        <v>0</v>
      </c>
      <c r="L26" s="33" t="n">
        <f aca="false">G26-J26</f>
        <v>0</v>
      </c>
      <c r="M26" s="33" t="n">
        <f aca="false">F26</f>
        <v>146650833</v>
      </c>
      <c r="N26" s="65" t="n">
        <f aca="false">$C$7</f>
        <v>0.0273627142719182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47048</v>
      </c>
      <c r="C27" s="39" t="n">
        <v>1699617180.05808</v>
      </c>
      <c r="D27" s="39" t="n">
        <v>46506139.2695726</v>
      </c>
      <c r="E27" s="39" t="n">
        <v>100144693.730427</v>
      </c>
      <c r="F27" s="39" t="n">
        <v>146650833</v>
      </c>
      <c r="G27" s="39" t="n">
        <v>1599472486.32766</v>
      </c>
      <c r="H27" s="33" t="n">
        <f aca="false">J26</f>
        <v>1699617180.05808</v>
      </c>
      <c r="I27" s="33" t="n">
        <f aca="false">H27*N27</f>
        <v>46506139.2695726</v>
      </c>
      <c r="J27" s="33" t="n">
        <f aca="false">H27+I27-F27</f>
        <v>1599472486.32766</v>
      </c>
      <c r="K27" s="33" t="n">
        <f aca="false">D27-I27</f>
        <v>0</v>
      </c>
      <c r="L27" s="33" t="n">
        <f aca="false">G27-J27</f>
        <v>0</v>
      </c>
      <c r="M27" s="33" t="n">
        <f aca="false">F27</f>
        <v>146650833</v>
      </c>
      <c r="N27" s="65" t="n">
        <f aca="false">$C$7</f>
        <v>0.0273627142719182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47140</v>
      </c>
      <c r="C28" s="39" t="n">
        <v>1599472486.32766</v>
      </c>
      <c r="D28" s="39" t="n">
        <v>43765908.6291782</v>
      </c>
      <c r="E28" s="39" t="n">
        <v>102884924.370822</v>
      </c>
      <c r="F28" s="39" t="n">
        <v>146650833</v>
      </c>
      <c r="G28" s="39" t="n">
        <v>1496587561.95684</v>
      </c>
      <c r="H28" s="33" t="n">
        <f aca="false">J27</f>
        <v>1599472486.32766</v>
      </c>
      <c r="I28" s="33" t="n">
        <f aca="false">H28*N28</f>
        <v>43765908.6291782</v>
      </c>
      <c r="J28" s="33" t="n">
        <f aca="false">H28+I28-F28</f>
        <v>1496587561.95683</v>
      </c>
      <c r="K28" s="33" t="n">
        <f aca="false">D28-I28</f>
        <v>0</v>
      </c>
      <c r="L28" s="33" t="n">
        <f aca="false">G28-J28</f>
        <v>0</v>
      </c>
      <c r="M28" s="33" t="n">
        <f aca="false">F28</f>
        <v>146650833</v>
      </c>
      <c r="N28" s="65" t="n">
        <f aca="false">$C$7</f>
        <v>0.0273627142719182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47230</v>
      </c>
      <c r="C29" s="39" t="n">
        <v>1496587561.95684</v>
      </c>
      <c r="D29" s="39" t="n">
        <v>40950697.8407315</v>
      </c>
      <c r="E29" s="39" t="n">
        <v>105700135.159269</v>
      </c>
      <c r="F29" s="39" t="n">
        <v>146650833</v>
      </c>
      <c r="G29" s="39" t="n">
        <v>1390887426.79757</v>
      </c>
      <c r="H29" s="33" t="n">
        <f aca="false">J28</f>
        <v>1496587561.95683</v>
      </c>
      <c r="I29" s="33" t="n">
        <f aca="false">H29*N29</f>
        <v>40950697.8407315</v>
      </c>
      <c r="J29" s="33" t="n">
        <f aca="false">H29+I29-F29</f>
        <v>1390887426.79757</v>
      </c>
      <c r="K29" s="33" t="n">
        <f aca="false">D29-I29</f>
        <v>0</v>
      </c>
      <c r="L29" s="33" t="n">
        <f aca="false">G29-J29</f>
        <v>0</v>
      </c>
      <c r="M29" s="33" t="n">
        <f aca="false">F29</f>
        <v>146650833</v>
      </c>
      <c r="N29" s="65" t="n">
        <f aca="false">$C$7</f>
        <v>0.0273627142719182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47321</v>
      </c>
      <c r="C30" s="39" t="n">
        <v>1390887426.79757</v>
      </c>
      <c r="D30" s="39" t="n">
        <v>38058455.2438653</v>
      </c>
      <c r="E30" s="39" t="n">
        <v>108592377.756135</v>
      </c>
      <c r="F30" s="39" t="n">
        <v>146650833</v>
      </c>
      <c r="G30" s="39" t="n">
        <v>1282295049.04143</v>
      </c>
      <c r="H30" s="33" t="n">
        <f aca="false">J29</f>
        <v>1390887426.79757</v>
      </c>
      <c r="I30" s="33" t="n">
        <f aca="false">H30*N30</f>
        <v>38058455.2438653</v>
      </c>
      <c r="J30" s="33" t="n">
        <f aca="false">H30+I30-F30</f>
        <v>1282295049.04143</v>
      </c>
      <c r="K30" s="33" t="n">
        <f aca="false">D30-I30</f>
        <v>0</v>
      </c>
      <c r="L30" s="33" t="n">
        <f aca="false">G30-J30</f>
        <v>0</v>
      </c>
      <c r="M30" s="33" t="n">
        <f aca="false">F30</f>
        <v>146650833</v>
      </c>
      <c r="N30" s="65" t="n">
        <f aca="false">$C$7</f>
        <v>0.0273627142719182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47413</v>
      </c>
      <c r="C31" s="39" t="n">
        <v>1282295049.04143</v>
      </c>
      <c r="D31" s="39" t="n">
        <v>35087073.039216</v>
      </c>
      <c r="E31" s="39" t="n">
        <v>111563759.960784</v>
      </c>
      <c r="F31" s="39" t="n">
        <v>146650833</v>
      </c>
      <c r="G31" s="39" t="n">
        <v>1170731289.08065</v>
      </c>
      <c r="H31" s="33" t="n">
        <f aca="false">J30</f>
        <v>1282295049.04143</v>
      </c>
      <c r="I31" s="33" t="n">
        <f aca="false">H31*N31</f>
        <v>35087073.039216</v>
      </c>
      <c r="J31" s="33" t="n">
        <f aca="false">H31+I31-F31</f>
        <v>1170731289.08065</v>
      </c>
      <c r="K31" s="33" t="n">
        <f aca="false">D31-I31</f>
        <v>0</v>
      </c>
      <c r="L31" s="33" t="n">
        <f aca="false">G31-J31</f>
        <v>0</v>
      </c>
      <c r="M31" s="33" t="n">
        <f aca="false">F31</f>
        <v>146650833</v>
      </c>
      <c r="N31" s="65" t="n">
        <f aca="false">$C$7</f>
        <v>0.0273627142719182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47505</v>
      </c>
      <c r="C32" s="39" t="n">
        <v>1170731289.08065</v>
      </c>
      <c r="D32" s="39" t="n">
        <v>32034385.7523082</v>
      </c>
      <c r="E32" s="39" t="n">
        <v>114616447.247692</v>
      </c>
      <c r="F32" s="39" t="n">
        <v>146650833</v>
      </c>
      <c r="G32" s="39" t="n">
        <v>1056114841.83296</v>
      </c>
      <c r="H32" s="33" t="n">
        <f aca="false">J31</f>
        <v>1170731289.08065</v>
      </c>
      <c r="I32" s="33" t="n">
        <f aca="false">H32*N32</f>
        <v>32034385.7523082</v>
      </c>
      <c r="J32" s="33" t="n">
        <f aca="false">H32+I32-F32</f>
        <v>1056114841.83296</v>
      </c>
      <c r="K32" s="33" t="n">
        <f aca="false">D32-I32</f>
        <v>0</v>
      </c>
      <c r="L32" s="33" t="n">
        <f aca="false">G32-J32</f>
        <v>0</v>
      </c>
      <c r="M32" s="33" t="n">
        <f aca="false">F32</f>
        <v>146650833</v>
      </c>
      <c r="N32" s="65" t="n">
        <f aca="false">$C$7</f>
        <v>0.0273627142719182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47595</v>
      </c>
      <c r="C33" s="39" t="n">
        <v>1056114841.83296</v>
      </c>
      <c r="D33" s="39" t="n">
        <v>28898168.6554072</v>
      </c>
      <c r="E33" s="39" t="n">
        <v>117752664.344593</v>
      </c>
      <c r="F33" s="39" t="n">
        <v>146650833</v>
      </c>
      <c r="G33" s="39" t="n">
        <v>938362177.488363</v>
      </c>
      <c r="H33" s="33" t="n">
        <f aca="false">J32</f>
        <v>1056114841.83296</v>
      </c>
      <c r="I33" s="33" t="n">
        <f aca="false">H33*N33</f>
        <v>28898168.6554072</v>
      </c>
      <c r="J33" s="33" t="n">
        <f aca="false">H33+I33-F33</f>
        <v>938362177.488363</v>
      </c>
      <c r="K33" s="33" t="n">
        <f aca="false">D33-I33</f>
        <v>0</v>
      </c>
      <c r="L33" s="33" t="n">
        <f aca="false">G33-J33</f>
        <v>0</v>
      </c>
      <c r="M33" s="33" t="n">
        <f aca="false">F33</f>
        <v>146650833</v>
      </c>
      <c r="N33" s="65" t="n">
        <f aca="false">$C$7</f>
        <v>0.0273627142719182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47686</v>
      </c>
      <c r="C34" s="39" t="n">
        <v>938362177.488363</v>
      </c>
      <c r="D34" s="39" t="n">
        <v>25676136.146189</v>
      </c>
      <c r="E34" s="39" t="n">
        <v>120974696.853811</v>
      </c>
      <c r="F34" s="39" t="n">
        <v>146650833</v>
      </c>
      <c r="G34" s="39" t="n">
        <v>817387480.634552</v>
      </c>
      <c r="H34" s="33" t="n">
        <f aca="false">J33</f>
        <v>938362177.488363</v>
      </c>
      <c r="I34" s="33" t="n">
        <f aca="false">H34*N34</f>
        <v>25676136.146189</v>
      </c>
      <c r="J34" s="33" t="n">
        <f aca="false">H34+I34-F34</f>
        <v>817387480.634552</v>
      </c>
      <c r="K34" s="33" t="n">
        <f aca="false">D34-I34</f>
        <v>0</v>
      </c>
      <c r="L34" s="33" t="n">
        <f aca="false">G34-J34</f>
        <v>0</v>
      </c>
      <c r="M34" s="33" t="n">
        <f aca="false">F34</f>
        <v>146650833</v>
      </c>
      <c r="N34" s="65" t="n">
        <f aca="false">$C$7</f>
        <v>0.0273627142719182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47778</v>
      </c>
      <c r="C35" s="39" t="n">
        <v>817387480.634552</v>
      </c>
      <c r="D35" s="39" t="n">
        <v>22365940.0820463</v>
      </c>
      <c r="E35" s="39" t="n">
        <v>124284892.917954</v>
      </c>
      <c r="F35" s="39" t="n">
        <v>146650833</v>
      </c>
      <c r="G35" s="39" t="n">
        <v>693102587.716598</v>
      </c>
      <c r="H35" s="33" t="n">
        <f aca="false">J34</f>
        <v>817387480.634552</v>
      </c>
      <c r="I35" s="33" t="n">
        <f aca="false">H35*N35</f>
        <v>22365940.0820463</v>
      </c>
      <c r="J35" s="33" t="n">
        <f aca="false">H35+I35-F35</f>
        <v>693102587.716598</v>
      </c>
      <c r="K35" s="33" t="n">
        <f aca="false">D35-I35</f>
        <v>0</v>
      </c>
      <c r="L35" s="33" t="n">
        <f aca="false">G35-J35</f>
        <v>0</v>
      </c>
      <c r="M35" s="33" t="n">
        <f aca="false">F35</f>
        <v>146650833</v>
      </c>
      <c r="N35" s="65" t="n">
        <f aca="false">$C$7</f>
        <v>0.0273627142719182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47870</v>
      </c>
      <c r="C36" s="39" t="n">
        <v>693102587.716598</v>
      </c>
      <c r="D36" s="39" t="n">
        <v>18965168.0688164</v>
      </c>
      <c r="E36" s="39" t="n">
        <v>127685664.931184</v>
      </c>
      <c r="F36" s="39" t="n">
        <v>146650833</v>
      </c>
      <c r="G36" s="39" t="n">
        <v>565416922.785415</v>
      </c>
      <c r="H36" s="33" t="n">
        <f aca="false">J35</f>
        <v>693102587.716598</v>
      </c>
      <c r="I36" s="33" t="n">
        <f aca="false">H36*N36</f>
        <v>18965168.0688164</v>
      </c>
      <c r="J36" s="33" t="n">
        <f aca="false">H36+I36-F36</f>
        <v>565416922.785414</v>
      </c>
      <c r="K36" s="33" t="n">
        <f aca="false">D36-I36</f>
        <v>0</v>
      </c>
      <c r="L36" s="33" t="n">
        <f aca="false">G36-J36</f>
        <v>0</v>
      </c>
      <c r="M36" s="33" t="n">
        <f aca="false">F36</f>
        <v>146650833</v>
      </c>
      <c r="N36" s="65" t="n">
        <f aca="false">$C$7</f>
        <v>0.0273627142719182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47960</v>
      </c>
      <c r="C37" s="39" t="n">
        <v>565416922.785415</v>
      </c>
      <c r="D37" s="39" t="n">
        <v>15471341.7026845</v>
      </c>
      <c r="E37" s="39" t="n">
        <v>131179491.297316</v>
      </c>
      <c r="F37" s="39" t="n">
        <v>146650833</v>
      </c>
      <c r="G37" s="39" t="n">
        <v>434237431.488099</v>
      </c>
      <c r="H37" s="33" t="n">
        <f aca="false">J36</f>
        <v>565416922.785414</v>
      </c>
      <c r="I37" s="33" t="n">
        <f aca="false">H37*N37</f>
        <v>15471341.7026845</v>
      </c>
      <c r="J37" s="33" t="n">
        <f aca="false">H37+I37-F37</f>
        <v>434237431.488099</v>
      </c>
      <c r="K37" s="33" t="n">
        <f aca="false">D37-I37</f>
        <v>0</v>
      </c>
      <c r="L37" s="33" t="n">
        <f aca="false">G37-J37</f>
        <v>0</v>
      </c>
      <c r="M37" s="33" t="n">
        <f aca="false">F37</f>
        <v>146650833</v>
      </c>
      <c r="N37" s="65" t="n">
        <f aca="false">$C$7</f>
        <v>0.0273627142719182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48051</v>
      </c>
      <c r="C38" s="39" t="n">
        <v>434237431.488099</v>
      </c>
      <c r="D38" s="39" t="n">
        <v>11881914.7639805</v>
      </c>
      <c r="E38" s="39" t="n">
        <v>134768918.23602</v>
      </c>
      <c r="F38" s="39" t="n">
        <v>146650833</v>
      </c>
      <c r="G38" s="39" t="n">
        <v>299468513.25208</v>
      </c>
      <c r="H38" s="33" t="n">
        <f aca="false">J37</f>
        <v>434237431.488099</v>
      </c>
      <c r="I38" s="33" t="n">
        <f aca="false">H38*N38</f>
        <v>11881914.7639805</v>
      </c>
      <c r="J38" s="33" t="n">
        <f aca="false">H38+I38-F38</f>
        <v>299468513.252079</v>
      </c>
      <c r="K38" s="33" t="n">
        <f aca="false">D38-I38</f>
        <v>0</v>
      </c>
      <c r="L38" s="33" t="n">
        <f aca="false">G38-J38</f>
        <v>0</v>
      </c>
      <c r="M38" s="33" t="n">
        <f aca="false">F38</f>
        <v>146650833</v>
      </c>
      <c r="N38" s="65" t="n">
        <f aca="false">$C$7</f>
        <v>0.0273627142719182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48143</v>
      </c>
      <c r="C39" s="39" t="n">
        <v>299468513.25208</v>
      </c>
      <c r="D39" s="39" t="n">
        <v>8194271.36155279</v>
      </c>
      <c r="E39" s="39" t="n">
        <v>138456561.638447</v>
      </c>
      <c r="F39" s="39" t="n">
        <v>146650833</v>
      </c>
      <c r="G39" s="39" t="n">
        <v>161011951.613632</v>
      </c>
      <c r="H39" s="33" t="n">
        <f aca="false">J38</f>
        <v>299468513.252079</v>
      </c>
      <c r="I39" s="33" t="n">
        <f aca="false">H39*N39</f>
        <v>8194271.36155279</v>
      </c>
      <c r="J39" s="33" t="n">
        <f aca="false">H39+I39-F39</f>
        <v>161011951.613632</v>
      </c>
      <c r="K39" s="33" t="n">
        <f aca="false">D39-I39</f>
        <v>0</v>
      </c>
      <c r="L39" s="33" t="n">
        <f aca="false">G39-J39</f>
        <v>0</v>
      </c>
      <c r="M39" s="33" t="n">
        <f aca="false">F39</f>
        <v>146650833</v>
      </c>
      <c r="N39" s="65" t="n">
        <f aca="false">$C$7</f>
        <v>0.0273627142719182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48235</v>
      </c>
      <c r="C40" s="39" t="n">
        <v>161011951.613632</v>
      </c>
      <c r="D40" s="39" t="n">
        <v>4405724.02636773</v>
      </c>
      <c r="E40" s="39" t="n">
        <v>161011951.613632</v>
      </c>
      <c r="F40" s="39" t="n">
        <v>165417675.64</v>
      </c>
      <c r="G40" s="39" t="n">
        <v>0</v>
      </c>
      <c r="H40" s="33" t="n">
        <f aca="false">J39</f>
        <v>161011951.613632</v>
      </c>
      <c r="I40" s="33" t="n">
        <f aca="false">H40*N40</f>
        <v>4405724.02636773</v>
      </c>
      <c r="J40" s="33" t="n">
        <f aca="false">H40+I40-F40</f>
        <v>0</v>
      </c>
      <c r="K40" s="33" t="n">
        <f aca="false">D40-I40</f>
        <v>0</v>
      </c>
      <c r="L40" s="33" t="n">
        <f aca="false">G40-J40</f>
        <v>0</v>
      </c>
      <c r="M40" s="33" t="n">
        <f aca="false">F40</f>
        <v>165417675.64</v>
      </c>
      <c r="N40" s="65" t="n">
        <f aca="false">$C$7</f>
        <v>0.0273627142719182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2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1786</v>
      </c>
    </row>
    <row r="2" customFormat="false" ht="15" hidden="false" customHeight="false" outlineLevel="0" collapsed="false">
      <c r="A2" s="24" t="s">
        <v>1787</v>
      </c>
    </row>
    <row r="3" customFormat="false" ht="15" hidden="false" customHeight="false" outlineLevel="0" collapsed="false">
      <c r="A3" s="34" t="s">
        <v>1748</v>
      </c>
      <c r="C3" s="38" t="s">
        <v>1788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7500000000</v>
      </c>
      <c r="F4" s="26" t="s">
        <v>1752</v>
      </c>
      <c r="I4" s="57" t="n">
        <f aca="false">_xlfn.MAXIFS($B$12:$B$252,$B$12:$B$252,"&lt;="&amp;Resumen!$C$5)</f>
        <v>46224</v>
      </c>
    </row>
    <row r="5" customFormat="false" ht="15" hidden="false" customHeight="false" outlineLevel="0" collapsed="false">
      <c r="A5" s="34" t="s">
        <v>1753</v>
      </c>
      <c r="C5" s="27" t="n">
        <v>45372</v>
      </c>
      <c r="F5" s="26" t="s">
        <v>1754</v>
      </c>
      <c r="I5" s="58" t="n">
        <f aca="false">SUMIFS($G$12:$G$252,$B$12:$B$252,I4)</f>
        <v>7500000000</v>
      </c>
    </row>
    <row r="6" customFormat="false" ht="15" hidden="false" customHeight="false" outlineLevel="0" collapsed="false">
      <c r="A6" s="34" t="s">
        <v>1755</v>
      </c>
      <c r="C6" s="38" t="s">
        <v>1789</v>
      </c>
      <c r="F6" s="26" t="s">
        <v>1757</v>
      </c>
      <c r="I6" s="33" t="n">
        <f aca="false">SUMIFS($J$12:$J$252,$B$12:$B$252,I4)</f>
        <v>7500000000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SUMIFS($D$12:$D$252,$O$12:$O$252,1)</f>
        <v>639243750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IFERROR(IRR($M$12:$M$252),"N/A")</f>
        <v>N/A</v>
      </c>
      <c r="F8" s="26" t="s">
        <v>1761</v>
      </c>
      <c r="I8" s="33" t="n">
        <f aca="false">SUMIFS($E$12:$E$252,$P$12:$P$252,1)</f>
        <v>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SUMPRODUCT(MAX(ABS($L$12:$L$252)))</f>
        <v>3.57627868652344E-007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45372</v>
      </c>
      <c r="C12" s="39" t="n">
        <v>7500000000</v>
      </c>
      <c r="D12" s="39" t="n">
        <v>0</v>
      </c>
      <c r="E12" s="39" t="n">
        <v>0</v>
      </c>
      <c r="F12" s="39" t="n">
        <v>0</v>
      </c>
      <c r="G12" s="39" t="n">
        <v>7500000000</v>
      </c>
      <c r="H12" s="33" t="n">
        <f aca="false">C12</f>
        <v>7500000000</v>
      </c>
      <c r="I12" s="33" t="n">
        <f aca="false">H12*N12</f>
        <v>86268750</v>
      </c>
      <c r="J12" s="33" t="n">
        <f aca="false">H12-E12</f>
        <v>7500000000</v>
      </c>
      <c r="K12" s="33" t="n">
        <f aca="false">D12-I12</f>
        <v>-86268750</v>
      </c>
      <c r="L12" s="33" t="n">
        <f aca="false">G12-J12</f>
        <v>0</v>
      </c>
      <c r="M12" s="33" t="n">
        <f aca="false">-$C$4</f>
        <v>-7500000000</v>
      </c>
      <c r="N12" s="64" t="n">
        <v>0.0115025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45403</v>
      </c>
      <c r="C13" s="39" t="n">
        <v>7500000000</v>
      </c>
      <c r="D13" s="39" t="n">
        <v>87306250</v>
      </c>
      <c r="E13" s="39" t="n">
        <v>0</v>
      </c>
      <c r="F13" s="39" t="n">
        <v>87306250</v>
      </c>
      <c r="G13" s="39" t="n">
        <v>7500000000</v>
      </c>
      <c r="H13" s="33" t="n">
        <f aca="false">J12</f>
        <v>7500000000</v>
      </c>
      <c r="I13" s="33" t="n">
        <f aca="false">H13*N13</f>
        <v>87306250</v>
      </c>
      <c r="J13" s="33" t="n">
        <f aca="false">H13-E13</f>
        <v>7500000000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87306250</v>
      </c>
      <c r="N13" s="64" t="n">
        <v>0.0116408333333333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45433</v>
      </c>
      <c r="C14" s="39" t="n">
        <v>7500000000</v>
      </c>
      <c r="D14" s="39" t="n">
        <v>85106250</v>
      </c>
      <c r="E14" s="39" t="n">
        <v>0</v>
      </c>
      <c r="F14" s="39" t="n">
        <v>85106250</v>
      </c>
      <c r="G14" s="39" t="n">
        <v>7500000000</v>
      </c>
      <c r="H14" s="33" t="n">
        <f aca="false">J13</f>
        <v>7500000000</v>
      </c>
      <c r="I14" s="33" t="n">
        <f aca="false">H14*N14</f>
        <v>85106250</v>
      </c>
      <c r="J14" s="33" t="n">
        <f aca="false">H14-E14</f>
        <v>7500000000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85106250</v>
      </c>
      <c r="N14" s="64" t="n">
        <v>0.0113475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45464</v>
      </c>
      <c r="C15" s="39" t="n">
        <v>7500000000</v>
      </c>
      <c r="D15" s="39" t="n">
        <v>80593750</v>
      </c>
      <c r="E15" s="39" t="n">
        <v>0</v>
      </c>
      <c r="F15" s="39" t="n">
        <v>80593750</v>
      </c>
      <c r="G15" s="39" t="n">
        <v>7500000000</v>
      </c>
      <c r="H15" s="33" t="n">
        <f aca="false">J14</f>
        <v>7500000000</v>
      </c>
      <c r="I15" s="33" t="n">
        <f aca="false">H15*N15</f>
        <v>80593750</v>
      </c>
      <c r="J15" s="33" t="n">
        <f aca="false">H15-E15</f>
        <v>7500000000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80593750</v>
      </c>
      <c r="N15" s="64" t="n">
        <v>0.0107458333333333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45494</v>
      </c>
      <c r="C16" s="39" t="n">
        <v>7500000000</v>
      </c>
      <c r="D16" s="39" t="n">
        <v>81025000</v>
      </c>
      <c r="E16" s="39" t="n">
        <v>0</v>
      </c>
      <c r="F16" s="39" t="n">
        <v>81025000</v>
      </c>
      <c r="G16" s="39" t="n">
        <v>7500000000</v>
      </c>
      <c r="H16" s="33" t="n">
        <f aca="false">J15</f>
        <v>7500000000</v>
      </c>
      <c r="I16" s="33" t="n">
        <f aca="false">H16*N16</f>
        <v>81025000</v>
      </c>
      <c r="J16" s="33" t="n">
        <f aca="false">H16-E16</f>
        <v>7500000000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81025000</v>
      </c>
      <c r="N16" s="64" t="n">
        <v>0.0108033333333333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45525</v>
      </c>
      <c r="C17" s="39" t="n">
        <v>7500000000</v>
      </c>
      <c r="D17" s="39" t="n">
        <v>78743750</v>
      </c>
      <c r="E17" s="39" t="n">
        <v>0</v>
      </c>
      <c r="F17" s="39" t="n">
        <v>78743750</v>
      </c>
      <c r="G17" s="39" t="n">
        <v>7500000000</v>
      </c>
      <c r="H17" s="33" t="n">
        <f aca="false">J16</f>
        <v>7500000000</v>
      </c>
      <c r="I17" s="33" t="n">
        <f aca="false">H17*N17</f>
        <v>78743750</v>
      </c>
      <c r="J17" s="33" t="n">
        <f aca="false">H17-E17</f>
        <v>7500000000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78743750</v>
      </c>
      <c r="N17" s="64" t="n">
        <v>0.0104991666666667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45556</v>
      </c>
      <c r="C18" s="39" t="n">
        <v>7500000000</v>
      </c>
      <c r="D18" s="39" t="n">
        <v>74275000</v>
      </c>
      <c r="E18" s="39" t="n">
        <v>0</v>
      </c>
      <c r="F18" s="39" t="n">
        <v>74275000</v>
      </c>
      <c r="G18" s="39" t="n">
        <v>7500000000</v>
      </c>
      <c r="H18" s="33" t="n">
        <f aca="false">J17</f>
        <v>7500000000</v>
      </c>
      <c r="I18" s="33" t="n">
        <f aca="false">H18*N18</f>
        <v>74275000</v>
      </c>
      <c r="J18" s="33" t="n">
        <f aca="false">H18-E18</f>
        <v>7500000000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74275000</v>
      </c>
      <c r="N18" s="64" t="n">
        <v>0.00990333333333333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45586</v>
      </c>
      <c r="C19" s="39" t="n">
        <v>7500000000</v>
      </c>
      <c r="D19" s="39" t="n">
        <v>72531250</v>
      </c>
      <c r="E19" s="39" t="n">
        <v>0</v>
      </c>
      <c r="F19" s="39" t="n">
        <v>72531250</v>
      </c>
      <c r="G19" s="39" t="n">
        <v>7500000000</v>
      </c>
      <c r="H19" s="33" t="n">
        <f aca="false">J18</f>
        <v>7500000000</v>
      </c>
      <c r="I19" s="33" t="n">
        <f aca="false">H19*N19</f>
        <v>72531250</v>
      </c>
      <c r="J19" s="33" t="n">
        <f aca="false">H19-E19</f>
        <v>7500000000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72531250</v>
      </c>
      <c r="N19" s="64" t="n">
        <v>0.00967083333333333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45617</v>
      </c>
      <c r="C20" s="39" t="n">
        <v>7500000000</v>
      </c>
      <c r="D20" s="39" t="n">
        <v>71956250</v>
      </c>
      <c r="E20" s="39" t="n">
        <v>0</v>
      </c>
      <c r="F20" s="39" t="n">
        <v>71956250</v>
      </c>
      <c r="G20" s="39" t="n">
        <v>7500000000</v>
      </c>
      <c r="H20" s="33" t="n">
        <f aca="false">J19</f>
        <v>7500000000</v>
      </c>
      <c r="I20" s="33" t="n">
        <f aca="false">H20*N20</f>
        <v>71956250</v>
      </c>
      <c r="J20" s="33" t="n">
        <f aca="false">H20-E20</f>
        <v>7500000000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71956250</v>
      </c>
      <c r="N20" s="64" t="n">
        <v>0.00959416666666667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45647</v>
      </c>
      <c r="C21" s="39" t="n">
        <v>7500000000</v>
      </c>
      <c r="D21" s="39" t="n">
        <v>74331250</v>
      </c>
      <c r="E21" s="39" t="n">
        <v>0</v>
      </c>
      <c r="F21" s="39" t="n">
        <v>74331250</v>
      </c>
      <c r="G21" s="39" t="n">
        <v>7500000000</v>
      </c>
      <c r="H21" s="33" t="n">
        <f aca="false">J20</f>
        <v>7500000000</v>
      </c>
      <c r="I21" s="33" t="n">
        <f aca="false">H21*N21</f>
        <v>74331250</v>
      </c>
      <c r="J21" s="33" t="n">
        <f aca="false">H21-E21</f>
        <v>7500000000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74331250</v>
      </c>
      <c r="N21" s="64" t="n">
        <v>0.00991083333333333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45678</v>
      </c>
      <c r="C22" s="39" t="n">
        <v>7500000000</v>
      </c>
      <c r="D22" s="39" t="n">
        <v>72956250</v>
      </c>
      <c r="E22" s="39" t="n">
        <v>0</v>
      </c>
      <c r="F22" s="39" t="n">
        <v>72956250</v>
      </c>
      <c r="G22" s="39" t="n">
        <v>7500000000</v>
      </c>
      <c r="H22" s="33" t="n">
        <f aca="false">J21</f>
        <v>7500000000</v>
      </c>
      <c r="I22" s="33" t="n">
        <f aca="false">H22*N22</f>
        <v>72956250</v>
      </c>
      <c r="J22" s="33" t="n">
        <f aca="false">H22-E22</f>
        <v>7500000000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72956250</v>
      </c>
      <c r="N22" s="64" t="n">
        <v>0.0097275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45709</v>
      </c>
      <c r="C23" s="39" t="n">
        <v>7500000000</v>
      </c>
      <c r="D23" s="39" t="n">
        <v>73531250</v>
      </c>
      <c r="E23" s="39" t="n">
        <v>0</v>
      </c>
      <c r="F23" s="39" t="n">
        <v>73531250</v>
      </c>
      <c r="G23" s="39" t="n">
        <v>7500000000</v>
      </c>
      <c r="H23" s="33" t="n">
        <f aca="false">J22</f>
        <v>7500000000</v>
      </c>
      <c r="I23" s="33" t="n">
        <f aca="false">H23*N23</f>
        <v>73531250</v>
      </c>
      <c r="J23" s="33" t="n">
        <f aca="false">H23-E23</f>
        <v>7500000000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73531250</v>
      </c>
      <c r="N23" s="64" t="n">
        <v>0.00980416666666667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45737</v>
      </c>
      <c r="C24" s="39" t="n">
        <v>7500000000</v>
      </c>
      <c r="D24" s="39" t="n">
        <v>73937500</v>
      </c>
      <c r="E24" s="39" t="n">
        <v>0</v>
      </c>
      <c r="F24" s="39" t="n">
        <v>73937500</v>
      </c>
      <c r="G24" s="39" t="n">
        <v>7500000000</v>
      </c>
      <c r="H24" s="33" t="n">
        <f aca="false">J23</f>
        <v>7500000000</v>
      </c>
      <c r="I24" s="33" t="n">
        <f aca="false">H24*N24</f>
        <v>73937500</v>
      </c>
      <c r="J24" s="33" t="n">
        <f aca="false">H24-E24</f>
        <v>7500000000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73937500</v>
      </c>
      <c r="N24" s="64" t="n">
        <v>0.00985833333333333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45768</v>
      </c>
      <c r="C25" s="39" t="n">
        <v>7500000000</v>
      </c>
      <c r="D25" s="39" t="n">
        <v>74206250</v>
      </c>
      <c r="E25" s="39" t="n">
        <v>0</v>
      </c>
      <c r="F25" s="39" t="n">
        <v>74206250</v>
      </c>
      <c r="G25" s="39" t="n">
        <v>7500000000</v>
      </c>
      <c r="H25" s="33" t="n">
        <f aca="false">J24</f>
        <v>7500000000</v>
      </c>
      <c r="I25" s="33" t="n">
        <f aca="false">H25*N25</f>
        <v>74206250</v>
      </c>
      <c r="J25" s="33" t="n">
        <f aca="false">H25-E25</f>
        <v>7500000000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74206250</v>
      </c>
      <c r="N25" s="64" t="n">
        <v>0.00989416666666667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45798</v>
      </c>
      <c r="C26" s="39" t="n">
        <v>7500000000</v>
      </c>
      <c r="D26" s="39" t="n">
        <v>73093750</v>
      </c>
      <c r="E26" s="39" t="n">
        <v>0</v>
      </c>
      <c r="F26" s="39" t="n">
        <v>73093750</v>
      </c>
      <c r="G26" s="39" t="n">
        <v>7500000000</v>
      </c>
      <c r="H26" s="33" t="n">
        <f aca="false">J25</f>
        <v>7500000000</v>
      </c>
      <c r="I26" s="33" t="n">
        <f aca="false">H26*N26</f>
        <v>73093750</v>
      </c>
      <c r="J26" s="33" t="n">
        <f aca="false">H26-E26</f>
        <v>7500000000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73093750</v>
      </c>
      <c r="N26" s="64" t="n">
        <v>0.00974583333333333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45829</v>
      </c>
      <c r="C27" s="39" t="n">
        <v>7500000000</v>
      </c>
      <c r="D27" s="39" t="n">
        <v>72937500</v>
      </c>
      <c r="E27" s="39" t="n">
        <v>0</v>
      </c>
      <c r="F27" s="39" t="n">
        <v>72937500</v>
      </c>
      <c r="G27" s="39" t="n">
        <v>7500000000</v>
      </c>
      <c r="H27" s="33" t="n">
        <f aca="false">J26</f>
        <v>7500000000</v>
      </c>
      <c r="I27" s="33" t="n">
        <f aca="false">H27*N27</f>
        <v>72937500</v>
      </c>
      <c r="J27" s="33" t="n">
        <f aca="false">H27-E27</f>
        <v>7500000000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72937500</v>
      </c>
      <c r="N27" s="64" t="n">
        <v>0.009725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45859</v>
      </c>
      <c r="C28" s="39" t="n">
        <v>7500000000</v>
      </c>
      <c r="D28" s="39" t="n">
        <v>72437500</v>
      </c>
      <c r="E28" s="39" t="n">
        <v>0</v>
      </c>
      <c r="F28" s="39" t="n">
        <v>72437500</v>
      </c>
      <c r="G28" s="39" t="n">
        <v>7500000000</v>
      </c>
      <c r="H28" s="33" t="n">
        <f aca="false">J27</f>
        <v>7500000000</v>
      </c>
      <c r="I28" s="33" t="n">
        <f aca="false">H28*N28</f>
        <v>72437500</v>
      </c>
      <c r="J28" s="33" t="n">
        <f aca="false">H28-E28</f>
        <v>7500000000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72437500</v>
      </c>
      <c r="N28" s="64" t="n">
        <v>0.00965833333333333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45890</v>
      </c>
      <c r="C29" s="39" t="n">
        <v>7500000000</v>
      </c>
      <c r="D29" s="39" t="n">
        <v>73531250</v>
      </c>
      <c r="E29" s="39" t="n">
        <v>0</v>
      </c>
      <c r="F29" s="39" t="n">
        <v>73531250</v>
      </c>
      <c r="G29" s="39" t="n">
        <v>7500000000</v>
      </c>
      <c r="H29" s="33" t="n">
        <f aca="false">J28</f>
        <v>7500000000</v>
      </c>
      <c r="I29" s="33" t="n">
        <f aca="false">H29*N29</f>
        <v>73531250</v>
      </c>
      <c r="J29" s="33" t="n">
        <f aca="false">H29-E29</f>
        <v>7500000000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73531250</v>
      </c>
      <c r="N29" s="64" t="n">
        <v>0.00980416666666667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45921</v>
      </c>
      <c r="C30" s="39" t="n">
        <v>7500000000</v>
      </c>
      <c r="D30" s="39" t="n">
        <v>73875000</v>
      </c>
      <c r="E30" s="39" t="n">
        <v>0</v>
      </c>
      <c r="F30" s="39" t="n">
        <v>73875000</v>
      </c>
      <c r="G30" s="39" t="n">
        <v>7500000000</v>
      </c>
      <c r="H30" s="33" t="n">
        <f aca="false">J29</f>
        <v>7500000000</v>
      </c>
      <c r="I30" s="33" t="n">
        <f aca="false">H30*N30</f>
        <v>73875000</v>
      </c>
      <c r="J30" s="33" t="n">
        <f aca="false">H30-E30</f>
        <v>7500000000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73875000</v>
      </c>
      <c r="N30" s="64" t="n">
        <v>0.00985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45951</v>
      </c>
      <c r="C31" s="39" t="n">
        <v>7500000000</v>
      </c>
      <c r="D31" s="39" t="n">
        <v>75087500</v>
      </c>
      <c r="E31" s="39" t="n">
        <v>0</v>
      </c>
      <c r="F31" s="39" t="n">
        <v>75087500</v>
      </c>
      <c r="G31" s="39" t="n">
        <v>7500000000</v>
      </c>
      <c r="H31" s="33" t="n">
        <f aca="false">J30</f>
        <v>7500000000</v>
      </c>
      <c r="I31" s="33" t="n">
        <f aca="false">H31*N31</f>
        <v>75087500</v>
      </c>
      <c r="J31" s="33" t="n">
        <f aca="false">H31-E31</f>
        <v>7500000000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75087500</v>
      </c>
      <c r="N31" s="64" t="n">
        <v>0.0100116666666667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45982</v>
      </c>
      <c r="C32" s="39" t="n">
        <v>7500000000</v>
      </c>
      <c r="D32" s="39" t="n">
        <v>77187500</v>
      </c>
      <c r="E32" s="39" t="n">
        <v>0</v>
      </c>
      <c r="F32" s="39" t="n">
        <v>77187500</v>
      </c>
      <c r="G32" s="39" t="n">
        <v>7500000000</v>
      </c>
      <c r="H32" s="33" t="n">
        <f aca="false">J31</f>
        <v>7500000000</v>
      </c>
      <c r="I32" s="33" t="n">
        <f aca="false">H32*N32</f>
        <v>77187500</v>
      </c>
      <c r="J32" s="33" t="n">
        <f aca="false">H32-E32</f>
        <v>7500000000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77187500</v>
      </c>
      <c r="N32" s="64" t="n">
        <v>0.0102916666666667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46012</v>
      </c>
      <c r="C33" s="39" t="n">
        <v>7500000000</v>
      </c>
      <c r="D33" s="39" t="n">
        <v>82268750</v>
      </c>
      <c r="E33" s="39" t="n">
        <v>0</v>
      </c>
      <c r="F33" s="39" t="n">
        <v>82268750</v>
      </c>
      <c r="G33" s="39" t="n">
        <v>7500000000</v>
      </c>
      <c r="H33" s="33" t="n">
        <f aca="false">J32</f>
        <v>7500000000</v>
      </c>
      <c r="I33" s="33" t="n">
        <f aca="false">H33*N33</f>
        <v>82268750</v>
      </c>
      <c r="J33" s="33" t="n">
        <f aca="false">H33-E33</f>
        <v>7500000000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82268750</v>
      </c>
      <c r="N33" s="64" t="n">
        <v>0.0109691666666667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46043</v>
      </c>
      <c r="C34" s="39" t="n">
        <v>7500000000</v>
      </c>
      <c r="D34" s="39" t="n">
        <v>83125000</v>
      </c>
      <c r="E34" s="39" t="n">
        <v>0</v>
      </c>
      <c r="F34" s="39" t="n">
        <v>83125000</v>
      </c>
      <c r="G34" s="39" t="n">
        <v>7500000000</v>
      </c>
      <c r="H34" s="33" t="n">
        <f aca="false">J33</f>
        <v>7500000000</v>
      </c>
      <c r="I34" s="33" t="n">
        <f aca="false">H34*N34</f>
        <v>83125000</v>
      </c>
      <c r="J34" s="33" t="n">
        <f aca="false">H34-E34</f>
        <v>7500000000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83125000</v>
      </c>
      <c r="N34" s="64" t="n">
        <v>0.0110833333333333</v>
      </c>
      <c r="O34" s="48" t="n">
        <f aca="false">IF(AND(B34&gt;=DATE(2026,1,1),B34&lt;=Resumen!$C$5),1,0)</f>
        <v>1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46074</v>
      </c>
      <c r="C35" s="39" t="n">
        <v>7500000000</v>
      </c>
      <c r="D35" s="39" t="n">
        <v>89812500</v>
      </c>
      <c r="E35" s="39" t="n">
        <v>0</v>
      </c>
      <c r="F35" s="39" t="n">
        <v>89812500</v>
      </c>
      <c r="G35" s="39" t="n">
        <v>7500000000</v>
      </c>
      <c r="H35" s="33" t="n">
        <f aca="false">J34</f>
        <v>7500000000</v>
      </c>
      <c r="I35" s="33" t="n">
        <f aca="false">H35*N35</f>
        <v>89812500</v>
      </c>
      <c r="J35" s="33" t="n">
        <f aca="false">H35-E35</f>
        <v>7500000000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89812500</v>
      </c>
      <c r="N35" s="64" t="n">
        <v>0.011975</v>
      </c>
      <c r="O35" s="48" t="n">
        <f aca="false">IF(AND(B35&gt;=DATE(2026,1,1),B35&lt;=Resumen!$C$5),1,0)</f>
        <v>1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46102</v>
      </c>
      <c r="C36" s="39" t="n">
        <v>7500000000</v>
      </c>
      <c r="D36" s="39" t="n">
        <v>91937500</v>
      </c>
      <c r="E36" s="39" t="n">
        <v>0</v>
      </c>
      <c r="F36" s="39" t="n">
        <v>91937500</v>
      </c>
      <c r="G36" s="39" t="n">
        <v>7500000000</v>
      </c>
      <c r="H36" s="33" t="n">
        <f aca="false">J35</f>
        <v>7500000000</v>
      </c>
      <c r="I36" s="33" t="n">
        <f aca="false">H36*N36</f>
        <v>91937500</v>
      </c>
      <c r="J36" s="33" t="n">
        <f aca="false">H36-E36</f>
        <v>7500000000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91937500</v>
      </c>
      <c r="N36" s="64" t="n">
        <v>0.0122583333333333</v>
      </c>
      <c r="O36" s="48" t="n">
        <f aca="false">IF(AND(B36&gt;=DATE(2026,1,1),B36&lt;=Resumen!$C$5),1,0)</f>
        <v>1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46133</v>
      </c>
      <c r="C37" s="39" t="n">
        <v>7500000000</v>
      </c>
      <c r="D37" s="39" t="n">
        <v>94043750</v>
      </c>
      <c r="E37" s="39" t="n">
        <v>0</v>
      </c>
      <c r="F37" s="39" t="n">
        <v>94043750</v>
      </c>
      <c r="G37" s="39" t="n">
        <v>7500000000</v>
      </c>
      <c r="H37" s="33" t="n">
        <f aca="false">J36</f>
        <v>7500000000</v>
      </c>
      <c r="I37" s="33" t="n">
        <f aca="false">H37*N37</f>
        <v>94043750</v>
      </c>
      <c r="J37" s="33" t="n">
        <f aca="false">H37-E37</f>
        <v>7500000000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94043750</v>
      </c>
      <c r="N37" s="64" t="n">
        <v>0.0125391666666667</v>
      </c>
      <c r="O37" s="48" t="n">
        <f aca="false">IF(AND(B37&gt;=DATE(2026,1,1),B37&lt;=Resumen!$C$5),1,0)</f>
        <v>1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46163</v>
      </c>
      <c r="C38" s="39" t="n">
        <v>7500000000</v>
      </c>
      <c r="D38" s="39" t="n">
        <v>94043750</v>
      </c>
      <c r="E38" s="39" t="n">
        <v>0</v>
      </c>
      <c r="F38" s="39" t="n">
        <v>94043750</v>
      </c>
      <c r="G38" s="39" t="n">
        <v>7500000000</v>
      </c>
      <c r="H38" s="33" t="n">
        <f aca="false">J37</f>
        <v>7500000000</v>
      </c>
      <c r="I38" s="33" t="n">
        <f aca="false">H38*N38</f>
        <v>94043750</v>
      </c>
      <c r="J38" s="33" t="n">
        <f aca="false">H38-E38</f>
        <v>7500000000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94043750</v>
      </c>
      <c r="N38" s="64" t="n">
        <v>0.0125391666666667</v>
      </c>
      <c r="O38" s="48" t="n">
        <f aca="false">IF(AND(B38&gt;=DATE(2026,1,1),B38&lt;=Resumen!$C$5),1,0)</f>
        <v>1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46194</v>
      </c>
      <c r="C39" s="39" t="n">
        <v>7500000000</v>
      </c>
      <c r="D39" s="39" t="n">
        <v>92375000</v>
      </c>
      <c r="E39" s="39" t="n">
        <v>0</v>
      </c>
      <c r="F39" s="39" t="n">
        <v>92375000</v>
      </c>
      <c r="G39" s="39" t="n">
        <v>7500000000</v>
      </c>
      <c r="H39" s="33" t="n">
        <f aca="false">J38</f>
        <v>7500000000</v>
      </c>
      <c r="I39" s="33" t="n">
        <f aca="false">H39*N39</f>
        <v>92375000</v>
      </c>
      <c r="J39" s="33" t="n">
        <f aca="false">H39-E39</f>
        <v>7500000000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92375000</v>
      </c>
      <c r="N39" s="64" t="n">
        <v>0.0123166666666667</v>
      </c>
      <c r="O39" s="48" t="n">
        <f aca="false">IF(AND(B39&gt;=DATE(2026,1,1),B39&lt;=Resumen!$C$5),1,0)</f>
        <v>1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46224</v>
      </c>
      <c r="C40" s="39" t="n">
        <v>7500000000</v>
      </c>
      <c r="D40" s="39" t="n">
        <v>93906250</v>
      </c>
      <c r="E40" s="39" t="n">
        <v>0</v>
      </c>
      <c r="F40" s="39" t="n">
        <v>93906250</v>
      </c>
      <c r="G40" s="39" t="n">
        <v>7500000000</v>
      </c>
      <c r="H40" s="33" t="n">
        <f aca="false">J39</f>
        <v>7500000000</v>
      </c>
      <c r="I40" s="33" t="n">
        <f aca="false">H40*N40</f>
        <v>93906250</v>
      </c>
      <c r="J40" s="33" t="n">
        <f aca="false">H40-E40</f>
        <v>7500000000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93906250</v>
      </c>
      <c r="N40" s="64" t="n">
        <v>0.0125208333333333</v>
      </c>
      <c r="O40" s="48" t="n">
        <f aca="false">IF(AND(B40&gt;=DATE(2026,1,1),B40&lt;=Resumen!$C$5),1,0)</f>
        <v>1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46255</v>
      </c>
      <c r="C41" s="39" t="n">
        <v>7500000000</v>
      </c>
      <c r="D41" s="39" t="n">
        <v>93906250</v>
      </c>
      <c r="E41" s="39" t="n">
        <v>0</v>
      </c>
      <c r="F41" s="39" t="n">
        <v>93906250</v>
      </c>
      <c r="G41" s="39" t="n">
        <v>7500000000</v>
      </c>
      <c r="H41" s="33" t="n">
        <f aca="false">J40</f>
        <v>7500000000</v>
      </c>
      <c r="I41" s="33" t="n">
        <f aca="false">H41*N41</f>
        <v>93906250</v>
      </c>
      <c r="J41" s="33" t="n">
        <f aca="false">H41-E41</f>
        <v>7500000000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93906250</v>
      </c>
      <c r="N41" s="64" t="n">
        <v>0.0125208333333333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1</v>
      </c>
    </row>
    <row r="42" customFormat="false" ht="15" hidden="false" customHeight="false" outlineLevel="0" collapsed="false">
      <c r="A42" s="38" t="n">
        <v>30</v>
      </c>
      <c r="B42" s="27" t="n">
        <v>46286</v>
      </c>
      <c r="C42" s="39" t="n">
        <v>7500000000</v>
      </c>
      <c r="D42" s="39" t="n">
        <v>93906250</v>
      </c>
      <c r="E42" s="39" t="n">
        <v>0</v>
      </c>
      <c r="F42" s="39" t="n">
        <v>93906250</v>
      </c>
      <c r="G42" s="39" t="n">
        <v>7500000000</v>
      </c>
      <c r="H42" s="33" t="n">
        <f aca="false">J41</f>
        <v>7500000000</v>
      </c>
      <c r="I42" s="33" t="n">
        <f aca="false">H42*N42</f>
        <v>93906250</v>
      </c>
      <c r="J42" s="33" t="n">
        <f aca="false">H42-E42</f>
        <v>7500000000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93906250</v>
      </c>
      <c r="N42" s="64" t="n">
        <v>0.0125208333333333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1</v>
      </c>
    </row>
    <row r="43" customFormat="false" ht="15" hidden="false" customHeight="false" outlineLevel="0" collapsed="false">
      <c r="A43" s="38" t="n">
        <v>31</v>
      </c>
      <c r="B43" s="27" t="n">
        <v>46316</v>
      </c>
      <c r="C43" s="39" t="n">
        <v>7500000000</v>
      </c>
      <c r="D43" s="39" t="n">
        <v>93906250</v>
      </c>
      <c r="E43" s="39" t="n">
        <v>0</v>
      </c>
      <c r="F43" s="39" t="n">
        <v>93906250</v>
      </c>
      <c r="G43" s="39" t="n">
        <v>7500000000</v>
      </c>
      <c r="H43" s="33" t="n">
        <f aca="false">J42</f>
        <v>7500000000</v>
      </c>
      <c r="I43" s="33" t="n">
        <f aca="false">H43*N43</f>
        <v>93906250</v>
      </c>
      <c r="J43" s="33" t="n">
        <f aca="false">H43-E43</f>
        <v>7500000000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93906250</v>
      </c>
      <c r="N43" s="64" t="n">
        <v>0.0125208333333333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1</v>
      </c>
    </row>
    <row r="44" customFormat="false" ht="15" hidden="false" customHeight="false" outlineLevel="0" collapsed="false">
      <c r="A44" s="38" t="n">
        <v>32</v>
      </c>
      <c r="B44" s="27" t="n">
        <v>46347</v>
      </c>
      <c r="C44" s="39" t="n">
        <v>7500000000</v>
      </c>
      <c r="D44" s="39" t="n">
        <v>93906250</v>
      </c>
      <c r="E44" s="39" t="n">
        <v>0</v>
      </c>
      <c r="F44" s="39" t="n">
        <v>93906250</v>
      </c>
      <c r="G44" s="39" t="n">
        <v>7500000000</v>
      </c>
      <c r="H44" s="33" t="n">
        <f aca="false">J43</f>
        <v>7500000000</v>
      </c>
      <c r="I44" s="33" t="n">
        <f aca="false">H44*N44</f>
        <v>93906250</v>
      </c>
      <c r="J44" s="33" t="n">
        <f aca="false">H44-E44</f>
        <v>7500000000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93906250</v>
      </c>
      <c r="N44" s="64" t="n">
        <v>0.0125208333333333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1</v>
      </c>
    </row>
    <row r="45" customFormat="false" ht="15" hidden="false" customHeight="false" outlineLevel="0" collapsed="false">
      <c r="A45" s="38" t="n">
        <v>33</v>
      </c>
      <c r="B45" s="27" t="n">
        <v>46377</v>
      </c>
      <c r="C45" s="39" t="n">
        <v>7500000000</v>
      </c>
      <c r="D45" s="39" t="n">
        <v>93906250</v>
      </c>
      <c r="E45" s="39" t="n">
        <v>0</v>
      </c>
      <c r="F45" s="39" t="n">
        <v>93906250</v>
      </c>
      <c r="G45" s="39" t="n">
        <v>7500000000</v>
      </c>
      <c r="H45" s="33" t="n">
        <f aca="false">J44</f>
        <v>7500000000</v>
      </c>
      <c r="I45" s="33" t="n">
        <f aca="false">H45*N45</f>
        <v>93906250</v>
      </c>
      <c r="J45" s="33" t="n">
        <f aca="false">H45-E45</f>
        <v>7500000000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93906250</v>
      </c>
      <c r="N45" s="64" t="n">
        <v>0.0125208333333333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1</v>
      </c>
    </row>
    <row r="46" customFormat="false" ht="15" hidden="false" customHeight="false" outlineLevel="0" collapsed="false">
      <c r="A46" s="38" t="n">
        <v>34</v>
      </c>
      <c r="B46" s="27" t="n">
        <v>46408</v>
      </c>
      <c r="C46" s="39" t="n">
        <v>7500000000</v>
      </c>
      <c r="D46" s="39" t="n">
        <v>93906250</v>
      </c>
      <c r="E46" s="39" t="n">
        <v>0</v>
      </c>
      <c r="F46" s="39" t="n">
        <v>93906250</v>
      </c>
      <c r="G46" s="39" t="n">
        <v>7500000000</v>
      </c>
      <c r="H46" s="33" t="n">
        <f aca="false">J45</f>
        <v>7500000000</v>
      </c>
      <c r="I46" s="33" t="n">
        <f aca="false">H46*N46</f>
        <v>93906250</v>
      </c>
      <c r="J46" s="33" t="n">
        <f aca="false">H46-E46</f>
        <v>7500000000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93906250</v>
      </c>
      <c r="N46" s="64" t="n">
        <v>0.0125208333333333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1</v>
      </c>
    </row>
    <row r="47" customFormat="false" ht="15" hidden="false" customHeight="false" outlineLevel="0" collapsed="false">
      <c r="A47" s="38" t="n">
        <v>35</v>
      </c>
      <c r="B47" s="27" t="n">
        <v>46439</v>
      </c>
      <c r="C47" s="39" t="n">
        <v>7500000000</v>
      </c>
      <c r="D47" s="39" t="n">
        <v>93906250</v>
      </c>
      <c r="E47" s="39" t="n">
        <v>0</v>
      </c>
      <c r="F47" s="39" t="n">
        <v>93906250</v>
      </c>
      <c r="G47" s="39" t="n">
        <v>7500000000</v>
      </c>
      <c r="H47" s="33" t="n">
        <f aca="false">J46</f>
        <v>7500000000</v>
      </c>
      <c r="I47" s="33" t="n">
        <f aca="false">H47*N47</f>
        <v>93906250</v>
      </c>
      <c r="J47" s="33" t="n">
        <f aca="false">H47-E47</f>
        <v>7500000000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93906250</v>
      </c>
      <c r="N47" s="64" t="n">
        <v>0.0125208333333333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1</v>
      </c>
    </row>
    <row r="48" customFormat="false" ht="15" hidden="false" customHeight="false" outlineLevel="0" collapsed="false">
      <c r="A48" s="38" t="n">
        <v>36</v>
      </c>
      <c r="B48" s="27" t="n">
        <v>46467</v>
      </c>
      <c r="C48" s="39" t="n">
        <v>7500000000</v>
      </c>
      <c r="D48" s="39" t="n">
        <v>93906250</v>
      </c>
      <c r="E48" s="39" t="n">
        <v>0</v>
      </c>
      <c r="F48" s="39" t="n">
        <v>93906250</v>
      </c>
      <c r="G48" s="39" t="n">
        <v>7500000000</v>
      </c>
      <c r="H48" s="33" t="n">
        <f aca="false">J47</f>
        <v>7500000000</v>
      </c>
      <c r="I48" s="33" t="n">
        <f aca="false">H48*N48</f>
        <v>93906250</v>
      </c>
      <c r="J48" s="33" t="n">
        <f aca="false">H48-E48</f>
        <v>7500000000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93906250</v>
      </c>
      <c r="N48" s="64" t="n">
        <v>0.0125208333333333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1</v>
      </c>
    </row>
    <row r="49" customFormat="false" ht="15" hidden="false" customHeight="false" outlineLevel="0" collapsed="false">
      <c r="A49" s="38" t="n">
        <v>37</v>
      </c>
      <c r="B49" s="27" t="n">
        <v>46498</v>
      </c>
      <c r="C49" s="39" t="n">
        <v>7500000000</v>
      </c>
      <c r="D49" s="39" t="n">
        <v>93906250</v>
      </c>
      <c r="E49" s="39" t="n">
        <v>0</v>
      </c>
      <c r="F49" s="39" t="n">
        <v>93906250</v>
      </c>
      <c r="G49" s="39" t="n">
        <v>7500000000</v>
      </c>
      <c r="H49" s="33" t="n">
        <f aca="false">J48</f>
        <v>7500000000</v>
      </c>
      <c r="I49" s="33" t="n">
        <f aca="false">H49*N49</f>
        <v>93906250</v>
      </c>
      <c r="J49" s="33" t="n">
        <f aca="false">H49-E49</f>
        <v>7500000000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93906250</v>
      </c>
      <c r="N49" s="64" t="n">
        <v>0.0125208333333333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1</v>
      </c>
    </row>
    <row r="50" customFormat="false" ht="15" hidden="false" customHeight="false" outlineLevel="0" collapsed="false">
      <c r="A50" s="38" t="n">
        <v>38</v>
      </c>
      <c r="B50" s="27" t="n">
        <v>46528</v>
      </c>
      <c r="C50" s="39" t="n">
        <v>7500000000</v>
      </c>
      <c r="D50" s="39" t="n">
        <v>93906250</v>
      </c>
      <c r="E50" s="39" t="n">
        <v>0</v>
      </c>
      <c r="F50" s="39" t="n">
        <v>93906250</v>
      </c>
      <c r="G50" s="39" t="n">
        <v>7500000000</v>
      </c>
      <c r="H50" s="33" t="n">
        <f aca="false">J49</f>
        <v>7500000000</v>
      </c>
      <c r="I50" s="33" t="n">
        <f aca="false">H50*N50</f>
        <v>93906250</v>
      </c>
      <c r="J50" s="33" t="n">
        <f aca="false">H50-E50</f>
        <v>7500000000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93906250</v>
      </c>
      <c r="N50" s="64" t="n">
        <v>0.0125208333333333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46559</v>
      </c>
      <c r="C51" s="39" t="n">
        <v>7500000000</v>
      </c>
      <c r="D51" s="39" t="n">
        <v>93906250</v>
      </c>
      <c r="E51" s="39" t="n">
        <v>0</v>
      </c>
      <c r="F51" s="39" t="n">
        <v>93906250</v>
      </c>
      <c r="G51" s="39" t="n">
        <v>7500000000</v>
      </c>
      <c r="H51" s="33" t="n">
        <f aca="false">J50</f>
        <v>7500000000</v>
      </c>
      <c r="I51" s="33" t="n">
        <f aca="false">H51*N51</f>
        <v>93906250</v>
      </c>
      <c r="J51" s="33" t="n">
        <f aca="false">H51-E51</f>
        <v>7500000000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93906250</v>
      </c>
      <c r="N51" s="64" t="n">
        <v>0.0125208333333333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46589</v>
      </c>
      <c r="C52" s="39" t="n">
        <v>7500000000</v>
      </c>
      <c r="D52" s="39" t="n">
        <v>93906250</v>
      </c>
      <c r="E52" s="39" t="n">
        <v>0</v>
      </c>
      <c r="F52" s="39" t="n">
        <v>93906250</v>
      </c>
      <c r="G52" s="39" t="n">
        <v>7500000000</v>
      </c>
      <c r="H52" s="33" t="n">
        <f aca="false">J51</f>
        <v>7500000000</v>
      </c>
      <c r="I52" s="33" t="n">
        <f aca="false">H52*N52</f>
        <v>93906250</v>
      </c>
      <c r="J52" s="33" t="n">
        <f aca="false">H52-E52</f>
        <v>7500000000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93906250</v>
      </c>
      <c r="N52" s="64" t="n">
        <v>0.0125208333333333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46620</v>
      </c>
      <c r="C53" s="39" t="n">
        <v>7500000000</v>
      </c>
      <c r="D53" s="39" t="n">
        <v>93906250</v>
      </c>
      <c r="E53" s="39" t="n">
        <v>0</v>
      </c>
      <c r="F53" s="39" t="n">
        <v>93906250</v>
      </c>
      <c r="G53" s="39" t="n">
        <v>7500000000</v>
      </c>
      <c r="H53" s="33" t="n">
        <f aca="false">J52</f>
        <v>7500000000</v>
      </c>
      <c r="I53" s="33" t="n">
        <f aca="false">H53*N53</f>
        <v>93906250</v>
      </c>
      <c r="J53" s="33" t="n">
        <f aca="false">H53-E53</f>
        <v>7500000000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93906250</v>
      </c>
      <c r="N53" s="64" t="n">
        <v>0.0125208333333333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46651</v>
      </c>
      <c r="C54" s="39" t="n">
        <v>7500000000</v>
      </c>
      <c r="D54" s="39" t="n">
        <v>93906250</v>
      </c>
      <c r="E54" s="39" t="n">
        <v>0</v>
      </c>
      <c r="F54" s="39" t="n">
        <v>93906250</v>
      </c>
      <c r="G54" s="39" t="n">
        <v>7500000000</v>
      </c>
      <c r="H54" s="33" t="n">
        <f aca="false">J53</f>
        <v>7500000000</v>
      </c>
      <c r="I54" s="33" t="n">
        <f aca="false">H54*N54</f>
        <v>93906250</v>
      </c>
      <c r="J54" s="33" t="n">
        <f aca="false">H54-E54</f>
        <v>7500000000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93906250</v>
      </c>
      <c r="N54" s="64" t="n">
        <v>0.0125208333333333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46681</v>
      </c>
      <c r="C55" s="39" t="n">
        <v>7500000000</v>
      </c>
      <c r="D55" s="39" t="n">
        <v>93906250</v>
      </c>
      <c r="E55" s="39" t="n">
        <v>0</v>
      </c>
      <c r="F55" s="39" t="n">
        <v>93906250</v>
      </c>
      <c r="G55" s="39" t="n">
        <v>7500000000</v>
      </c>
      <c r="H55" s="33" t="n">
        <f aca="false">J54</f>
        <v>7500000000</v>
      </c>
      <c r="I55" s="33" t="n">
        <f aca="false">H55*N55</f>
        <v>93906250</v>
      </c>
      <c r="J55" s="33" t="n">
        <f aca="false">H55-E55</f>
        <v>7500000000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93906250</v>
      </c>
      <c r="N55" s="64" t="n">
        <v>0.0125208333333333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46712</v>
      </c>
      <c r="C56" s="39" t="n">
        <v>7500000000</v>
      </c>
      <c r="D56" s="39" t="n">
        <v>93906250</v>
      </c>
      <c r="E56" s="39" t="n">
        <v>0</v>
      </c>
      <c r="F56" s="39" t="n">
        <v>93906250</v>
      </c>
      <c r="G56" s="39" t="n">
        <v>7500000000</v>
      </c>
      <c r="H56" s="33" t="n">
        <f aca="false">J55</f>
        <v>7500000000</v>
      </c>
      <c r="I56" s="33" t="n">
        <f aca="false">H56*N56</f>
        <v>93906250</v>
      </c>
      <c r="J56" s="33" t="n">
        <f aca="false">H56-E56</f>
        <v>7500000000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93906250</v>
      </c>
      <c r="N56" s="64" t="n">
        <v>0.0125208333333333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46742</v>
      </c>
      <c r="C57" s="39" t="n">
        <v>7500000000</v>
      </c>
      <c r="D57" s="39" t="n">
        <v>93906250</v>
      </c>
      <c r="E57" s="39" t="n">
        <v>0</v>
      </c>
      <c r="F57" s="39" t="n">
        <v>93906250</v>
      </c>
      <c r="G57" s="39" t="n">
        <v>7500000000</v>
      </c>
      <c r="H57" s="33" t="n">
        <f aca="false">J56</f>
        <v>7500000000</v>
      </c>
      <c r="I57" s="33" t="n">
        <f aca="false">H57*N57</f>
        <v>93906250</v>
      </c>
      <c r="J57" s="33" t="n">
        <f aca="false">H57-E57</f>
        <v>7500000000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93906250</v>
      </c>
      <c r="N57" s="64" t="n">
        <v>0.0125208333333333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46773</v>
      </c>
      <c r="C58" s="39" t="n">
        <v>7500000000</v>
      </c>
      <c r="D58" s="39" t="n">
        <v>93906250</v>
      </c>
      <c r="E58" s="39" t="n">
        <v>0</v>
      </c>
      <c r="F58" s="39" t="n">
        <v>93906250</v>
      </c>
      <c r="G58" s="39" t="n">
        <v>7500000000</v>
      </c>
      <c r="H58" s="33" t="n">
        <f aca="false">J57</f>
        <v>7500000000</v>
      </c>
      <c r="I58" s="33" t="n">
        <f aca="false">H58*N58</f>
        <v>93906250</v>
      </c>
      <c r="J58" s="33" t="n">
        <f aca="false">H58-E58</f>
        <v>7500000000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93906250</v>
      </c>
      <c r="N58" s="64" t="n">
        <v>0.0125208333333333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46804</v>
      </c>
      <c r="C59" s="39" t="n">
        <v>7500000000</v>
      </c>
      <c r="D59" s="39" t="n">
        <v>93906250</v>
      </c>
      <c r="E59" s="39" t="n">
        <v>0</v>
      </c>
      <c r="F59" s="39" t="n">
        <v>93906250</v>
      </c>
      <c r="G59" s="39" t="n">
        <v>7500000000</v>
      </c>
      <c r="H59" s="33" t="n">
        <f aca="false">J58</f>
        <v>7500000000</v>
      </c>
      <c r="I59" s="33" t="n">
        <f aca="false">H59*N59</f>
        <v>93906250</v>
      </c>
      <c r="J59" s="33" t="n">
        <f aca="false">H59-E59</f>
        <v>7500000000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93906250</v>
      </c>
      <c r="N59" s="64" t="n">
        <v>0.0125208333333333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46833</v>
      </c>
      <c r="C60" s="39" t="n">
        <v>7500000000</v>
      </c>
      <c r="D60" s="39" t="n">
        <v>93906250</v>
      </c>
      <c r="E60" s="39" t="n">
        <v>0</v>
      </c>
      <c r="F60" s="39" t="n">
        <v>93906250</v>
      </c>
      <c r="G60" s="39" t="n">
        <v>7500000000</v>
      </c>
      <c r="H60" s="33" t="n">
        <f aca="false">J59</f>
        <v>7500000000</v>
      </c>
      <c r="I60" s="33" t="n">
        <f aca="false">H60*N60</f>
        <v>93906250</v>
      </c>
      <c r="J60" s="33" t="n">
        <f aca="false">H60-E60</f>
        <v>7500000000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93906250</v>
      </c>
      <c r="N60" s="64" t="n">
        <v>0.0125208333333333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46864</v>
      </c>
      <c r="C61" s="39" t="n">
        <v>7500000000</v>
      </c>
      <c r="D61" s="39" t="n">
        <v>93906250</v>
      </c>
      <c r="E61" s="39" t="n">
        <v>0</v>
      </c>
      <c r="F61" s="39" t="n">
        <v>93906250</v>
      </c>
      <c r="G61" s="39" t="n">
        <v>7500000000</v>
      </c>
      <c r="H61" s="33" t="n">
        <f aca="false">J60</f>
        <v>7500000000</v>
      </c>
      <c r="I61" s="33" t="n">
        <f aca="false">H61*N61</f>
        <v>93906250</v>
      </c>
      <c r="J61" s="33" t="n">
        <f aca="false">H61-E61</f>
        <v>7500000000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93906250</v>
      </c>
      <c r="N61" s="64" t="n">
        <v>0.0125208333333333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46894</v>
      </c>
      <c r="C62" s="39" t="n">
        <v>7500000000</v>
      </c>
      <c r="D62" s="39" t="n">
        <v>93906250</v>
      </c>
      <c r="E62" s="39" t="n">
        <v>0</v>
      </c>
      <c r="F62" s="39" t="n">
        <v>93906250</v>
      </c>
      <c r="G62" s="39" t="n">
        <v>7500000000</v>
      </c>
      <c r="H62" s="33" t="n">
        <f aca="false">J61</f>
        <v>7500000000</v>
      </c>
      <c r="I62" s="33" t="n">
        <f aca="false">H62*N62</f>
        <v>93906250</v>
      </c>
      <c r="J62" s="33" t="n">
        <f aca="false">H62-E62</f>
        <v>7500000000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93906250</v>
      </c>
      <c r="N62" s="64" t="n">
        <v>0.0125208333333333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46925</v>
      </c>
      <c r="C63" s="39" t="n">
        <v>7500000000</v>
      </c>
      <c r="D63" s="39" t="n">
        <v>93906250</v>
      </c>
      <c r="E63" s="39" t="n">
        <v>0</v>
      </c>
      <c r="F63" s="39" t="n">
        <v>93906250</v>
      </c>
      <c r="G63" s="39" t="n">
        <v>7500000000</v>
      </c>
      <c r="H63" s="33" t="n">
        <f aca="false">J62</f>
        <v>7500000000</v>
      </c>
      <c r="I63" s="33" t="n">
        <f aca="false">H63*N63</f>
        <v>93906250</v>
      </c>
      <c r="J63" s="33" t="n">
        <f aca="false">H63-E63</f>
        <v>7500000000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93906250</v>
      </c>
      <c r="N63" s="64" t="n">
        <v>0.0125208333333333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46955</v>
      </c>
      <c r="C64" s="39" t="n">
        <v>7500000000</v>
      </c>
      <c r="D64" s="39" t="n">
        <v>93906250</v>
      </c>
      <c r="E64" s="39" t="n">
        <v>0</v>
      </c>
      <c r="F64" s="39" t="n">
        <v>93906250</v>
      </c>
      <c r="G64" s="39" t="n">
        <v>7500000000</v>
      </c>
      <c r="H64" s="33" t="n">
        <f aca="false">J63</f>
        <v>7500000000</v>
      </c>
      <c r="I64" s="33" t="n">
        <f aca="false">H64*N64</f>
        <v>93906250</v>
      </c>
      <c r="J64" s="33" t="n">
        <f aca="false">H64-E64</f>
        <v>7500000000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93906250</v>
      </c>
      <c r="N64" s="64" t="n">
        <v>0.0125208333333333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46986</v>
      </c>
      <c r="C65" s="39" t="n">
        <v>7500000000</v>
      </c>
      <c r="D65" s="39" t="n">
        <v>93906250</v>
      </c>
      <c r="E65" s="39" t="n">
        <v>0</v>
      </c>
      <c r="F65" s="39" t="n">
        <v>93906250</v>
      </c>
      <c r="G65" s="39" t="n">
        <v>7500000000</v>
      </c>
      <c r="H65" s="33" t="n">
        <f aca="false">J64</f>
        <v>7500000000</v>
      </c>
      <c r="I65" s="33" t="n">
        <f aca="false">H65*N65</f>
        <v>93906250</v>
      </c>
      <c r="J65" s="33" t="n">
        <f aca="false">H65-E65</f>
        <v>7500000000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93906250</v>
      </c>
      <c r="N65" s="64" t="n">
        <v>0.0125208333333333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47017</v>
      </c>
      <c r="C66" s="39" t="n">
        <v>7500000000</v>
      </c>
      <c r="D66" s="39" t="n">
        <v>93906250</v>
      </c>
      <c r="E66" s="39" t="n">
        <v>0</v>
      </c>
      <c r="F66" s="39" t="n">
        <v>93906250</v>
      </c>
      <c r="G66" s="39" t="n">
        <v>7500000000</v>
      </c>
      <c r="H66" s="33" t="n">
        <f aca="false">J65</f>
        <v>7500000000</v>
      </c>
      <c r="I66" s="33" t="n">
        <f aca="false">H66*N66</f>
        <v>93906250</v>
      </c>
      <c r="J66" s="33" t="n">
        <f aca="false">H66-E66</f>
        <v>7500000000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93906250</v>
      </c>
      <c r="N66" s="64" t="n">
        <v>0.0125208333333333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47047</v>
      </c>
      <c r="C67" s="39" t="n">
        <v>7500000000</v>
      </c>
      <c r="D67" s="39" t="n">
        <v>93906250</v>
      </c>
      <c r="E67" s="39" t="n">
        <v>0</v>
      </c>
      <c r="F67" s="39" t="n">
        <v>93906250</v>
      </c>
      <c r="G67" s="39" t="n">
        <v>7500000000</v>
      </c>
      <c r="H67" s="33" t="n">
        <f aca="false">J66</f>
        <v>7500000000</v>
      </c>
      <c r="I67" s="33" t="n">
        <f aca="false">H67*N67</f>
        <v>93906250</v>
      </c>
      <c r="J67" s="33" t="n">
        <f aca="false">H67-E67</f>
        <v>7500000000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93906250</v>
      </c>
      <c r="N67" s="64" t="n">
        <v>0.0125208333333333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47078</v>
      </c>
      <c r="C68" s="39" t="n">
        <v>7500000000</v>
      </c>
      <c r="D68" s="39" t="n">
        <v>93906250</v>
      </c>
      <c r="E68" s="39" t="n">
        <v>0</v>
      </c>
      <c r="F68" s="39" t="n">
        <v>93906250</v>
      </c>
      <c r="G68" s="39" t="n">
        <v>7500000000</v>
      </c>
      <c r="H68" s="33" t="n">
        <f aca="false">J67</f>
        <v>7500000000</v>
      </c>
      <c r="I68" s="33" t="n">
        <f aca="false">H68*N68</f>
        <v>93906250</v>
      </c>
      <c r="J68" s="33" t="n">
        <f aca="false">H68-E68</f>
        <v>7500000000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93906250</v>
      </c>
      <c r="N68" s="64" t="n">
        <v>0.0125208333333333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47108</v>
      </c>
      <c r="C69" s="39" t="n">
        <v>7500000000</v>
      </c>
      <c r="D69" s="39" t="n">
        <v>93906250</v>
      </c>
      <c r="E69" s="39" t="n">
        <v>0</v>
      </c>
      <c r="F69" s="39" t="n">
        <v>93906250</v>
      </c>
      <c r="G69" s="39" t="n">
        <v>7500000000</v>
      </c>
      <c r="H69" s="33" t="n">
        <f aca="false">J68</f>
        <v>7500000000</v>
      </c>
      <c r="I69" s="33" t="n">
        <f aca="false">H69*N69</f>
        <v>93906250</v>
      </c>
      <c r="J69" s="33" t="n">
        <f aca="false">H69-E69</f>
        <v>7500000000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93906250</v>
      </c>
      <c r="N69" s="64" t="n">
        <v>0.0125208333333333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47139</v>
      </c>
      <c r="C70" s="39" t="n">
        <v>7500000000</v>
      </c>
      <c r="D70" s="39" t="n">
        <v>93906250</v>
      </c>
      <c r="E70" s="39" t="n">
        <v>0</v>
      </c>
      <c r="F70" s="39" t="n">
        <v>93906250</v>
      </c>
      <c r="G70" s="39" t="n">
        <v>7500000000</v>
      </c>
      <c r="H70" s="33" t="n">
        <f aca="false">J69</f>
        <v>7500000000</v>
      </c>
      <c r="I70" s="33" t="n">
        <f aca="false">H70*N70</f>
        <v>93906250</v>
      </c>
      <c r="J70" s="33" t="n">
        <f aca="false">H70-E70</f>
        <v>7500000000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93906250</v>
      </c>
      <c r="N70" s="64" t="n">
        <v>0.0125208333333333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47170</v>
      </c>
      <c r="C71" s="39" t="n">
        <v>7500000000</v>
      </c>
      <c r="D71" s="39" t="n">
        <v>93906250</v>
      </c>
      <c r="E71" s="39" t="n">
        <v>0</v>
      </c>
      <c r="F71" s="39" t="n">
        <v>93906250</v>
      </c>
      <c r="G71" s="39" t="n">
        <v>7500000000</v>
      </c>
      <c r="H71" s="33" t="n">
        <f aca="false">J70</f>
        <v>7500000000</v>
      </c>
      <c r="I71" s="33" t="n">
        <f aca="false">H71*N71</f>
        <v>93906250</v>
      </c>
      <c r="J71" s="33" t="n">
        <f aca="false">H71-E71</f>
        <v>7500000000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93906250</v>
      </c>
      <c r="N71" s="64" t="n">
        <v>0.0125208333333333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47198</v>
      </c>
      <c r="C72" s="39" t="n">
        <v>7500000000</v>
      </c>
      <c r="D72" s="39" t="n">
        <v>93906250</v>
      </c>
      <c r="E72" s="39" t="n">
        <v>0</v>
      </c>
      <c r="F72" s="39" t="n">
        <v>93906250</v>
      </c>
      <c r="G72" s="39" t="n">
        <v>7500000000</v>
      </c>
      <c r="H72" s="33" t="n">
        <f aca="false">J71</f>
        <v>7500000000</v>
      </c>
      <c r="I72" s="33" t="n">
        <f aca="false">H72*N72</f>
        <v>93906250</v>
      </c>
      <c r="J72" s="33" t="n">
        <f aca="false">H72-E72</f>
        <v>7500000000</v>
      </c>
      <c r="K72" s="33" t="n">
        <f aca="false">D72-I72</f>
        <v>0</v>
      </c>
      <c r="L72" s="33" t="n">
        <f aca="false">G72-J72</f>
        <v>0</v>
      </c>
      <c r="M72" s="33" t="n">
        <f aca="false">F72</f>
        <v>93906250</v>
      </c>
      <c r="N72" s="64" t="n">
        <v>0.0125208333333333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  <row r="73" customFormat="false" ht="15" hidden="false" customHeight="false" outlineLevel="0" collapsed="false">
      <c r="A73" s="38" t="n">
        <v>61</v>
      </c>
      <c r="B73" s="27" t="n">
        <v>47229</v>
      </c>
      <c r="C73" s="39" t="n">
        <v>7500000000</v>
      </c>
      <c r="D73" s="39" t="n">
        <v>93906250</v>
      </c>
      <c r="E73" s="39" t="n">
        <v>0</v>
      </c>
      <c r="F73" s="39" t="n">
        <v>93906250</v>
      </c>
      <c r="G73" s="39" t="n">
        <v>7500000000</v>
      </c>
      <c r="H73" s="33" t="n">
        <f aca="false">J72</f>
        <v>7500000000</v>
      </c>
      <c r="I73" s="33" t="n">
        <f aca="false">H73*N73</f>
        <v>93906250</v>
      </c>
      <c r="J73" s="33" t="n">
        <f aca="false">H73-E73</f>
        <v>7500000000</v>
      </c>
      <c r="K73" s="33" t="n">
        <f aca="false">D73-I73</f>
        <v>0</v>
      </c>
      <c r="L73" s="33" t="n">
        <f aca="false">G73-J73</f>
        <v>0</v>
      </c>
      <c r="M73" s="33" t="n">
        <f aca="false">F73</f>
        <v>93906250</v>
      </c>
      <c r="N73" s="64" t="n">
        <v>0.0125208333333333</v>
      </c>
      <c r="O73" s="48" t="n">
        <f aca="false">IF(AND(B73&gt;=DATE(2026,1,1),B73&lt;=Resumen!$C$5),1,0)</f>
        <v>0</v>
      </c>
      <c r="P73" s="48" t="n">
        <f aca="false">IF(AND(B73&gt;Resumen!$C$5,B73&lt;=DATE(2027,7,31)),1,0)</f>
        <v>0</v>
      </c>
    </row>
    <row r="74" customFormat="false" ht="15" hidden="false" customHeight="false" outlineLevel="0" collapsed="false">
      <c r="A74" s="38" t="n">
        <v>62</v>
      </c>
      <c r="B74" s="27" t="n">
        <v>47259</v>
      </c>
      <c r="C74" s="39" t="n">
        <v>7500000000</v>
      </c>
      <c r="D74" s="39" t="n">
        <v>93906250</v>
      </c>
      <c r="E74" s="39" t="n">
        <v>0</v>
      </c>
      <c r="F74" s="39" t="n">
        <v>93906250</v>
      </c>
      <c r="G74" s="39" t="n">
        <v>7500000000</v>
      </c>
      <c r="H74" s="33" t="n">
        <f aca="false">J73</f>
        <v>7500000000</v>
      </c>
      <c r="I74" s="33" t="n">
        <f aca="false">H74*N74</f>
        <v>93906250</v>
      </c>
      <c r="J74" s="33" t="n">
        <f aca="false">H74-E74</f>
        <v>7500000000</v>
      </c>
      <c r="K74" s="33" t="n">
        <f aca="false">D74-I74</f>
        <v>0</v>
      </c>
      <c r="L74" s="33" t="n">
        <f aca="false">G74-J74</f>
        <v>0</v>
      </c>
      <c r="M74" s="33" t="n">
        <f aca="false">F74</f>
        <v>93906250</v>
      </c>
      <c r="N74" s="64" t="n">
        <v>0.0125208333333333</v>
      </c>
      <c r="O74" s="48" t="n">
        <f aca="false">IF(AND(B74&gt;=DATE(2026,1,1),B74&lt;=Resumen!$C$5),1,0)</f>
        <v>0</v>
      </c>
      <c r="P74" s="48" t="n">
        <f aca="false">IF(AND(B74&gt;Resumen!$C$5,B74&lt;=DATE(2027,7,31)),1,0)</f>
        <v>0</v>
      </c>
    </row>
    <row r="75" customFormat="false" ht="15" hidden="false" customHeight="false" outlineLevel="0" collapsed="false">
      <c r="A75" s="38" t="n">
        <v>63</v>
      </c>
      <c r="B75" s="27" t="n">
        <v>47290</v>
      </c>
      <c r="C75" s="39" t="n">
        <v>7500000000</v>
      </c>
      <c r="D75" s="39" t="n">
        <v>93906250</v>
      </c>
      <c r="E75" s="39" t="n">
        <v>0</v>
      </c>
      <c r="F75" s="39" t="n">
        <v>93906250</v>
      </c>
      <c r="G75" s="39" t="n">
        <v>7500000000</v>
      </c>
      <c r="H75" s="33" t="n">
        <f aca="false">J74</f>
        <v>7500000000</v>
      </c>
      <c r="I75" s="33" t="n">
        <f aca="false">H75*N75</f>
        <v>93906250</v>
      </c>
      <c r="J75" s="33" t="n">
        <f aca="false">H75-E75</f>
        <v>7500000000</v>
      </c>
      <c r="K75" s="33" t="n">
        <f aca="false">D75-I75</f>
        <v>0</v>
      </c>
      <c r="L75" s="33" t="n">
        <f aca="false">G75-J75</f>
        <v>0</v>
      </c>
      <c r="M75" s="33" t="n">
        <f aca="false">F75</f>
        <v>93906250</v>
      </c>
      <c r="N75" s="64" t="n">
        <v>0.0125208333333333</v>
      </c>
      <c r="O75" s="48" t="n">
        <f aca="false">IF(AND(B75&gt;=DATE(2026,1,1),B75&lt;=Resumen!$C$5),1,0)</f>
        <v>0</v>
      </c>
      <c r="P75" s="48" t="n">
        <f aca="false">IF(AND(B75&gt;Resumen!$C$5,B75&lt;=DATE(2027,7,31)),1,0)</f>
        <v>0</v>
      </c>
    </row>
    <row r="76" customFormat="false" ht="15" hidden="false" customHeight="false" outlineLevel="0" collapsed="false">
      <c r="A76" s="38" t="n">
        <v>64</v>
      </c>
      <c r="B76" s="27" t="n">
        <v>47320</v>
      </c>
      <c r="C76" s="39" t="n">
        <v>7500000000</v>
      </c>
      <c r="D76" s="39" t="n">
        <v>93906250</v>
      </c>
      <c r="E76" s="39" t="n">
        <v>0</v>
      </c>
      <c r="F76" s="39" t="n">
        <v>93906250</v>
      </c>
      <c r="G76" s="39" t="n">
        <v>7500000000</v>
      </c>
      <c r="H76" s="33" t="n">
        <f aca="false">J75</f>
        <v>7500000000</v>
      </c>
      <c r="I76" s="33" t="n">
        <f aca="false">H76*N76</f>
        <v>93906250</v>
      </c>
      <c r="J76" s="33" t="n">
        <f aca="false">H76-E76</f>
        <v>7500000000</v>
      </c>
      <c r="K76" s="33" t="n">
        <f aca="false">D76-I76</f>
        <v>0</v>
      </c>
      <c r="L76" s="33" t="n">
        <f aca="false">G76-J76</f>
        <v>0</v>
      </c>
      <c r="M76" s="33" t="n">
        <f aca="false">F76</f>
        <v>93906250</v>
      </c>
      <c r="N76" s="64" t="n">
        <v>0.0125208333333333</v>
      </c>
      <c r="O76" s="48" t="n">
        <f aca="false">IF(AND(B76&gt;=DATE(2026,1,1),B76&lt;=Resumen!$C$5),1,0)</f>
        <v>0</v>
      </c>
      <c r="P76" s="48" t="n">
        <f aca="false">IF(AND(B76&gt;Resumen!$C$5,B76&lt;=DATE(2027,7,31)),1,0)</f>
        <v>0</v>
      </c>
    </row>
    <row r="77" customFormat="false" ht="15" hidden="false" customHeight="false" outlineLevel="0" collapsed="false">
      <c r="A77" s="38" t="n">
        <v>65</v>
      </c>
      <c r="B77" s="27" t="n">
        <v>47351</v>
      </c>
      <c r="C77" s="39" t="n">
        <v>7500000000</v>
      </c>
      <c r="D77" s="39" t="n">
        <v>93906250</v>
      </c>
      <c r="E77" s="39" t="n">
        <v>0</v>
      </c>
      <c r="F77" s="39" t="n">
        <v>93906250</v>
      </c>
      <c r="G77" s="39" t="n">
        <v>7500000000</v>
      </c>
      <c r="H77" s="33" t="n">
        <f aca="false">J76</f>
        <v>7500000000</v>
      </c>
      <c r="I77" s="33" t="n">
        <f aca="false">H77*N77</f>
        <v>93906250</v>
      </c>
      <c r="J77" s="33" t="n">
        <f aca="false">H77-E77</f>
        <v>7500000000</v>
      </c>
      <c r="K77" s="33" t="n">
        <f aca="false">D77-I77</f>
        <v>0</v>
      </c>
      <c r="L77" s="33" t="n">
        <f aca="false">G77-J77</f>
        <v>0</v>
      </c>
      <c r="M77" s="33" t="n">
        <f aca="false">F77</f>
        <v>93906250</v>
      </c>
      <c r="N77" s="64" t="n">
        <v>0.0125208333333333</v>
      </c>
      <c r="O77" s="48" t="n">
        <f aca="false">IF(AND(B77&gt;=DATE(2026,1,1),B77&lt;=Resumen!$C$5),1,0)</f>
        <v>0</v>
      </c>
      <c r="P77" s="48" t="n">
        <f aca="false">IF(AND(B77&gt;Resumen!$C$5,B77&lt;=DATE(2027,7,31)),1,0)</f>
        <v>0</v>
      </c>
    </row>
    <row r="78" customFormat="false" ht="15" hidden="false" customHeight="false" outlineLevel="0" collapsed="false">
      <c r="A78" s="38" t="n">
        <v>66</v>
      </c>
      <c r="B78" s="27" t="n">
        <v>47382</v>
      </c>
      <c r="C78" s="39" t="n">
        <v>7500000000</v>
      </c>
      <c r="D78" s="39" t="n">
        <v>93906250</v>
      </c>
      <c r="E78" s="39" t="n">
        <v>0</v>
      </c>
      <c r="F78" s="39" t="n">
        <v>93906250</v>
      </c>
      <c r="G78" s="39" t="n">
        <v>7500000000</v>
      </c>
      <c r="H78" s="33" t="n">
        <f aca="false">J77</f>
        <v>7500000000</v>
      </c>
      <c r="I78" s="33" t="n">
        <f aca="false">H78*N78</f>
        <v>93906250</v>
      </c>
      <c r="J78" s="33" t="n">
        <f aca="false">H78-E78</f>
        <v>7500000000</v>
      </c>
      <c r="K78" s="33" t="n">
        <f aca="false">D78-I78</f>
        <v>0</v>
      </c>
      <c r="L78" s="33" t="n">
        <f aca="false">G78-J78</f>
        <v>0</v>
      </c>
      <c r="M78" s="33" t="n">
        <f aca="false">F78</f>
        <v>93906250</v>
      </c>
      <c r="N78" s="64" t="n">
        <v>0.0125208333333333</v>
      </c>
      <c r="O78" s="48" t="n">
        <f aca="false">IF(AND(B78&gt;=DATE(2026,1,1),B78&lt;=Resumen!$C$5),1,0)</f>
        <v>0</v>
      </c>
      <c r="P78" s="48" t="n">
        <f aca="false">IF(AND(B78&gt;Resumen!$C$5,B78&lt;=DATE(2027,7,31)),1,0)</f>
        <v>0</v>
      </c>
    </row>
    <row r="79" customFormat="false" ht="15" hidden="false" customHeight="false" outlineLevel="0" collapsed="false">
      <c r="A79" s="38" t="n">
        <v>67</v>
      </c>
      <c r="B79" s="27" t="n">
        <v>47412</v>
      </c>
      <c r="C79" s="39" t="n">
        <v>7500000000</v>
      </c>
      <c r="D79" s="39" t="n">
        <v>93906250</v>
      </c>
      <c r="E79" s="39" t="n">
        <v>0</v>
      </c>
      <c r="F79" s="39" t="n">
        <v>93906250</v>
      </c>
      <c r="G79" s="39" t="n">
        <v>7500000000</v>
      </c>
      <c r="H79" s="33" t="n">
        <f aca="false">J78</f>
        <v>7500000000</v>
      </c>
      <c r="I79" s="33" t="n">
        <f aca="false">H79*N79</f>
        <v>93906250</v>
      </c>
      <c r="J79" s="33" t="n">
        <f aca="false">H79-E79</f>
        <v>7500000000</v>
      </c>
      <c r="K79" s="33" t="n">
        <f aca="false">D79-I79</f>
        <v>0</v>
      </c>
      <c r="L79" s="33" t="n">
        <f aca="false">G79-J79</f>
        <v>0</v>
      </c>
      <c r="M79" s="33" t="n">
        <f aca="false">F79</f>
        <v>93906250</v>
      </c>
      <c r="N79" s="64" t="n">
        <v>0.0125208333333333</v>
      </c>
      <c r="O79" s="48" t="n">
        <f aca="false">IF(AND(B79&gt;=DATE(2026,1,1),B79&lt;=Resumen!$C$5),1,0)</f>
        <v>0</v>
      </c>
      <c r="P79" s="48" t="n">
        <f aca="false">IF(AND(B79&gt;Resumen!$C$5,B79&lt;=DATE(2027,7,31)),1,0)</f>
        <v>0</v>
      </c>
    </row>
    <row r="80" customFormat="false" ht="15" hidden="false" customHeight="false" outlineLevel="0" collapsed="false">
      <c r="A80" s="38" t="n">
        <v>68</v>
      </c>
      <c r="B80" s="27" t="n">
        <v>47443</v>
      </c>
      <c r="C80" s="39" t="n">
        <v>7500000000</v>
      </c>
      <c r="D80" s="39" t="n">
        <v>93906250</v>
      </c>
      <c r="E80" s="39" t="n">
        <v>0</v>
      </c>
      <c r="F80" s="39" t="n">
        <v>93906250</v>
      </c>
      <c r="G80" s="39" t="n">
        <v>7500000000</v>
      </c>
      <c r="H80" s="33" t="n">
        <f aca="false">J79</f>
        <v>7500000000</v>
      </c>
      <c r="I80" s="33" t="n">
        <f aca="false">H80*N80</f>
        <v>93906250</v>
      </c>
      <c r="J80" s="33" t="n">
        <f aca="false">H80-E80</f>
        <v>7500000000</v>
      </c>
      <c r="K80" s="33" t="n">
        <f aca="false">D80-I80</f>
        <v>0</v>
      </c>
      <c r="L80" s="33" t="n">
        <f aca="false">G80-J80</f>
        <v>0</v>
      </c>
      <c r="M80" s="33" t="n">
        <f aca="false">F80</f>
        <v>93906250</v>
      </c>
      <c r="N80" s="64" t="n">
        <v>0.0125208333333333</v>
      </c>
      <c r="O80" s="48" t="n">
        <f aca="false">IF(AND(B80&gt;=DATE(2026,1,1),B80&lt;=Resumen!$C$5),1,0)</f>
        <v>0</v>
      </c>
      <c r="P80" s="48" t="n">
        <f aca="false">IF(AND(B80&gt;Resumen!$C$5,B80&lt;=DATE(2027,7,31)),1,0)</f>
        <v>0</v>
      </c>
    </row>
    <row r="81" customFormat="false" ht="15" hidden="false" customHeight="false" outlineLevel="0" collapsed="false">
      <c r="A81" s="38" t="n">
        <v>69</v>
      </c>
      <c r="B81" s="27" t="n">
        <v>47473</v>
      </c>
      <c r="C81" s="39" t="n">
        <v>7500000000</v>
      </c>
      <c r="D81" s="39" t="n">
        <v>93906250</v>
      </c>
      <c r="E81" s="39" t="n">
        <v>0</v>
      </c>
      <c r="F81" s="39" t="n">
        <v>93906250</v>
      </c>
      <c r="G81" s="39" t="n">
        <v>7500000000</v>
      </c>
      <c r="H81" s="33" t="n">
        <f aca="false">J80</f>
        <v>7500000000</v>
      </c>
      <c r="I81" s="33" t="n">
        <f aca="false">H81*N81</f>
        <v>93906250</v>
      </c>
      <c r="J81" s="33" t="n">
        <f aca="false">H81-E81</f>
        <v>7500000000</v>
      </c>
      <c r="K81" s="33" t="n">
        <f aca="false">D81-I81</f>
        <v>0</v>
      </c>
      <c r="L81" s="33" t="n">
        <f aca="false">G81-J81</f>
        <v>0</v>
      </c>
      <c r="M81" s="33" t="n">
        <f aca="false">F81</f>
        <v>93906250</v>
      </c>
      <c r="N81" s="64" t="n">
        <v>0.0125208333333333</v>
      </c>
      <c r="O81" s="48" t="n">
        <f aca="false">IF(AND(B81&gt;=DATE(2026,1,1),B81&lt;=Resumen!$C$5),1,0)</f>
        <v>0</v>
      </c>
      <c r="P81" s="48" t="n">
        <f aca="false">IF(AND(B81&gt;Resumen!$C$5,B81&lt;=DATE(2027,7,31)),1,0)</f>
        <v>0</v>
      </c>
    </row>
    <row r="82" customFormat="false" ht="15" hidden="false" customHeight="false" outlineLevel="0" collapsed="false">
      <c r="A82" s="38" t="n">
        <v>70</v>
      </c>
      <c r="B82" s="27" t="n">
        <v>47504</v>
      </c>
      <c r="C82" s="39" t="n">
        <v>7500000000</v>
      </c>
      <c r="D82" s="39" t="n">
        <v>93906250</v>
      </c>
      <c r="E82" s="39" t="n">
        <v>0</v>
      </c>
      <c r="F82" s="39" t="n">
        <v>93906250</v>
      </c>
      <c r="G82" s="39" t="n">
        <v>7500000000</v>
      </c>
      <c r="H82" s="33" t="n">
        <f aca="false">J81</f>
        <v>7500000000</v>
      </c>
      <c r="I82" s="33" t="n">
        <f aca="false">H82*N82</f>
        <v>93906250</v>
      </c>
      <c r="J82" s="33" t="n">
        <f aca="false">H82-E82</f>
        <v>7500000000</v>
      </c>
      <c r="K82" s="33" t="n">
        <f aca="false">D82-I82</f>
        <v>0</v>
      </c>
      <c r="L82" s="33" t="n">
        <f aca="false">G82-J82</f>
        <v>0</v>
      </c>
      <c r="M82" s="33" t="n">
        <f aca="false">F82</f>
        <v>93906250</v>
      </c>
      <c r="N82" s="64" t="n">
        <v>0.0125208333333333</v>
      </c>
      <c r="O82" s="48" t="n">
        <f aca="false">IF(AND(B82&gt;=DATE(2026,1,1),B82&lt;=Resumen!$C$5),1,0)</f>
        <v>0</v>
      </c>
      <c r="P82" s="48" t="n">
        <f aca="false">IF(AND(B82&gt;Resumen!$C$5,B82&lt;=DATE(2027,7,31)),1,0)</f>
        <v>0</v>
      </c>
    </row>
    <row r="83" customFormat="false" ht="15" hidden="false" customHeight="false" outlineLevel="0" collapsed="false">
      <c r="A83" s="38" t="n">
        <v>71</v>
      </c>
      <c r="B83" s="27" t="n">
        <v>47535</v>
      </c>
      <c r="C83" s="39" t="n">
        <v>7500000000</v>
      </c>
      <c r="D83" s="39" t="n">
        <v>93906250</v>
      </c>
      <c r="E83" s="39" t="n">
        <v>0</v>
      </c>
      <c r="F83" s="39" t="n">
        <v>93906250</v>
      </c>
      <c r="G83" s="39" t="n">
        <v>7500000000</v>
      </c>
      <c r="H83" s="33" t="n">
        <f aca="false">J82</f>
        <v>7500000000</v>
      </c>
      <c r="I83" s="33" t="n">
        <f aca="false">H83*N83</f>
        <v>93906250</v>
      </c>
      <c r="J83" s="33" t="n">
        <f aca="false">H83-E83</f>
        <v>7500000000</v>
      </c>
      <c r="K83" s="33" t="n">
        <f aca="false">D83-I83</f>
        <v>0</v>
      </c>
      <c r="L83" s="33" t="n">
        <f aca="false">G83-J83</f>
        <v>0</v>
      </c>
      <c r="M83" s="33" t="n">
        <f aca="false">F83</f>
        <v>93906250</v>
      </c>
      <c r="N83" s="64" t="n">
        <v>0.0125208333333333</v>
      </c>
      <c r="O83" s="48" t="n">
        <f aca="false">IF(AND(B83&gt;=DATE(2026,1,1),B83&lt;=Resumen!$C$5),1,0)</f>
        <v>0</v>
      </c>
      <c r="P83" s="48" t="n">
        <f aca="false">IF(AND(B83&gt;Resumen!$C$5,B83&lt;=DATE(2027,7,31)),1,0)</f>
        <v>0</v>
      </c>
    </row>
    <row r="84" customFormat="false" ht="15" hidden="false" customHeight="false" outlineLevel="0" collapsed="false">
      <c r="A84" s="38" t="n">
        <v>72</v>
      </c>
      <c r="B84" s="27" t="n">
        <v>47563</v>
      </c>
      <c r="C84" s="39" t="n">
        <v>7500000000</v>
      </c>
      <c r="D84" s="39" t="n">
        <v>93906250</v>
      </c>
      <c r="E84" s="39" t="n">
        <v>0</v>
      </c>
      <c r="F84" s="39" t="n">
        <v>93906250</v>
      </c>
      <c r="G84" s="39" t="n">
        <v>7500000000</v>
      </c>
      <c r="H84" s="33" t="n">
        <f aca="false">J83</f>
        <v>7500000000</v>
      </c>
      <c r="I84" s="33" t="n">
        <f aca="false">H84*N84</f>
        <v>93906250</v>
      </c>
      <c r="J84" s="33" t="n">
        <f aca="false">H84-E84</f>
        <v>7500000000</v>
      </c>
      <c r="K84" s="33" t="n">
        <f aca="false">D84-I84</f>
        <v>0</v>
      </c>
      <c r="L84" s="33" t="n">
        <f aca="false">G84-J84</f>
        <v>0</v>
      </c>
      <c r="M84" s="33" t="n">
        <f aca="false">F84</f>
        <v>93906250</v>
      </c>
      <c r="N84" s="64" t="n">
        <v>0.0125208333333333</v>
      </c>
      <c r="O84" s="48" t="n">
        <f aca="false">IF(AND(B84&gt;=DATE(2026,1,1),B84&lt;=Resumen!$C$5),1,0)</f>
        <v>0</v>
      </c>
      <c r="P84" s="48" t="n">
        <f aca="false">IF(AND(B84&gt;Resumen!$C$5,B84&lt;=DATE(2027,7,31)),1,0)</f>
        <v>0</v>
      </c>
    </row>
    <row r="85" customFormat="false" ht="15" hidden="false" customHeight="false" outlineLevel="0" collapsed="false">
      <c r="A85" s="38" t="n">
        <v>73</v>
      </c>
      <c r="B85" s="27" t="n">
        <v>47594</v>
      </c>
      <c r="C85" s="39" t="n">
        <v>7500000000</v>
      </c>
      <c r="D85" s="39" t="n">
        <v>93906250</v>
      </c>
      <c r="E85" s="39" t="n">
        <v>0</v>
      </c>
      <c r="F85" s="39" t="n">
        <v>93906250</v>
      </c>
      <c r="G85" s="39" t="n">
        <v>7500000000</v>
      </c>
      <c r="H85" s="33" t="n">
        <f aca="false">J84</f>
        <v>7500000000</v>
      </c>
      <c r="I85" s="33" t="n">
        <f aca="false">H85*N85</f>
        <v>93906250</v>
      </c>
      <c r="J85" s="33" t="n">
        <f aca="false">H85-E85</f>
        <v>7500000000</v>
      </c>
      <c r="K85" s="33" t="n">
        <f aca="false">D85-I85</f>
        <v>0</v>
      </c>
      <c r="L85" s="33" t="n">
        <f aca="false">G85-J85</f>
        <v>0</v>
      </c>
      <c r="M85" s="33" t="n">
        <f aca="false">F85</f>
        <v>93906250</v>
      </c>
      <c r="N85" s="64" t="n">
        <v>0.0125208333333333</v>
      </c>
      <c r="O85" s="48" t="n">
        <f aca="false">IF(AND(B85&gt;=DATE(2026,1,1),B85&lt;=Resumen!$C$5),1,0)</f>
        <v>0</v>
      </c>
      <c r="P85" s="48" t="n">
        <f aca="false">IF(AND(B85&gt;Resumen!$C$5,B85&lt;=DATE(2027,7,31)),1,0)</f>
        <v>0</v>
      </c>
    </row>
    <row r="86" customFormat="false" ht="15" hidden="false" customHeight="false" outlineLevel="0" collapsed="false">
      <c r="A86" s="38" t="n">
        <v>74</v>
      </c>
      <c r="B86" s="27" t="n">
        <v>47624</v>
      </c>
      <c r="C86" s="39" t="n">
        <v>7500000000</v>
      </c>
      <c r="D86" s="39" t="n">
        <v>93906250</v>
      </c>
      <c r="E86" s="39" t="n">
        <v>0</v>
      </c>
      <c r="F86" s="39" t="n">
        <v>93906250</v>
      </c>
      <c r="G86" s="39" t="n">
        <v>7500000000</v>
      </c>
      <c r="H86" s="33" t="n">
        <f aca="false">J85</f>
        <v>7500000000</v>
      </c>
      <c r="I86" s="33" t="n">
        <f aca="false">H86*N86</f>
        <v>93906250</v>
      </c>
      <c r="J86" s="33" t="n">
        <f aca="false">H86-E86</f>
        <v>7500000000</v>
      </c>
      <c r="K86" s="33" t="n">
        <f aca="false">D86-I86</f>
        <v>0</v>
      </c>
      <c r="L86" s="33" t="n">
        <f aca="false">G86-J86</f>
        <v>0</v>
      </c>
      <c r="M86" s="33" t="n">
        <f aca="false">F86</f>
        <v>93906250</v>
      </c>
      <c r="N86" s="64" t="n">
        <v>0.0125208333333333</v>
      </c>
      <c r="O86" s="48" t="n">
        <f aca="false">IF(AND(B86&gt;=DATE(2026,1,1),B86&lt;=Resumen!$C$5),1,0)</f>
        <v>0</v>
      </c>
      <c r="P86" s="48" t="n">
        <f aca="false">IF(AND(B86&gt;Resumen!$C$5,B86&lt;=DATE(2027,7,31)),1,0)</f>
        <v>0</v>
      </c>
    </row>
    <row r="87" customFormat="false" ht="15" hidden="false" customHeight="false" outlineLevel="0" collapsed="false">
      <c r="A87" s="38" t="n">
        <v>75</v>
      </c>
      <c r="B87" s="27" t="n">
        <v>47655</v>
      </c>
      <c r="C87" s="39" t="n">
        <v>7500000000</v>
      </c>
      <c r="D87" s="39" t="n">
        <v>93906250</v>
      </c>
      <c r="E87" s="39" t="n">
        <v>0</v>
      </c>
      <c r="F87" s="39" t="n">
        <v>93906250</v>
      </c>
      <c r="G87" s="39" t="n">
        <v>7500000000</v>
      </c>
      <c r="H87" s="33" t="n">
        <f aca="false">J86</f>
        <v>7500000000</v>
      </c>
      <c r="I87" s="33" t="n">
        <f aca="false">H87*N87</f>
        <v>93906250</v>
      </c>
      <c r="J87" s="33" t="n">
        <f aca="false">H87-E87</f>
        <v>7500000000</v>
      </c>
      <c r="K87" s="33" t="n">
        <f aca="false">D87-I87</f>
        <v>0</v>
      </c>
      <c r="L87" s="33" t="n">
        <f aca="false">G87-J87</f>
        <v>0</v>
      </c>
      <c r="M87" s="33" t="n">
        <f aca="false">F87</f>
        <v>93906250</v>
      </c>
      <c r="N87" s="64" t="n">
        <v>0.0125208333333333</v>
      </c>
      <c r="O87" s="48" t="n">
        <f aca="false">IF(AND(B87&gt;=DATE(2026,1,1),B87&lt;=Resumen!$C$5),1,0)</f>
        <v>0</v>
      </c>
      <c r="P87" s="48" t="n">
        <f aca="false">IF(AND(B87&gt;Resumen!$C$5,B87&lt;=DATE(2027,7,31)),1,0)</f>
        <v>0</v>
      </c>
    </row>
    <row r="88" customFormat="false" ht="15" hidden="false" customHeight="false" outlineLevel="0" collapsed="false">
      <c r="A88" s="38" t="n">
        <v>76</v>
      </c>
      <c r="B88" s="27" t="n">
        <v>47685</v>
      </c>
      <c r="C88" s="39" t="n">
        <v>7500000000</v>
      </c>
      <c r="D88" s="39" t="n">
        <v>93906250</v>
      </c>
      <c r="E88" s="39" t="n">
        <v>0</v>
      </c>
      <c r="F88" s="39" t="n">
        <v>93906250</v>
      </c>
      <c r="G88" s="39" t="n">
        <v>7500000000</v>
      </c>
      <c r="H88" s="33" t="n">
        <f aca="false">J87</f>
        <v>7500000000</v>
      </c>
      <c r="I88" s="33" t="n">
        <f aca="false">H88*N88</f>
        <v>93906250</v>
      </c>
      <c r="J88" s="33" t="n">
        <f aca="false">H88-E88</f>
        <v>7500000000</v>
      </c>
      <c r="K88" s="33" t="n">
        <f aca="false">D88-I88</f>
        <v>0</v>
      </c>
      <c r="L88" s="33" t="n">
        <f aca="false">G88-J88</f>
        <v>0</v>
      </c>
      <c r="M88" s="33" t="n">
        <f aca="false">F88</f>
        <v>93906250</v>
      </c>
      <c r="N88" s="64" t="n">
        <v>0.0125208333333333</v>
      </c>
      <c r="O88" s="48" t="n">
        <f aca="false">IF(AND(B88&gt;=DATE(2026,1,1),B88&lt;=Resumen!$C$5),1,0)</f>
        <v>0</v>
      </c>
      <c r="P88" s="48" t="n">
        <f aca="false">IF(AND(B88&gt;Resumen!$C$5,B88&lt;=DATE(2027,7,31)),1,0)</f>
        <v>0</v>
      </c>
    </row>
    <row r="89" customFormat="false" ht="15" hidden="false" customHeight="false" outlineLevel="0" collapsed="false">
      <c r="A89" s="38" t="n">
        <v>77</v>
      </c>
      <c r="B89" s="27" t="n">
        <v>47716</v>
      </c>
      <c r="C89" s="39" t="n">
        <v>7500000000</v>
      </c>
      <c r="D89" s="39" t="n">
        <v>93906250</v>
      </c>
      <c r="E89" s="39" t="n">
        <v>0</v>
      </c>
      <c r="F89" s="39" t="n">
        <v>93906250</v>
      </c>
      <c r="G89" s="39" t="n">
        <v>7500000000</v>
      </c>
      <c r="H89" s="33" t="n">
        <f aca="false">J88</f>
        <v>7500000000</v>
      </c>
      <c r="I89" s="33" t="n">
        <f aca="false">H89*N89</f>
        <v>93906250</v>
      </c>
      <c r="J89" s="33" t="n">
        <f aca="false">H89-E89</f>
        <v>7500000000</v>
      </c>
      <c r="K89" s="33" t="n">
        <f aca="false">D89-I89</f>
        <v>0</v>
      </c>
      <c r="L89" s="33" t="n">
        <f aca="false">G89-J89</f>
        <v>0</v>
      </c>
      <c r="M89" s="33" t="n">
        <f aca="false">F89</f>
        <v>93906250</v>
      </c>
      <c r="N89" s="64" t="n">
        <v>0.0125208333333333</v>
      </c>
      <c r="O89" s="48" t="n">
        <f aca="false">IF(AND(B89&gt;=DATE(2026,1,1),B89&lt;=Resumen!$C$5),1,0)</f>
        <v>0</v>
      </c>
      <c r="P89" s="48" t="n">
        <f aca="false">IF(AND(B89&gt;Resumen!$C$5,B89&lt;=DATE(2027,7,31)),1,0)</f>
        <v>0</v>
      </c>
    </row>
    <row r="90" customFormat="false" ht="15" hidden="false" customHeight="false" outlineLevel="0" collapsed="false">
      <c r="A90" s="38" t="n">
        <v>78</v>
      </c>
      <c r="B90" s="27" t="n">
        <v>47747</v>
      </c>
      <c r="C90" s="39" t="n">
        <v>7500000000</v>
      </c>
      <c r="D90" s="39" t="n">
        <v>93906250</v>
      </c>
      <c r="E90" s="39" t="n">
        <v>0</v>
      </c>
      <c r="F90" s="39" t="n">
        <v>93906250</v>
      </c>
      <c r="G90" s="39" t="n">
        <v>7500000000</v>
      </c>
      <c r="H90" s="33" t="n">
        <f aca="false">J89</f>
        <v>7500000000</v>
      </c>
      <c r="I90" s="33" t="n">
        <f aca="false">H90*N90</f>
        <v>93906250</v>
      </c>
      <c r="J90" s="33" t="n">
        <f aca="false">H90-E90</f>
        <v>7500000000</v>
      </c>
      <c r="K90" s="33" t="n">
        <f aca="false">D90-I90</f>
        <v>0</v>
      </c>
      <c r="L90" s="33" t="n">
        <f aca="false">G90-J90</f>
        <v>0</v>
      </c>
      <c r="M90" s="33" t="n">
        <f aca="false">F90</f>
        <v>93906250</v>
      </c>
      <c r="N90" s="64" t="n">
        <v>0.0125208333333333</v>
      </c>
      <c r="O90" s="48" t="n">
        <f aca="false">IF(AND(B90&gt;=DATE(2026,1,1),B90&lt;=Resumen!$C$5),1,0)</f>
        <v>0</v>
      </c>
      <c r="P90" s="48" t="n">
        <f aca="false">IF(AND(B90&gt;Resumen!$C$5,B90&lt;=DATE(2027,7,31)),1,0)</f>
        <v>0</v>
      </c>
    </row>
    <row r="91" customFormat="false" ht="15" hidden="false" customHeight="false" outlineLevel="0" collapsed="false">
      <c r="A91" s="38" t="n">
        <v>79</v>
      </c>
      <c r="B91" s="27" t="n">
        <v>47777</v>
      </c>
      <c r="C91" s="39" t="n">
        <v>7500000000</v>
      </c>
      <c r="D91" s="39" t="n">
        <v>93906250</v>
      </c>
      <c r="E91" s="39" t="n">
        <v>0</v>
      </c>
      <c r="F91" s="39" t="n">
        <v>93906250</v>
      </c>
      <c r="G91" s="39" t="n">
        <v>7500000000</v>
      </c>
      <c r="H91" s="33" t="n">
        <f aca="false">J90</f>
        <v>7500000000</v>
      </c>
      <c r="I91" s="33" t="n">
        <f aca="false">H91*N91</f>
        <v>93906250</v>
      </c>
      <c r="J91" s="33" t="n">
        <f aca="false">H91-E91</f>
        <v>7500000000</v>
      </c>
      <c r="K91" s="33" t="n">
        <f aca="false">D91-I91</f>
        <v>0</v>
      </c>
      <c r="L91" s="33" t="n">
        <f aca="false">G91-J91</f>
        <v>0</v>
      </c>
      <c r="M91" s="33" t="n">
        <f aca="false">F91</f>
        <v>93906250</v>
      </c>
      <c r="N91" s="64" t="n">
        <v>0.0125208333333333</v>
      </c>
      <c r="O91" s="48" t="n">
        <f aca="false">IF(AND(B91&gt;=DATE(2026,1,1),B91&lt;=Resumen!$C$5),1,0)</f>
        <v>0</v>
      </c>
      <c r="P91" s="48" t="n">
        <f aca="false">IF(AND(B91&gt;Resumen!$C$5,B91&lt;=DATE(2027,7,31)),1,0)</f>
        <v>0</v>
      </c>
    </row>
    <row r="92" customFormat="false" ht="15" hidden="false" customHeight="false" outlineLevel="0" collapsed="false">
      <c r="A92" s="38" t="n">
        <v>80</v>
      </c>
      <c r="B92" s="27" t="n">
        <v>47808</v>
      </c>
      <c r="C92" s="39" t="n">
        <v>7500000000</v>
      </c>
      <c r="D92" s="39" t="n">
        <v>93906250</v>
      </c>
      <c r="E92" s="39" t="n">
        <v>0</v>
      </c>
      <c r="F92" s="39" t="n">
        <v>93906250</v>
      </c>
      <c r="G92" s="39" t="n">
        <v>7500000000</v>
      </c>
      <c r="H92" s="33" t="n">
        <f aca="false">J91</f>
        <v>7500000000</v>
      </c>
      <c r="I92" s="33" t="n">
        <f aca="false">H92*N92</f>
        <v>93906250</v>
      </c>
      <c r="J92" s="33" t="n">
        <f aca="false">H92-E92</f>
        <v>7500000000</v>
      </c>
      <c r="K92" s="33" t="n">
        <f aca="false">D92-I92</f>
        <v>0</v>
      </c>
      <c r="L92" s="33" t="n">
        <f aca="false">G92-J92</f>
        <v>0</v>
      </c>
      <c r="M92" s="33" t="n">
        <f aca="false">F92</f>
        <v>93906250</v>
      </c>
      <c r="N92" s="64" t="n">
        <v>0.0125208333333333</v>
      </c>
      <c r="O92" s="48" t="n">
        <f aca="false">IF(AND(B92&gt;=DATE(2026,1,1),B92&lt;=Resumen!$C$5),1,0)</f>
        <v>0</v>
      </c>
      <c r="P92" s="48" t="n">
        <f aca="false">IF(AND(B92&gt;Resumen!$C$5,B92&lt;=DATE(2027,7,31)),1,0)</f>
        <v>0</v>
      </c>
    </row>
    <row r="93" customFormat="false" ht="15" hidden="false" customHeight="false" outlineLevel="0" collapsed="false">
      <c r="A93" s="38" t="n">
        <v>81</v>
      </c>
      <c r="B93" s="27" t="n">
        <v>47838</v>
      </c>
      <c r="C93" s="39" t="n">
        <v>7500000000</v>
      </c>
      <c r="D93" s="39" t="n">
        <v>93906250</v>
      </c>
      <c r="E93" s="39" t="n">
        <v>0</v>
      </c>
      <c r="F93" s="39" t="n">
        <v>93906250</v>
      </c>
      <c r="G93" s="39" t="n">
        <v>7500000000</v>
      </c>
      <c r="H93" s="33" t="n">
        <f aca="false">J92</f>
        <v>7500000000</v>
      </c>
      <c r="I93" s="33" t="n">
        <f aca="false">H93*N93</f>
        <v>93906250</v>
      </c>
      <c r="J93" s="33" t="n">
        <f aca="false">H93-E93</f>
        <v>7500000000</v>
      </c>
      <c r="K93" s="33" t="n">
        <f aca="false">D93-I93</f>
        <v>0</v>
      </c>
      <c r="L93" s="33" t="n">
        <f aca="false">G93-J93</f>
        <v>0</v>
      </c>
      <c r="M93" s="33" t="n">
        <f aca="false">F93</f>
        <v>93906250</v>
      </c>
      <c r="N93" s="64" t="n">
        <v>0.0125208333333333</v>
      </c>
      <c r="O93" s="48" t="n">
        <f aca="false">IF(AND(B93&gt;=DATE(2026,1,1),B93&lt;=Resumen!$C$5),1,0)</f>
        <v>0</v>
      </c>
      <c r="P93" s="48" t="n">
        <f aca="false">IF(AND(B93&gt;Resumen!$C$5,B93&lt;=DATE(2027,7,31)),1,0)</f>
        <v>0</v>
      </c>
    </row>
    <row r="94" customFormat="false" ht="15" hidden="false" customHeight="false" outlineLevel="0" collapsed="false">
      <c r="A94" s="38" t="n">
        <v>82</v>
      </c>
      <c r="B94" s="27" t="n">
        <v>47869</v>
      </c>
      <c r="C94" s="39" t="n">
        <v>7500000000</v>
      </c>
      <c r="D94" s="39" t="n">
        <v>93906250</v>
      </c>
      <c r="E94" s="39" t="n">
        <v>0</v>
      </c>
      <c r="F94" s="39" t="n">
        <v>93906250</v>
      </c>
      <c r="G94" s="39" t="n">
        <v>7500000000</v>
      </c>
      <c r="H94" s="33" t="n">
        <f aca="false">J93</f>
        <v>7500000000</v>
      </c>
      <c r="I94" s="33" t="n">
        <f aca="false">H94*N94</f>
        <v>93906250</v>
      </c>
      <c r="J94" s="33" t="n">
        <f aca="false">H94-E94</f>
        <v>7500000000</v>
      </c>
      <c r="K94" s="33" t="n">
        <f aca="false">D94-I94</f>
        <v>0</v>
      </c>
      <c r="L94" s="33" t="n">
        <f aca="false">G94-J94</f>
        <v>0</v>
      </c>
      <c r="M94" s="33" t="n">
        <f aca="false">F94</f>
        <v>93906250</v>
      </c>
      <c r="N94" s="64" t="n">
        <v>0.0125208333333333</v>
      </c>
      <c r="O94" s="48" t="n">
        <f aca="false">IF(AND(B94&gt;=DATE(2026,1,1),B94&lt;=Resumen!$C$5),1,0)</f>
        <v>0</v>
      </c>
      <c r="P94" s="48" t="n">
        <f aca="false">IF(AND(B94&gt;Resumen!$C$5,B94&lt;=DATE(2027,7,31)),1,0)</f>
        <v>0</v>
      </c>
    </row>
    <row r="95" customFormat="false" ht="15" hidden="false" customHeight="false" outlineLevel="0" collapsed="false">
      <c r="A95" s="38" t="n">
        <v>83</v>
      </c>
      <c r="B95" s="27" t="n">
        <v>47900</v>
      </c>
      <c r="C95" s="39" t="n">
        <v>7500000000</v>
      </c>
      <c r="D95" s="39" t="n">
        <v>93906250</v>
      </c>
      <c r="E95" s="39" t="n">
        <v>0</v>
      </c>
      <c r="F95" s="39" t="n">
        <v>93906250</v>
      </c>
      <c r="G95" s="39" t="n">
        <v>7500000000</v>
      </c>
      <c r="H95" s="33" t="n">
        <f aca="false">J94</f>
        <v>7500000000</v>
      </c>
      <c r="I95" s="33" t="n">
        <f aca="false">H95*N95</f>
        <v>93906250</v>
      </c>
      <c r="J95" s="33" t="n">
        <f aca="false">H95-E95</f>
        <v>7500000000</v>
      </c>
      <c r="K95" s="33" t="n">
        <f aca="false">D95-I95</f>
        <v>0</v>
      </c>
      <c r="L95" s="33" t="n">
        <f aca="false">G95-J95</f>
        <v>0</v>
      </c>
      <c r="M95" s="33" t="n">
        <f aca="false">F95</f>
        <v>93906250</v>
      </c>
      <c r="N95" s="64" t="n">
        <v>0.0125208333333333</v>
      </c>
      <c r="O95" s="48" t="n">
        <f aca="false">IF(AND(B95&gt;=DATE(2026,1,1),B95&lt;=Resumen!$C$5),1,0)</f>
        <v>0</v>
      </c>
      <c r="P95" s="48" t="n">
        <f aca="false">IF(AND(B95&gt;Resumen!$C$5,B95&lt;=DATE(2027,7,31)),1,0)</f>
        <v>0</v>
      </c>
    </row>
    <row r="96" customFormat="false" ht="15" hidden="false" customHeight="false" outlineLevel="0" collapsed="false">
      <c r="A96" s="38" t="n">
        <v>84</v>
      </c>
      <c r="B96" s="27" t="n">
        <v>47928</v>
      </c>
      <c r="C96" s="39" t="n">
        <v>7500000000</v>
      </c>
      <c r="D96" s="39" t="n">
        <v>93906250</v>
      </c>
      <c r="E96" s="39" t="n">
        <v>0</v>
      </c>
      <c r="F96" s="39" t="n">
        <v>93906250</v>
      </c>
      <c r="G96" s="39" t="n">
        <v>7500000000</v>
      </c>
      <c r="H96" s="33" t="n">
        <f aca="false">J95</f>
        <v>7500000000</v>
      </c>
      <c r="I96" s="33" t="n">
        <f aca="false">H96*N96</f>
        <v>93906250</v>
      </c>
      <c r="J96" s="33" t="n">
        <f aca="false">H96-E96</f>
        <v>7500000000</v>
      </c>
      <c r="K96" s="33" t="n">
        <f aca="false">D96-I96</f>
        <v>0</v>
      </c>
      <c r="L96" s="33" t="n">
        <f aca="false">G96-J96</f>
        <v>0</v>
      </c>
      <c r="M96" s="33" t="n">
        <f aca="false">F96</f>
        <v>93906250</v>
      </c>
      <c r="N96" s="64" t="n">
        <v>0.0125208333333333</v>
      </c>
      <c r="O96" s="48" t="n">
        <f aca="false">IF(AND(B96&gt;=DATE(2026,1,1),B96&lt;=Resumen!$C$5),1,0)</f>
        <v>0</v>
      </c>
      <c r="P96" s="48" t="n">
        <f aca="false">IF(AND(B96&gt;Resumen!$C$5,B96&lt;=DATE(2027,7,31)),1,0)</f>
        <v>0</v>
      </c>
    </row>
    <row r="97" customFormat="false" ht="15" hidden="false" customHeight="false" outlineLevel="0" collapsed="false">
      <c r="A97" s="38" t="n">
        <v>85</v>
      </c>
      <c r="B97" s="27" t="n">
        <v>47959</v>
      </c>
      <c r="C97" s="39" t="n">
        <v>7500000000</v>
      </c>
      <c r="D97" s="39" t="n">
        <v>93906250</v>
      </c>
      <c r="E97" s="39" t="n">
        <v>0</v>
      </c>
      <c r="F97" s="39" t="n">
        <v>93906250</v>
      </c>
      <c r="G97" s="39" t="n">
        <v>7500000000</v>
      </c>
      <c r="H97" s="33" t="n">
        <f aca="false">J96</f>
        <v>7500000000</v>
      </c>
      <c r="I97" s="33" t="n">
        <f aca="false">H97*N97</f>
        <v>93906250</v>
      </c>
      <c r="J97" s="33" t="n">
        <f aca="false">H97-E97</f>
        <v>7500000000</v>
      </c>
      <c r="K97" s="33" t="n">
        <f aca="false">D97-I97</f>
        <v>0</v>
      </c>
      <c r="L97" s="33" t="n">
        <f aca="false">G97-J97</f>
        <v>0</v>
      </c>
      <c r="M97" s="33" t="n">
        <f aca="false">F97</f>
        <v>93906250</v>
      </c>
      <c r="N97" s="64" t="n">
        <v>0.0125208333333333</v>
      </c>
      <c r="O97" s="48" t="n">
        <f aca="false">IF(AND(B97&gt;=DATE(2026,1,1),B97&lt;=Resumen!$C$5),1,0)</f>
        <v>0</v>
      </c>
      <c r="P97" s="48" t="n">
        <f aca="false">IF(AND(B97&gt;Resumen!$C$5,B97&lt;=DATE(2027,7,31)),1,0)</f>
        <v>0</v>
      </c>
    </row>
    <row r="98" customFormat="false" ht="15" hidden="false" customHeight="false" outlineLevel="0" collapsed="false">
      <c r="A98" s="38" t="n">
        <v>86</v>
      </c>
      <c r="B98" s="27" t="n">
        <v>47989</v>
      </c>
      <c r="C98" s="39" t="n">
        <v>7500000000</v>
      </c>
      <c r="D98" s="39" t="n">
        <v>93906250</v>
      </c>
      <c r="E98" s="39" t="n">
        <v>0</v>
      </c>
      <c r="F98" s="39" t="n">
        <v>93906250</v>
      </c>
      <c r="G98" s="39" t="n">
        <v>7500000000</v>
      </c>
      <c r="H98" s="33" t="n">
        <f aca="false">J97</f>
        <v>7500000000</v>
      </c>
      <c r="I98" s="33" t="n">
        <f aca="false">H98*N98</f>
        <v>93906250</v>
      </c>
      <c r="J98" s="33" t="n">
        <f aca="false">H98-E98</f>
        <v>7500000000</v>
      </c>
      <c r="K98" s="33" t="n">
        <f aca="false">D98-I98</f>
        <v>0</v>
      </c>
      <c r="L98" s="33" t="n">
        <f aca="false">G98-J98</f>
        <v>0</v>
      </c>
      <c r="M98" s="33" t="n">
        <f aca="false">F98</f>
        <v>93906250</v>
      </c>
      <c r="N98" s="64" t="n">
        <v>0.0125208333333333</v>
      </c>
      <c r="O98" s="48" t="n">
        <f aca="false">IF(AND(B98&gt;=DATE(2026,1,1),B98&lt;=Resumen!$C$5),1,0)</f>
        <v>0</v>
      </c>
      <c r="P98" s="48" t="n">
        <f aca="false">IF(AND(B98&gt;Resumen!$C$5,B98&lt;=DATE(2027,7,31)),1,0)</f>
        <v>0</v>
      </c>
    </row>
    <row r="99" customFormat="false" ht="15" hidden="false" customHeight="false" outlineLevel="0" collapsed="false">
      <c r="A99" s="38" t="n">
        <v>87</v>
      </c>
      <c r="B99" s="27" t="n">
        <v>48020</v>
      </c>
      <c r="C99" s="39" t="n">
        <v>7500000000</v>
      </c>
      <c r="D99" s="39" t="n">
        <v>93906250</v>
      </c>
      <c r="E99" s="39" t="n">
        <v>0</v>
      </c>
      <c r="F99" s="39" t="n">
        <v>93906250</v>
      </c>
      <c r="G99" s="39" t="n">
        <v>7500000000</v>
      </c>
      <c r="H99" s="33" t="n">
        <f aca="false">J98</f>
        <v>7500000000</v>
      </c>
      <c r="I99" s="33" t="n">
        <f aca="false">H99*N99</f>
        <v>93906250</v>
      </c>
      <c r="J99" s="33" t="n">
        <f aca="false">H99-E99</f>
        <v>7500000000</v>
      </c>
      <c r="K99" s="33" t="n">
        <f aca="false">D99-I99</f>
        <v>0</v>
      </c>
      <c r="L99" s="33" t="n">
        <f aca="false">G99-J99</f>
        <v>0</v>
      </c>
      <c r="M99" s="33" t="n">
        <f aca="false">F99</f>
        <v>93906250</v>
      </c>
      <c r="N99" s="64" t="n">
        <v>0.0125208333333333</v>
      </c>
      <c r="O99" s="48" t="n">
        <f aca="false">IF(AND(B99&gt;=DATE(2026,1,1),B99&lt;=Resumen!$C$5),1,0)</f>
        <v>0</v>
      </c>
      <c r="P99" s="48" t="n">
        <f aca="false">IF(AND(B99&gt;Resumen!$C$5,B99&lt;=DATE(2027,7,31)),1,0)</f>
        <v>0</v>
      </c>
    </row>
    <row r="100" customFormat="false" ht="15" hidden="false" customHeight="false" outlineLevel="0" collapsed="false">
      <c r="A100" s="38" t="n">
        <v>88</v>
      </c>
      <c r="B100" s="27" t="n">
        <v>48050</v>
      </c>
      <c r="C100" s="39" t="n">
        <v>7500000000</v>
      </c>
      <c r="D100" s="39" t="n">
        <v>93906250</v>
      </c>
      <c r="E100" s="39" t="n">
        <v>0</v>
      </c>
      <c r="F100" s="39" t="n">
        <v>93906250</v>
      </c>
      <c r="G100" s="39" t="n">
        <v>7500000000</v>
      </c>
      <c r="H100" s="33" t="n">
        <f aca="false">J99</f>
        <v>7500000000</v>
      </c>
      <c r="I100" s="33" t="n">
        <f aca="false">H100*N100</f>
        <v>93906250</v>
      </c>
      <c r="J100" s="33" t="n">
        <f aca="false">H100-E100</f>
        <v>7500000000</v>
      </c>
      <c r="K100" s="33" t="n">
        <f aca="false">D100-I100</f>
        <v>0</v>
      </c>
      <c r="L100" s="33" t="n">
        <f aca="false">G100-J100</f>
        <v>0</v>
      </c>
      <c r="M100" s="33" t="n">
        <f aca="false">F100</f>
        <v>93906250</v>
      </c>
      <c r="N100" s="64" t="n">
        <v>0.0125208333333333</v>
      </c>
      <c r="O100" s="48" t="n">
        <f aca="false">IF(AND(B100&gt;=DATE(2026,1,1),B100&lt;=Resumen!$C$5),1,0)</f>
        <v>0</v>
      </c>
      <c r="P100" s="48" t="n">
        <f aca="false">IF(AND(B100&gt;Resumen!$C$5,B100&lt;=DATE(2027,7,31)),1,0)</f>
        <v>0</v>
      </c>
    </row>
    <row r="101" customFormat="false" ht="15" hidden="false" customHeight="false" outlineLevel="0" collapsed="false">
      <c r="A101" s="38" t="n">
        <v>89</v>
      </c>
      <c r="B101" s="27" t="n">
        <v>48081</v>
      </c>
      <c r="C101" s="39" t="n">
        <v>7500000000</v>
      </c>
      <c r="D101" s="39" t="n">
        <v>93906250</v>
      </c>
      <c r="E101" s="39" t="n">
        <v>0</v>
      </c>
      <c r="F101" s="39" t="n">
        <v>93906250</v>
      </c>
      <c r="G101" s="39" t="n">
        <v>7500000000</v>
      </c>
      <c r="H101" s="33" t="n">
        <f aca="false">J100</f>
        <v>7500000000</v>
      </c>
      <c r="I101" s="33" t="n">
        <f aca="false">H101*N101</f>
        <v>93906250</v>
      </c>
      <c r="J101" s="33" t="n">
        <f aca="false">H101-E101</f>
        <v>7500000000</v>
      </c>
      <c r="K101" s="33" t="n">
        <f aca="false">D101-I101</f>
        <v>0</v>
      </c>
      <c r="L101" s="33" t="n">
        <f aca="false">G101-J101</f>
        <v>0</v>
      </c>
      <c r="M101" s="33" t="n">
        <f aca="false">F101</f>
        <v>93906250</v>
      </c>
      <c r="N101" s="64" t="n">
        <v>0.0125208333333333</v>
      </c>
      <c r="O101" s="48" t="n">
        <f aca="false">IF(AND(B101&gt;=DATE(2026,1,1),B101&lt;=Resumen!$C$5),1,0)</f>
        <v>0</v>
      </c>
      <c r="P101" s="48" t="n">
        <f aca="false">IF(AND(B101&gt;Resumen!$C$5,B101&lt;=DATE(2027,7,31)),1,0)</f>
        <v>0</v>
      </c>
    </row>
    <row r="102" customFormat="false" ht="15" hidden="false" customHeight="false" outlineLevel="0" collapsed="false">
      <c r="A102" s="38" t="n">
        <v>90</v>
      </c>
      <c r="B102" s="27" t="n">
        <v>48112</v>
      </c>
      <c r="C102" s="39" t="n">
        <v>7500000000</v>
      </c>
      <c r="D102" s="39" t="n">
        <v>93906250</v>
      </c>
      <c r="E102" s="39" t="n">
        <v>288461538.461538</v>
      </c>
      <c r="F102" s="39" t="n">
        <v>382367788.461538</v>
      </c>
      <c r="G102" s="39" t="n">
        <v>7211538461.53846</v>
      </c>
      <c r="H102" s="33" t="n">
        <f aca="false">J101</f>
        <v>7500000000</v>
      </c>
      <c r="I102" s="33" t="n">
        <f aca="false">H102*N102</f>
        <v>93906250</v>
      </c>
      <c r="J102" s="33" t="n">
        <f aca="false">H102-E102</f>
        <v>7211538461.53846</v>
      </c>
      <c r="K102" s="33" t="n">
        <f aca="false">D102-I102</f>
        <v>0</v>
      </c>
      <c r="L102" s="33" t="n">
        <f aca="false">G102-J102</f>
        <v>0</v>
      </c>
      <c r="M102" s="33" t="n">
        <f aca="false">F102</f>
        <v>382367788.461538</v>
      </c>
      <c r="N102" s="64" t="n">
        <v>0.0125208333333333</v>
      </c>
      <c r="O102" s="48" t="n">
        <f aca="false">IF(AND(B102&gt;=DATE(2026,1,1),B102&lt;=Resumen!$C$5),1,0)</f>
        <v>0</v>
      </c>
      <c r="P102" s="48" t="n">
        <f aca="false">IF(AND(B102&gt;Resumen!$C$5,B102&lt;=DATE(2027,7,31)),1,0)</f>
        <v>0</v>
      </c>
    </row>
    <row r="103" customFormat="false" ht="15" hidden="false" customHeight="false" outlineLevel="0" collapsed="false">
      <c r="A103" s="38" t="n">
        <v>91</v>
      </c>
      <c r="B103" s="27" t="n">
        <v>48142</v>
      </c>
      <c r="C103" s="39" t="n">
        <v>7211538461.53846</v>
      </c>
      <c r="D103" s="39" t="n">
        <v>90294471.1538462</v>
      </c>
      <c r="E103" s="39" t="n">
        <v>0</v>
      </c>
      <c r="F103" s="39" t="n">
        <v>90294471.1538462</v>
      </c>
      <c r="G103" s="39" t="n">
        <v>7211538461.53846</v>
      </c>
      <c r="H103" s="33" t="n">
        <f aca="false">J102</f>
        <v>7211538461.53846</v>
      </c>
      <c r="I103" s="33" t="n">
        <f aca="false">H103*N103</f>
        <v>90294471.1538461</v>
      </c>
      <c r="J103" s="33" t="n">
        <f aca="false">H103-E103</f>
        <v>7211538461.53846</v>
      </c>
      <c r="K103" s="33" t="n">
        <f aca="false">D103-I103</f>
        <v>0</v>
      </c>
      <c r="L103" s="33" t="n">
        <f aca="false">G103-J103</f>
        <v>0</v>
      </c>
      <c r="M103" s="33" t="n">
        <f aca="false">F103</f>
        <v>90294471.1538462</v>
      </c>
      <c r="N103" s="64" t="n">
        <v>0.0125208333333333</v>
      </c>
      <c r="O103" s="48" t="n">
        <f aca="false">IF(AND(B103&gt;=DATE(2026,1,1),B103&lt;=Resumen!$C$5),1,0)</f>
        <v>0</v>
      </c>
      <c r="P103" s="48" t="n">
        <f aca="false">IF(AND(B103&gt;Resumen!$C$5,B103&lt;=DATE(2027,7,31)),1,0)</f>
        <v>0</v>
      </c>
    </row>
    <row r="104" customFormat="false" ht="15" hidden="false" customHeight="false" outlineLevel="0" collapsed="false">
      <c r="A104" s="38" t="n">
        <v>92</v>
      </c>
      <c r="B104" s="27" t="n">
        <v>48173</v>
      </c>
      <c r="C104" s="39" t="n">
        <v>7211538461.53846</v>
      </c>
      <c r="D104" s="39" t="n">
        <v>90294471.1538462</v>
      </c>
      <c r="E104" s="39" t="n">
        <v>0</v>
      </c>
      <c r="F104" s="39" t="n">
        <v>90294471.1538462</v>
      </c>
      <c r="G104" s="39" t="n">
        <v>7211538461.53846</v>
      </c>
      <c r="H104" s="33" t="n">
        <f aca="false">J103</f>
        <v>7211538461.53846</v>
      </c>
      <c r="I104" s="33" t="n">
        <f aca="false">H104*N104</f>
        <v>90294471.1538461</v>
      </c>
      <c r="J104" s="33" t="n">
        <f aca="false">H104-E104</f>
        <v>7211538461.53846</v>
      </c>
      <c r="K104" s="33" t="n">
        <f aca="false">D104-I104</f>
        <v>0</v>
      </c>
      <c r="L104" s="33" t="n">
        <f aca="false">G104-J104</f>
        <v>0</v>
      </c>
      <c r="M104" s="33" t="n">
        <f aca="false">F104</f>
        <v>90294471.1538462</v>
      </c>
      <c r="N104" s="64" t="n">
        <v>0.0125208333333333</v>
      </c>
      <c r="O104" s="48" t="n">
        <f aca="false">IF(AND(B104&gt;=DATE(2026,1,1),B104&lt;=Resumen!$C$5),1,0)</f>
        <v>0</v>
      </c>
      <c r="P104" s="48" t="n">
        <f aca="false">IF(AND(B104&gt;Resumen!$C$5,B104&lt;=DATE(2027,7,31)),1,0)</f>
        <v>0</v>
      </c>
    </row>
    <row r="105" customFormat="false" ht="15" hidden="false" customHeight="false" outlineLevel="0" collapsed="false">
      <c r="A105" s="38" t="n">
        <v>93</v>
      </c>
      <c r="B105" s="27" t="n">
        <v>48203</v>
      </c>
      <c r="C105" s="39" t="n">
        <v>7211538461.53846</v>
      </c>
      <c r="D105" s="39" t="n">
        <v>90294471.1538462</v>
      </c>
      <c r="E105" s="39" t="n">
        <v>0</v>
      </c>
      <c r="F105" s="39" t="n">
        <v>90294471.1538462</v>
      </c>
      <c r="G105" s="39" t="n">
        <v>7211538461.53846</v>
      </c>
      <c r="H105" s="33" t="n">
        <f aca="false">J104</f>
        <v>7211538461.53846</v>
      </c>
      <c r="I105" s="33" t="n">
        <f aca="false">H105*N105</f>
        <v>90294471.1538461</v>
      </c>
      <c r="J105" s="33" t="n">
        <f aca="false">H105-E105</f>
        <v>7211538461.53846</v>
      </c>
      <c r="K105" s="33" t="n">
        <f aca="false">D105-I105</f>
        <v>0</v>
      </c>
      <c r="L105" s="33" t="n">
        <f aca="false">G105-J105</f>
        <v>0</v>
      </c>
      <c r="M105" s="33" t="n">
        <f aca="false">F105</f>
        <v>90294471.1538462</v>
      </c>
      <c r="N105" s="64" t="n">
        <v>0.0125208333333333</v>
      </c>
      <c r="O105" s="48" t="n">
        <f aca="false">IF(AND(B105&gt;=DATE(2026,1,1),B105&lt;=Resumen!$C$5),1,0)</f>
        <v>0</v>
      </c>
      <c r="P105" s="48" t="n">
        <f aca="false">IF(AND(B105&gt;Resumen!$C$5,B105&lt;=DATE(2027,7,31)),1,0)</f>
        <v>0</v>
      </c>
    </row>
    <row r="106" customFormat="false" ht="15" hidden="false" customHeight="false" outlineLevel="0" collapsed="false">
      <c r="A106" s="38" t="n">
        <v>94</v>
      </c>
      <c r="B106" s="27" t="n">
        <v>48234</v>
      </c>
      <c r="C106" s="39" t="n">
        <v>7211538461.53846</v>
      </c>
      <c r="D106" s="39" t="n">
        <v>90294471.1538462</v>
      </c>
      <c r="E106" s="39" t="n">
        <v>0</v>
      </c>
      <c r="F106" s="39" t="n">
        <v>90294471.1538462</v>
      </c>
      <c r="G106" s="39" t="n">
        <v>7211538461.53846</v>
      </c>
      <c r="H106" s="33" t="n">
        <f aca="false">J105</f>
        <v>7211538461.53846</v>
      </c>
      <c r="I106" s="33" t="n">
        <f aca="false">H106*N106</f>
        <v>90294471.1538461</v>
      </c>
      <c r="J106" s="33" t="n">
        <f aca="false">H106-E106</f>
        <v>7211538461.53846</v>
      </c>
      <c r="K106" s="33" t="n">
        <f aca="false">D106-I106</f>
        <v>0</v>
      </c>
      <c r="L106" s="33" t="n">
        <f aca="false">G106-J106</f>
        <v>0</v>
      </c>
      <c r="M106" s="33" t="n">
        <f aca="false">F106</f>
        <v>90294471.1538462</v>
      </c>
      <c r="N106" s="64" t="n">
        <v>0.0125208333333333</v>
      </c>
      <c r="O106" s="48" t="n">
        <f aca="false">IF(AND(B106&gt;=DATE(2026,1,1),B106&lt;=Resumen!$C$5),1,0)</f>
        <v>0</v>
      </c>
      <c r="P106" s="48" t="n">
        <f aca="false">IF(AND(B106&gt;Resumen!$C$5,B106&lt;=DATE(2027,7,31)),1,0)</f>
        <v>0</v>
      </c>
    </row>
    <row r="107" customFormat="false" ht="15" hidden="false" customHeight="false" outlineLevel="0" collapsed="false">
      <c r="A107" s="38" t="n">
        <v>95</v>
      </c>
      <c r="B107" s="27" t="n">
        <v>48265</v>
      </c>
      <c r="C107" s="39" t="n">
        <v>7211538461.53846</v>
      </c>
      <c r="D107" s="39" t="n">
        <v>90294471.1538462</v>
      </c>
      <c r="E107" s="39" t="n">
        <v>0</v>
      </c>
      <c r="F107" s="39" t="n">
        <v>90294471.1538462</v>
      </c>
      <c r="G107" s="39" t="n">
        <v>7211538461.53846</v>
      </c>
      <c r="H107" s="33" t="n">
        <f aca="false">J106</f>
        <v>7211538461.53846</v>
      </c>
      <c r="I107" s="33" t="n">
        <f aca="false">H107*N107</f>
        <v>90294471.1538461</v>
      </c>
      <c r="J107" s="33" t="n">
        <f aca="false">H107-E107</f>
        <v>7211538461.53846</v>
      </c>
      <c r="K107" s="33" t="n">
        <f aca="false">D107-I107</f>
        <v>0</v>
      </c>
      <c r="L107" s="33" t="n">
        <f aca="false">G107-J107</f>
        <v>0</v>
      </c>
      <c r="M107" s="33" t="n">
        <f aca="false">F107</f>
        <v>90294471.1538462</v>
      </c>
      <c r="N107" s="64" t="n">
        <v>0.0125208333333333</v>
      </c>
      <c r="O107" s="48" t="n">
        <f aca="false">IF(AND(B107&gt;=DATE(2026,1,1),B107&lt;=Resumen!$C$5),1,0)</f>
        <v>0</v>
      </c>
      <c r="P107" s="48" t="n">
        <f aca="false">IF(AND(B107&gt;Resumen!$C$5,B107&lt;=DATE(2027,7,31)),1,0)</f>
        <v>0</v>
      </c>
    </row>
    <row r="108" customFormat="false" ht="15" hidden="false" customHeight="false" outlineLevel="0" collapsed="false">
      <c r="A108" s="38" t="n">
        <v>96</v>
      </c>
      <c r="B108" s="27" t="n">
        <v>48294</v>
      </c>
      <c r="C108" s="39" t="n">
        <v>7211538461.53846</v>
      </c>
      <c r="D108" s="39" t="n">
        <v>90294471.1538462</v>
      </c>
      <c r="E108" s="39" t="n">
        <v>288461538.461538</v>
      </c>
      <c r="F108" s="39" t="n">
        <v>378756009.615385</v>
      </c>
      <c r="G108" s="39" t="n">
        <v>6923076923.07692</v>
      </c>
      <c r="H108" s="33" t="n">
        <f aca="false">J107</f>
        <v>7211538461.53846</v>
      </c>
      <c r="I108" s="33" t="n">
        <f aca="false">H108*N108</f>
        <v>90294471.1538461</v>
      </c>
      <c r="J108" s="33" t="n">
        <f aca="false">H108-E108</f>
        <v>6923076923.07692</v>
      </c>
      <c r="K108" s="33" t="n">
        <f aca="false">D108-I108</f>
        <v>0</v>
      </c>
      <c r="L108" s="33" t="n">
        <f aca="false">G108-J108</f>
        <v>0</v>
      </c>
      <c r="M108" s="33" t="n">
        <f aca="false">F108</f>
        <v>378756009.615385</v>
      </c>
      <c r="N108" s="64" t="n">
        <v>0.0125208333333333</v>
      </c>
      <c r="O108" s="48" t="n">
        <f aca="false">IF(AND(B108&gt;=DATE(2026,1,1),B108&lt;=Resumen!$C$5),1,0)</f>
        <v>0</v>
      </c>
      <c r="P108" s="48" t="n">
        <f aca="false">IF(AND(B108&gt;Resumen!$C$5,B108&lt;=DATE(2027,7,31)),1,0)</f>
        <v>0</v>
      </c>
    </row>
    <row r="109" customFormat="false" ht="15" hidden="false" customHeight="false" outlineLevel="0" collapsed="false">
      <c r="A109" s="38" t="n">
        <v>97</v>
      </c>
      <c r="B109" s="27" t="n">
        <v>48325</v>
      </c>
      <c r="C109" s="39" t="n">
        <v>6923076923.07692</v>
      </c>
      <c r="D109" s="39" t="n">
        <v>86682692.3076923</v>
      </c>
      <c r="E109" s="39" t="n">
        <v>0</v>
      </c>
      <c r="F109" s="39" t="n">
        <v>86682692.3076923</v>
      </c>
      <c r="G109" s="39" t="n">
        <v>6923076923.07692</v>
      </c>
      <c r="H109" s="33" t="n">
        <f aca="false">J108</f>
        <v>6923076923.07692</v>
      </c>
      <c r="I109" s="33" t="n">
        <f aca="false">H109*N109</f>
        <v>86682692.3076923</v>
      </c>
      <c r="J109" s="33" t="n">
        <f aca="false">H109-E109</f>
        <v>6923076923.07692</v>
      </c>
      <c r="K109" s="33" t="n">
        <f aca="false">D109-I109</f>
        <v>0</v>
      </c>
      <c r="L109" s="33" t="n">
        <f aca="false">G109-J109</f>
        <v>0</v>
      </c>
      <c r="M109" s="33" t="n">
        <f aca="false">F109</f>
        <v>86682692.3076923</v>
      </c>
      <c r="N109" s="64" t="n">
        <v>0.0125208333333333</v>
      </c>
      <c r="O109" s="48" t="n">
        <f aca="false">IF(AND(B109&gt;=DATE(2026,1,1),B109&lt;=Resumen!$C$5),1,0)</f>
        <v>0</v>
      </c>
      <c r="P109" s="48" t="n">
        <f aca="false">IF(AND(B109&gt;Resumen!$C$5,B109&lt;=DATE(2027,7,31)),1,0)</f>
        <v>0</v>
      </c>
    </row>
    <row r="110" customFormat="false" ht="15" hidden="false" customHeight="false" outlineLevel="0" collapsed="false">
      <c r="A110" s="38" t="n">
        <v>98</v>
      </c>
      <c r="B110" s="27" t="n">
        <v>48355</v>
      </c>
      <c r="C110" s="39" t="n">
        <v>6923076923.07692</v>
      </c>
      <c r="D110" s="39" t="n">
        <v>86682692.3076923</v>
      </c>
      <c r="E110" s="39" t="n">
        <v>0</v>
      </c>
      <c r="F110" s="39" t="n">
        <v>86682692.3076923</v>
      </c>
      <c r="G110" s="39" t="n">
        <v>6923076923.07692</v>
      </c>
      <c r="H110" s="33" t="n">
        <f aca="false">J109</f>
        <v>6923076923.07692</v>
      </c>
      <c r="I110" s="33" t="n">
        <f aca="false">H110*N110</f>
        <v>86682692.3076923</v>
      </c>
      <c r="J110" s="33" t="n">
        <f aca="false">H110-E110</f>
        <v>6923076923.07692</v>
      </c>
      <c r="K110" s="33" t="n">
        <f aca="false">D110-I110</f>
        <v>0</v>
      </c>
      <c r="L110" s="33" t="n">
        <f aca="false">G110-J110</f>
        <v>0</v>
      </c>
      <c r="M110" s="33" t="n">
        <f aca="false">F110</f>
        <v>86682692.3076923</v>
      </c>
      <c r="N110" s="64" t="n">
        <v>0.0125208333333333</v>
      </c>
      <c r="O110" s="48" t="n">
        <f aca="false">IF(AND(B110&gt;=DATE(2026,1,1),B110&lt;=Resumen!$C$5),1,0)</f>
        <v>0</v>
      </c>
      <c r="P110" s="48" t="n">
        <f aca="false">IF(AND(B110&gt;Resumen!$C$5,B110&lt;=DATE(2027,7,31)),1,0)</f>
        <v>0</v>
      </c>
    </row>
    <row r="111" customFormat="false" ht="15" hidden="false" customHeight="false" outlineLevel="0" collapsed="false">
      <c r="A111" s="38" t="n">
        <v>99</v>
      </c>
      <c r="B111" s="27" t="n">
        <v>48386</v>
      </c>
      <c r="C111" s="39" t="n">
        <v>6923076923.07692</v>
      </c>
      <c r="D111" s="39" t="n">
        <v>86682692.3076923</v>
      </c>
      <c r="E111" s="39" t="n">
        <v>0</v>
      </c>
      <c r="F111" s="39" t="n">
        <v>86682692.3076923</v>
      </c>
      <c r="G111" s="39" t="n">
        <v>6923076923.07692</v>
      </c>
      <c r="H111" s="33" t="n">
        <f aca="false">J110</f>
        <v>6923076923.07692</v>
      </c>
      <c r="I111" s="33" t="n">
        <f aca="false">H111*N111</f>
        <v>86682692.3076923</v>
      </c>
      <c r="J111" s="33" t="n">
        <f aca="false">H111-E111</f>
        <v>6923076923.07692</v>
      </c>
      <c r="K111" s="33" t="n">
        <f aca="false">D111-I111</f>
        <v>0</v>
      </c>
      <c r="L111" s="33" t="n">
        <f aca="false">G111-J111</f>
        <v>0</v>
      </c>
      <c r="M111" s="33" t="n">
        <f aca="false">F111</f>
        <v>86682692.3076923</v>
      </c>
      <c r="N111" s="64" t="n">
        <v>0.0125208333333333</v>
      </c>
      <c r="O111" s="48" t="n">
        <f aca="false">IF(AND(B111&gt;=DATE(2026,1,1),B111&lt;=Resumen!$C$5),1,0)</f>
        <v>0</v>
      </c>
      <c r="P111" s="48" t="n">
        <f aca="false">IF(AND(B111&gt;Resumen!$C$5,B111&lt;=DATE(2027,7,31)),1,0)</f>
        <v>0</v>
      </c>
    </row>
    <row r="112" customFormat="false" ht="15" hidden="false" customHeight="false" outlineLevel="0" collapsed="false">
      <c r="A112" s="38" t="n">
        <v>100</v>
      </c>
      <c r="B112" s="27" t="n">
        <v>48416</v>
      </c>
      <c r="C112" s="39" t="n">
        <v>6923076923.07692</v>
      </c>
      <c r="D112" s="39" t="n">
        <v>86682692.3076923</v>
      </c>
      <c r="E112" s="39" t="n">
        <v>0</v>
      </c>
      <c r="F112" s="39" t="n">
        <v>86682692.3076923</v>
      </c>
      <c r="G112" s="39" t="n">
        <v>6923076923.07692</v>
      </c>
      <c r="H112" s="33" t="n">
        <f aca="false">J111</f>
        <v>6923076923.07692</v>
      </c>
      <c r="I112" s="33" t="n">
        <f aca="false">H112*N112</f>
        <v>86682692.3076923</v>
      </c>
      <c r="J112" s="33" t="n">
        <f aca="false">H112-E112</f>
        <v>6923076923.07692</v>
      </c>
      <c r="K112" s="33" t="n">
        <f aca="false">D112-I112</f>
        <v>0</v>
      </c>
      <c r="L112" s="33" t="n">
        <f aca="false">G112-J112</f>
        <v>0</v>
      </c>
      <c r="M112" s="33" t="n">
        <f aca="false">F112</f>
        <v>86682692.3076923</v>
      </c>
      <c r="N112" s="64" t="n">
        <v>0.0125208333333333</v>
      </c>
      <c r="O112" s="48" t="n">
        <f aca="false">IF(AND(B112&gt;=DATE(2026,1,1),B112&lt;=Resumen!$C$5),1,0)</f>
        <v>0</v>
      </c>
      <c r="P112" s="48" t="n">
        <f aca="false">IF(AND(B112&gt;Resumen!$C$5,B112&lt;=DATE(2027,7,31)),1,0)</f>
        <v>0</v>
      </c>
    </row>
    <row r="113" customFormat="false" ht="15" hidden="false" customHeight="false" outlineLevel="0" collapsed="false">
      <c r="A113" s="38" t="n">
        <v>101</v>
      </c>
      <c r="B113" s="27" t="n">
        <v>48447</v>
      </c>
      <c r="C113" s="39" t="n">
        <v>6923076923.07692</v>
      </c>
      <c r="D113" s="39" t="n">
        <v>86682692.3076923</v>
      </c>
      <c r="E113" s="39" t="n">
        <v>0</v>
      </c>
      <c r="F113" s="39" t="n">
        <v>86682692.3076923</v>
      </c>
      <c r="G113" s="39" t="n">
        <v>6923076923.07692</v>
      </c>
      <c r="H113" s="33" t="n">
        <f aca="false">J112</f>
        <v>6923076923.07692</v>
      </c>
      <c r="I113" s="33" t="n">
        <f aca="false">H113*N113</f>
        <v>86682692.3076923</v>
      </c>
      <c r="J113" s="33" t="n">
        <f aca="false">H113-E113</f>
        <v>6923076923.07692</v>
      </c>
      <c r="K113" s="33" t="n">
        <f aca="false">D113-I113</f>
        <v>0</v>
      </c>
      <c r="L113" s="33" t="n">
        <f aca="false">G113-J113</f>
        <v>0</v>
      </c>
      <c r="M113" s="33" t="n">
        <f aca="false">F113</f>
        <v>86682692.3076923</v>
      </c>
      <c r="N113" s="64" t="n">
        <v>0.0125208333333333</v>
      </c>
      <c r="O113" s="48" t="n">
        <f aca="false">IF(AND(B113&gt;=DATE(2026,1,1),B113&lt;=Resumen!$C$5),1,0)</f>
        <v>0</v>
      </c>
      <c r="P113" s="48" t="n">
        <f aca="false">IF(AND(B113&gt;Resumen!$C$5,B113&lt;=DATE(2027,7,31)),1,0)</f>
        <v>0</v>
      </c>
    </row>
    <row r="114" customFormat="false" ht="15" hidden="false" customHeight="false" outlineLevel="0" collapsed="false">
      <c r="A114" s="38" t="n">
        <v>102</v>
      </c>
      <c r="B114" s="27" t="n">
        <v>48478</v>
      </c>
      <c r="C114" s="39" t="n">
        <v>6923076923.07692</v>
      </c>
      <c r="D114" s="39" t="n">
        <v>86682692.3076923</v>
      </c>
      <c r="E114" s="39" t="n">
        <v>288461538.461538</v>
      </c>
      <c r="F114" s="39" t="n">
        <v>375144230.769231</v>
      </c>
      <c r="G114" s="39" t="n">
        <v>6634615384.61539</v>
      </c>
      <c r="H114" s="33" t="n">
        <f aca="false">J113</f>
        <v>6923076923.07692</v>
      </c>
      <c r="I114" s="33" t="n">
        <f aca="false">H114*N114</f>
        <v>86682692.3076923</v>
      </c>
      <c r="J114" s="33" t="n">
        <f aca="false">H114-E114</f>
        <v>6634615384.61539</v>
      </c>
      <c r="K114" s="33" t="n">
        <f aca="false">D114-I114</f>
        <v>0</v>
      </c>
      <c r="L114" s="33" t="n">
        <f aca="false">G114-J114</f>
        <v>0</v>
      </c>
      <c r="M114" s="33" t="n">
        <f aca="false">F114</f>
        <v>375144230.769231</v>
      </c>
      <c r="N114" s="64" t="n">
        <v>0.0125208333333333</v>
      </c>
      <c r="O114" s="48" t="n">
        <f aca="false">IF(AND(B114&gt;=DATE(2026,1,1),B114&lt;=Resumen!$C$5),1,0)</f>
        <v>0</v>
      </c>
      <c r="P114" s="48" t="n">
        <f aca="false">IF(AND(B114&gt;Resumen!$C$5,B114&lt;=DATE(2027,7,31)),1,0)</f>
        <v>0</v>
      </c>
    </row>
    <row r="115" customFormat="false" ht="15" hidden="false" customHeight="false" outlineLevel="0" collapsed="false">
      <c r="A115" s="38" t="n">
        <v>103</v>
      </c>
      <c r="B115" s="27" t="n">
        <v>48508</v>
      </c>
      <c r="C115" s="39" t="n">
        <v>6634615384.61539</v>
      </c>
      <c r="D115" s="39" t="n">
        <v>83070913.4615385</v>
      </c>
      <c r="E115" s="39" t="n">
        <v>0</v>
      </c>
      <c r="F115" s="39" t="n">
        <v>83070913.4615385</v>
      </c>
      <c r="G115" s="39" t="n">
        <v>6634615384.61539</v>
      </c>
      <c r="H115" s="33" t="n">
        <f aca="false">J114</f>
        <v>6634615384.61539</v>
      </c>
      <c r="I115" s="33" t="n">
        <f aca="false">H115*N115</f>
        <v>83070913.4615385</v>
      </c>
      <c r="J115" s="33" t="n">
        <f aca="false">H115-E115</f>
        <v>6634615384.61539</v>
      </c>
      <c r="K115" s="33" t="n">
        <f aca="false">D115-I115</f>
        <v>0</v>
      </c>
      <c r="L115" s="33" t="n">
        <f aca="false">G115-J115</f>
        <v>0</v>
      </c>
      <c r="M115" s="33" t="n">
        <f aca="false">F115</f>
        <v>83070913.4615385</v>
      </c>
      <c r="N115" s="64" t="n">
        <v>0.0125208333333333</v>
      </c>
      <c r="O115" s="48" t="n">
        <f aca="false">IF(AND(B115&gt;=DATE(2026,1,1),B115&lt;=Resumen!$C$5),1,0)</f>
        <v>0</v>
      </c>
      <c r="P115" s="48" t="n">
        <f aca="false">IF(AND(B115&gt;Resumen!$C$5,B115&lt;=DATE(2027,7,31)),1,0)</f>
        <v>0</v>
      </c>
    </row>
    <row r="116" customFormat="false" ht="15" hidden="false" customHeight="false" outlineLevel="0" collapsed="false">
      <c r="A116" s="38" t="n">
        <v>104</v>
      </c>
      <c r="B116" s="27" t="n">
        <v>48539</v>
      </c>
      <c r="C116" s="39" t="n">
        <v>6634615384.61539</v>
      </c>
      <c r="D116" s="39" t="n">
        <v>83070913.4615385</v>
      </c>
      <c r="E116" s="39" t="n">
        <v>0</v>
      </c>
      <c r="F116" s="39" t="n">
        <v>83070913.4615385</v>
      </c>
      <c r="G116" s="39" t="n">
        <v>6634615384.61539</v>
      </c>
      <c r="H116" s="33" t="n">
        <f aca="false">J115</f>
        <v>6634615384.61539</v>
      </c>
      <c r="I116" s="33" t="n">
        <f aca="false">H116*N116</f>
        <v>83070913.4615385</v>
      </c>
      <c r="J116" s="33" t="n">
        <f aca="false">H116-E116</f>
        <v>6634615384.61539</v>
      </c>
      <c r="K116" s="33" t="n">
        <f aca="false">D116-I116</f>
        <v>0</v>
      </c>
      <c r="L116" s="33" t="n">
        <f aca="false">G116-J116</f>
        <v>0</v>
      </c>
      <c r="M116" s="33" t="n">
        <f aca="false">F116</f>
        <v>83070913.4615385</v>
      </c>
      <c r="N116" s="64" t="n">
        <v>0.0125208333333333</v>
      </c>
      <c r="O116" s="48" t="n">
        <f aca="false">IF(AND(B116&gt;=DATE(2026,1,1),B116&lt;=Resumen!$C$5),1,0)</f>
        <v>0</v>
      </c>
      <c r="P116" s="48" t="n">
        <f aca="false">IF(AND(B116&gt;Resumen!$C$5,B116&lt;=DATE(2027,7,31)),1,0)</f>
        <v>0</v>
      </c>
    </row>
    <row r="117" customFormat="false" ht="15" hidden="false" customHeight="false" outlineLevel="0" collapsed="false">
      <c r="A117" s="38" t="n">
        <v>105</v>
      </c>
      <c r="B117" s="27" t="n">
        <v>48569</v>
      </c>
      <c r="C117" s="39" t="n">
        <v>6634615384.61539</v>
      </c>
      <c r="D117" s="39" t="n">
        <v>83070913.4615385</v>
      </c>
      <c r="E117" s="39" t="n">
        <v>0</v>
      </c>
      <c r="F117" s="39" t="n">
        <v>83070913.4615385</v>
      </c>
      <c r="G117" s="39" t="n">
        <v>6634615384.61539</v>
      </c>
      <c r="H117" s="33" t="n">
        <f aca="false">J116</f>
        <v>6634615384.61539</v>
      </c>
      <c r="I117" s="33" t="n">
        <f aca="false">H117*N117</f>
        <v>83070913.4615385</v>
      </c>
      <c r="J117" s="33" t="n">
        <f aca="false">H117-E117</f>
        <v>6634615384.61539</v>
      </c>
      <c r="K117" s="33" t="n">
        <f aca="false">D117-I117</f>
        <v>0</v>
      </c>
      <c r="L117" s="33" t="n">
        <f aca="false">G117-J117</f>
        <v>0</v>
      </c>
      <c r="M117" s="33" t="n">
        <f aca="false">F117</f>
        <v>83070913.4615385</v>
      </c>
      <c r="N117" s="64" t="n">
        <v>0.0125208333333333</v>
      </c>
      <c r="O117" s="48" t="n">
        <f aca="false">IF(AND(B117&gt;=DATE(2026,1,1),B117&lt;=Resumen!$C$5),1,0)</f>
        <v>0</v>
      </c>
      <c r="P117" s="48" t="n">
        <f aca="false">IF(AND(B117&gt;Resumen!$C$5,B117&lt;=DATE(2027,7,31)),1,0)</f>
        <v>0</v>
      </c>
    </row>
    <row r="118" customFormat="false" ht="15" hidden="false" customHeight="false" outlineLevel="0" collapsed="false">
      <c r="A118" s="38" t="n">
        <v>106</v>
      </c>
      <c r="B118" s="27" t="n">
        <v>48600</v>
      </c>
      <c r="C118" s="39" t="n">
        <v>6634615384.61539</v>
      </c>
      <c r="D118" s="39" t="n">
        <v>83070913.4615385</v>
      </c>
      <c r="E118" s="39" t="n">
        <v>0</v>
      </c>
      <c r="F118" s="39" t="n">
        <v>83070913.4615385</v>
      </c>
      <c r="G118" s="39" t="n">
        <v>6634615384.61539</v>
      </c>
      <c r="H118" s="33" t="n">
        <f aca="false">J117</f>
        <v>6634615384.61539</v>
      </c>
      <c r="I118" s="33" t="n">
        <f aca="false">H118*N118</f>
        <v>83070913.4615385</v>
      </c>
      <c r="J118" s="33" t="n">
        <f aca="false">H118-E118</f>
        <v>6634615384.61539</v>
      </c>
      <c r="K118" s="33" t="n">
        <f aca="false">D118-I118</f>
        <v>0</v>
      </c>
      <c r="L118" s="33" t="n">
        <f aca="false">G118-J118</f>
        <v>0</v>
      </c>
      <c r="M118" s="33" t="n">
        <f aca="false">F118</f>
        <v>83070913.4615385</v>
      </c>
      <c r="N118" s="64" t="n">
        <v>0.0125208333333333</v>
      </c>
      <c r="O118" s="48" t="n">
        <f aca="false">IF(AND(B118&gt;=DATE(2026,1,1),B118&lt;=Resumen!$C$5),1,0)</f>
        <v>0</v>
      </c>
      <c r="P118" s="48" t="n">
        <f aca="false">IF(AND(B118&gt;Resumen!$C$5,B118&lt;=DATE(2027,7,31)),1,0)</f>
        <v>0</v>
      </c>
    </row>
    <row r="119" customFormat="false" ht="15" hidden="false" customHeight="false" outlineLevel="0" collapsed="false">
      <c r="A119" s="38" t="n">
        <v>107</v>
      </c>
      <c r="B119" s="27" t="n">
        <v>48631</v>
      </c>
      <c r="C119" s="39" t="n">
        <v>6634615384.61539</v>
      </c>
      <c r="D119" s="39" t="n">
        <v>83070913.4615385</v>
      </c>
      <c r="E119" s="39" t="n">
        <v>0</v>
      </c>
      <c r="F119" s="39" t="n">
        <v>83070913.4615385</v>
      </c>
      <c r="G119" s="39" t="n">
        <v>6634615384.61539</v>
      </c>
      <c r="H119" s="33" t="n">
        <f aca="false">J118</f>
        <v>6634615384.61539</v>
      </c>
      <c r="I119" s="33" t="n">
        <f aca="false">H119*N119</f>
        <v>83070913.4615385</v>
      </c>
      <c r="J119" s="33" t="n">
        <f aca="false">H119-E119</f>
        <v>6634615384.61539</v>
      </c>
      <c r="K119" s="33" t="n">
        <f aca="false">D119-I119</f>
        <v>0</v>
      </c>
      <c r="L119" s="33" t="n">
        <f aca="false">G119-J119</f>
        <v>0</v>
      </c>
      <c r="M119" s="33" t="n">
        <f aca="false">F119</f>
        <v>83070913.4615385</v>
      </c>
      <c r="N119" s="64" t="n">
        <v>0.0125208333333333</v>
      </c>
      <c r="O119" s="48" t="n">
        <f aca="false">IF(AND(B119&gt;=DATE(2026,1,1),B119&lt;=Resumen!$C$5),1,0)</f>
        <v>0</v>
      </c>
      <c r="P119" s="48" t="n">
        <f aca="false">IF(AND(B119&gt;Resumen!$C$5,B119&lt;=DATE(2027,7,31)),1,0)</f>
        <v>0</v>
      </c>
    </row>
    <row r="120" customFormat="false" ht="15" hidden="false" customHeight="false" outlineLevel="0" collapsed="false">
      <c r="A120" s="38" t="n">
        <v>108</v>
      </c>
      <c r="B120" s="27" t="n">
        <v>48659</v>
      </c>
      <c r="C120" s="39" t="n">
        <v>6634615384.61539</v>
      </c>
      <c r="D120" s="39" t="n">
        <v>83070913.4615385</v>
      </c>
      <c r="E120" s="39" t="n">
        <v>288461538.461538</v>
      </c>
      <c r="F120" s="39" t="n">
        <v>371532451.923077</v>
      </c>
      <c r="G120" s="39" t="n">
        <v>6346153846.15385</v>
      </c>
      <c r="H120" s="33" t="n">
        <f aca="false">J119</f>
        <v>6634615384.61539</v>
      </c>
      <c r="I120" s="33" t="n">
        <f aca="false">H120*N120</f>
        <v>83070913.4615385</v>
      </c>
      <c r="J120" s="33" t="n">
        <f aca="false">H120-E120</f>
        <v>6346153846.15385</v>
      </c>
      <c r="K120" s="33" t="n">
        <f aca="false">D120-I120</f>
        <v>0</v>
      </c>
      <c r="L120" s="33" t="n">
        <f aca="false">G120-J120</f>
        <v>0</v>
      </c>
      <c r="M120" s="33" t="n">
        <f aca="false">F120</f>
        <v>371532451.923077</v>
      </c>
      <c r="N120" s="64" t="n">
        <v>0.0125208333333333</v>
      </c>
      <c r="O120" s="48" t="n">
        <f aca="false">IF(AND(B120&gt;=DATE(2026,1,1),B120&lt;=Resumen!$C$5),1,0)</f>
        <v>0</v>
      </c>
      <c r="P120" s="48" t="n">
        <f aca="false">IF(AND(B120&gt;Resumen!$C$5,B120&lt;=DATE(2027,7,31)),1,0)</f>
        <v>0</v>
      </c>
    </row>
    <row r="121" customFormat="false" ht="15" hidden="false" customHeight="false" outlineLevel="0" collapsed="false">
      <c r="A121" s="38" t="n">
        <v>109</v>
      </c>
      <c r="B121" s="27" t="n">
        <v>48690</v>
      </c>
      <c r="C121" s="39" t="n">
        <v>6346153846.15385</v>
      </c>
      <c r="D121" s="39" t="n">
        <v>79459134.6153846</v>
      </c>
      <c r="E121" s="39" t="n">
        <v>0</v>
      </c>
      <c r="F121" s="39" t="n">
        <v>79459134.6153846</v>
      </c>
      <c r="G121" s="39" t="n">
        <v>6346153846.15385</v>
      </c>
      <c r="H121" s="33" t="n">
        <f aca="false">J120</f>
        <v>6346153846.15385</v>
      </c>
      <c r="I121" s="33" t="n">
        <f aca="false">H121*N121</f>
        <v>79459134.6153846</v>
      </c>
      <c r="J121" s="33" t="n">
        <f aca="false">H121-E121</f>
        <v>6346153846.15385</v>
      </c>
      <c r="K121" s="33" t="n">
        <f aca="false">D121-I121</f>
        <v>0</v>
      </c>
      <c r="L121" s="33" t="n">
        <f aca="false">G121-J121</f>
        <v>0</v>
      </c>
      <c r="M121" s="33" t="n">
        <f aca="false">F121</f>
        <v>79459134.6153846</v>
      </c>
      <c r="N121" s="64" t="n">
        <v>0.0125208333333333</v>
      </c>
      <c r="O121" s="48" t="n">
        <f aca="false">IF(AND(B121&gt;=DATE(2026,1,1),B121&lt;=Resumen!$C$5),1,0)</f>
        <v>0</v>
      </c>
      <c r="P121" s="48" t="n">
        <f aca="false">IF(AND(B121&gt;Resumen!$C$5,B121&lt;=DATE(2027,7,31)),1,0)</f>
        <v>0</v>
      </c>
    </row>
    <row r="122" customFormat="false" ht="15" hidden="false" customHeight="false" outlineLevel="0" collapsed="false">
      <c r="A122" s="38" t="n">
        <v>110</v>
      </c>
      <c r="B122" s="27" t="n">
        <v>48720</v>
      </c>
      <c r="C122" s="39" t="n">
        <v>6346153846.15385</v>
      </c>
      <c r="D122" s="39" t="n">
        <v>79459134.6153846</v>
      </c>
      <c r="E122" s="39" t="n">
        <v>0</v>
      </c>
      <c r="F122" s="39" t="n">
        <v>79459134.6153846</v>
      </c>
      <c r="G122" s="39" t="n">
        <v>6346153846.15385</v>
      </c>
      <c r="H122" s="33" t="n">
        <f aca="false">J121</f>
        <v>6346153846.15385</v>
      </c>
      <c r="I122" s="33" t="n">
        <f aca="false">H122*N122</f>
        <v>79459134.6153846</v>
      </c>
      <c r="J122" s="33" t="n">
        <f aca="false">H122-E122</f>
        <v>6346153846.15385</v>
      </c>
      <c r="K122" s="33" t="n">
        <f aca="false">D122-I122</f>
        <v>0</v>
      </c>
      <c r="L122" s="33" t="n">
        <f aca="false">G122-J122</f>
        <v>0</v>
      </c>
      <c r="M122" s="33" t="n">
        <f aca="false">F122</f>
        <v>79459134.6153846</v>
      </c>
      <c r="N122" s="64" t="n">
        <v>0.0125208333333333</v>
      </c>
      <c r="O122" s="48" t="n">
        <f aca="false">IF(AND(B122&gt;=DATE(2026,1,1),B122&lt;=Resumen!$C$5),1,0)</f>
        <v>0</v>
      </c>
      <c r="P122" s="48" t="n">
        <f aca="false">IF(AND(B122&gt;Resumen!$C$5,B122&lt;=DATE(2027,7,31)),1,0)</f>
        <v>0</v>
      </c>
    </row>
    <row r="123" customFormat="false" ht="15" hidden="false" customHeight="false" outlineLevel="0" collapsed="false">
      <c r="A123" s="38" t="n">
        <v>111</v>
      </c>
      <c r="B123" s="27" t="n">
        <v>48751</v>
      </c>
      <c r="C123" s="39" t="n">
        <v>6346153846.15385</v>
      </c>
      <c r="D123" s="39" t="n">
        <v>79459134.6153846</v>
      </c>
      <c r="E123" s="39" t="n">
        <v>0</v>
      </c>
      <c r="F123" s="39" t="n">
        <v>79459134.6153846</v>
      </c>
      <c r="G123" s="39" t="n">
        <v>6346153846.15385</v>
      </c>
      <c r="H123" s="33" t="n">
        <f aca="false">J122</f>
        <v>6346153846.15385</v>
      </c>
      <c r="I123" s="33" t="n">
        <f aca="false">H123*N123</f>
        <v>79459134.6153846</v>
      </c>
      <c r="J123" s="33" t="n">
        <f aca="false">H123-E123</f>
        <v>6346153846.15385</v>
      </c>
      <c r="K123" s="33" t="n">
        <f aca="false">D123-I123</f>
        <v>0</v>
      </c>
      <c r="L123" s="33" t="n">
        <f aca="false">G123-J123</f>
        <v>0</v>
      </c>
      <c r="M123" s="33" t="n">
        <f aca="false">F123</f>
        <v>79459134.6153846</v>
      </c>
      <c r="N123" s="64" t="n">
        <v>0.0125208333333333</v>
      </c>
      <c r="O123" s="48" t="n">
        <f aca="false">IF(AND(B123&gt;=DATE(2026,1,1),B123&lt;=Resumen!$C$5),1,0)</f>
        <v>0</v>
      </c>
      <c r="P123" s="48" t="n">
        <f aca="false">IF(AND(B123&gt;Resumen!$C$5,B123&lt;=DATE(2027,7,31)),1,0)</f>
        <v>0</v>
      </c>
    </row>
    <row r="124" customFormat="false" ht="15" hidden="false" customHeight="false" outlineLevel="0" collapsed="false">
      <c r="A124" s="38" t="n">
        <v>112</v>
      </c>
      <c r="B124" s="27" t="n">
        <v>48781</v>
      </c>
      <c r="C124" s="39" t="n">
        <v>6346153846.15385</v>
      </c>
      <c r="D124" s="39" t="n">
        <v>79459134.6153846</v>
      </c>
      <c r="E124" s="39" t="n">
        <v>0</v>
      </c>
      <c r="F124" s="39" t="n">
        <v>79459134.6153846</v>
      </c>
      <c r="G124" s="39" t="n">
        <v>6346153846.15385</v>
      </c>
      <c r="H124" s="33" t="n">
        <f aca="false">J123</f>
        <v>6346153846.15385</v>
      </c>
      <c r="I124" s="33" t="n">
        <f aca="false">H124*N124</f>
        <v>79459134.6153846</v>
      </c>
      <c r="J124" s="33" t="n">
        <f aca="false">H124-E124</f>
        <v>6346153846.15385</v>
      </c>
      <c r="K124" s="33" t="n">
        <f aca="false">D124-I124</f>
        <v>0</v>
      </c>
      <c r="L124" s="33" t="n">
        <f aca="false">G124-J124</f>
        <v>0</v>
      </c>
      <c r="M124" s="33" t="n">
        <f aca="false">F124</f>
        <v>79459134.6153846</v>
      </c>
      <c r="N124" s="64" t="n">
        <v>0.0125208333333333</v>
      </c>
      <c r="O124" s="48" t="n">
        <f aca="false">IF(AND(B124&gt;=DATE(2026,1,1),B124&lt;=Resumen!$C$5),1,0)</f>
        <v>0</v>
      </c>
      <c r="P124" s="48" t="n">
        <f aca="false">IF(AND(B124&gt;Resumen!$C$5,B124&lt;=DATE(2027,7,31)),1,0)</f>
        <v>0</v>
      </c>
    </row>
    <row r="125" customFormat="false" ht="15" hidden="false" customHeight="false" outlineLevel="0" collapsed="false">
      <c r="A125" s="38" t="n">
        <v>113</v>
      </c>
      <c r="B125" s="27" t="n">
        <v>48812</v>
      </c>
      <c r="C125" s="39" t="n">
        <v>6346153846.15385</v>
      </c>
      <c r="D125" s="39" t="n">
        <v>79459134.6153846</v>
      </c>
      <c r="E125" s="39" t="n">
        <v>0</v>
      </c>
      <c r="F125" s="39" t="n">
        <v>79459134.6153846</v>
      </c>
      <c r="G125" s="39" t="n">
        <v>6346153846.15385</v>
      </c>
      <c r="H125" s="33" t="n">
        <f aca="false">J124</f>
        <v>6346153846.15385</v>
      </c>
      <c r="I125" s="33" t="n">
        <f aca="false">H125*N125</f>
        <v>79459134.6153846</v>
      </c>
      <c r="J125" s="33" t="n">
        <f aca="false">H125-E125</f>
        <v>6346153846.15385</v>
      </c>
      <c r="K125" s="33" t="n">
        <f aca="false">D125-I125</f>
        <v>0</v>
      </c>
      <c r="L125" s="33" t="n">
        <f aca="false">G125-J125</f>
        <v>0</v>
      </c>
      <c r="M125" s="33" t="n">
        <f aca="false">F125</f>
        <v>79459134.6153846</v>
      </c>
      <c r="N125" s="64" t="n">
        <v>0.0125208333333333</v>
      </c>
      <c r="O125" s="48" t="n">
        <f aca="false">IF(AND(B125&gt;=DATE(2026,1,1),B125&lt;=Resumen!$C$5),1,0)</f>
        <v>0</v>
      </c>
      <c r="P125" s="48" t="n">
        <f aca="false">IF(AND(B125&gt;Resumen!$C$5,B125&lt;=DATE(2027,7,31)),1,0)</f>
        <v>0</v>
      </c>
    </row>
    <row r="126" customFormat="false" ht="15" hidden="false" customHeight="false" outlineLevel="0" collapsed="false">
      <c r="A126" s="38" t="n">
        <v>114</v>
      </c>
      <c r="B126" s="27" t="n">
        <v>48843</v>
      </c>
      <c r="C126" s="39" t="n">
        <v>6346153846.15385</v>
      </c>
      <c r="D126" s="39" t="n">
        <v>79459134.6153846</v>
      </c>
      <c r="E126" s="39" t="n">
        <v>288461538.461538</v>
      </c>
      <c r="F126" s="39" t="n">
        <v>367920673.076923</v>
      </c>
      <c r="G126" s="39" t="n">
        <v>6057692307.69231</v>
      </c>
      <c r="H126" s="33" t="n">
        <f aca="false">J125</f>
        <v>6346153846.15385</v>
      </c>
      <c r="I126" s="33" t="n">
        <f aca="false">H126*N126</f>
        <v>79459134.6153846</v>
      </c>
      <c r="J126" s="33" t="n">
        <f aca="false">H126-E126</f>
        <v>6057692307.69231</v>
      </c>
      <c r="K126" s="33" t="n">
        <f aca="false">D126-I126</f>
        <v>0</v>
      </c>
      <c r="L126" s="33" t="n">
        <f aca="false">G126-J126</f>
        <v>0</v>
      </c>
      <c r="M126" s="33" t="n">
        <f aca="false">F126</f>
        <v>367920673.076923</v>
      </c>
      <c r="N126" s="64" t="n">
        <v>0.0125208333333333</v>
      </c>
      <c r="O126" s="48" t="n">
        <f aca="false">IF(AND(B126&gt;=DATE(2026,1,1),B126&lt;=Resumen!$C$5),1,0)</f>
        <v>0</v>
      </c>
      <c r="P126" s="48" t="n">
        <f aca="false">IF(AND(B126&gt;Resumen!$C$5,B126&lt;=DATE(2027,7,31)),1,0)</f>
        <v>0</v>
      </c>
    </row>
    <row r="127" customFormat="false" ht="15" hidden="false" customHeight="false" outlineLevel="0" collapsed="false">
      <c r="A127" s="38" t="n">
        <v>115</v>
      </c>
      <c r="B127" s="27" t="n">
        <v>48873</v>
      </c>
      <c r="C127" s="39" t="n">
        <v>6057692307.69231</v>
      </c>
      <c r="D127" s="39" t="n">
        <v>75847355.7692308</v>
      </c>
      <c r="E127" s="39" t="n">
        <v>0</v>
      </c>
      <c r="F127" s="39" t="n">
        <v>75847355.7692308</v>
      </c>
      <c r="G127" s="39" t="n">
        <v>6057692307.69231</v>
      </c>
      <c r="H127" s="33" t="n">
        <f aca="false">J126</f>
        <v>6057692307.69231</v>
      </c>
      <c r="I127" s="33" t="n">
        <f aca="false">H127*N127</f>
        <v>75847355.7692308</v>
      </c>
      <c r="J127" s="33" t="n">
        <f aca="false">H127-E127</f>
        <v>6057692307.69231</v>
      </c>
      <c r="K127" s="33" t="n">
        <f aca="false">D127-I127</f>
        <v>0</v>
      </c>
      <c r="L127" s="33" t="n">
        <f aca="false">G127-J127</f>
        <v>0</v>
      </c>
      <c r="M127" s="33" t="n">
        <f aca="false">F127</f>
        <v>75847355.7692308</v>
      </c>
      <c r="N127" s="64" t="n">
        <v>0.0125208333333333</v>
      </c>
      <c r="O127" s="48" t="n">
        <f aca="false">IF(AND(B127&gt;=DATE(2026,1,1),B127&lt;=Resumen!$C$5),1,0)</f>
        <v>0</v>
      </c>
      <c r="P127" s="48" t="n">
        <f aca="false">IF(AND(B127&gt;Resumen!$C$5,B127&lt;=DATE(2027,7,31)),1,0)</f>
        <v>0</v>
      </c>
    </row>
    <row r="128" customFormat="false" ht="15" hidden="false" customHeight="false" outlineLevel="0" collapsed="false">
      <c r="A128" s="38" t="n">
        <v>116</v>
      </c>
      <c r="B128" s="27" t="n">
        <v>48904</v>
      </c>
      <c r="C128" s="39" t="n">
        <v>6057692307.69231</v>
      </c>
      <c r="D128" s="39" t="n">
        <v>75847355.7692308</v>
      </c>
      <c r="E128" s="39" t="n">
        <v>0</v>
      </c>
      <c r="F128" s="39" t="n">
        <v>75847355.7692308</v>
      </c>
      <c r="G128" s="39" t="n">
        <v>6057692307.69231</v>
      </c>
      <c r="H128" s="33" t="n">
        <f aca="false">J127</f>
        <v>6057692307.69231</v>
      </c>
      <c r="I128" s="33" t="n">
        <f aca="false">H128*N128</f>
        <v>75847355.7692308</v>
      </c>
      <c r="J128" s="33" t="n">
        <f aca="false">H128-E128</f>
        <v>6057692307.69231</v>
      </c>
      <c r="K128" s="33" t="n">
        <f aca="false">D128-I128</f>
        <v>0</v>
      </c>
      <c r="L128" s="33" t="n">
        <f aca="false">G128-J128</f>
        <v>0</v>
      </c>
      <c r="M128" s="33" t="n">
        <f aca="false">F128</f>
        <v>75847355.7692308</v>
      </c>
      <c r="N128" s="64" t="n">
        <v>0.0125208333333333</v>
      </c>
      <c r="O128" s="48" t="n">
        <f aca="false">IF(AND(B128&gt;=DATE(2026,1,1),B128&lt;=Resumen!$C$5),1,0)</f>
        <v>0</v>
      </c>
      <c r="P128" s="48" t="n">
        <f aca="false">IF(AND(B128&gt;Resumen!$C$5,B128&lt;=DATE(2027,7,31)),1,0)</f>
        <v>0</v>
      </c>
    </row>
    <row r="129" customFormat="false" ht="15" hidden="false" customHeight="false" outlineLevel="0" collapsed="false">
      <c r="A129" s="38" t="n">
        <v>117</v>
      </c>
      <c r="B129" s="27" t="n">
        <v>48934</v>
      </c>
      <c r="C129" s="39" t="n">
        <v>6057692307.69231</v>
      </c>
      <c r="D129" s="39" t="n">
        <v>75847355.7692308</v>
      </c>
      <c r="E129" s="39" t="n">
        <v>0</v>
      </c>
      <c r="F129" s="39" t="n">
        <v>75847355.7692308</v>
      </c>
      <c r="G129" s="39" t="n">
        <v>6057692307.69231</v>
      </c>
      <c r="H129" s="33" t="n">
        <f aca="false">J128</f>
        <v>6057692307.69231</v>
      </c>
      <c r="I129" s="33" t="n">
        <f aca="false">H129*N129</f>
        <v>75847355.7692308</v>
      </c>
      <c r="J129" s="33" t="n">
        <f aca="false">H129-E129</f>
        <v>6057692307.69231</v>
      </c>
      <c r="K129" s="33" t="n">
        <f aca="false">D129-I129</f>
        <v>0</v>
      </c>
      <c r="L129" s="33" t="n">
        <f aca="false">G129-J129</f>
        <v>0</v>
      </c>
      <c r="M129" s="33" t="n">
        <f aca="false">F129</f>
        <v>75847355.7692308</v>
      </c>
      <c r="N129" s="64" t="n">
        <v>0.0125208333333333</v>
      </c>
      <c r="O129" s="48" t="n">
        <f aca="false">IF(AND(B129&gt;=DATE(2026,1,1),B129&lt;=Resumen!$C$5),1,0)</f>
        <v>0</v>
      </c>
      <c r="P129" s="48" t="n">
        <f aca="false">IF(AND(B129&gt;Resumen!$C$5,B129&lt;=DATE(2027,7,31)),1,0)</f>
        <v>0</v>
      </c>
    </row>
    <row r="130" customFormat="false" ht="15" hidden="false" customHeight="false" outlineLevel="0" collapsed="false">
      <c r="A130" s="38" t="n">
        <v>118</v>
      </c>
      <c r="B130" s="27" t="n">
        <v>48965</v>
      </c>
      <c r="C130" s="39" t="n">
        <v>6057692307.69231</v>
      </c>
      <c r="D130" s="39" t="n">
        <v>75847355.7692308</v>
      </c>
      <c r="E130" s="39" t="n">
        <v>0</v>
      </c>
      <c r="F130" s="39" t="n">
        <v>75847355.7692308</v>
      </c>
      <c r="G130" s="39" t="n">
        <v>6057692307.69231</v>
      </c>
      <c r="H130" s="33" t="n">
        <f aca="false">J129</f>
        <v>6057692307.69231</v>
      </c>
      <c r="I130" s="33" t="n">
        <f aca="false">H130*N130</f>
        <v>75847355.7692308</v>
      </c>
      <c r="J130" s="33" t="n">
        <f aca="false">H130-E130</f>
        <v>6057692307.69231</v>
      </c>
      <c r="K130" s="33" t="n">
        <f aca="false">D130-I130</f>
        <v>0</v>
      </c>
      <c r="L130" s="33" t="n">
        <f aca="false">G130-J130</f>
        <v>0</v>
      </c>
      <c r="M130" s="33" t="n">
        <f aca="false">F130</f>
        <v>75847355.7692308</v>
      </c>
      <c r="N130" s="64" t="n">
        <v>0.0125208333333333</v>
      </c>
      <c r="O130" s="48" t="n">
        <f aca="false">IF(AND(B130&gt;=DATE(2026,1,1),B130&lt;=Resumen!$C$5),1,0)</f>
        <v>0</v>
      </c>
      <c r="P130" s="48" t="n">
        <f aca="false">IF(AND(B130&gt;Resumen!$C$5,B130&lt;=DATE(2027,7,31)),1,0)</f>
        <v>0</v>
      </c>
    </row>
    <row r="131" customFormat="false" ht="15" hidden="false" customHeight="false" outlineLevel="0" collapsed="false">
      <c r="A131" s="38" t="n">
        <v>119</v>
      </c>
      <c r="B131" s="27" t="n">
        <v>48996</v>
      </c>
      <c r="C131" s="39" t="n">
        <v>6057692307.69231</v>
      </c>
      <c r="D131" s="39" t="n">
        <v>75847355.7692308</v>
      </c>
      <c r="E131" s="39" t="n">
        <v>0</v>
      </c>
      <c r="F131" s="39" t="n">
        <v>75847355.7692308</v>
      </c>
      <c r="G131" s="39" t="n">
        <v>6057692307.69231</v>
      </c>
      <c r="H131" s="33" t="n">
        <f aca="false">J130</f>
        <v>6057692307.69231</v>
      </c>
      <c r="I131" s="33" t="n">
        <f aca="false">H131*N131</f>
        <v>75847355.7692308</v>
      </c>
      <c r="J131" s="33" t="n">
        <f aca="false">H131-E131</f>
        <v>6057692307.69231</v>
      </c>
      <c r="K131" s="33" t="n">
        <f aca="false">D131-I131</f>
        <v>0</v>
      </c>
      <c r="L131" s="33" t="n">
        <f aca="false">G131-J131</f>
        <v>0</v>
      </c>
      <c r="M131" s="33" t="n">
        <f aca="false">F131</f>
        <v>75847355.7692308</v>
      </c>
      <c r="N131" s="64" t="n">
        <v>0.0125208333333333</v>
      </c>
      <c r="O131" s="48" t="n">
        <f aca="false">IF(AND(B131&gt;=DATE(2026,1,1),B131&lt;=Resumen!$C$5),1,0)</f>
        <v>0</v>
      </c>
      <c r="P131" s="48" t="n">
        <f aca="false">IF(AND(B131&gt;Resumen!$C$5,B131&lt;=DATE(2027,7,31)),1,0)</f>
        <v>0</v>
      </c>
    </row>
    <row r="132" customFormat="false" ht="15" hidden="false" customHeight="false" outlineLevel="0" collapsed="false">
      <c r="A132" s="38" t="n">
        <v>120</v>
      </c>
      <c r="B132" s="27" t="n">
        <v>49024</v>
      </c>
      <c r="C132" s="39" t="n">
        <v>6057692307.69231</v>
      </c>
      <c r="D132" s="39" t="n">
        <v>75847355.7692308</v>
      </c>
      <c r="E132" s="39" t="n">
        <v>288461538.461538</v>
      </c>
      <c r="F132" s="39" t="n">
        <v>364308894.230769</v>
      </c>
      <c r="G132" s="39" t="n">
        <v>5769230769.23077</v>
      </c>
      <c r="H132" s="33" t="n">
        <f aca="false">J131</f>
        <v>6057692307.69231</v>
      </c>
      <c r="I132" s="33" t="n">
        <f aca="false">H132*N132</f>
        <v>75847355.7692308</v>
      </c>
      <c r="J132" s="33" t="n">
        <f aca="false">H132-E132</f>
        <v>5769230769.23077</v>
      </c>
      <c r="K132" s="33" t="n">
        <f aca="false">D132-I132</f>
        <v>0</v>
      </c>
      <c r="L132" s="33" t="n">
        <f aca="false">G132-J132</f>
        <v>0</v>
      </c>
      <c r="M132" s="33" t="n">
        <f aca="false">F132</f>
        <v>364308894.230769</v>
      </c>
      <c r="N132" s="64" t="n">
        <v>0.0125208333333333</v>
      </c>
      <c r="O132" s="48" t="n">
        <f aca="false">IF(AND(B132&gt;=DATE(2026,1,1),B132&lt;=Resumen!$C$5),1,0)</f>
        <v>0</v>
      </c>
      <c r="P132" s="48" t="n">
        <f aca="false">IF(AND(B132&gt;Resumen!$C$5,B132&lt;=DATE(2027,7,31)),1,0)</f>
        <v>0</v>
      </c>
    </row>
    <row r="133" customFormat="false" ht="15" hidden="false" customHeight="false" outlineLevel="0" collapsed="false">
      <c r="A133" s="38" t="n">
        <v>121</v>
      </c>
      <c r="B133" s="27" t="n">
        <v>49055</v>
      </c>
      <c r="C133" s="39" t="n">
        <v>5769230769.23077</v>
      </c>
      <c r="D133" s="39" t="n">
        <v>72235576.9230769</v>
      </c>
      <c r="E133" s="39" t="n">
        <v>0</v>
      </c>
      <c r="F133" s="39" t="n">
        <v>72235576.9230769</v>
      </c>
      <c r="G133" s="39" t="n">
        <v>5769230769.23077</v>
      </c>
      <c r="H133" s="33" t="n">
        <f aca="false">J132</f>
        <v>5769230769.23077</v>
      </c>
      <c r="I133" s="33" t="n">
        <f aca="false">H133*N133</f>
        <v>72235576.9230769</v>
      </c>
      <c r="J133" s="33" t="n">
        <f aca="false">H133-E133</f>
        <v>5769230769.23077</v>
      </c>
      <c r="K133" s="33" t="n">
        <f aca="false">D133-I133</f>
        <v>0</v>
      </c>
      <c r="L133" s="33" t="n">
        <f aca="false">G133-J133</f>
        <v>0</v>
      </c>
      <c r="M133" s="33" t="n">
        <f aca="false">F133</f>
        <v>72235576.9230769</v>
      </c>
      <c r="N133" s="64" t="n">
        <v>0.0125208333333333</v>
      </c>
      <c r="O133" s="48" t="n">
        <f aca="false">IF(AND(B133&gt;=DATE(2026,1,1),B133&lt;=Resumen!$C$5),1,0)</f>
        <v>0</v>
      </c>
      <c r="P133" s="48" t="n">
        <f aca="false">IF(AND(B133&gt;Resumen!$C$5,B133&lt;=DATE(2027,7,31)),1,0)</f>
        <v>0</v>
      </c>
    </row>
    <row r="134" customFormat="false" ht="15" hidden="false" customHeight="false" outlineLevel="0" collapsed="false">
      <c r="A134" s="38" t="n">
        <v>122</v>
      </c>
      <c r="B134" s="27" t="n">
        <v>49085</v>
      </c>
      <c r="C134" s="39" t="n">
        <v>5769230769.23077</v>
      </c>
      <c r="D134" s="39" t="n">
        <v>72235576.9230769</v>
      </c>
      <c r="E134" s="39" t="n">
        <v>0</v>
      </c>
      <c r="F134" s="39" t="n">
        <v>72235576.9230769</v>
      </c>
      <c r="G134" s="39" t="n">
        <v>5769230769.23077</v>
      </c>
      <c r="H134" s="33" t="n">
        <f aca="false">J133</f>
        <v>5769230769.23077</v>
      </c>
      <c r="I134" s="33" t="n">
        <f aca="false">H134*N134</f>
        <v>72235576.9230769</v>
      </c>
      <c r="J134" s="33" t="n">
        <f aca="false">H134-E134</f>
        <v>5769230769.23077</v>
      </c>
      <c r="K134" s="33" t="n">
        <f aca="false">D134-I134</f>
        <v>0</v>
      </c>
      <c r="L134" s="33" t="n">
        <f aca="false">G134-J134</f>
        <v>0</v>
      </c>
      <c r="M134" s="33" t="n">
        <f aca="false">F134</f>
        <v>72235576.9230769</v>
      </c>
      <c r="N134" s="64" t="n">
        <v>0.0125208333333333</v>
      </c>
      <c r="O134" s="48" t="n">
        <f aca="false">IF(AND(B134&gt;=DATE(2026,1,1),B134&lt;=Resumen!$C$5),1,0)</f>
        <v>0</v>
      </c>
      <c r="P134" s="48" t="n">
        <f aca="false">IF(AND(B134&gt;Resumen!$C$5,B134&lt;=DATE(2027,7,31)),1,0)</f>
        <v>0</v>
      </c>
    </row>
    <row r="135" customFormat="false" ht="15" hidden="false" customHeight="false" outlineLevel="0" collapsed="false">
      <c r="A135" s="38" t="n">
        <v>123</v>
      </c>
      <c r="B135" s="27" t="n">
        <v>49116</v>
      </c>
      <c r="C135" s="39" t="n">
        <v>5769230769.23077</v>
      </c>
      <c r="D135" s="39" t="n">
        <v>72235576.9230769</v>
      </c>
      <c r="E135" s="39" t="n">
        <v>0</v>
      </c>
      <c r="F135" s="39" t="n">
        <v>72235576.9230769</v>
      </c>
      <c r="G135" s="39" t="n">
        <v>5769230769.23077</v>
      </c>
      <c r="H135" s="33" t="n">
        <f aca="false">J134</f>
        <v>5769230769.23077</v>
      </c>
      <c r="I135" s="33" t="n">
        <f aca="false">H135*N135</f>
        <v>72235576.9230769</v>
      </c>
      <c r="J135" s="33" t="n">
        <f aca="false">H135-E135</f>
        <v>5769230769.23077</v>
      </c>
      <c r="K135" s="33" t="n">
        <f aca="false">D135-I135</f>
        <v>0</v>
      </c>
      <c r="L135" s="33" t="n">
        <f aca="false">G135-J135</f>
        <v>0</v>
      </c>
      <c r="M135" s="33" t="n">
        <f aca="false">F135</f>
        <v>72235576.9230769</v>
      </c>
      <c r="N135" s="64" t="n">
        <v>0.0125208333333333</v>
      </c>
      <c r="O135" s="48" t="n">
        <f aca="false">IF(AND(B135&gt;=DATE(2026,1,1),B135&lt;=Resumen!$C$5),1,0)</f>
        <v>0</v>
      </c>
      <c r="P135" s="48" t="n">
        <f aca="false">IF(AND(B135&gt;Resumen!$C$5,B135&lt;=DATE(2027,7,31)),1,0)</f>
        <v>0</v>
      </c>
    </row>
    <row r="136" customFormat="false" ht="15" hidden="false" customHeight="false" outlineLevel="0" collapsed="false">
      <c r="A136" s="38" t="n">
        <v>124</v>
      </c>
      <c r="B136" s="27" t="n">
        <v>49146</v>
      </c>
      <c r="C136" s="39" t="n">
        <v>5769230769.23077</v>
      </c>
      <c r="D136" s="39" t="n">
        <v>72235576.9230769</v>
      </c>
      <c r="E136" s="39" t="n">
        <v>0</v>
      </c>
      <c r="F136" s="39" t="n">
        <v>72235576.9230769</v>
      </c>
      <c r="G136" s="39" t="n">
        <v>5769230769.23077</v>
      </c>
      <c r="H136" s="33" t="n">
        <f aca="false">J135</f>
        <v>5769230769.23077</v>
      </c>
      <c r="I136" s="33" t="n">
        <f aca="false">H136*N136</f>
        <v>72235576.9230769</v>
      </c>
      <c r="J136" s="33" t="n">
        <f aca="false">H136-E136</f>
        <v>5769230769.23077</v>
      </c>
      <c r="K136" s="33" t="n">
        <f aca="false">D136-I136</f>
        <v>0</v>
      </c>
      <c r="L136" s="33" t="n">
        <f aca="false">G136-J136</f>
        <v>0</v>
      </c>
      <c r="M136" s="33" t="n">
        <f aca="false">F136</f>
        <v>72235576.9230769</v>
      </c>
      <c r="N136" s="64" t="n">
        <v>0.0125208333333333</v>
      </c>
      <c r="O136" s="48" t="n">
        <f aca="false">IF(AND(B136&gt;=DATE(2026,1,1),B136&lt;=Resumen!$C$5),1,0)</f>
        <v>0</v>
      </c>
      <c r="P136" s="48" t="n">
        <f aca="false">IF(AND(B136&gt;Resumen!$C$5,B136&lt;=DATE(2027,7,31)),1,0)</f>
        <v>0</v>
      </c>
    </row>
    <row r="137" customFormat="false" ht="15" hidden="false" customHeight="false" outlineLevel="0" collapsed="false">
      <c r="A137" s="38" t="n">
        <v>125</v>
      </c>
      <c r="B137" s="27" t="n">
        <v>49177</v>
      </c>
      <c r="C137" s="39" t="n">
        <v>5769230769.23077</v>
      </c>
      <c r="D137" s="39" t="n">
        <v>72235576.9230769</v>
      </c>
      <c r="E137" s="39" t="n">
        <v>0</v>
      </c>
      <c r="F137" s="39" t="n">
        <v>72235576.9230769</v>
      </c>
      <c r="G137" s="39" t="n">
        <v>5769230769.23077</v>
      </c>
      <c r="H137" s="33" t="n">
        <f aca="false">J136</f>
        <v>5769230769.23077</v>
      </c>
      <c r="I137" s="33" t="n">
        <f aca="false">H137*N137</f>
        <v>72235576.9230769</v>
      </c>
      <c r="J137" s="33" t="n">
        <f aca="false">H137-E137</f>
        <v>5769230769.23077</v>
      </c>
      <c r="K137" s="33" t="n">
        <f aca="false">D137-I137</f>
        <v>0</v>
      </c>
      <c r="L137" s="33" t="n">
        <f aca="false">G137-J137</f>
        <v>0</v>
      </c>
      <c r="M137" s="33" t="n">
        <f aca="false">F137</f>
        <v>72235576.9230769</v>
      </c>
      <c r="N137" s="64" t="n">
        <v>0.0125208333333333</v>
      </c>
      <c r="O137" s="48" t="n">
        <f aca="false">IF(AND(B137&gt;=DATE(2026,1,1),B137&lt;=Resumen!$C$5),1,0)</f>
        <v>0</v>
      </c>
      <c r="P137" s="48" t="n">
        <f aca="false">IF(AND(B137&gt;Resumen!$C$5,B137&lt;=DATE(2027,7,31)),1,0)</f>
        <v>0</v>
      </c>
    </row>
    <row r="138" customFormat="false" ht="15" hidden="false" customHeight="false" outlineLevel="0" collapsed="false">
      <c r="A138" s="38" t="n">
        <v>126</v>
      </c>
      <c r="B138" s="27" t="n">
        <v>49208</v>
      </c>
      <c r="C138" s="39" t="n">
        <v>5769230769.23077</v>
      </c>
      <c r="D138" s="39" t="n">
        <v>72235576.9230769</v>
      </c>
      <c r="E138" s="39" t="n">
        <v>288461538.461538</v>
      </c>
      <c r="F138" s="39" t="n">
        <v>360697115.384615</v>
      </c>
      <c r="G138" s="39" t="n">
        <v>5480769230.76923</v>
      </c>
      <c r="H138" s="33" t="n">
        <f aca="false">J137</f>
        <v>5769230769.23077</v>
      </c>
      <c r="I138" s="33" t="n">
        <f aca="false">H138*N138</f>
        <v>72235576.9230769</v>
      </c>
      <c r="J138" s="33" t="n">
        <f aca="false">H138-E138</f>
        <v>5480769230.76923</v>
      </c>
      <c r="K138" s="33" t="n">
        <f aca="false">D138-I138</f>
        <v>0</v>
      </c>
      <c r="L138" s="33" t="n">
        <f aca="false">G138-J138</f>
        <v>0</v>
      </c>
      <c r="M138" s="33" t="n">
        <f aca="false">F138</f>
        <v>360697115.384615</v>
      </c>
      <c r="N138" s="64" t="n">
        <v>0.0125208333333333</v>
      </c>
      <c r="O138" s="48" t="n">
        <f aca="false">IF(AND(B138&gt;=DATE(2026,1,1),B138&lt;=Resumen!$C$5),1,0)</f>
        <v>0</v>
      </c>
      <c r="P138" s="48" t="n">
        <f aca="false">IF(AND(B138&gt;Resumen!$C$5,B138&lt;=DATE(2027,7,31)),1,0)</f>
        <v>0</v>
      </c>
    </row>
    <row r="139" customFormat="false" ht="15" hidden="false" customHeight="false" outlineLevel="0" collapsed="false">
      <c r="A139" s="38" t="n">
        <v>127</v>
      </c>
      <c r="B139" s="27" t="n">
        <v>49238</v>
      </c>
      <c r="C139" s="39" t="n">
        <v>5480769230.76923</v>
      </c>
      <c r="D139" s="39" t="n">
        <v>68623798.0769231</v>
      </c>
      <c r="E139" s="39" t="n">
        <v>0</v>
      </c>
      <c r="F139" s="39" t="n">
        <v>68623798.0769231</v>
      </c>
      <c r="G139" s="39" t="n">
        <v>5480769230.76923</v>
      </c>
      <c r="H139" s="33" t="n">
        <f aca="false">J138</f>
        <v>5480769230.76923</v>
      </c>
      <c r="I139" s="33" t="n">
        <f aca="false">H139*N139</f>
        <v>68623798.0769231</v>
      </c>
      <c r="J139" s="33" t="n">
        <f aca="false">H139-E139</f>
        <v>5480769230.76923</v>
      </c>
      <c r="K139" s="33" t="n">
        <f aca="false">D139-I139</f>
        <v>0</v>
      </c>
      <c r="L139" s="33" t="n">
        <f aca="false">G139-J139</f>
        <v>0</v>
      </c>
      <c r="M139" s="33" t="n">
        <f aca="false">F139</f>
        <v>68623798.0769231</v>
      </c>
      <c r="N139" s="64" t="n">
        <v>0.0125208333333333</v>
      </c>
      <c r="O139" s="48" t="n">
        <f aca="false">IF(AND(B139&gt;=DATE(2026,1,1),B139&lt;=Resumen!$C$5),1,0)</f>
        <v>0</v>
      </c>
      <c r="P139" s="48" t="n">
        <f aca="false">IF(AND(B139&gt;Resumen!$C$5,B139&lt;=DATE(2027,7,31)),1,0)</f>
        <v>0</v>
      </c>
    </row>
    <row r="140" customFormat="false" ht="15" hidden="false" customHeight="false" outlineLevel="0" collapsed="false">
      <c r="A140" s="38" t="n">
        <v>128</v>
      </c>
      <c r="B140" s="27" t="n">
        <v>49269</v>
      </c>
      <c r="C140" s="39" t="n">
        <v>5480769230.76923</v>
      </c>
      <c r="D140" s="39" t="n">
        <v>68623798.0769231</v>
      </c>
      <c r="E140" s="39" t="n">
        <v>0</v>
      </c>
      <c r="F140" s="39" t="n">
        <v>68623798.0769231</v>
      </c>
      <c r="G140" s="39" t="n">
        <v>5480769230.76923</v>
      </c>
      <c r="H140" s="33" t="n">
        <f aca="false">J139</f>
        <v>5480769230.76923</v>
      </c>
      <c r="I140" s="33" t="n">
        <f aca="false">H140*N140</f>
        <v>68623798.0769231</v>
      </c>
      <c r="J140" s="33" t="n">
        <f aca="false">H140-E140</f>
        <v>5480769230.76923</v>
      </c>
      <c r="K140" s="33" t="n">
        <f aca="false">D140-I140</f>
        <v>0</v>
      </c>
      <c r="L140" s="33" t="n">
        <f aca="false">G140-J140</f>
        <v>0</v>
      </c>
      <c r="M140" s="33" t="n">
        <f aca="false">F140</f>
        <v>68623798.0769231</v>
      </c>
      <c r="N140" s="64" t="n">
        <v>0.0125208333333333</v>
      </c>
      <c r="O140" s="48" t="n">
        <f aca="false">IF(AND(B140&gt;=DATE(2026,1,1),B140&lt;=Resumen!$C$5),1,0)</f>
        <v>0</v>
      </c>
      <c r="P140" s="48" t="n">
        <f aca="false">IF(AND(B140&gt;Resumen!$C$5,B140&lt;=DATE(2027,7,31)),1,0)</f>
        <v>0</v>
      </c>
    </row>
    <row r="141" customFormat="false" ht="15" hidden="false" customHeight="false" outlineLevel="0" collapsed="false">
      <c r="A141" s="38" t="n">
        <v>129</v>
      </c>
      <c r="B141" s="27" t="n">
        <v>49299</v>
      </c>
      <c r="C141" s="39" t="n">
        <v>5480769230.76923</v>
      </c>
      <c r="D141" s="39" t="n">
        <v>68623798.0769231</v>
      </c>
      <c r="E141" s="39" t="n">
        <v>0</v>
      </c>
      <c r="F141" s="39" t="n">
        <v>68623798.0769231</v>
      </c>
      <c r="G141" s="39" t="n">
        <v>5480769230.76923</v>
      </c>
      <c r="H141" s="33" t="n">
        <f aca="false">J140</f>
        <v>5480769230.76923</v>
      </c>
      <c r="I141" s="33" t="n">
        <f aca="false">H141*N141</f>
        <v>68623798.0769231</v>
      </c>
      <c r="J141" s="33" t="n">
        <f aca="false">H141-E141</f>
        <v>5480769230.76923</v>
      </c>
      <c r="K141" s="33" t="n">
        <f aca="false">D141-I141</f>
        <v>0</v>
      </c>
      <c r="L141" s="33" t="n">
        <f aca="false">G141-J141</f>
        <v>0</v>
      </c>
      <c r="M141" s="33" t="n">
        <f aca="false">F141</f>
        <v>68623798.0769231</v>
      </c>
      <c r="N141" s="64" t="n">
        <v>0.0125208333333333</v>
      </c>
      <c r="O141" s="48" t="n">
        <f aca="false">IF(AND(B141&gt;=DATE(2026,1,1),B141&lt;=Resumen!$C$5),1,0)</f>
        <v>0</v>
      </c>
      <c r="P141" s="48" t="n">
        <f aca="false">IF(AND(B141&gt;Resumen!$C$5,B141&lt;=DATE(2027,7,31)),1,0)</f>
        <v>0</v>
      </c>
    </row>
    <row r="142" customFormat="false" ht="15" hidden="false" customHeight="false" outlineLevel="0" collapsed="false">
      <c r="A142" s="38" t="n">
        <v>130</v>
      </c>
      <c r="B142" s="27" t="n">
        <v>49330</v>
      </c>
      <c r="C142" s="39" t="n">
        <v>5480769230.76923</v>
      </c>
      <c r="D142" s="39" t="n">
        <v>68623798.0769231</v>
      </c>
      <c r="E142" s="39" t="n">
        <v>0</v>
      </c>
      <c r="F142" s="39" t="n">
        <v>68623798.0769231</v>
      </c>
      <c r="G142" s="39" t="n">
        <v>5480769230.76923</v>
      </c>
      <c r="H142" s="33" t="n">
        <f aca="false">J141</f>
        <v>5480769230.76923</v>
      </c>
      <c r="I142" s="33" t="n">
        <f aca="false">H142*N142</f>
        <v>68623798.0769231</v>
      </c>
      <c r="J142" s="33" t="n">
        <f aca="false">H142-E142</f>
        <v>5480769230.76923</v>
      </c>
      <c r="K142" s="33" t="n">
        <f aca="false">D142-I142</f>
        <v>0</v>
      </c>
      <c r="L142" s="33" t="n">
        <f aca="false">G142-J142</f>
        <v>0</v>
      </c>
      <c r="M142" s="33" t="n">
        <f aca="false">F142</f>
        <v>68623798.0769231</v>
      </c>
      <c r="N142" s="64" t="n">
        <v>0.0125208333333333</v>
      </c>
      <c r="O142" s="48" t="n">
        <f aca="false">IF(AND(B142&gt;=DATE(2026,1,1),B142&lt;=Resumen!$C$5),1,0)</f>
        <v>0</v>
      </c>
      <c r="P142" s="48" t="n">
        <f aca="false">IF(AND(B142&gt;Resumen!$C$5,B142&lt;=DATE(2027,7,31)),1,0)</f>
        <v>0</v>
      </c>
    </row>
    <row r="143" customFormat="false" ht="15" hidden="false" customHeight="false" outlineLevel="0" collapsed="false">
      <c r="A143" s="38" t="n">
        <v>131</v>
      </c>
      <c r="B143" s="27" t="n">
        <v>49361</v>
      </c>
      <c r="C143" s="39" t="n">
        <v>5480769230.76923</v>
      </c>
      <c r="D143" s="39" t="n">
        <v>68623798.0769231</v>
      </c>
      <c r="E143" s="39" t="n">
        <v>0</v>
      </c>
      <c r="F143" s="39" t="n">
        <v>68623798.0769231</v>
      </c>
      <c r="G143" s="39" t="n">
        <v>5480769230.76923</v>
      </c>
      <c r="H143" s="33" t="n">
        <f aca="false">J142</f>
        <v>5480769230.76923</v>
      </c>
      <c r="I143" s="33" t="n">
        <f aca="false">H143*N143</f>
        <v>68623798.0769231</v>
      </c>
      <c r="J143" s="33" t="n">
        <f aca="false">H143-E143</f>
        <v>5480769230.76923</v>
      </c>
      <c r="K143" s="33" t="n">
        <f aca="false">D143-I143</f>
        <v>0</v>
      </c>
      <c r="L143" s="33" t="n">
        <f aca="false">G143-J143</f>
        <v>0</v>
      </c>
      <c r="M143" s="33" t="n">
        <f aca="false">F143</f>
        <v>68623798.0769231</v>
      </c>
      <c r="N143" s="64" t="n">
        <v>0.0125208333333333</v>
      </c>
      <c r="O143" s="48" t="n">
        <f aca="false">IF(AND(B143&gt;=DATE(2026,1,1),B143&lt;=Resumen!$C$5),1,0)</f>
        <v>0</v>
      </c>
      <c r="P143" s="48" t="n">
        <f aca="false">IF(AND(B143&gt;Resumen!$C$5,B143&lt;=DATE(2027,7,31)),1,0)</f>
        <v>0</v>
      </c>
    </row>
    <row r="144" customFormat="false" ht="15" hidden="false" customHeight="false" outlineLevel="0" collapsed="false">
      <c r="A144" s="38" t="n">
        <v>132</v>
      </c>
      <c r="B144" s="27" t="n">
        <v>49389</v>
      </c>
      <c r="C144" s="39" t="n">
        <v>5480769230.76923</v>
      </c>
      <c r="D144" s="39" t="n">
        <v>68623798.0769231</v>
      </c>
      <c r="E144" s="39" t="n">
        <v>288461538.461538</v>
      </c>
      <c r="F144" s="39" t="n">
        <v>357085336.538462</v>
      </c>
      <c r="G144" s="39" t="n">
        <v>5192307692.30769</v>
      </c>
      <c r="H144" s="33" t="n">
        <f aca="false">J143</f>
        <v>5480769230.76923</v>
      </c>
      <c r="I144" s="33" t="n">
        <f aca="false">H144*N144</f>
        <v>68623798.0769231</v>
      </c>
      <c r="J144" s="33" t="n">
        <f aca="false">H144-E144</f>
        <v>5192307692.30769</v>
      </c>
      <c r="K144" s="33" t="n">
        <f aca="false">D144-I144</f>
        <v>0</v>
      </c>
      <c r="L144" s="33" t="n">
        <f aca="false">G144-J144</f>
        <v>0</v>
      </c>
      <c r="M144" s="33" t="n">
        <f aca="false">F144</f>
        <v>357085336.538462</v>
      </c>
      <c r="N144" s="64" t="n">
        <v>0.0125208333333333</v>
      </c>
      <c r="O144" s="48" t="n">
        <f aca="false">IF(AND(B144&gt;=DATE(2026,1,1),B144&lt;=Resumen!$C$5),1,0)</f>
        <v>0</v>
      </c>
      <c r="P144" s="48" t="n">
        <f aca="false">IF(AND(B144&gt;Resumen!$C$5,B144&lt;=DATE(2027,7,31)),1,0)</f>
        <v>0</v>
      </c>
    </row>
    <row r="145" customFormat="false" ht="15" hidden="false" customHeight="false" outlineLevel="0" collapsed="false">
      <c r="A145" s="38" t="n">
        <v>133</v>
      </c>
      <c r="B145" s="27" t="n">
        <v>49420</v>
      </c>
      <c r="C145" s="39" t="n">
        <v>5192307692.30769</v>
      </c>
      <c r="D145" s="39" t="n">
        <v>65012019.2307693</v>
      </c>
      <c r="E145" s="39" t="n">
        <v>0</v>
      </c>
      <c r="F145" s="39" t="n">
        <v>65012019.2307693</v>
      </c>
      <c r="G145" s="39" t="n">
        <v>5192307692.30769</v>
      </c>
      <c r="H145" s="33" t="n">
        <f aca="false">J144</f>
        <v>5192307692.30769</v>
      </c>
      <c r="I145" s="33" t="n">
        <f aca="false">H145*N145</f>
        <v>65012019.2307692</v>
      </c>
      <c r="J145" s="33" t="n">
        <f aca="false">H145-E145</f>
        <v>5192307692.30769</v>
      </c>
      <c r="K145" s="33" t="n">
        <f aca="false">D145-I145</f>
        <v>0</v>
      </c>
      <c r="L145" s="33" t="n">
        <f aca="false">G145-J145</f>
        <v>0</v>
      </c>
      <c r="M145" s="33" t="n">
        <f aca="false">F145</f>
        <v>65012019.2307693</v>
      </c>
      <c r="N145" s="64" t="n">
        <v>0.0125208333333333</v>
      </c>
      <c r="O145" s="48" t="n">
        <f aca="false">IF(AND(B145&gt;=DATE(2026,1,1),B145&lt;=Resumen!$C$5),1,0)</f>
        <v>0</v>
      </c>
      <c r="P145" s="48" t="n">
        <f aca="false">IF(AND(B145&gt;Resumen!$C$5,B145&lt;=DATE(2027,7,31)),1,0)</f>
        <v>0</v>
      </c>
    </row>
    <row r="146" customFormat="false" ht="15" hidden="false" customHeight="false" outlineLevel="0" collapsed="false">
      <c r="A146" s="38" t="n">
        <v>134</v>
      </c>
      <c r="B146" s="27" t="n">
        <v>49450</v>
      </c>
      <c r="C146" s="39" t="n">
        <v>5192307692.30769</v>
      </c>
      <c r="D146" s="39" t="n">
        <v>65012019.2307693</v>
      </c>
      <c r="E146" s="39" t="n">
        <v>0</v>
      </c>
      <c r="F146" s="39" t="n">
        <v>65012019.2307693</v>
      </c>
      <c r="G146" s="39" t="n">
        <v>5192307692.30769</v>
      </c>
      <c r="H146" s="33" t="n">
        <f aca="false">J145</f>
        <v>5192307692.30769</v>
      </c>
      <c r="I146" s="33" t="n">
        <f aca="false">H146*N146</f>
        <v>65012019.2307692</v>
      </c>
      <c r="J146" s="33" t="n">
        <f aca="false">H146-E146</f>
        <v>5192307692.30769</v>
      </c>
      <c r="K146" s="33" t="n">
        <f aca="false">D146-I146</f>
        <v>0</v>
      </c>
      <c r="L146" s="33" t="n">
        <f aca="false">G146-J146</f>
        <v>0</v>
      </c>
      <c r="M146" s="33" t="n">
        <f aca="false">F146</f>
        <v>65012019.2307693</v>
      </c>
      <c r="N146" s="64" t="n">
        <v>0.0125208333333333</v>
      </c>
      <c r="O146" s="48" t="n">
        <f aca="false">IF(AND(B146&gt;=DATE(2026,1,1),B146&lt;=Resumen!$C$5),1,0)</f>
        <v>0</v>
      </c>
      <c r="P146" s="48" t="n">
        <f aca="false">IF(AND(B146&gt;Resumen!$C$5,B146&lt;=DATE(2027,7,31)),1,0)</f>
        <v>0</v>
      </c>
    </row>
    <row r="147" customFormat="false" ht="15" hidden="false" customHeight="false" outlineLevel="0" collapsed="false">
      <c r="A147" s="38" t="n">
        <v>135</v>
      </c>
      <c r="B147" s="27" t="n">
        <v>49481</v>
      </c>
      <c r="C147" s="39" t="n">
        <v>5192307692.30769</v>
      </c>
      <c r="D147" s="39" t="n">
        <v>65012019.2307693</v>
      </c>
      <c r="E147" s="39" t="n">
        <v>0</v>
      </c>
      <c r="F147" s="39" t="n">
        <v>65012019.2307693</v>
      </c>
      <c r="G147" s="39" t="n">
        <v>5192307692.30769</v>
      </c>
      <c r="H147" s="33" t="n">
        <f aca="false">J146</f>
        <v>5192307692.30769</v>
      </c>
      <c r="I147" s="33" t="n">
        <f aca="false">H147*N147</f>
        <v>65012019.2307692</v>
      </c>
      <c r="J147" s="33" t="n">
        <f aca="false">H147-E147</f>
        <v>5192307692.30769</v>
      </c>
      <c r="K147" s="33" t="n">
        <f aca="false">D147-I147</f>
        <v>0</v>
      </c>
      <c r="L147" s="33" t="n">
        <f aca="false">G147-J147</f>
        <v>0</v>
      </c>
      <c r="M147" s="33" t="n">
        <f aca="false">F147</f>
        <v>65012019.2307693</v>
      </c>
      <c r="N147" s="64" t="n">
        <v>0.0125208333333333</v>
      </c>
      <c r="O147" s="48" t="n">
        <f aca="false">IF(AND(B147&gt;=DATE(2026,1,1),B147&lt;=Resumen!$C$5),1,0)</f>
        <v>0</v>
      </c>
      <c r="P147" s="48" t="n">
        <f aca="false">IF(AND(B147&gt;Resumen!$C$5,B147&lt;=DATE(2027,7,31)),1,0)</f>
        <v>0</v>
      </c>
    </row>
    <row r="148" customFormat="false" ht="15" hidden="false" customHeight="false" outlineLevel="0" collapsed="false">
      <c r="A148" s="38" t="n">
        <v>136</v>
      </c>
      <c r="B148" s="27" t="n">
        <v>49511</v>
      </c>
      <c r="C148" s="39" t="n">
        <v>5192307692.30769</v>
      </c>
      <c r="D148" s="39" t="n">
        <v>65012019.2307693</v>
      </c>
      <c r="E148" s="39" t="n">
        <v>0</v>
      </c>
      <c r="F148" s="39" t="n">
        <v>65012019.2307693</v>
      </c>
      <c r="G148" s="39" t="n">
        <v>5192307692.30769</v>
      </c>
      <c r="H148" s="33" t="n">
        <f aca="false">J147</f>
        <v>5192307692.30769</v>
      </c>
      <c r="I148" s="33" t="n">
        <f aca="false">H148*N148</f>
        <v>65012019.2307692</v>
      </c>
      <c r="J148" s="33" t="n">
        <f aca="false">H148-E148</f>
        <v>5192307692.30769</v>
      </c>
      <c r="K148" s="33" t="n">
        <f aca="false">D148-I148</f>
        <v>0</v>
      </c>
      <c r="L148" s="33" t="n">
        <f aca="false">G148-J148</f>
        <v>0</v>
      </c>
      <c r="M148" s="33" t="n">
        <f aca="false">F148</f>
        <v>65012019.2307693</v>
      </c>
      <c r="N148" s="64" t="n">
        <v>0.0125208333333333</v>
      </c>
      <c r="O148" s="48" t="n">
        <f aca="false">IF(AND(B148&gt;=DATE(2026,1,1),B148&lt;=Resumen!$C$5),1,0)</f>
        <v>0</v>
      </c>
      <c r="P148" s="48" t="n">
        <f aca="false">IF(AND(B148&gt;Resumen!$C$5,B148&lt;=DATE(2027,7,31)),1,0)</f>
        <v>0</v>
      </c>
    </row>
    <row r="149" customFormat="false" ht="15" hidden="false" customHeight="false" outlineLevel="0" collapsed="false">
      <c r="A149" s="38" t="n">
        <v>137</v>
      </c>
      <c r="B149" s="27" t="n">
        <v>49542</v>
      </c>
      <c r="C149" s="39" t="n">
        <v>5192307692.30769</v>
      </c>
      <c r="D149" s="39" t="n">
        <v>65012019.2307693</v>
      </c>
      <c r="E149" s="39" t="n">
        <v>0</v>
      </c>
      <c r="F149" s="39" t="n">
        <v>65012019.2307693</v>
      </c>
      <c r="G149" s="39" t="n">
        <v>5192307692.30769</v>
      </c>
      <c r="H149" s="33" t="n">
        <f aca="false">J148</f>
        <v>5192307692.30769</v>
      </c>
      <c r="I149" s="33" t="n">
        <f aca="false">H149*N149</f>
        <v>65012019.2307692</v>
      </c>
      <c r="J149" s="33" t="n">
        <f aca="false">H149-E149</f>
        <v>5192307692.30769</v>
      </c>
      <c r="K149" s="33" t="n">
        <f aca="false">D149-I149</f>
        <v>0</v>
      </c>
      <c r="L149" s="33" t="n">
        <f aca="false">G149-J149</f>
        <v>0</v>
      </c>
      <c r="M149" s="33" t="n">
        <f aca="false">F149</f>
        <v>65012019.2307693</v>
      </c>
      <c r="N149" s="64" t="n">
        <v>0.0125208333333333</v>
      </c>
      <c r="O149" s="48" t="n">
        <f aca="false">IF(AND(B149&gt;=DATE(2026,1,1),B149&lt;=Resumen!$C$5),1,0)</f>
        <v>0</v>
      </c>
      <c r="P149" s="48" t="n">
        <f aca="false">IF(AND(B149&gt;Resumen!$C$5,B149&lt;=DATE(2027,7,31)),1,0)</f>
        <v>0</v>
      </c>
    </row>
    <row r="150" customFormat="false" ht="15" hidden="false" customHeight="false" outlineLevel="0" collapsed="false">
      <c r="A150" s="38" t="n">
        <v>138</v>
      </c>
      <c r="B150" s="27" t="n">
        <v>49573</v>
      </c>
      <c r="C150" s="39" t="n">
        <v>5192307692.30769</v>
      </c>
      <c r="D150" s="39" t="n">
        <v>65012019.2307693</v>
      </c>
      <c r="E150" s="39" t="n">
        <v>288461538.461538</v>
      </c>
      <c r="F150" s="39" t="n">
        <v>353473557.692308</v>
      </c>
      <c r="G150" s="39" t="n">
        <v>4903846153.84616</v>
      </c>
      <c r="H150" s="33" t="n">
        <f aca="false">J149</f>
        <v>5192307692.30769</v>
      </c>
      <c r="I150" s="33" t="n">
        <f aca="false">H150*N150</f>
        <v>65012019.2307692</v>
      </c>
      <c r="J150" s="33" t="n">
        <f aca="false">H150-E150</f>
        <v>4903846153.84616</v>
      </c>
      <c r="K150" s="33" t="n">
        <f aca="false">D150-I150</f>
        <v>0</v>
      </c>
      <c r="L150" s="33" t="n">
        <f aca="false">G150-J150</f>
        <v>0</v>
      </c>
      <c r="M150" s="33" t="n">
        <f aca="false">F150</f>
        <v>353473557.692308</v>
      </c>
      <c r="N150" s="64" t="n">
        <v>0.0125208333333333</v>
      </c>
      <c r="O150" s="48" t="n">
        <f aca="false">IF(AND(B150&gt;=DATE(2026,1,1),B150&lt;=Resumen!$C$5),1,0)</f>
        <v>0</v>
      </c>
      <c r="P150" s="48" t="n">
        <f aca="false">IF(AND(B150&gt;Resumen!$C$5,B150&lt;=DATE(2027,7,31)),1,0)</f>
        <v>0</v>
      </c>
    </row>
    <row r="151" customFormat="false" ht="15" hidden="false" customHeight="false" outlineLevel="0" collapsed="false">
      <c r="A151" s="38" t="n">
        <v>139</v>
      </c>
      <c r="B151" s="27" t="n">
        <v>49603</v>
      </c>
      <c r="C151" s="39" t="n">
        <v>4903846153.84616</v>
      </c>
      <c r="D151" s="39" t="n">
        <v>61400240.3846154</v>
      </c>
      <c r="E151" s="39" t="n">
        <v>0</v>
      </c>
      <c r="F151" s="39" t="n">
        <v>61400240.3846154</v>
      </c>
      <c r="G151" s="39" t="n">
        <v>4903846153.84616</v>
      </c>
      <c r="H151" s="33" t="n">
        <f aca="false">J150</f>
        <v>4903846153.84616</v>
      </c>
      <c r="I151" s="33" t="n">
        <f aca="false">H151*N151</f>
        <v>61400240.3846154</v>
      </c>
      <c r="J151" s="33" t="n">
        <f aca="false">H151-E151</f>
        <v>4903846153.84616</v>
      </c>
      <c r="K151" s="33" t="n">
        <f aca="false">D151-I151</f>
        <v>0</v>
      </c>
      <c r="L151" s="33" t="n">
        <f aca="false">G151-J151</f>
        <v>0</v>
      </c>
      <c r="M151" s="33" t="n">
        <f aca="false">F151</f>
        <v>61400240.3846154</v>
      </c>
      <c r="N151" s="64" t="n">
        <v>0.0125208333333333</v>
      </c>
      <c r="O151" s="48" t="n">
        <f aca="false">IF(AND(B151&gt;=DATE(2026,1,1),B151&lt;=Resumen!$C$5),1,0)</f>
        <v>0</v>
      </c>
      <c r="P151" s="48" t="n">
        <f aca="false">IF(AND(B151&gt;Resumen!$C$5,B151&lt;=DATE(2027,7,31)),1,0)</f>
        <v>0</v>
      </c>
    </row>
    <row r="152" customFormat="false" ht="15" hidden="false" customHeight="false" outlineLevel="0" collapsed="false">
      <c r="A152" s="38" t="n">
        <v>140</v>
      </c>
      <c r="B152" s="27" t="n">
        <v>49634</v>
      </c>
      <c r="C152" s="39" t="n">
        <v>4903846153.84616</v>
      </c>
      <c r="D152" s="39" t="n">
        <v>61400240.3846154</v>
      </c>
      <c r="E152" s="39" t="n">
        <v>0</v>
      </c>
      <c r="F152" s="39" t="n">
        <v>61400240.3846154</v>
      </c>
      <c r="G152" s="39" t="n">
        <v>4903846153.84616</v>
      </c>
      <c r="H152" s="33" t="n">
        <f aca="false">J151</f>
        <v>4903846153.84616</v>
      </c>
      <c r="I152" s="33" t="n">
        <f aca="false">H152*N152</f>
        <v>61400240.3846154</v>
      </c>
      <c r="J152" s="33" t="n">
        <f aca="false">H152-E152</f>
        <v>4903846153.84616</v>
      </c>
      <c r="K152" s="33" t="n">
        <f aca="false">D152-I152</f>
        <v>0</v>
      </c>
      <c r="L152" s="33" t="n">
        <f aca="false">G152-J152</f>
        <v>0</v>
      </c>
      <c r="M152" s="33" t="n">
        <f aca="false">F152</f>
        <v>61400240.3846154</v>
      </c>
      <c r="N152" s="64" t="n">
        <v>0.0125208333333333</v>
      </c>
      <c r="O152" s="48" t="n">
        <f aca="false">IF(AND(B152&gt;=DATE(2026,1,1),B152&lt;=Resumen!$C$5),1,0)</f>
        <v>0</v>
      </c>
      <c r="P152" s="48" t="n">
        <f aca="false">IF(AND(B152&gt;Resumen!$C$5,B152&lt;=DATE(2027,7,31)),1,0)</f>
        <v>0</v>
      </c>
    </row>
    <row r="153" customFormat="false" ht="15" hidden="false" customHeight="false" outlineLevel="0" collapsed="false">
      <c r="A153" s="38" t="n">
        <v>141</v>
      </c>
      <c r="B153" s="27" t="n">
        <v>49664</v>
      </c>
      <c r="C153" s="39" t="n">
        <v>4903846153.84616</v>
      </c>
      <c r="D153" s="39" t="n">
        <v>61400240.3846154</v>
      </c>
      <c r="E153" s="39" t="n">
        <v>0</v>
      </c>
      <c r="F153" s="39" t="n">
        <v>61400240.3846154</v>
      </c>
      <c r="G153" s="39" t="n">
        <v>4903846153.84616</v>
      </c>
      <c r="H153" s="33" t="n">
        <f aca="false">J152</f>
        <v>4903846153.84616</v>
      </c>
      <c r="I153" s="33" t="n">
        <f aca="false">H153*N153</f>
        <v>61400240.3846154</v>
      </c>
      <c r="J153" s="33" t="n">
        <f aca="false">H153-E153</f>
        <v>4903846153.84616</v>
      </c>
      <c r="K153" s="33" t="n">
        <f aca="false">D153-I153</f>
        <v>0</v>
      </c>
      <c r="L153" s="33" t="n">
        <f aca="false">G153-J153</f>
        <v>0</v>
      </c>
      <c r="M153" s="33" t="n">
        <f aca="false">F153</f>
        <v>61400240.3846154</v>
      </c>
      <c r="N153" s="64" t="n">
        <v>0.0125208333333333</v>
      </c>
      <c r="O153" s="48" t="n">
        <f aca="false">IF(AND(B153&gt;=DATE(2026,1,1),B153&lt;=Resumen!$C$5),1,0)</f>
        <v>0</v>
      </c>
      <c r="P153" s="48" t="n">
        <f aca="false">IF(AND(B153&gt;Resumen!$C$5,B153&lt;=DATE(2027,7,31)),1,0)</f>
        <v>0</v>
      </c>
    </row>
    <row r="154" customFormat="false" ht="15" hidden="false" customHeight="false" outlineLevel="0" collapsed="false">
      <c r="A154" s="38" t="n">
        <v>142</v>
      </c>
      <c r="B154" s="27" t="n">
        <v>49695</v>
      </c>
      <c r="C154" s="39" t="n">
        <v>4903846153.84616</v>
      </c>
      <c r="D154" s="39" t="n">
        <v>61400240.3846154</v>
      </c>
      <c r="E154" s="39" t="n">
        <v>0</v>
      </c>
      <c r="F154" s="39" t="n">
        <v>61400240.3846154</v>
      </c>
      <c r="G154" s="39" t="n">
        <v>4903846153.84616</v>
      </c>
      <c r="H154" s="33" t="n">
        <f aca="false">J153</f>
        <v>4903846153.84616</v>
      </c>
      <c r="I154" s="33" t="n">
        <f aca="false">H154*N154</f>
        <v>61400240.3846154</v>
      </c>
      <c r="J154" s="33" t="n">
        <f aca="false">H154-E154</f>
        <v>4903846153.84616</v>
      </c>
      <c r="K154" s="33" t="n">
        <f aca="false">D154-I154</f>
        <v>0</v>
      </c>
      <c r="L154" s="33" t="n">
        <f aca="false">G154-J154</f>
        <v>0</v>
      </c>
      <c r="M154" s="33" t="n">
        <f aca="false">F154</f>
        <v>61400240.3846154</v>
      </c>
      <c r="N154" s="64" t="n">
        <v>0.0125208333333333</v>
      </c>
      <c r="O154" s="48" t="n">
        <f aca="false">IF(AND(B154&gt;=DATE(2026,1,1),B154&lt;=Resumen!$C$5),1,0)</f>
        <v>0</v>
      </c>
      <c r="P154" s="48" t="n">
        <f aca="false">IF(AND(B154&gt;Resumen!$C$5,B154&lt;=DATE(2027,7,31)),1,0)</f>
        <v>0</v>
      </c>
    </row>
    <row r="155" customFormat="false" ht="15" hidden="false" customHeight="false" outlineLevel="0" collapsed="false">
      <c r="A155" s="38" t="n">
        <v>143</v>
      </c>
      <c r="B155" s="27" t="n">
        <v>49726</v>
      </c>
      <c r="C155" s="39" t="n">
        <v>4903846153.84616</v>
      </c>
      <c r="D155" s="39" t="n">
        <v>61400240.3846154</v>
      </c>
      <c r="E155" s="39" t="n">
        <v>0</v>
      </c>
      <c r="F155" s="39" t="n">
        <v>61400240.3846154</v>
      </c>
      <c r="G155" s="39" t="n">
        <v>4903846153.84616</v>
      </c>
      <c r="H155" s="33" t="n">
        <f aca="false">J154</f>
        <v>4903846153.84616</v>
      </c>
      <c r="I155" s="33" t="n">
        <f aca="false">H155*N155</f>
        <v>61400240.3846154</v>
      </c>
      <c r="J155" s="33" t="n">
        <f aca="false">H155-E155</f>
        <v>4903846153.84616</v>
      </c>
      <c r="K155" s="33" t="n">
        <f aca="false">D155-I155</f>
        <v>0</v>
      </c>
      <c r="L155" s="33" t="n">
        <f aca="false">G155-J155</f>
        <v>0</v>
      </c>
      <c r="M155" s="33" t="n">
        <f aca="false">F155</f>
        <v>61400240.3846154</v>
      </c>
      <c r="N155" s="64" t="n">
        <v>0.0125208333333333</v>
      </c>
      <c r="O155" s="48" t="n">
        <f aca="false">IF(AND(B155&gt;=DATE(2026,1,1),B155&lt;=Resumen!$C$5),1,0)</f>
        <v>0</v>
      </c>
      <c r="P155" s="48" t="n">
        <f aca="false">IF(AND(B155&gt;Resumen!$C$5,B155&lt;=DATE(2027,7,31)),1,0)</f>
        <v>0</v>
      </c>
    </row>
    <row r="156" customFormat="false" ht="15" hidden="false" customHeight="false" outlineLevel="0" collapsed="false">
      <c r="A156" s="38" t="n">
        <v>144</v>
      </c>
      <c r="B156" s="27" t="n">
        <v>49755</v>
      </c>
      <c r="C156" s="39" t="n">
        <v>4903846153.84616</v>
      </c>
      <c r="D156" s="39" t="n">
        <v>61400240.3846154</v>
      </c>
      <c r="E156" s="39" t="n">
        <v>288461538.461538</v>
      </c>
      <c r="F156" s="39" t="n">
        <v>349861778.846154</v>
      </c>
      <c r="G156" s="39" t="n">
        <v>4615384615.38462</v>
      </c>
      <c r="H156" s="33" t="n">
        <f aca="false">J155</f>
        <v>4903846153.84616</v>
      </c>
      <c r="I156" s="33" t="n">
        <f aca="false">H156*N156</f>
        <v>61400240.3846154</v>
      </c>
      <c r="J156" s="33" t="n">
        <f aca="false">H156-E156</f>
        <v>4615384615.38462</v>
      </c>
      <c r="K156" s="33" t="n">
        <f aca="false">D156-I156</f>
        <v>0</v>
      </c>
      <c r="L156" s="33" t="n">
        <f aca="false">G156-J156</f>
        <v>0</v>
      </c>
      <c r="M156" s="33" t="n">
        <f aca="false">F156</f>
        <v>349861778.846154</v>
      </c>
      <c r="N156" s="64" t="n">
        <v>0.0125208333333333</v>
      </c>
      <c r="O156" s="48" t="n">
        <f aca="false">IF(AND(B156&gt;=DATE(2026,1,1),B156&lt;=Resumen!$C$5),1,0)</f>
        <v>0</v>
      </c>
      <c r="P156" s="48" t="n">
        <f aca="false">IF(AND(B156&gt;Resumen!$C$5,B156&lt;=DATE(2027,7,31)),1,0)</f>
        <v>0</v>
      </c>
    </row>
    <row r="157" customFormat="false" ht="15" hidden="false" customHeight="false" outlineLevel="0" collapsed="false">
      <c r="A157" s="38" t="n">
        <v>145</v>
      </c>
      <c r="B157" s="27" t="n">
        <v>49786</v>
      </c>
      <c r="C157" s="39" t="n">
        <v>4615384615.38462</v>
      </c>
      <c r="D157" s="39" t="n">
        <v>57788461.5384616</v>
      </c>
      <c r="E157" s="39" t="n">
        <v>0</v>
      </c>
      <c r="F157" s="39" t="n">
        <v>57788461.5384616</v>
      </c>
      <c r="G157" s="39" t="n">
        <v>4615384615.38462</v>
      </c>
      <c r="H157" s="33" t="n">
        <f aca="false">J156</f>
        <v>4615384615.38462</v>
      </c>
      <c r="I157" s="33" t="n">
        <f aca="false">H157*N157</f>
        <v>57788461.5384615</v>
      </c>
      <c r="J157" s="33" t="n">
        <f aca="false">H157-E157</f>
        <v>4615384615.38462</v>
      </c>
      <c r="K157" s="33" t="n">
        <f aca="false">D157-I157</f>
        <v>0</v>
      </c>
      <c r="L157" s="33" t="n">
        <f aca="false">G157-J157</f>
        <v>0</v>
      </c>
      <c r="M157" s="33" t="n">
        <f aca="false">F157</f>
        <v>57788461.5384616</v>
      </c>
      <c r="N157" s="64" t="n">
        <v>0.0125208333333333</v>
      </c>
      <c r="O157" s="48" t="n">
        <f aca="false">IF(AND(B157&gt;=DATE(2026,1,1),B157&lt;=Resumen!$C$5),1,0)</f>
        <v>0</v>
      </c>
      <c r="P157" s="48" t="n">
        <f aca="false">IF(AND(B157&gt;Resumen!$C$5,B157&lt;=DATE(2027,7,31)),1,0)</f>
        <v>0</v>
      </c>
    </row>
    <row r="158" customFormat="false" ht="15" hidden="false" customHeight="false" outlineLevel="0" collapsed="false">
      <c r="A158" s="38" t="n">
        <v>146</v>
      </c>
      <c r="B158" s="27" t="n">
        <v>49816</v>
      </c>
      <c r="C158" s="39" t="n">
        <v>4615384615.38462</v>
      </c>
      <c r="D158" s="39" t="n">
        <v>57788461.5384616</v>
      </c>
      <c r="E158" s="39" t="n">
        <v>0</v>
      </c>
      <c r="F158" s="39" t="n">
        <v>57788461.5384616</v>
      </c>
      <c r="G158" s="39" t="n">
        <v>4615384615.38462</v>
      </c>
      <c r="H158" s="33" t="n">
        <f aca="false">J157</f>
        <v>4615384615.38462</v>
      </c>
      <c r="I158" s="33" t="n">
        <f aca="false">H158*N158</f>
        <v>57788461.5384615</v>
      </c>
      <c r="J158" s="33" t="n">
        <f aca="false">H158-E158</f>
        <v>4615384615.38462</v>
      </c>
      <c r="K158" s="33" t="n">
        <f aca="false">D158-I158</f>
        <v>0</v>
      </c>
      <c r="L158" s="33" t="n">
        <f aca="false">G158-J158</f>
        <v>0</v>
      </c>
      <c r="M158" s="33" t="n">
        <f aca="false">F158</f>
        <v>57788461.5384616</v>
      </c>
      <c r="N158" s="64" t="n">
        <v>0.0125208333333333</v>
      </c>
      <c r="O158" s="48" t="n">
        <f aca="false">IF(AND(B158&gt;=DATE(2026,1,1),B158&lt;=Resumen!$C$5),1,0)</f>
        <v>0</v>
      </c>
      <c r="P158" s="48" t="n">
        <f aca="false">IF(AND(B158&gt;Resumen!$C$5,B158&lt;=DATE(2027,7,31)),1,0)</f>
        <v>0</v>
      </c>
    </row>
    <row r="159" customFormat="false" ht="15" hidden="false" customHeight="false" outlineLevel="0" collapsed="false">
      <c r="A159" s="38" t="n">
        <v>147</v>
      </c>
      <c r="B159" s="27" t="n">
        <v>49847</v>
      </c>
      <c r="C159" s="39" t="n">
        <v>4615384615.38462</v>
      </c>
      <c r="D159" s="39" t="n">
        <v>57788461.5384616</v>
      </c>
      <c r="E159" s="39" t="n">
        <v>0</v>
      </c>
      <c r="F159" s="39" t="n">
        <v>57788461.5384616</v>
      </c>
      <c r="G159" s="39" t="n">
        <v>4615384615.38462</v>
      </c>
      <c r="H159" s="33" t="n">
        <f aca="false">J158</f>
        <v>4615384615.38462</v>
      </c>
      <c r="I159" s="33" t="n">
        <f aca="false">H159*N159</f>
        <v>57788461.5384615</v>
      </c>
      <c r="J159" s="33" t="n">
        <f aca="false">H159-E159</f>
        <v>4615384615.38462</v>
      </c>
      <c r="K159" s="33" t="n">
        <f aca="false">D159-I159</f>
        <v>0</v>
      </c>
      <c r="L159" s="33" t="n">
        <f aca="false">G159-J159</f>
        <v>0</v>
      </c>
      <c r="M159" s="33" t="n">
        <f aca="false">F159</f>
        <v>57788461.5384616</v>
      </c>
      <c r="N159" s="64" t="n">
        <v>0.0125208333333333</v>
      </c>
      <c r="O159" s="48" t="n">
        <f aca="false">IF(AND(B159&gt;=DATE(2026,1,1),B159&lt;=Resumen!$C$5),1,0)</f>
        <v>0</v>
      </c>
      <c r="P159" s="48" t="n">
        <f aca="false">IF(AND(B159&gt;Resumen!$C$5,B159&lt;=DATE(2027,7,31)),1,0)</f>
        <v>0</v>
      </c>
    </row>
    <row r="160" customFormat="false" ht="15" hidden="false" customHeight="false" outlineLevel="0" collapsed="false">
      <c r="A160" s="38" t="n">
        <v>148</v>
      </c>
      <c r="B160" s="27" t="n">
        <v>49877</v>
      </c>
      <c r="C160" s="39" t="n">
        <v>4615384615.38462</v>
      </c>
      <c r="D160" s="39" t="n">
        <v>57788461.5384616</v>
      </c>
      <c r="E160" s="39" t="n">
        <v>0</v>
      </c>
      <c r="F160" s="39" t="n">
        <v>57788461.5384616</v>
      </c>
      <c r="G160" s="39" t="n">
        <v>4615384615.38462</v>
      </c>
      <c r="H160" s="33" t="n">
        <f aca="false">J159</f>
        <v>4615384615.38462</v>
      </c>
      <c r="I160" s="33" t="n">
        <f aca="false">H160*N160</f>
        <v>57788461.5384615</v>
      </c>
      <c r="J160" s="33" t="n">
        <f aca="false">H160-E160</f>
        <v>4615384615.38462</v>
      </c>
      <c r="K160" s="33" t="n">
        <f aca="false">D160-I160</f>
        <v>0</v>
      </c>
      <c r="L160" s="33" t="n">
        <f aca="false">G160-J160</f>
        <v>0</v>
      </c>
      <c r="M160" s="33" t="n">
        <f aca="false">F160</f>
        <v>57788461.5384616</v>
      </c>
      <c r="N160" s="64" t="n">
        <v>0.0125208333333333</v>
      </c>
      <c r="O160" s="48" t="n">
        <f aca="false">IF(AND(B160&gt;=DATE(2026,1,1),B160&lt;=Resumen!$C$5),1,0)</f>
        <v>0</v>
      </c>
      <c r="P160" s="48" t="n">
        <f aca="false">IF(AND(B160&gt;Resumen!$C$5,B160&lt;=DATE(2027,7,31)),1,0)</f>
        <v>0</v>
      </c>
    </row>
    <row r="161" customFormat="false" ht="15" hidden="false" customHeight="false" outlineLevel="0" collapsed="false">
      <c r="A161" s="38" t="n">
        <v>149</v>
      </c>
      <c r="B161" s="27" t="n">
        <v>49908</v>
      </c>
      <c r="C161" s="39" t="n">
        <v>4615384615.38462</v>
      </c>
      <c r="D161" s="39" t="n">
        <v>57788461.5384616</v>
      </c>
      <c r="E161" s="39" t="n">
        <v>0</v>
      </c>
      <c r="F161" s="39" t="n">
        <v>57788461.5384616</v>
      </c>
      <c r="G161" s="39" t="n">
        <v>4615384615.38462</v>
      </c>
      <c r="H161" s="33" t="n">
        <f aca="false">J160</f>
        <v>4615384615.38462</v>
      </c>
      <c r="I161" s="33" t="n">
        <f aca="false">H161*N161</f>
        <v>57788461.5384615</v>
      </c>
      <c r="J161" s="33" t="n">
        <f aca="false">H161-E161</f>
        <v>4615384615.38462</v>
      </c>
      <c r="K161" s="33" t="n">
        <f aca="false">D161-I161</f>
        <v>0</v>
      </c>
      <c r="L161" s="33" t="n">
        <f aca="false">G161-J161</f>
        <v>0</v>
      </c>
      <c r="M161" s="33" t="n">
        <f aca="false">F161</f>
        <v>57788461.5384616</v>
      </c>
      <c r="N161" s="64" t="n">
        <v>0.0125208333333333</v>
      </c>
      <c r="O161" s="48" t="n">
        <f aca="false">IF(AND(B161&gt;=DATE(2026,1,1),B161&lt;=Resumen!$C$5),1,0)</f>
        <v>0</v>
      </c>
      <c r="P161" s="48" t="n">
        <f aca="false">IF(AND(B161&gt;Resumen!$C$5,B161&lt;=DATE(2027,7,31)),1,0)</f>
        <v>0</v>
      </c>
    </row>
    <row r="162" customFormat="false" ht="15" hidden="false" customHeight="false" outlineLevel="0" collapsed="false">
      <c r="A162" s="38" t="n">
        <v>150</v>
      </c>
      <c r="B162" s="27" t="n">
        <v>49939</v>
      </c>
      <c r="C162" s="39" t="n">
        <v>4615384615.38462</v>
      </c>
      <c r="D162" s="39" t="n">
        <v>57788461.5384616</v>
      </c>
      <c r="E162" s="39" t="n">
        <v>288461538.461538</v>
      </c>
      <c r="F162" s="39" t="n">
        <v>346250000</v>
      </c>
      <c r="G162" s="39" t="n">
        <v>4326923076.92308</v>
      </c>
      <c r="H162" s="33" t="n">
        <f aca="false">J161</f>
        <v>4615384615.38462</v>
      </c>
      <c r="I162" s="33" t="n">
        <f aca="false">H162*N162</f>
        <v>57788461.5384615</v>
      </c>
      <c r="J162" s="33" t="n">
        <f aca="false">H162-E162</f>
        <v>4326923076.92308</v>
      </c>
      <c r="K162" s="33" t="n">
        <f aca="false">D162-I162</f>
        <v>0</v>
      </c>
      <c r="L162" s="33" t="n">
        <f aca="false">G162-J162</f>
        <v>0</v>
      </c>
      <c r="M162" s="33" t="n">
        <f aca="false">F162</f>
        <v>346250000</v>
      </c>
      <c r="N162" s="64" t="n">
        <v>0.0125208333333333</v>
      </c>
      <c r="O162" s="48" t="n">
        <f aca="false">IF(AND(B162&gt;=DATE(2026,1,1),B162&lt;=Resumen!$C$5),1,0)</f>
        <v>0</v>
      </c>
      <c r="P162" s="48" t="n">
        <f aca="false">IF(AND(B162&gt;Resumen!$C$5,B162&lt;=DATE(2027,7,31)),1,0)</f>
        <v>0</v>
      </c>
    </row>
    <row r="163" customFormat="false" ht="15" hidden="false" customHeight="false" outlineLevel="0" collapsed="false">
      <c r="A163" s="38" t="n">
        <v>151</v>
      </c>
      <c r="B163" s="27" t="n">
        <v>49969</v>
      </c>
      <c r="C163" s="39" t="n">
        <v>4326923076.92308</v>
      </c>
      <c r="D163" s="39" t="n">
        <v>54176682.6923077</v>
      </c>
      <c r="E163" s="39" t="n">
        <v>0</v>
      </c>
      <c r="F163" s="39" t="n">
        <v>54176682.6923077</v>
      </c>
      <c r="G163" s="39" t="n">
        <v>4326923076.92308</v>
      </c>
      <c r="H163" s="33" t="n">
        <f aca="false">J162</f>
        <v>4326923076.92308</v>
      </c>
      <c r="I163" s="33" t="n">
        <f aca="false">H163*N163</f>
        <v>54176682.6923077</v>
      </c>
      <c r="J163" s="33" t="n">
        <f aca="false">H163-E163</f>
        <v>4326923076.92308</v>
      </c>
      <c r="K163" s="33" t="n">
        <f aca="false">D163-I163</f>
        <v>0</v>
      </c>
      <c r="L163" s="33" t="n">
        <f aca="false">G163-J163</f>
        <v>0</v>
      </c>
      <c r="M163" s="33" t="n">
        <f aca="false">F163</f>
        <v>54176682.6923077</v>
      </c>
      <c r="N163" s="64" t="n">
        <v>0.0125208333333333</v>
      </c>
      <c r="O163" s="48" t="n">
        <f aca="false">IF(AND(B163&gt;=DATE(2026,1,1),B163&lt;=Resumen!$C$5),1,0)</f>
        <v>0</v>
      </c>
      <c r="P163" s="48" t="n">
        <f aca="false">IF(AND(B163&gt;Resumen!$C$5,B163&lt;=DATE(2027,7,31)),1,0)</f>
        <v>0</v>
      </c>
    </row>
    <row r="164" customFormat="false" ht="15" hidden="false" customHeight="false" outlineLevel="0" collapsed="false">
      <c r="A164" s="38" t="n">
        <v>152</v>
      </c>
      <c r="B164" s="27" t="n">
        <v>50000</v>
      </c>
      <c r="C164" s="39" t="n">
        <v>4326923076.92308</v>
      </c>
      <c r="D164" s="39" t="n">
        <v>54176682.6923077</v>
      </c>
      <c r="E164" s="39" t="n">
        <v>0</v>
      </c>
      <c r="F164" s="39" t="n">
        <v>54176682.6923077</v>
      </c>
      <c r="G164" s="39" t="n">
        <v>4326923076.92308</v>
      </c>
      <c r="H164" s="33" t="n">
        <f aca="false">J163</f>
        <v>4326923076.92308</v>
      </c>
      <c r="I164" s="33" t="n">
        <f aca="false">H164*N164</f>
        <v>54176682.6923077</v>
      </c>
      <c r="J164" s="33" t="n">
        <f aca="false">H164-E164</f>
        <v>4326923076.92308</v>
      </c>
      <c r="K164" s="33" t="n">
        <f aca="false">D164-I164</f>
        <v>0</v>
      </c>
      <c r="L164" s="33" t="n">
        <f aca="false">G164-J164</f>
        <v>0</v>
      </c>
      <c r="M164" s="33" t="n">
        <f aca="false">F164</f>
        <v>54176682.6923077</v>
      </c>
      <c r="N164" s="64" t="n">
        <v>0.0125208333333333</v>
      </c>
      <c r="O164" s="48" t="n">
        <f aca="false">IF(AND(B164&gt;=DATE(2026,1,1),B164&lt;=Resumen!$C$5),1,0)</f>
        <v>0</v>
      </c>
      <c r="P164" s="48" t="n">
        <f aca="false">IF(AND(B164&gt;Resumen!$C$5,B164&lt;=DATE(2027,7,31)),1,0)</f>
        <v>0</v>
      </c>
    </row>
    <row r="165" customFormat="false" ht="15" hidden="false" customHeight="false" outlineLevel="0" collapsed="false">
      <c r="A165" s="38" t="n">
        <v>153</v>
      </c>
      <c r="B165" s="27" t="n">
        <v>50030</v>
      </c>
      <c r="C165" s="39" t="n">
        <v>4326923076.92308</v>
      </c>
      <c r="D165" s="39" t="n">
        <v>54176682.6923077</v>
      </c>
      <c r="E165" s="39" t="n">
        <v>0</v>
      </c>
      <c r="F165" s="39" t="n">
        <v>54176682.6923077</v>
      </c>
      <c r="G165" s="39" t="n">
        <v>4326923076.92308</v>
      </c>
      <c r="H165" s="33" t="n">
        <f aca="false">J164</f>
        <v>4326923076.92308</v>
      </c>
      <c r="I165" s="33" t="n">
        <f aca="false">H165*N165</f>
        <v>54176682.6923077</v>
      </c>
      <c r="J165" s="33" t="n">
        <f aca="false">H165-E165</f>
        <v>4326923076.92308</v>
      </c>
      <c r="K165" s="33" t="n">
        <f aca="false">D165-I165</f>
        <v>0</v>
      </c>
      <c r="L165" s="33" t="n">
        <f aca="false">G165-J165</f>
        <v>0</v>
      </c>
      <c r="M165" s="33" t="n">
        <f aca="false">F165</f>
        <v>54176682.6923077</v>
      </c>
      <c r="N165" s="64" t="n">
        <v>0.0125208333333333</v>
      </c>
      <c r="O165" s="48" t="n">
        <f aca="false">IF(AND(B165&gt;=DATE(2026,1,1),B165&lt;=Resumen!$C$5),1,0)</f>
        <v>0</v>
      </c>
      <c r="P165" s="48" t="n">
        <f aca="false">IF(AND(B165&gt;Resumen!$C$5,B165&lt;=DATE(2027,7,31)),1,0)</f>
        <v>0</v>
      </c>
    </row>
    <row r="166" customFormat="false" ht="15" hidden="false" customHeight="false" outlineLevel="0" collapsed="false">
      <c r="A166" s="38" t="n">
        <v>154</v>
      </c>
      <c r="B166" s="27" t="n">
        <v>50061</v>
      </c>
      <c r="C166" s="39" t="n">
        <v>4326923076.92308</v>
      </c>
      <c r="D166" s="39" t="n">
        <v>54176682.6923077</v>
      </c>
      <c r="E166" s="39" t="n">
        <v>0</v>
      </c>
      <c r="F166" s="39" t="n">
        <v>54176682.6923077</v>
      </c>
      <c r="G166" s="39" t="n">
        <v>4326923076.92308</v>
      </c>
      <c r="H166" s="33" t="n">
        <f aca="false">J165</f>
        <v>4326923076.92308</v>
      </c>
      <c r="I166" s="33" t="n">
        <f aca="false">H166*N166</f>
        <v>54176682.6923077</v>
      </c>
      <c r="J166" s="33" t="n">
        <f aca="false">H166-E166</f>
        <v>4326923076.92308</v>
      </c>
      <c r="K166" s="33" t="n">
        <f aca="false">D166-I166</f>
        <v>0</v>
      </c>
      <c r="L166" s="33" t="n">
        <f aca="false">G166-J166</f>
        <v>0</v>
      </c>
      <c r="M166" s="33" t="n">
        <f aca="false">F166</f>
        <v>54176682.6923077</v>
      </c>
      <c r="N166" s="64" t="n">
        <v>0.0125208333333333</v>
      </c>
      <c r="O166" s="48" t="n">
        <f aca="false">IF(AND(B166&gt;=DATE(2026,1,1),B166&lt;=Resumen!$C$5),1,0)</f>
        <v>0</v>
      </c>
      <c r="P166" s="48" t="n">
        <f aca="false">IF(AND(B166&gt;Resumen!$C$5,B166&lt;=DATE(2027,7,31)),1,0)</f>
        <v>0</v>
      </c>
    </row>
    <row r="167" customFormat="false" ht="15" hidden="false" customHeight="false" outlineLevel="0" collapsed="false">
      <c r="A167" s="38" t="n">
        <v>155</v>
      </c>
      <c r="B167" s="27" t="n">
        <v>50092</v>
      </c>
      <c r="C167" s="39" t="n">
        <v>4326923076.92308</v>
      </c>
      <c r="D167" s="39" t="n">
        <v>54176682.6923077</v>
      </c>
      <c r="E167" s="39" t="n">
        <v>0</v>
      </c>
      <c r="F167" s="39" t="n">
        <v>54176682.6923077</v>
      </c>
      <c r="G167" s="39" t="n">
        <v>4326923076.92308</v>
      </c>
      <c r="H167" s="33" t="n">
        <f aca="false">J166</f>
        <v>4326923076.92308</v>
      </c>
      <c r="I167" s="33" t="n">
        <f aca="false">H167*N167</f>
        <v>54176682.6923077</v>
      </c>
      <c r="J167" s="33" t="n">
        <f aca="false">H167-E167</f>
        <v>4326923076.92308</v>
      </c>
      <c r="K167" s="33" t="n">
        <f aca="false">D167-I167</f>
        <v>0</v>
      </c>
      <c r="L167" s="33" t="n">
        <f aca="false">G167-J167</f>
        <v>0</v>
      </c>
      <c r="M167" s="33" t="n">
        <f aca="false">F167</f>
        <v>54176682.6923077</v>
      </c>
      <c r="N167" s="64" t="n">
        <v>0.0125208333333333</v>
      </c>
      <c r="O167" s="48" t="n">
        <f aca="false">IF(AND(B167&gt;=DATE(2026,1,1),B167&lt;=Resumen!$C$5),1,0)</f>
        <v>0</v>
      </c>
      <c r="P167" s="48" t="n">
        <f aca="false">IF(AND(B167&gt;Resumen!$C$5,B167&lt;=DATE(2027,7,31)),1,0)</f>
        <v>0</v>
      </c>
    </row>
    <row r="168" customFormat="false" ht="15" hidden="false" customHeight="false" outlineLevel="0" collapsed="false">
      <c r="A168" s="38" t="n">
        <v>156</v>
      </c>
      <c r="B168" s="27" t="n">
        <v>50120</v>
      </c>
      <c r="C168" s="39" t="n">
        <v>4326923076.92308</v>
      </c>
      <c r="D168" s="39" t="n">
        <v>54176682.6923077</v>
      </c>
      <c r="E168" s="39" t="n">
        <v>288461538.461538</v>
      </c>
      <c r="F168" s="39" t="n">
        <v>342638221.153846</v>
      </c>
      <c r="G168" s="39" t="n">
        <v>4038461538.46154</v>
      </c>
      <c r="H168" s="33" t="n">
        <f aca="false">J167</f>
        <v>4326923076.92308</v>
      </c>
      <c r="I168" s="33" t="n">
        <f aca="false">H168*N168</f>
        <v>54176682.6923077</v>
      </c>
      <c r="J168" s="33" t="n">
        <f aca="false">H168-E168</f>
        <v>4038461538.46154</v>
      </c>
      <c r="K168" s="33" t="n">
        <f aca="false">D168-I168</f>
        <v>0</v>
      </c>
      <c r="L168" s="33" t="n">
        <f aca="false">G168-J168</f>
        <v>0</v>
      </c>
      <c r="M168" s="33" t="n">
        <f aca="false">F168</f>
        <v>342638221.153846</v>
      </c>
      <c r="N168" s="64" t="n">
        <v>0.0125208333333333</v>
      </c>
      <c r="O168" s="48" t="n">
        <f aca="false">IF(AND(B168&gt;=DATE(2026,1,1),B168&lt;=Resumen!$C$5),1,0)</f>
        <v>0</v>
      </c>
      <c r="P168" s="48" t="n">
        <f aca="false">IF(AND(B168&gt;Resumen!$C$5,B168&lt;=DATE(2027,7,31)),1,0)</f>
        <v>0</v>
      </c>
    </row>
    <row r="169" customFormat="false" ht="15" hidden="false" customHeight="false" outlineLevel="0" collapsed="false">
      <c r="A169" s="38" t="n">
        <v>157</v>
      </c>
      <c r="B169" s="27" t="n">
        <v>50151</v>
      </c>
      <c r="C169" s="39" t="n">
        <v>4038461538.46154</v>
      </c>
      <c r="D169" s="39" t="n">
        <v>50564903.8461539</v>
      </c>
      <c r="E169" s="39" t="n">
        <v>0</v>
      </c>
      <c r="F169" s="39" t="n">
        <v>50564903.8461539</v>
      </c>
      <c r="G169" s="39" t="n">
        <v>4038461538.46154</v>
      </c>
      <c r="H169" s="33" t="n">
        <f aca="false">J168</f>
        <v>4038461538.46154</v>
      </c>
      <c r="I169" s="33" t="n">
        <f aca="false">H169*N169</f>
        <v>50564903.8461539</v>
      </c>
      <c r="J169" s="33" t="n">
        <f aca="false">H169-E169</f>
        <v>4038461538.46154</v>
      </c>
      <c r="K169" s="33" t="n">
        <f aca="false">D169-I169</f>
        <v>0</v>
      </c>
      <c r="L169" s="33" t="n">
        <f aca="false">G169-J169</f>
        <v>0</v>
      </c>
      <c r="M169" s="33" t="n">
        <f aca="false">F169</f>
        <v>50564903.8461539</v>
      </c>
      <c r="N169" s="64" t="n">
        <v>0.0125208333333333</v>
      </c>
      <c r="O169" s="48" t="n">
        <f aca="false">IF(AND(B169&gt;=DATE(2026,1,1),B169&lt;=Resumen!$C$5),1,0)</f>
        <v>0</v>
      </c>
      <c r="P169" s="48" t="n">
        <f aca="false">IF(AND(B169&gt;Resumen!$C$5,B169&lt;=DATE(2027,7,31)),1,0)</f>
        <v>0</v>
      </c>
    </row>
    <row r="170" customFormat="false" ht="15" hidden="false" customHeight="false" outlineLevel="0" collapsed="false">
      <c r="A170" s="38" t="n">
        <v>158</v>
      </c>
      <c r="B170" s="27" t="n">
        <v>50181</v>
      </c>
      <c r="C170" s="39" t="n">
        <v>4038461538.46154</v>
      </c>
      <c r="D170" s="39" t="n">
        <v>50564903.8461539</v>
      </c>
      <c r="E170" s="39" t="n">
        <v>0</v>
      </c>
      <c r="F170" s="39" t="n">
        <v>50564903.8461539</v>
      </c>
      <c r="G170" s="39" t="n">
        <v>4038461538.46154</v>
      </c>
      <c r="H170" s="33" t="n">
        <f aca="false">J169</f>
        <v>4038461538.46154</v>
      </c>
      <c r="I170" s="33" t="n">
        <f aca="false">H170*N170</f>
        <v>50564903.8461539</v>
      </c>
      <c r="J170" s="33" t="n">
        <f aca="false">H170-E170</f>
        <v>4038461538.46154</v>
      </c>
      <c r="K170" s="33" t="n">
        <f aca="false">D170-I170</f>
        <v>0</v>
      </c>
      <c r="L170" s="33" t="n">
        <f aca="false">G170-J170</f>
        <v>0</v>
      </c>
      <c r="M170" s="33" t="n">
        <f aca="false">F170</f>
        <v>50564903.8461539</v>
      </c>
      <c r="N170" s="64" t="n">
        <v>0.0125208333333333</v>
      </c>
      <c r="O170" s="48" t="n">
        <f aca="false">IF(AND(B170&gt;=DATE(2026,1,1),B170&lt;=Resumen!$C$5),1,0)</f>
        <v>0</v>
      </c>
      <c r="P170" s="48" t="n">
        <f aca="false">IF(AND(B170&gt;Resumen!$C$5,B170&lt;=DATE(2027,7,31)),1,0)</f>
        <v>0</v>
      </c>
    </row>
    <row r="171" customFormat="false" ht="15" hidden="false" customHeight="false" outlineLevel="0" collapsed="false">
      <c r="A171" s="38" t="n">
        <v>159</v>
      </c>
      <c r="B171" s="27" t="n">
        <v>50212</v>
      </c>
      <c r="C171" s="39" t="n">
        <v>4038461538.46154</v>
      </c>
      <c r="D171" s="39" t="n">
        <v>50564903.8461539</v>
      </c>
      <c r="E171" s="39" t="n">
        <v>0</v>
      </c>
      <c r="F171" s="39" t="n">
        <v>50564903.8461539</v>
      </c>
      <c r="G171" s="39" t="n">
        <v>4038461538.46154</v>
      </c>
      <c r="H171" s="33" t="n">
        <f aca="false">J170</f>
        <v>4038461538.46154</v>
      </c>
      <c r="I171" s="33" t="n">
        <f aca="false">H171*N171</f>
        <v>50564903.8461539</v>
      </c>
      <c r="J171" s="33" t="n">
        <f aca="false">H171-E171</f>
        <v>4038461538.46154</v>
      </c>
      <c r="K171" s="33" t="n">
        <f aca="false">D171-I171</f>
        <v>0</v>
      </c>
      <c r="L171" s="33" t="n">
        <f aca="false">G171-J171</f>
        <v>0</v>
      </c>
      <c r="M171" s="33" t="n">
        <f aca="false">F171</f>
        <v>50564903.8461539</v>
      </c>
      <c r="N171" s="64" t="n">
        <v>0.0125208333333333</v>
      </c>
      <c r="O171" s="48" t="n">
        <f aca="false">IF(AND(B171&gt;=DATE(2026,1,1),B171&lt;=Resumen!$C$5),1,0)</f>
        <v>0</v>
      </c>
      <c r="P171" s="48" t="n">
        <f aca="false">IF(AND(B171&gt;Resumen!$C$5,B171&lt;=DATE(2027,7,31)),1,0)</f>
        <v>0</v>
      </c>
    </row>
    <row r="172" customFormat="false" ht="15" hidden="false" customHeight="false" outlineLevel="0" collapsed="false">
      <c r="A172" s="38" t="n">
        <v>160</v>
      </c>
      <c r="B172" s="27" t="n">
        <v>50242</v>
      </c>
      <c r="C172" s="39" t="n">
        <v>4038461538.46154</v>
      </c>
      <c r="D172" s="39" t="n">
        <v>50564903.8461539</v>
      </c>
      <c r="E172" s="39" t="n">
        <v>0</v>
      </c>
      <c r="F172" s="39" t="n">
        <v>50564903.8461539</v>
      </c>
      <c r="G172" s="39" t="n">
        <v>4038461538.46154</v>
      </c>
      <c r="H172" s="33" t="n">
        <f aca="false">J171</f>
        <v>4038461538.46154</v>
      </c>
      <c r="I172" s="33" t="n">
        <f aca="false">H172*N172</f>
        <v>50564903.8461539</v>
      </c>
      <c r="J172" s="33" t="n">
        <f aca="false">H172-E172</f>
        <v>4038461538.46154</v>
      </c>
      <c r="K172" s="33" t="n">
        <f aca="false">D172-I172</f>
        <v>0</v>
      </c>
      <c r="L172" s="33" t="n">
        <f aca="false">G172-J172</f>
        <v>0</v>
      </c>
      <c r="M172" s="33" t="n">
        <f aca="false">F172</f>
        <v>50564903.8461539</v>
      </c>
      <c r="N172" s="64" t="n">
        <v>0.0125208333333333</v>
      </c>
      <c r="O172" s="48" t="n">
        <f aca="false">IF(AND(B172&gt;=DATE(2026,1,1),B172&lt;=Resumen!$C$5),1,0)</f>
        <v>0</v>
      </c>
      <c r="P172" s="48" t="n">
        <f aca="false">IF(AND(B172&gt;Resumen!$C$5,B172&lt;=DATE(2027,7,31)),1,0)</f>
        <v>0</v>
      </c>
    </row>
    <row r="173" customFormat="false" ht="15" hidden="false" customHeight="false" outlineLevel="0" collapsed="false">
      <c r="A173" s="38" t="n">
        <v>161</v>
      </c>
      <c r="B173" s="27" t="n">
        <v>50273</v>
      </c>
      <c r="C173" s="39" t="n">
        <v>4038461538.46154</v>
      </c>
      <c r="D173" s="39" t="n">
        <v>50564903.8461539</v>
      </c>
      <c r="E173" s="39" t="n">
        <v>0</v>
      </c>
      <c r="F173" s="39" t="n">
        <v>50564903.8461539</v>
      </c>
      <c r="G173" s="39" t="n">
        <v>4038461538.46154</v>
      </c>
      <c r="H173" s="33" t="n">
        <f aca="false">J172</f>
        <v>4038461538.46154</v>
      </c>
      <c r="I173" s="33" t="n">
        <f aca="false">H173*N173</f>
        <v>50564903.8461539</v>
      </c>
      <c r="J173" s="33" t="n">
        <f aca="false">H173-E173</f>
        <v>4038461538.46154</v>
      </c>
      <c r="K173" s="33" t="n">
        <f aca="false">D173-I173</f>
        <v>0</v>
      </c>
      <c r="L173" s="33" t="n">
        <f aca="false">G173-J173</f>
        <v>0</v>
      </c>
      <c r="M173" s="33" t="n">
        <f aca="false">F173</f>
        <v>50564903.8461539</v>
      </c>
      <c r="N173" s="64" t="n">
        <v>0.0125208333333333</v>
      </c>
      <c r="O173" s="48" t="n">
        <f aca="false">IF(AND(B173&gt;=DATE(2026,1,1),B173&lt;=Resumen!$C$5),1,0)</f>
        <v>0</v>
      </c>
      <c r="P173" s="48" t="n">
        <f aca="false">IF(AND(B173&gt;Resumen!$C$5,B173&lt;=DATE(2027,7,31)),1,0)</f>
        <v>0</v>
      </c>
    </row>
    <row r="174" customFormat="false" ht="15" hidden="false" customHeight="false" outlineLevel="0" collapsed="false">
      <c r="A174" s="38" t="n">
        <v>162</v>
      </c>
      <c r="B174" s="27" t="n">
        <v>50304</v>
      </c>
      <c r="C174" s="39" t="n">
        <v>4038461538.46154</v>
      </c>
      <c r="D174" s="39" t="n">
        <v>50564903.8461539</v>
      </c>
      <c r="E174" s="39" t="n">
        <v>288461538.461538</v>
      </c>
      <c r="F174" s="39" t="n">
        <v>339026442.307692</v>
      </c>
      <c r="G174" s="39" t="n">
        <v>3750000000</v>
      </c>
      <c r="H174" s="33" t="n">
        <f aca="false">J173</f>
        <v>4038461538.46154</v>
      </c>
      <c r="I174" s="33" t="n">
        <f aca="false">H174*N174</f>
        <v>50564903.8461539</v>
      </c>
      <c r="J174" s="33" t="n">
        <f aca="false">H174-E174</f>
        <v>3750000000</v>
      </c>
      <c r="K174" s="33" t="n">
        <f aca="false">D174-I174</f>
        <v>0</v>
      </c>
      <c r="L174" s="33" t="n">
        <f aca="false">G174-J174</f>
        <v>0</v>
      </c>
      <c r="M174" s="33" t="n">
        <f aca="false">F174</f>
        <v>339026442.307692</v>
      </c>
      <c r="N174" s="64" t="n">
        <v>0.0125208333333333</v>
      </c>
      <c r="O174" s="48" t="n">
        <f aca="false">IF(AND(B174&gt;=DATE(2026,1,1),B174&lt;=Resumen!$C$5),1,0)</f>
        <v>0</v>
      </c>
      <c r="P174" s="48" t="n">
        <f aca="false">IF(AND(B174&gt;Resumen!$C$5,B174&lt;=DATE(2027,7,31)),1,0)</f>
        <v>0</v>
      </c>
    </row>
    <row r="175" customFormat="false" ht="15" hidden="false" customHeight="false" outlineLevel="0" collapsed="false">
      <c r="A175" s="38" t="n">
        <v>163</v>
      </c>
      <c r="B175" s="27" t="n">
        <v>50334</v>
      </c>
      <c r="C175" s="39" t="n">
        <v>3750000000</v>
      </c>
      <c r="D175" s="39" t="n">
        <v>46953125</v>
      </c>
      <c r="E175" s="39" t="n">
        <v>0</v>
      </c>
      <c r="F175" s="39" t="n">
        <v>46953125</v>
      </c>
      <c r="G175" s="39" t="n">
        <v>3750000000</v>
      </c>
      <c r="H175" s="33" t="n">
        <f aca="false">J174</f>
        <v>3750000000</v>
      </c>
      <c r="I175" s="33" t="n">
        <f aca="false">H175*N175</f>
        <v>46953125</v>
      </c>
      <c r="J175" s="33" t="n">
        <f aca="false">H175-E175</f>
        <v>3750000000</v>
      </c>
      <c r="K175" s="33" t="n">
        <f aca="false">D175-I175</f>
        <v>0</v>
      </c>
      <c r="L175" s="33" t="n">
        <f aca="false">G175-J175</f>
        <v>0</v>
      </c>
      <c r="M175" s="33" t="n">
        <f aca="false">F175</f>
        <v>46953125</v>
      </c>
      <c r="N175" s="64" t="n">
        <v>0.0125208333333333</v>
      </c>
      <c r="O175" s="48" t="n">
        <f aca="false">IF(AND(B175&gt;=DATE(2026,1,1),B175&lt;=Resumen!$C$5),1,0)</f>
        <v>0</v>
      </c>
      <c r="P175" s="48" t="n">
        <f aca="false">IF(AND(B175&gt;Resumen!$C$5,B175&lt;=DATE(2027,7,31)),1,0)</f>
        <v>0</v>
      </c>
    </row>
    <row r="176" customFormat="false" ht="15" hidden="false" customHeight="false" outlineLevel="0" collapsed="false">
      <c r="A176" s="38" t="n">
        <v>164</v>
      </c>
      <c r="B176" s="27" t="n">
        <v>50365</v>
      </c>
      <c r="C176" s="39" t="n">
        <v>3750000000</v>
      </c>
      <c r="D176" s="39" t="n">
        <v>46953125</v>
      </c>
      <c r="E176" s="39" t="n">
        <v>0</v>
      </c>
      <c r="F176" s="39" t="n">
        <v>46953125</v>
      </c>
      <c r="G176" s="39" t="n">
        <v>3750000000</v>
      </c>
      <c r="H176" s="33" t="n">
        <f aca="false">J175</f>
        <v>3750000000</v>
      </c>
      <c r="I176" s="33" t="n">
        <f aca="false">H176*N176</f>
        <v>46953125</v>
      </c>
      <c r="J176" s="33" t="n">
        <f aca="false">H176-E176</f>
        <v>3750000000</v>
      </c>
      <c r="K176" s="33" t="n">
        <f aca="false">D176-I176</f>
        <v>0</v>
      </c>
      <c r="L176" s="33" t="n">
        <f aca="false">G176-J176</f>
        <v>0</v>
      </c>
      <c r="M176" s="33" t="n">
        <f aca="false">F176</f>
        <v>46953125</v>
      </c>
      <c r="N176" s="64" t="n">
        <v>0.0125208333333333</v>
      </c>
      <c r="O176" s="48" t="n">
        <f aca="false">IF(AND(B176&gt;=DATE(2026,1,1),B176&lt;=Resumen!$C$5),1,0)</f>
        <v>0</v>
      </c>
      <c r="P176" s="48" t="n">
        <f aca="false">IF(AND(B176&gt;Resumen!$C$5,B176&lt;=DATE(2027,7,31)),1,0)</f>
        <v>0</v>
      </c>
    </row>
    <row r="177" customFormat="false" ht="15" hidden="false" customHeight="false" outlineLevel="0" collapsed="false">
      <c r="A177" s="38" t="n">
        <v>165</v>
      </c>
      <c r="B177" s="27" t="n">
        <v>50395</v>
      </c>
      <c r="C177" s="39" t="n">
        <v>3750000000</v>
      </c>
      <c r="D177" s="39" t="n">
        <v>46953125</v>
      </c>
      <c r="E177" s="39" t="n">
        <v>0</v>
      </c>
      <c r="F177" s="39" t="n">
        <v>46953125</v>
      </c>
      <c r="G177" s="39" t="n">
        <v>3750000000</v>
      </c>
      <c r="H177" s="33" t="n">
        <f aca="false">J176</f>
        <v>3750000000</v>
      </c>
      <c r="I177" s="33" t="n">
        <f aca="false">H177*N177</f>
        <v>46953125</v>
      </c>
      <c r="J177" s="33" t="n">
        <f aca="false">H177-E177</f>
        <v>3750000000</v>
      </c>
      <c r="K177" s="33" t="n">
        <f aca="false">D177-I177</f>
        <v>0</v>
      </c>
      <c r="L177" s="33" t="n">
        <f aca="false">G177-J177</f>
        <v>0</v>
      </c>
      <c r="M177" s="33" t="n">
        <f aca="false">F177</f>
        <v>46953125</v>
      </c>
      <c r="N177" s="64" t="n">
        <v>0.0125208333333333</v>
      </c>
      <c r="O177" s="48" t="n">
        <f aca="false">IF(AND(B177&gt;=DATE(2026,1,1),B177&lt;=Resumen!$C$5),1,0)</f>
        <v>0</v>
      </c>
      <c r="P177" s="48" t="n">
        <f aca="false">IF(AND(B177&gt;Resumen!$C$5,B177&lt;=DATE(2027,7,31)),1,0)</f>
        <v>0</v>
      </c>
    </row>
    <row r="178" customFormat="false" ht="15" hidden="false" customHeight="false" outlineLevel="0" collapsed="false">
      <c r="A178" s="38" t="n">
        <v>166</v>
      </c>
      <c r="B178" s="27" t="n">
        <v>50426</v>
      </c>
      <c r="C178" s="39" t="n">
        <v>3750000000</v>
      </c>
      <c r="D178" s="39" t="n">
        <v>46953125</v>
      </c>
      <c r="E178" s="39" t="n">
        <v>0</v>
      </c>
      <c r="F178" s="39" t="n">
        <v>46953125</v>
      </c>
      <c r="G178" s="39" t="n">
        <v>3750000000</v>
      </c>
      <c r="H178" s="33" t="n">
        <f aca="false">J177</f>
        <v>3750000000</v>
      </c>
      <c r="I178" s="33" t="n">
        <f aca="false">H178*N178</f>
        <v>46953125</v>
      </c>
      <c r="J178" s="33" t="n">
        <f aca="false">H178-E178</f>
        <v>3750000000</v>
      </c>
      <c r="K178" s="33" t="n">
        <f aca="false">D178-I178</f>
        <v>0</v>
      </c>
      <c r="L178" s="33" t="n">
        <f aca="false">G178-J178</f>
        <v>0</v>
      </c>
      <c r="M178" s="33" t="n">
        <f aca="false">F178</f>
        <v>46953125</v>
      </c>
      <c r="N178" s="64" t="n">
        <v>0.0125208333333333</v>
      </c>
      <c r="O178" s="48" t="n">
        <f aca="false">IF(AND(B178&gt;=DATE(2026,1,1),B178&lt;=Resumen!$C$5),1,0)</f>
        <v>0</v>
      </c>
      <c r="P178" s="48" t="n">
        <f aca="false">IF(AND(B178&gt;Resumen!$C$5,B178&lt;=DATE(2027,7,31)),1,0)</f>
        <v>0</v>
      </c>
    </row>
    <row r="179" customFormat="false" ht="15" hidden="false" customHeight="false" outlineLevel="0" collapsed="false">
      <c r="A179" s="38" t="n">
        <v>167</v>
      </c>
      <c r="B179" s="27" t="n">
        <v>50457</v>
      </c>
      <c r="C179" s="39" t="n">
        <v>3750000000</v>
      </c>
      <c r="D179" s="39" t="n">
        <v>46953125</v>
      </c>
      <c r="E179" s="39" t="n">
        <v>0</v>
      </c>
      <c r="F179" s="39" t="n">
        <v>46953125</v>
      </c>
      <c r="G179" s="39" t="n">
        <v>3750000000</v>
      </c>
      <c r="H179" s="33" t="n">
        <f aca="false">J178</f>
        <v>3750000000</v>
      </c>
      <c r="I179" s="33" t="n">
        <f aca="false">H179*N179</f>
        <v>46953125</v>
      </c>
      <c r="J179" s="33" t="n">
        <f aca="false">H179-E179</f>
        <v>3750000000</v>
      </c>
      <c r="K179" s="33" t="n">
        <f aca="false">D179-I179</f>
        <v>0</v>
      </c>
      <c r="L179" s="33" t="n">
        <f aca="false">G179-J179</f>
        <v>0</v>
      </c>
      <c r="M179" s="33" t="n">
        <f aca="false">F179</f>
        <v>46953125</v>
      </c>
      <c r="N179" s="64" t="n">
        <v>0.0125208333333333</v>
      </c>
      <c r="O179" s="48" t="n">
        <f aca="false">IF(AND(B179&gt;=DATE(2026,1,1),B179&lt;=Resumen!$C$5),1,0)</f>
        <v>0</v>
      </c>
      <c r="P179" s="48" t="n">
        <f aca="false">IF(AND(B179&gt;Resumen!$C$5,B179&lt;=DATE(2027,7,31)),1,0)</f>
        <v>0</v>
      </c>
    </row>
    <row r="180" customFormat="false" ht="15" hidden="false" customHeight="false" outlineLevel="0" collapsed="false">
      <c r="A180" s="38" t="n">
        <v>168</v>
      </c>
      <c r="B180" s="27" t="n">
        <v>50485</v>
      </c>
      <c r="C180" s="39" t="n">
        <v>3750000000</v>
      </c>
      <c r="D180" s="39" t="n">
        <v>46953125</v>
      </c>
      <c r="E180" s="39" t="n">
        <v>288461538.461538</v>
      </c>
      <c r="F180" s="39" t="n">
        <v>335414663.461538</v>
      </c>
      <c r="G180" s="39" t="n">
        <v>3461538461.53846</v>
      </c>
      <c r="H180" s="33" t="n">
        <f aca="false">J179</f>
        <v>3750000000</v>
      </c>
      <c r="I180" s="33" t="n">
        <f aca="false">H180*N180</f>
        <v>46953125</v>
      </c>
      <c r="J180" s="33" t="n">
        <f aca="false">H180-E180</f>
        <v>3461538461.53846</v>
      </c>
      <c r="K180" s="33" t="n">
        <f aca="false">D180-I180</f>
        <v>0</v>
      </c>
      <c r="L180" s="33" t="n">
        <f aca="false">G180-J180</f>
        <v>0</v>
      </c>
      <c r="M180" s="33" t="n">
        <f aca="false">F180</f>
        <v>335414663.461538</v>
      </c>
      <c r="N180" s="64" t="n">
        <v>0.0125208333333333</v>
      </c>
      <c r="O180" s="48" t="n">
        <f aca="false">IF(AND(B180&gt;=DATE(2026,1,1),B180&lt;=Resumen!$C$5),1,0)</f>
        <v>0</v>
      </c>
      <c r="P180" s="48" t="n">
        <f aca="false">IF(AND(B180&gt;Resumen!$C$5,B180&lt;=DATE(2027,7,31)),1,0)</f>
        <v>0</v>
      </c>
    </row>
    <row r="181" customFormat="false" ht="15" hidden="false" customHeight="false" outlineLevel="0" collapsed="false">
      <c r="A181" s="38" t="n">
        <v>169</v>
      </c>
      <c r="B181" s="27" t="n">
        <v>50516</v>
      </c>
      <c r="C181" s="39" t="n">
        <v>3461538461.53846</v>
      </c>
      <c r="D181" s="39" t="n">
        <v>43341346.1538462</v>
      </c>
      <c r="E181" s="39" t="n">
        <v>0</v>
      </c>
      <c r="F181" s="39" t="n">
        <v>43341346.1538462</v>
      </c>
      <c r="G181" s="39" t="n">
        <v>3461538461.53846</v>
      </c>
      <c r="H181" s="33" t="n">
        <f aca="false">J180</f>
        <v>3461538461.53846</v>
      </c>
      <c r="I181" s="33" t="n">
        <f aca="false">H181*N181</f>
        <v>43341346.1538462</v>
      </c>
      <c r="J181" s="33" t="n">
        <f aca="false">H181-E181</f>
        <v>3461538461.53846</v>
      </c>
      <c r="K181" s="33" t="n">
        <f aca="false">D181-I181</f>
        <v>0</v>
      </c>
      <c r="L181" s="33" t="n">
        <f aca="false">G181-J181</f>
        <v>0</v>
      </c>
      <c r="M181" s="33" t="n">
        <f aca="false">F181</f>
        <v>43341346.1538462</v>
      </c>
      <c r="N181" s="64" t="n">
        <v>0.0125208333333333</v>
      </c>
      <c r="O181" s="48" t="n">
        <f aca="false">IF(AND(B181&gt;=DATE(2026,1,1),B181&lt;=Resumen!$C$5),1,0)</f>
        <v>0</v>
      </c>
      <c r="P181" s="48" t="n">
        <f aca="false">IF(AND(B181&gt;Resumen!$C$5,B181&lt;=DATE(2027,7,31)),1,0)</f>
        <v>0</v>
      </c>
    </row>
    <row r="182" customFormat="false" ht="15" hidden="false" customHeight="false" outlineLevel="0" collapsed="false">
      <c r="A182" s="38" t="n">
        <v>170</v>
      </c>
      <c r="B182" s="27" t="n">
        <v>50546</v>
      </c>
      <c r="C182" s="39" t="n">
        <v>3461538461.53846</v>
      </c>
      <c r="D182" s="39" t="n">
        <v>43341346.1538462</v>
      </c>
      <c r="E182" s="39" t="n">
        <v>0</v>
      </c>
      <c r="F182" s="39" t="n">
        <v>43341346.1538462</v>
      </c>
      <c r="G182" s="39" t="n">
        <v>3461538461.53846</v>
      </c>
      <c r="H182" s="33" t="n">
        <f aca="false">J181</f>
        <v>3461538461.53846</v>
      </c>
      <c r="I182" s="33" t="n">
        <f aca="false">H182*N182</f>
        <v>43341346.1538462</v>
      </c>
      <c r="J182" s="33" t="n">
        <f aca="false">H182-E182</f>
        <v>3461538461.53846</v>
      </c>
      <c r="K182" s="33" t="n">
        <f aca="false">D182-I182</f>
        <v>0</v>
      </c>
      <c r="L182" s="33" t="n">
        <f aca="false">G182-J182</f>
        <v>0</v>
      </c>
      <c r="M182" s="33" t="n">
        <f aca="false">F182</f>
        <v>43341346.1538462</v>
      </c>
      <c r="N182" s="64" t="n">
        <v>0.0125208333333333</v>
      </c>
      <c r="O182" s="48" t="n">
        <f aca="false">IF(AND(B182&gt;=DATE(2026,1,1),B182&lt;=Resumen!$C$5),1,0)</f>
        <v>0</v>
      </c>
      <c r="P182" s="48" t="n">
        <f aca="false">IF(AND(B182&gt;Resumen!$C$5,B182&lt;=DATE(2027,7,31)),1,0)</f>
        <v>0</v>
      </c>
    </row>
    <row r="183" customFormat="false" ht="15" hidden="false" customHeight="false" outlineLevel="0" collapsed="false">
      <c r="A183" s="38" t="n">
        <v>171</v>
      </c>
      <c r="B183" s="27" t="n">
        <v>50577</v>
      </c>
      <c r="C183" s="39" t="n">
        <v>3461538461.53846</v>
      </c>
      <c r="D183" s="39" t="n">
        <v>43341346.1538462</v>
      </c>
      <c r="E183" s="39" t="n">
        <v>0</v>
      </c>
      <c r="F183" s="39" t="n">
        <v>43341346.1538462</v>
      </c>
      <c r="G183" s="39" t="n">
        <v>3461538461.53846</v>
      </c>
      <c r="H183" s="33" t="n">
        <f aca="false">J182</f>
        <v>3461538461.53846</v>
      </c>
      <c r="I183" s="33" t="n">
        <f aca="false">H183*N183</f>
        <v>43341346.1538462</v>
      </c>
      <c r="J183" s="33" t="n">
        <f aca="false">H183-E183</f>
        <v>3461538461.53846</v>
      </c>
      <c r="K183" s="33" t="n">
        <f aca="false">D183-I183</f>
        <v>0</v>
      </c>
      <c r="L183" s="33" t="n">
        <f aca="false">G183-J183</f>
        <v>0</v>
      </c>
      <c r="M183" s="33" t="n">
        <f aca="false">F183</f>
        <v>43341346.1538462</v>
      </c>
      <c r="N183" s="64" t="n">
        <v>0.0125208333333333</v>
      </c>
      <c r="O183" s="48" t="n">
        <f aca="false">IF(AND(B183&gt;=DATE(2026,1,1),B183&lt;=Resumen!$C$5),1,0)</f>
        <v>0</v>
      </c>
      <c r="P183" s="48" t="n">
        <f aca="false">IF(AND(B183&gt;Resumen!$C$5,B183&lt;=DATE(2027,7,31)),1,0)</f>
        <v>0</v>
      </c>
    </row>
    <row r="184" customFormat="false" ht="15" hidden="false" customHeight="false" outlineLevel="0" collapsed="false">
      <c r="A184" s="38" t="n">
        <v>172</v>
      </c>
      <c r="B184" s="27" t="n">
        <v>50607</v>
      </c>
      <c r="C184" s="39" t="n">
        <v>3461538461.53846</v>
      </c>
      <c r="D184" s="39" t="n">
        <v>43341346.1538462</v>
      </c>
      <c r="E184" s="39" t="n">
        <v>0</v>
      </c>
      <c r="F184" s="39" t="n">
        <v>43341346.1538462</v>
      </c>
      <c r="G184" s="39" t="n">
        <v>3461538461.53846</v>
      </c>
      <c r="H184" s="33" t="n">
        <f aca="false">J183</f>
        <v>3461538461.53846</v>
      </c>
      <c r="I184" s="33" t="n">
        <f aca="false">H184*N184</f>
        <v>43341346.1538462</v>
      </c>
      <c r="J184" s="33" t="n">
        <f aca="false">H184-E184</f>
        <v>3461538461.53846</v>
      </c>
      <c r="K184" s="33" t="n">
        <f aca="false">D184-I184</f>
        <v>0</v>
      </c>
      <c r="L184" s="33" t="n">
        <f aca="false">G184-J184</f>
        <v>0</v>
      </c>
      <c r="M184" s="33" t="n">
        <f aca="false">F184</f>
        <v>43341346.1538462</v>
      </c>
      <c r="N184" s="64" t="n">
        <v>0.0125208333333333</v>
      </c>
      <c r="O184" s="48" t="n">
        <f aca="false">IF(AND(B184&gt;=DATE(2026,1,1),B184&lt;=Resumen!$C$5),1,0)</f>
        <v>0</v>
      </c>
      <c r="P184" s="48" t="n">
        <f aca="false">IF(AND(B184&gt;Resumen!$C$5,B184&lt;=DATE(2027,7,31)),1,0)</f>
        <v>0</v>
      </c>
    </row>
    <row r="185" customFormat="false" ht="15" hidden="false" customHeight="false" outlineLevel="0" collapsed="false">
      <c r="A185" s="38" t="n">
        <v>173</v>
      </c>
      <c r="B185" s="27" t="n">
        <v>50638</v>
      </c>
      <c r="C185" s="39" t="n">
        <v>3461538461.53846</v>
      </c>
      <c r="D185" s="39" t="n">
        <v>43341346.1538462</v>
      </c>
      <c r="E185" s="39" t="n">
        <v>0</v>
      </c>
      <c r="F185" s="39" t="n">
        <v>43341346.1538462</v>
      </c>
      <c r="G185" s="39" t="n">
        <v>3461538461.53846</v>
      </c>
      <c r="H185" s="33" t="n">
        <f aca="false">J184</f>
        <v>3461538461.53846</v>
      </c>
      <c r="I185" s="33" t="n">
        <f aca="false">H185*N185</f>
        <v>43341346.1538462</v>
      </c>
      <c r="J185" s="33" t="n">
        <f aca="false">H185-E185</f>
        <v>3461538461.53846</v>
      </c>
      <c r="K185" s="33" t="n">
        <f aca="false">D185-I185</f>
        <v>0</v>
      </c>
      <c r="L185" s="33" t="n">
        <f aca="false">G185-J185</f>
        <v>0</v>
      </c>
      <c r="M185" s="33" t="n">
        <f aca="false">F185</f>
        <v>43341346.1538462</v>
      </c>
      <c r="N185" s="64" t="n">
        <v>0.0125208333333333</v>
      </c>
      <c r="O185" s="48" t="n">
        <f aca="false">IF(AND(B185&gt;=DATE(2026,1,1),B185&lt;=Resumen!$C$5),1,0)</f>
        <v>0</v>
      </c>
      <c r="P185" s="48" t="n">
        <f aca="false">IF(AND(B185&gt;Resumen!$C$5,B185&lt;=DATE(2027,7,31)),1,0)</f>
        <v>0</v>
      </c>
    </row>
    <row r="186" customFormat="false" ht="15" hidden="false" customHeight="false" outlineLevel="0" collapsed="false">
      <c r="A186" s="38" t="n">
        <v>174</v>
      </c>
      <c r="B186" s="27" t="n">
        <v>50669</v>
      </c>
      <c r="C186" s="39" t="n">
        <v>3461538461.53846</v>
      </c>
      <c r="D186" s="39" t="n">
        <v>43341346.1538462</v>
      </c>
      <c r="E186" s="39" t="n">
        <v>288461538.461538</v>
      </c>
      <c r="F186" s="39" t="n">
        <v>331802884.615385</v>
      </c>
      <c r="G186" s="39" t="n">
        <v>3173076923.07693</v>
      </c>
      <c r="H186" s="33" t="n">
        <f aca="false">J185</f>
        <v>3461538461.53846</v>
      </c>
      <c r="I186" s="33" t="n">
        <f aca="false">H186*N186</f>
        <v>43341346.1538462</v>
      </c>
      <c r="J186" s="33" t="n">
        <f aca="false">H186-E186</f>
        <v>3173076923.07693</v>
      </c>
      <c r="K186" s="33" t="n">
        <f aca="false">D186-I186</f>
        <v>0</v>
      </c>
      <c r="L186" s="33" t="n">
        <f aca="false">G186-J186</f>
        <v>0</v>
      </c>
      <c r="M186" s="33" t="n">
        <f aca="false">F186</f>
        <v>331802884.615385</v>
      </c>
      <c r="N186" s="64" t="n">
        <v>0.0125208333333333</v>
      </c>
      <c r="O186" s="48" t="n">
        <f aca="false">IF(AND(B186&gt;=DATE(2026,1,1),B186&lt;=Resumen!$C$5),1,0)</f>
        <v>0</v>
      </c>
      <c r="P186" s="48" t="n">
        <f aca="false">IF(AND(B186&gt;Resumen!$C$5,B186&lt;=DATE(2027,7,31)),1,0)</f>
        <v>0</v>
      </c>
    </row>
    <row r="187" customFormat="false" ht="15" hidden="false" customHeight="false" outlineLevel="0" collapsed="false">
      <c r="A187" s="38" t="n">
        <v>175</v>
      </c>
      <c r="B187" s="27" t="n">
        <v>50699</v>
      </c>
      <c r="C187" s="39" t="n">
        <v>3173076923.07693</v>
      </c>
      <c r="D187" s="39" t="n">
        <v>39729567.3076923</v>
      </c>
      <c r="E187" s="39" t="n">
        <v>0</v>
      </c>
      <c r="F187" s="39" t="n">
        <v>39729567.3076923</v>
      </c>
      <c r="G187" s="39" t="n">
        <v>3173076923.07693</v>
      </c>
      <c r="H187" s="33" t="n">
        <f aca="false">J186</f>
        <v>3173076923.07693</v>
      </c>
      <c r="I187" s="33" t="n">
        <f aca="false">H187*N187</f>
        <v>39729567.3076923</v>
      </c>
      <c r="J187" s="33" t="n">
        <f aca="false">H187-E187</f>
        <v>3173076923.07693</v>
      </c>
      <c r="K187" s="33" t="n">
        <f aca="false">D187-I187</f>
        <v>0</v>
      </c>
      <c r="L187" s="33" t="n">
        <f aca="false">G187-J187</f>
        <v>0</v>
      </c>
      <c r="M187" s="33" t="n">
        <f aca="false">F187</f>
        <v>39729567.3076923</v>
      </c>
      <c r="N187" s="64" t="n">
        <v>0.0125208333333333</v>
      </c>
      <c r="O187" s="48" t="n">
        <f aca="false">IF(AND(B187&gt;=DATE(2026,1,1),B187&lt;=Resumen!$C$5),1,0)</f>
        <v>0</v>
      </c>
      <c r="P187" s="48" t="n">
        <f aca="false">IF(AND(B187&gt;Resumen!$C$5,B187&lt;=DATE(2027,7,31)),1,0)</f>
        <v>0</v>
      </c>
    </row>
    <row r="188" customFormat="false" ht="15" hidden="false" customHeight="false" outlineLevel="0" collapsed="false">
      <c r="A188" s="38" t="n">
        <v>176</v>
      </c>
      <c r="B188" s="27" t="n">
        <v>50730</v>
      </c>
      <c r="C188" s="39" t="n">
        <v>3173076923.07693</v>
      </c>
      <c r="D188" s="39" t="n">
        <v>39729567.3076923</v>
      </c>
      <c r="E188" s="39" t="n">
        <v>0</v>
      </c>
      <c r="F188" s="39" t="n">
        <v>39729567.3076923</v>
      </c>
      <c r="G188" s="39" t="n">
        <v>3173076923.07693</v>
      </c>
      <c r="H188" s="33" t="n">
        <f aca="false">J187</f>
        <v>3173076923.07693</v>
      </c>
      <c r="I188" s="33" t="n">
        <f aca="false">H188*N188</f>
        <v>39729567.3076923</v>
      </c>
      <c r="J188" s="33" t="n">
        <f aca="false">H188-E188</f>
        <v>3173076923.07693</v>
      </c>
      <c r="K188" s="33" t="n">
        <f aca="false">D188-I188</f>
        <v>0</v>
      </c>
      <c r="L188" s="33" t="n">
        <f aca="false">G188-J188</f>
        <v>0</v>
      </c>
      <c r="M188" s="33" t="n">
        <f aca="false">F188</f>
        <v>39729567.3076923</v>
      </c>
      <c r="N188" s="64" t="n">
        <v>0.0125208333333333</v>
      </c>
      <c r="O188" s="48" t="n">
        <f aca="false">IF(AND(B188&gt;=DATE(2026,1,1),B188&lt;=Resumen!$C$5),1,0)</f>
        <v>0</v>
      </c>
      <c r="P188" s="48" t="n">
        <f aca="false">IF(AND(B188&gt;Resumen!$C$5,B188&lt;=DATE(2027,7,31)),1,0)</f>
        <v>0</v>
      </c>
    </row>
    <row r="189" customFormat="false" ht="15" hidden="false" customHeight="false" outlineLevel="0" collapsed="false">
      <c r="A189" s="38" t="n">
        <v>177</v>
      </c>
      <c r="B189" s="27" t="n">
        <v>50760</v>
      </c>
      <c r="C189" s="39" t="n">
        <v>3173076923.07693</v>
      </c>
      <c r="D189" s="39" t="n">
        <v>39729567.3076923</v>
      </c>
      <c r="E189" s="39" t="n">
        <v>0</v>
      </c>
      <c r="F189" s="39" t="n">
        <v>39729567.3076923</v>
      </c>
      <c r="G189" s="39" t="n">
        <v>3173076923.07693</v>
      </c>
      <c r="H189" s="33" t="n">
        <f aca="false">J188</f>
        <v>3173076923.07693</v>
      </c>
      <c r="I189" s="33" t="n">
        <f aca="false">H189*N189</f>
        <v>39729567.3076923</v>
      </c>
      <c r="J189" s="33" t="n">
        <f aca="false">H189-E189</f>
        <v>3173076923.07693</v>
      </c>
      <c r="K189" s="33" t="n">
        <f aca="false">D189-I189</f>
        <v>0</v>
      </c>
      <c r="L189" s="33" t="n">
        <f aca="false">G189-J189</f>
        <v>0</v>
      </c>
      <c r="M189" s="33" t="n">
        <f aca="false">F189</f>
        <v>39729567.3076923</v>
      </c>
      <c r="N189" s="64" t="n">
        <v>0.0125208333333333</v>
      </c>
      <c r="O189" s="48" t="n">
        <f aca="false">IF(AND(B189&gt;=DATE(2026,1,1),B189&lt;=Resumen!$C$5),1,0)</f>
        <v>0</v>
      </c>
      <c r="P189" s="48" t="n">
        <f aca="false">IF(AND(B189&gt;Resumen!$C$5,B189&lt;=DATE(2027,7,31)),1,0)</f>
        <v>0</v>
      </c>
    </row>
    <row r="190" customFormat="false" ht="15" hidden="false" customHeight="false" outlineLevel="0" collapsed="false">
      <c r="A190" s="38" t="n">
        <v>178</v>
      </c>
      <c r="B190" s="27" t="n">
        <v>50791</v>
      </c>
      <c r="C190" s="39" t="n">
        <v>3173076923.07693</v>
      </c>
      <c r="D190" s="39" t="n">
        <v>39729567.3076923</v>
      </c>
      <c r="E190" s="39" t="n">
        <v>0</v>
      </c>
      <c r="F190" s="39" t="n">
        <v>39729567.3076923</v>
      </c>
      <c r="G190" s="39" t="n">
        <v>3173076923.07693</v>
      </c>
      <c r="H190" s="33" t="n">
        <f aca="false">J189</f>
        <v>3173076923.07693</v>
      </c>
      <c r="I190" s="33" t="n">
        <f aca="false">H190*N190</f>
        <v>39729567.3076923</v>
      </c>
      <c r="J190" s="33" t="n">
        <f aca="false">H190-E190</f>
        <v>3173076923.07693</v>
      </c>
      <c r="K190" s="33" t="n">
        <f aca="false">D190-I190</f>
        <v>0</v>
      </c>
      <c r="L190" s="33" t="n">
        <f aca="false">G190-J190</f>
        <v>0</v>
      </c>
      <c r="M190" s="33" t="n">
        <f aca="false">F190</f>
        <v>39729567.3076923</v>
      </c>
      <c r="N190" s="64" t="n">
        <v>0.0125208333333333</v>
      </c>
      <c r="O190" s="48" t="n">
        <f aca="false">IF(AND(B190&gt;=DATE(2026,1,1),B190&lt;=Resumen!$C$5),1,0)</f>
        <v>0</v>
      </c>
      <c r="P190" s="48" t="n">
        <f aca="false">IF(AND(B190&gt;Resumen!$C$5,B190&lt;=DATE(2027,7,31)),1,0)</f>
        <v>0</v>
      </c>
    </row>
    <row r="191" customFormat="false" ht="15" hidden="false" customHeight="false" outlineLevel="0" collapsed="false">
      <c r="A191" s="38" t="n">
        <v>179</v>
      </c>
      <c r="B191" s="27" t="n">
        <v>50822</v>
      </c>
      <c r="C191" s="39" t="n">
        <v>3173076923.07693</v>
      </c>
      <c r="D191" s="39" t="n">
        <v>39729567.3076923</v>
      </c>
      <c r="E191" s="39" t="n">
        <v>0</v>
      </c>
      <c r="F191" s="39" t="n">
        <v>39729567.3076923</v>
      </c>
      <c r="G191" s="39" t="n">
        <v>3173076923.07693</v>
      </c>
      <c r="H191" s="33" t="n">
        <f aca="false">J190</f>
        <v>3173076923.07693</v>
      </c>
      <c r="I191" s="33" t="n">
        <f aca="false">H191*N191</f>
        <v>39729567.3076923</v>
      </c>
      <c r="J191" s="33" t="n">
        <f aca="false">H191-E191</f>
        <v>3173076923.07693</v>
      </c>
      <c r="K191" s="33" t="n">
        <f aca="false">D191-I191</f>
        <v>0</v>
      </c>
      <c r="L191" s="33" t="n">
        <f aca="false">G191-J191</f>
        <v>0</v>
      </c>
      <c r="M191" s="33" t="n">
        <f aca="false">F191</f>
        <v>39729567.3076923</v>
      </c>
      <c r="N191" s="64" t="n">
        <v>0.0125208333333333</v>
      </c>
      <c r="O191" s="48" t="n">
        <f aca="false">IF(AND(B191&gt;=DATE(2026,1,1),B191&lt;=Resumen!$C$5),1,0)</f>
        <v>0</v>
      </c>
      <c r="P191" s="48" t="n">
        <f aca="false">IF(AND(B191&gt;Resumen!$C$5,B191&lt;=DATE(2027,7,31)),1,0)</f>
        <v>0</v>
      </c>
    </row>
    <row r="192" customFormat="false" ht="15" hidden="false" customHeight="false" outlineLevel="0" collapsed="false">
      <c r="A192" s="38" t="n">
        <v>180</v>
      </c>
      <c r="B192" s="27" t="n">
        <v>50850</v>
      </c>
      <c r="C192" s="39" t="n">
        <v>3173076923.07693</v>
      </c>
      <c r="D192" s="39" t="n">
        <v>39729567.3076923</v>
      </c>
      <c r="E192" s="39" t="n">
        <v>288461538.461538</v>
      </c>
      <c r="F192" s="39" t="n">
        <v>328191105.769231</v>
      </c>
      <c r="G192" s="39" t="n">
        <v>2884615384.61539</v>
      </c>
      <c r="H192" s="33" t="n">
        <f aca="false">J191</f>
        <v>3173076923.07693</v>
      </c>
      <c r="I192" s="33" t="n">
        <f aca="false">H192*N192</f>
        <v>39729567.3076923</v>
      </c>
      <c r="J192" s="33" t="n">
        <f aca="false">H192-E192</f>
        <v>2884615384.61539</v>
      </c>
      <c r="K192" s="33" t="n">
        <f aca="false">D192-I192</f>
        <v>0</v>
      </c>
      <c r="L192" s="33" t="n">
        <f aca="false">G192-J192</f>
        <v>0</v>
      </c>
      <c r="M192" s="33" t="n">
        <f aca="false">F192</f>
        <v>328191105.769231</v>
      </c>
      <c r="N192" s="64" t="n">
        <v>0.0125208333333333</v>
      </c>
      <c r="O192" s="48" t="n">
        <f aca="false">IF(AND(B192&gt;=DATE(2026,1,1),B192&lt;=Resumen!$C$5),1,0)</f>
        <v>0</v>
      </c>
      <c r="P192" s="48" t="n">
        <f aca="false">IF(AND(B192&gt;Resumen!$C$5,B192&lt;=DATE(2027,7,31)),1,0)</f>
        <v>0</v>
      </c>
    </row>
    <row r="193" customFormat="false" ht="15" hidden="false" customHeight="false" outlineLevel="0" collapsed="false">
      <c r="A193" s="38" t="n">
        <v>181</v>
      </c>
      <c r="B193" s="27" t="n">
        <v>50881</v>
      </c>
      <c r="C193" s="39" t="n">
        <v>2884615384.61539</v>
      </c>
      <c r="D193" s="39" t="n">
        <v>36117788.4615385</v>
      </c>
      <c r="E193" s="39" t="n">
        <v>0</v>
      </c>
      <c r="F193" s="39" t="n">
        <v>36117788.4615385</v>
      </c>
      <c r="G193" s="39" t="n">
        <v>2884615384.61539</v>
      </c>
      <c r="H193" s="33" t="n">
        <f aca="false">J192</f>
        <v>2884615384.61539</v>
      </c>
      <c r="I193" s="33" t="n">
        <f aca="false">H193*N193</f>
        <v>36117788.4615385</v>
      </c>
      <c r="J193" s="33" t="n">
        <f aca="false">H193-E193</f>
        <v>2884615384.61539</v>
      </c>
      <c r="K193" s="33" t="n">
        <f aca="false">D193-I193</f>
        <v>0</v>
      </c>
      <c r="L193" s="33" t="n">
        <f aca="false">G193-J193</f>
        <v>0</v>
      </c>
      <c r="M193" s="33" t="n">
        <f aca="false">F193</f>
        <v>36117788.4615385</v>
      </c>
      <c r="N193" s="64" t="n">
        <v>0.0125208333333333</v>
      </c>
      <c r="O193" s="48" t="n">
        <f aca="false">IF(AND(B193&gt;=DATE(2026,1,1),B193&lt;=Resumen!$C$5),1,0)</f>
        <v>0</v>
      </c>
      <c r="P193" s="48" t="n">
        <f aca="false">IF(AND(B193&gt;Resumen!$C$5,B193&lt;=DATE(2027,7,31)),1,0)</f>
        <v>0</v>
      </c>
    </row>
    <row r="194" customFormat="false" ht="15" hidden="false" customHeight="false" outlineLevel="0" collapsed="false">
      <c r="A194" s="38" t="n">
        <v>182</v>
      </c>
      <c r="B194" s="27" t="n">
        <v>50911</v>
      </c>
      <c r="C194" s="39" t="n">
        <v>2884615384.61539</v>
      </c>
      <c r="D194" s="39" t="n">
        <v>36117788.4615385</v>
      </c>
      <c r="E194" s="39" t="n">
        <v>0</v>
      </c>
      <c r="F194" s="39" t="n">
        <v>36117788.4615385</v>
      </c>
      <c r="G194" s="39" t="n">
        <v>2884615384.61539</v>
      </c>
      <c r="H194" s="33" t="n">
        <f aca="false">J193</f>
        <v>2884615384.61539</v>
      </c>
      <c r="I194" s="33" t="n">
        <f aca="false">H194*N194</f>
        <v>36117788.4615385</v>
      </c>
      <c r="J194" s="33" t="n">
        <f aca="false">H194-E194</f>
        <v>2884615384.61539</v>
      </c>
      <c r="K194" s="33" t="n">
        <f aca="false">D194-I194</f>
        <v>0</v>
      </c>
      <c r="L194" s="33" t="n">
        <f aca="false">G194-J194</f>
        <v>0</v>
      </c>
      <c r="M194" s="33" t="n">
        <f aca="false">F194</f>
        <v>36117788.4615385</v>
      </c>
      <c r="N194" s="64" t="n">
        <v>0.0125208333333333</v>
      </c>
      <c r="O194" s="48" t="n">
        <f aca="false">IF(AND(B194&gt;=DATE(2026,1,1),B194&lt;=Resumen!$C$5),1,0)</f>
        <v>0</v>
      </c>
      <c r="P194" s="48" t="n">
        <f aca="false">IF(AND(B194&gt;Resumen!$C$5,B194&lt;=DATE(2027,7,31)),1,0)</f>
        <v>0</v>
      </c>
    </row>
    <row r="195" customFormat="false" ht="15" hidden="false" customHeight="false" outlineLevel="0" collapsed="false">
      <c r="A195" s="38" t="n">
        <v>183</v>
      </c>
      <c r="B195" s="27" t="n">
        <v>50942</v>
      </c>
      <c r="C195" s="39" t="n">
        <v>2884615384.61539</v>
      </c>
      <c r="D195" s="39" t="n">
        <v>36117788.4615385</v>
      </c>
      <c r="E195" s="39" t="n">
        <v>0</v>
      </c>
      <c r="F195" s="39" t="n">
        <v>36117788.4615385</v>
      </c>
      <c r="G195" s="39" t="n">
        <v>2884615384.61539</v>
      </c>
      <c r="H195" s="33" t="n">
        <f aca="false">J194</f>
        <v>2884615384.61539</v>
      </c>
      <c r="I195" s="33" t="n">
        <f aca="false">H195*N195</f>
        <v>36117788.4615385</v>
      </c>
      <c r="J195" s="33" t="n">
        <f aca="false">H195-E195</f>
        <v>2884615384.61539</v>
      </c>
      <c r="K195" s="33" t="n">
        <f aca="false">D195-I195</f>
        <v>0</v>
      </c>
      <c r="L195" s="33" t="n">
        <f aca="false">G195-J195</f>
        <v>0</v>
      </c>
      <c r="M195" s="33" t="n">
        <f aca="false">F195</f>
        <v>36117788.4615385</v>
      </c>
      <c r="N195" s="64" t="n">
        <v>0.0125208333333333</v>
      </c>
      <c r="O195" s="48" t="n">
        <f aca="false">IF(AND(B195&gt;=DATE(2026,1,1),B195&lt;=Resumen!$C$5),1,0)</f>
        <v>0</v>
      </c>
      <c r="P195" s="48" t="n">
        <f aca="false">IF(AND(B195&gt;Resumen!$C$5,B195&lt;=DATE(2027,7,31)),1,0)</f>
        <v>0</v>
      </c>
    </row>
    <row r="196" customFormat="false" ht="15" hidden="false" customHeight="false" outlineLevel="0" collapsed="false">
      <c r="A196" s="38" t="n">
        <v>184</v>
      </c>
      <c r="B196" s="27" t="n">
        <v>50972</v>
      </c>
      <c r="C196" s="39" t="n">
        <v>2884615384.61539</v>
      </c>
      <c r="D196" s="39" t="n">
        <v>36117788.4615385</v>
      </c>
      <c r="E196" s="39" t="n">
        <v>0</v>
      </c>
      <c r="F196" s="39" t="n">
        <v>36117788.4615385</v>
      </c>
      <c r="G196" s="39" t="n">
        <v>2884615384.61539</v>
      </c>
      <c r="H196" s="33" t="n">
        <f aca="false">J195</f>
        <v>2884615384.61539</v>
      </c>
      <c r="I196" s="33" t="n">
        <f aca="false">H196*N196</f>
        <v>36117788.4615385</v>
      </c>
      <c r="J196" s="33" t="n">
        <f aca="false">H196-E196</f>
        <v>2884615384.61539</v>
      </c>
      <c r="K196" s="33" t="n">
        <f aca="false">D196-I196</f>
        <v>0</v>
      </c>
      <c r="L196" s="33" t="n">
        <f aca="false">G196-J196</f>
        <v>0</v>
      </c>
      <c r="M196" s="33" t="n">
        <f aca="false">F196</f>
        <v>36117788.4615385</v>
      </c>
      <c r="N196" s="64" t="n">
        <v>0.0125208333333333</v>
      </c>
      <c r="O196" s="48" t="n">
        <f aca="false">IF(AND(B196&gt;=DATE(2026,1,1),B196&lt;=Resumen!$C$5),1,0)</f>
        <v>0</v>
      </c>
      <c r="P196" s="48" t="n">
        <f aca="false">IF(AND(B196&gt;Resumen!$C$5,B196&lt;=DATE(2027,7,31)),1,0)</f>
        <v>0</v>
      </c>
    </row>
    <row r="197" customFormat="false" ht="15" hidden="false" customHeight="false" outlineLevel="0" collapsed="false">
      <c r="A197" s="38" t="n">
        <v>185</v>
      </c>
      <c r="B197" s="27" t="n">
        <v>51003</v>
      </c>
      <c r="C197" s="39" t="n">
        <v>2884615384.61539</v>
      </c>
      <c r="D197" s="39" t="n">
        <v>36117788.4615385</v>
      </c>
      <c r="E197" s="39" t="n">
        <v>0</v>
      </c>
      <c r="F197" s="39" t="n">
        <v>36117788.4615385</v>
      </c>
      <c r="G197" s="39" t="n">
        <v>2884615384.61539</v>
      </c>
      <c r="H197" s="33" t="n">
        <f aca="false">J196</f>
        <v>2884615384.61539</v>
      </c>
      <c r="I197" s="33" t="n">
        <f aca="false">H197*N197</f>
        <v>36117788.4615385</v>
      </c>
      <c r="J197" s="33" t="n">
        <f aca="false">H197-E197</f>
        <v>2884615384.61539</v>
      </c>
      <c r="K197" s="33" t="n">
        <f aca="false">D197-I197</f>
        <v>0</v>
      </c>
      <c r="L197" s="33" t="n">
        <f aca="false">G197-J197</f>
        <v>0</v>
      </c>
      <c r="M197" s="33" t="n">
        <f aca="false">F197</f>
        <v>36117788.4615385</v>
      </c>
      <c r="N197" s="64" t="n">
        <v>0.0125208333333333</v>
      </c>
      <c r="O197" s="48" t="n">
        <f aca="false">IF(AND(B197&gt;=DATE(2026,1,1),B197&lt;=Resumen!$C$5),1,0)</f>
        <v>0</v>
      </c>
      <c r="P197" s="48" t="n">
        <f aca="false">IF(AND(B197&gt;Resumen!$C$5,B197&lt;=DATE(2027,7,31)),1,0)</f>
        <v>0</v>
      </c>
    </row>
    <row r="198" customFormat="false" ht="15" hidden="false" customHeight="false" outlineLevel="0" collapsed="false">
      <c r="A198" s="38" t="n">
        <v>186</v>
      </c>
      <c r="B198" s="27" t="n">
        <v>51034</v>
      </c>
      <c r="C198" s="39" t="n">
        <v>2884615384.61539</v>
      </c>
      <c r="D198" s="39" t="n">
        <v>36117788.4615385</v>
      </c>
      <c r="E198" s="39" t="n">
        <v>288461538.461538</v>
      </c>
      <c r="F198" s="39" t="n">
        <v>324579326.923077</v>
      </c>
      <c r="G198" s="39" t="n">
        <v>2596153846.15385</v>
      </c>
      <c r="H198" s="33" t="n">
        <f aca="false">J197</f>
        <v>2884615384.61539</v>
      </c>
      <c r="I198" s="33" t="n">
        <f aca="false">H198*N198</f>
        <v>36117788.4615385</v>
      </c>
      <c r="J198" s="33" t="n">
        <f aca="false">H198-E198</f>
        <v>2596153846.15385</v>
      </c>
      <c r="K198" s="33" t="n">
        <f aca="false">D198-I198</f>
        <v>0</v>
      </c>
      <c r="L198" s="33" t="n">
        <f aca="false">G198-J198</f>
        <v>0</v>
      </c>
      <c r="M198" s="33" t="n">
        <f aca="false">F198</f>
        <v>324579326.923077</v>
      </c>
      <c r="N198" s="64" t="n">
        <v>0.0125208333333333</v>
      </c>
      <c r="O198" s="48" t="n">
        <f aca="false">IF(AND(B198&gt;=DATE(2026,1,1),B198&lt;=Resumen!$C$5),1,0)</f>
        <v>0</v>
      </c>
      <c r="P198" s="48" t="n">
        <f aca="false">IF(AND(B198&gt;Resumen!$C$5,B198&lt;=DATE(2027,7,31)),1,0)</f>
        <v>0</v>
      </c>
    </row>
    <row r="199" customFormat="false" ht="15" hidden="false" customHeight="false" outlineLevel="0" collapsed="false">
      <c r="A199" s="38" t="n">
        <v>187</v>
      </c>
      <c r="B199" s="27" t="n">
        <v>51064</v>
      </c>
      <c r="C199" s="39" t="n">
        <v>2596153846.15385</v>
      </c>
      <c r="D199" s="39" t="n">
        <v>32506009.6153847</v>
      </c>
      <c r="E199" s="39" t="n">
        <v>0</v>
      </c>
      <c r="F199" s="39" t="n">
        <v>32506009.6153847</v>
      </c>
      <c r="G199" s="39" t="n">
        <v>2596153846.15385</v>
      </c>
      <c r="H199" s="33" t="n">
        <f aca="false">J198</f>
        <v>2596153846.15385</v>
      </c>
      <c r="I199" s="33" t="n">
        <f aca="false">H199*N199</f>
        <v>32506009.6153846</v>
      </c>
      <c r="J199" s="33" t="n">
        <f aca="false">H199-E199</f>
        <v>2596153846.15385</v>
      </c>
      <c r="K199" s="33" t="n">
        <f aca="false">D199-I199</f>
        <v>0</v>
      </c>
      <c r="L199" s="33" t="n">
        <f aca="false">G199-J199</f>
        <v>0</v>
      </c>
      <c r="M199" s="33" t="n">
        <f aca="false">F199</f>
        <v>32506009.6153847</v>
      </c>
      <c r="N199" s="64" t="n">
        <v>0.0125208333333333</v>
      </c>
      <c r="O199" s="48" t="n">
        <f aca="false">IF(AND(B199&gt;=DATE(2026,1,1),B199&lt;=Resumen!$C$5),1,0)</f>
        <v>0</v>
      </c>
      <c r="P199" s="48" t="n">
        <f aca="false">IF(AND(B199&gt;Resumen!$C$5,B199&lt;=DATE(2027,7,31)),1,0)</f>
        <v>0</v>
      </c>
    </row>
    <row r="200" customFormat="false" ht="15" hidden="false" customHeight="false" outlineLevel="0" collapsed="false">
      <c r="A200" s="38" t="n">
        <v>188</v>
      </c>
      <c r="B200" s="27" t="n">
        <v>51095</v>
      </c>
      <c r="C200" s="39" t="n">
        <v>2596153846.15385</v>
      </c>
      <c r="D200" s="39" t="n">
        <v>32506009.6153847</v>
      </c>
      <c r="E200" s="39" t="n">
        <v>0</v>
      </c>
      <c r="F200" s="39" t="n">
        <v>32506009.6153847</v>
      </c>
      <c r="G200" s="39" t="n">
        <v>2596153846.15385</v>
      </c>
      <c r="H200" s="33" t="n">
        <f aca="false">J199</f>
        <v>2596153846.15385</v>
      </c>
      <c r="I200" s="33" t="n">
        <f aca="false">H200*N200</f>
        <v>32506009.6153846</v>
      </c>
      <c r="J200" s="33" t="n">
        <f aca="false">H200-E200</f>
        <v>2596153846.15385</v>
      </c>
      <c r="K200" s="33" t="n">
        <f aca="false">D200-I200</f>
        <v>0</v>
      </c>
      <c r="L200" s="33" t="n">
        <f aca="false">G200-J200</f>
        <v>0</v>
      </c>
      <c r="M200" s="33" t="n">
        <f aca="false">F200</f>
        <v>32506009.6153847</v>
      </c>
      <c r="N200" s="64" t="n">
        <v>0.0125208333333333</v>
      </c>
      <c r="O200" s="48" t="n">
        <f aca="false">IF(AND(B200&gt;=DATE(2026,1,1),B200&lt;=Resumen!$C$5),1,0)</f>
        <v>0</v>
      </c>
      <c r="P200" s="48" t="n">
        <f aca="false">IF(AND(B200&gt;Resumen!$C$5,B200&lt;=DATE(2027,7,31)),1,0)</f>
        <v>0</v>
      </c>
    </row>
    <row r="201" customFormat="false" ht="15" hidden="false" customHeight="false" outlineLevel="0" collapsed="false">
      <c r="A201" s="38" t="n">
        <v>189</v>
      </c>
      <c r="B201" s="27" t="n">
        <v>51125</v>
      </c>
      <c r="C201" s="39" t="n">
        <v>2596153846.15385</v>
      </c>
      <c r="D201" s="39" t="n">
        <v>32506009.6153847</v>
      </c>
      <c r="E201" s="39" t="n">
        <v>0</v>
      </c>
      <c r="F201" s="39" t="n">
        <v>32506009.6153847</v>
      </c>
      <c r="G201" s="39" t="n">
        <v>2596153846.15385</v>
      </c>
      <c r="H201" s="33" t="n">
        <f aca="false">J200</f>
        <v>2596153846.15385</v>
      </c>
      <c r="I201" s="33" t="n">
        <f aca="false">H201*N201</f>
        <v>32506009.6153846</v>
      </c>
      <c r="J201" s="33" t="n">
        <f aca="false">H201-E201</f>
        <v>2596153846.15385</v>
      </c>
      <c r="K201" s="33" t="n">
        <f aca="false">D201-I201</f>
        <v>0</v>
      </c>
      <c r="L201" s="33" t="n">
        <f aca="false">G201-J201</f>
        <v>0</v>
      </c>
      <c r="M201" s="33" t="n">
        <f aca="false">F201</f>
        <v>32506009.6153847</v>
      </c>
      <c r="N201" s="64" t="n">
        <v>0.0125208333333333</v>
      </c>
      <c r="O201" s="48" t="n">
        <f aca="false">IF(AND(B201&gt;=DATE(2026,1,1),B201&lt;=Resumen!$C$5),1,0)</f>
        <v>0</v>
      </c>
      <c r="P201" s="48" t="n">
        <f aca="false">IF(AND(B201&gt;Resumen!$C$5,B201&lt;=DATE(2027,7,31)),1,0)</f>
        <v>0</v>
      </c>
    </row>
    <row r="202" customFormat="false" ht="15" hidden="false" customHeight="false" outlineLevel="0" collapsed="false">
      <c r="A202" s="38" t="n">
        <v>190</v>
      </c>
      <c r="B202" s="27" t="n">
        <v>51156</v>
      </c>
      <c r="C202" s="39" t="n">
        <v>2596153846.15385</v>
      </c>
      <c r="D202" s="39" t="n">
        <v>32506009.6153847</v>
      </c>
      <c r="E202" s="39" t="n">
        <v>0</v>
      </c>
      <c r="F202" s="39" t="n">
        <v>32506009.6153847</v>
      </c>
      <c r="G202" s="39" t="n">
        <v>2596153846.15385</v>
      </c>
      <c r="H202" s="33" t="n">
        <f aca="false">J201</f>
        <v>2596153846.15385</v>
      </c>
      <c r="I202" s="33" t="n">
        <f aca="false">H202*N202</f>
        <v>32506009.6153846</v>
      </c>
      <c r="J202" s="33" t="n">
        <f aca="false">H202-E202</f>
        <v>2596153846.15385</v>
      </c>
      <c r="K202" s="33" t="n">
        <f aca="false">D202-I202</f>
        <v>0</v>
      </c>
      <c r="L202" s="33" t="n">
        <f aca="false">G202-J202</f>
        <v>0</v>
      </c>
      <c r="M202" s="33" t="n">
        <f aca="false">F202</f>
        <v>32506009.6153847</v>
      </c>
      <c r="N202" s="64" t="n">
        <v>0.0125208333333333</v>
      </c>
      <c r="O202" s="48" t="n">
        <f aca="false">IF(AND(B202&gt;=DATE(2026,1,1),B202&lt;=Resumen!$C$5),1,0)</f>
        <v>0</v>
      </c>
      <c r="P202" s="48" t="n">
        <f aca="false">IF(AND(B202&gt;Resumen!$C$5,B202&lt;=DATE(2027,7,31)),1,0)</f>
        <v>0</v>
      </c>
    </row>
    <row r="203" customFormat="false" ht="15" hidden="false" customHeight="false" outlineLevel="0" collapsed="false">
      <c r="A203" s="38" t="n">
        <v>191</v>
      </c>
      <c r="B203" s="27" t="n">
        <v>51187</v>
      </c>
      <c r="C203" s="39" t="n">
        <v>2596153846.15385</v>
      </c>
      <c r="D203" s="39" t="n">
        <v>32506009.6153847</v>
      </c>
      <c r="E203" s="39" t="n">
        <v>0</v>
      </c>
      <c r="F203" s="39" t="n">
        <v>32506009.6153847</v>
      </c>
      <c r="G203" s="39" t="n">
        <v>2596153846.15385</v>
      </c>
      <c r="H203" s="33" t="n">
        <f aca="false">J202</f>
        <v>2596153846.15385</v>
      </c>
      <c r="I203" s="33" t="n">
        <f aca="false">H203*N203</f>
        <v>32506009.6153846</v>
      </c>
      <c r="J203" s="33" t="n">
        <f aca="false">H203-E203</f>
        <v>2596153846.15385</v>
      </c>
      <c r="K203" s="33" t="n">
        <f aca="false">D203-I203</f>
        <v>0</v>
      </c>
      <c r="L203" s="33" t="n">
        <f aca="false">G203-J203</f>
        <v>0</v>
      </c>
      <c r="M203" s="33" t="n">
        <f aca="false">F203</f>
        <v>32506009.6153847</v>
      </c>
      <c r="N203" s="64" t="n">
        <v>0.0125208333333333</v>
      </c>
      <c r="O203" s="48" t="n">
        <f aca="false">IF(AND(B203&gt;=DATE(2026,1,1),B203&lt;=Resumen!$C$5),1,0)</f>
        <v>0</v>
      </c>
      <c r="P203" s="48" t="n">
        <f aca="false">IF(AND(B203&gt;Resumen!$C$5,B203&lt;=DATE(2027,7,31)),1,0)</f>
        <v>0</v>
      </c>
    </row>
    <row r="204" customFormat="false" ht="15" hidden="false" customHeight="false" outlineLevel="0" collapsed="false">
      <c r="A204" s="38" t="n">
        <v>192</v>
      </c>
      <c r="B204" s="27" t="n">
        <v>51216</v>
      </c>
      <c r="C204" s="39" t="n">
        <v>2596153846.15385</v>
      </c>
      <c r="D204" s="39" t="n">
        <v>32506009.6153847</v>
      </c>
      <c r="E204" s="39" t="n">
        <v>288461538.461538</v>
      </c>
      <c r="F204" s="39" t="n">
        <v>320967548.076923</v>
      </c>
      <c r="G204" s="39" t="n">
        <v>2307692307.69231</v>
      </c>
      <c r="H204" s="33" t="n">
        <f aca="false">J203</f>
        <v>2596153846.15385</v>
      </c>
      <c r="I204" s="33" t="n">
        <f aca="false">H204*N204</f>
        <v>32506009.6153846</v>
      </c>
      <c r="J204" s="33" t="n">
        <f aca="false">H204-E204</f>
        <v>2307692307.69231</v>
      </c>
      <c r="K204" s="33" t="n">
        <f aca="false">D204-I204</f>
        <v>0</v>
      </c>
      <c r="L204" s="33" t="n">
        <f aca="false">G204-J204</f>
        <v>0</v>
      </c>
      <c r="M204" s="33" t="n">
        <f aca="false">F204</f>
        <v>320967548.076923</v>
      </c>
      <c r="N204" s="64" t="n">
        <v>0.0125208333333333</v>
      </c>
      <c r="O204" s="48" t="n">
        <f aca="false">IF(AND(B204&gt;=DATE(2026,1,1),B204&lt;=Resumen!$C$5),1,0)</f>
        <v>0</v>
      </c>
      <c r="P204" s="48" t="n">
        <f aca="false">IF(AND(B204&gt;Resumen!$C$5,B204&lt;=DATE(2027,7,31)),1,0)</f>
        <v>0</v>
      </c>
    </row>
    <row r="205" customFormat="false" ht="15" hidden="false" customHeight="false" outlineLevel="0" collapsed="false">
      <c r="A205" s="38" t="n">
        <v>193</v>
      </c>
      <c r="B205" s="27" t="n">
        <v>51247</v>
      </c>
      <c r="C205" s="39" t="n">
        <v>2307692307.69231</v>
      </c>
      <c r="D205" s="39" t="n">
        <v>28894230.7692308</v>
      </c>
      <c r="E205" s="39" t="n">
        <v>0</v>
      </c>
      <c r="F205" s="39" t="n">
        <v>28894230.7692308</v>
      </c>
      <c r="G205" s="39" t="n">
        <v>2307692307.69231</v>
      </c>
      <c r="H205" s="33" t="n">
        <f aca="false">J204</f>
        <v>2307692307.69231</v>
      </c>
      <c r="I205" s="33" t="n">
        <f aca="false">H205*N205</f>
        <v>28894230.7692308</v>
      </c>
      <c r="J205" s="33" t="n">
        <f aca="false">H205-E205</f>
        <v>2307692307.69231</v>
      </c>
      <c r="K205" s="33" t="n">
        <f aca="false">D205-I205</f>
        <v>0</v>
      </c>
      <c r="L205" s="33" t="n">
        <f aca="false">G205-J205</f>
        <v>0</v>
      </c>
      <c r="M205" s="33" t="n">
        <f aca="false">F205</f>
        <v>28894230.7692308</v>
      </c>
      <c r="N205" s="64" t="n">
        <v>0.0125208333333333</v>
      </c>
      <c r="O205" s="48" t="n">
        <f aca="false">IF(AND(B205&gt;=DATE(2026,1,1),B205&lt;=Resumen!$C$5),1,0)</f>
        <v>0</v>
      </c>
      <c r="P205" s="48" t="n">
        <f aca="false">IF(AND(B205&gt;Resumen!$C$5,B205&lt;=DATE(2027,7,31)),1,0)</f>
        <v>0</v>
      </c>
    </row>
    <row r="206" customFormat="false" ht="15" hidden="false" customHeight="false" outlineLevel="0" collapsed="false">
      <c r="A206" s="38" t="n">
        <v>194</v>
      </c>
      <c r="B206" s="27" t="n">
        <v>51277</v>
      </c>
      <c r="C206" s="39" t="n">
        <v>2307692307.69231</v>
      </c>
      <c r="D206" s="39" t="n">
        <v>28894230.7692308</v>
      </c>
      <c r="E206" s="39" t="n">
        <v>0</v>
      </c>
      <c r="F206" s="39" t="n">
        <v>28894230.7692308</v>
      </c>
      <c r="G206" s="39" t="n">
        <v>2307692307.69231</v>
      </c>
      <c r="H206" s="33" t="n">
        <f aca="false">J205</f>
        <v>2307692307.69231</v>
      </c>
      <c r="I206" s="33" t="n">
        <f aca="false">H206*N206</f>
        <v>28894230.7692308</v>
      </c>
      <c r="J206" s="33" t="n">
        <f aca="false">H206-E206</f>
        <v>2307692307.69231</v>
      </c>
      <c r="K206" s="33" t="n">
        <f aca="false">D206-I206</f>
        <v>0</v>
      </c>
      <c r="L206" s="33" t="n">
        <f aca="false">G206-J206</f>
        <v>0</v>
      </c>
      <c r="M206" s="33" t="n">
        <f aca="false">F206</f>
        <v>28894230.7692308</v>
      </c>
      <c r="N206" s="64" t="n">
        <v>0.0125208333333333</v>
      </c>
      <c r="O206" s="48" t="n">
        <f aca="false">IF(AND(B206&gt;=DATE(2026,1,1),B206&lt;=Resumen!$C$5),1,0)</f>
        <v>0</v>
      </c>
      <c r="P206" s="48" t="n">
        <f aca="false">IF(AND(B206&gt;Resumen!$C$5,B206&lt;=DATE(2027,7,31)),1,0)</f>
        <v>0</v>
      </c>
    </row>
    <row r="207" customFormat="false" ht="15" hidden="false" customHeight="false" outlineLevel="0" collapsed="false">
      <c r="A207" s="38" t="n">
        <v>195</v>
      </c>
      <c r="B207" s="27" t="n">
        <v>51308</v>
      </c>
      <c r="C207" s="39" t="n">
        <v>2307692307.69231</v>
      </c>
      <c r="D207" s="39" t="n">
        <v>28894230.7692308</v>
      </c>
      <c r="E207" s="39" t="n">
        <v>0</v>
      </c>
      <c r="F207" s="39" t="n">
        <v>28894230.7692308</v>
      </c>
      <c r="G207" s="39" t="n">
        <v>2307692307.69231</v>
      </c>
      <c r="H207" s="33" t="n">
        <f aca="false">J206</f>
        <v>2307692307.69231</v>
      </c>
      <c r="I207" s="33" t="n">
        <f aca="false">H207*N207</f>
        <v>28894230.7692308</v>
      </c>
      <c r="J207" s="33" t="n">
        <f aca="false">H207-E207</f>
        <v>2307692307.69231</v>
      </c>
      <c r="K207" s="33" t="n">
        <f aca="false">D207-I207</f>
        <v>0</v>
      </c>
      <c r="L207" s="33" t="n">
        <f aca="false">G207-J207</f>
        <v>0</v>
      </c>
      <c r="M207" s="33" t="n">
        <f aca="false">F207</f>
        <v>28894230.7692308</v>
      </c>
      <c r="N207" s="64" t="n">
        <v>0.0125208333333333</v>
      </c>
      <c r="O207" s="48" t="n">
        <f aca="false">IF(AND(B207&gt;=DATE(2026,1,1),B207&lt;=Resumen!$C$5),1,0)</f>
        <v>0</v>
      </c>
      <c r="P207" s="48" t="n">
        <f aca="false">IF(AND(B207&gt;Resumen!$C$5,B207&lt;=DATE(2027,7,31)),1,0)</f>
        <v>0</v>
      </c>
    </row>
    <row r="208" customFormat="false" ht="15" hidden="false" customHeight="false" outlineLevel="0" collapsed="false">
      <c r="A208" s="38" t="n">
        <v>196</v>
      </c>
      <c r="B208" s="27" t="n">
        <v>51338</v>
      </c>
      <c r="C208" s="39" t="n">
        <v>2307692307.69231</v>
      </c>
      <c r="D208" s="39" t="n">
        <v>28894230.7692308</v>
      </c>
      <c r="E208" s="39" t="n">
        <v>0</v>
      </c>
      <c r="F208" s="39" t="n">
        <v>28894230.7692308</v>
      </c>
      <c r="G208" s="39" t="n">
        <v>2307692307.69231</v>
      </c>
      <c r="H208" s="33" t="n">
        <f aca="false">J207</f>
        <v>2307692307.69231</v>
      </c>
      <c r="I208" s="33" t="n">
        <f aca="false">H208*N208</f>
        <v>28894230.7692308</v>
      </c>
      <c r="J208" s="33" t="n">
        <f aca="false">H208-E208</f>
        <v>2307692307.69231</v>
      </c>
      <c r="K208" s="33" t="n">
        <f aca="false">D208-I208</f>
        <v>0</v>
      </c>
      <c r="L208" s="33" t="n">
        <f aca="false">G208-J208</f>
        <v>0</v>
      </c>
      <c r="M208" s="33" t="n">
        <f aca="false">F208</f>
        <v>28894230.7692308</v>
      </c>
      <c r="N208" s="64" t="n">
        <v>0.0125208333333333</v>
      </c>
      <c r="O208" s="48" t="n">
        <f aca="false">IF(AND(B208&gt;=DATE(2026,1,1),B208&lt;=Resumen!$C$5),1,0)</f>
        <v>0</v>
      </c>
      <c r="P208" s="48" t="n">
        <f aca="false">IF(AND(B208&gt;Resumen!$C$5,B208&lt;=DATE(2027,7,31)),1,0)</f>
        <v>0</v>
      </c>
    </row>
    <row r="209" customFormat="false" ht="15" hidden="false" customHeight="false" outlineLevel="0" collapsed="false">
      <c r="A209" s="38" t="n">
        <v>197</v>
      </c>
      <c r="B209" s="27" t="n">
        <v>51369</v>
      </c>
      <c r="C209" s="39" t="n">
        <v>2307692307.69231</v>
      </c>
      <c r="D209" s="39" t="n">
        <v>28894230.7692308</v>
      </c>
      <c r="E209" s="39" t="n">
        <v>0</v>
      </c>
      <c r="F209" s="39" t="n">
        <v>28894230.7692308</v>
      </c>
      <c r="G209" s="39" t="n">
        <v>2307692307.69231</v>
      </c>
      <c r="H209" s="33" t="n">
        <f aca="false">J208</f>
        <v>2307692307.69231</v>
      </c>
      <c r="I209" s="33" t="n">
        <f aca="false">H209*N209</f>
        <v>28894230.7692308</v>
      </c>
      <c r="J209" s="33" t="n">
        <f aca="false">H209-E209</f>
        <v>2307692307.69231</v>
      </c>
      <c r="K209" s="33" t="n">
        <f aca="false">D209-I209</f>
        <v>0</v>
      </c>
      <c r="L209" s="33" t="n">
        <f aca="false">G209-J209</f>
        <v>0</v>
      </c>
      <c r="M209" s="33" t="n">
        <f aca="false">F209</f>
        <v>28894230.7692308</v>
      </c>
      <c r="N209" s="64" t="n">
        <v>0.0125208333333333</v>
      </c>
      <c r="O209" s="48" t="n">
        <f aca="false">IF(AND(B209&gt;=DATE(2026,1,1),B209&lt;=Resumen!$C$5),1,0)</f>
        <v>0</v>
      </c>
      <c r="P209" s="48" t="n">
        <f aca="false">IF(AND(B209&gt;Resumen!$C$5,B209&lt;=DATE(2027,7,31)),1,0)</f>
        <v>0</v>
      </c>
    </row>
    <row r="210" customFormat="false" ht="15" hidden="false" customHeight="false" outlineLevel="0" collapsed="false">
      <c r="A210" s="38" t="n">
        <v>198</v>
      </c>
      <c r="B210" s="27" t="n">
        <v>51400</v>
      </c>
      <c r="C210" s="39" t="n">
        <v>2307692307.69231</v>
      </c>
      <c r="D210" s="39" t="n">
        <v>28894230.7692308</v>
      </c>
      <c r="E210" s="39" t="n">
        <v>288461538.461538</v>
      </c>
      <c r="F210" s="39" t="n">
        <v>317355769.230769</v>
      </c>
      <c r="G210" s="39" t="n">
        <v>2019230769.23077</v>
      </c>
      <c r="H210" s="33" t="n">
        <f aca="false">J209</f>
        <v>2307692307.69231</v>
      </c>
      <c r="I210" s="33" t="n">
        <f aca="false">H210*N210</f>
        <v>28894230.7692308</v>
      </c>
      <c r="J210" s="33" t="n">
        <f aca="false">H210-E210</f>
        <v>2019230769.23077</v>
      </c>
      <c r="K210" s="33" t="n">
        <f aca="false">D210-I210</f>
        <v>0</v>
      </c>
      <c r="L210" s="33" t="n">
        <f aca="false">G210-J210</f>
        <v>0</v>
      </c>
      <c r="M210" s="33" t="n">
        <f aca="false">F210</f>
        <v>317355769.230769</v>
      </c>
      <c r="N210" s="64" t="n">
        <v>0.0125208333333333</v>
      </c>
      <c r="O210" s="48" t="n">
        <f aca="false">IF(AND(B210&gt;=DATE(2026,1,1),B210&lt;=Resumen!$C$5),1,0)</f>
        <v>0</v>
      </c>
      <c r="P210" s="48" t="n">
        <f aca="false">IF(AND(B210&gt;Resumen!$C$5,B210&lt;=DATE(2027,7,31)),1,0)</f>
        <v>0</v>
      </c>
    </row>
    <row r="211" customFormat="false" ht="15" hidden="false" customHeight="false" outlineLevel="0" collapsed="false">
      <c r="A211" s="38" t="n">
        <v>199</v>
      </c>
      <c r="B211" s="27" t="n">
        <v>51430</v>
      </c>
      <c r="C211" s="39" t="n">
        <v>2019230769.23077</v>
      </c>
      <c r="D211" s="39" t="n">
        <v>25282451.923077</v>
      </c>
      <c r="E211" s="39" t="n">
        <v>0</v>
      </c>
      <c r="F211" s="39" t="n">
        <v>25282451.923077</v>
      </c>
      <c r="G211" s="39" t="n">
        <v>2019230769.23077</v>
      </c>
      <c r="H211" s="33" t="n">
        <f aca="false">J210</f>
        <v>2019230769.23077</v>
      </c>
      <c r="I211" s="33" t="n">
        <f aca="false">H211*N211</f>
        <v>25282451.923077</v>
      </c>
      <c r="J211" s="33" t="n">
        <f aca="false">H211-E211</f>
        <v>2019230769.23077</v>
      </c>
      <c r="K211" s="33" t="n">
        <f aca="false">D211-I211</f>
        <v>0</v>
      </c>
      <c r="L211" s="33" t="n">
        <f aca="false">G211-J211</f>
        <v>0</v>
      </c>
      <c r="M211" s="33" t="n">
        <f aca="false">F211</f>
        <v>25282451.923077</v>
      </c>
      <c r="N211" s="64" t="n">
        <v>0.0125208333333333</v>
      </c>
      <c r="O211" s="48" t="n">
        <f aca="false">IF(AND(B211&gt;=DATE(2026,1,1),B211&lt;=Resumen!$C$5),1,0)</f>
        <v>0</v>
      </c>
      <c r="P211" s="48" t="n">
        <f aca="false">IF(AND(B211&gt;Resumen!$C$5,B211&lt;=DATE(2027,7,31)),1,0)</f>
        <v>0</v>
      </c>
    </row>
    <row r="212" customFormat="false" ht="15" hidden="false" customHeight="false" outlineLevel="0" collapsed="false">
      <c r="A212" s="38" t="n">
        <v>200</v>
      </c>
      <c r="B212" s="27" t="n">
        <v>51461</v>
      </c>
      <c r="C212" s="39" t="n">
        <v>2019230769.23077</v>
      </c>
      <c r="D212" s="39" t="n">
        <v>25282451.923077</v>
      </c>
      <c r="E212" s="39" t="n">
        <v>0</v>
      </c>
      <c r="F212" s="39" t="n">
        <v>25282451.923077</v>
      </c>
      <c r="G212" s="39" t="n">
        <v>2019230769.23077</v>
      </c>
      <c r="H212" s="33" t="n">
        <f aca="false">J211</f>
        <v>2019230769.23077</v>
      </c>
      <c r="I212" s="33" t="n">
        <f aca="false">H212*N212</f>
        <v>25282451.923077</v>
      </c>
      <c r="J212" s="33" t="n">
        <f aca="false">H212-E212</f>
        <v>2019230769.23077</v>
      </c>
      <c r="K212" s="33" t="n">
        <f aca="false">D212-I212</f>
        <v>0</v>
      </c>
      <c r="L212" s="33" t="n">
        <f aca="false">G212-J212</f>
        <v>0</v>
      </c>
      <c r="M212" s="33" t="n">
        <f aca="false">F212</f>
        <v>25282451.923077</v>
      </c>
      <c r="N212" s="64" t="n">
        <v>0.0125208333333333</v>
      </c>
      <c r="O212" s="48" t="n">
        <f aca="false">IF(AND(B212&gt;=DATE(2026,1,1),B212&lt;=Resumen!$C$5),1,0)</f>
        <v>0</v>
      </c>
      <c r="P212" s="48" t="n">
        <f aca="false">IF(AND(B212&gt;Resumen!$C$5,B212&lt;=DATE(2027,7,31)),1,0)</f>
        <v>0</v>
      </c>
    </row>
    <row r="213" customFormat="false" ht="15" hidden="false" customHeight="false" outlineLevel="0" collapsed="false">
      <c r="A213" s="38" t="n">
        <v>201</v>
      </c>
      <c r="B213" s="27" t="n">
        <v>51491</v>
      </c>
      <c r="C213" s="39" t="n">
        <v>2019230769.23077</v>
      </c>
      <c r="D213" s="39" t="n">
        <v>25282451.923077</v>
      </c>
      <c r="E213" s="39" t="n">
        <v>0</v>
      </c>
      <c r="F213" s="39" t="n">
        <v>25282451.923077</v>
      </c>
      <c r="G213" s="39" t="n">
        <v>2019230769.23077</v>
      </c>
      <c r="H213" s="33" t="n">
        <f aca="false">J212</f>
        <v>2019230769.23077</v>
      </c>
      <c r="I213" s="33" t="n">
        <f aca="false">H213*N213</f>
        <v>25282451.923077</v>
      </c>
      <c r="J213" s="33" t="n">
        <f aca="false">H213-E213</f>
        <v>2019230769.23077</v>
      </c>
      <c r="K213" s="33" t="n">
        <f aca="false">D213-I213</f>
        <v>0</v>
      </c>
      <c r="L213" s="33" t="n">
        <f aca="false">G213-J213</f>
        <v>0</v>
      </c>
      <c r="M213" s="33" t="n">
        <f aca="false">F213</f>
        <v>25282451.923077</v>
      </c>
      <c r="N213" s="64" t="n">
        <v>0.0125208333333333</v>
      </c>
      <c r="O213" s="48" t="n">
        <f aca="false">IF(AND(B213&gt;=DATE(2026,1,1),B213&lt;=Resumen!$C$5),1,0)</f>
        <v>0</v>
      </c>
      <c r="P213" s="48" t="n">
        <f aca="false">IF(AND(B213&gt;Resumen!$C$5,B213&lt;=DATE(2027,7,31)),1,0)</f>
        <v>0</v>
      </c>
    </row>
    <row r="214" customFormat="false" ht="15" hidden="false" customHeight="false" outlineLevel="0" collapsed="false">
      <c r="A214" s="38" t="n">
        <v>202</v>
      </c>
      <c r="B214" s="27" t="n">
        <v>51522</v>
      </c>
      <c r="C214" s="39" t="n">
        <v>2019230769.23077</v>
      </c>
      <c r="D214" s="39" t="n">
        <v>25282451.923077</v>
      </c>
      <c r="E214" s="39" t="n">
        <v>0</v>
      </c>
      <c r="F214" s="39" t="n">
        <v>25282451.923077</v>
      </c>
      <c r="G214" s="39" t="n">
        <v>2019230769.23077</v>
      </c>
      <c r="H214" s="33" t="n">
        <f aca="false">J213</f>
        <v>2019230769.23077</v>
      </c>
      <c r="I214" s="33" t="n">
        <f aca="false">H214*N214</f>
        <v>25282451.923077</v>
      </c>
      <c r="J214" s="33" t="n">
        <f aca="false">H214-E214</f>
        <v>2019230769.23077</v>
      </c>
      <c r="K214" s="33" t="n">
        <f aca="false">D214-I214</f>
        <v>0</v>
      </c>
      <c r="L214" s="33" t="n">
        <f aca="false">G214-J214</f>
        <v>0</v>
      </c>
      <c r="M214" s="33" t="n">
        <f aca="false">F214</f>
        <v>25282451.923077</v>
      </c>
      <c r="N214" s="64" t="n">
        <v>0.0125208333333333</v>
      </c>
      <c r="O214" s="48" t="n">
        <f aca="false">IF(AND(B214&gt;=DATE(2026,1,1),B214&lt;=Resumen!$C$5),1,0)</f>
        <v>0</v>
      </c>
      <c r="P214" s="48" t="n">
        <f aca="false">IF(AND(B214&gt;Resumen!$C$5,B214&lt;=DATE(2027,7,31)),1,0)</f>
        <v>0</v>
      </c>
    </row>
    <row r="215" customFormat="false" ht="15" hidden="false" customHeight="false" outlineLevel="0" collapsed="false">
      <c r="A215" s="38" t="n">
        <v>203</v>
      </c>
      <c r="B215" s="27" t="n">
        <v>51553</v>
      </c>
      <c r="C215" s="39" t="n">
        <v>2019230769.23077</v>
      </c>
      <c r="D215" s="39" t="n">
        <v>25282451.923077</v>
      </c>
      <c r="E215" s="39" t="n">
        <v>0</v>
      </c>
      <c r="F215" s="39" t="n">
        <v>25282451.923077</v>
      </c>
      <c r="G215" s="39" t="n">
        <v>2019230769.23077</v>
      </c>
      <c r="H215" s="33" t="n">
        <f aca="false">J214</f>
        <v>2019230769.23077</v>
      </c>
      <c r="I215" s="33" t="n">
        <f aca="false">H215*N215</f>
        <v>25282451.923077</v>
      </c>
      <c r="J215" s="33" t="n">
        <f aca="false">H215-E215</f>
        <v>2019230769.23077</v>
      </c>
      <c r="K215" s="33" t="n">
        <f aca="false">D215-I215</f>
        <v>0</v>
      </c>
      <c r="L215" s="33" t="n">
        <f aca="false">G215-J215</f>
        <v>0</v>
      </c>
      <c r="M215" s="33" t="n">
        <f aca="false">F215</f>
        <v>25282451.923077</v>
      </c>
      <c r="N215" s="64" t="n">
        <v>0.0125208333333333</v>
      </c>
      <c r="O215" s="48" t="n">
        <f aca="false">IF(AND(B215&gt;=DATE(2026,1,1),B215&lt;=Resumen!$C$5),1,0)</f>
        <v>0</v>
      </c>
      <c r="P215" s="48" t="n">
        <f aca="false">IF(AND(B215&gt;Resumen!$C$5,B215&lt;=DATE(2027,7,31)),1,0)</f>
        <v>0</v>
      </c>
    </row>
    <row r="216" customFormat="false" ht="15" hidden="false" customHeight="false" outlineLevel="0" collapsed="false">
      <c r="A216" s="38" t="n">
        <v>204</v>
      </c>
      <c r="B216" s="27" t="n">
        <v>51581</v>
      </c>
      <c r="C216" s="39" t="n">
        <v>2019230769.23077</v>
      </c>
      <c r="D216" s="39" t="n">
        <v>25282451.923077</v>
      </c>
      <c r="E216" s="39" t="n">
        <v>288461538.461538</v>
      </c>
      <c r="F216" s="39" t="n">
        <v>313743990.384615</v>
      </c>
      <c r="G216" s="39" t="n">
        <v>1730769230.76923</v>
      </c>
      <c r="H216" s="33" t="n">
        <f aca="false">J215</f>
        <v>2019230769.23077</v>
      </c>
      <c r="I216" s="33" t="n">
        <f aca="false">H216*N216</f>
        <v>25282451.923077</v>
      </c>
      <c r="J216" s="33" t="n">
        <f aca="false">H216-E216</f>
        <v>1730769230.76923</v>
      </c>
      <c r="K216" s="33" t="n">
        <f aca="false">D216-I216</f>
        <v>0</v>
      </c>
      <c r="L216" s="33" t="n">
        <f aca="false">G216-J216</f>
        <v>0</v>
      </c>
      <c r="M216" s="33" t="n">
        <f aca="false">F216</f>
        <v>313743990.384615</v>
      </c>
      <c r="N216" s="64" t="n">
        <v>0.0125208333333333</v>
      </c>
      <c r="O216" s="48" t="n">
        <f aca="false">IF(AND(B216&gt;=DATE(2026,1,1),B216&lt;=Resumen!$C$5),1,0)</f>
        <v>0</v>
      </c>
      <c r="P216" s="48" t="n">
        <f aca="false">IF(AND(B216&gt;Resumen!$C$5,B216&lt;=DATE(2027,7,31)),1,0)</f>
        <v>0</v>
      </c>
    </row>
    <row r="217" customFormat="false" ht="15" hidden="false" customHeight="false" outlineLevel="0" collapsed="false">
      <c r="A217" s="38" t="n">
        <v>205</v>
      </c>
      <c r="B217" s="27" t="n">
        <v>51612</v>
      </c>
      <c r="C217" s="39" t="n">
        <v>1730769230.76923</v>
      </c>
      <c r="D217" s="39" t="n">
        <v>21670673.0769231</v>
      </c>
      <c r="E217" s="39" t="n">
        <v>0</v>
      </c>
      <c r="F217" s="39" t="n">
        <v>21670673.0769231</v>
      </c>
      <c r="G217" s="39" t="n">
        <v>1730769230.76923</v>
      </c>
      <c r="H217" s="33" t="n">
        <f aca="false">J216</f>
        <v>1730769230.76923</v>
      </c>
      <c r="I217" s="33" t="n">
        <f aca="false">H217*N217</f>
        <v>21670673.0769231</v>
      </c>
      <c r="J217" s="33" t="n">
        <f aca="false">H217-E217</f>
        <v>1730769230.76923</v>
      </c>
      <c r="K217" s="33" t="n">
        <f aca="false">D217-I217</f>
        <v>0</v>
      </c>
      <c r="L217" s="33" t="n">
        <f aca="false">G217-J217</f>
        <v>0</v>
      </c>
      <c r="M217" s="33" t="n">
        <f aca="false">F217</f>
        <v>21670673.0769231</v>
      </c>
      <c r="N217" s="64" t="n">
        <v>0.0125208333333333</v>
      </c>
      <c r="O217" s="48" t="n">
        <f aca="false">IF(AND(B217&gt;=DATE(2026,1,1),B217&lt;=Resumen!$C$5),1,0)</f>
        <v>0</v>
      </c>
      <c r="P217" s="48" t="n">
        <f aca="false">IF(AND(B217&gt;Resumen!$C$5,B217&lt;=DATE(2027,7,31)),1,0)</f>
        <v>0</v>
      </c>
    </row>
    <row r="218" customFormat="false" ht="15" hidden="false" customHeight="false" outlineLevel="0" collapsed="false">
      <c r="A218" s="38" t="n">
        <v>206</v>
      </c>
      <c r="B218" s="27" t="n">
        <v>51642</v>
      </c>
      <c r="C218" s="39" t="n">
        <v>1730769230.76923</v>
      </c>
      <c r="D218" s="39" t="n">
        <v>21670673.0769231</v>
      </c>
      <c r="E218" s="39" t="n">
        <v>0</v>
      </c>
      <c r="F218" s="39" t="n">
        <v>21670673.0769231</v>
      </c>
      <c r="G218" s="39" t="n">
        <v>1730769230.76923</v>
      </c>
      <c r="H218" s="33" t="n">
        <f aca="false">J217</f>
        <v>1730769230.76923</v>
      </c>
      <c r="I218" s="33" t="n">
        <f aca="false">H218*N218</f>
        <v>21670673.0769231</v>
      </c>
      <c r="J218" s="33" t="n">
        <f aca="false">H218-E218</f>
        <v>1730769230.76923</v>
      </c>
      <c r="K218" s="33" t="n">
        <f aca="false">D218-I218</f>
        <v>0</v>
      </c>
      <c r="L218" s="33" t="n">
        <f aca="false">G218-J218</f>
        <v>0</v>
      </c>
      <c r="M218" s="33" t="n">
        <f aca="false">F218</f>
        <v>21670673.0769231</v>
      </c>
      <c r="N218" s="64" t="n">
        <v>0.0125208333333333</v>
      </c>
      <c r="O218" s="48" t="n">
        <f aca="false">IF(AND(B218&gt;=DATE(2026,1,1),B218&lt;=Resumen!$C$5),1,0)</f>
        <v>0</v>
      </c>
      <c r="P218" s="48" t="n">
        <f aca="false">IF(AND(B218&gt;Resumen!$C$5,B218&lt;=DATE(2027,7,31)),1,0)</f>
        <v>0</v>
      </c>
    </row>
    <row r="219" customFormat="false" ht="15" hidden="false" customHeight="false" outlineLevel="0" collapsed="false">
      <c r="A219" s="38" t="n">
        <v>207</v>
      </c>
      <c r="B219" s="27" t="n">
        <v>51673</v>
      </c>
      <c r="C219" s="39" t="n">
        <v>1730769230.76923</v>
      </c>
      <c r="D219" s="39" t="n">
        <v>21670673.0769231</v>
      </c>
      <c r="E219" s="39" t="n">
        <v>0</v>
      </c>
      <c r="F219" s="39" t="n">
        <v>21670673.0769231</v>
      </c>
      <c r="G219" s="39" t="n">
        <v>1730769230.76923</v>
      </c>
      <c r="H219" s="33" t="n">
        <f aca="false">J218</f>
        <v>1730769230.76923</v>
      </c>
      <c r="I219" s="33" t="n">
        <f aca="false">H219*N219</f>
        <v>21670673.0769231</v>
      </c>
      <c r="J219" s="33" t="n">
        <f aca="false">H219-E219</f>
        <v>1730769230.76923</v>
      </c>
      <c r="K219" s="33" t="n">
        <f aca="false">D219-I219</f>
        <v>0</v>
      </c>
      <c r="L219" s="33" t="n">
        <f aca="false">G219-J219</f>
        <v>0</v>
      </c>
      <c r="M219" s="33" t="n">
        <f aca="false">F219</f>
        <v>21670673.0769231</v>
      </c>
      <c r="N219" s="64" t="n">
        <v>0.0125208333333333</v>
      </c>
      <c r="O219" s="48" t="n">
        <f aca="false">IF(AND(B219&gt;=DATE(2026,1,1),B219&lt;=Resumen!$C$5),1,0)</f>
        <v>0</v>
      </c>
      <c r="P219" s="48" t="n">
        <f aca="false">IF(AND(B219&gt;Resumen!$C$5,B219&lt;=DATE(2027,7,31)),1,0)</f>
        <v>0</v>
      </c>
    </row>
    <row r="220" customFormat="false" ht="15" hidden="false" customHeight="false" outlineLevel="0" collapsed="false">
      <c r="A220" s="38" t="n">
        <v>208</v>
      </c>
      <c r="B220" s="27" t="n">
        <v>51703</v>
      </c>
      <c r="C220" s="39" t="n">
        <v>1730769230.76923</v>
      </c>
      <c r="D220" s="39" t="n">
        <v>21670673.0769231</v>
      </c>
      <c r="E220" s="39" t="n">
        <v>0</v>
      </c>
      <c r="F220" s="39" t="n">
        <v>21670673.0769231</v>
      </c>
      <c r="G220" s="39" t="n">
        <v>1730769230.76923</v>
      </c>
      <c r="H220" s="33" t="n">
        <f aca="false">J219</f>
        <v>1730769230.76923</v>
      </c>
      <c r="I220" s="33" t="n">
        <f aca="false">H220*N220</f>
        <v>21670673.0769231</v>
      </c>
      <c r="J220" s="33" t="n">
        <f aca="false">H220-E220</f>
        <v>1730769230.76923</v>
      </c>
      <c r="K220" s="33" t="n">
        <f aca="false">D220-I220</f>
        <v>0</v>
      </c>
      <c r="L220" s="33" t="n">
        <f aca="false">G220-J220</f>
        <v>0</v>
      </c>
      <c r="M220" s="33" t="n">
        <f aca="false">F220</f>
        <v>21670673.0769231</v>
      </c>
      <c r="N220" s="64" t="n">
        <v>0.0125208333333333</v>
      </c>
      <c r="O220" s="48" t="n">
        <f aca="false">IF(AND(B220&gt;=DATE(2026,1,1),B220&lt;=Resumen!$C$5),1,0)</f>
        <v>0</v>
      </c>
      <c r="P220" s="48" t="n">
        <f aca="false">IF(AND(B220&gt;Resumen!$C$5,B220&lt;=DATE(2027,7,31)),1,0)</f>
        <v>0</v>
      </c>
    </row>
    <row r="221" customFormat="false" ht="15" hidden="false" customHeight="false" outlineLevel="0" collapsed="false">
      <c r="A221" s="38" t="n">
        <v>209</v>
      </c>
      <c r="B221" s="27" t="n">
        <v>51734</v>
      </c>
      <c r="C221" s="39" t="n">
        <v>1730769230.76923</v>
      </c>
      <c r="D221" s="39" t="n">
        <v>21670673.0769231</v>
      </c>
      <c r="E221" s="39" t="n">
        <v>0</v>
      </c>
      <c r="F221" s="39" t="n">
        <v>21670673.0769231</v>
      </c>
      <c r="G221" s="39" t="n">
        <v>1730769230.76923</v>
      </c>
      <c r="H221" s="33" t="n">
        <f aca="false">J220</f>
        <v>1730769230.76923</v>
      </c>
      <c r="I221" s="33" t="n">
        <f aca="false">H221*N221</f>
        <v>21670673.0769231</v>
      </c>
      <c r="J221" s="33" t="n">
        <f aca="false">H221-E221</f>
        <v>1730769230.76923</v>
      </c>
      <c r="K221" s="33" t="n">
        <f aca="false">D221-I221</f>
        <v>0</v>
      </c>
      <c r="L221" s="33" t="n">
        <f aca="false">G221-J221</f>
        <v>0</v>
      </c>
      <c r="M221" s="33" t="n">
        <f aca="false">F221</f>
        <v>21670673.0769231</v>
      </c>
      <c r="N221" s="64" t="n">
        <v>0.0125208333333333</v>
      </c>
      <c r="O221" s="48" t="n">
        <f aca="false">IF(AND(B221&gt;=DATE(2026,1,1),B221&lt;=Resumen!$C$5),1,0)</f>
        <v>0</v>
      </c>
      <c r="P221" s="48" t="n">
        <f aca="false">IF(AND(B221&gt;Resumen!$C$5,B221&lt;=DATE(2027,7,31)),1,0)</f>
        <v>0</v>
      </c>
    </row>
    <row r="222" customFormat="false" ht="15" hidden="false" customHeight="false" outlineLevel="0" collapsed="false">
      <c r="A222" s="38" t="n">
        <v>210</v>
      </c>
      <c r="B222" s="27" t="n">
        <v>51765</v>
      </c>
      <c r="C222" s="39" t="n">
        <v>1730769230.76923</v>
      </c>
      <c r="D222" s="39" t="n">
        <v>21670673.0769231</v>
      </c>
      <c r="E222" s="39" t="n">
        <v>288461538.461538</v>
      </c>
      <c r="F222" s="39" t="n">
        <v>310132211.538462</v>
      </c>
      <c r="G222" s="39" t="n">
        <v>1442307692.3077</v>
      </c>
      <c r="H222" s="33" t="n">
        <f aca="false">J221</f>
        <v>1730769230.76923</v>
      </c>
      <c r="I222" s="33" t="n">
        <f aca="false">H222*N222</f>
        <v>21670673.0769231</v>
      </c>
      <c r="J222" s="33" t="n">
        <f aca="false">H222-E222</f>
        <v>1442307692.3077</v>
      </c>
      <c r="K222" s="33" t="n">
        <f aca="false">D222-I222</f>
        <v>0</v>
      </c>
      <c r="L222" s="33" t="n">
        <f aca="false">G222-J222</f>
        <v>0</v>
      </c>
      <c r="M222" s="33" t="n">
        <f aca="false">F222</f>
        <v>310132211.538462</v>
      </c>
      <c r="N222" s="64" t="n">
        <v>0.0125208333333333</v>
      </c>
      <c r="O222" s="48" t="n">
        <f aca="false">IF(AND(B222&gt;=DATE(2026,1,1),B222&lt;=Resumen!$C$5),1,0)</f>
        <v>0</v>
      </c>
      <c r="P222" s="48" t="n">
        <f aca="false">IF(AND(B222&gt;Resumen!$C$5,B222&lt;=DATE(2027,7,31)),1,0)</f>
        <v>0</v>
      </c>
    </row>
    <row r="223" customFormat="false" ht="15" hidden="false" customHeight="false" outlineLevel="0" collapsed="false">
      <c r="A223" s="38" t="n">
        <v>211</v>
      </c>
      <c r="B223" s="27" t="n">
        <v>51795</v>
      </c>
      <c r="C223" s="39" t="n">
        <v>1442307692.3077</v>
      </c>
      <c r="D223" s="39" t="n">
        <v>18058894.2307693</v>
      </c>
      <c r="E223" s="39" t="n">
        <v>0</v>
      </c>
      <c r="F223" s="39" t="n">
        <v>18058894.2307693</v>
      </c>
      <c r="G223" s="39" t="n">
        <v>1442307692.3077</v>
      </c>
      <c r="H223" s="33" t="n">
        <f aca="false">J222</f>
        <v>1442307692.3077</v>
      </c>
      <c r="I223" s="33" t="n">
        <f aca="false">H223*N223</f>
        <v>18058894.2307693</v>
      </c>
      <c r="J223" s="33" t="n">
        <f aca="false">H223-E223</f>
        <v>1442307692.3077</v>
      </c>
      <c r="K223" s="33" t="n">
        <f aca="false">D223-I223</f>
        <v>0</v>
      </c>
      <c r="L223" s="33" t="n">
        <f aca="false">G223-J223</f>
        <v>0</v>
      </c>
      <c r="M223" s="33" t="n">
        <f aca="false">F223</f>
        <v>18058894.2307693</v>
      </c>
      <c r="N223" s="64" t="n">
        <v>0.0125208333333333</v>
      </c>
      <c r="O223" s="48" t="n">
        <f aca="false">IF(AND(B223&gt;=DATE(2026,1,1),B223&lt;=Resumen!$C$5),1,0)</f>
        <v>0</v>
      </c>
      <c r="P223" s="48" t="n">
        <f aca="false">IF(AND(B223&gt;Resumen!$C$5,B223&lt;=DATE(2027,7,31)),1,0)</f>
        <v>0</v>
      </c>
    </row>
    <row r="224" customFormat="false" ht="15" hidden="false" customHeight="false" outlineLevel="0" collapsed="false">
      <c r="A224" s="38" t="n">
        <v>212</v>
      </c>
      <c r="B224" s="27" t="n">
        <v>51826</v>
      </c>
      <c r="C224" s="39" t="n">
        <v>1442307692.3077</v>
      </c>
      <c r="D224" s="39" t="n">
        <v>18058894.2307693</v>
      </c>
      <c r="E224" s="39" t="n">
        <v>0</v>
      </c>
      <c r="F224" s="39" t="n">
        <v>18058894.2307693</v>
      </c>
      <c r="G224" s="39" t="n">
        <v>1442307692.3077</v>
      </c>
      <c r="H224" s="33" t="n">
        <f aca="false">J223</f>
        <v>1442307692.3077</v>
      </c>
      <c r="I224" s="33" t="n">
        <f aca="false">H224*N224</f>
        <v>18058894.2307693</v>
      </c>
      <c r="J224" s="33" t="n">
        <f aca="false">H224-E224</f>
        <v>1442307692.3077</v>
      </c>
      <c r="K224" s="33" t="n">
        <f aca="false">D224-I224</f>
        <v>0</v>
      </c>
      <c r="L224" s="33" t="n">
        <f aca="false">G224-J224</f>
        <v>0</v>
      </c>
      <c r="M224" s="33" t="n">
        <f aca="false">F224</f>
        <v>18058894.2307693</v>
      </c>
      <c r="N224" s="64" t="n">
        <v>0.0125208333333333</v>
      </c>
      <c r="O224" s="48" t="n">
        <f aca="false">IF(AND(B224&gt;=DATE(2026,1,1),B224&lt;=Resumen!$C$5),1,0)</f>
        <v>0</v>
      </c>
      <c r="P224" s="48" t="n">
        <f aca="false">IF(AND(B224&gt;Resumen!$C$5,B224&lt;=DATE(2027,7,31)),1,0)</f>
        <v>0</v>
      </c>
    </row>
    <row r="225" customFormat="false" ht="15" hidden="false" customHeight="false" outlineLevel="0" collapsed="false">
      <c r="A225" s="38" t="n">
        <v>213</v>
      </c>
      <c r="B225" s="27" t="n">
        <v>51856</v>
      </c>
      <c r="C225" s="39" t="n">
        <v>1442307692.3077</v>
      </c>
      <c r="D225" s="39" t="n">
        <v>18058894.2307693</v>
      </c>
      <c r="E225" s="39" t="n">
        <v>0</v>
      </c>
      <c r="F225" s="39" t="n">
        <v>18058894.2307693</v>
      </c>
      <c r="G225" s="39" t="n">
        <v>1442307692.3077</v>
      </c>
      <c r="H225" s="33" t="n">
        <f aca="false">J224</f>
        <v>1442307692.3077</v>
      </c>
      <c r="I225" s="33" t="n">
        <f aca="false">H225*N225</f>
        <v>18058894.2307693</v>
      </c>
      <c r="J225" s="33" t="n">
        <f aca="false">H225-E225</f>
        <v>1442307692.3077</v>
      </c>
      <c r="K225" s="33" t="n">
        <f aca="false">D225-I225</f>
        <v>0</v>
      </c>
      <c r="L225" s="33" t="n">
        <f aca="false">G225-J225</f>
        <v>0</v>
      </c>
      <c r="M225" s="33" t="n">
        <f aca="false">F225</f>
        <v>18058894.2307693</v>
      </c>
      <c r="N225" s="64" t="n">
        <v>0.0125208333333333</v>
      </c>
      <c r="O225" s="48" t="n">
        <f aca="false">IF(AND(B225&gt;=DATE(2026,1,1),B225&lt;=Resumen!$C$5),1,0)</f>
        <v>0</v>
      </c>
      <c r="P225" s="48" t="n">
        <f aca="false">IF(AND(B225&gt;Resumen!$C$5,B225&lt;=DATE(2027,7,31)),1,0)</f>
        <v>0</v>
      </c>
    </row>
    <row r="226" customFormat="false" ht="15" hidden="false" customHeight="false" outlineLevel="0" collapsed="false">
      <c r="A226" s="38" t="n">
        <v>214</v>
      </c>
      <c r="B226" s="27" t="n">
        <v>51887</v>
      </c>
      <c r="C226" s="39" t="n">
        <v>1442307692.3077</v>
      </c>
      <c r="D226" s="39" t="n">
        <v>18058894.2307693</v>
      </c>
      <c r="E226" s="39" t="n">
        <v>0</v>
      </c>
      <c r="F226" s="39" t="n">
        <v>18058894.2307693</v>
      </c>
      <c r="G226" s="39" t="n">
        <v>1442307692.3077</v>
      </c>
      <c r="H226" s="33" t="n">
        <f aca="false">J225</f>
        <v>1442307692.3077</v>
      </c>
      <c r="I226" s="33" t="n">
        <f aca="false">H226*N226</f>
        <v>18058894.2307693</v>
      </c>
      <c r="J226" s="33" t="n">
        <f aca="false">H226-E226</f>
        <v>1442307692.3077</v>
      </c>
      <c r="K226" s="33" t="n">
        <f aca="false">D226-I226</f>
        <v>0</v>
      </c>
      <c r="L226" s="33" t="n">
        <f aca="false">G226-J226</f>
        <v>0</v>
      </c>
      <c r="M226" s="33" t="n">
        <f aca="false">F226</f>
        <v>18058894.2307693</v>
      </c>
      <c r="N226" s="64" t="n">
        <v>0.0125208333333333</v>
      </c>
      <c r="O226" s="48" t="n">
        <f aca="false">IF(AND(B226&gt;=DATE(2026,1,1),B226&lt;=Resumen!$C$5),1,0)</f>
        <v>0</v>
      </c>
      <c r="P226" s="48" t="n">
        <f aca="false">IF(AND(B226&gt;Resumen!$C$5,B226&lt;=DATE(2027,7,31)),1,0)</f>
        <v>0</v>
      </c>
    </row>
    <row r="227" customFormat="false" ht="15" hidden="false" customHeight="false" outlineLevel="0" collapsed="false">
      <c r="A227" s="38" t="n">
        <v>215</v>
      </c>
      <c r="B227" s="27" t="n">
        <v>51918</v>
      </c>
      <c r="C227" s="39" t="n">
        <v>1442307692.3077</v>
      </c>
      <c r="D227" s="39" t="n">
        <v>18058894.2307693</v>
      </c>
      <c r="E227" s="39" t="n">
        <v>0</v>
      </c>
      <c r="F227" s="39" t="n">
        <v>18058894.2307693</v>
      </c>
      <c r="G227" s="39" t="n">
        <v>1442307692.3077</v>
      </c>
      <c r="H227" s="33" t="n">
        <f aca="false">J226</f>
        <v>1442307692.3077</v>
      </c>
      <c r="I227" s="33" t="n">
        <f aca="false">H227*N227</f>
        <v>18058894.2307693</v>
      </c>
      <c r="J227" s="33" t="n">
        <f aca="false">H227-E227</f>
        <v>1442307692.3077</v>
      </c>
      <c r="K227" s="33" t="n">
        <f aca="false">D227-I227</f>
        <v>0</v>
      </c>
      <c r="L227" s="33" t="n">
        <f aca="false">G227-J227</f>
        <v>0</v>
      </c>
      <c r="M227" s="33" t="n">
        <f aca="false">F227</f>
        <v>18058894.2307693</v>
      </c>
      <c r="N227" s="64" t="n">
        <v>0.0125208333333333</v>
      </c>
      <c r="O227" s="48" t="n">
        <f aca="false">IF(AND(B227&gt;=DATE(2026,1,1),B227&lt;=Resumen!$C$5),1,0)</f>
        <v>0</v>
      </c>
      <c r="P227" s="48" t="n">
        <f aca="false">IF(AND(B227&gt;Resumen!$C$5,B227&lt;=DATE(2027,7,31)),1,0)</f>
        <v>0</v>
      </c>
    </row>
    <row r="228" customFormat="false" ht="15" hidden="false" customHeight="false" outlineLevel="0" collapsed="false">
      <c r="A228" s="38" t="n">
        <v>216</v>
      </c>
      <c r="B228" s="27" t="n">
        <v>51946</v>
      </c>
      <c r="C228" s="39" t="n">
        <v>1442307692.3077</v>
      </c>
      <c r="D228" s="39" t="n">
        <v>18058894.2307693</v>
      </c>
      <c r="E228" s="39" t="n">
        <v>288461538.461538</v>
      </c>
      <c r="F228" s="39" t="n">
        <v>306520432.692308</v>
      </c>
      <c r="G228" s="39" t="n">
        <v>1153846153.84616</v>
      </c>
      <c r="H228" s="33" t="n">
        <f aca="false">J227</f>
        <v>1442307692.3077</v>
      </c>
      <c r="I228" s="33" t="n">
        <f aca="false">H228*N228</f>
        <v>18058894.2307693</v>
      </c>
      <c r="J228" s="33" t="n">
        <f aca="false">H228-E228</f>
        <v>1153846153.84616</v>
      </c>
      <c r="K228" s="33" t="n">
        <f aca="false">D228-I228</f>
        <v>0</v>
      </c>
      <c r="L228" s="33" t="n">
        <f aca="false">G228-J228</f>
        <v>0</v>
      </c>
      <c r="M228" s="33" t="n">
        <f aca="false">F228</f>
        <v>306520432.692308</v>
      </c>
      <c r="N228" s="64" t="n">
        <v>0.0125208333333333</v>
      </c>
      <c r="O228" s="48" t="n">
        <f aca="false">IF(AND(B228&gt;=DATE(2026,1,1),B228&lt;=Resumen!$C$5),1,0)</f>
        <v>0</v>
      </c>
      <c r="P228" s="48" t="n">
        <f aca="false">IF(AND(B228&gt;Resumen!$C$5,B228&lt;=DATE(2027,7,31)),1,0)</f>
        <v>0</v>
      </c>
    </row>
    <row r="229" customFormat="false" ht="15" hidden="false" customHeight="false" outlineLevel="0" collapsed="false">
      <c r="A229" s="38" t="n">
        <v>217</v>
      </c>
      <c r="B229" s="27" t="n">
        <v>51977</v>
      </c>
      <c r="C229" s="39" t="n">
        <v>1153846153.84616</v>
      </c>
      <c r="D229" s="39" t="n">
        <v>14447115.3846154</v>
      </c>
      <c r="E229" s="39" t="n">
        <v>0</v>
      </c>
      <c r="F229" s="39" t="n">
        <v>14447115.3846154</v>
      </c>
      <c r="G229" s="39" t="n">
        <v>1153846153.84616</v>
      </c>
      <c r="H229" s="33" t="n">
        <f aca="false">J228</f>
        <v>1153846153.84616</v>
      </c>
      <c r="I229" s="33" t="n">
        <f aca="false">H229*N229</f>
        <v>14447115.3846154</v>
      </c>
      <c r="J229" s="33" t="n">
        <f aca="false">H229-E229</f>
        <v>1153846153.84616</v>
      </c>
      <c r="K229" s="33" t="n">
        <f aca="false">D229-I229</f>
        <v>0</v>
      </c>
      <c r="L229" s="33" t="n">
        <f aca="false">G229-J229</f>
        <v>0</v>
      </c>
      <c r="M229" s="33" t="n">
        <f aca="false">F229</f>
        <v>14447115.3846154</v>
      </c>
      <c r="N229" s="64" t="n">
        <v>0.0125208333333333</v>
      </c>
      <c r="O229" s="48" t="n">
        <f aca="false">IF(AND(B229&gt;=DATE(2026,1,1),B229&lt;=Resumen!$C$5),1,0)</f>
        <v>0</v>
      </c>
      <c r="P229" s="48" t="n">
        <f aca="false">IF(AND(B229&gt;Resumen!$C$5,B229&lt;=DATE(2027,7,31)),1,0)</f>
        <v>0</v>
      </c>
    </row>
    <row r="230" customFormat="false" ht="15" hidden="false" customHeight="false" outlineLevel="0" collapsed="false">
      <c r="A230" s="38" t="n">
        <v>218</v>
      </c>
      <c r="B230" s="27" t="n">
        <v>52007</v>
      </c>
      <c r="C230" s="39" t="n">
        <v>1153846153.84616</v>
      </c>
      <c r="D230" s="39" t="n">
        <v>14447115.3846154</v>
      </c>
      <c r="E230" s="39" t="n">
        <v>0</v>
      </c>
      <c r="F230" s="39" t="n">
        <v>14447115.3846154</v>
      </c>
      <c r="G230" s="39" t="n">
        <v>1153846153.84616</v>
      </c>
      <c r="H230" s="33" t="n">
        <f aca="false">J229</f>
        <v>1153846153.84616</v>
      </c>
      <c r="I230" s="33" t="n">
        <f aca="false">H230*N230</f>
        <v>14447115.3846154</v>
      </c>
      <c r="J230" s="33" t="n">
        <f aca="false">H230-E230</f>
        <v>1153846153.84616</v>
      </c>
      <c r="K230" s="33" t="n">
        <f aca="false">D230-I230</f>
        <v>0</v>
      </c>
      <c r="L230" s="33" t="n">
        <f aca="false">G230-J230</f>
        <v>0</v>
      </c>
      <c r="M230" s="33" t="n">
        <f aca="false">F230</f>
        <v>14447115.3846154</v>
      </c>
      <c r="N230" s="64" t="n">
        <v>0.0125208333333333</v>
      </c>
      <c r="O230" s="48" t="n">
        <f aca="false">IF(AND(B230&gt;=DATE(2026,1,1),B230&lt;=Resumen!$C$5),1,0)</f>
        <v>0</v>
      </c>
      <c r="P230" s="48" t="n">
        <f aca="false">IF(AND(B230&gt;Resumen!$C$5,B230&lt;=DATE(2027,7,31)),1,0)</f>
        <v>0</v>
      </c>
    </row>
    <row r="231" customFormat="false" ht="15" hidden="false" customHeight="false" outlineLevel="0" collapsed="false">
      <c r="A231" s="38" t="n">
        <v>219</v>
      </c>
      <c r="B231" s="27" t="n">
        <v>52038</v>
      </c>
      <c r="C231" s="39" t="n">
        <v>1153846153.84616</v>
      </c>
      <c r="D231" s="39" t="n">
        <v>14447115.3846154</v>
      </c>
      <c r="E231" s="39" t="n">
        <v>0</v>
      </c>
      <c r="F231" s="39" t="n">
        <v>14447115.3846154</v>
      </c>
      <c r="G231" s="39" t="n">
        <v>1153846153.84616</v>
      </c>
      <c r="H231" s="33" t="n">
        <f aca="false">J230</f>
        <v>1153846153.84616</v>
      </c>
      <c r="I231" s="33" t="n">
        <f aca="false">H231*N231</f>
        <v>14447115.3846154</v>
      </c>
      <c r="J231" s="33" t="n">
        <f aca="false">H231-E231</f>
        <v>1153846153.84616</v>
      </c>
      <c r="K231" s="33" t="n">
        <f aca="false">D231-I231</f>
        <v>0</v>
      </c>
      <c r="L231" s="33" t="n">
        <f aca="false">G231-J231</f>
        <v>0</v>
      </c>
      <c r="M231" s="33" t="n">
        <f aca="false">F231</f>
        <v>14447115.3846154</v>
      </c>
      <c r="N231" s="64" t="n">
        <v>0.0125208333333333</v>
      </c>
      <c r="O231" s="48" t="n">
        <f aca="false">IF(AND(B231&gt;=DATE(2026,1,1),B231&lt;=Resumen!$C$5),1,0)</f>
        <v>0</v>
      </c>
      <c r="P231" s="48" t="n">
        <f aca="false">IF(AND(B231&gt;Resumen!$C$5,B231&lt;=DATE(2027,7,31)),1,0)</f>
        <v>0</v>
      </c>
    </row>
    <row r="232" customFormat="false" ht="15" hidden="false" customHeight="false" outlineLevel="0" collapsed="false">
      <c r="A232" s="38" t="n">
        <v>220</v>
      </c>
      <c r="B232" s="27" t="n">
        <v>52068</v>
      </c>
      <c r="C232" s="39" t="n">
        <v>1153846153.84616</v>
      </c>
      <c r="D232" s="39" t="n">
        <v>14447115.3846154</v>
      </c>
      <c r="E232" s="39" t="n">
        <v>0</v>
      </c>
      <c r="F232" s="39" t="n">
        <v>14447115.3846154</v>
      </c>
      <c r="G232" s="39" t="n">
        <v>1153846153.84616</v>
      </c>
      <c r="H232" s="33" t="n">
        <f aca="false">J231</f>
        <v>1153846153.84616</v>
      </c>
      <c r="I232" s="33" t="n">
        <f aca="false">H232*N232</f>
        <v>14447115.3846154</v>
      </c>
      <c r="J232" s="33" t="n">
        <f aca="false">H232-E232</f>
        <v>1153846153.84616</v>
      </c>
      <c r="K232" s="33" t="n">
        <f aca="false">D232-I232</f>
        <v>0</v>
      </c>
      <c r="L232" s="33" t="n">
        <f aca="false">G232-J232</f>
        <v>0</v>
      </c>
      <c r="M232" s="33" t="n">
        <f aca="false">F232</f>
        <v>14447115.3846154</v>
      </c>
      <c r="N232" s="64" t="n">
        <v>0.0125208333333333</v>
      </c>
      <c r="O232" s="48" t="n">
        <f aca="false">IF(AND(B232&gt;=DATE(2026,1,1),B232&lt;=Resumen!$C$5),1,0)</f>
        <v>0</v>
      </c>
      <c r="P232" s="48" t="n">
        <f aca="false">IF(AND(B232&gt;Resumen!$C$5,B232&lt;=DATE(2027,7,31)),1,0)</f>
        <v>0</v>
      </c>
    </row>
    <row r="233" customFormat="false" ht="15" hidden="false" customHeight="false" outlineLevel="0" collapsed="false">
      <c r="A233" s="38" t="n">
        <v>221</v>
      </c>
      <c r="B233" s="27" t="n">
        <v>52099</v>
      </c>
      <c r="C233" s="39" t="n">
        <v>1153846153.84616</v>
      </c>
      <c r="D233" s="39" t="n">
        <v>14447115.3846154</v>
      </c>
      <c r="E233" s="39" t="n">
        <v>0</v>
      </c>
      <c r="F233" s="39" t="n">
        <v>14447115.3846154</v>
      </c>
      <c r="G233" s="39" t="n">
        <v>1153846153.84616</v>
      </c>
      <c r="H233" s="33" t="n">
        <f aca="false">J232</f>
        <v>1153846153.84616</v>
      </c>
      <c r="I233" s="33" t="n">
        <f aca="false">H233*N233</f>
        <v>14447115.3846154</v>
      </c>
      <c r="J233" s="33" t="n">
        <f aca="false">H233-E233</f>
        <v>1153846153.84616</v>
      </c>
      <c r="K233" s="33" t="n">
        <f aca="false">D233-I233</f>
        <v>0</v>
      </c>
      <c r="L233" s="33" t="n">
        <f aca="false">G233-J233</f>
        <v>0</v>
      </c>
      <c r="M233" s="33" t="n">
        <f aca="false">F233</f>
        <v>14447115.3846154</v>
      </c>
      <c r="N233" s="64" t="n">
        <v>0.0125208333333333</v>
      </c>
      <c r="O233" s="48" t="n">
        <f aca="false">IF(AND(B233&gt;=DATE(2026,1,1),B233&lt;=Resumen!$C$5),1,0)</f>
        <v>0</v>
      </c>
      <c r="P233" s="48" t="n">
        <f aca="false">IF(AND(B233&gt;Resumen!$C$5,B233&lt;=DATE(2027,7,31)),1,0)</f>
        <v>0</v>
      </c>
    </row>
    <row r="234" customFormat="false" ht="15" hidden="false" customHeight="false" outlineLevel="0" collapsed="false">
      <c r="A234" s="38" t="n">
        <v>222</v>
      </c>
      <c r="B234" s="27" t="n">
        <v>52130</v>
      </c>
      <c r="C234" s="39" t="n">
        <v>1153846153.84616</v>
      </c>
      <c r="D234" s="39" t="n">
        <v>14447115.3846154</v>
      </c>
      <c r="E234" s="39" t="n">
        <v>288461538.461538</v>
      </c>
      <c r="F234" s="39" t="n">
        <v>302908653.846154</v>
      </c>
      <c r="G234" s="39" t="n">
        <v>865384615.384619</v>
      </c>
      <c r="H234" s="33" t="n">
        <f aca="false">J233</f>
        <v>1153846153.84616</v>
      </c>
      <c r="I234" s="33" t="n">
        <f aca="false">H234*N234</f>
        <v>14447115.3846154</v>
      </c>
      <c r="J234" s="33" t="n">
        <f aca="false">H234-E234</f>
        <v>865384615.384619</v>
      </c>
      <c r="K234" s="33" t="n">
        <f aca="false">D234-I234</f>
        <v>0</v>
      </c>
      <c r="L234" s="33" t="n">
        <f aca="false">G234-J234</f>
        <v>0</v>
      </c>
      <c r="M234" s="33" t="n">
        <f aca="false">F234</f>
        <v>302908653.846154</v>
      </c>
      <c r="N234" s="64" t="n">
        <v>0.0125208333333333</v>
      </c>
      <c r="O234" s="48" t="n">
        <f aca="false">IF(AND(B234&gt;=DATE(2026,1,1),B234&lt;=Resumen!$C$5),1,0)</f>
        <v>0</v>
      </c>
      <c r="P234" s="48" t="n">
        <f aca="false">IF(AND(B234&gt;Resumen!$C$5,B234&lt;=DATE(2027,7,31)),1,0)</f>
        <v>0</v>
      </c>
    </row>
    <row r="235" customFormat="false" ht="15" hidden="false" customHeight="false" outlineLevel="0" collapsed="false">
      <c r="A235" s="38" t="n">
        <v>223</v>
      </c>
      <c r="B235" s="27" t="n">
        <v>52160</v>
      </c>
      <c r="C235" s="39" t="n">
        <v>865384615.384619</v>
      </c>
      <c r="D235" s="39" t="n">
        <v>10835336.5384616</v>
      </c>
      <c r="E235" s="39" t="n">
        <v>0</v>
      </c>
      <c r="F235" s="39" t="n">
        <v>10835336.5384616</v>
      </c>
      <c r="G235" s="39" t="n">
        <v>865384615.384619</v>
      </c>
      <c r="H235" s="33" t="n">
        <f aca="false">J234</f>
        <v>865384615.384619</v>
      </c>
      <c r="I235" s="33" t="n">
        <f aca="false">H235*N235</f>
        <v>10835336.5384616</v>
      </c>
      <c r="J235" s="33" t="n">
        <f aca="false">H235-E235</f>
        <v>865384615.384619</v>
      </c>
      <c r="K235" s="33" t="n">
        <f aca="false">D235-I235</f>
        <v>0</v>
      </c>
      <c r="L235" s="33" t="n">
        <f aca="false">G235-J235</f>
        <v>0</v>
      </c>
      <c r="M235" s="33" t="n">
        <f aca="false">F235</f>
        <v>10835336.5384616</v>
      </c>
      <c r="N235" s="64" t="n">
        <v>0.0125208333333333</v>
      </c>
      <c r="O235" s="48" t="n">
        <f aca="false">IF(AND(B235&gt;=DATE(2026,1,1),B235&lt;=Resumen!$C$5),1,0)</f>
        <v>0</v>
      </c>
      <c r="P235" s="48" t="n">
        <f aca="false">IF(AND(B235&gt;Resumen!$C$5,B235&lt;=DATE(2027,7,31)),1,0)</f>
        <v>0</v>
      </c>
    </row>
    <row r="236" customFormat="false" ht="15" hidden="false" customHeight="false" outlineLevel="0" collapsed="false">
      <c r="A236" s="38" t="n">
        <v>224</v>
      </c>
      <c r="B236" s="27" t="n">
        <v>52191</v>
      </c>
      <c r="C236" s="39" t="n">
        <v>865384615.384619</v>
      </c>
      <c r="D236" s="39" t="n">
        <v>10835336.5384616</v>
      </c>
      <c r="E236" s="39" t="n">
        <v>0</v>
      </c>
      <c r="F236" s="39" t="n">
        <v>10835336.5384616</v>
      </c>
      <c r="G236" s="39" t="n">
        <v>865384615.384619</v>
      </c>
      <c r="H236" s="33" t="n">
        <f aca="false">J235</f>
        <v>865384615.384619</v>
      </c>
      <c r="I236" s="33" t="n">
        <f aca="false">H236*N236</f>
        <v>10835336.5384616</v>
      </c>
      <c r="J236" s="33" t="n">
        <f aca="false">H236-E236</f>
        <v>865384615.384619</v>
      </c>
      <c r="K236" s="33" t="n">
        <f aca="false">D236-I236</f>
        <v>0</v>
      </c>
      <c r="L236" s="33" t="n">
        <f aca="false">G236-J236</f>
        <v>0</v>
      </c>
      <c r="M236" s="33" t="n">
        <f aca="false">F236</f>
        <v>10835336.5384616</v>
      </c>
      <c r="N236" s="64" t="n">
        <v>0.0125208333333333</v>
      </c>
      <c r="O236" s="48" t="n">
        <f aca="false">IF(AND(B236&gt;=DATE(2026,1,1),B236&lt;=Resumen!$C$5),1,0)</f>
        <v>0</v>
      </c>
      <c r="P236" s="48" t="n">
        <f aca="false">IF(AND(B236&gt;Resumen!$C$5,B236&lt;=DATE(2027,7,31)),1,0)</f>
        <v>0</v>
      </c>
    </row>
    <row r="237" customFormat="false" ht="15" hidden="false" customHeight="false" outlineLevel="0" collapsed="false">
      <c r="A237" s="38" t="n">
        <v>225</v>
      </c>
      <c r="B237" s="27" t="n">
        <v>52221</v>
      </c>
      <c r="C237" s="39" t="n">
        <v>865384615.384619</v>
      </c>
      <c r="D237" s="39" t="n">
        <v>10835336.5384616</v>
      </c>
      <c r="E237" s="39" t="n">
        <v>0</v>
      </c>
      <c r="F237" s="39" t="n">
        <v>10835336.5384616</v>
      </c>
      <c r="G237" s="39" t="n">
        <v>865384615.384619</v>
      </c>
      <c r="H237" s="33" t="n">
        <f aca="false">J236</f>
        <v>865384615.384619</v>
      </c>
      <c r="I237" s="33" t="n">
        <f aca="false">H237*N237</f>
        <v>10835336.5384616</v>
      </c>
      <c r="J237" s="33" t="n">
        <f aca="false">H237-E237</f>
        <v>865384615.384619</v>
      </c>
      <c r="K237" s="33" t="n">
        <f aca="false">D237-I237</f>
        <v>0</v>
      </c>
      <c r="L237" s="33" t="n">
        <f aca="false">G237-J237</f>
        <v>0</v>
      </c>
      <c r="M237" s="33" t="n">
        <f aca="false">F237</f>
        <v>10835336.5384616</v>
      </c>
      <c r="N237" s="64" t="n">
        <v>0.0125208333333333</v>
      </c>
      <c r="O237" s="48" t="n">
        <f aca="false">IF(AND(B237&gt;=DATE(2026,1,1),B237&lt;=Resumen!$C$5),1,0)</f>
        <v>0</v>
      </c>
      <c r="P237" s="48" t="n">
        <f aca="false">IF(AND(B237&gt;Resumen!$C$5,B237&lt;=DATE(2027,7,31)),1,0)</f>
        <v>0</v>
      </c>
    </row>
    <row r="238" customFormat="false" ht="15" hidden="false" customHeight="false" outlineLevel="0" collapsed="false">
      <c r="A238" s="38" t="n">
        <v>226</v>
      </c>
      <c r="B238" s="27" t="n">
        <v>52252</v>
      </c>
      <c r="C238" s="39" t="n">
        <v>865384615.384619</v>
      </c>
      <c r="D238" s="39" t="n">
        <v>10835336.5384616</v>
      </c>
      <c r="E238" s="39" t="n">
        <v>0</v>
      </c>
      <c r="F238" s="39" t="n">
        <v>10835336.5384616</v>
      </c>
      <c r="G238" s="39" t="n">
        <v>865384615.384619</v>
      </c>
      <c r="H238" s="33" t="n">
        <f aca="false">J237</f>
        <v>865384615.384619</v>
      </c>
      <c r="I238" s="33" t="n">
        <f aca="false">H238*N238</f>
        <v>10835336.5384616</v>
      </c>
      <c r="J238" s="33" t="n">
        <f aca="false">H238-E238</f>
        <v>865384615.384619</v>
      </c>
      <c r="K238" s="33" t="n">
        <f aca="false">D238-I238</f>
        <v>0</v>
      </c>
      <c r="L238" s="33" t="n">
        <f aca="false">G238-J238</f>
        <v>0</v>
      </c>
      <c r="M238" s="33" t="n">
        <f aca="false">F238</f>
        <v>10835336.5384616</v>
      </c>
      <c r="N238" s="64" t="n">
        <v>0.0125208333333333</v>
      </c>
      <c r="O238" s="48" t="n">
        <f aca="false">IF(AND(B238&gt;=DATE(2026,1,1),B238&lt;=Resumen!$C$5),1,0)</f>
        <v>0</v>
      </c>
      <c r="P238" s="48" t="n">
        <f aca="false">IF(AND(B238&gt;Resumen!$C$5,B238&lt;=DATE(2027,7,31)),1,0)</f>
        <v>0</v>
      </c>
    </row>
    <row r="239" customFormat="false" ht="15" hidden="false" customHeight="false" outlineLevel="0" collapsed="false">
      <c r="A239" s="38" t="n">
        <v>227</v>
      </c>
      <c r="B239" s="27" t="n">
        <v>52283</v>
      </c>
      <c r="C239" s="39" t="n">
        <v>865384615.384619</v>
      </c>
      <c r="D239" s="39" t="n">
        <v>10835336.5384616</v>
      </c>
      <c r="E239" s="39" t="n">
        <v>0</v>
      </c>
      <c r="F239" s="39" t="n">
        <v>10835336.5384616</v>
      </c>
      <c r="G239" s="39" t="n">
        <v>865384615.384619</v>
      </c>
      <c r="H239" s="33" t="n">
        <f aca="false">J238</f>
        <v>865384615.384619</v>
      </c>
      <c r="I239" s="33" t="n">
        <f aca="false">H239*N239</f>
        <v>10835336.5384616</v>
      </c>
      <c r="J239" s="33" t="n">
        <f aca="false">H239-E239</f>
        <v>865384615.384619</v>
      </c>
      <c r="K239" s="33" t="n">
        <f aca="false">D239-I239</f>
        <v>0</v>
      </c>
      <c r="L239" s="33" t="n">
        <f aca="false">G239-J239</f>
        <v>0</v>
      </c>
      <c r="M239" s="33" t="n">
        <f aca="false">F239</f>
        <v>10835336.5384616</v>
      </c>
      <c r="N239" s="64" t="n">
        <v>0.0125208333333333</v>
      </c>
      <c r="O239" s="48" t="n">
        <f aca="false">IF(AND(B239&gt;=DATE(2026,1,1),B239&lt;=Resumen!$C$5),1,0)</f>
        <v>0</v>
      </c>
      <c r="P239" s="48" t="n">
        <f aca="false">IF(AND(B239&gt;Resumen!$C$5,B239&lt;=DATE(2027,7,31)),1,0)</f>
        <v>0</v>
      </c>
    </row>
    <row r="240" customFormat="false" ht="15" hidden="false" customHeight="false" outlineLevel="0" collapsed="false">
      <c r="A240" s="38" t="n">
        <v>228</v>
      </c>
      <c r="B240" s="27" t="n">
        <v>52311</v>
      </c>
      <c r="C240" s="39" t="n">
        <v>865384615.384619</v>
      </c>
      <c r="D240" s="39" t="n">
        <v>10835336.5384616</v>
      </c>
      <c r="E240" s="39" t="n">
        <v>288461538.461538</v>
      </c>
      <c r="F240" s="39" t="n">
        <v>299296875</v>
      </c>
      <c r="G240" s="39" t="n">
        <v>576923076.92308</v>
      </c>
      <c r="H240" s="33" t="n">
        <f aca="false">J239</f>
        <v>865384615.384619</v>
      </c>
      <c r="I240" s="33" t="n">
        <f aca="false">H240*N240</f>
        <v>10835336.5384616</v>
      </c>
      <c r="J240" s="33" t="n">
        <f aca="false">H240-E240</f>
        <v>576923076.92308</v>
      </c>
      <c r="K240" s="33" t="n">
        <f aca="false">D240-I240</f>
        <v>0</v>
      </c>
      <c r="L240" s="33" t="n">
        <f aca="false">G240-J240</f>
        <v>0</v>
      </c>
      <c r="M240" s="33" t="n">
        <f aca="false">F240</f>
        <v>299296875</v>
      </c>
      <c r="N240" s="64" t="n">
        <v>0.0125208333333333</v>
      </c>
      <c r="O240" s="48" t="n">
        <f aca="false">IF(AND(B240&gt;=DATE(2026,1,1),B240&lt;=Resumen!$C$5),1,0)</f>
        <v>0</v>
      </c>
      <c r="P240" s="48" t="n">
        <f aca="false">IF(AND(B240&gt;Resumen!$C$5,B240&lt;=DATE(2027,7,31)),1,0)</f>
        <v>0</v>
      </c>
    </row>
    <row r="241" customFormat="false" ht="15" hidden="false" customHeight="false" outlineLevel="0" collapsed="false">
      <c r="A241" s="38" t="n">
        <v>229</v>
      </c>
      <c r="B241" s="27" t="n">
        <v>52342</v>
      </c>
      <c r="C241" s="39" t="n">
        <v>576923076.92308</v>
      </c>
      <c r="D241" s="39" t="n">
        <v>7223557.69230773</v>
      </c>
      <c r="E241" s="39" t="n">
        <v>0</v>
      </c>
      <c r="F241" s="39" t="n">
        <v>7223557.69230773</v>
      </c>
      <c r="G241" s="39" t="n">
        <v>576923076.92308</v>
      </c>
      <c r="H241" s="33" t="n">
        <f aca="false">J240</f>
        <v>576923076.92308</v>
      </c>
      <c r="I241" s="33" t="n">
        <f aca="false">H241*N241</f>
        <v>7223557.69230774</v>
      </c>
      <c r="J241" s="33" t="n">
        <f aca="false">H241-E241</f>
        <v>576923076.92308</v>
      </c>
      <c r="K241" s="33" t="n">
        <f aca="false">D241-I241</f>
        <v>0</v>
      </c>
      <c r="L241" s="33" t="n">
        <f aca="false">G241-J241</f>
        <v>0</v>
      </c>
      <c r="M241" s="33" t="n">
        <f aca="false">F241</f>
        <v>7223557.69230773</v>
      </c>
      <c r="N241" s="64" t="n">
        <v>0.0125208333333333</v>
      </c>
      <c r="O241" s="48" t="n">
        <f aca="false">IF(AND(B241&gt;=DATE(2026,1,1),B241&lt;=Resumen!$C$5),1,0)</f>
        <v>0</v>
      </c>
      <c r="P241" s="48" t="n">
        <f aca="false">IF(AND(B241&gt;Resumen!$C$5,B241&lt;=DATE(2027,7,31)),1,0)</f>
        <v>0</v>
      </c>
    </row>
    <row r="242" customFormat="false" ht="15" hidden="false" customHeight="false" outlineLevel="0" collapsed="false">
      <c r="A242" s="38" t="n">
        <v>230</v>
      </c>
      <c r="B242" s="27" t="n">
        <v>52372</v>
      </c>
      <c r="C242" s="39" t="n">
        <v>576923076.92308</v>
      </c>
      <c r="D242" s="39" t="n">
        <v>7223557.69230773</v>
      </c>
      <c r="E242" s="39" t="n">
        <v>0</v>
      </c>
      <c r="F242" s="39" t="n">
        <v>7223557.69230773</v>
      </c>
      <c r="G242" s="39" t="n">
        <v>576923076.92308</v>
      </c>
      <c r="H242" s="33" t="n">
        <f aca="false">J241</f>
        <v>576923076.92308</v>
      </c>
      <c r="I242" s="33" t="n">
        <f aca="false">H242*N242</f>
        <v>7223557.69230774</v>
      </c>
      <c r="J242" s="33" t="n">
        <f aca="false">H242-E242</f>
        <v>576923076.92308</v>
      </c>
      <c r="K242" s="33" t="n">
        <f aca="false">D242-I242</f>
        <v>0</v>
      </c>
      <c r="L242" s="33" t="n">
        <f aca="false">G242-J242</f>
        <v>0</v>
      </c>
      <c r="M242" s="33" t="n">
        <f aca="false">F242</f>
        <v>7223557.69230773</v>
      </c>
      <c r="N242" s="64" t="n">
        <v>0.0125208333333333</v>
      </c>
      <c r="O242" s="48" t="n">
        <f aca="false">IF(AND(B242&gt;=DATE(2026,1,1),B242&lt;=Resumen!$C$5),1,0)</f>
        <v>0</v>
      </c>
      <c r="P242" s="48" t="n">
        <f aca="false">IF(AND(B242&gt;Resumen!$C$5,B242&lt;=DATE(2027,7,31)),1,0)</f>
        <v>0</v>
      </c>
    </row>
    <row r="243" customFormat="false" ht="15" hidden="false" customHeight="false" outlineLevel="0" collapsed="false">
      <c r="A243" s="38" t="n">
        <v>231</v>
      </c>
      <c r="B243" s="27" t="n">
        <v>52403</v>
      </c>
      <c r="C243" s="39" t="n">
        <v>576923076.92308</v>
      </c>
      <c r="D243" s="39" t="n">
        <v>7223557.69230773</v>
      </c>
      <c r="E243" s="39" t="n">
        <v>0</v>
      </c>
      <c r="F243" s="39" t="n">
        <v>7223557.69230773</v>
      </c>
      <c r="G243" s="39" t="n">
        <v>576923076.92308</v>
      </c>
      <c r="H243" s="33" t="n">
        <f aca="false">J242</f>
        <v>576923076.92308</v>
      </c>
      <c r="I243" s="33" t="n">
        <f aca="false">H243*N243</f>
        <v>7223557.69230774</v>
      </c>
      <c r="J243" s="33" t="n">
        <f aca="false">H243-E243</f>
        <v>576923076.92308</v>
      </c>
      <c r="K243" s="33" t="n">
        <f aca="false">D243-I243</f>
        <v>0</v>
      </c>
      <c r="L243" s="33" t="n">
        <f aca="false">G243-J243</f>
        <v>0</v>
      </c>
      <c r="M243" s="33" t="n">
        <f aca="false">F243</f>
        <v>7223557.69230773</v>
      </c>
      <c r="N243" s="64" t="n">
        <v>0.0125208333333333</v>
      </c>
      <c r="O243" s="48" t="n">
        <f aca="false">IF(AND(B243&gt;=DATE(2026,1,1),B243&lt;=Resumen!$C$5),1,0)</f>
        <v>0</v>
      </c>
      <c r="P243" s="48" t="n">
        <f aca="false">IF(AND(B243&gt;Resumen!$C$5,B243&lt;=DATE(2027,7,31)),1,0)</f>
        <v>0</v>
      </c>
    </row>
    <row r="244" customFormat="false" ht="15" hidden="false" customHeight="false" outlineLevel="0" collapsed="false">
      <c r="A244" s="38" t="n">
        <v>232</v>
      </c>
      <c r="B244" s="27" t="n">
        <v>52433</v>
      </c>
      <c r="C244" s="39" t="n">
        <v>576923076.92308</v>
      </c>
      <c r="D244" s="39" t="n">
        <v>7223557.69230773</v>
      </c>
      <c r="E244" s="39" t="n">
        <v>0</v>
      </c>
      <c r="F244" s="39" t="n">
        <v>7223557.69230773</v>
      </c>
      <c r="G244" s="39" t="n">
        <v>576923076.92308</v>
      </c>
      <c r="H244" s="33" t="n">
        <f aca="false">J243</f>
        <v>576923076.92308</v>
      </c>
      <c r="I244" s="33" t="n">
        <f aca="false">H244*N244</f>
        <v>7223557.69230774</v>
      </c>
      <c r="J244" s="33" t="n">
        <f aca="false">H244-E244</f>
        <v>576923076.92308</v>
      </c>
      <c r="K244" s="33" t="n">
        <f aca="false">D244-I244</f>
        <v>0</v>
      </c>
      <c r="L244" s="33" t="n">
        <f aca="false">G244-J244</f>
        <v>0</v>
      </c>
      <c r="M244" s="33" t="n">
        <f aca="false">F244</f>
        <v>7223557.69230773</v>
      </c>
      <c r="N244" s="64" t="n">
        <v>0.0125208333333333</v>
      </c>
      <c r="O244" s="48" t="n">
        <f aca="false">IF(AND(B244&gt;=DATE(2026,1,1),B244&lt;=Resumen!$C$5),1,0)</f>
        <v>0</v>
      </c>
      <c r="P244" s="48" t="n">
        <f aca="false">IF(AND(B244&gt;Resumen!$C$5,B244&lt;=DATE(2027,7,31)),1,0)</f>
        <v>0</v>
      </c>
    </row>
    <row r="245" customFormat="false" ht="15" hidden="false" customHeight="false" outlineLevel="0" collapsed="false">
      <c r="A245" s="38" t="n">
        <v>233</v>
      </c>
      <c r="B245" s="27" t="n">
        <v>52464</v>
      </c>
      <c r="C245" s="39" t="n">
        <v>576923076.92308</v>
      </c>
      <c r="D245" s="39" t="n">
        <v>7223557.69230773</v>
      </c>
      <c r="E245" s="39" t="n">
        <v>0</v>
      </c>
      <c r="F245" s="39" t="n">
        <v>7223557.69230773</v>
      </c>
      <c r="G245" s="39" t="n">
        <v>576923076.92308</v>
      </c>
      <c r="H245" s="33" t="n">
        <f aca="false">J244</f>
        <v>576923076.92308</v>
      </c>
      <c r="I245" s="33" t="n">
        <f aca="false">H245*N245</f>
        <v>7223557.69230774</v>
      </c>
      <c r="J245" s="33" t="n">
        <f aca="false">H245-E245</f>
        <v>576923076.92308</v>
      </c>
      <c r="K245" s="33" t="n">
        <f aca="false">D245-I245</f>
        <v>0</v>
      </c>
      <c r="L245" s="33" t="n">
        <f aca="false">G245-J245</f>
        <v>0</v>
      </c>
      <c r="M245" s="33" t="n">
        <f aca="false">F245</f>
        <v>7223557.69230773</v>
      </c>
      <c r="N245" s="64" t="n">
        <v>0.0125208333333333</v>
      </c>
      <c r="O245" s="48" t="n">
        <f aca="false">IF(AND(B245&gt;=DATE(2026,1,1),B245&lt;=Resumen!$C$5),1,0)</f>
        <v>0</v>
      </c>
      <c r="P245" s="48" t="n">
        <f aca="false">IF(AND(B245&gt;Resumen!$C$5,B245&lt;=DATE(2027,7,31)),1,0)</f>
        <v>0</v>
      </c>
    </row>
    <row r="246" customFormat="false" ht="15" hidden="false" customHeight="false" outlineLevel="0" collapsed="false">
      <c r="A246" s="38" t="n">
        <v>234</v>
      </c>
      <c r="B246" s="27" t="n">
        <v>52495</v>
      </c>
      <c r="C246" s="39" t="n">
        <v>576923076.92308</v>
      </c>
      <c r="D246" s="39" t="n">
        <v>7223557.69230773</v>
      </c>
      <c r="E246" s="39" t="n">
        <v>288461538.461538</v>
      </c>
      <c r="F246" s="39" t="n">
        <v>295685096.153846</v>
      </c>
      <c r="G246" s="39" t="n">
        <v>288461538.461542</v>
      </c>
      <c r="H246" s="33" t="n">
        <f aca="false">J245</f>
        <v>576923076.92308</v>
      </c>
      <c r="I246" s="33" t="n">
        <f aca="false">H246*N246</f>
        <v>7223557.69230774</v>
      </c>
      <c r="J246" s="33" t="n">
        <f aca="false">H246-E246</f>
        <v>288461538.461542</v>
      </c>
      <c r="K246" s="33" t="n">
        <f aca="false">D246-I246</f>
        <v>0</v>
      </c>
      <c r="L246" s="33" t="n">
        <f aca="false">G246-J246</f>
        <v>0</v>
      </c>
      <c r="M246" s="33" t="n">
        <f aca="false">F246</f>
        <v>295685096.153846</v>
      </c>
      <c r="N246" s="64" t="n">
        <v>0.0125208333333333</v>
      </c>
      <c r="O246" s="48" t="n">
        <f aca="false">IF(AND(B246&gt;=DATE(2026,1,1),B246&lt;=Resumen!$C$5),1,0)</f>
        <v>0</v>
      </c>
      <c r="P246" s="48" t="n">
        <f aca="false">IF(AND(B246&gt;Resumen!$C$5,B246&lt;=DATE(2027,7,31)),1,0)</f>
        <v>0</v>
      </c>
    </row>
    <row r="247" customFormat="false" ht="15" hidden="false" customHeight="false" outlineLevel="0" collapsed="false">
      <c r="A247" s="38" t="n">
        <v>235</v>
      </c>
      <c r="B247" s="27" t="n">
        <v>52525</v>
      </c>
      <c r="C247" s="39" t="n">
        <v>288461538.461542</v>
      </c>
      <c r="D247" s="39" t="n">
        <v>3611778.84615389</v>
      </c>
      <c r="E247" s="39" t="n">
        <v>0</v>
      </c>
      <c r="F247" s="39" t="n">
        <v>3611778.84615389</v>
      </c>
      <c r="G247" s="39" t="n">
        <v>288461538.461542</v>
      </c>
      <c r="H247" s="33" t="n">
        <f aca="false">J246</f>
        <v>288461538.461542</v>
      </c>
      <c r="I247" s="33" t="n">
        <f aca="false">H247*N247</f>
        <v>3611778.84615389</v>
      </c>
      <c r="J247" s="33" t="n">
        <f aca="false">H247-E247</f>
        <v>288461538.461542</v>
      </c>
      <c r="K247" s="33" t="n">
        <f aca="false">D247-I247</f>
        <v>0</v>
      </c>
      <c r="L247" s="33" t="n">
        <f aca="false">G247-J247</f>
        <v>0</v>
      </c>
      <c r="M247" s="33" t="n">
        <f aca="false">F247</f>
        <v>3611778.84615389</v>
      </c>
      <c r="N247" s="64" t="n">
        <v>0.0125208333333333</v>
      </c>
      <c r="O247" s="48" t="n">
        <f aca="false">IF(AND(B247&gt;=DATE(2026,1,1),B247&lt;=Resumen!$C$5),1,0)</f>
        <v>0</v>
      </c>
      <c r="P247" s="48" t="n">
        <f aca="false">IF(AND(B247&gt;Resumen!$C$5,B247&lt;=DATE(2027,7,31)),1,0)</f>
        <v>0</v>
      </c>
    </row>
    <row r="248" customFormat="false" ht="15" hidden="false" customHeight="false" outlineLevel="0" collapsed="false">
      <c r="A248" s="38" t="n">
        <v>236</v>
      </c>
      <c r="B248" s="27" t="n">
        <v>52556</v>
      </c>
      <c r="C248" s="39" t="n">
        <v>288461538.461542</v>
      </c>
      <c r="D248" s="39" t="n">
        <v>3611778.84615389</v>
      </c>
      <c r="E248" s="39" t="n">
        <v>0</v>
      </c>
      <c r="F248" s="39" t="n">
        <v>3611778.84615389</v>
      </c>
      <c r="G248" s="39" t="n">
        <v>288461538.461542</v>
      </c>
      <c r="H248" s="33" t="n">
        <f aca="false">J247</f>
        <v>288461538.461542</v>
      </c>
      <c r="I248" s="33" t="n">
        <f aca="false">H248*N248</f>
        <v>3611778.84615389</v>
      </c>
      <c r="J248" s="33" t="n">
        <f aca="false">H248-E248</f>
        <v>288461538.461542</v>
      </c>
      <c r="K248" s="33" t="n">
        <f aca="false">D248-I248</f>
        <v>0</v>
      </c>
      <c r="L248" s="33" t="n">
        <f aca="false">G248-J248</f>
        <v>0</v>
      </c>
      <c r="M248" s="33" t="n">
        <f aca="false">F248</f>
        <v>3611778.84615389</v>
      </c>
      <c r="N248" s="64" t="n">
        <v>0.0125208333333333</v>
      </c>
      <c r="O248" s="48" t="n">
        <f aca="false">IF(AND(B248&gt;=DATE(2026,1,1),B248&lt;=Resumen!$C$5),1,0)</f>
        <v>0</v>
      </c>
      <c r="P248" s="48" t="n">
        <f aca="false">IF(AND(B248&gt;Resumen!$C$5,B248&lt;=DATE(2027,7,31)),1,0)</f>
        <v>0</v>
      </c>
    </row>
    <row r="249" customFormat="false" ht="15" hidden="false" customHeight="false" outlineLevel="0" collapsed="false">
      <c r="A249" s="38" t="n">
        <v>237</v>
      </c>
      <c r="B249" s="27" t="n">
        <v>52586</v>
      </c>
      <c r="C249" s="39" t="n">
        <v>288461538.461542</v>
      </c>
      <c r="D249" s="39" t="n">
        <v>3611778.84615389</v>
      </c>
      <c r="E249" s="39" t="n">
        <v>0</v>
      </c>
      <c r="F249" s="39" t="n">
        <v>3611778.84615389</v>
      </c>
      <c r="G249" s="39" t="n">
        <v>288461538.461542</v>
      </c>
      <c r="H249" s="33" t="n">
        <f aca="false">J248</f>
        <v>288461538.461542</v>
      </c>
      <c r="I249" s="33" t="n">
        <f aca="false">H249*N249</f>
        <v>3611778.84615389</v>
      </c>
      <c r="J249" s="33" t="n">
        <f aca="false">H249-E249</f>
        <v>288461538.461542</v>
      </c>
      <c r="K249" s="33" t="n">
        <f aca="false">D249-I249</f>
        <v>0</v>
      </c>
      <c r="L249" s="33" t="n">
        <f aca="false">G249-J249</f>
        <v>0</v>
      </c>
      <c r="M249" s="33" t="n">
        <f aca="false">F249</f>
        <v>3611778.84615389</v>
      </c>
      <c r="N249" s="64" t="n">
        <v>0.0125208333333333</v>
      </c>
      <c r="O249" s="48" t="n">
        <f aca="false">IF(AND(B249&gt;=DATE(2026,1,1),B249&lt;=Resumen!$C$5),1,0)</f>
        <v>0</v>
      </c>
      <c r="P249" s="48" t="n">
        <f aca="false">IF(AND(B249&gt;Resumen!$C$5,B249&lt;=DATE(2027,7,31)),1,0)</f>
        <v>0</v>
      </c>
    </row>
    <row r="250" customFormat="false" ht="15" hidden="false" customHeight="false" outlineLevel="0" collapsed="false">
      <c r="A250" s="38" t="n">
        <v>238</v>
      </c>
      <c r="B250" s="27" t="n">
        <v>52617</v>
      </c>
      <c r="C250" s="39" t="n">
        <v>288461538.461542</v>
      </c>
      <c r="D250" s="39" t="n">
        <v>3611778.84615389</v>
      </c>
      <c r="E250" s="39" t="n">
        <v>0</v>
      </c>
      <c r="F250" s="39" t="n">
        <v>3611778.84615389</v>
      </c>
      <c r="G250" s="39" t="n">
        <v>288461538.461542</v>
      </c>
      <c r="H250" s="33" t="n">
        <f aca="false">J249</f>
        <v>288461538.461542</v>
      </c>
      <c r="I250" s="33" t="n">
        <f aca="false">H250*N250</f>
        <v>3611778.84615389</v>
      </c>
      <c r="J250" s="33" t="n">
        <f aca="false">H250-E250</f>
        <v>288461538.461542</v>
      </c>
      <c r="K250" s="33" t="n">
        <f aca="false">D250-I250</f>
        <v>0</v>
      </c>
      <c r="L250" s="33" t="n">
        <f aca="false">G250-J250</f>
        <v>0</v>
      </c>
      <c r="M250" s="33" t="n">
        <f aca="false">F250</f>
        <v>3611778.84615389</v>
      </c>
      <c r="N250" s="64" t="n">
        <v>0.0125208333333333</v>
      </c>
      <c r="O250" s="48" t="n">
        <f aca="false">IF(AND(B250&gt;=DATE(2026,1,1),B250&lt;=Resumen!$C$5),1,0)</f>
        <v>0</v>
      </c>
      <c r="P250" s="48" t="n">
        <f aca="false">IF(AND(B250&gt;Resumen!$C$5,B250&lt;=DATE(2027,7,31)),1,0)</f>
        <v>0</v>
      </c>
    </row>
    <row r="251" customFormat="false" ht="15" hidden="false" customHeight="false" outlineLevel="0" collapsed="false">
      <c r="A251" s="38" t="n">
        <v>239</v>
      </c>
      <c r="B251" s="27" t="n">
        <v>52648</v>
      </c>
      <c r="C251" s="39" t="n">
        <v>288461538.461542</v>
      </c>
      <c r="D251" s="39" t="n">
        <v>3611778.84615389</v>
      </c>
      <c r="E251" s="39" t="n">
        <v>0</v>
      </c>
      <c r="F251" s="39" t="n">
        <v>3611778.84615389</v>
      </c>
      <c r="G251" s="39" t="n">
        <v>288461538.461542</v>
      </c>
      <c r="H251" s="33" t="n">
        <f aca="false">J250</f>
        <v>288461538.461542</v>
      </c>
      <c r="I251" s="33" t="n">
        <f aca="false">H251*N251</f>
        <v>3611778.84615389</v>
      </c>
      <c r="J251" s="33" t="n">
        <f aca="false">H251-E251</f>
        <v>288461538.461542</v>
      </c>
      <c r="K251" s="33" t="n">
        <f aca="false">D251-I251</f>
        <v>0</v>
      </c>
      <c r="L251" s="33" t="n">
        <f aca="false">G251-J251</f>
        <v>0</v>
      </c>
      <c r="M251" s="33" t="n">
        <f aca="false">F251</f>
        <v>3611778.84615389</v>
      </c>
      <c r="N251" s="64" t="n">
        <v>0.0125208333333333</v>
      </c>
      <c r="O251" s="48" t="n">
        <f aca="false">IF(AND(B251&gt;=DATE(2026,1,1),B251&lt;=Resumen!$C$5),1,0)</f>
        <v>0</v>
      </c>
      <c r="P251" s="48" t="n">
        <f aca="false">IF(AND(B251&gt;Resumen!$C$5,B251&lt;=DATE(2027,7,31)),1,0)</f>
        <v>0</v>
      </c>
    </row>
    <row r="252" customFormat="false" ht="15" hidden="false" customHeight="false" outlineLevel="0" collapsed="false">
      <c r="A252" s="38" t="n">
        <v>240</v>
      </c>
      <c r="B252" s="27" t="n">
        <v>52677</v>
      </c>
      <c r="C252" s="39" t="n">
        <v>288461538.461542</v>
      </c>
      <c r="D252" s="39" t="n">
        <v>3611778.84615389</v>
      </c>
      <c r="E252" s="39" t="n">
        <v>288461538.461538</v>
      </c>
      <c r="F252" s="39" t="n">
        <v>292073317.307692</v>
      </c>
      <c r="G252" s="39" t="n">
        <v>3.33786010742188E-006</v>
      </c>
      <c r="H252" s="33" t="n">
        <f aca="false">J251</f>
        <v>288461538.461542</v>
      </c>
      <c r="I252" s="33" t="n">
        <f aca="false">H252*N252</f>
        <v>3611778.84615389</v>
      </c>
      <c r="J252" s="33" t="n">
        <f aca="false">H252-E252</f>
        <v>3.69548797607422E-006</v>
      </c>
      <c r="K252" s="33" t="n">
        <f aca="false">D252-I252</f>
        <v>0</v>
      </c>
      <c r="L252" s="33" t="n">
        <f aca="false">G252-J252</f>
        <v>-3.57627868652344E-007</v>
      </c>
      <c r="M252" s="33" t="n">
        <f aca="false">F252</f>
        <v>292073317.307692</v>
      </c>
      <c r="N252" s="64" t="n">
        <v>0.0125208333333333</v>
      </c>
      <c r="O252" s="48" t="n">
        <f aca="false">IF(AND(B252&gt;=DATE(2026,1,1),B252&lt;=Resumen!$C$5),1,0)</f>
        <v>0</v>
      </c>
      <c r="P252" s="48" t="n">
        <f aca="false">IF(AND(B252&gt;Resumen!$C$5,B252&lt;=DATE(2027,7,31)),1,0)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2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1791</v>
      </c>
    </row>
    <row r="2" customFormat="false" ht="15" hidden="false" customHeight="false" outlineLevel="0" collapsed="false">
      <c r="A2" s="24" t="s">
        <v>1792</v>
      </c>
    </row>
    <row r="3" customFormat="false" ht="15" hidden="false" customHeight="false" outlineLevel="0" collapsed="false">
      <c r="A3" s="34" t="s">
        <v>1748</v>
      </c>
      <c r="C3" s="38" t="s">
        <v>1793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3960000000</v>
      </c>
      <c r="F4" s="26" t="s">
        <v>1752</v>
      </c>
      <c r="I4" s="57" t="n">
        <f aca="false">_xlfn.MAXIFS($B$12:$B$252,$B$12:$B$252,"&lt;="&amp;Resumen!$C$5)</f>
        <v>46231</v>
      </c>
    </row>
    <row r="5" customFormat="false" ht="15" hidden="false" customHeight="false" outlineLevel="0" collapsed="false">
      <c r="A5" s="34" t="s">
        <v>1753</v>
      </c>
      <c r="C5" s="27" t="n">
        <v>44405</v>
      </c>
      <c r="F5" s="26" t="s">
        <v>1754</v>
      </c>
      <c r="I5" s="58" t="n">
        <f aca="false">SUMIFS($G$12:$G$252,$B$12:$B$252,I4)</f>
        <v>3960000000</v>
      </c>
    </row>
    <row r="6" customFormat="false" ht="15" hidden="false" customHeight="false" outlineLevel="0" collapsed="false">
      <c r="A6" s="34" t="s">
        <v>1755</v>
      </c>
      <c r="C6" s="38" t="s">
        <v>1794</v>
      </c>
      <c r="F6" s="26" t="s">
        <v>1757</v>
      </c>
      <c r="I6" s="33" t="n">
        <f aca="false">SUMIFS($J$12:$J$252,$B$12:$B$252,I4)</f>
        <v>3960000000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SUMIFS($D$12:$D$252,$O$12:$O$252,1)</f>
        <v>346760700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IFERROR(IRR($M$12:$M$252),"N/A")</f>
        <v>N/A</v>
      </c>
      <c r="F8" s="26" t="s">
        <v>1761</v>
      </c>
      <c r="I8" s="33" t="n">
        <f aca="false">SUMIFS($E$12:$E$252,$P$12:$P$252,1)</f>
        <v>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SUMPRODUCT(MAX(ABS($L$12:$L$252)))</f>
        <v>2.14576721191406E-006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44405</v>
      </c>
      <c r="C12" s="39" t="n">
        <v>3960000000</v>
      </c>
      <c r="D12" s="39" t="n">
        <v>0</v>
      </c>
      <c r="E12" s="39" t="n">
        <v>0</v>
      </c>
      <c r="F12" s="39" t="n">
        <v>0</v>
      </c>
      <c r="G12" s="39" t="n">
        <v>3960000000</v>
      </c>
      <c r="H12" s="33" t="n">
        <f aca="false">C12</f>
        <v>3960000000</v>
      </c>
      <c r="I12" s="33" t="n">
        <f aca="false">H12*N12</f>
        <v>18555900</v>
      </c>
      <c r="J12" s="33" t="n">
        <f aca="false">H12-E12</f>
        <v>3960000000</v>
      </c>
      <c r="K12" s="33" t="n">
        <f aca="false">D12-I12</f>
        <v>-18555900</v>
      </c>
      <c r="L12" s="33" t="n">
        <f aca="false">G12-J12</f>
        <v>0</v>
      </c>
      <c r="M12" s="33" t="n">
        <f aca="false">-$C$4</f>
        <v>-3960000000</v>
      </c>
      <c r="N12" s="64" t="n">
        <v>0.00468583333333333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44436</v>
      </c>
      <c r="C13" s="39" t="n">
        <v>3960000000</v>
      </c>
      <c r="D13" s="39" t="n">
        <v>18981600</v>
      </c>
      <c r="E13" s="39" t="n">
        <v>0</v>
      </c>
      <c r="F13" s="39" t="n">
        <v>18981600</v>
      </c>
      <c r="G13" s="39" t="n">
        <v>3960000000</v>
      </c>
      <c r="H13" s="33" t="n">
        <f aca="false">J12</f>
        <v>3960000000</v>
      </c>
      <c r="I13" s="33" t="n">
        <f aca="false">H13*N13</f>
        <v>18981600</v>
      </c>
      <c r="J13" s="33" t="n">
        <f aca="false">H13-E13</f>
        <v>3960000000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18981600</v>
      </c>
      <c r="N13" s="64" t="n">
        <v>0.00479333333333333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44467</v>
      </c>
      <c r="C14" s="39" t="n">
        <v>3960000000</v>
      </c>
      <c r="D14" s="39" t="n">
        <v>20889000</v>
      </c>
      <c r="E14" s="39" t="n">
        <v>0</v>
      </c>
      <c r="F14" s="39" t="n">
        <v>20889000</v>
      </c>
      <c r="G14" s="39" t="n">
        <v>3960000000</v>
      </c>
      <c r="H14" s="33" t="n">
        <f aca="false">J13</f>
        <v>3960000000</v>
      </c>
      <c r="I14" s="33" t="n">
        <f aca="false">H14*N14</f>
        <v>20889000</v>
      </c>
      <c r="J14" s="33" t="n">
        <f aca="false">H14-E14</f>
        <v>3960000000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20889000</v>
      </c>
      <c r="N14" s="64" t="n">
        <v>0.005275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44497</v>
      </c>
      <c r="C15" s="39" t="n">
        <v>3960000000</v>
      </c>
      <c r="D15" s="39" t="n">
        <v>21928500</v>
      </c>
      <c r="E15" s="39" t="n">
        <v>0</v>
      </c>
      <c r="F15" s="39" t="n">
        <v>21928500</v>
      </c>
      <c r="G15" s="39" t="n">
        <v>3960000000</v>
      </c>
      <c r="H15" s="33" t="n">
        <f aca="false">J14</f>
        <v>3960000000</v>
      </c>
      <c r="I15" s="33" t="n">
        <f aca="false">H15*N15</f>
        <v>21928500</v>
      </c>
      <c r="J15" s="33" t="n">
        <f aca="false">H15-E15</f>
        <v>3960000000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21928500</v>
      </c>
      <c r="N15" s="64" t="n">
        <v>0.0055375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44528</v>
      </c>
      <c r="C16" s="39" t="n">
        <v>3960000000</v>
      </c>
      <c r="D16" s="39" t="n">
        <v>22839300</v>
      </c>
      <c r="E16" s="39" t="n">
        <v>0</v>
      </c>
      <c r="F16" s="39" t="n">
        <v>22839300</v>
      </c>
      <c r="G16" s="39" t="n">
        <v>3960000000</v>
      </c>
      <c r="H16" s="33" t="n">
        <f aca="false">J15</f>
        <v>3960000000</v>
      </c>
      <c r="I16" s="33" t="n">
        <f aca="false">H16*N16</f>
        <v>22839300</v>
      </c>
      <c r="J16" s="33" t="n">
        <f aca="false">H16-E16</f>
        <v>3960000000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22839300</v>
      </c>
      <c r="N16" s="64" t="n">
        <v>0.0057675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44558</v>
      </c>
      <c r="C17" s="39" t="n">
        <v>3960000000</v>
      </c>
      <c r="D17" s="39" t="n">
        <v>24984300</v>
      </c>
      <c r="E17" s="39" t="n">
        <v>0</v>
      </c>
      <c r="F17" s="39" t="n">
        <v>24984300</v>
      </c>
      <c r="G17" s="39" t="n">
        <v>3960000000</v>
      </c>
      <c r="H17" s="33" t="n">
        <f aca="false">J16</f>
        <v>3960000000</v>
      </c>
      <c r="I17" s="33" t="n">
        <f aca="false">H17*N17</f>
        <v>24984300</v>
      </c>
      <c r="J17" s="33" t="n">
        <f aca="false">H17-E17</f>
        <v>3960000000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24984300</v>
      </c>
      <c r="N17" s="64" t="n">
        <v>0.00630916666666667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44589</v>
      </c>
      <c r="C18" s="39" t="n">
        <v>3960000000</v>
      </c>
      <c r="D18" s="39" t="n">
        <v>27888300</v>
      </c>
      <c r="E18" s="39" t="n">
        <v>0</v>
      </c>
      <c r="F18" s="39" t="n">
        <v>27888300</v>
      </c>
      <c r="G18" s="39" t="n">
        <v>3960000000</v>
      </c>
      <c r="H18" s="33" t="n">
        <f aca="false">J17</f>
        <v>3960000000</v>
      </c>
      <c r="I18" s="33" t="n">
        <f aca="false">H18*N18</f>
        <v>27888300</v>
      </c>
      <c r="J18" s="33" t="n">
        <f aca="false">H18-E18</f>
        <v>3960000000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27888300</v>
      </c>
      <c r="N18" s="64" t="n">
        <v>0.0070425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44620</v>
      </c>
      <c r="C19" s="39" t="n">
        <v>3960000000</v>
      </c>
      <c r="D19" s="39" t="n">
        <v>34679700</v>
      </c>
      <c r="E19" s="39" t="n">
        <v>0</v>
      </c>
      <c r="F19" s="39" t="n">
        <v>34679700</v>
      </c>
      <c r="G19" s="39" t="n">
        <v>3960000000</v>
      </c>
      <c r="H19" s="33" t="n">
        <f aca="false">J18</f>
        <v>3960000000</v>
      </c>
      <c r="I19" s="33" t="n">
        <f aca="false">H19*N19</f>
        <v>34679700</v>
      </c>
      <c r="J19" s="33" t="n">
        <f aca="false">H19-E19</f>
        <v>3960000000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34679700</v>
      </c>
      <c r="N19" s="64" t="n">
        <v>0.0087575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44648</v>
      </c>
      <c r="C20" s="39" t="n">
        <v>3960000000</v>
      </c>
      <c r="D20" s="39" t="n">
        <v>34438800</v>
      </c>
      <c r="E20" s="39" t="n">
        <v>0</v>
      </c>
      <c r="F20" s="39" t="n">
        <v>34438800</v>
      </c>
      <c r="G20" s="39" t="n">
        <v>3960000000</v>
      </c>
      <c r="H20" s="33" t="n">
        <f aca="false">J19</f>
        <v>3960000000</v>
      </c>
      <c r="I20" s="33" t="n">
        <f aca="false">H20*N20</f>
        <v>34438800</v>
      </c>
      <c r="J20" s="33" t="n">
        <f aca="false">H20-E20</f>
        <v>3960000000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34438800</v>
      </c>
      <c r="N20" s="64" t="n">
        <v>0.00869666666666667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44679</v>
      </c>
      <c r="C21" s="39" t="n">
        <v>3960000000</v>
      </c>
      <c r="D21" s="39" t="n">
        <v>37412100</v>
      </c>
      <c r="E21" s="39" t="n">
        <v>0</v>
      </c>
      <c r="F21" s="39" t="n">
        <v>37412100</v>
      </c>
      <c r="G21" s="39" t="n">
        <v>3960000000</v>
      </c>
      <c r="H21" s="33" t="n">
        <f aca="false">J20</f>
        <v>3960000000</v>
      </c>
      <c r="I21" s="33" t="n">
        <f aca="false">H21*N21</f>
        <v>37412100</v>
      </c>
      <c r="J21" s="33" t="n">
        <f aca="false">H21-E21</f>
        <v>3960000000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37412100</v>
      </c>
      <c r="N21" s="64" t="n">
        <v>0.0094475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44709</v>
      </c>
      <c r="C22" s="39" t="n">
        <v>3960000000</v>
      </c>
      <c r="D22" s="39" t="n">
        <v>38148000</v>
      </c>
      <c r="E22" s="39" t="n">
        <v>0</v>
      </c>
      <c r="F22" s="39" t="n">
        <v>38148000</v>
      </c>
      <c r="G22" s="39" t="n">
        <v>3960000000</v>
      </c>
      <c r="H22" s="33" t="n">
        <f aca="false">J21</f>
        <v>3960000000</v>
      </c>
      <c r="I22" s="33" t="n">
        <f aca="false">H22*N22</f>
        <v>38148000</v>
      </c>
      <c r="J22" s="33" t="n">
        <f aca="false">H22-E22</f>
        <v>3960000000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38148000</v>
      </c>
      <c r="N22" s="64" t="n">
        <v>0.00963333333333333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44740</v>
      </c>
      <c r="C23" s="39" t="n">
        <v>3960000000</v>
      </c>
      <c r="D23" s="39" t="n">
        <v>38148000</v>
      </c>
      <c r="E23" s="39" t="n">
        <v>0</v>
      </c>
      <c r="F23" s="39" t="n">
        <v>38148000</v>
      </c>
      <c r="G23" s="39" t="n">
        <v>3960000000</v>
      </c>
      <c r="H23" s="33" t="n">
        <f aca="false">J22</f>
        <v>3960000000</v>
      </c>
      <c r="I23" s="33" t="n">
        <f aca="false">H23*N23</f>
        <v>38148000</v>
      </c>
      <c r="J23" s="33" t="n">
        <f aca="false">H23-E23</f>
        <v>3960000000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38148000</v>
      </c>
      <c r="N23" s="64" t="n">
        <v>0.00963333333333333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44770</v>
      </c>
      <c r="C24" s="39" t="n">
        <v>3960000000</v>
      </c>
      <c r="D24" s="39" t="n">
        <v>44111100</v>
      </c>
      <c r="E24" s="39" t="n">
        <v>0</v>
      </c>
      <c r="F24" s="39" t="n">
        <v>44111100</v>
      </c>
      <c r="G24" s="39" t="n">
        <v>3960000000</v>
      </c>
      <c r="H24" s="33" t="n">
        <f aca="false">J23</f>
        <v>3960000000</v>
      </c>
      <c r="I24" s="33" t="n">
        <f aca="false">H24*N24</f>
        <v>44111100</v>
      </c>
      <c r="J24" s="33" t="n">
        <f aca="false">H24-E24</f>
        <v>3960000000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44111100</v>
      </c>
      <c r="N24" s="64" t="n">
        <v>0.0111391666666667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44801</v>
      </c>
      <c r="C25" s="39" t="n">
        <v>3960000000</v>
      </c>
      <c r="D25" s="39" t="n">
        <v>46447500</v>
      </c>
      <c r="E25" s="39" t="n">
        <v>0</v>
      </c>
      <c r="F25" s="39" t="n">
        <v>46447500</v>
      </c>
      <c r="G25" s="39" t="n">
        <v>3960000000</v>
      </c>
      <c r="H25" s="33" t="n">
        <f aca="false">J24</f>
        <v>3960000000</v>
      </c>
      <c r="I25" s="33" t="n">
        <f aca="false">H25*N25</f>
        <v>46447500</v>
      </c>
      <c r="J25" s="33" t="n">
        <f aca="false">H25-E25</f>
        <v>3960000000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46447500</v>
      </c>
      <c r="N25" s="64" t="n">
        <v>0.0117291666666667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44832</v>
      </c>
      <c r="C26" s="39" t="n">
        <v>3960000000</v>
      </c>
      <c r="D26" s="39" t="n">
        <v>48404400</v>
      </c>
      <c r="E26" s="39" t="n">
        <v>0</v>
      </c>
      <c r="F26" s="39" t="n">
        <v>48404400</v>
      </c>
      <c r="G26" s="39" t="n">
        <v>3960000000</v>
      </c>
      <c r="H26" s="33" t="n">
        <f aca="false">J25</f>
        <v>3960000000</v>
      </c>
      <c r="I26" s="33" t="n">
        <f aca="false">H26*N26</f>
        <v>48404400</v>
      </c>
      <c r="J26" s="33" t="n">
        <f aca="false">H26-E26</f>
        <v>3960000000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48404400</v>
      </c>
      <c r="N26" s="64" t="n">
        <v>0.0122233333333333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44862</v>
      </c>
      <c r="C27" s="39" t="n">
        <v>3960000000</v>
      </c>
      <c r="D27" s="39" t="n">
        <v>50892600</v>
      </c>
      <c r="E27" s="39" t="n">
        <v>0</v>
      </c>
      <c r="F27" s="39" t="n">
        <v>50892600</v>
      </c>
      <c r="G27" s="39" t="n">
        <v>3960000000</v>
      </c>
      <c r="H27" s="33" t="n">
        <f aca="false">J26</f>
        <v>3960000000</v>
      </c>
      <c r="I27" s="33" t="n">
        <f aca="false">H27*N27</f>
        <v>50892600</v>
      </c>
      <c r="J27" s="33" t="n">
        <f aca="false">H27-E27</f>
        <v>3960000000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50892600</v>
      </c>
      <c r="N27" s="64" t="n">
        <v>0.0128516666666667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44893</v>
      </c>
      <c r="C28" s="39" t="n">
        <v>3960000000</v>
      </c>
      <c r="D28" s="39" t="n">
        <v>51466800</v>
      </c>
      <c r="E28" s="39" t="n">
        <v>0</v>
      </c>
      <c r="F28" s="39" t="n">
        <v>51466800</v>
      </c>
      <c r="G28" s="39" t="n">
        <v>3960000000</v>
      </c>
      <c r="H28" s="33" t="n">
        <f aca="false">J27</f>
        <v>3960000000</v>
      </c>
      <c r="I28" s="33" t="n">
        <f aca="false">H28*N28</f>
        <v>51466800</v>
      </c>
      <c r="J28" s="33" t="n">
        <f aca="false">H28-E28</f>
        <v>3960000000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51466800</v>
      </c>
      <c r="N28" s="64" t="n">
        <v>0.0129966666666667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44923</v>
      </c>
      <c r="C29" s="39" t="n">
        <v>3960000000</v>
      </c>
      <c r="D29" s="39" t="n">
        <v>52684500</v>
      </c>
      <c r="E29" s="39" t="n">
        <v>0</v>
      </c>
      <c r="F29" s="39" t="n">
        <v>52684500</v>
      </c>
      <c r="G29" s="39" t="n">
        <v>3960000000</v>
      </c>
      <c r="H29" s="33" t="n">
        <f aca="false">J28</f>
        <v>3960000000</v>
      </c>
      <c r="I29" s="33" t="n">
        <f aca="false">H29*N29</f>
        <v>52684500</v>
      </c>
      <c r="J29" s="33" t="n">
        <f aca="false">H29-E29</f>
        <v>3960000000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52684500</v>
      </c>
      <c r="N29" s="64" t="n">
        <v>0.0133041666666667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44954</v>
      </c>
      <c r="C30" s="39" t="n">
        <v>3960000000</v>
      </c>
      <c r="D30" s="39" t="n">
        <v>53757000</v>
      </c>
      <c r="E30" s="39" t="n">
        <v>0</v>
      </c>
      <c r="F30" s="39" t="n">
        <v>53757000</v>
      </c>
      <c r="G30" s="39" t="n">
        <v>3960000000</v>
      </c>
      <c r="H30" s="33" t="n">
        <f aca="false">J29</f>
        <v>3960000000</v>
      </c>
      <c r="I30" s="33" t="n">
        <f aca="false">H30*N30</f>
        <v>53757000</v>
      </c>
      <c r="J30" s="33" t="n">
        <f aca="false">H30-E30</f>
        <v>3960000000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53757000</v>
      </c>
      <c r="N30" s="64" t="n">
        <v>0.013575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44985</v>
      </c>
      <c r="C31" s="39" t="n">
        <v>3960000000</v>
      </c>
      <c r="D31" s="39" t="n">
        <v>54628200</v>
      </c>
      <c r="E31" s="39" t="n">
        <v>0</v>
      </c>
      <c r="F31" s="39" t="n">
        <v>54628200</v>
      </c>
      <c r="G31" s="39" t="n">
        <v>3960000000</v>
      </c>
      <c r="H31" s="33" t="n">
        <f aca="false">J30</f>
        <v>3960000000</v>
      </c>
      <c r="I31" s="33" t="n">
        <f aca="false">H31*N31</f>
        <v>54628200</v>
      </c>
      <c r="J31" s="33" t="n">
        <f aca="false">H31-E31</f>
        <v>3960000000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54628200</v>
      </c>
      <c r="N31" s="64" t="n">
        <v>0.013795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45013</v>
      </c>
      <c r="C32" s="39" t="n">
        <v>3960000000</v>
      </c>
      <c r="D32" s="39" t="n">
        <v>53898900</v>
      </c>
      <c r="E32" s="39" t="n">
        <v>0</v>
      </c>
      <c r="F32" s="39" t="n">
        <v>53898900</v>
      </c>
      <c r="G32" s="39" t="n">
        <v>3960000000</v>
      </c>
      <c r="H32" s="33" t="n">
        <f aca="false">J31</f>
        <v>3960000000</v>
      </c>
      <c r="I32" s="33" t="n">
        <f aca="false">H32*N32</f>
        <v>53898900</v>
      </c>
      <c r="J32" s="33" t="n">
        <f aca="false">H32-E32</f>
        <v>3960000000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53898900</v>
      </c>
      <c r="N32" s="64" t="n">
        <v>0.0136108333333333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45044</v>
      </c>
      <c r="C33" s="39" t="n">
        <v>3960000000</v>
      </c>
      <c r="D33" s="39" t="n">
        <v>54420300</v>
      </c>
      <c r="E33" s="39" t="n">
        <v>0</v>
      </c>
      <c r="F33" s="39" t="n">
        <v>54420300</v>
      </c>
      <c r="G33" s="39" t="n">
        <v>3960000000</v>
      </c>
      <c r="H33" s="33" t="n">
        <f aca="false">J32</f>
        <v>3960000000</v>
      </c>
      <c r="I33" s="33" t="n">
        <f aca="false">H33*N33</f>
        <v>54420300</v>
      </c>
      <c r="J33" s="33" t="n">
        <f aca="false">H33-E33</f>
        <v>3960000000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54420300</v>
      </c>
      <c r="N33" s="64" t="n">
        <v>0.0137425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45074</v>
      </c>
      <c r="C34" s="39" t="n">
        <v>3960000000</v>
      </c>
      <c r="D34" s="39" t="n">
        <v>54694200</v>
      </c>
      <c r="E34" s="39" t="n">
        <v>0</v>
      </c>
      <c r="F34" s="39" t="n">
        <v>54694200</v>
      </c>
      <c r="G34" s="39" t="n">
        <v>3960000000</v>
      </c>
      <c r="H34" s="33" t="n">
        <f aca="false">J33</f>
        <v>3960000000</v>
      </c>
      <c r="I34" s="33" t="n">
        <f aca="false">H34*N34</f>
        <v>54694200</v>
      </c>
      <c r="J34" s="33" t="n">
        <f aca="false">H34-E34</f>
        <v>3960000000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54694200</v>
      </c>
      <c r="N34" s="64" t="n">
        <v>0.0138116666666667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45105</v>
      </c>
      <c r="C35" s="39" t="n">
        <v>3960000000</v>
      </c>
      <c r="D35" s="39" t="n">
        <v>53918700</v>
      </c>
      <c r="E35" s="39" t="n">
        <v>0</v>
      </c>
      <c r="F35" s="39" t="n">
        <v>53918700</v>
      </c>
      <c r="G35" s="39" t="n">
        <v>3960000000</v>
      </c>
      <c r="H35" s="33" t="n">
        <f aca="false">J34</f>
        <v>3960000000</v>
      </c>
      <c r="I35" s="33" t="n">
        <f aca="false">H35*N35</f>
        <v>53918700</v>
      </c>
      <c r="J35" s="33" t="n">
        <f aca="false">H35-E35</f>
        <v>3960000000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53918700</v>
      </c>
      <c r="N35" s="64" t="n">
        <v>0.0136158333333333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45135</v>
      </c>
      <c r="C36" s="39" t="n">
        <v>3960000000</v>
      </c>
      <c r="D36" s="39" t="n">
        <v>52740600</v>
      </c>
      <c r="E36" s="39" t="n">
        <v>0</v>
      </c>
      <c r="F36" s="39" t="n">
        <v>52740600</v>
      </c>
      <c r="G36" s="39" t="n">
        <v>3960000000</v>
      </c>
      <c r="H36" s="33" t="n">
        <f aca="false">J35</f>
        <v>3960000000</v>
      </c>
      <c r="I36" s="33" t="n">
        <f aca="false">H36*N36</f>
        <v>52740600</v>
      </c>
      <c r="J36" s="33" t="n">
        <f aca="false">H36-E36</f>
        <v>3960000000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52740600</v>
      </c>
      <c r="N36" s="64" t="n">
        <v>0.0133183333333333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45166</v>
      </c>
      <c r="C37" s="39" t="n">
        <v>3960000000</v>
      </c>
      <c r="D37" s="39" t="n">
        <v>54951600</v>
      </c>
      <c r="E37" s="39" t="n">
        <v>0</v>
      </c>
      <c r="F37" s="39" t="n">
        <v>54951600</v>
      </c>
      <c r="G37" s="39" t="n">
        <v>3960000000</v>
      </c>
      <c r="H37" s="33" t="n">
        <f aca="false">J36</f>
        <v>3960000000</v>
      </c>
      <c r="I37" s="33" t="n">
        <f aca="false">H37*N37</f>
        <v>54951600</v>
      </c>
      <c r="J37" s="33" t="n">
        <f aca="false">H37-E37</f>
        <v>3960000000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54951600</v>
      </c>
      <c r="N37" s="64" t="n">
        <v>0.0138766666666667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45197</v>
      </c>
      <c r="C38" s="39" t="n">
        <v>3960000000</v>
      </c>
      <c r="D38" s="39" t="n">
        <v>51460200</v>
      </c>
      <c r="E38" s="39" t="n">
        <v>0</v>
      </c>
      <c r="F38" s="39" t="n">
        <v>51460200</v>
      </c>
      <c r="G38" s="39" t="n">
        <v>3960000000</v>
      </c>
      <c r="H38" s="33" t="n">
        <f aca="false">J37</f>
        <v>3960000000</v>
      </c>
      <c r="I38" s="33" t="n">
        <f aca="false">H38*N38</f>
        <v>51460200</v>
      </c>
      <c r="J38" s="33" t="n">
        <f aca="false">H38-E38</f>
        <v>3960000000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51460200</v>
      </c>
      <c r="N38" s="64" t="n">
        <v>0.012995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45227</v>
      </c>
      <c r="C39" s="39" t="n">
        <v>3960000000</v>
      </c>
      <c r="D39" s="39" t="n">
        <v>51341400</v>
      </c>
      <c r="E39" s="39" t="n">
        <v>0</v>
      </c>
      <c r="F39" s="39" t="n">
        <v>51341400</v>
      </c>
      <c r="G39" s="39" t="n">
        <v>3960000000</v>
      </c>
      <c r="H39" s="33" t="n">
        <f aca="false">J38</f>
        <v>3960000000</v>
      </c>
      <c r="I39" s="33" t="n">
        <f aca="false">H39*N39</f>
        <v>51341400</v>
      </c>
      <c r="J39" s="33" t="n">
        <f aca="false">H39-E39</f>
        <v>3960000000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51341400</v>
      </c>
      <c r="N39" s="64" t="n">
        <v>0.012965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45258</v>
      </c>
      <c r="C40" s="39" t="n">
        <v>3960000000</v>
      </c>
      <c r="D40" s="39" t="n">
        <v>50539500</v>
      </c>
      <c r="E40" s="39" t="n">
        <v>0</v>
      </c>
      <c r="F40" s="39" t="n">
        <v>50539500</v>
      </c>
      <c r="G40" s="39" t="n">
        <v>3960000000</v>
      </c>
      <c r="H40" s="33" t="n">
        <f aca="false">J39</f>
        <v>3960000000</v>
      </c>
      <c r="I40" s="33" t="n">
        <f aca="false">H40*N40</f>
        <v>50539500</v>
      </c>
      <c r="J40" s="33" t="n">
        <f aca="false">H40-E40</f>
        <v>3960000000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50539500</v>
      </c>
      <c r="N40" s="64" t="n">
        <v>0.0127625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45288</v>
      </c>
      <c r="C41" s="39" t="n">
        <v>3960000000</v>
      </c>
      <c r="D41" s="39" t="n">
        <v>49839900</v>
      </c>
      <c r="E41" s="39" t="n">
        <v>0</v>
      </c>
      <c r="F41" s="39" t="n">
        <v>49839900</v>
      </c>
      <c r="G41" s="39" t="n">
        <v>3960000000</v>
      </c>
      <c r="H41" s="33" t="n">
        <f aca="false">J40</f>
        <v>3960000000</v>
      </c>
      <c r="I41" s="33" t="n">
        <f aca="false">H41*N41</f>
        <v>49839900</v>
      </c>
      <c r="J41" s="33" t="n">
        <f aca="false">H41-E41</f>
        <v>3960000000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49839900</v>
      </c>
      <c r="N41" s="64" t="n">
        <v>0.0125858333333333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45319</v>
      </c>
      <c r="C42" s="39" t="n">
        <v>3960000000</v>
      </c>
      <c r="D42" s="39" t="n">
        <v>48876300</v>
      </c>
      <c r="E42" s="39" t="n">
        <v>0</v>
      </c>
      <c r="F42" s="39" t="n">
        <v>48876300</v>
      </c>
      <c r="G42" s="39" t="n">
        <v>3960000000</v>
      </c>
      <c r="H42" s="33" t="n">
        <f aca="false">J41</f>
        <v>3960000000</v>
      </c>
      <c r="I42" s="33" t="n">
        <f aca="false">H42*N42</f>
        <v>48876300</v>
      </c>
      <c r="J42" s="33" t="n">
        <f aca="false">H42-E42</f>
        <v>3960000000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48876300</v>
      </c>
      <c r="N42" s="64" t="n">
        <v>0.0123425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45350</v>
      </c>
      <c r="C43" s="39" t="n">
        <v>3960000000</v>
      </c>
      <c r="D43" s="39" t="n">
        <v>49519800</v>
      </c>
      <c r="E43" s="39" t="n">
        <v>0</v>
      </c>
      <c r="F43" s="39" t="n">
        <v>49519800</v>
      </c>
      <c r="G43" s="39" t="n">
        <v>3960000000</v>
      </c>
      <c r="H43" s="33" t="n">
        <f aca="false">J42</f>
        <v>3960000000</v>
      </c>
      <c r="I43" s="33" t="n">
        <f aca="false">H43*N43</f>
        <v>49519800</v>
      </c>
      <c r="J43" s="33" t="n">
        <f aca="false">H43-E43</f>
        <v>3960000000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49519800</v>
      </c>
      <c r="N43" s="64" t="n">
        <v>0.012505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45379</v>
      </c>
      <c r="C44" s="39" t="n">
        <v>3960000000</v>
      </c>
      <c r="D44" s="39" t="n">
        <v>46869900</v>
      </c>
      <c r="E44" s="39" t="n">
        <v>0</v>
      </c>
      <c r="F44" s="39" t="n">
        <v>46869900</v>
      </c>
      <c r="G44" s="39" t="n">
        <v>3960000000</v>
      </c>
      <c r="H44" s="33" t="n">
        <f aca="false">J43</f>
        <v>3960000000</v>
      </c>
      <c r="I44" s="33" t="n">
        <f aca="false">H44*N44</f>
        <v>46869900</v>
      </c>
      <c r="J44" s="33" t="n">
        <f aca="false">H44-E44</f>
        <v>3960000000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46869900</v>
      </c>
      <c r="N44" s="64" t="n">
        <v>0.0118358333333333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45410</v>
      </c>
      <c r="C45" s="39" t="n">
        <v>3960000000</v>
      </c>
      <c r="D45" s="39" t="n">
        <v>47417700</v>
      </c>
      <c r="E45" s="39" t="n">
        <v>0</v>
      </c>
      <c r="F45" s="39" t="n">
        <v>47417700</v>
      </c>
      <c r="G45" s="39" t="n">
        <v>3960000000</v>
      </c>
      <c r="H45" s="33" t="n">
        <f aca="false">J44</f>
        <v>3960000000</v>
      </c>
      <c r="I45" s="33" t="n">
        <f aca="false">H45*N45</f>
        <v>47417700</v>
      </c>
      <c r="J45" s="33" t="n">
        <f aca="false">H45-E45</f>
        <v>3960000000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47417700</v>
      </c>
      <c r="N45" s="64" t="n">
        <v>0.0119741666666667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45440</v>
      </c>
      <c r="C46" s="39" t="n">
        <v>3960000000</v>
      </c>
      <c r="D46" s="39" t="n">
        <v>46256100</v>
      </c>
      <c r="E46" s="39" t="n">
        <v>0</v>
      </c>
      <c r="F46" s="39" t="n">
        <v>46256100</v>
      </c>
      <c r="G46" s="39" t="n">
        <v>3960000000</v>
      </c>
      <c r="H46" s="33" t="n">
        <f aca="false">J45</f>
        <v>3960000000</v>
      </c>
      <c r="I46" s="33" t="n">
        <f aca="false">H46*N46</f>
        <v>46256100</v>
      </c>
      <c r="J46" s="33" t="n">
        <f aca="false">H46-E46</f>
        <v>3960000000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46256100</v>
      </c>
      <c r="N46" s="64" t="n">
        <v>0.0116808333333333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45471</v>
      </c>
      <c r="C47" s="39" t="n">
        <v>3960000000</v>
      </c>
      <c r="D47" s="39" t="n">
        <v>43873500</v>
      </c>
      <c r="E47" s="39" t="n">
        <v>0</v>
      </c>
      <c r="F47" s="39" t="n">
        <v>43873500</v>
      </c>
      <c r="G47" s="39" t="n">
        <v>3960000000</v>
      </c>
      <c r="H47" s="33" t="n">
        <f aca="false">J46</f>
        <v>3960000000</v>
      </c>
      <c r="I47" s="33" t="n">
        <f aca="false">H47*N47</f>
        <v>43873500</v>
      </c>
      <c r="J47" s="33" t="n">
        <f aca="false">H47-E47</f>
        <v>3960000000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43873500</v>
      </c>
      <c r="N47" s="64" t="n">
        <v>0.0110791666666667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45501</v>
      </c>
      <c r="C48" s="39" t="n">
        <v>3960000000</v>
      </c>
      <c r="D48" s="39" t="n">
        <v>44101200</v>
      </c>
      <c r="E48" s="39" t="n">
        <v>0</v>
      </c>
      <c r="F48" s="39" t="n">
        <v>44101200</v>
      </c>
      <c r="G48" s="39" t="n">
        <v>3960000000</v>
      </c>
      <c r="H48" s="33" t="n">
        <f aca="false">J47</f>
        <v>3960000000</v>
      </c>
      <c r="I48" s="33" t="n">
        <f aca="false">H48*N48</f>
        <v>44101200</v>
      </c>
      <c r="J48" s="33" t="n">
        <f aca="false">H48-E48</f>
        <v>3960000000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44101200</v>
      </c>
      <c r="N48" s="64" t="n">
        <v>0.0111366666666667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45532</v>
      </c>
      <c r="C49" s="39" t="n">
        <v>3960000000</v>
      </c>
      <c r="D49" s="39" t="n">
        <v>42896700</v>
      </c>
      <c r="E49" s="39" t="n">
        <v>0</v>
      </c>
      <c r="F49" s="39" t="n">
        <v>42896700</v>
      </c>
      <c r="G49" s="39" t="n">
        <v>3960000000</v>
      </c>
      <c r="H49" s="33" t="n">
        <f aca="false">J48</f>
        <v>3960000000</v>
      </c>
      <c r="I49" s="33" t="n">
        <f aca="false">H49*N49</f>
        <v>42896700</v>
      </c>
      <c r="J49" s="33" t="n">
        <f aca="false">H49-E49</f>
        <v>3960000000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42896700</v>
      </c>
      <c r="N49" s="64" t="n">
        <v>0.0108325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45563</v>
      </c>
      <c r="C50" s="39" t="n">
        <v>3960000000</v>
      </c>
      <c r="D50" s="39" t="n">
        <v>40537200</v>
      </c>
      <c r="E50" s="39" t="n">
        <v>0</v>
      </c>
      <c r="F50" s="39" t="n">
        <v>40537200</v>
      </c>
      <c r="G50" s="39" t="n">
        <v>3960000000</v>
      </c>
      <c r="H50" s="33" t="n">
        <f aca="false">J49</f>
        <v>3960000000</v>
      </c>
      <c r="I50" s="33" t="n">
        <f aca="false">H50*N50</f>
        <v>40537200</v>
      </c>
      <c r="J50" s="33" t="n">
        <f aca="false">H50-E50</f>
        <v>3960000000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40537200</v>
      </c>
      <c r="N50" s="64" t="n">
        <v>0.0102366666666667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0</v>
      </c>
    </row>
    <row r="51" customFormat="false" ht="15" hidden="false" customHeight="false" outlineLevel="0" collapsed="false">
      <c r="A51" s="38" t="n">
        <v>39</v>
      </c>
      <c r="B51" s="27" t="n">
        <v>45593</v>
      </c>
      <c r="C51" s="39" t="n">
        <v>3960000000</v>
      </c>
      <c r="D51" s="39" t="n">
        <v>39616500</v>
      </c>
      <c r="E51" s="39" t="n">
        <v>0</v>
      </c>
      <c r="F51" s="39" t="n">
        <v>39616500</v>
      </c>
      <c r="G51" s="39" t="n">
        <v>3960000000</v>
      </c>
      <c r="H51" s="33" t="n">
        <f aca="false">J50</f>
        <v>3960000000</v>
      </c>
      <c r="I51" s="33" t="n">
        <f aca="false">H51*N51</f>
        <v>39616500</v>
      </c>
      <c r="J51" s="33" t="n">
        <f aca="false">H51-E51</f>
        <v>3960000000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39616500</v>
      </c>
      <c r="N51" s="64" t="n">
        <v>0.0100041666666667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0</v>
      </c>
    </row>
    <row r="52" customFormat="false" ht="15" hidden="false" customHeight="false" outlineLevel="0" collapsed="false">
      <c r="A52" s="38" t="n">
        <v>40</v>
      </c>
      <c r="B52" s="27" t="n">
        <v>45624</v>
      </c>
      <c r="C52" s="39" t="n">
        <v>3960000000</v>
      </c>
      <c r="D52" s="39" t="n">
        <v>39312900</v>
      </c>
      <c r="E52" s="39" t="n">
        <v>0</v>
      </c>
      <c r="F52" s="39" t="n">
        <v>39312900</v>
      </c>
      <c r="G52" s="39" t="n">
        <v>3960000000</v>
      </c>
      <c r="H52" s="33" t="n">
        <f aca="false">J51</f>
        <v>3960000000</v>
      </c>
      <c r="I52" s="33" t="n">
        <f aca="false">H52*N52</f>
        <v>39312900</v>
      </c>
      <c r="J52" s="33" t="n">
        <f aca="false">H52-E52</f>
        <v>3960000000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39312900</v>
      </c>
      <c r="N52" s="64" t="n">
        <v>0.0099275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0</v>
      </c>
    </row>
    <row r="53" customFormat="false" ht="15" hidden="false" customHeight="false" outlineLevel="0" collapsed="false">
      <c r="A53" s="38" t="n">
        <v>41</v>
      </c>
      <c r="B53" s="27" t="n">
        <v>45654</v>
      </c>
      <c r="C53" s="39" t="n">
        <v>3960000000</v>
      </c>
      <c r="D53" s="39" t="n">
        <v>40566900</v>
      </c>
      <c r="E53" s="39" t="n">
        <v>0</v>
      </c>
      <c r="F53" s="39" t="n">
        <v>40566900</v>
      </c>
      <c r="G53" s="39" t="n">
        <v>3960000000</v>
      </c>
      <c r="H53" s="33" t="n">
        <f aca="false">J52</f>
        <v>3960000000</v>
      </c>
      <c r="I53" s="33" t="n">
        <f aca="false">H53*N53</f>
        <v>40566900</v>
      </c>
      <c r="J53" s="33" t="n">
        <f aca="false">H53-E53</f>
        <v>3960000000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40566900</v>
      </c>
      <c r="N53" s="64" t="n">
        <v>0.0102441666666667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45685</v>
      </c>
      <c r="C54" s="39" t="n">
        <v>3960000000</v>
      </c>
      <c r="D54" s="39" t="n">
        <v>39840900</v>
      </c>
      <c r="E54" s="39" t="n">
        <v>0</v>
      </c>
      <c r="F54" s="39" t="n">
        <v>39840900</v>
      </c>
      <c r="G54" s="39" t="n">
        <v>3960000000</v>
      </c>
      <c r="H54" s="33" t="n">
        <f aca="false">J53</f>
        <v>3960000000</v>
      </c>
      <c r="I54" s="33" t="n">
        <f aca="false">H54*N54</f>
        <v>39840900</v>
      </c>
      <c r="J54" s="33" t="n">
        <f aca="false">H54-E54</f>
        <v>3960000000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39840900</v>
      </c>
      <c r="N54" s="64" t="n">
        <v>0.0100608333333333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45716</v>
      </c>
      <c r="C55" s="39" t="n">
        <v>3960000000</v>
      </c>
      <c r="D55" s="39" t="n">
        <v>40144500</v>
      </c>
      <c r="E55" s="39" t="n">
        <v>0</v>
      </c>
      <c r="F55" s="39" t="n">
        <v>40144500</v>
      </c>
      <c r="G55" s="39" t="n">
        <v>3960000000</v>
      </c>
      <c r="H55" s="33" t="n">
        <f aca="false">J54</f>
        <v>3960000000</v>
      </c>
      <c r="I55" s="33" t="n">
        <f aca="false">H55*N55</f>
        <v>40144500</v>
      </c>
      <c r="J55" s="33" t="n">
        <f aca="false">H55-E55</f>
        <v>3960000000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40144500</v>
      </c>
      <c r="N55" s="64" t="n">
        <v>0.0101375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45744</v>
      </c>
      <c r="C56" s="39" t="n">
        <v>3960000000</v>
      </c>
      <c r="D56" s="39" t="n">
        <v>40359000</v>
      </c>
      <c r="E56" s="39" t="n">
        <v>0</v>
      </c>
      <c r="F56" s="39" t="n">
        <v>40359000</v>
      </c>
      <c r="G56" s="39" t="n">
        <v>3960000000</v>
      </c>
      <c r="H56" s="33" t="n">
        <f aca="false">J55</f>
        <v>3960000000</v>
      </c>
      <c r="I56" s="33" t="n">
        <f aca="false">H56*N56</f>
        <v>40359000</v>
      </c>
      <c r="J56" s="33" t="n">
        <f aca="false">H56-E56</f>
        <v>3960000000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40359000</v>
      </c>
      <c r="N56" s="64" t="n">
        <v>0.0101916666666667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45775</v>
      </c>
      <c r="C57" s="39" t="n">
        <v>3960000000</v>
      </c>
      <c r="D57" s="39" t="n">
        <v>40500900</v>
      </c>
      <c r="E57" s="39" t="n">
        <v>0</v>
      </c>
      <c r="F57" s="39" t="n">
        <v>40500900</v>
      </c>
      <c r="G57" s="39" t="n">
        <v>3960000000</v>
      </c>
      <c r="H57" s="33" t="n">
        <f aca="false">J56</f>
        <v>3960000000</v>
      </c>
      <c r="I57" s="33" t="n">
        <f aca="false">H57*N57</f>
        <v>40500900</v>
      </c>
      <c r="J57" s="33" t="n">
        <f aca="false">H57-E57</f>
        <v>3960000000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40500900</v>
      </c>
      <c r="N57" s="64" t="n">
        <v>0.0102275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45805</v>
      </c>
      <c r="C58" s="39" t="n">
        <v>3960000000</v>
      </c>
      <c r="D58" s="39" t="n">
        <v>39913500</v>
      </c>
      <c r="E58" s="39" t="n">
        <v>0</v>
      </c>
      <c r="F58" s="39" t="n">
        <v>39913500</v>
      </c>
      <c r="G58" s="39" t="n">
        <v>3960000000</v>
      </c>
      <c r="H58" s="33" t="n">
        <f aca="false">J57</f>
        <v>3960000000</v>
      </c>
      <c r="I58" s="33" t="n">
        <f aca="false">H58*N58</f>
        <v>39913500</v>
      </c>
      <c r="J58" s="33" t="n">
        <f aca="false">H58-E58</f>
        <v>3960000000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39913500</v>
      </c>
      <c r="N58" s="64" t="n">
        <v>0.0100791666666667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45836</v>
      </c>
      <c r="C59" s="39" t="n">
        <v>3960000000</v>
      </c>
      <c r="D59" s="39" t="n">
        <v>39831000</v>
      </c>
      <c r="E59" s="39" t="n">
        <v>0</v>
      </c>
      <c r="F59" s="39" t="n">
        <v>39831000</v>
      </c>
      <c r="G59" s="39" t="n">
        <v>3960000000</v>
      </c>
      <c r="H59" s="33" t="n">
        <f aca="false">J58</f>
        <v>3960000000</v>
      </c>
      <c r="I59" s="33" t="n">
        <f aca="false">H59*N59</f>
        <v>39831000</v>
      </c>
      <c r="J59" s="33" t="n">
        <f aca="false">H59-E59</f>
        <v>3960000000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39831000</v>
      </c>
      <c r="N59" s="64" t="n">
        <v>0.0100583333333333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45866</v>
      </c>
      <c r="C60" s="39" t="n">
        <v>3960000000</v>
      </c>
      <c r="D60" s="39" t="n">
        <v>39567000</v>
      </c>
      <c r="E60" s="39" t="n">
        <v>0</v>
      </c>
      <c r="F60" s="39" t="n">
        <v>39567000</v>
      </c>
      <c r="G60" s="39" t="n">
        <v>3960000000</v>
      </c>
      <c r="H60" s="33" t="n">
        <f aca="false">J59</f>
        <v>3960000000</v>
      </c>
      <c r="I60" s="33" t="n">
        <f aca="false">H60*N60</f>
        <v>39567000</v>
      </c>
      <c r="J60" s="33" t="n">
        <f aca="false">H60-E60</f>
        <v>3960000000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39567000</v>
      </c>
      <c r="N60" s="64" t="n">
        <v>0.00999166666666667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45897</v>
      </c>
      <c r="C61" s="39" t="n">
        <v>3960000000</v>
      </c>
      <c r="D61" s="39" t="n">
        <v>40144500</v>
      </c>
      <c r="E61" s="39" t="n">
        <v>0</v>
      </c>
      <c r="F61" s="39" t="n">
        <v>40144500</v>
      </c>
      <c r="G61" s="39" t="n">
        <v>3960000000</v>
      </c>
      <c r="H61" s="33" t="n">
        <f aca="false">J60</f>
        <v>3960000000</v>
      </c>
      <c r="I61" s="33" t="n">
        <f aca="false">H61*N61</f>
        <v>40144500</v>
      </c>
      <c r="J61" s="33" t="n">
        <f aca="false">H61-E61</f>
        <v>3960000000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40144500</v>
      </c>
      <c r="N61" s="64" t="n">
        <v>0.0101375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45928</v>
      </c>
      <c r="C62" s="39" t="n">
        <v>3960000000</v>
      </c>
      <c r="D62" s="39" t="n">
        <v>40326000</v>
      </c>
      <c r="E62" s="39" t="n">
        <v>0</v>
      </c>
      <c r="F62" s="39" t="n">
        <v>40326000</v>
      </c>
      <c r="G62" s="39" t="n">
        <v>3960000000</v>
      </c>
      <c r="H62" s="33" t="n">
        <f aca="false">J61</f>
        <v>3960000000</v>
      </c>
      <c r="I62" s="33" t="n">
        <f aca="false">H62*N62</f>
        <v>40326000</v>
      </c>
      <c r="J62" s="33" t="n">
        <f aca="false">H62-E62</f>
        <v>3960000000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40326000</v>
      </c>
      <c r="N62" s="64" t="n">
        <v>0.0101833333333333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45958</v>
      </c>
      <c r="C63" s="39" t="n">
        <v>3960000000</v>
      </c>
      <c r="D63" s="39" t="n">
        <v>40966200</v>
      </c>
      <c r="E63" s="39" t="n">
        <v>0</v>
      </c>
      <c r="F63" s="39" t="n">
        <v>40966200</v>
      </c>
      <c r="G63" s="39" t="n">
        <v>3960000000</v>
      </c>
      <c r="H63" s="33" t="n">
        <f aca="false">J62</f>
        <v>3960000000</v>
      </c>
      <c r="I63" s="33" t="n">
        <f aca="false">H63*N63</f>
        <v>40966200</v>
      </c>
      <c r="J63" s="33" t="n">
        <f aca="false">H63-E63</f>
        <v>3960000000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40966200</v>
      </c>
      <c r="N63" s="64" t="n">
        <v>0.010345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45989</v>
      </c>
      <c r="C64" s="39" t="n">
        <v>3960000000</v>
      </c>
      <c r="D64" s="39" t="n">
        <v>42075000</v>
      </c>
      <c r="E64" s="39" t="n">
        <v>0</v>
      </c>
      <c r="F64" s="39" t="n">
        <v>42075000</v>
      </c>
      <c r="G64" s="39" t="n">
        <v>3960000000</v>
      </c>
      <c r="H64" s="33" t="n">
        <f aca="false">J63</f>
        <v>3960000000</v>
      </c>
      <c r="I64" s="33" t="n">
        <f aca="false">H64*N64</f>
        <v>42075000</v>
      </c>
      <c r="J64" s="33" t="n">
        <f aca="false">H64-E64</f>
        <v>3960000000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42075000</v>
      </c>
      <c r="N64" s="64" t="n">
        <v>0.010625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46019</v>
      </c>
      <c r="C65" s="39" t="n">
        <v>3960000000</v>
      </c>
      <c r="D65" s="39" t="n">
        <v>44757900</v>
      </c>
      <c r="E65" s="39" t="n">
        <v>0</v>
      </c>
      <c r="F65" s="39" t="n">
        <v>44757900</v>
      </c>
      <c r="G65" s="39" t="n">
        <v>3960000000</v>
      </c>
      <c r="H65" s="33" t="n">
        <f aca="false">J64</f>
        <v>3960000000</v>
      </c>
      <c r="I65" s="33" t="n">
        <f aca="false">H65*N65</f>
        <v>44757900</v>
      </c>
      <c r="J65" s="33" t="n">
        <f aca="false">H65-E65</f>
        <v>3960000000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44757900</v>
      </c>
      <c r="N65" s="64" t="n">
        <v>0.0113025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46050</v>
      </c>
      <c r="C66" s="39" t="n">
        <v>3960000000</v>
      </c>
      <c r="D66" s="39" t="n">
        <v>45210000</v>
      </c>
      <c r="E66" s="39" t="n">
        <v>0</v>
      </c>
      <c r="F66" s="39" t="n">
        <v>45210000</v>
      </c>
      <c r="G66" s="39" t="n">
        <v>3960000000</v>
      </c>
      <c r="H66" s="33" t="n">
        <f aca="false">J65</f>
        <v>3960000000</v>
      </c>
      <c r="I66" s="33" t="n">
        <f aca="false">H66*N66</f>
        <v>45210000</v>
      </c>
      <c r="J66" s="33" t="n">
        <f aca="false">H66-E66</f>
        <v>3960000000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45210000</v>
      </c>
      <c r="N66" s="64" t="n">
        <v>0.0114166666666667</v>
      </c>
      <c r="O66" s="48" t="n">
        <f aca="false">IF(AND(B66&gt;=DATE(2026,1,1),B66&lt;=Resumen!$C$5),1,0)</f>
        <v>1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46081</v>
      </c>
      <c r="C67" s="39" t="n">
        <v>3960000000</v>
      </c>
      <c r="D67" s="39" t="n">
        <v>48741000</v>
      </c>
      <c r="E67" s="39" t="n">
        <v>0</v>
      </c>
      <c r="F67" s="39" t="n">
        <v>48741000</v>
      </c>
      <c r="G67" s="39" t="n">
        <v>3960000000</v>
      </c>
      <c r="H67" s="33" t="n">
        <f aca="false">J66</f>
        <v>3960000000</v>
      </c>
      <c r="I67" s="33" t="n">
        <f aca="false">H67*N67</f>
        <v>48741000</v>
      </c>
      <c r="J67" s="33" t="n">
        <f aca="false">H67-E67</f>
        <v>3960000000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48741000</v>
      </c>
      <c r="N67" s="64" t="n">
        <v>0.0123083333333333</v>
      </c>
      <c r="O67" s="48" t="n">
        <f aca="false">IF(AND(B67&gt;=DATE(2026,1,1),B67&lt;=Resumen!$C$5),1,0)</f>
        <v>1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46109</v>
      </c>
      <c r="C68" s="39" t="n">
        <v>3960000000</v>
      </c>
      <c r="D68" s="39" t="n">
        <v>49863000</v>
      </c>
      <c r="E68" s="39" t="n">
        <v>0</v>
      </c>
      <c r="F68" s="39" t="n">
        <v>49863000</v>
      </c>
      <c r="G68" s="39" t="n">
        <v>3960000000</v>
      </c>
      <c r="H68" s="33" t="n">
        <f aca="false">J67</f>
        <v>3960000000</v>
      </c>
      <c r="I68" s="33" t="n">
        <f aca="false">H68*N68</f>
        <v>49863000</v>
      </c>
      <c r="J68" s="33" t="n">
        <f aca="false">H68-E68</f>
        <v>3960000000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49863000</v>
      </c>
      <c r="N68" s="64" t="n">
        <v>0.0125916666666667</v>
      </c>
      <c r="O68" s="48" t="n">
        <f aca="false">IF(AND(B68&gt;=DATE(2026,1,1),B68&lt;=Resumen!$C$5),1,0)</f>
        <v>1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46140</v>
      </c>
      <c r="C69" s="39" t="n">
        <v>3960000000</v>
      </c>
      <c r="D69" s="39" t="n">
        <v>50975100</v>
      </c>
      <c r="E69" s="39" t="n">
        <v>0</v>
      </c>
      <c r="F69" s="39" t="n">
        <v>50975100</v>
      </c>
      <c r="G69" s="39" t="n">
        <v>3960000000</v>
      </c>
      <c r="H69" s="33" t="n">
        <f aca="false">J68</f>
        <v>3960000000</v>
      </c>
      <c r="I69" s="33" t="n">
        <f aca="false">H69*N69</f>
        <v>50975100</v>
      </c>
      <c r="J69" s="33" t="n">
        <f aca="false">H69-E69</f>
        <v>3960000000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50975100</v>
      </c>
      <c r="N69" s="64" t="n">
        <v>0.0128725</v>
      </c>
      <c r="O69" s="48" t="n">
        <f aca="false">IF(AND(B69&gt;=DATE(2026,1,1),B69&lt;=Resumen!$C$5),1,0)</f>
        <v>1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46170</v>
      </c>
      <c r="C70" s="39" t="n">
        <v>3960000000</v>
      </c>
      <c r="D70" s="39" t="n">
        <v>50975100</v>
      </c>
      <c r="E70" s="39" t="n">
        <v>0</v>
      </c>
      <c r="F70" s="39" t="n">
        <v>50975100</v>
      </c>
      <c r="G70" s="39" t="n">
        <v>3960000000</v>
      </c>
      <c r="H70" s="33" t="n">
        <f aca="false">J69</f>
        <v>3960000000</v>
      </c>
      <c r="I70" s="33" t="n">
        <f aca="false">H70*N70</f>
        <v>50975100</v>
      </c>
      <c r="J70" s="33" t="n">
        <f aca="false">H70-E70</f>
        <v>3960000000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50975100</v>
      </c>
      <c r="N70" s="64" t="n">
        <v>0.0128725</v>
      </c>
      <c r="O70" s="48" t="n">
        <f aca="false">IF(AND(B70&gt;=DATE(2026,1,1),B70&lt;=Resumen!$C$5),1,0)</f>
        <v>1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46201</v>
      </c>
      <c r="C71" s="39" t="n">
        <v>3960000000</v>
      </c>
      <c r="D71" s="39" t="n">
        <v>50094000</v>
      </c>
      <c r="E71" s="39" t="n">
        <v>0</v>
      </c>
      <c r="F71" s="39" t="n">
        <v>50094000</v>
      </c>
      <c r="G71" s="39" t="n">
        <v>3960000000</v>
      </c>
      <c r="H71" s="33" t="n">
        <f aca="false">J70</f>
        <v>3960000000</v>
      </c>
      <c r="I71" s="33" t="n">
        <f aca="false">H71*N71</f>
        <v>50094000</v>
      </c>
      <c r="J71" s="33" t="n">
        <f aca="false">H71-E71</f>
        <v>3960000000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50094000</v>
      </c>
      <c r="N71" s="64" t="n">
        <v>0.01265</v>
      </c>
      <c r="O71" s="48" t="n">
        <f aca="false">IF(AND(B71&gt;=DATE(2026,1,1),B71&lt;=Resumen!$C$5),1,0)</f>
        <v>1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46231</v>
      </c>
      <c r="C72" s="39" t="n">
        <v>3960000000</v>
      </c>
      <c r="D72" s="39" t="n">
        <v>50902500</v>
      </c>
      <c r="E72" s="39" t="n">
        <v>0</v>
      </c>
      <c r="F72" s="39" t="n">
        <v>50902500</v>
      </c>
      <c r="G72" s="39" t="n">
        <v>3960000000</v>
      </c>
      <c r="H72" s="33" t="n">
        <f aca="false">J71</f>
        <v>3960000000</v>
      </c>
      <c r="I72" s="33" t="n">
        <f aca="false">H72*N72</f>
        <v>50902500</v>
      </c>
      <c r="J72" s="33" t="n">
        <f aca="false">H72-E72</f>
        <v>3960000000</v>
      </c>
      <c r="K72" s="33" t="n">
        <f aca="false">D72-I72</f>
        <v>0</v>
      </c>
      <c r="L72" s="33" t="n">
        <f aca="false">G72-J72</f>
        <v>0</v>
      </c>
      <c r="M72" s="33" t="n">
        <f aca="false">F72</f>
        <v>50902500</v>
      </c>
      <c r="N72" s="64" t="n">
        <v>0.0128541666666667</v>
      </c>
      <c r="O72" s="48" t="n">
        <f aca="false">IF(AND(B72&gt;=DATE(2026,1,1),B72&lt;=Resumen!$C$5),1,0)</f>
        <v>1</v>
      </c>
      <c r="P72" s="48" t="n">
        <f aca="false">IF(AND(B72&gt;Resumen!$C$5,B72&lt;=DATE(2027,7,31)),1,0)</f>
        <v>0</v>
      </c>
    </row>
    <row r="73" customFormat="false" ht="15" hidden="false" customHeight="false" outlineLevel="0" collapsed="false">
      <c r="A73" s="38" t="n">
        <v>61</v>
      </c>
      <c r="B73" s="27" t="n">
        <v>46262</v>
      </c>
      <c r="C73" s="39" t="n">
        <v>3960000000</v>
      </c>
      <c r="D73" s="39" t="n">
        <v>50902500</v>
      </c>
      <c r="E73" s="39" t="n">
        <v>0</v>
      </c>
      <c r="F73" s="39" t="n">
        <v>50902500</v>
      </c>
      <c r="G73" s="39" t="n">
        <v>3960000000</v>
      </c>
      <c r="H73" s="33" t="n">
        <f aca="false">J72</f>
        <v>3960000000</v>
      </c>
      <c r="I73" s="33" t="n">
        <f aca="false">H73*N73</f>
        <v>50902500</v>
      </c>
      <c r="J73" s="33" t="n">
        <f aca="false">H73-E73</f>
        <v>3960000000</v>
      </c>
      <c r="K73" s="33" t="n">
        <f aca="false">D73-I73</f>
        <v>0</v>
      </c>
      <c r="L73" s="33" t="n">
        <f aca="false">G73-J73</f>
        <v>0</v>
      </c>
      <c r="M73" s="33" t="n">
        <f aca="false">F73</f>
        <v>50902500</v>
      </c>
      <c r="N73" s="64" t="n">
        <v>0.0128541666666667</v>
      </c>
      <c r="O73" s="48" t="n">
        <f aca="false">IF(AND(B73&gt;=DATE(2026,1,1),B73&lt;=Resumen!$C$5),1,0)</f>
        <v>0</v>
      </c>
      <c r="P73" s="48" t="n">
        <f aca="false">IF(AND(B73&gt;Resumen!$C$5,B73&lt;=DATE(2027,7,31)),1,0)</f>
        <v>1</v>
      </c>
    </row>
    <row r="74" customFormat="false" ht="15" hidden="false" customHeight="false" outlineLevel="0" collapsed="false">
      <c r="A74" s="38" t="n">
        <v>62</v>
      </c>
      <c r="B74" s="27" t="n">
        <v>46293</v>
      </c>
      <c r="C74" s="39" t="n">
        <v>3960000000</v>
      </c>
      <c r="D74" s="39" t="n">
        <v>50902500</v>
      </c>
      <c r="E74" s="39" t="n">
        <v>0</v>
      </c>
      <c r="F74" s="39" t="n">
        <v>50902500</v>
      </c>
      <c r="G74" s="39" t="n">
        <v>3960000000</v>
      </c>
      <c r="H74" s="33" t="n">
        <f aca="false">J73</f>
        <v>3960000000</v>
      </c>
      <c r="I74" s="33" t="n">
        <f aca="false">H74*N74</f>
        <v>50902500</v>
      </c>
      <c r="J74" s="33" t="n">
        <f aca="false">H74-E74</f>
        <v>3960000000</v>
      </c>
      <c r="K74" s="33" t="n">
        <f aca="false">D74-I74</f>
        <v>0</v>
      </c>
      <c r="L74" s="33" t="n">
        <f aca="false">G74-J74</f>
        <v>0</v>
      </c>
      <c r="M74" s="33" t="n">
        <f aca="false">F74</f>
        <v>50902500</v>
      </c>
      <c r="N74" s="64" t="n">
        <v>0.0128541666666667</v>
      </c>
      <c r="O74" s="48" t="n">
        <f aca="false">IF(AND(B74&gt;=DATE(2026,1,1),B74&lt;=Resumen!$C$5),1,0)</f>
        <v>0</v>
      </c>
      <c r="P74" s="48" t="n">
        <f aca="false">IF(AND(B74&gt;Resumen!$C$5,B74&lt;=DATE(2027,7,31)),1,0)</f>
        <v>1</v>
      </c>
    </row>
    <row r="75" customFormat="false" ht="15" hidden="false" customHeight="false" outlineLevel="0" collapsed="false">
      <c r="A75" s="38" t="n">
        <v>63</v>
      </c>
      <c r="B75" s="27" t="n">
        <v>46323</v>
      </c>
      <c r="C75" s="39" t="n">
        <v>3960000000</v>
      </c>
      <c r="D75" s="39" t="n">
        <v>50902500</v>
      </c>
      <c r="E75" s="39" t="n">
        <v>0</v>
      </c>
      <c r="F75" s="39" t="n">
        <v>50902500</v>
      </c>
      <c r="G75" s="39" t="n">
        <v>3960000000</v>
      </c>
      <c r="H75" s="33" t="n">
        <f aca="false">J74</f>
        <v>3960000000</v>
      </c>
      <c r="I75" s="33" t="n">
        <f aca="false">H75*N75</f>
        <v>50902500</v>
      </c>
      <c r="J75" s="33" t="n">
        <f aca="false">H75-E75</f>
        <v>3960000000</v>
      </c>
      <c r="K75" s="33" t="n">
        <f aca="false">D75-I75</f>
        <v>0</v>
      </c>
      <c r="L75" s="33" t="n">
        <f aca="false">G75-J75</f>
        <v>0</v>
      </c>
      <c r="M75" s="33" t="n">
        <f aca="false">F75</f>
        <v>50902500</v>
      </c>
      <c r="N75" s="64" t="n">
        <v>0.0128541666666667</v>
      </c>
      <c r="O75" s="48" t="n">
        <f aca="false">IF(AND(B75&gt;=DATE(2026,1,1),B75&lt;=Resumen!$C$5),1,0)</f>
        <v>0</v>
      </c>
      <c r="P75" s="48" t="n">
        <f aca="false">IF(AND(B75&gt;Resumen!$C$5,B75&lt;=DATE(2027,7,31)),1,0)</f>
        <v>1</v>
      </c>
    </row>
    <row r="76" customFormat="false" ht="15" hidden="false" customHeight="false" outlineLevel="0" collapsed="false">
      <c r="A76" s="38" t="n">
        <v>64</v>
      </c>
      <c r="B76" s="27" t="n">
        <v>46354</v>
      </c>
      <c r="C76" s="39" t="n">
        <v>3960000000</v>
      </c>
      <c r="D76" s="39" t="n">
        <v>50902500</v>
      </c>
      <c r="E76" s="39" t="n">
        <v>0</v>
      </c>
      <c r="F76" s="39" t="n">
        <v>50902500</v>
      </c>
      <c r="G76" s="39" t="n">
        <v>3960000000</v>
      </c>
      <c r="H76" s="33" t="n">
        <f aca="false">J75</f>
        <v>3960000000</v>
      </c>
      <c r="I76" s="33" t="n">
        <f aca="false">H76*N76</f>
        <v>50902500</v>
      </c>
      <c r="J76" s="33" t="n">
        <f aca="false">H76-E76</f>
        <v>3960000000</v>
      </c>
      <c r="K76" s="33" t="n">
        <f aca="false">D76-I76</f>
        <v>0</v>
      </c>
      <c r="L76" s="33" t="n">
        <f aca="false">G76-J76</f>
        <v>0</v>
      </c>
      <c r="M76" s="33" t="n">
        <f aca="false">F76</f>
        <v>50902500</v>
      </c>
      <c r="N76" s="64" t="n">
        <v>0.0128541666666667</v>
      </c>
      <c r="O76" s="48" t="n">
        <f aca="false">IF(AND(B76&gt;=DATE(2026,1,1),B76&lt;=Resumen!$C$5),1,0)</f>
        <v>0</v>
      </c>
      <c r="P76" s="48" t="n">
        <f aca="false">IF(AND(B76&gt;Resumen!$C$5,B76&lt;=DATE(2027,7,31)),1,0)</f>
        <v>1</v>
      </c>
    </row>
    <row r="77" customFormat="false" ht="15" hidden="false" customHeight="false" outlineLevel="0" collapsed="false">
      <c r="A77" s="38" t="n">
        <v>65</v>
      </c>
      <c r="B77" s="27" t="n">
        <v>46384</v>
      </c>
      <c r="C77" s="39" t="n">
        <v>3960000000</v>
      </c>
      <c r="D77" s="39" t="n">
        <v>50902500</v>
      </c>
      <c r="E77" s="39" t="n">
        <v>0</v>
      </c>
      <c r="F77" s="39" t="n">
        <v>50902500</v>
      </c>
      <c r="G77" s="39" t="n">
        <v>3960000000</v>
      </c>
      <c r="H77" s="33" t="n">
        <f aca="false">J76</f>
        <v>3960000000</v>
      </c>
      <c r="I77" s="33" t="n">
        <f aca="false">H77*N77</f>
        <v>50902500</v>
      </c>
      <c r="J77" s="33" t="n">
        <f aca="false">H77-E77</f>
        <v>3960000000</v>
      </c>
      <c r="K77" s="33" t="n">
        <f aca="false">D77-I77</f>
        <v>0</v>
      </c>
      <c r="L77" s="33" t="n">
        <f aca="false">G77-J77</f>
        <v>0</v>
      </c>
      <c r="M77" s="33" t="n">
        <f aca="false">F77</f>
        <v>50902500</v>
      </c>
      <c r="N77" s="64" t="n">
        <v>0.0128541666666667</v>
      </c>
      <c r="O77" s="48" t="n">
        <f aca="false">IF(AND(B77&gt;=DATE(2026,1,1),B77&lt;=Resumen!$C$5),1,0)</f>
        <v>0</v>
      </c>
      <c r="P77" s="48" t="n">
        <f aca="false">IF(AND(B77&gt;Resumen!$C$5,B77&lt;=DATE(2027,7,31)),1,0)</f>
        <v>1</v>
      </c>
    </row>
    <row r="78" customFormat="false" ht="15" hidden="false" customHeight="false" outlineLevel="0" collapsed="false">
      <c r="A78" s="38" t="n">
        <v>66</v>
      </c>
      <c r="B78" s="27" t="n">
        <v>46415</v>
      </c>
      <c r="C78" s="39" t="n">
        <v>3960000000</v>
      </c>
      <c r="D78" s="39" t="n">
        <v>50902500</v>
      </c>
      <c r="E78" s="39" t="n">
        <v>0</v>
      </c>
      <c r="F78" s="39" t="n">
        <v>50902500</v>
      </c>
      <c r="G78" s="39" t="n">
        <v>3960000000</v>
      </c>
      <c r="H78" s="33" t="n">
        <f aca="false">J77</f>
        <v>3960000000</v>
      </c>
      <c r="I78" s="33" t="n">
        <f aca="false">H78*N78</f>
        <v>50902500</v>
      </c>
      <c r="J78" s="33" t="n">
        <f aca="false">H78-E78</f>
        <v>3960000000</v>
      </c>
      <c r="K78" s="33" t="n">
        <f aca="false">D78-I78</f>
        <v>0</v>
      </c>
      <c r="L78" s="33" t="n">
        <f aca="false">G78-J78</f>
        <v>0</v>
      </c>
      <c r="M78" s="33" t="n">
        <f aca="false">F78</f>
        <v>50902500</v>
      </c>
      <c r="N78" s="64" t="n">
        <v>0.0128541666666667</v>
      </c>
      <c r="O78" s="48" t="n">
        <f aca="false">IF(AND(B78&gt;=DATE(2026,1,1),B78&lt;=Resumen!$C$5),1,0)</f>
        <v>0</v>
      </c>
      <c r="P78" s="48" t="n">
        <f aca="false">IF(AND(B78&gt;Resumen!$C$5,B78&lt;=DATE(2027,7,31)),1,0)</f>
        <v>1</v>
      </c>
    </row>
    <row r="79" customFormat="false" ht="15" hidden="false" customHeight="false" outlineLevel="0" collapsed="false">
      <c r="A79" s="38" t="n">
        <v>67</v>
      </c>
      <c r="B79" s="27" t="n">
        <v>46446</v>
      </c>
      <c r="C79" s="39" t="n">
        <v>3960000000</v>
      </c>
      <c r="D79" s="39" t="n">
        <v>50902500</v>
      </c>
      <c r="E79" s="39" t="n">
        <v>0</v>
      </c>
      <c r="F79" s="39" t="n">
        <v>50902500</v>
      </c>
      <c r="G79" s="39" t="n">
        <v>3960000000</v>
      </c>
      <c r="H79" s="33" t="n">
        <f aca="false">J78</f>
        <v>3960000000</v>
      </c>
      <c r="I79" s="33" t="n">
        <f aca="false">H79*N79</f>
        <v>50902500</v>
      </c>
      <c r="J79" s="33" t="n">
        <f aca="false">H79-E79</f>
        <v>3960000000</v>
      </c>
      <c r="K79" s="33" t="n">
        <f aca="false">D79-I79</f>
        <v>0</v>
      </c>
      <c r="L79" s="33" t="n">
        <f aca="false">G79-J79</f>
        <v>0</v>
      </c>
      <c r="M79" s="33" t="n">
        <f aca="false">F79</f>
        <v>50902500</v>
      </c>
      <c r="N79" s="64" t="n">
        <v>0.0128541666666667</v>
      </c>
      <c r="O79" s="48" t="n">
        <f aca="false">IF(AND(B79&gt;=DATE(2026,1,1),B79&lt;=Resumen!$C$5),1,0)</f>
        <v>0</v>
      </c>
      <c r="P79" s="48" t="n">
        <f aca="false">IF(AND(B79&gt;Resumen!$C$5,B79&lt;=DATE(2027,7,31)),1,0)</f>
        <v>1</v>
      </c>
    </row>
    <row r="80" customFormat="false" ht="15" hidden="false" customHeight="false" outlineLevel="0" collapsed="false">
      <c r="A80" s="38" t="n">
        <v>68</v>
      </c>
      <c r="B80" s="27" t="n">
        <v>46474</v>
      </c>
      <c r="C80" s="39" t="n">
        <v>3960000000</v>
      </c>
      <c r="D80" s="39" t="n">
        <v>50902500</v>
      </c>
      <c r="E80" s="39" t="n">
        <v>0</v>
      </c>
      <c r="F80" s="39" t="n">
        <v>50902500</v>
      </c>
      <c r="G80" s="39" t="n">
        <v>3960000000</v>
      </c>
      <c r="H80" s="33" t="n">
        <f aca="false">J79</f>
        <v>3960000000</v>
      </c>
      <c r="I80" s="33" t="n">
        <f aca="false">H80*N80</f>
        <v>50902500</v>
      </c>
      <c r="J80" s="33" t="n">
        <f aca="false">H80-E80</f>
        <v>3960000000</v>
      </c>
      <c r="K80" s="33" t="n">
        <f aca="false">D80-I80</f>
        <v>0</v>
      </c>
      <c r="L80" s="33" t="n">
        <f aca="false">G80-J80</f>
        <v>0</v>
      </c>
      <c r="M80" s="33" t="n">
        <f aca="false">F80</f>
        <v>50902500</v>
      </c>
      <c r="N80" s="64" t="n">
        <v>0.0128541666666667</v>
      </c>
      <c r="O80" s="48" t="n">
        <f aca="false">IF(AND(B80&gt;=DATE(2026,1,1),B80&lt;=Resumen!$C$5),1,0)</f>
        <v>0</v>
      </c>
      <c r="P80" s="48" t="n">
        <f aca="false">IF(AND(B80&gt;Resumen!$C$5,B80&lt;=DATE(2027,7,31)),1,0)</f>
        <v>1</v>
      </c>
    </row>
    <row r="81" customFormat="false" ht="15" hidden="false" customHeight="false" outlineLevel="0" collapsed="false">
      <c r="A81" s="38" t="n">
        <v>69</v>
      </c>
      <c r="B81" s="27" t="n">
        <v>46505</v>
      </c>
      <c r="C81" s="39" t="n">
        <v>3960000000</v>
      </c>
      <c r="D81" s="39" t="n">
        <v>50902500</v>
      </c>
      <c r="E81" s="39" t="n">
        <v>0</v>
      </c>
      <c r="F81" s="39" t="n">
        <v>50902500</v>
      </c>
      <c r="G81" s="39" t="n">
        <v>3960000000</v>
      </c>
      <c r="H81" s="33" t="n">
        <f aca="false">J80</f>
        <v>3960000000</v>
      </c>
      <c r="I81" s="33" t="n">
        <f aca="false">H81*N81</f>
        <v>50902500</v>
      </c>
      <c r="J81" s="33" t="n">
        <f aca="false">H81-E81</f>
        <v>3960000000</v>
      </c>
      <c r="K81" s="33" t="n">
        <f aca="false">D81-I81</f>
        <v>0</v>
      </c>
      <c r="L81" s="33" t="n">
        <f aca="false">G81-J81</f>
        <v>0</v>
      </c>
      <c r="M81" s="33" t="n">
        <f aca="false">F81</f>
        <v>50902500</v>
      </c>
      <c r="N81" s="64" t="n">
        <v>0.0128541666666667</v>
      </c>
      <c r="O81" s="48" t="n">
        <f aca="false">IF(AND(B81&gt;=DATE(2026,1,1),B81&lt;=Resumen!$C$5),1,0)</f>
        <v>0</v>
      </c>
      <c r="P81" s="48" t="n">
        <f aca="false">IF(AND(B81&gt;Resumen!$C$5,B81&lt;=DATE(2027,7,31)),1,0)</f>
        <v>1</v>
      </c>
    </row>
    <row r="82" customFormat="false" ht="15" hidden="false" customHeight="false" outlineLevel="0" collapsed="false">
      <c r="A82" s="38" t="n">
        <v>70</v>
      </c>
      <c r="B82" s="27" t="n">
        <v>46535</v>
      </c>
      <c r="C82" s="39" t="n">
        <v>3960000000</v>
      </c>
      <c r="D82" s="39" t="n">
        <v>50902500</v>
      </c>
      <c r="E82" s="39" t="n">
        <v>0</v>
      </c>
      <c r="F82" s="39" t="n">
        <v>50902500</v>
      </c>
      <c r="G82" s="39" t="n">
        <v>3960000000</v>
      </c>
      <c r="H82" s="33" t="n">
        <f aca="false">J81</f>
        <v>3960000000</v>
      </c>
      <c r="I82" s="33" t="n">
        <f aca="false">H82*N82</f>
        <v>50902500</v>
      </c>
      <c r="J82" s="33" t="n">
        <f aca="false">H82-E82</f>
        <v>3960000000</v>
      </c>
      <c r="K82" s="33" t="n">
        <f aca="false">D82-I82</f>
        <v>0</v>
      </c>
      <c r="L82" s="33" t="n">
        <f aca="false">G82-J82</f>
        <v>0</v>
      </c>
      <c r="M82" s="33" t="n">
        <f aca="false">F82</f>
        <v>50902500</v>
      </c>
      <c r="N82" s="64" t="n">
        <v>0.0128541666666667</v>
      </c>
      <c r="O82" s="48" t="n">
        <f aca="false">IF(AND(B82&gt;=DATE(2026,1,1),B82&lt;=Resumen!$C$5),1,0)</f>
        <v>0</v>
      </c>
      <c r="P82" s="48" t="n">
        <f aca="false">IF(AND(B82&gt;Resumen!$C$5,B82&lt;=DATE(2027,7,31)),1,0)</f>
        <v>1</v>
      </c>
    </row>
    <row r="83" customFormat="false" ht="15" hidden="false" customHeight="false" outlineLevel="0" collapsed="false">
      <c r="A83" s="38" t="n">
        <v>71</v>
      </c>
      <c r="B83" s="27" t="n">
        <v>46566</v>
      </c>
      <c r="C83" s="39" t="n">
        <v>3960000000</v>
      </c>
      <c r="D83" s="39" t="n">
        <v>50902500</v>
      </c>
      <c r="E83" s="39" t="n">
        <v>0</v>
      </c>
      <c r="F83" s="39" t="n">
        <v>50902500</v>
      </c>
      <c r="G83" s="39" t="n">
        <v>3960000000</v>
      </c>
      <c r="H83" s="33" t="n">
        <f aca="false">J82</f>
        <v>3960000000</v>
      </c>
      <c r="I83" s="33" t="n">
        <f aca="false">H83*N83</f>
        <v>50902500</v>
      </c>
      <c r="J83" s="33" t="n">
        <f aca="false">H83-E83</f>
        <v>3960000000</v>
      </c>
      <c r="K83" s="33" t="n">
        <f aca="false">D83-I83</f>
        <v>0</v>
      </c>
      <c r="L83" s="33" t="n">
        <f aca="false">G83-J83</f>
        <v>0</v>
      </c>
      <c r="M83" s="33" t="n">
        <f aca="false">F83</f>
        <v>50902500</v>
      </c>
      <c r="N83" s="64" t="n">
        <v>0.0128541666666667</v>
      </c>
      <c r="O83" s="48" t="n">
        <f aca="false">IF(AND(B83&gt;=DATE(2026,1,1),B83&lt;=Resumen!$C$5),1,0)</f>
        <v>0</v>
      </c>
      <c r="P83" s="48" t="n">
        <f aca="false">IF(AND(B83&gt;Resumen!$C$5,B83&lt;=DATE(2027,7,31)),1,0)</f>
        <v>1</v>
      </c>
    </row>
    <row r="84" customFormat="false" ht="15" hidden="false" customHeight="false" outlineLevel="0" collapsed="false">
      <c r="A84" s="38" t="n">
        <v>72</v>
      </c>
      <c r="B84" s="27" t="n">
        <v>46596</v>
      </c>
      <c r="C84" s="39" t="n">
        <v>3960000000</v>
      </c>
      <c r="D84" s="39" t="n">
        <v>50902500</v>
      </c>
      <c r="E84" s="39" t="n">
        <v>0</v>
      </c>
      <c r="F84" s="39" t="n">
        <v>50902500</v>
      </c>
      <c r="G84" s="39" t="n">
        <v>3960000000</v>
      </c>
      <c r="H84" s="33" t="n">
        <f aca="false">J83</f>
        <v>3960000000</v>
      </c>
      <c r="I84" s="33" t="n">
        <f aca="false">H84*N84</f>
        <v>50902500</v>
      </c>
      <c r="J84" s="33" t="n">
        <f aca="false">H84-E84</f>
        <v>3960000000</v>
      </c>
      <c r="K84" s="33" t="n">
        <f aca="false">D84-I84</f>
        <v>0</v>
      </c>
      <c r="L84" s="33" t="n">
        <f aca="false">G84-J84</f>
        <v>0</v>
      </c>
      <c r="M84" s="33" t="n">
        <f aca="false">F84</f>
        <v>50902500</v>
      </c>
      <c r="N84" s="64" t="n">
        <v>0.0128541666666667</v>
      </c>
      <c r="O84" s="48" t="n">
        <f aca="false">IF(AND(B84&gt;=DATE(2026,1,1),B84&lt;=Resumen!$C$5),1,0)</f>
        <v>0</v>
      </c>
      <c r="P84" s="48" t="n">
        <f aca="false">IF(AND(B84&gt;Resumen!$C$5,B84&lt;=DATE(2027,7,31)),1,0)</f>
        <v>1</v>
      </c>
    </row>
    <row r="85" customFormat="false" ht="15" hidden="false" customHeight="false" outlineLevel="0" collapsed="false">
      <c r="A85" s="38" t="n">
        <v>73</v>
      </c>
      <c r="B85" s="27" t="n">
        <v>46627</v>
      </c>
      <c r="C85" s="39" t="n">
        <v>3960000000</v>
      </c>
      <c r="D85" s="39" t="n">
        <v>50902500</v>
      </c>
      <c r="E85" s="39" t="n">
        <v>0</v>
      </c>
      <c r="F85" s="39" t="n">
        <v>50902500</v>
      </c>
      <c r="G85" s="39" t="n">
        <v>3960000000</v>
      </c>
      <c r="H85" s="33" t="n">
        <f aca="false">J84</f>
        <v>3960000000</v>
      </c>
      <c r="I85" s="33" t="n">
        <f aca="false">H85*N85</f>
        <v>50902500</v>
      </c>
      <c r="J85" s="33" t="n">
        <f aca="false">H85-E85</f>
        <v>3960000000</v>
      </c>
      <c r="K85" s="33" t="n">
        <f aca="false">D85-I85</f>
        <v>0</v>
      </c>
      <c r="L85" s="33" t="n">
        <f aca="false">G85-J85</f>
        <v>0</v>
      </c>
      <c r="M85" s="33" t="n">
        <f aca="false">F85</f>
        <v>50902500</v>
      </c>
      <c r="N85" s="64" t="n">
        <v>0.0128541666666667</v>
      </c>
      <c r="O85" s="48" t="n">
        <f aca="false">IF(AND(B85&gt;=DATE(2026,1,1),B85&lt;=Resumen!$C$5),1,0)</f>
        <v>0</v>
      </c>
      <c r="P85" s="48" t="n">
        <f aca="false">IF(AND(B85&gt;Resumen!$C$5,B85&lt;=DATE(2027,7,31)),1,0)</f>
        <v>0</v>
      </c>
    </row>
    <row r="86" customFormat="false" ht="15" hidden="false" customHeight="false" outlineLevel="0" collapsed="false">
      <c r="A86" s="38" t="n">
        <v>74</v>
      </c>
      <c r="B86" s="27" t="n">
        <v>46658</v>
      </c>
      <c r="C86" s="39" t="n">
        <v>3960000000</v>
      </c>
      <c r="D86" s="39" t="n">
        <v>50902500</v>
      </c>
      <c r="E86" s="39" t="n">
        <v>0</v>
      </c>
      <c r="F86" s="39" t="n">
        <v>50902500</v>
      </c>
      <c r="G86" s="39" t="n">
        <v>3960000000</v>
      </c>
      <c r="H86" s="33" t="n">
        <f aca="false">J85</f>
        <v>3960000000</v>
      </c>
      <c r="I86" s="33" t="n">
        <f aca="false">H86*N86</f>
        <v>50902500</v>
      </c>
      <c r="J86" s="33" t="n">
        <f aca="false">H86-E86</f>
        <v>3960000000</v>
      </c>
      <c r="K86" s="33" t="n">
        <f aca="false">D86-I86</f>
        <v>0</v>
      </c>
      <c r="L86" s="33" t="n">
        <f aca="false">G86-J86</f>
        <v>0</v>
      </c>
      <c r="M86" s="33" t="n">
        <f aca="false">F86</f>
        <v>50902500</v>
      </c>
      <c r="N86" s="64" t="n">
        <v>0.0128541666666667</v>
      </c>
      <c r="O86" s="48" t="n">
        <f aca="false">IF(AND(B86&gt;=DATE(2026,1,1),B86&lt;=Resumen!$C$5),1,0)</f>
        <v>0</v>
      </c>
      <c r="P86" s="48" t="n">
        <f aca="false">IF(AND(B86&gt;Resumen!$C$5,B86&lt;=DATE(2027,7,31)),1,0)</f>
        <v>0</v>
      </c>
    </row>
    <row r="87" customFormat="false" ht="15" hidden="false" customHeight="false" outlineLevel="0" collapsed="false">
      <c r="A87" s="38" t="n">
        <v>75</v>
      </c>
      <c r="B87" s="27" t="n">
        <v>46688</v>
      </c>
      <c r="C87" s="39" t="n">
        <v>3960000000</v>
      </c>
      <c r="D87" s="39" t="n">
        <v>50902500</v>
      </c>
      <c r="E87" s="39" t="n">
        <v>0</v>
      </c>
      <c r="F87" s="39" t="n">
        <v>50902500</v>
      </c>
      <c r="G87" s="39" t="n">
        <v>3960000000</v>
      </c>
      <c r="H87" s="33" t="n">
        <f aca="false">J86</f>
        <v>3960000000</v>
      </c>
      <c r="I87" s="33" t="n">
        <f aca="false">H87*N87</f>
        <v>50902500</v>
      </c>
      <c r="J87" s="33" t="n">
        <f aca="false">H87-E87</f>
        <v>3960000000</v>
      </c>
      <c r="K87" s="33" t="n">
        <f aca="false">D87-I87</f>
        <v>0</v>
      </c>
      <c r="L87" s="33" t="n">
        <f aca="false">G87-J87</f>
        <v>0</v>
      </c>
      <c r="M87" s="33" t="n">
        <f aca="false">F87</f>
        <v>50902500</v>
      </c>
      <c r="N87" s="64" t="n">
        <v>0.0128541666666667</v>
      </c>
      <c r="O87" s="48" t="n">
        <f aca="false">IF(AND(B87&gt;=DATE(2026,1,1),B87&lt;=Resumen!$C$5),1,0)</f>
        <v>0</v>
      </c>
      <c r="P87" s="48" t="n">
        <f aca="false">IF(AND(B87&gt;Resumen!$C$5,B87&lt;=DATE(2027,7,31)),1,0)</f>
        <v>0</v>
      </c>
    </row>
    <row r="88" customFormat="false" ht="15" hidden="false" customHeight="false" outlineLevel="0" collapsed="false">
      <c r="A88" s="38" t="n">
        <v>76</v>
      </c>
      <c r="B88" s="27" t="n">
        <v>46719</v>
      </c>
      <c r="C88" s="39" t="n">
        <v>3960000000</v>
      </c>
      <c r="D88" s="39" t="n">
        <v>50902500</v>
      </c>
      <c r="E88" s="39" t="n">
        <v>0</v>
      </c>
      <c r="F88" s="39" t="n">
        <v>50902500</v>
      </c>
      <c r="G88" s="39" t="n">
        <v>3960000000</v>
      </c>
      <c r="H88" s="33" t="n">
        <f aca="false">J87</f>
        <v>3960000000</v>
      </c>
      <c r="I88" s="33" t="n">
        <f aca="false">H88*N88</f>
        <v>50902500</v>
      </c>
      <c r="J88" s="33" t="n">
        <f aca="false">H88-E88</f>
        <v>3960000000</v>
      </c>
      <c r="K88" s="33" t="n">
        <f aca="false">D88-I88</f>
        <v>0</v>
      </c>
      <c r="L88" s="33" t="n">
        <f aca="false">G88-J88</f>
        <v>0</v>
      </c>
      <c r="M88" s="33" t="n">
        <f aca="false">F88</f>
        <v>50902500</v>
      </c>
      <c r="N88" s="64" t="n">
        <v>0.0128541666666667</v>
      </c>
      <c r="O88" s="48" t="n">
        <f aca="false">IF(AND(B88&gt;=DATE(2026,1,1),B88&lt;=Resumen!$C$5),1,0)</f>
        <v>0</v>
      </c>
      <c r="P88" s="48" t="n">
        <f aca="false">IF(AND(B88&gt;Resumen!$C$5,B88&lt;=DATE(2027,7,31)),1,0)</f>
        <v>0</v>
      </c>
    </row>
    <row r="89" customFormat="false" ht="15" hidden="false" customHeight="false" outlineLevel="0" collapsed="false">
      <c r="A89" s="38" t="n">
        <v>77</v>
      </c>
      <c r="B89" s="27" t="n">
        <v>46749</v>
      </c>
      <c r="C89" s="39" t="n">
        <v>3960000000</v>
      </c>
      <c r="D89" s="39" t="n">
        <v>50902500</v>
      </c>
      <c r="E89" s="39" t="n">
        <v>0</v>
      </c>
      <c r="F89" s="39" t="n">
        <v>50902500</v>
      </c>
      <c r="G89" s="39" t="n">
        <v>3960000000</v>
      </c>
      <c r="H89" s="33" t="n">
        <f aca="false">J88</f>
        <v>3960000000</v>
      </c>
      <c r="I89" s="33" t="n">
        <f aca="false">H89*N89</f>
        <v>50902500</v>
      </c>
      <c r="J89" s="33" t="n">
        <f aca="false">H89-E89</f>
        <v>3960000000</v>
      </c>
      <c r="K89" s="33" t="n">
        <f aca="false">D89-I89</f>
        <v>0</v>
      </c>
      <c r="L89" s="33" t="n">
        <f aca="false">G89-J89</f>
        <v>0</v>
      </c>
      <c r="M89" s="33" t="n">
        <f aca="false">F89</f>
        <v>50902500</v>
      </c>
      <c r="N89" s="64" t="n">
        <v>0.0128541666666667</v>
      </c>
      <c r="O89" s="48" t="n">
        <f aca="false">IF(AND(B89&gt;=DATE(2026,1,1),B89&lt;=Resumen!$C$5),1,0)</f>
        <v>0</v>
      </c>
      <c r="P89" s="48" t="n">
        <f aca="false">IF(AND(B89&gt;Resumen!$C$5,B89&lt;=DATE(2027,7,31)),1,0)</f>
        <v>0</v>
      </c>
    </row>
    <row r="90" customFormat="false" ht="15" hidden="false" customHeight="false" outlineLevel="0" collapsed="false">
      <c r="A90" s="38" t="n">
        <v>78</v>
      </c>
      <c r="B90" s="27" t="n">
        <v>46780</v>
      </c>
      <c r="C90" s="39" t="n">
        <v>3960000000</v>
      </c>
      <c r="D90" s="39" t="n">
        <v>50902500</v>
      </c>
      <c r="E90" s="39" t="n">
        <v>0</v>
      </c>
      <c r="F90" s="39" t="n">
        <v>50902500</v>
      </c>
      <c r="G90" s="39" t="n">
        <v>3960000000</v>
      </c>
      <c r="H90" s="33" t="n">
        <f aca="false">J89</f>
        <v>3960000000</v>
      </c>
      <c r="I90" s="33" t="n">
        <f aca="false">H90*N90</f>
        <v>50902500</v>
      </c>
      <c r="J90" s="33" t="n">
        <f aca="false">H90-E90</f>
        <v>3960000000</v>
      </c>
      <c r="K90" s="33" t="n">
        <f aca="false">D90-I90</f>
        <v>0</v>
      </c>
      <c r="L90" s="33" t="n">
        <f aca="false">G90-J90</f>
        <v>0</v>
      </c>
      <c r="M90" s="33" t="n">
        <f aca="false">F90</f>
        <v>50902500</v>
      </c>
      <c r="N90" s="64" t="n">
        <v>0.0128541666666667</v>
      </c>
      <c r="O90" s="48" t="n">
        <f aca="false">IF(AND(B90&gt;=DATE(2026,1,1),B90&lt;=Resumen!$C$5),1,0)</f>
        <v>0</v>
      </c>
      <c r="P90" s="48" t="n">
        <f aca="false">IF(AND(B90&gt;Resumen!$C$5,B90&lt;=DATE(2027,7,31)),1,0)</f>
        <v>0</v>
      </c>
    </row>
    <row r="91" customFormat="false" ht="15" hidden="false" customHeight="false" outlineLevel="0" collapsed="false">
      <c r="A91" s="38" t="n">
        <v>79</v>
      </c>
      <c r="B91" s="27" t="n">
        <v>46811</v>
      </c>
      <c r="C91" s="39" t="n">
        <v>3960000000</v>
      </c>
      <c r="D91" s="39" t="n">
        <v>50902500</v>
      </c>
      <c r="E91" s="39" t="n">
        <v>0</v>
      </c>
      <c r="F91" s="39" t="n">
        <v>50902500</v>
      </c>
      <c r="G91" s="39" t="n">
        <v>3960000000</v>
      </c>
      <c r="H91" s="33" t="n">
        <f aca="false">J90</f>
        <v>3960000000</v>
      </c>
      <c r="I91" s="33" t="n">
        <f aca="false">H91*N91</f>
        <v>50902500</v>
      </c>
      <c r="J91" s="33" t="n">
        <f aca="false">H91-E91</f>
        <v>3960000000</v>
      </c>
      <c r="K91" s="33" t="n">
        <f aca="false">D91-I91</f>
        <v>0</v>
      </c>
      <c r="L91" s="33" t="n">
        <f aca="false">G91-J91</f>
        <v>0</v>
      </c>
      <c r="M91" s="33" t="n">
        <f aca="false">F91</f>
        <v>50902500</v>
      </c>
      <c r="N91" s="64" t="n">
        <v>0.0128541666666667</v>
      </c>
      <c r="O91" s="48" t="n">
        <f aca="false">IF(AND(B91&gt;=DATE(2026,1,1),B91&lt;=Resumen!$C$5),1,0)</f>
        <v>0</v>
      </c>
      <c r="P91" s="48" t="n">
        <f aca="false">IF(AND(B91&gt;Resumen!$C$5,B91&lt;=DATE(2027,7,31)),1,0)</f>
        <v>0</v>
      </c>
    </row>
    <row r="92" customFormat="false" ht="15" hidden="false" customHeight="false" outlineLevel="0" collapsed="false">
      <c r="A92" s="38" t="n">
        <v>80</v>
      </c>
      <c r="B92" s="27" t="n">
        <v>46840</v>
      </c>
      <c r="C92" s="39" t="n">
        <v>3960000000</v>
      </c>
      <c r="D92" s="39" t="n">
        <v>50902500</v>
      </c>
      <c r="E92" s="39" t="n">
        <v>0</v>
      </c>
      <c r="F92" s="39" t="n">
        <v>50902500</v>
      </c>
      <c r="G92" s="39" t="n">
        <v>3960000000</v>
      </c>
      <c r="H92" s="33" t="n">
        <f aca="false">J91</f>
        <v>3960000000</v>
      </c>
      <c r="I92" s="33" t="n">
        <f aca="false">H92*N92</f>
        <v>50902500</v>
      </c>
      <c r="J92" s="33" t="n">
        <f aca="false">H92-E92</f>
        <v>3960000000</v>
      </c>
      <c r="K92" s="33" t="n">
        <f aca="false">D92-I92</f>
        <v>0</v>
      </c>
      <c r="L92" s="33" t="n">
        <f aca="false">G92-J92</f>
        <v>0</v>
      </c>
      <c r="M92" s="33" t="n">
        <f aca="false">F92</f>
        <v>50902500</v>
      </c>
      <c r="N92" s="64" t="n">
        <v>0.0128541666666667</v>
      </c>
      <c r="O92" s="48" t="n">
        <f aca="false">IF(AND(B92&gt;=DATE(2026,1,1),B92&lt;=Resumen!$C$5),1,0)</f>
        <v>0</v>
      </c>
      <c r="P92" s="48" t="n">
        <f aca="false">IF(AND(B92&gt;Resumen!$C$5,B92&lt;=DATE(2027,7,31)),1,0)</f>
        <v>0</v>
      </c>
    </row>
    <row r="93" customFormat="false" ht="15" hidden="false" customHeight="false" outlineLevel="0" collapsed="false">
      <c r="A93" s="38" t="n">
        <v>81</v>
      </c>
      <c r="B93" s="27" t="n">
        <v>46871</v>
      </c>
      <c r="C93" s="39" t="n">
        <v>3960000000</v>
      </c>
      <c r="D93" s="39" t="n">
        <v>50902500</v>
      </c>
      <c r="E93" s="39" t="n">
        <v>0</v>
      </c>
      <c r="F93" s="39" t="n">
        <v>50902500</v>
      </c>
      <c r="G93" s="39" t="n">
        <v>3960000000</v>
      </c>
      <c r="H93" s="33" t="n">
        <f aca="false">J92</f>
        <v>3960000000</v>
      </c>
      <c r="I93" s="33" t="n">
        <f aca="false">H93*N93</f>
        <v>50902500</v>
      </c>
      <c r="J93" s="33" t="n">
        <f aca="false">H93-E93</f>
        <v>3960000000</v>
      </c>
      <c r="K93" s="33" t="n">
        <f aca="false">D93-I93</f>
        <v>0</v>
      </c>
      <c r="L93" s="33" t="n">
        <f aca="false">G93-J93</f>
        <v>0</v>
      </c>
      <c r="M93" s="33" t="n">
        <f aca="false">F93</f>
        <v>50902500</v>
      </c>
      <c r="N93" s="64" t="n">
        <v>0.0128541666666667</v>
      </c>
      <c r="O93" s="48" t="n">
        <f aca="false">IF(AND(B93&gt;=DATE(2026,1,1),B93&lt;=Resumen!$C$5),1,0)</f>
        <v>0</v>
      </c>
      <c r="P93" s="48" t="n">
        <f aca="false">IF(AND(B93&gt;Resumen!$C$5,B93&lt;=DATE(2027,7,31)),1,0)</f>
        <v>0</v>
      </c>
    </row>
    <row r="94" customFormat="false" ht="15" hidden="false" customHeight="false" outlineLevel="0" collapsed="false">
      <c r="A94" s="38" t="n">
        <v>82</v>
      </c>
      <c r="B94" s="27" t="n">
        <v>46901</v>
      </c>
      <c r="C94" s="39" t="n">
        <v>3960000000</v>
      </c>
      <c r="D94" s="39" t="n">
        <v>50902500</v>
      </c>
      <c r="E94" s="39" t="n">
        <v>0</v>
      </c>
      <c r="F94" s="39" t="n">
        <v>50902500</v>
      </c>
      <c r="G94" s="39" t="n">
        <v>3960000000</v>
      </c>
      <c r="H94" s="33" t="n">
        <f aca="false">J93</f>
        <v>3960000000</v>
      </c>
      <c r="I94" s="33" t="n">
        <f aca="false">H94*N94</f>
        <v>50902500</v>
      </c>
      <c r="J94" s="33" t="n">
        <f aca="false">H94-E94</f>
        <v>3960000000</v>
      </c>
      <c r="K94" s="33" t="n">
        <f aca="false">D94-I94</f>
        <v>0</v>
      </c>
      <c r="L94" s="33" t="n">
        <f aca="false">G94-J94</f>
        <v>0</v>
      </c>
      <c r="M94" s="33" t="n">
        <f aca="false">F94</f>
        <v>50902500</v>
      </c>
      <c r="N94" s="64" t="n">
        <v>0.0128541666666667</v>
      </c>
      <c r="O94" s="48" t="n">
        <f aca="false">IF(AND(B94&gt;=DATE(2026,1,1),B94&lt;=Resumen!$C$5),1,0)</f>
        <v>0</v>
      </c>
      <c r="P94" s="48" t="n">
        <f aca="false">IF(AND(B94&gt;Resumen!$C$5,B94&lt;=DATE(2027,7,31)),1,0)</f>
        <v>0</v>
      </c>
    </row>
    <row r="95" customFormat="false" ht="15" hidden="false" customHeight="false" outlineLevel="0" collapsed="false">
      <c r="A95" s="38" t="n">
        <v>83</v>
      </c>
      <c r="B95" s="27" t="n">
        <v>46932</v>
      </c>
      <c r="C95" s="39" t="n">
        <v>3960000000</v>
      </c>
      <c r="D95" s="39" t="n">
        <v>50902500</v>
      </c>
      <c r="E95" s="39" t="n">
        <v>0</v>
      </c>
      <c r="F95" s="39" t="n">
        <v>50902500</v>
      </c>
      <c r="G95" s="39" t="n">
        <v>3960000000</v>
      </c>
      <c r="H95" s="33" t="n">
        <f aca="false">J94</f>
        <v>3960000000</v>
      </c>
      <c r="I95" s="33" t="n">
        <f aca="false">H95*N95</f>
        <v>50902500</v>
      </c>
      <c r="J95" s="33" t="n">
        <f aca="false">H95-E95</f>
        <v>3960000000</v>
      </c>
      <c r="K95" s="33" t="n">
        <f aca="false">D95-I95</f>
        <v>0</v>
      </c>
      <c r="L95" s="33" t="n">
        <f aca="false">G95-J95</f>
        <v>0</v>
      </c>
      <c r="M95" s="33" t="n">
        <f aca="false">F95</f>
        <v>50902500</v>
      </c>
      <c r="N95" s="64" t="n">
        <v>0.0128541666666667</v>
      </c>
      <c r="O95" s="48" t="n">
        <f aca="false">IF(AND(B95&gt;=DATE(2026,1,1),B95&lt;=Resumen!$C$5),1,0)</f>
        <v>0</v>
      </c>
      <c r="P95" s="48" t="n">
        <f aca="false">IF(AND(B95&gt;Resumen!$C$5,B95&lt;=DATE(2027,7,31)),1,0)</f>
        <v>0</v>
      </c>
    </row>
    <row r="96" customFormat="false" ht="15" hidden="false" customHeight="false" outlineLevel="0" collapsed="false">
      <c r="A96" s="38" t="n">
        <v>84</v>
      </c>
      <c r="B96" s="27" t="n">
        <v>46962</v>
      </c>
      <c r="C96" s="39" t="n">
        <v>3960000000</v>
      </c>
      <c r="D96" s="39" t="n">
        <v>50902500</v>
      </c>
      <c r="E96" s="39" t="n">
        <v>0</v>
      </c>
      <c r="F96" s="39" t="n">
        <v>50902500</v>
      </c>
      <c r="G96" s="39" t="n">
        <v>3960000000</v>
      </c>
      <c r="H96" s="33" t="n">
        <f aca="false">J95</f>
        <v>3960000000</v>
      </c>
      <c r="I96" s="33" t="n">
        <f aca="false">H96*N96</f>
        <v>50902500</v>
      </c>
      <c r="J96" s="33" t="n">
        <f aca="false">H96-E96</f>
        <v>3960000000</v>
      </c>
      <c r="K96" s="33" t="n">
        <f aca="false">D96-I96</f>
        <v>0</v>
      </c>
      <c r="L96" s="33" t="n">
        <f aca="false">G96-J96</f>
        <v>0</v>
      </c>
      <c r="M96" s="33" t="n">
        <f aca="false">F96</f>
        <v>50902500</v>
      </c>
      <c r="N96" s="64" t="n">
        <v>0.0128541666666667</v>
      </c>
      <c r="O96" s="48" t="n">
        <f aca="false">IF(AND(B96&gt;=DATE(2026,1,1),B96&lt;=Resumen!$C$5),1,0)</f>
        <v>0</v>
      </c>
      <c r="P96" s="48" t="n">
        <f aca="false">IF(AND(B96&gt;Resumen!$C$5,B96&lt;=DATE(2027,7,31)),1,0)</f>
        <v>0</v>
      </c>
    </row>
    <row r="97" customFormat="false" ht="15" hidden="false" customHeight="false" outlineLevel="0" collapsed="false">
      <c r="A97" s="38" t="n">
        <v>85</v>
      </c>
      <c r="B97" s="27" t="n">
        <v>46993</v>
      </c>
      <c r="C97" s="39" t="n">
        <v>3960000000</v>
      </c>
      <c r="D97" s="39" t="n">
        <v>50902500</v>
      </c>
      <c r="E97" s="39" t="n">
        <v>0</v>
      </c>
      <c r="F97" s="39" t="n">
        <v>50902500</v>
      </c>
      <c r="G97" s="39" t="n">
        <v>3960000000</v>
      </c>
      <c r="H97" s="33" t="n">
        <f aca="false">J96</f>
        <v>3960000000</v>
      </c>
      <c r="I97" s="33" t="n">
        <f aca="false">H97*N97</f>
        <v>50902500</v>
      </c>
      <c r="J97" s="33" t="n">
        <f aca="false">H97-E97</f>
        <v>3960000000</v>
      </c>
      <c r="K97" s="33" t="n">
        <f aca="false">D97-I97</f>
        <v>0</v>
      </c>
      <c r="L97" s="33" t="n">
        <f aca="false">G97-J97</f>
        <v>0</v>
      </c>
      <c r="M97" s="33" t="n">
        <f aca="false">F97</f>
        <v>50902500</v>
      </c>
      <c r="N97" s="64" t="n">
        <v>0.0128541666666667</v>
      </c>
      <c r="O97" s="48" t="n">
        <f aca="false">IF(AND(B97&gt;=DATE(2026,1,1),B97&lt;=Resumen!$C$5),1,0)</f>
        <v>0</v>
      </c>
      <c r="P97" s="48" t="n">
        <f aca="false">IF(AND(B97&gt;Resumen!$C$5,B97&lt;=DATE(2027,7,31)),1,0)</f>
        <v>0</v>
      </c>
    </row>
    <row r="98" customFormat="false" ht="15" hidden="false" customHeight="false" outlineLevel="0" collapsed="false">
      <c r="A98" s="38" t="n">
        <v>86</v>
      </c>
      <c r="B98" s="27" t="n">
        <v>47024</v>
      </c>
      <c r="C98" s="39" t="n">
        <v>3960000000</v>
      </c>
      <c r="D98" s="39" t="n">
        <v>50902500</v>
      </c>
      <c r="E98" s="39" t="n">
        <v>0</v>
      </c>
      <c r="F98" s="39" t="n">
        <v>50902500</v>
      </c>
      <c r="G98" s="39" t="n">
        <v>3960000000</v>
      </c>
      <c r="H98" s="33" t="n">
        <f aca="false">J97</f>
        <v>3960000000</v>
      </c>
      <c r="I98" s="33" t="n">
        <f aca="false">H98*N98</f>
        <v>50902500</v>
      </c>
      <c r="J98" s="33" t="n">
        <f aca="false">H98-E98</f>
        <v>3960000000</v>
      </c>
      <c r="K98" s="33" t="n">
        <f aca="false">D98-I98</f>
        <v>0</v>
      </c>
      <c r="L98" s="33" t="n">
        <f aca="false">G98-J98</f>
        <v>0</v>
      </c>
      <c r="M98" s="33" t="n">
        <f aca="false">F98</f>
        <v>50902500</v>
      </c>
      <c r="N98" s="64" t="n">
        <v>0.0128541666666667</v>
      </c>
      <c r="O98" s="48" t="n">
        <f aca="false">IF(AND(B98&gt;=DATE(2026,1,1),B98&lt;=Resumen!$C$5),1,0)</f>
        <v>0</v>
      </c>
      <c r="P98" s="48" t="n">
        <f aca="false">IF(AND(B98&gt;Resumen!$C$5,B98&lt;=DATE(2027,7,31)),1,0)</f>
        <v>0</v>
      </c>
    </row>
    <row r="99" customFormat="false" ht="15" hidden="false" customHeight="false" outlineLevel="0" collapsed="false">
      <c r="A99" s="38" t="n">
        <v>87</v>
      </c>
      <c r="B99" s="27" t="n">
        <v>47054</v>
      </c>
      <c r="C99" s="39" t="n">
        <v>3960000000</v>
      </c>
      <c r="D99" s="39" t="n">
        <v>50902500</v>
      </c>
      <c r="E99" s="39" t="n">
        <v>0</v>
      </c>
      <c r="F99" s="39" t="n">
        <v>50902500</v>
      </c>
      <c r="G99" s="39" t="n">
        <v>3960000000</v>
      </c>
      <c r="H99" s="33" t="n">
        <f aca="false">J98</f>
        <v>3960000000</v>
      </c>
      <c r="I99" s="33" t="n">
        <f aca="false">H99*N99</f>
        <v>50902500</v>
      </c>
      <c r="J99" s="33" t="n">
        <f aca="false">H99-E99</f>
        <v>3960000000</v>
      </c>
      <c r="K99" s="33" t="n">
        <f aca="false">D99-I99</f>
        <v>0</v>
      </c>
      <c r="L99" s="33" t="n">
        <f aca="false">G99-J99</f>
        <v>0</v>
      </c>
      <c r="M99" s="33" t="n">
        <f aca="false">F99</f>
        <v>50902500</v>
      </c>
      <c r="N99" s="64" t="n">
        <v>0.0128541666666667</v>
      </c>
      <c r="O99" s="48" t="n">
        <f aca="false">IF(AND(B99&gt;=DATE(2026,1,1),B99&lt;=Resumen!$C$5),1,0)</f>
        <v>0</v>
      </c>
      <c r="P99" s="48" t="n">
        <f aca="false">IF(AND(B99&gt;Resumen!$C$5,B99&lt;=DATE(2027,7,31)),1,0)</f>
        <v>0</v>
      </c>
    </row>
    <row r="100" customFormat="false" ht="15" hidden="false" customHeight="false" outlineLevel="0" collapsed="false">
      <c r="A100" s="38" t="n">
        <v>88</v>
      </c>
      <c r="B100" s="27" t="n">
        <v>47085</v>
      </c>
      <c r="C100" s="39" t="n">
        <v>3960000000</v>
      </c>
      <c r="D100" s="39" t="n">
        <v>50902500</v>
      </c>
      <c r="E100" s="39" t="n">
        <v>0</v>
      </c>
      <c r="F100" s="39" t="n">
        <v>50902500</v>
      </c>
      <c r="G100" s="39" t="n">
        <v>3960000000</v>
      </c>
      <c r="H100" s="33" t="n">
        <f aca="false">J99</f>
        <v>3960000000</v>
      </c>
      <c r="I100" s="33" t="n">
        <f aca="false">H100*N100</f>
        <v>50902500</v>
      </c>
      <c r="J100" s="33" t="n">
        <f aca="false">H100-E100</f>
        <v>3960000000</v>
      </c>
      <c r="K100" s="33" t="n">
        <f aca="false">D100-I100</f>
        <v>0</v>
      </c>
      <c r="L100" s="33" t="n">
        <f aca="false">G100-J100</f>
        <v>0</v>
      </c>
      <c r="M100" s="33" t="n">
        <f aca="false">F100</f>
        <v>50902500</v>
      </c>
      <c r="N100" s="64" t="n">
        <v>0.0128541666666667</v>
      </c>
      <c r="O100" s="48" t="n">
        <f aca="false">IF(AND(B100&gt;=DATE(2026,1,1),B100&lt;=Resumen!$C$5),1,0)</f>
        <v>0</v>
      </c>
      <c r="P100" s="48" t="n">
        <f aca="false">IF(AND(B100&gt;Resumen!$C$5,B100&lt;=DATE(2027,7,31)),1,0)</f>
        <v>0</v>
      </c>
    </row>
    <row r="101" customFormat="false" ht="15" hidden="false" customHeight="false" outlineLevel="0" collapsed="false">
      <c r="A101" s="38" t="n">
        <v>89</v>
      </c>
      <c r="B101" s="27" t="n">
        <v>47115</v>
      </c>
      <c r="C101" s="39" t="n">
        <v>3960000000</v>
      </c>
      <c r="D101" s="39" t="n">
        <v>50902500</v>
      </c>
      <c r="E101" s="39" t="n">
        <v>0</v>
      </c>
      <c r="F101" s="39" t="n">
        <v>50902500</v>
      </c>
      <c r="G101" s="39" t="n">
        <v>3960000000</v>
      </c>
      <c r="H101" s="33" t="n">
        <f aca="false">J100</f>
        <v>3960000000</v>
      </c>
      <c r="I101" s="33" t="n">
        <f aca="false">H101*N101</f>
        <v>50902500</v>
      </c>
      <c r="J101" s="33" t="n">
        <f aca="false">H101-E101</f>
        <v>3960000000</v>
      </c>
      <c r="K101" s="33" t="n">
        <f aca="false">D101-I101</f>
        <v>0</v>
      </c>
      <c r="L101" s="33" t="n">
        <f aca="false">G101-J101</f>
        <v>0</v>
      </c>
      <c r="M101" s="33" t="n">
        <f aca="false">F101</f>
        <v>50902500</v>
      </c>
      <c r="N101" s="64" t="n">
        <v>0.0128541666666667</v>
      </c>
      <c r="O101" s="48" t="n">
        <f aca="false">IF(AND(B101&gt;=DATE(2026,1,1),B101&lt;=Resumen!$C$5),1,0)</f>
        <v>0</v>
      </c>
      <c r="P101" s="48" t="n">
        <f aca="false">IF(AND(B101&gt;Resumen!$C$5,B101&lt;=DATE(2027,7,31)),1,0)</f>
        <v>0</v>
      </c>
    </row>
    <row r="102" customFormat="false" ht="15" hidden="false" customHeight="false" outlineLevel="0" collapsed="false">
      <c r="A102" s="38" t="n">
        <v>90</v>
      </c>
      <c r="B102" s="27" t="n">
        <v>47146</v>
      </c>
      <c r="C102" s="39" t="n">
        <v>3960000000</v>
      </c>
      <c r="D102" s="39" t="n">
        <v>50902500</v>
      </c>
      <c r="E102" s="39" t="n">
        <v>152307692.307692</v>
      </c>
      <c r="F102" s="39" t="n">
        <v>203210192.307692</v>
      </c>
      <c r="G102" s="39" t="n">
        <v>3807692307.69231</v>
      </c>
      <c r="H102" s="33" t="n">
        <f aca="false">J101</f>
        <v>3960000000</v>
      </c>
      <c r="I102" s="33" t="n">
        <f aca="false">H102*N102</f>
        <v>50902500</v>
      </c>
      <c r="J102" s="33" t="n">
        <f aca="false">H102-E102</f>
        <v>3807692307.69231</v>
      </c>
      <c r="K102" s="33" t="n">
        <f aca="false">D102-I102</f>
        <v>0</v>
      </c>
      <c r="L102" s="33" t="n">
        <f aca="false">G102-J102</f>
        <v>0</v>
      </c>
      <c r="M102" s="33" t="n">
        <f aca="false">F102</f>
        <v>203210192.307692</v>
      </c>
      <c r="N102" s="64" t="n">
        <v>0.0128541666666667</v>
      </c>
      <c r="O102" s="48" t="n">
        <f aca="false">IF(AND(B102&gt;=DATE(2026,1,1),B102&lt;=Resumen!$C$5),1,0)</f>
        <v>0</v>
      </c>
      <c r="P102" s="48" t="n">
        <f aca="false">IF(AND(B102&gt;Resumen!$C$5,B102&lt;=DATE(2027,7,31)),1,0)</f>
        <v>0</v>
      </c>
    </row>
    <row r="103" customFormat="false" ht="15" hidden="false" customHeight="false" outlineLevel="0" collapsed="false">
      <c r="A103" s="38" t="n">
        <v>91</v>
      </c>
      <c r="B103" s="27" t="n">
        <v>47177</v>
      </c>
      <c r="C103" s="39" t="n">
        <v>3807692307.69231</v>
      </c>
      <c r="D103" s="39" t="n">
        <v>48944711.5384615</v>
      </c>
      <c r="E103" s="39" t="n">
        <v>0</v>
      </c>
      <c r="F103" s="39" t="n">
        <v>48944711.5384615</v>
      </c>
      <c r="G103" s="39" t="n">
        <v>3807692307.69231</v>
      </c>
      <c r="H103" s="33" t="n">
        <f aca="false">J102</f>
        <v>3807692307.69231</v>
      </c>
      <c r="I103" s="33" t="n">
        <f aca="false">H103*N103</f>
        <v>48944711.5384616</v>
      </c>
      <c r="J103" s="33" t="n">
        <f aca="false">H103-E103</f>
        <v>3807692307.69231</v>
      </c>
      <c r="K103" s="33" t="n">
        <f aca="false">D103-I103</f>
        <v>0</v>
      </c>
      <c r="L103" s="33" t="n">
        <f aca="false">G103-J103</f>
        <v>0</v>
      </c>
      <c r="M103" s="33" t="n">
        <f aca="false">F103</f>
        <v>48944711.5384615</v>
      </c>
      <c r="N103" s="64" t="n">
        <v>0.0128541666666667</v>
      </c>
      <c r="O103" s="48" t="n">
        <f aca="false">IF(AND(B103&gt;=DATE(2026,1,1),B103&lt;=Resumen!$C$5),1,0)</f>
        <v>0</v>
      </c>
      <c r="P103" s="48" t="n">
        <f aca="false">IF(AND(B103&gt;Resumen!$C$5,B103&lt;=DATE(2027,7,31)),1,0)</f>
        <v>0</v>
      </c>
    </row>
    <row r="104" customFormat="false" ht="15" hidden="false" customHeight="false" outlineLevel="0" collapsed="false">
      <c r="A104" s="38" t="n">
        <v>92</v>
      </c>
      <c r="B104" s="27" t="n">
        <v>47205</v>
      </c>
      <c r="C104" s="39" t="n">
        <v>3807692307.69231</v>
      </c>
      <c r="D104" s="39" t="n">
        <v>48944711.5384615</v>
      </c>
      <c r="E104" s="39" t="n">
        <v>0</v>
      </c>
      <c r="F104" s="39" t="n">
        <v>48944711.5384615</v>
      </c>
      <c r="G104" s="39" t="n">
        <v>3807692307.69231</v>
      </c>
      <c r="H104" s="33" t="n">
        <f aca="false">J103</f>
        <v>3807692307.69231</v>
      </c>
      <c r="I104" s="33" t="n">
        <f aca="false">H104*N104</f>
        <v>48944711.5384616</v>
      </c>
      <c r="J104" s="33" t="n">
        <f aca="false">H104-E104</f>
        <v>3807692307.69231</v>
      </c>
      <c r="K104" s="33" t="n">
        <f aca="false">D104-I104</f>
        <v>0</v>
      </c>
      <c r="L104" s="33" t="n">
        <f aca="false">G104-J104</f>
        <v>0</v>
      </c>
      <c r="M104" s="33" t="n">
        <f aca="false">F104</f>
        <v>48944711.5384615</v>
      </c>
      <c r="N104" s="64" t="n">
        <v>0.0128541666666667</v>
      </c>
      <c r="O104" s="48" t="n">
        <f aca="false">IF(AND(B104&gt;=DATE(2026,1,1),B104&lt;=Resumen!$C$5),1,0)</f>
        <v>0</v>
      </c>
      <c r="P104" s="48" t="n">
        <f aca="false">IF(AND(B104&gt;Resumen!$C$5,B104&lt;=DATE(2027,7,31)),1,0)</f>
        <v>0</v>
      </c>
    </row>
    <row r="105" customFormat="false" ht="15" hidden="false" customHeight="false" outlineLevel="0" collapsed="false">
      <c r="A105" s="38" t="n">
        <v>93</v>
      </c>
      <c r="B105" s="27" t="n">
        <v>47236</v>
      </c>
      <c r="C105" s="39" t="n">
        <v>3807692307.69231</v>
      </c>
      <c r="D105" s="39" t="n">
        <v>48944711.5384615</v>
      </c>
      <c r="E105" s="39" t="n">
        <v>0</v>
      </c>
      <c r="F105" s="39" t="n">
        <v>48944711.5384615</v>
      </c>
      <c r="G105" s="39" t="n">
        <v>3807692307.69231</v>
      </c>
      <c r="H105" s="33" t="n">
        <f aca="false">J104</f>
        <v>3807692307.69231</v>
      </c>
      <c r="I105" s="33" t="n">
        <f aca="false">H105*N105</f>
        <v>48944711.5384616</v>
      </c>
      <c r="J105" s="33" t="n">
        <f aca="false">H105-E105</f>
        <v>3807692307.69231</v>
      </c>
      <c r="K105" s="33" t="n">
        <f aca="false">D105-I105</f>
        <v>0</v>
      </c>
      <c r="L105" s="33" t="n">
        <f aca="false">G105-J105</f>
        <v>0</v>
      </c>
      <c r="M105" s="33" t="n">
        <f aca="false">F105</f>
        <v>48944711.5384615</v>
      </c>
      <c r="N105" s="64" t="n">
        <v>0.0128541666666667</v>
      </c>
      <c r="O105" s="48" t="n">
        <f aca="false">IF(AND(B105&gt;=DATE(2026,1,1),B105&lt;=Resumen!$C$5),1,0)</f>
        <v>0</v>
      </c>
      <c r="P105" s="48" t="n">
        <f aca="false">IF(AND(B105&gt;Resumen!$C$5,B105&lt;=DATE(2027,7,31)),1,0)</f>
        <v>0</v>
      </c>
    </row>
    <row r="106" customFormat="false" ht="15" hidden="false" customHeight="false" outlineLevel="0" collapsed="false">
      <c r="A106" s="38" t="n">
        <v>94</v>
      </c>
      <c r="B106" s="27" t="n">
        <v>47266</v>
      </c>
      <c r="C106" s="39" t="n">
        <v>3807692307.69231</v>
      </c>
      <c r="D106" s="39" t="n">
        <v>48944711.5384615</v>
      </c>
      <c r="E106" s="39" t="n">
        <v>0</v>
      </c>
      <c r="F106" s="39" t="n">
        <v>48944711.5384615</v>
      </c>
      <c r="G106" s="39" t="n">
        <v>3807692307.69231</v>
      </c>
      <c r="H106" s="33" t="n">
        <f aca="false">J105</f>
        <v>3807692307.69231</v>
      </c>
      <c r="I106" s="33" t="n">
        <f aca="false">H106*N106</f>
        <v>48944711.5384616</v>
      </c>
      <c r="J106" s="33" t="n">
        <f aca="false">H106-E106</f>
        <v>3807692307.69231</v>
      </c>
      <c r="K106" s="33" t="n">
        <f aca="false">D106-I106</f>
        <v>0</v>
      </c>
      <c r="L106" s="33" t="n">
        <f aca="false">G106-J106</f>
        <v>0</v>
      </c>
      <c r="M106" s="33" t="n">
        <f aca="false">F106</f>
        <v>48944711.5384615</v>
      </c>
      <c r="N106" s="64" t="n">
        <v>0.0128541666666667</v>
      </c>
      <c r="O106" s="48" t="n">
        <f aca="false">IF(AND(B106&gt;=DATE(2026,1,1),B106&lt;=Resumen!$C$5),1,0)</f>
        <v>0</v>
      </c>
      <c r="P106" s="48" t="n">
        <f aca="false">IF(AND(B106&gt;Resumen!$C$5,B106&lt;=DATE(2027,7,31)),1,0)</f>
        <v>0</v>
      </c>
    </row>
    <row r="107" customFormat="false" ht="15" hidden="false" customHeight="false" outlineLevel="0" collapsed="false">
      <c r="A107" s="38" t="n">
        <v>95</v>
      </c>
      <c r="B107" s="27" t="n">
        <v>47297</v>
      </c>
      <c r="C107" s="39" t="n">
        <v>3807692307.69231</v>
      </c>
      <c r="D107" s="39" t="n">
        <v>48944711.5384615</v>
      </c>
      <c r="E107" s="39" t="n">
        <v>0</v>
      </c>
      <c r="F107" s="39" t="n">
        <v>48944711.5384615</v>
      </c>
      <c r="G107" s="39" t="n">
        <v>3807692307.69231</v>
      </c>
      <c r="H107" s="33" t="n">
        <f aca="false">J106</f>
        <v>3807692307.69231</v>
      </c>
      <c r="I107" s="33" t="n">
        <f aca="false">H107*N107</f>
        <v>48944711.5384616</v>
      </c>
      <c r="J107" s="33" t="n">
        <f aca="false">H107-E107</f>
        <v>3807692307.69231</v>
      </c>
      <c r="K107" s="33" t="n">
        <f aca="false">D107-I107</f>
        <v>0</v>
      </c>
      <c r="L107" s="33" t="n">
        <f aca="false">G107-J107</f>
        <v>0</v>
      </c>
      <c r="M107" s="33" t="n">
        <f aca="false">F107</f>
        <v>48944711.5384615</v>
      </c>
      <c r="N107" s="64" t="n">
        <v>0.0128541666666667</v>
      </c>
      <c r="O107" s="48" t="n">
        <f aca="false">IF(AND(B107&gt;=DATE(2026,1,1),B107&lt;=Resumen!$C$5),1,0)</f>
        <v>0</v>
      </c>
      <c r="P107" s="48" t="n">
        <f aca="false">IF(AND(B107&gt;Resumen!$C$5,B107&lt;=DATE(2027,7,31)),1,0)</f>
        <v>0</v>
      </c>
    </row>
    <row r="108" customFormat="false" ht="15" hidden="false" customHeight="false" outlineLevel="0" collapsed="false">
      <c r="A108" s="38" t="n">
        <v>96</v>
      </c>
      <c r="B108" s="27" t="n">
        <v>47327</v>
      </c>
      <c r="C108" s="39" t="n">
        <v>3807692307.69231</v>
      </c>
      <c r="D108" s="39" t="n">
        <v>48944711.5384615</v>
      </c>
      <c r="E108" s="39" t="n">
        <v>152307692.307692</v>
      </c>
      <c r="F108" s="39" t="n">
        <v>201252403.846154</v>
      </c>
      <c r="G108" s="39" t="n">
        <v>3655384615.38462</v>
      </c>
      <c r="H108" s="33" t="n">
        <f aca="false">J107</f>
        <v>3807692307.69231</v>
      </c>
      <c r="I108" s="33" t="n">
        <f aca="false">H108*N108</f>
        <v>48944711.5384616</v>
      </c>
      <c r="J108" s="33" t="n">
        <f aca="false">H108-E108</f>
        <v>3655384615.38462</v>
      </c>
      <c r="K108" s="33" t="n">
        <f aca="false">D108-I108</f>
        <v>0</v>
      </c>
      <c r="L108" s="33" t="n">
        <f aca="false">G108-J108</f>
        <v>0</v>
      </c>
      <c r="M108" s="33" t="n">
        <f aca="false">F108</f>
        <v>201252403.846154</v>
      </c>
      <c r="N108" s="64" t="n">
        <v>0.0128541666666667</v>
      </c>
      <c r="O108" s="48" t="n">
        <f aca="false">IF(AND(B108&gt;=DATE(2026,1,1),B108&lt;=Resumen!$C$5),1,0)</f>
        <v>0</v>
      </c>
      <c r="P108" s="48" t="n">
        <f aca="false">IF(AND(B108&gt;Resumen!$C$5,B108&lt;=DATE(2027,7,31)),1,0)</f>
        <v>0</v>
      </c>
    </row>
    <row r="109" customFormat="false" ht="15" hidden="false" customHeight="false" outlineLevel="0" collapsed="false">
      <c r="A109" s="38" t="n">
        <v>97</v>
      </c>
      <c r="B109" s="27" t="n">
        <v>47358</v>
      </c>
      <c r="C109" s="39" t="n">
        <v>3655384615.38462</v>
      </c>
      <c r="D109" s="39" t="n">
        <v>46986923.0769231</v>
      </c>
      <c r="E109" s="39" t="n">
        <v>0</v>
      </c>
      <c r="F109" s="39" t="n">
        <v>46986923.0769231</v>
      </c>
      <c r="G109" s="39" t="n">
        <v>3655384615.38462</v>
      </c>
      <c r="H109" s="33" t="n">
        <f aca="false">J108</f>
        <v>3655384615.38462</v>
      </c>
      <c r="I109" s="33" t="n">
        <f aca="false">H109*N109</f>
        <v>46986923.0769231</v>
      </c>
      <c r="J109" s="33" t="n">
        <f aca="false">H109-E109</f>
        <v>3655384615.38462</v>
      </c>
      <c r="K109" s="33" t="n">
        <f aca="false">D109-I109</f>
        <v>0</v>
      </c>
      <c r="L109" s="33" t="n">
        <f aca="false">G109-J109</f>
        <v>0</v>
      </c>
      <c r="M109" s="33" t="n">
        <f aca="false">F109</f>
        <v>46986923.0769231</v>
      </c>
      <c r="N109" s="64" t="n">
        <v>0.0128541666666667</v>
      </c>
      <c r="O109" s="48" t="n">
        <f aca="false">IF(AND(B109&gt;=DATE(2026,1,1),B109&lt;=Resumen!$C$5),1,0)</f>
        <v>0</v>
      </c>
      <c r="P109" s="48" t="n">
        <f aca="false">IF(AND(B109&gt;Resumen!$C$5,B109&lt;=DATE(2027,7,31)),1,0)</f>
        <v>0</v>
      </c>
    </row>
    <row r="110" customFormat="false" ht="15" hidden="false" customHeight="false" outlineLevel="0" collapsed="false">
      <c r="A110" s="38" t="n">
        <v>98</v>
      </c>
      <c r="B110" s="27" t="n">
        <v>47389</v>
      </c>
      <c r="C110" s="39" t="n">
        <v>3655384615.38462</v>
      </c>
      <c r="D110" s="39" t="n">
        <v>46986923.0769231</v>
      </c>
      <c r="E110" s="39" t="n">
        <v>0</v>
      </c>
      <c r="F110" s="39" t="n">
        <v>46986923.0769231</v>
      </c>
      <c r="G110" s="39" t="n">
        <v>3655384615.38462</v>
      </c>
      <c r="H110" s="33" t="n">
        <f aca="false">J109</f>
        <v>3655384615.38462</v>
      </c>
      <c r="I110" s="33" t="n">
        <f aca="false">H110*N110</f>
        <v>46986923.0769231</v>
      </c>
      <c r="J110" s="33" t="n">
        <f aca="false">H110-E110</f>
        <v>3655384615.38462</v>
      </c>
      <c r="K110" s="33" t="n">
        <f aca="false">D110-I110</f>
        <v>0</v>
      </c>
      <c r="L110" s="33" t="n">
        <f aca="false">G110-J110</f>
        <v>0</v>
      </c>
      <c r="M110" s="33" t="n">
        <f aca="false">F110</f>
        <v>46986923.0769231</v>
      </c>
      <c r="N110" s="64" t="n">
        <v>0.0128541666666667</v>
      </c>
      <c r="O110" s="48" t="n">
        <f aca="false">IF(AND(B110&gt;=DATE(2026,1,1),B110&lt;=Resumen!$C$5),1,0)</f>
        <v>0</v>
      </c>
      <c r="P110" s="48" t="n">
        <f aca="false">IF(AND(B110&gt;Resumen!$C$5,B110&lt;=DATE(2027,7,31)),1,0)</f>
        <v>0</v>
      </c>
    </row>
    <row r="111" customFormat="false" ht="15" hidden="false" customHeight="false" outlineLevel="0" collapsed="false">
      <c r="A111" s="38" t="n">
        <v>99</v>
      </c>
      <c r="B111" s="27" t="n">
        <v>47419</v>
      </c>
      <c r="C111" s="39" t="n">
        <v>3655384615.38462</v>
      </c>
      <c r="D111" s="39" t="n">
        <v>46986923.0769231</v>
      </c>
      <c r="E111" s="39" t="n">
        <v>0</v>
      </c>
      <c r="F111" s="39" t="n">
        <v>46986923.0769231</v>
      </c>
      <c r="G111" s="39" t="n">
        <v>3655384615.38462</v>
      </c>
      <c r="H111" s="33" t="n">
        <f aca="false">J110</f>
        <v>3655384615.38462</v>
      </c>
      <c r="I111" s="33" t="n">
        <f aca="false">H111*N111</f>
        <v>46986923.0769231</v>
      </c>
      <c r="J111" s="33" t="n">
        <f aca="false">H111-E111</f>
        <v>3655384615.38462</v>
      </c>
      <c r="K111" s="33" t="n">
        <f aca="false">D111-I111</f>
        <v>0</v>
      </c>
      <c r="L111" s="33" t="n">
        <f aca="false">G111-J111</f>
        <v>0</v>
      </c>
      <c r="M111" s="33" t="n">
        <f aca="false">F111</f>
        <v>46986923.0769231</v>
      </c>
      <c r="N111" s="64" t="n">
        <v>0.0128541666666667</v>
      </c>
      <c r="O111" s="48" t="n">
        <f aca="false">IF(AND(B111&gt;=DATE(2026,1,1),B111&lt;=Resumen!$C$5),1,0)</f>
        <v>0</v>
      </c>
      <c r="P111" s="48" t="n">
        <f aca="false">IF(AND(B111&gt;Resumen!$C$5,B111&lt;=DATE(2027,7,31)),1,0)</f>
        <v>0</v>
      </c>
    </row>
    <row r="112" customFormat="false" ht="15" hidden="false" customHeight="false" outlineLevel="0" collapsed="false">
      <c r="A112" s="38" t="n">
        <v>100</v>
      </c>
      <c r="B112" s="27" t="n">
        <v>47450</v>
      </c>
      <c r="C112" s="39" t="n">
        <v>3655384615.38462</v>
      </c>
      <c r="D112" s="39" t="n">
        <v>46986923.0769231</v>
      </c>
      <c r="E112" s="39" t="n">
        <v>0</v>
      </c>
      <c r="F112" s="39" t="n">
        <v>46986923.0769231</v>
      </c>
      <c r="G112" s="39" t="n">
        <v>3655384615.38462</v>
      </c>
      <c r="H112" s="33" t="n">
        <f aca="false">J111</f>
        <v>3655384615.38462</v>
      </c>
      <c r="I112" s="33" t="n">
        <f aca="false">H112*N112</f>
        <v>46986923.0769231</v>
      </c>
      <c r="J112" s="33" t="n">
        <f aca="false">H112-E112</f>
        <v>3655384615.38462</v>
      </c>
      <c r="K112" s="33" t="n">
        <f aca="false">D112-I112</f>
        <v>0</v>
      </c>
      <c r="L112" s="33" t="n">
        <f aca="false">G112-J112</f>
        <v>0</v>
      </c>
      <c r="M112" s="33" t="n">
        <f aca="false">F112</f>
        <v>46986923.0769231</v>
      </c>
      <c r="N112" s="64" t="n">
        <v>0.0128541666666667</v>
      </c>
      <c r="O112" s="48" t="n">
        <f aca="false">IF(AND(B112&gt;=DATE(2026,1,1),B112&lt;=Resumen!$C$5),1,0)</f>
        <v>0</v>
      </c>
      <c r="P112" s="48" t="n">
        <f aca="false">IF(AND(B112&gt;Resumen!$C$5,B112&lt;=DATE(2027,7,31)),1,0)</f>
        <v>0</v>
      </c>
    </row>
    <row r="113" customFormat="false" ht="15" hidden="false" customHeight="false" outlineLevel="0" collapsed="false">
      <c r="A113" s="38" t="n">
        <v>101</v>
      </c>
      <c r="B113" s="27" t="n">
        <v>47480</v>
      </c>
      <c r="C113" s="39" t="n">
        <v>3655384615.38462</v>
      </c>
      <c r="D113" s="39" t="n">
        <v>46986923.0769231</v>
      </c>
      <c r="E113" s="39" t="n">
        <v>0</v>
      </c>
      <c r="F113" s="39" t="n">
        <v>46986923.0769231</v>
      </c>
      <c r="G113" s="39" t="n">
        <v>3655384615.38462</v>
      </c>
      <c r="H113" s="33" t="n">
        <f aca="false">J112</f>
        <v>3655384615.38462</v>
      </c>
      <c r="I113" s="33" t="n">
        <f aca="false">H113*N113</f>
        <v>46986923.0769231</v>
      </c>
      <c r="J113" s="33" t="n">
        <f aca="false">H113-E113</f>
        <v>3655384615.38462</v>
      </c>
      <c r="K113" s="33" t="n">
        <f aca="false">D113-I113</f>
        <v>0</v>
      </c>
      <c r="L113" s="33" t="n">
        <f aca="false">G113-J113</f>
        <v>0</v>
      </c>
      <c r="M113" s="33" t="n">
        <f aca="false">F113</f>
        <v>46986923.0769231</v>
      </c>
      <c r="N113" s="64" t="n">
        <v>0.0128541666666667</v>
      </c>
      <c r="O113" s="48" t="n">
        <f aca="false">IF(AND(B113&gt;=DATE(2026,1,1),B113&lt;=Resumen!$C$5),1,0)</f>
        <v>0</v>
      </c>
      <c r="P113" s="48" t="n">
        <f aca="false">IF(AND(B113&gt;Resumen!$C$5,B113&lt;=DATE(2027,7,31)),1,0)</f>
        <v>0</v>
      </c>
    </row>
    <row r="114" customFormat="false" ht="15" hidden="false" customHeight="false" outlineLevel="0" collapsed="false">
      <c r="A114" s="38" t="n">
        <v>102</v>
      </c>
      <c r="B114" s="27" t="n">
        <v>47511</v>
      </c>
      <c r="C114" s="39" t="n">
        <v>3655384615.38462</v>
      </c>
      <c r="D114" s="39" t="n">
        <v>46986923.0769231</v>
      </c>
      <c r="E114" s="39" t="n">
        <v>152307692.307692</v>
      </c>
      <c r="F114" s="39" t="n">
        <v>199294615.384615</v>
      </c>
      <c r="G114" s="39" t="n">
        <v>3503076923.07692</v>
      </c>
      <c r="H114" s="33" t="n">
        <f aca="false">J113</f>
        <v>3655384615.38462</v>
      </c>
      <c r="I114" s="33" t="n">
        <f aca="false">H114*N114</f>
        <v>46986923.0769231</v>
      </c>
      <c r="J114" s="33" t="n">
        <f aca="false">H114-E114</f>
        <v>3503076923.07692</v>
      </c>
      <c r="K114" s="33" t="n">
        <f aca="false">D114-I114</f>
        <v>0</v>
      </c>
      <c r="L114" s="33" t="n">
        <f aca="false">G114-J114</f>
        <v>0</v>
      </c>
      <c r="M114" s="33" t="n">
        <f aca="false">F114</f>
        <v>199294615.384615</v>
      </c>
      <c r="N114" s="64" t="n">
        <v>0.0128541666666667</v>
      </c>
      <c r="O114" s="48" t="n">
        <f aca="false">IF(AND(B114&gt;=DATE(2026,1,1),B114&lt;=Resumen!$C$5),1,0)</f>
        <v>0</v>
      </c>
      <c r="P114" s="48" t="n">
        <f aca="false">IF(AND(B114&gt;Resumen!$C$5,B114&lt;=DATE(2027,7,31)),1,0)</f>
        <v>0</v>
      </c>
    </row>
    <row r="115" customFormat="false" ht="15" hidden="false" customHeight="false" outlineLevel="0" collapsed="false">
      <c r="A115" s="38" t="n">
        <v>103</v>
      </c>
      <c r="B115" s="27" t="n">
        <v>47542</v>
      </c>
      <c r="C115" s="39" t="n">
        <v>3503076923.07692</v>
      </c>
      <c r="D115" s="39" t="n">
        <v>45029134.6153846</v>
      </c>
      <c r="E115" s="39" t="n">
        <v>0</v>
      </c>
      <c r="F115" s="39" t="n">
        <v>45029134.6153846</v>
      </c>
      <c r="G115" s="39" t="n">
        <v>3503076923.07692</v>
      </c>
      <c r="H115" s="33" t="n">
        <f aca="false">J114</f>
        <v>3503076923.07692</v>
      </c>
      <c r="I115" s="33" t="n">
        <f aca="false">H115*N115</f>
        <v>45029134.6153846</v>
      </c>
      <c r="J115" s="33" t="n">
        <f aca="false">H115-E115</f>
        <v>3503076923.07692</v>
      </c>
      <c r="K115" s="33" t="n">
        <f aca="false">D115-I115</f>
        <v>0</v>
      </c>
      <c r="L115" s="33" t="n">
        <f aca="false">G115-J115</f>
        <v>0</v>
      </c>
      <c r="M115" s="33" t="n">
        <f aca="false">F115</f>
        <v>45029134.6153846</v>
      </c>
      <c r="N115" s="64" t="n">
        <v>0.0128541666666667</v>
      </c>
      <c r="O115" s="48" t="n">
        <f aca="false">IF(AND(B115&gt;=DATE(2026,1,1),B115&lt;=Resumen!$C$5),1,0)</f>
        <v>0</v>
      </c>
      <c r="P115" s="48" t="n">
        <f aca="false">IF(AND(B115&gt;Resumen!$C$5,B115&lt;=DATE(2027,7,31)),1,0)</f>
        <v>0</v>
      </c>
    </row>
    <row r="116" customFormat="false" ht="15" hidden="false" customHeight="false" outlineLevel="0" collapsed="false">
      <c r="A116" s="38" t="n">
        <v>104</v>
      </c>
      <c r="B116" s="27" t="n">
        <v>47570</v>
      </c>
      <c r="C116" s="39" t="n">
        <v>3503076923.07692</v>
      </c>
      <c r="D116" s="39" t="n">
        <v>45029134.6153846</v>
      </c>
      <c r="E116" s="39" t="n">
        <v>0</v>
      </c>
      <c r="F116" s="39" t="n">
        <v>45029134.6153846</v>
      </c>
      <c r="G116" s="39" t="n">
        <v>3503076923.07692</v>
      </c>
      <c r="H116" s="33" t="n">
        <f aca="false">J115</f>
        <v>3503076923.07692</v>
      </c>
      <c r="I116" s="33" t="n">
        <f aca="false">H116*N116</f>
        <v>45029134.6153846</v>
      </c>
      <c r="J116" s="33" t="n">
        <f aca="false">H116-E116</f>
        <v>3503076923.07692</v>
      </c>
      <c r="K116" s="33" t="n">
        <f aca="false">D116-I116</f>
        <v>0</v>
      </c>
      <c r="L116" s="33" t="n">
        <f aca="false">G116-J116</f>
        <v>0</v>
      </c>
      <c r="M116" s="33" t="n">
        <f aca="false">F116</f>
        <v>45029134.6153846</v>
      </c>
      <c r="N116" s="64" t="n">
        <v>0.0128541666666667</v>
      </c>
      <c r="O116" s="48" t="n">
        <f aca="false">IF(AND(B116&gt;=DATE(2026,1,1),B116&lt;=Resumen!$C$5),1,0)</f>
        <v>0</v>
      </c>
      <c r="P116" s="48" t="n">
        <f aca="false">IF(AND(B116&gt;Resumen!$C$5,B116&lt;=DATE(2027,7,31)),1,0)</f>
        <v>0</v>
      </c>
    </row>
    <row r="117" customFormat="false" ht="15" hidden="false" customHeight="false" outlineLevel="0" collapsed="false">
      <c r="A117" s="38" t="n">
        <v>105</v>
      </c>
      <c r="B117" s="27" t="n">
        <v>47601</v>
      </c>
      <c r="C117" s="39" t="n">
        <v>3503076923.07692</v>
      </c>
      <c r="D117" s="39" t="n">
        <v>45029134.6153846</v>
      </c>
      <c r="E117" s="39" t="n">
        <v>0</v>
      </c>
      <c r="F117" s="39" t="n">
        <v>45029134.6153846</v>
      </c>
      <c r="G117" s="39" t="n">
        <v>3503076923.07692</v>
      </c>
      <c r="H117" s="33" t="n">
        <f aca="false">J116</f>
        <v>3503076923.07692</v>
      </c>
      <c r="I117" s="33" t="n">
        <f aca="false">H117*N117</f>
        <v>45029134.6153846</v>
      </c>
      <c r="J117" s="33" t="n">
        <f aca="false">H117-E117</f>
        <v>3503076923.07692</v>
      </c>
      <c r="K117" s="33" t="n">
        <f aca="false">D117-I117</f>
        <v>0</v>
      </c>
      <c r="L117" s="33" t="n">
        <f aca="false">G117-J117</f>
        <v>0</v>
      </c>
      <c r="M117" s="33" t="n">
        <f aca="false">F117</f>
        <v>45029134.6153846</v>
      </c>
      <c r="N117" s="64" t="n">
        <v>0.0128541666666667</v>
      </c>
      <c r="O117" s="48" t="n">
        <f aca="false">IF(AND(B117&gt;=DATE(2026,1,1),B117&lt;=Resumen!$C$5),1,0)</f>
        <v>0</v>
      </c>
      <c r="P117" s="48" t="n">
        <f aca="false">IF(AND(B117&gt;Resumen!$C$5,B117&lt;=DATE(2027,7,31)),1,0)</f>
        <v>0</v>
      </c>
    </row>
    <row r="118" customFormat="false" ht="15" hidden="false" customHeight="false" outlineLevel="0" collapsed="false">
      <c r="A118" s="38" t="n">
        <v>106</v>
      </c>
      <c r="B118" s="27" t="n">
        <v>47631</v>
      </c>
      <c r="C118" s="39" t="n">
        <v>3503076923.07692</v>
      </c>
      <c r="D118" s="39" t="n">
        <v>45029134.6153846</v>
      </c>
      <c r="E118" s="39" t="n">
        <v>0</v>
      </c>
      <c r="F118" s="39" t="n">
        <v>45029134.6153846</v>
      </c>
      <c r="G118" s="39" t="n">
        <v>3503076923.07692</v>
      </c>
      <c r="H118" s="33" t="n">
        <f aca="false">J117</f>
        <v>3503076923.07692</v>
      </c>
      <c r="I118" s="33" t="n">
        <f aca="false">H118*N118</f>
        <v>45029134.6153846</v>
      </c>
      <c r="J118" s="33" t="n">
        <f aca="false">H118-E118</f>
        <v>3503076923.07692</v>
      </c>
      <c r="K118" s="33" t="n">
        <f aca="false">D118-I118</f>
        <v>0</v>
      </c>
      <c r="L118" s="33" t="n">
        <f aca="false">G118-J118</f>
        <v>0</v>
      </c>
      <c r="M118" s="33" t="n">
        <f aca="false">F118</f>
        <v>45029134.6153846</v>
      </c>
      <c r="N118" s="64" t="n">
        <v>0.0128541666666667</v>
      </c>
      <c r="O118" s="48" t="n">
        <f aca="false">IF(AND(B118&gt;=DATE(2026,1,1),B118&lt;=Resumen!$C$5),1,0)</f>
        <v>0</v>
      </c>
      <c r="P118" s="48" t="n">
        <f aca="false">IF(AND(B118&gt;Resumen!$C$5,B118&lt;=DATE(2027,7,31)),1,0)</f>
        <v>0</v>
      </c>
    </row>
    <row r="119" customFormat="false" ht="15" hidden="false" customHeight="false" outlineLevel="0" collapsed="false">
      <c r="A119" s="38" t="n">
        <v>107</v>
      </c>
      <c r="B119" s="27" t="n">
        <v>47662</v>
      </c>
      <c r="C119" s="39" t="n">
        <v>3503076923.07692</v>
      </c>
      <c r="D119" s="39" t="n">
        <v>45029134.6153846</v>
      </c>
      <c r="E119" s="39" t="n">
        <v>0</v>
      </c>
      <c r="F119" s="39" t="n">
        <v>45029134.6153846</v>
      </c>
      <c r="G119" s="39" t="n">
        <v>3503076923.07692</v>
      </c>
      <c r="H119" s="33" t="n">
        <f aca="false">J118</f>
        <v>3503076923.07692</v>
      </c>
      <c r="I119" s="33" t="n">
        <f aca="false">H119*N119</f>
        <v>45029134.6153846</v>
      </c>
      <c r="J119" s="33" t="n">
        <f aca="false">H119-E119</f>
        <v>3503076923.07692</v>
      </c>
      <c r="K119" s="33" t="n">
        <f aca="false">D119-I119</f>
        <v>0</v>
      </c>
      <c r="L119" s="33" t="n">
        <f aca="false">G119-J119</f>
        <v>0</v>
      </c>
      <c r="M119" s="33" t="n">
        <f aca="false">F119</f>
        <v>45029134.6153846</v>
      </c>
      <c r="N119" s="64" t="n">
        <v>0.0128541666666667</v>
      </c>
      <c r="O119" s="48" t="n">
        <f aca="false">IF(AND(B119&gt;=DATE(2026,1,1),B119&lt;=Resumen!$C$5),1,0)</f>
        <v>0</v>
      </c>
      <c r="P119" s="48" t="n">
        <f aca="false">IF(AND(B119&gt;Resumen!$C$5,B119&lt;=DATE(2027,7,31)),1,0)</f>
        <v>0</v>
      </c>
    </row>
    <row r="120" customFormat="false" ht="15" hidden="false" customHeight="false" outlineLevel="0" collapsed="false">
      <c r="A120" s="38" t="n">
        <v>108</v>
      </c>
      <c r="B120" s="27" t="n">
        <v>47692</v>
      </c>
      <c r="C120" s="39" t="n">
        <v>3503076923.07692</v>
      </c>
      <c r="D120" s="39" t="n">
        <v>45029134.6153846</v>
      </c>
      <c r="E120" s="39" t="n">
        <v>152307692.307692</v>
      </c>
      <c r="F120" s="39" t="n">
        <v>197336826.923077</v>
      </c>
      <c r="G120" s="39" t="n">
        <v>3350769230.76923</v>
      </c>
      <c r="H120" s="33" t="n">
        <f aca="false">J119</f>
        <v>3503076923.07692</v>
      </c>
      <c r="I120" s="33" t="n">
        <f aca="false">H120*N120</f>
        <v>45029134.6153846</v>
      </c>
      <c r="J120" s="33" t="n">
        <f aca="false">H120-E120</f>
        <v>3350769230.76923</v>
      </c>
      <c r="K120" s="33" t="n">
        <f aca="false">D120-I120</f>
        <v>0</v>
      </c>
      <c r="L120" s="33" t="n">
        <f aca="false">G120-J120</f>
        <v>0</v>
      </c>
      <c r="M120" s="33" t="n">
        <f aca="false">F120</f>
        <v>197336826.923077</v>
      </c>
      <c r="N120" s="64" t="n">
        <v>0.0128541666666667</v>
      </c>
      <c r="O120" s="48" t="n">
        <f aca="false">IF(AND(B120&gt;=DATE(2026,1,1),B120&lt;=Resumen!$C$5),1,0)</f>
        <v>0</v>
      </c>
      <c r="P120" s="48" t="n">
        <f aca="false">IF(AND(B120&gt;Resumen!$C$5,B120&lt;=DATE(2027,7,31)),1,0)</f>
        <v>0</v>
      </c>
    </row>
    <row r="121" customFormat="false" ht="15" hidden="false" customHeight="false" outlineLevel="0" collapsed="false">
      <c r="A121" s="38" t="n">
        <v>109</v>
      </c>
      <c r="B121" s="27" t="n">
        <v>47723</v>
      </c>
      <c r="C121" s="39" t="n">
        <v>3350769230.76923</v>
      </c>
      <c r="D121" s="39" t="n">
        <v>43071346.1538461</v>
      </c>
      <c r="E121" s="39" t="n">
        <v>0</v>
      </c>
      <c r="F121" s="39" t="n">
        <v>43071346.1538461</v>
      </c>
      <c r="G121" s="39" t="n">
        <v>3350769230.76923</v>
      </c>
      <c r="H121" s="33" t="n">
        <f aca="false">J120</f>
        <v>3350769230.76923</v>
      </c>
      <c r="I121" s="33" t="n">
        <f aca="false">H121*N121</f>
        <v>43071346.1538462</v>
      </c>
      <c r="J121" s="33" t="n">
        <f aca="false">H121-E121</f>
        <v>3350769230.76923</v>
      </c>
      <c r="K121" s="33" t="n">
        <f aca="false">D121-I121</f>
        <v>0</v>
      </c>
      <c r="L121" s="33" t="n">
        <f aca="false">G121-J121</f>
        <v>0</v>
      </c>
      <c r="M121" s="33" t="n">
        <f aca="false">F121</f>
        <v>43071346.1538461</v>
      </c>
      <c r="N121" s="64" t="n">
        <v>0.0128541666666667</v>
      </c>
      <c r="O121" s="48" t="n">
        <f aca="false">IF(AND(B121&gt;=DATE(2026,1,1),B121&lt;=Resumen!$C$5),1,0)</f>
        <v>0</v>
      </c>
      <c r="P121" s="48" t="n">
        <f aca="false">IF(AND(B121&gt;Resumen!$C$5,B121&lt;=DATE(2027,7,31)),1,0)</f>
        <v>0</v>
      </c>
    </row>
    <row r="122" customFormat="false" ht="15" hidden="false" customHeight="false" outlineLevel="0" collapsed="false">
      <c r="A122" s="38" t="n">
        <v>110</v>
      </c>
      <c r="B122" s="27" t="n">
        <v>47754</v>
      </c>
      <c r="C122" s="39" t="n">
        <v>3350769230.76923</v>
      </c>
      <c r="D122" s="39" t="n">
        <v>43071346.1538461</v>
      </c>
      <c r="E122" s="39" t="n">
        <v>0</v>
      </c>
      <c r="F122" s="39" t="n">
        <v>43071346.1538461</v>
      </c>
      <c r="G122" s="39" t="n">
        <v>3350769230.76923</v>
      </c>
      <c r="H122" s="33" t="n">
        <f aca="false">J121</f>
        <v>3350769230.76923</v>
      </c>
      <c r="I122" s="33" t="n">
        <f aca="false">H122*N122</f>
        <v>43071346.1538462</v>
      </c>
      <c r="J122" s="33" t="n">
        <f aca="false">H122-E122</f>
        <v>3350769230.76923</v>
      </c>
      <c r="K122" s="33" t="n">
        <f aca="false">D122-I122</f>
        <v>0</v>
      </c>
      <c r="L122" s="33" t="n">
        <f aca="false">G122-J122</f>
        <v>0</v>
      </c>
      <c r="M122" s="33" t="n">
        <f aca="false">F122</f>
        <v>43071346.1538461</v>
      </c>
      <c r="N122" s="64" t="n">
        <v>0.0128541666666667</v>
      </c>
      <c r="O122" s="48" t="n">
        <f aca="false">IF(AND(B122&gt;=DATE(2026,1,1),B122&lt;=Resumen!$C$5),1,0)</f>
        <v>0</v>
      </c>
      <c r="P122" s="48" t="n">
        <f aca="false">IF(AND(B122&gt;Resumen!$C$5,B122&lt;=DATE(2027,7,31)),1,0)</f>
        <v>0</v>
      </c>
    </row>
    <row r="123" customFormat="false" ht="15" hidden="false" customHeight="false" outlineLevel="0" collapsed="false">
      <c r="A123" s="38" t="n">
        <v>111</v>
      </c>
      <c r="B123" s="27" t="n">
        <v>47784</v>
      </c>
      <c r="C123" s="39" t="n">
        <v>3350769230.76923</v>
      </c>
      <c r="D123" s="39" t="n">
        <v>43071346.1538461</v>
      </c>
      <c r="E123" s="39" t="n">
        <v>0</v>
      </c>
      <c r="F123" s="39" t="n">
        <v>43071346.1538461</v>
      </c>
      <c r="G123" s="39" t="n">
        <v>3350769230.76923</v>
      </c>
      <c r="H123" s="33" t="n">
        <f aca="false">J122</f>
        <v>3350769230.76923</v>
      </c>
      <c r="I123" s="33" t="n">
        <f aca="false">H123*N123</f>
        <v>43071346.1538462</v>
      </c>
      <c r="J123" s="33" t="n">
        <f aca="false">H123-E123</f>
        <v>3350769230.76923</v>
      </c>
      <c r="K123" s="33" t="n">
        <f aca="false">D123-I123</f>
        <v>0</v>
      </c>
      <c r="L123" s="33" t="n">
        <f aca="false">G123-J123</f>
        <v>0</v>
      </c>
      <c r="M123" s="33" t="n">
        <f aca="false">F123</f>
        <v>43071346.1538461</v>
      </c>
      <c r="N123" s="64" t="n">
        <v>0.0128541666666667</v>
      </c>
      <c r="O123" s="48" t="n">
        <f aca="false">IF(AND(B123&gt;=DATE(2026,1,1),B123&lt;=Resumen!$C$5),1,0)</f>
        <v>0</v>
      </c>
      <c r="P123" s="48" t="n">
        <f aca="false">IF(AND(B123&gt;Resumen!$C$5,B123&lt;=DATE(2027,7,31)),1,0)</f>
        <v>0</v>
      </c>
    </row>
    <row r="124" customFormat="false" ht="15" hidden="false" customHeight="false" outlineLevel="0" collapsed="false">
      <c r="A124" s="38" t="n">
        <v>112</v>
      </c>
      <c r="B124" s="27" t="n">
        <v>47815</v>
      </c>
      <c r="C124" s="39" t="n">
        <v>3350769230.76923</v>
      </c>
      <c r="D124" s="39" t="n">
        <v>43071346.1538461</v>
      </c>
      <c r="E124" s="39" t="n">
        <v>0</v>
      </c>
      <c r="F124" s="39" t="n">
        <v>43071346.1538461</v>
      </c>
      <c r="G124" s="39" t="n">
        <v>3350769230.76923</v>
      </c>
      <c r="H124" s="33" t="n">
        <f aca="false">J123</f>
        <v>3350769230.76923</v>
      </c>
      <c r="I124" s="33" t="n">
        <f aca="false">H124*N124</f>
        <v>43071346.1538462</v>
      </c>
      <c r="J124" s="33" t="n">
        <f aca="false">H124-E124</f>
        <v>3350769230.76923</v>
      </c>
      <c r="K124" s="33" t="n">
        <f aca="false">D124-I124</f>
        <v>0</v>
      </c>
      <c r="L124" s="33" t="n">
        <f aca="false">G124-J124</f>
        <v>0</v>
      </c>
      <c r="M124" s="33" t="n">
        <f aca="false">F124</f>
        <v>43071346.1538461</v>
      </c>
      <c r="N124" s="64" t="n">
        <v>0.0128541666666667</v>
      </c>
      <c r="O124" s="48" t="n">
        <f aca="false">IF(AND(B124&gt;=DATE(2026,1,1),B124&lt;=Resumen!$C$5),1,0)</f>
        <v>0</v>
      </c>
      <c r="P124" s="48" t="n">
        <f aca="false">IF(AND(B124&gt;Resumen!$C$5,B124&lt;=DATE(2027,7,31)),1,0)</f>
        <v>0</v>
      </c>
    </row>
    <row r="125" customFormat="false" ht="15" hidden="false" customHeight="false" outlineLevel="0" collapsed="false">
      <c r="A125" s="38" t="n">
        <v>113</v>
      </c>
      <c r="B125" s="27" t="n">
        <v>47845</v>
      </c>
      <c r="C125" s="39" t="n">
        <v>3350769230.76923</v>
      </c>
      <c r="D125" s="39" t="n">
        <v>43071346.1538461</v>
      </c>
      <c r="E125" s="39" t="n">
        <v>0</v>
      </c>
      <c r="F125" s="39" t="n">
        <v>43071346.1538461</v>
      </c>
      <c r="G125" s="39" t="n">
        <v>3350769230.76923</v>
      </c>
      <c r="H125" s="33" t="n">
        <f aca="false">J124</f>
        <v>3350769230.76923</v>
      </c>
      <c r="I125" s="33" t="n">
        <f aca="false">H125*N125</f>
        <v>43071346.1538462</v>
      </c>
      <c r="J125" s="33" t="n">
        <f aca="false">H125-E125</f>
        <v>3350769230.76923</v>
      </c>
      <c r="K125" s="33" t="n">
        <f aca="false">D125-I125</f>
        <v>0</v>
      </c>
      <c r="L125" s="33" t="n">
        <f aca="false">G125-J125</f>
        <v>0</v>
      </c>
      <c r="M125" s="33" t="n">
        <f aca="false">F125</f>
        <v>43071346.1538461</v>
      </c>
      <c r="N125" s="64" t="n">
        <v>0.0128541666666667</v>
      </c>
      <c r="O125" s="48" t="n">
        <f aca="false">IF(AND(B125&gt;=DATE(2026,1,1),B125&lt;=Resumen!$C$5),1,0)</f>
        <v>0</v>
      </c>
      <c r="P125" s="48" t="n">
        <f aca="false">IF(AND(B125&gt;Resumen!$C$5,B125&lt;=DATE(2027,7,31)),1,0)</f>
        <v>0</v>
      </c>
    </row>
    <row r="126" customFormat="false" ht="15" hidden="false" customHeight="false" outlineLevel="0" collapsed="false">
      <c r="A126" s="38" t="n">
        <v>114</v>
      </c>
      <c r="B126" s="27" t="n">
        <v>47876</v>
      </c>
      <c r="C126" s="39" t="n">
        <v>3350769230.76923</v>
      </c>
      <c r="D126" s="39" t="n">
        <v>43071346.1538461</v>
      </c>
      <c r="E126" s="39" t="n">
        <v>152307692.307692</v>
      </c>
      <c r="F126" s="39" t="n">
        <v>195379038.461539</v>
      </c>
      <c r="G126" s="39" t="n">
        <v>3198461538.46154</v>
      </c>
      <c r="H126" s="33" t="n">
        <f aca="false">J125</f>
        <v>3350769230.76923</v>
      </c>
      <c r="I126" s="33" t="n">
        <f aca="false">H126*N126</f>
        <v>43071346.1538462</v>
      </c>
      <c r="J126" s="33" t="n">
        <f aca="false">H126-E126</f>
        <v>3198461538.46154</v>
      </c>
      <c r="K126" s="33" t="n">
        <f aca="false">D126-I126</f>
        <v>0</v>
      </c>
      <c r="L126" s="33" t="n">
        <f aca="false">G126-J126</f>
        <v>0</v>
      </c>
      <c r="M126" s="33" t="n">
        <f aca="false">F126</f>
        <v>195379038.461539</v>
      </c>
      <c r="N126" s="64" t="n">
        <v>0.0128541666666667</v>
      </c>
      <c r="O126" s="48" t="n">
        <f aca="false">IF(AND(B126&gt;=DATE(2026,1,1),B126&lt;=Resumen!$C$5),1,0)</f>
        <v>0</v>
      </c>
      <c r="P126" s="48" t="n">
        <f aca="false">IF(AND(B126&gt;Resumen!$C$5,B126&lt;=DATE(2027,7,31)),1,0)</f>
        <v>0</v>
      </c>
    </row>
    <row r="127" customFormat="false" ht="15" hidden="false" customHeight="false" outlineLevel="0" collapsed="false">
      <c r="A127" s="38" t="n">
        <v>115</v>
      </c>
      <c r="B127" s="27" t="n">
        <v>47907</v>
      </c>
      <c r="C127" s="39" t="n">
        <v>3198461538.46154</v>
      </c>
      <c r="D127" s="39" t="n">
        <v>41113557.6923077</v>
      </c>
      <c r="E127" s="39" t="n">
        <v>0</v>
      </c>
      <c r="F127" s="39" t="n">
        <v>41113557.6923077</v>
      </c>
      <c r="G127" s="39" t="n">
        <v>3198461538.46154</v>
      </c>
      <c r="H127" s="33" t="n">
        <f aca="false">J126</f>
        <v>3198461538.46154</v>
      </c>
      <c r="I127" s="33" t="n">
        <f aca="false">H127*N127</f>
        <v>41113557.6923077</v>
      </c>
      <c r="J127" s="33" t="n">
        <f aca="false">H127-E127</f>
        <v>3198461538.46154</v>
      </c>
      <c r="K127" s="33" t="n">
        <f aca="false">D127-I127</f>
        <v>0</v>
      </c>
      <c r="L127" s="33" t="n">
        <f aca="false">G127-J127</f>
        <v>0</v>
      </c>
      <c r="M127" s="33" t="n">
        <f aca="false">F127</f>
        <v>41113557.6923077</v>
      </c>
      <c r="N127" s="64" t="n">
        <v>0.0128541666666667</v>
      </c>
      <c r="O127" s="48" t="n">
        <f aca="false">IF(AND(B127&gt;=DATE(2026,1,1),B127&lt;=Resumen!$C$5),1,0)</f>
        <v>0</v>
      </c>
      <c r="P127" s="48" t="n">
        <f aca="false">IF(AND(B127&gt;Resumen!$C$5,B127&lt;=DATE(2027,7,31)),1,0)</f>
        <v>0</v>
      </c>
    </row>
    <row r="128" customFormat="false" ht="15" hidden="false" customHeight="false" outlineLevel="0" collapsed="false">
      <c r="A128" s="38" t="n">
        <v>116</v>
      </c>
      <c r="B128" s="27" t="n">
        <v>47935</v>
      </c>
      <c r="C128" s="39" t="n">
        <v>3198461538.46154</v>
      </c>
      <c r="D128" s="39" t="n">
        <v>41113557.6923077</v>
      </c>
      <c r="E128" s="39" t="n">
        <v>0</v>
      </c>
      <c r="F128" s="39" t="n">
        <v>41113557.6923077</v>
      </c>
      <c r="G128" s="39" t="n">
        <v>3198461538.46154</v>
      </c>
      <c r="H128" s="33" t="n">
        <f aca="false">J127</f>
        <v>3198461538.46154</v>
      </c>
      <c r="I128" s="33" t="n">
        <f aca="false">H128*N128</f>
        <v>41113557.6923077</v>
      </c>
      <c r="J128" s="33" t="n">
        <f aca="false">H128-E128</f>
        <v>3198461538.46154</v>
      </c>
      <c r="K128" s="33" t="n">
        <f aca="false">D128-I128</f>
        <v>0</v>
      </c>
      <c r="L128" s="33" t="n">
        <f aca="false">G128-J128</f>
        <v>0</v>
      </c>
      <c r="M128" s="33" t="n">
        <f aca="false">F128</f>
        <v>41113557.6923077</v>
      </c>
      <c r="N128" s="64" t="n">
        <v>0.0128541666666667</v>
      </c>
      <c r="O128" s="48" t="n">
        <f aca="false">IF(AND(B128&gt;=DATE(2026,1,1),B128&lt;=Resumen!$C$5),1,0)</f>
        <v>0</v>
      </c>
      <c r="P128" s="48" t="n">
        <f aca="false">IF(AND(B128&gt;Resumen!$C$5,B128&lt;=DATE(2027,7,31)),1,0)</f>
        <v>0</v>
      </c>
    </row>
    <row r="129" customFormat="false" ht="15" hidden="false" customHeight="false" outlineLevel="0" collapsed="false">
      <c r="A129" s="38" t="n">
        <v>117</v>
      </c>
      <c r="B129" s="27" t="n">
        <v>47966</v>
      </c>
      <c r="C129" s="39" t="n">
        <v>3198461538.46154</v>
      </c>
      <c r="D129" s="39" t="n">
        <v>41113557.6923077</v>
      </c>
      <c r="E129" s="39" t="n">
        <v>0</v>
      </c>
      <c r="F129" s="39" t="n">
        <v>41113557.6923077</v>
      </c>
      <c r="G129" s="39" t="n">
        <v>3198461538.46154</v>
      </c>
      <c r="H129" s="33" t="n">
        <f aca="false">J128</f>
        <v>3198461538.46154</v>
      </c>
      <c r="I129" s="33" t="n">
        <f aca="false">H129*N129</f>
        <v>41113557.6923077</v>
      </c>
      <c r="J129" s="33" t="n">
        <f aca="false">H129-E129</f>
        <v>3198461538.46154</v>
      </c>
      <c r="K129" s="33" t="n">
        <f aca="false">D129-I129</f>
        <v>0</v>
      </c>
      <c r="L129" s="33" t="n">
        <f aca="false">G129-J129</f>
        <v>0</v>
      </c>
      <c r="M129" s="33" t="n">
        <f aca="false">F129</f>
        <v>41113557.6923077</v>
      </c>
      <c r="N129" s="64" t="n">
        <v>0.0128541666666667</v>
      </c>
      <c r="O129" s="48" t="n">
        <f aca="false">IF(AND(B129&gt;=DATE(2026,1,1),B129&lt;=Resumen!$C$5),1,0)</f>
        <v>0</v>
      </c>
      <c r="P129" s="48" t="n">
        <f aca="false">IF(AND(B129&gt;Resumen!$C$5,B129&lt;=DATE(2027,7,31)),1,0)</f>
        <v>0</v>
      </c>
    </row>
    <row r="130" customFormat="false" ht="15" hidden="false" customHeight="false" outlineLevel="0" collapsed="false">
      <c r="A130" s="38" t="n">
        <v>118</v>
      </c>
      <c r="B130" s="27" t="n">
        <v>47996</v>
      </c>
      <c r="C130" s="39" t="n">
        <v>3198461538.46154</v>
      </c>
      <c r="D130" s="39" t="n">
        <v>41113557.6923077</v>
      </c>
      <c r="E130" s="39" t="n">
        <v>0</v>
      </c>
      <c r="F130" s="39" t="n">
        <v>41113557.6923077</v>
      </c>
      <c r="G130" s="39" t="n">
        <v>3198461538.46154</v>
      </c>
      <c r="H130" s="33" t="n">
        <f aca="false">J129</f>
        <v>3198461538.46154</v>
      </c>
      <c r="I130" s="33" t="n">
        <f aca="false">H130*N130</f>
        <v>41113557.6923077</v>
      </c>
      <c r="J130" s="33" t="n">
        <f aca="false">H130-E130</f>
        <v>3198461538.46154</v>
      </c>
      <c r="K130" s="33" t="n">
        <f aca="false">D130-I130</f>
        <v>0</v>
      </c>
      <c r="L130" s="33" t="n">
        <f aca="false">G130-J130</f>
        <v>0</v>
      </c>
      <c r="M130" s="33" t="n">
        <f aca="false">F130</f>
        <v>41113557.6923077</v>
      </c>
      <c r="N130" s="64" t="n">
        <v>0.0128541666666667</v>
      </c>
      <c r="O130" s="48" t="n">
        <f aca="false">IF(AND(B130&gt;=DATE(2026,1,1),B130&lt;=Resumen!$C$5),1,0)</f>
        <v>0</v>
      </c>
      <c r="P130" s="48" t="n">
        <f aca="false">IF(AND(B130&gt;Resumen!$C$5,B130&lt;=DATE(2027,7,31)),1,0)</f>
        <v>0</v>
      </c>
    </row>
    <row r="131" customFormat="false" ht="15" hidden="false" customHeight="false" outlineLevel="0" collapsed="false">
      <c r="A131" s="38" t="n">
        <v>119</v>
      </c>
      <c r="B131" s="27" t="n">
        <v>48027</v>
      </c>
      <c r="C131" s="39" t="n">
        <v>3198461538.46154</v>
      </c>
      <c r="D131" s="39" t="n">
        <v>41113557.6923077</v>
      </c>
      <c r="E131" s="39" t="n">
        <v>0</v>
      </c>
      <c r="F131" s="39" t="n">
        <v>41113557.6923077</v>
      </c>
      <c r="G131" s="39" t="n">
        <v>3198461538.46154</v>
      </c>
      <c r="H131" s="33" t="n">
        <f aca="false">J130</f>
        <v>3198461538.46154</v>
      </c>
      <c r="I131" s="33" t="n">
        <f aca="false">H131*N131</f>
        <v>41113557.6923077</v>
      </c>
      <c r="J131" s="33" t="n">
        <f aca="false">H131-E131</f>
        <v>3198461538.46154</v>
      </c>
      <c r="K131" s="33" t="n">
        <f aca="false">D131-I131</f>
        <v>0</v>
      </c>
      <c r="L131" s="33" t="n">
        <f aca="false">G131-J131</f>
        <v>0</v>
      </c>
      <c r="M131" s="33" t="n">
        <f aca="false">F131</f>
        <v>41113557.6923077</v>
      </c>
      <c r="N131" s="64" t="n">
        <v>0.0128541666666667</v>
      </c>
      <c r="O131" s="48" t="n">
        <f aca="false">IF(AND(B131&gt;=DATE(2026,1,1),B131&lt;=Resumen!$C$5),1,0)</f>
        <v>0</v>
      </c>
      <c r="P131" s="48" t="n">
        <f aca="false">IF(AND(B131&gt;Resumen!$C$5,B131&lt;=DATE(2027,7,31)),1,0)</f>
        <v>0</v>
      </c>
    </row>
    <row r="132" customFormat="false" ht="15" hidden="false" customHeight="false" outlineLevel="0" collapsed="false">
      <c r="A132" s="38" t="n">
        <v>120</v>
      </c>
      <c r="B132" s="27" t="n">
        <v>48057</v>
      </c>
      <c r="C132" s="39" t="n">
        <v>3198461538.46154</v>
      </c>
      <c r="D132" s="39" t="n">
        <v>41113557.6923077</v>
      </c>
      <c r="E132" s="39" t="n">
        <v>152307692.307692</v>
      </c>
      <c r="F132" s="39" t="n">
        <v>193421250</v>
      </c>
      <c r="G132" s="39" t="n">
        <v>3046153846.15385</v>
      </c>
      <c r="H132" s="33" t="n">
        <f aca="false">J131</f>
        <v>3198461538.46154</v>
      </c>
      <c r="I132" s="33" t="n">
        <f aca="false">H132*N132</f>
        <v>41113557.6923077</v>
      </c>
      <c r="J132" s="33" t="n">
        <f aca="false">H132-E132</f>
        <v>3046153846.15385</v>
      </c>
      <c r="K132" s="33" t="n">
        <f aca="false">D132-I132</f>
        <v>0</v>
      </c>
      <c r="L132" s="33" t="n">
        <f aca="false">G132-J132</f>
        <v>0</v>
      </c>
      <c r="M132" s="33" t="n">
        <f aca="false">F132</f>
        <v>193421250</v>
      </c>
      <c r="N132" s="64" t="n">
        <v>0.0128541666666667</v>
      </c>
      <c r="O132" s="48" t="n">
        <f aca="false">IF(AND(B132&gt;=DATE(2026,1,1),B132&lt;=Resumen!$C$5),1,0)</f>
        <v>0</v>
      </c>
      <c r="P132" s="48" t="n">
        <f aca="false">IF(AND(B132&gt;Resumen!$C$5,B132&lt;=DATE(2027,7,31)),1,0)</f>
        <v>0</v>
      </c>
    </row>
    <row r="133" customFormat="false" ht="15" hidden="false" customHeight="false" outlineLevel="0" collapsed="false">
      <c r="A133" s="38" t="n">
        <v>121</v>
      </c>
      <c r="B133" s="27" t="n">
        <v>48088</v>
      </c>
      <c r="C133" s="39" t="n">
        <v>3046153846.15385</v>
      </c>
      <c r="D133" s="39" t="n">
        <v>39155769.2307692</v>
      </c>
      <c r="E133" s="39" t="n">
        <v>0</v>
      </c>
      <c r="F133" s="39" t="n">
        <v>39155769.2307692</v>
      </c>
      <c r="G133" s="39" t="n">
        <v>3046153846.15385</v>
      </c>
      <c r="H133" s="33" t="n">
        <f aca="false">J132</f>
        <v>3046153846.15385</v>
      </c>
      <c r="I133" s="33" t="n">
        <f aca="false">H133*N133</f>
        <v>39155769.2307692</v>
      </c>
      <c r="J133" s="33" t="n">
        <f aca="false">H133-E133</f>
        <v>3046153846.15385</v>
      </c>
      <c r="K133" s="33" t="n">
        <f aca="false">D133-I133</f>
        <v>0</v>
      </c>
      <c r="L133" s="33" t="n">
        <f aca="false">G133-J133</f>
        <v>0</v>
      </c>
      <c r="M133" s="33" t="n">
        <f aca="false">F133</f>
        <v>39155769.2307692</v>
      </c>
      <c r="N133" s="64" t="n">
        <v>0.0128541666666667</v>
      </c>
      <c r="O133" s="48" t="n">
        <f aca="false">IF(AND(B133&gt;=DATE(2026,1,1),B133&lt;=Resumen!$C$5),1,0)</f>
        <v>0</v>
      </c>
      <c r="P133" s="48" t="n">
        <f aca="false">IF(AND(B133&gt;Resumen!$C$5,B133&lt;=DATE(2027,7,31)),1,0)</f>
        <v>0</v>
      </c>
    </row>
    <row r="134" customFormat="false" ht="15" hidden="false" customHeight="false" outlineLevel="0" collapsed="false">
      <c r="A134" s="38" t="n">
        <v>122</v>
      </c>
      <c r="B134" s="27" t="n">
        <v>48119</v>
      </c>
      <c r="C134" s="39" t="n">
        <v>3046153846.15385</v>
      </c>
      <c r="D134" s="39" t="n">
        <v>39155769.2307692</v>
      </c>
      <c r="E134" s="39" t="n">
        <v>0</v>
      </c>
      <c r="F134" s="39" t="n">
        <v>39155769.2307692</v>
      </c>
      <c r="G134" s="39" t="n">
        <v>3046153846.15385</v>
      </c>
      <c r="H134" s="33" t="n">
        <f aca="false">J133</f>
        <v>3046153846.15385</v>
      </c>
      <c r="I134" s="33" t="n">
        <f aca="false">H134*N134</f>
        <v>39155769.2307692</v>
      </c>
      <c r="J134" s="33" t="n">
        <f aca="false">H134-E134</f>
        <v>3046153846.15385</v>
      </c>
      <c r="K134" s="33" t="n">
        <f aca="false">D134-I134</f>
        <v>0</v>
      </c>
      <c r="L134" s="33" t="n">
        <f aca="false">G134-J134</f>
        <v>0</v>
      </c>
      <c r="M134" s="33" t="n">
        <f aca="false">F134</f>
        <v>39155769.2307692</v>
      </c>
      <c r="N134" s="64" t="n">
        <v>0.0128541666666667</v>
      </c>
      <c r="O134" s="48" t="n">
        <f aca="false">IF(AND(B134&gt;=DATE(2026,1,1),B134&lt;=Resumen!$C$5),1,0)</f>
        <v>0</v>
      </c>
      <c r="P134" s="48" t="n">
        <f aca="false">IF(AND(B134&gt;Resumen!$C$5,B134&lt;=DATE(2027,7,31)),1,0)</f>
        <v>0</v>
      </c>
    </row>
    <row r="135" customFormat="false" ht="15" hidden="false" customHeight="false" outlineLevel="0" collapsed="false">
      <c r="A135" s="38" t="n">
        <v>123</v>
      </c>
      <c r="B135" s="27" t="n">
        <v>48149</v>
      </c>
      <c r="C135" s="39" t="n">
        <v>3046153846.15385</v>
      </c>
      <c r="D135" s="39" t="n">
        <v>39155769.2307692</v>
      </c>
      <c r="E135" s="39" t="n">
        <v>0</v>
      </c>
      <c r="F135" s="39" t="n">
        <v>39155769.2307692</v>
      </c>
      <c r="G135" s="39" t="n">
        <v>3046153846.15385</v>
      </c>
      <c r="H135" s="33" t="n">
        <f aca="false">J134</f>
        <v>3046153846.15385</v>
      </c>
      <c r="I135" s="33" t="n">
        <f aca="false">H135*N135</f>
        <v>39155769.2307692</v>
      </c>
      <c r="J135" s="33" t="n">
        <f aca="false">H135-E135</f>
        <v>3046153846.15385</v>
      </c>
      <c r="K135" s="33" t="n">
        <f aca="false">D135-I135</f>
        <v>0</v>
      </c>
      <c r="L135" s="33" t="n">
        <f aca="false">G135-J135</f>
        <v>0</v>
      </c>
      <c r="M135" s="33" t="n">
        <f aca="false">F135</f>
        <v>39155769.2307692</v>
      </c>
      <c r="N135" s="64" t="n">
        <v>0.0128541666666667</v>
      </c>
      <c r="O135" s="48" t="n">
        <f aca="false">IF(AND(B135&gt;=DATE(2026,1,1),B135&lt;=Resumen!$C$5),1,0)</f>
        <v>0</v>
      </c>
      <c r="P135" s="48" t="n">
        <f aca="false">IF(AND(B135&gt;Resumen!$C$5,B135&lt;=DATE(2027,7,31)),1,0)</f>
        <v>0</v>
      </c>
    </row>
    <row r="136" customFormat="false" ht="15" hidden="false" customHeight="false" outlineLevel="0" collapsed="false">
      <c r="A136" s="38" t="n">
        <v>124</v>
      </c>
      <c r="B136" s="27" t="n">
        <v>48180</v>
      </c>
      <c r="C136" s="39" t="n">
        <v>3046153846.15385</v>
      </c>
      <c r="D136" s="39" t="n">
        <v>39155769.2307692</v>
      </c>
      <c r="E136" s="39" t="n">
        <v>0</v>
      </c>
      <c r="F136" s="39" t="n">
        <v>39155769.2307692</v>
      </c>
      <c r="G136" s="39" t="n">
        <v>3046153846.15385</v>
      </c>
      <c r="H136" s="33" t="n">
        <f aca="false">J135</f>
        <v>3046153846.15385</v>
      </c>
      <c r="I136" s="33" t="n">
        <f aca="false">H136*N136</f>
        <v>39155769.2307692</v>
      </c>
      <c r="J136" s="33" t="n">
        <f aca="false">H136-E136</f>
        <v>3046153846.15385</v>
      </c>
      <c r="K136" s="33" t="n">
        <f aca="false">D136-I136</f>
        <v>0</v>
      </c>
      <c r="L136" s="33" t="n">
        <f aca="false">G136-J136</f>
        <v>0</v>
      </c>
      <c r="M136" s="33" t="n">
        <f aca="false">F136</f>
        <v>39155769.2307692</v>
      </c>
      <c r="N136" s="64" t="n">
        <v>0.0128541666666667</v>
      </c>
      <c r="O136" s="48" t="n">
        <f aca="false">IF(AND(B136&gt;=DATE(2026,1,1),B136&lt;=Resumen!$C$5),1,0)</f>
        <v>0</v>
      </c>
      <c r="P136" s="48" t="n">
        <f aca="false">IF(AND(B136&gt;Resumen!$C$5,B136&lt;=DATE(2027,7,31)),1,0)</f>
        <v>0</v>
      </c>
    </row>
    <row r="137" customFormat="false" ht="15" hidden="false" customHeight="false" outlineLevel="0" collapsed="false">
      <c r="A137" s="38" t="n">
        <v>125</v>
      </c>
      <c r="B137" s="27" t="n">
        <v>48210</v>
      </c>
      <c r="C137" s="39" t="n">
        <v>3046153846.15385</v>
      </c>
      <c r="D137" s="39" t="n">
        <v>39155769.2307692</v>
      </c>
      <c r="E137" s="39" t="n">
        <v>0</v>
      </c>
      <c r="F137" s="39" t="n">
        <v>39155769.2307692</v>
      </c>
      <c r="G137" s="39" t="n">
        <v>3046153846.15385</v>
      </c>
      <c r="H137" s="33" t="n">
        <f aca="false">J136</f>
        <v>3046153846.15385</v>
      </c>
      <c r="I137" s="33" t="n">
        <f aca="false">H137*N137</f>
        <v>39155769.2307692</v>
      </c>
      <c r="J137" s="33" t="n">
        <f aca="false">H137-E137</f>
        <v>3046153846.15385</v>
      </c>
      <c r="K137" s="33" t="n">
        <f aca="false">D137-I137</f>
        <v>0</v>
      </c>
      <c r="L137" s="33" t="n">
        <f aca="false">G137-J137</f>
        <v>0</v>
      </c>
      <c r="M137" s="33" t="n">
        <f aca="false">F137</f>
        <v>39155769.2307692</v>
      </c>
      <c r="N137" s="64" t="n">
        <v>0.0128541666666667</v>
      </c>
      <c r="O137" s="48" t="n">
        <f aca="false">IF(AND(B137&gt;=DATE(2026,1,1),B137&lt;=Resumen!$C$5),1,0)</f>
        <v>0</v>
      </c>
      <c r="P137" s="48" t="n">
        <f aca="false">IF(AND(B137&gt;Resumen!$C$5,B137&lt;=DATE(2027,7,31)),1,0)</f>
        <v>0</v>
      </c>
    </row>
    <row r="138" customFormat="false" ht="15" hidden="false" customHeight="false" outlineLevel="0" collapsed="false">
      <c r="A138" s="38" t="n">
        <v>126</v>
      </c>
      <c r="B138" s="27" t="n">
        <v>48241</v>
      </c>
      <c r="C138" s="39" t="n">
        <v>3046153846.15385</v>
      </c>
      <c r="D138" s="39" t="n">
        <v>39155769.2307692</v>
      </c>
      <c r="E138" s="39" t="n">
        <v>152307692.307692</v>
      </c>
      <c r="F138" s="39" t="n">
        <v>191463461.538462</v>
      </c>
      <c r="G138" s="39" t="n">
        <v>2893846153.84615</v>
      </c>
      <c r="H138" s="33" t="n">
        <f aca="false">J137</f>
        <v>3046153846.15385</v>
      </c>
      <c r="I138" s="33" t="n">
        <f aca="false">H138*N138</f>
        <v>39155769.2307692</v>
      </c>
      <c r="J138" s="33" t="n">
        <f aca="false">H138-E138</f>
        <v>2893846153.84615</v>
      </c>
      <c r="K138" s="33" t="n">
        <f aca="false">D138-I138</f>
        <v>0</v>
      </c>
      <c r="L138" s="33" t="n">
        <f aca="false">G138-J138</f>
        <v>0</v>
      </c>
      <c r="M138" s="33" t="n">
        <f aca="false">F138</f>
        <v>191463461.538462</v>
      </c>
      <c r="N138" s="64" t="n">
        <v>0.0128541666666667</v>
      </c>
      <c r="O138" s="48" t="n">
        <f aca="false">IF(AND(B138&gt;=DATE(2026,1,1),B138&lt;=Resumen!$C$5),1,0)</f>
        <v>0</v>
      </c>
      <c r="P138" s="48" t="n">
        <f aca="false">IF(AND(B138&gt;Resumen!$C$5,B138&lt;=DATE(2027,7,31)),1,0)</f>
        <v>0</v>
      </c>
    </row>
    <row r="139" customFormat="false" ht="15" hidden="false" customHeight="false" outlineLevel="0" collapsed="false">
      <c r="A139" s="38" t="n">
        <v>127</v>
      </c>
      <c r="B139" s="27" t="n">
        <v>48272</v>
      </c>
      <c r="C139" s="39" t="n">
        <v>2893846153.84615</v>
      </c>
      <c r="D139" s="39" t="n">
        <v>37197980.7692308</v>
      </c>
      <c r="E139" s="39" t="n">
        <v>0</v>
      </c>
      <c r="F139" s="39" t="n">
        <v>37197980.7692308</v>
      </c>
      <c r="G139" s="39" t="n">
        <v>2893846153.84615</v>
      </c>
      <c r="H139" s="33" t="n">
        <f aca="false">J138</f>
        <v>2893846153.84615</v>
      </c>
      <c r="I139" s="33" t="n">
        <f aca="false">H139*N139</f>
        <v>37197980.7692308</v>
      </c>
      <c r="J139" s="33" t="n">
        <f aca="false">H139-E139</f>
        <v>2893846153.84615</v>
      </c>
      <c r="K139" s="33" t="n">
        <f aca="false">D139-I139</f>
        <v>0</v>
      </c>
      <c r="L139" s="33" t="n">
        <f aca="false">G139-J139</f>
        <v>0</v>
      </c>
      <c r="M139" s="33" t="n">
        <f aca="false">F139</f>
        <v>37197980.7692308</v>
      </c>
      <c r="N139" s="64" t="n">
        <v>0.0128541666666667</v>
      </c>
      <c r="O139" s="48" t="n">
        <f aca="false">IF(AND(B139&gt;=DATE(2026,1,1),B139&lt;=Resumen!$C$5),1,0)</f>
        <v>0</v>
      </c>
      <c r="P139" s="48" t="n">
        <f aca="false">IF(AND(B139&gt;Resumen!$C$5,B139&lt;=DATE(2027,7,31)),1,0)</f>
        <v>0</v>
      </c>
    </row>
    <row r="140" customFormat="false" ht="15" hidden="false" customHeight="false" outlineLevel="0" collapsed="false">
      <c r="A140" s="38" t="n">
        <v>128</v>
      </c>
      <c r="B140" s="27" t="n">
        <v>48301</v>
      </c>
      <c r="C140" s="39" t="n">
        <v>2893846153.84615</v>
      </c>
      <c r="D140" s="39" t="n">
        <v>37197980.7692308</v>
      </c>
      <c r="E140" s="39" t="n">
        <v>0</v>
      </c>
      <c r="F140" s="39" t="n">
        <v>37197980.7692308</v>
      </c>
      <c r="G140" s="39" t="n">
        <v>2893846153.84615</v>
      </c>
      <c r="H140" s="33" t="n">
        <f aca="false">J139</f>
        <v>2893846153.84615</v>
      </c>
      <c r="I140" s="33" t="n">
        <f aca="false">H140*N140</f>
        <v>37197980.7692308</v>
      </c>
      <c r="J140" s="33" t="n">
        <f aca="false">H140-E140</f>
        <v>2893846153.84615</v>
      </c>
      <c r="K140" s="33" t="n">
        <f aca="false">D140-I140</f>
        <v>0</v>
      </c>
      <c r="L140" s="33" t="n">
        <f aca="false">G140-J140</f>
        <v>0</v>
      </c>
      <c r="M140" s="33" t="n">
        <f aca="false">F140</f>
        <v>37197980.7692308</v>
      </c>
      <c r="N140" s="64" t="n">
        <v>0.0128541666666667</v>
      </c>
      <c r="O140" s="48" t="n">
        <f aca="false">IF(AND(B140&gt;=DATE(2026,1,1),B140&lt;=Resumen!$C$5),1,0)</f>
        <v>0</v>
      </c>
      <c r="P140" s="48" t="n">
        <f aca="false">IF(AND(B140&gt;Resumen!$C$5,B140&lt;=DATE(2027,7,31)),1,0)</f>
        <v>0</v>
      </c>
    </row>
    <row r="141" customFormat="false" ht="15" hidden="false" customHeight="false" outlineLevel="0" collapsed="false">
      <c r="A141" s="38" t="n">
        <v>129</v>
      </c>
      <c r="B141" s="27" t="n">
        <v>48332</v>
      </c>
      <c r="C141" s="39" t="n">
        <v>2893846153.84615</v>
      </c>
      <c r="D141" s="39" t="n">
        <v>37197980.7692308</v>
      </c>
      <c r="E141" s="39" t="n">
        <v>0</v>
      </c>
      <c r="F141" s="39" t="n">
        <v>37197980.7692308</v>
      </c>
      <c r="G141" s="39" t="n">
        <v>2893846153.84615</v>
      </c>
      <c r="H141" s="33" t="n">
        <f aca="false">J140</f>
        <v>2893846153.84615</v>
      </c>
      <c r="I141" s="33" t="n">
        <f aca="false">H141*N141</f>
        <v>37197980.7692308</v>
      </c>
      <c r="J141" s="33" t="n">
        <f aca="false">H141-E141</f>
        <v>2893846153.84615</v>
      </c>
      <c r="K141" s="33" t="n">
        <f aca="false">D141-I141</f>
        <v>0</v>
      </c>
      <c r="L141" s="33" t="n">
        <f aca="false">G141-J141</f>
        <v>0</v>
      </c>
      <c r="M141" s="33" t="n">
        <f aca="false">F141</f>
        <v>37197980.7692308</v>
      </c>
      <c r="N141" s="64" t="n">
        <v>0.0128541666666667</v>
      </c>
      <c r="O141" s="48" t="n">
        <f aca="false">IF(AND(B141&gt;=DATE(2026,1,1),B141&lt;=Resumen!$C$5),1,0)</f>
        <v>0</v>
      </c>
      <c r="P141" s="48" t="n">
        <f aca="false">IF(AND(B141&gt;Resumen!$C$5,B141&lt;=DATE(2027,7,31)),1,0)</f>
        <v>0</v>
      </c>
    </row>
    <row r="142" customFormat="false" ht="15" hidden="false" customHeight="false" outlineLevel="0" collapsed="false">
      <c r="A142" s="38" t="n">
        <v>130</v>
      </c>
      <c r="B142" s="27" t="n">
        <v>48362</v>
      </c>
      <c r="C142" s="39" t="n">
        <v>2893846153.84615</v>
      </c>
      <c r="D142" s="39" t="n">
        <v>37197980.7692308</v>
      </c>
      <c r="E142" s="39" t="n">
        <v>0</v>
      </c>
      <c r="F142" s="39" t="n">
        <v>37197980.7692308</v>
      </c>
      <c r="G142" s="39" t="n">
        <v>2893846153.84615</v>
      </c>
      <c r="H142" s="33" t="n">
        <f aca="false">J141</f>
        <v>2893846153.84615</v>
      </c>
      <c r="I142" s="33" t="n">
        <f aca="false">H142*N142</f>
        <v>37197980.7692308</v>
      </c>
      <c r="J142" s="33" t="n">
        <f aca="false">H142-E142</f>
        <v>2893846153.84615</v>
      </c>
      <c r="K142" s="33" t="n">
        <f aca="false">D142-I142</f>
        <v>0</v>
      </c>
      <c r="L142" s="33" t="n">
        <f aca="false">G142-J142</f>
        <v>0</v>
      </c>
      <c r="M142" s="33" t="n">
        <f aca="false">F142</f>
        <v>37197980.7692308</v>
      </c>
      <c r="N142" s="64" t="n">
        <v>0.0128541666666667</v>
      </c>
      <c r="O142" s="48" t="n">
        <f aca="false">IF(AND(B142&gt;=DATE(2026,1,1),B142&lt;=Resumen!$C$5),1,0)</f>
        <v>0</v>
      </c>
      <c r="P142" s="48" t="n">
        <f aca="false">IF(AND(B142&gt;Resumen!$C$5,B142&lt;=DATE(2027,7,31)),1,0)</f>
        <v>0</v>
      </c>
    </row>
    <row r="143" customFormat="false" ht="15" hidden="false" customHeight="false" outlineLevel="0" collapsed="false">
      <c r="A143" s="38" t="n">
        <v>131</v>
      </c>
      <c r="B143" s="27" t="n">
        <v>48393</v>
      </c>
      <c r="C143" s="39" t="n">
        <v>2893846153.84615</v>
      </c>
      <c r="D143" s="39" t="n">
        <v>37197980.7692308</v>
      </c>
      <c r="E143" s="39" t="n">
        <v>0</v>
      </c>
      <c r="F143" s="39" t="n">
        <v>37197980.7692308</v>
      </c>
      <c r="G143" s="39" t="n">
        <v>2893846153.84615</v>
      </c>
      <c r="H143" s="33" t="n">
        <f aca="false">J142</f>
        <v>2893846153.84615</v>
      </c>
      <c r="I143" s="33" t="n">
        <f aca="false">H143*N143</f>
        <v>37197980.7692308</v>
      </c>
      <c r="J143" s="33" t="n">
        <f aca="false">H143-E143</f>
        <v>2893846153.84615</v>
      </c>
      <c r="K143" s="33" t="n">
        <f aca="false">D143-I143</f>
        <v>0</v>
      </c>
      <c r="L143" s="33" t="n">
        <f aca="false">G143-J143</f>
        <v>0</v>
      </c>
      <c r="M143" s="33" t="n">
        <f aca="false">F143</f>
        <v>37197980.7692308</v>
      </c>
      <c r="N143" s="64" t="n">
        <v>0.0128541666666667</v>
      </c>
      <c r="O143" s="48" t="n">
        <f aca="false">IF(AND(B143&gt;=DATE(2026,1,1),B143&lt;=Resumen!$C$5),1,0)</f>
        <v>0</v>
      </c>
      <c r="P143" s="48" t="n">
        <f aca="false">IF(AND(B143&gt;Resumen!$C$5,B143&lt;=DATE(2027,7,31)),1,0)</f>
        <v>0</v>
      </c>
    </row>
    <row r="144" customFormat="false" ht="15" hidden="false" customHeight="false" outlineLevel="0" collapsed="false">
      <c r="A144" s="38" t="n">
        <v>132</v>
      </c>
      <c r="B144" s="27" t="n">
        <v>48423</v>
      </c>
      <c r="C144" s="39" t="n">
        <v>2893846153.84615</v>
      </c>
      <c r="D144" s="39" t="n">
        <v>37197980.7692308</v>
      </c>
      <c r="E144" s="39" t="n">
        <v>152307692.307692</v>
      </c>
      <c r="F144" s="39" t="n">
        <v>189505673.076923</v>
      </c>
      <c r="G144" s="39" t="n">
        <v>2741538461.53846</v>
      </c>
      <c r="H144" s="33" t="n">
        <f aca="false">J143</f>
        <v>2893846153.84615</v>
      </c>
      <c r="I144" s="33" t="n">
        <f aca="false">H144*N144</f>
        <v>37197980.7692308</v>
      </c>
      <c r="J144" s="33" t="n">
        <f aca="false">H144-E144</f>
        <v>2741538461.53846</v>
      </c>
      <c r="K144" s="33" t="n">
        <f aca="false">D144-I144</f>
        <v>0</v>
      </c>
      <c r="L144" s="33" t="n">
        <f aca="false">G144-J144</f>
        <v>0</v>
      </c>
      <c r="M144" s="33" t="n">
        <f aca="false">F144</f>
        <v>189505673.076923</v>
      </c>
      <c r="N144" s="64" t="n">
        <v>0.0128541666666667</v>
      </c>
      <c r="O144" s="48" t="n">
        <f aca="false">IF(AND(B144&gt;=DATE(2026,1,1),B144&lt;=Resumen!$C$5),1,0)</f>
        <v>0</v>
      </c>
      <c r="P144" s="48" t="n">
        <f aca="false">IF(AND(B144&gt;Resumen!$C$5,B144&lt;=DATE(2027,7,31)),1,0)</f>
        <v>0</v>
      </c>
    </row>
    <row r="145" customFormat="false" ht="15" hidden="false" customHeight="false" outlineLevel="0" collapsed="false">
      <c r="A145" s="38" t="n">
        <v>133</v>
      </c>
      <c r="B145" s="27" t="n">
        <v>48454</v>
      </c>
      <c r="C145" s="39" t="n">
        <v>2741538461.53846</v>
      </c>
      <c r="D145" s="39" t="n">
        <v>35240192.3076923</v>
      </c>
      <c r="E145" s="39" t="n">
        <v>0</v>
      </c>
      <c r="F145" s="39" t="n">
        <v>35240192.3076923</v>
      </c>
      <c r="G145" s="39" t="n">
        <v>2741538461.53846</v>
      </c>
      <c r="H145" s="33" t="n">
        <f aca="false">J144</f>
        <v>2741538461.53846</v>
      </c>
      <c r="I145" s="33" t="n">
        <f aca="false">H145*N145</f>
        <v>35240192.3076923</v>
      </c>
      <c r="J145" s="33" t="n">
        <f aca="false">H145-E145</f>
        <v>2741538461.53846</v>
      </c>
      <c r="K145" s="33" t="n">
        <f aca="false">D145-I145</f>
        <v>0</v>
      </c>
      <c r="L145" s="33" t="n">
        <f aca="false">G145-J145</f>
        <v>0</v>
      </c>
      <c r="M145" s="33" t="n">
        <f aca="false">F145</f>
        <v>35240192.3076923</v>
      </c>
      <c r="N145" s="64" t="n">
        <v>0.0128541666666667</v>
      </c>
      <c r="O145" s="48" t="n">
        <f aca="false">IF(AND(B145&gt;=DATE(2026,1,1),B145&lt;=Resumen!$C$5),1,0)</f>
        <v>0</v>
      </c>
      <c r="P145" s="48" t="n">
        <f aca="false">IF(AND(B145&gt;Resumen!$C$5,B145&lt;=DATE(2027,7,31)),1,0)</f>
        <v>0</v>
      </c>
    </row>
    <row r="146" customFormat="false" ht="15" hidden="false" customHeight="false" outlineLevel="0" collapsed="false">
      <c r="A146" s="38" t="n">
        <v>134</v>
      </c>
      <c r="B146" s="27" t="n">
        <v>48485</v>
      </c>
      <c r="C146" s="39" t="n">
        <v>2741538461.53846</v>
      </c>
      <c r="D146" s="39" t="n">
        <v>35240192.3076923</v>
      </c>
      <c r="E146" s="39" t="n">
        <v>0</v>
      </c>
      <c r="F146" s="39" t="n">
        <v>35240192.3076923</v>
      </c>
      <c r="G146" s="39" t="n">
        <v>2741538461.53846</v>
      </c>
      <c r="H146" s="33" t="n">
        <f aca="false">J145</f>
        <v>2741538461.53846</v>
      </c>
      <c r="I146" s="33" t="n">
        <f aca="false">H146*N146</f>
        <v>35240192.3076923</v>
      </c>
      <c r="J146" s="33" t="n">
        <f aca="false">H146-E146</f>
        <v>2741538461.53846</v>
      </c>
      <c r="K146" s="33" t="n">
        <f aca="false">D146-I146</f>
        <v>0</v>
      </c>
      <c r="L146" s="33" t="n">
        <f aca="false">G146-J146</f>
        <v>0</v>
      </c>
      <c r="M146" s="33" t="n">
        <f aca="false">F146</f>
        <v>35240192.3076923</v>
      </c>
      <c r="N146" s="64" t="n">
        <v>0.0128541666666667</v>
      </c>
      <c r="O146" s="48" t="n">
        <f aca="false">IF(AND(B146&gt;=DATE(2026,1,1),B146&lt;=Resumen!$C$5),1,0)</f>
        <v>0</v>
      </c>
      <c r="P146" s="48" t="n">
        <f aca="false">IF(AND(B146&gt;Resumen!$C$5,B146&lt;=DATE(2027,7,31)),1,0)</f>
        <v>0</v>
      </c>
    </row>
    <row r="147" customFormat="false" ht="15" hidden="false" customHeight="false" outlineLevel="0" collapsed="false">
      <c r="A147" s="38" t="n">
        <v>135</v>
      </c>
      <c r="B147" s="27" t="n">
        <v>48515</v>
      </c>
      <c r="C147" s="39" t="n">
        <v>2741538461.53846</v>
      </c>
      <c r="D147" s="39" t="n">
        <v>35240192.3076923</v>
      </c>
      <c r="E147" s="39" t="n">
        <v>0</v>
      </c>
      <c r="F147" s="39" t="n">
        <v>35240192.3076923</v>
      </c>
      <c r="G147" s="39" t="n">
        <v>2741538461.53846</v>
      </c>
      <c r="H147" s="33" t="n">
        <f aca="false">J146</f>
        <v>2741538461.53846</v>
      </c>
      <c r="I147" s="33" t="n">
        <f aca="false">H147*N147</f>
        <v>35240192.3076923</v>
      </c>
      <c r="J147" s="33" t="n">
        <f aca="false">H147-E147</f>
        <v>2741538461.53846</v>
      </c>
      <c r="K147" s="33" t="n">
        <f aca="false">D147-I147</f>
        <v>0</v>
      </c>
      <c r="L147" s="33" t="n">
        <f aca="false">G147-J147</f>
        <v>0</v>
      </c>
      <c r="M147" s="33" t="n">
        <f aca="false">F147</f>
        <v>35240192.3076923</v>
      </c>
      <c r="N147" s="64" t="n">
        <v>0.0128541666666667</v>
      </c>
      <c r="O147" s="48" t="n">
        <f aca="false">IF(AND(B147&gt;=DATE(2026,1,1),B147&lt;=Resumen!$C$5),1,0)</f>
        <v>0</v>
      </c>
      <c r="P147" s="48" t="n">
        <f aca="false">IF(AND(B147&gt;Resumen!$C$5,B147&lt;=DATE(2027,7,31)),1,0)</f>
        <v>0</v>
      </c>
    </row>
    <row r="148" customFormat="false" ht="15" hidden="false" customHeight="false" outlineLevel="0" collapsed="false">
      <c r="A148" s="38" t="n">
        <v>136</v>
      </c>
      <c r="B148" s="27" t="n">
        <v>48546</v>
      </c>
      <c r="C148" s="39" t="n">
        <v>2741538461.53846</v>
      </c>
      <c r="D148" s="39" t="n">
        <v>35240192.3076923</v>
      </c>
      <c r="E148" s="39" t="n">
        <v>0</v>
      </c>
      <c r="F148" s="39" t="n">
        <v>35240192.3076923</v>
      </c>
      <c r="G148" s="39" t="n">
        <v>2741538461.53846</v>
      </c>
      <c r="H148" s="33" t="n">
        <f aca="false">J147</f>
        <v>2741538461.53846</v>
      </c>
      <c r="I148" s="33" t="n">
        <f aca="false">H148*N148</f>
        <v>35240192.3076923</v>
      </c>
      <c r="J148" s="33" t="n">
        <f aca="false">H148-E148</f>
        <v>2741538461.53846</v>
      </c>
      <c r="K148" s="33" t="n">
        <f aca="false">D148-I148</f>
        <v>0</v>
      </c>
      <c r="L148" s="33" t="n">
        <f aca="false">G148-J148</f>
        <v>0</v>
      </c>
      <c r="M148" s="33" t="n">
        <f aca="false">F148</f>
        <v>35240192.3076923</v>
      </c>
      <c r="N148" s="64" t="n">
        <v>0.0128541666666667</v>
      </c>
      <c r="O148" s="48" t="n">
        <f aca="false">IF(AND(B148&gt;=DATE(2026,1,1),B148&lt;=Resumen!$C$5),1,0)</f>
        <v>0</v>
      </c>
      <c r="P148" s="48" t="n">
        <f aca="false">IF(AND(B148&gt;Resumen!$C$5,B148&lt;=DATE(2027,7,31)),1,0)</f>
        <v>0</v>
      </c>
    </row>
    <row r="149" customFormat="false" ht="15" hidden="false" customHeight="false" outlineLevel="0" collapsed="false">
      <c r="A149" s="38" t="n">
        <v>137</v>
      </c>
      <c r="B149" s="27" t="n">
        <v>48576</v>
      </c>
      <c r="C149" s="39" t="n">
        <v>2741538461.53846</v>
      </c>
      <c r="D149" s="39" t="n">
        <v>35240192.3076923</v>
      </c>
      <c r="E149" s="39" t="n">
        <v>0</v>
      </c>
      <c r="F149" s="39" t="n">
        <v>35240192.3076923</v>
      </c>
      <c r="G149" s="39" t="n">
        <v>2741538461.53846</v>
      </c>
      <c r="H149" s="33" t="n">
        <f aca="false">J148</f>
        <v>2741538461.53846</v>
      </c>
      <c r="I149" s="33" t="n">
        <f aca="false">H149*N149</f>
        <v>35240192.3076923</v>
      </c>
      <c r="J149" s="33" t="n">
        <f aca="false">H149-E149</f>
        <v>2741538461.53846</v>
      </c>
      <c r="K149" s="33" t="n">
        <f aca="false">D149-I149</f>
        <v>0</v>
      </c>
      <c r="L149" s="33" t="n">
        <f aca="false">G149-J149</f>
        <v>0</v>
      </c>
      <c r="M149" s="33" t="n">
        <f aca="false">F149</f>
        <v>35240192.3076923</v>
      </c>
      <c r="N149" s="64" t="n">
        <v>0.0128541666666667</v>
      </c>
      <c r="O149" s="48" t="n">
        <f aca="false">IF(AND(B149&gt;=DATE(2026,1,1),B149&lt;=Resumen!$C$5),1,0)</f>
        <v>0</v>
      </c>
      <c r="P149" s="48" t="n">
        <f aca="false">IF(AND(B149&gt;Resumen!$C$5,B149&lt;=DATE(2027,7,31)),1,0)</f>
        <v>0</v>
      </c>
    </row>
    <row r="150" customFormat="false" ht="15" hidden="false" customHeight="false" outlineLevel="0" collapsed="false">
      <c r="A150" s="38" t="n">
        <v>138</v>
      </c>
      <c r="B150" s="27" t="n">
        <v>48607</v>
      </c>
      <c r="C150" s="39" t="n">
        <v>2741538461.53846</v>
      </c>
      <c r="D150" s="39" t="n">
        <v>35240192.3076923</v>
      </c>
      <c r="E150" s="39" t="n">
        <v>152307692.307692</v>
      </c>
      <c r="F150" s="39" t="n">
        <v>187547884.615385</v>
      </c>
      <c r="G150" s="39" t="n">
        <v>2589230769.23077</v>
      </c>
      <c r="H150" s="33" t="n">
        <f aca="false">J149</f>
        <v>2741538461.53846</v>
      </c>
      <c r="I150" s="33" t="n">
        <f aca="false">H150*N150</f>
        <v>35240192.3076923</v>
      </c>
      <c r="J150" s="33" t="n">
        <f aca="false">H150-E150</f>
        <v>2589230769.23077</v>
      </c>
      <c r="K150" s="33" t="n">
        <f aca="false">D150-I150</f>
        <v>0</v>
      </c>
      <c r="L150" s="33" t="n">
        <f aca="false">G150-J150</f>
        <v>0</v>
      </c>
      <c r="M150" s="33" t="n">
        <f aca="false">F150</f>
        <v>187547884.615385</v>
      </c>
      <c r="N150" s="64" t="n">
        <v>0.0128541666666667</v>
      </c>
      <c r="O150" s="48" t="n">
        <f aca="false">IF(AND(B150&gt;=DATE(2026,1,1),B150&lt;=Resumen!$C$5),1,0)</f>
        <v>0</v>
      </c>
      <c r="P150" s="48" t="n">
        <f aca="false">IF(AND(B150&gt;Resumen!$C$5,B150&lt;=DATE(2027,7,31)),1,0)</f>
        <v>0</v>
      </c>
    </row>
    <row r="151" customFormat="false" ht="15" hidden="false" customHeight="false" outlineLevel="0" collapsed="false">
      <c r="A151" s="38" t="n">
        <v>139</v>
      </c>
      <c r="B151" s="27" t="n">
        <v>48638</v>
      </c>
      <c r="C151" s="39" t="n">
        <v>2589230769.23077</v>
      </c>
      <c r="D151" s="39" t="n">
        <v>33282403.8461538</v>
      </c>
      <c r="E151" s="39" t="n">
        <v>0</v>
      </c>
      <c r="F151" s="39" t="n">
        <v>33282403.8461538</v>
      </c>
      <c r="G151" s="39" t="n">
        <v>2589230769.23077</v>
      </c>
      <c r="H151" s="33" t="n">
        <f aca="false">J150</f>
        <v>2589230769.23077</v>
      </c>
      <c r="I151" s="33" t="n">
        <f aca="false">H151*N151</f>
        <v>33282403.8461538</v>
      </c>
      <c r="J151" s="33" t="n">
        <f aca="false">H151-E151</f>
        <v>2589230769.23077</v>
      </c>
      <c r="K151" s="33" t="n">
        <f aca="false">D151-I151</f>
        <v>0</v>
      </c>
      <c r="L151" s="33" t="n">
        <f aca="false">G151-J151</f>
        <v>0</v>
      </c>
      <c r="M151" s="33" t="n">
        <f aca="false">F151</f>
        <v>33282403.8461538</v>
      </c>
      <c r="N151" s="64" t="n">
        <v>0.0128541666666667</v>
      </c>
      <c r="O151" s="48" t="n">
        <f aca="false">IF(AND(B151&gt;=DATE(2026,1,1),B151&lt;=Resumen!$C$5),1,0)</f>
        <v>0</v>
      </c>
      <c r="P151" s="48" t="n">
        <f aca="false">IF(AND(B151&gt;Resumen!$C$5,B151&lt;=DATE(2027,7,31)),1,0)</f>
        <v>0</v>
      </c>
    </row>
    <row r="152" customFormat="false" ht="15" hidden="false" customHeight="false" outlineLevel="0" collapsed="false">
      <c r="A152" s="38" t="n">
        <v>140</v>
      </c>
      <c r="B152" s="27" t="n">
        <v>48666</v>
      </c>
      <c r="C152" s="39" t="n">
        <v>2589230769.23077</v>
      </c>
      <c r="D152" s="39" t="n">
        <v>33282403.8461538</v>
      </c>
      <c r="E152" s="39" t="n">
        <v>0</v>
      </c>
      <c r="F152" s="39" t="n">
        <v>33282403.8461538</v>
      </c>
      <c r="G152" s="39" t="n">
        <v>2589230769.23077</v>
      </c>
      <c r="H152" s="33" t="n">
        <f aca="false">J151</f>
        <v>2589230769.23077</v>
      </c>
      <c r="I152" s="33" t="n">
        <f aca="false">H152*N152</f>
        <v>33282403.8461538</v>
      </c>
      <c r="J152" s="33" t="n">
        <f aca="false">H152-E152</f>
        <v>2589230769.23077</v>
      </c>
      <c r="K152" s="33" t="n">
        <f aca="false">D152-I152</f>
        <v>0</v>
      </c>
      <c r="L152" s="33" t="n">
        <f aca="false">G152-J152</f>
        <v>0</v>
      </c>
      <c r="M152" s="33" t="n">
        <f aca="false">F152</f>
        <v>33282403.8461538</v>
      </c>
      <c r="N152" s="64" t="n">
        <v>0.0128541666666667</v>
      </c>
      <c r="O152" s="48" t="n">
        <f aca="false">IF(AND(B152&gt;=DATE(2026,1,1),B152&lt;=Resumen!$C$5),1,0)</f>
        <v>0</v>
      </c>
      <c r="P152" s="48" t="n">
        <f aca="false">IF(AND(B152&gt;Resumen!$C$5,B152&lt;=DATE(2027,7,31)),1,0)</f>
        <v>0</v>
      </c>
    </row>
    <row r="153" customFormat="false" ht="15" hidden="false" customHeight="false" outlineLevel="0" collapsed="false">
      <c r="A153" s="38" t="n">
        <v>141</v>
      </c>
      <c r="B153" s="27" t="n">
        <v>48697</v>
      </c>
      <c r="C153" s="39" t="n">
        <v>2589230769.23077</v>
      </c>
      <c r="D153" s="39" t="n">
        <v>33282403.8461538</v>
      </c>
      <c r="E153" s="39" t="n">
        <v>0</v>
      </c>
      <c r="F153" s="39" t="n">
        <v>33282403.8461538</v>
      </c>
      <c r="G153" s="39" t="n">
        <v>2589230769.23077</v>
      </c>
      <c r="H153" s="33" t="n">
        <f aca="false">J152</f>
        <v>2589230769.23077</v>
      </c>
      <c r="I153" s="33" t="n">
        <f aca="false">H153*N153</f>
        <v>33282403.8461538</v>
      </c>
      <c r="J153" s="33" t="n">
        <f aca="false">H153-E153</f>
        <v>2589230769.23077</v>
      </c>
      <c r="K153" s="33" t="n">
        <f aca="false">D153-I153</f>
        <v>0</v>
      </c>
      <c r="L153" s="33" t="n">
        <f aca="false">G153-J153</f>
        <v>0</v>
      </c>
      <c r="M153" s="33" t="n">
        <f aca="false">F153</f>
        <v>33282403.8461538</v>
      </c>
      <c r="N153" s="64" t="n">
        <v>0.0128541666666667</v>
      </c>
      <c r="O153" s="48" t="n">
        <f aca="false">IF(AND(B153&gt;=DATE(2026,1,1),B153&lt;=Resumen!$C$5),1,0)</f>
        <v>0</v>
      </c>
      <c r="P153" s="48" t="n">
        <f aca="false">IF(AND(B153&gt;Resumen!$C$5,B153&lt;=DATE(2027,7,31)),1,0)</f>
        <v>0</v>
      </c>
    </row>
    <row r="154" customFormat="false" ht="15" hidden="false" customHeight="false" outlineLevel="0" collapsed="false">
      <c r="A154" s="38" t="n">
        <v>142</v>
      </c>
      <c r="B154" s="27" t="n">
        <v>48727</v>
      </c>
      <c r="C154" s="39" t="n">
        <v>2589230769.23077</v>
      </c>
      <c r="D154" s="39" t="n">
        <v>33282403.8461538</v>
      </c>
      <c r="E154" s="39" t="n">
        <v>0</v>
      </c>
      <c r="F154" s="39" t="n">
        <v>33282403.8461538</v>
      </c>
      <c r="G154" s="39" t="n">
        <v>2589230769.23077</v>
      </c>
      <c r="H154" s="33" t="n">
        <f aca="false">J153</f>
        <v>2589230769.23077</v>
      </c>
      <c r="I154" s="33" t="n">
        <f aca="false">H154*N154</f>
        <v>33282403.8461538</v>
      </c>
      <c r="J154" s="33" t="n">
        <f aca="false">H154-E154</f>
        <v>2589230769.23077</v>
      </c>
      <c r="K154" s="33" t="n">
        <f aca="false">D154-I154</f>
        <v>0</v>
      </c>
      <c r="L154" s="33" t="n">
        <f aca="false">G154-J154</f>
        <v>0</v>
      </c>
      <c r="M154" s="33" t="n">
        <f aca="false">F154</f>
        <v>33282403.8461538</v>
      </c>
      <c r="N154" s="64" t="n">
        <v>0.0128541666666667</v>
      </c>
      <c r="O154" s="48" t="n">
        <f aca="false">IF(AND(B154&gt;=DATE(2026,1,1),B154&lt;=Resumen!$C$5),1,0)</f>
        <v>0</v>
      </c>
      <c r="P154" s="48" t="n">
        <f aca="false">IF(AND(B154&gt;Resumen!$C$5,B154&lt;=DATE(2027,7,31)),1,0)</f>
        <v>0</v>
      </c>
    </row>
    <row r="155" customFormat="false" ht="15" hidden="false" customHeight="false" outlineLevel="0" collapsed="false">
      <c r="A155" s="38" t="n">
        <v>143</v>
      </c>
      <c r="B155" s="27" t="n">
        <v>48758</v>
      </c>
      <c r="C155" s="39" t="n">
        <v>2589230769.23077</v>
      </c>
      <c r="D155" s="39" t="n">
        <v>33282403.8461538</v>
      </c>
      <c r="E155" s="39" t="n">
        <v>0</v>
      </c>
      <c r="F155" s="39" t="n">
        <v>33282403.8461538</v>
      </c>
      <c r="G155" s="39" t="n">
        <v>2589230769.23077</v>
      </c>
      <c r="H155" s="33" t="n">
        <f aca="false">J154</f>
        <v>2589230769.23077</v>
      </c>
      <c r="I155" s="33" t="n">
        <f aca="false">H155*N155</f>
        <v>33282403.8461538</v>
      </c>
      <c r="J155" s="33" t="n">
        <f aca="false">H155-E155</f>
        <v>2589230769.23077</v>
      </c>
      <c r="K155" s="33" t="n">
        <f aca="false">D155-I155</f>
        <v>0</v>
      </c>
      <c r="L155" s="33" t="n">
        <f aca="false">G155-J155</f>
        <v>0</v>
      </c>
      <c r="M155" s="33" t="n">
        <f aca="false">F155</f>
        <v>33282403.8461538</v>
      </c>
      <c r="N155" s="64" t="n">
        <v>0.0128541666666667</v>
      </c>
      <c r="O155" s="48" t="n">
        <f aca="false">IF(AND(B155&gt;=DATE(2026,1,1),B155&lt;=Resumen!$C$5),1,0)</f>
        <v>0</v>
      </c>
      <c r="P155" s="48" t="n">
        <f aca="false">IF(AND(B155&gt;Resumen!$C$5,B155&lt;=DATE(2027,7,31)),1,0)</f>
        <v>0</v>
      </c>
    </row>
    <row r="156" customFormat="false" ht="15" hidden="false" customHeight="false" outlineLevel="0" collapsed="false">
      <c r="A156" s="38" t="n">
        <v>144</v>
      </c>
      <c r="B156" s="27" t="n">
        <v>48788</v>
      </c>
      <c r="C156" s="39" t="n">
        <v>2589230769.23077</v>
      </c>
      <c r="D156" s="39" t="n">
        <v>33282403.8461538</v>
      </c>
      <c r="E156" s="39" t="n">
        <v>152307692.307692</v>
      </c>
      <c r="F156" s="39" t="n">
        <v>185590096.153846</v>
      </c>
      <c r="G156" s="39" t="n">
        <v>2436923076.92308</v>
      </c>
      <c r="H156" s="33" t="n">
        <f aca="false">J155</f>
        <v>2589230769.23077</v>
      </c>
      <c r="I156" s="33" t="n">
        <f aca="false">H156*N156</f>
        <v>33282403.8461538</v>
      </c>
      <c r="J156" s="33" t="n">
        <f aca="false">H156-E156</f>
        <v>2436923076.92307</v>
      </c>
      <c r="K156" s="33" t="n">
        <f aca="false">D156-I156</f>
        <v>0</v>
      </c>
      <c r="L156" s="33" t="n">
        <f aca="false">G156-J156</f>
        <v>0</v>
      </c>
      <c r="M156" s="33" t="n">
        <f aca="false">F156</f>
        <v>185590096.153846</v>
      </c>
      <c r="N156" s="64" t="n">
        <v>0.0128541666666667</v>
      </c>
      <c r="O156" s="48" t="n">
        <f aca="false">IF(AND(B156&gt;=DATE(2026,1,1),B156&lt;=Resumen!$C$5),1,0)</f>
        <v>0</v>
      </c>
      <c r="P156" s="48" t="n">
        <f aca="false">IF(AND(B156&gt;Resumen!$C$5,B156&lt;=DATE(2027,7,31)),1,0)</f>
        <v>0</v>
      </c>
    </row>
    <row r="157" customFormat="false" ht="15" hidden="false" customHeight="false" outlineLevel="0" collapsed="false">
      <c r="A157" s="38" t="n">
        <v>145</v>
      </c>
      <c r="B157" s="27" t="n">
        <v>48819</v>
      </c>
      <c r="C157" s="39" t="n">
        <v>2436923076.92308</v>
      </c>
      <c r="D157" s="39" t="n">
        <v>31324615.3846154</v>
      </c>
      <c r="E157" s="39" t="n">
        <v>0</v>
      </c>
      <c r="F157" s="39" t="n">
        <v>31324615.3846154</v>
      </c>
      <c r="G157" s="39" t="n">
        <v>2436923076.92308</v>
      </c>
      <c r="H157" s="33" t="n">
        <f aca="false">J156</f>
        <v>2436923076.92307</v>
      </c>
      <c r="I157" s="33" t="n">
        <f aca="false">H157*N157</f>
        <v>31324615.3846154</v>
      </c>
      <c r="J157" s="33" t="n">
        <f aca="false">H157-E157</f>
        <v>2436923076.92307</v>
      </c>
      <c r="K157" s="33" t="n">
        <f aca="false">D157-I157</f>
        <v>0</v>
      </c>
      <c r="L157" s="33" t="n">
        <f aca="false">G157-J157</f>
        <v>0</v>
      </c>
      <c r="M157" s="33" t="n">
        <f aca="false">F157</f>
        <v>31324615.3846154</v>
      </c>
      <c r="N157" s="64" t="n">
        <v>0.0128541666666667</v>
      </c>
      <c r="O157" s="48" t="n">
        <f aca="false">IF(AND(B157&gt;=DATE(2026,1,1),B157&lt;=Resumen!$C$5),1,0)</f>
        <v>0</v>
      </c>
      <c r="P157" s="48" t="n">
        <f aca="false">IF(AND(B157&gt;Resumen!$C$5,B157&lt;=DATE(2027,7,31)),1,0)</f>
        <v>0</v>
      </c>
    </row>
    <row r="158" customFormat="false" ht="15" hidden="false" customHeight="false" outlineLevel="0" collapsed="false">
      <c r="A158" s="38" t="n">
        <v>146</v>
      </c>
      <c r="B158" s="27" t="n">
        <v>48850</v>
      </c>
      <c r="C158" s="39" t="n">
        <v>2436923076.92308</v>
      </c>
      <c r="D158" s="39" t="n">
        <v>31324615.3846154</v>
      </c>
      <c r="E158" s="39" t="n">
        <v>0</v>
      </c>
      <c r="F158" s="39" t="n">
        <v>31324615.3846154</v>
      </c>
      <c r="G158" s="39" t="n">
        <v>2436923076.92308</v>
      </c>
      <c r="H158" s="33" t="n">
        <f aca="false">J157</f>
        <v>2436923076.92307</v>
      </c>
      <c r="I158" s="33" t="n">
        <f aca="false">H158*N158</f>
        <v>31324615.3846154</v>
      </c>
      <c r="J158" s="33" t="n">
        <f aca="false">H158-E158</f>
        <v>2436923076.92307</v>
      </c>
      <c r="K158" s="33" t="n">
        <f aca="false">D158-I158</f>
        <v>0</v>
      </c>
      <c r="L158" s="33" t="n">
        <f aca="false">G158-J158</f>
        <v>0</v>
      </c>
      <c r="M158" s="33" t="n">
        <f aca="false">F158</f>
        <v>31324615.3846154</v>
      </c>
      <c r="N158" s="64" t="n">
        <v>0.0128541666666667</v>
      </c>
      <c r="O158" s="48" t="n">
        <f aca="false">IF(AND(B158&gt;=DATE(2026,1,1),B158&lt;=Resumen!$C$5),1,0)</f>
        <v>0</v>
      </c>
      <c r="P158" s="48" t="n">
        <f aca="false">IF(AND(B158&gt;Resumen!$C$5,B158&lt;=DATE(2027,7,31)),1,0)</f>
        <v>0</v>
      </c>
    </row>
    <row r="159" customFormat="false" ht="15" hidden="false" customHeight="false" outlineLevel="0" collapsed="false">
      <c r="A159" s="38" t="n">
        <v>147</v>
      </c>
      <c r="B159" s="27" t="n">
        <v>48880</v>
      </c>
      <c r="C159" s="39" t="n">
        <v>2436923076.92308</v>
      </c>
      <c r="D159" s="39" t="n">
        <v>31324615.3846154</v>
      </c>
      <c r="E159" s="39" t="n">
        <v>0</v>
      </c>
      <c r="F159" s="39" t="n">
        <v>31324615.3846154</v>
      </c>
      <c r="G159" s="39" t="n">
        <v>2436923076.92308</v>
      </c>
      <c r="H159" s="33" t="n">
        <f aca="false">J158</f>
        <v>2436923076.92307</v>
      </c>
      <c r="I159" s="33" t="n">
        <f aca="false">H159*N159</f>
        <v>31324615.3846154</v>
      </c>
      <c r="J159" s="33" t="n">
        <f aca="false">H159-E159</f>
        <v>2436923076.92307</v>
      </c>
      <c r="K159" s="33" t="n">
        <f aca="false">D159-I159</f>
        <v>0</v>
      </c>
      <c r="L159" s="33" t="n">
        <f aca="false">G159-J159</f>
        <v>0</v>
      </c>
      <c r="M159" s="33" t="n">
        <f aca="false">F159</f>
        <v>31324615.3846154</v>
      </c>
      <c r="N159" s="64" t="n">
        <v>0.0128541666666667</v>
      </c>
      <c r="O159" s="48" t="n">
        <f aca="false">IF(AND(B159&gt;=DATE(2026,1,1),B159&lt;=Resumen!$C$5),1,0)</f>
        <v>0</v>
      </c>
      <c r="P159" s="48" t="n">
        <f aca="false">IF(AND(B159&gt;Resumen!$C$5,B159&lt;=DATE(2027,7,31)),1,0)</f>
        <v>0</v>
      </c>
    </row>
    <row r="160" customFormat="false" ht="15" hidden="false" customHeight="false" outlineLevel="0" collapsed="false">
      <c r="A160" s="38" t="n">
        <v>148</v>
      </c>
      <c r="B160" s="27" t="n">
        <v>48911</v>
      </c>
      <c r="C160" s="39" t="n">
        <v>2436923076.92308</v>
      </c>
      <c r="D160" s="39" t="n">
        <v>31324615.3846154</v>
      </c>
      <c r="E160" s="39" t="n">
        <v>0</v>
      </c>
      <c r="F160" s="39" t="n">
        <v>31324615.3846154</v>
      </c>
      <c r="G160" s="39" t="n">
        <v>2436923076.92308</v>
      </c>
      <c r="H160" s="33" t="n">
        <f aca="false">J159</f>
        <v>2436923076.92307</v>
      </c>
      <c r="I160" s="33" t="n">
        <f aca="false">H160*N160</f>
        <v>31324615.3846154</v>
      </c>
      <c r="J160" s="33" t="n">
        <f aca="false">H160-E160</f>
        <v>2436923076.92307</v>
      </c>
      <c r="K160" s="33" t="n">
        <f aca="false">D160-I160</f>
        <v>0</v>
      </c>
      <c r="L160" s="33" t="n">
        <f aca="false">G160-J160</f>
        <v>0</v>
      </c>
      <c r="M160" s="33" t="n">
        <f aca="false">F160</f>
        <v>31324615.3846154</v>
      </c>
      <c r="N160" s="64" t="n">
        <v>0.0128541666666667</v>
      </c>
      <c r="O160" s="48" t="n">
        <f aca="false">IF(AND(B160&gt;=DATE(2026,1,1),B160&lt;=Resumen!$C$5),1,0)</f>
        <v>0</v>
      </c>
      <c r="P160" s="48" t="n">
        <f aca="false">IF(AND(B160&gt;Resumen!$C$5,B160&lt;=DATE(2027,7,31)),1,0)</f>
        <v>0</v>
      </c>
    </row>
    <row r="161" customFormat="false" ht="15" hidden="false" customHeight="false" outlineLevel="0" collapsed="false">
      <c r="A161" s="38" t="n">
        <v>149</v>
      </c>
      <c r="B161" s="27" t="n">
        <v>48941</v>
      </c>
      <c r="C161" s="39" t="n">
        <v>2436923076.92308</v>
      </c>
      <c r="D161" s="39" t="n">
        <v>31324615.3846154</v>
      </c>
      <c r="E161" s="39" t="n">
        <v>0</v>
      </c>
      <c r="F161" s="39" t="n">
        <v>31324615.3846154</v>
      </c>
      <c r="G161" s="39" t="n">
        <v>2436923076.92308</v>
      </c>
      <c r="H161" s="33" t="n">
        <f aca="false">J160</f>
        <v>2436923076.92307</v>
      </c>
      <c r="I161" s="33" t="n">
        <f aca="false">H161*N161</f>
        <v>31324615.3846154</v>
      </c>
      <c r="J161" s="33" t="n">
        <f aca="false">H161-E161</f>
        <v>2436923076.92307</v>
      </c>
      <c r="K161" s="33" t="n">
        <f aca="false">D161-I161</f>
        <v>0</v>
      </c>
      <c r="L161" s="33" t="n">
        <f aca="false">G161-J161</f>
        <v>0</v>
      </c>
      <c r="M161" s="33" t="n">
        <f aca="false">F161</f>
        <v>31324615.3846154</v>
      </c>
      <c r="N161" s="64" t="n">
        <v>0.0128541666666667</v>
      </c>
      <c r="O161" s="48" t="n">
        <f aca="false">IF(AND(B161&gt;=DATE(2026,1,1),B161&lt;=Resumen!$C$5),1,0)</f>
        <v>0</v>
      </c>
      <c r="P161" s="48" t="n">
        <f aca="false">IF(AND(B161&gt;Resumen!$C$5,B161&lt;=DATE(2027,7,31)),1,0)</f>
        <v>0</v>
      </c>
    </row>
    <row r="162" customFormat="false" ht="15" hidden="false" customHeight="false" outlineLevel="0" collapsed="false">
      <c r="A162" s="38" t="n">
        <v>150</v>
      </c>
      <c r="B162" s="27" t="n">
        <v>48972</v>
      </c>
      <c r="C162" s="39" t="n">
        <v>2436923076.92308</v>
      </c>
      <c r="D162" s="39" t="n">
        <v>31324615.3846154</v>
      </c>
      <c r="E162" s="39" t="n">
        <v>152307692.307692</v>
      </c>
      <c r="F162" s="39" t="n">
        <v>183632307.692308</v>
      </c>
      <c r="G162" s="39" t="n">
        <v>2284615384.61538</v>
      </c>
      <c r="H162" s="33" t="n">
        <f aca="false">J161</f>
        <v>2436923076.92307</v>
      </c>
      <c r="I162" s="33" t="n">
        <f aca="false">H162*N162</f>
        <v>31324615.3846154</v>
      </c>
      <c r="J162" s="33" t="n">
        <f aca="false">H162-E162</f>
        <v>2284615384.61538</v>
      </c>
      <c r="K162" s="33" t="n">
        <f aca="false">D162-I162</f>
        <v>0</v>
      </c>
      <c r="L162" s="33" t="n">
        <f aca="false">G162-J162</f>
        <v>0</v>
      </c>
      <c r="M162" s="33" t="n">
        <f aca="false">F162</f>
        <v>183632307.692308</v>
      </c>
      <c r="N162" s="64" t="n">
        <v>0.0128541666666667</v>
      </c>
      <c r="O162" s="48" t="n">
        <f aca="false">IF(AND(B162&gt;=DATE(2026,1,1),B162&lt;=Resumen!$C$5),1,0)</f>
        <v>0</v>
      </c>
      <c r="P162" s="48" t="n">
        <f aca="false">IF(AND(B162&gt;Resumen!$C$5,B162&lt;=DATE(2027,7,31)),1,0)</f>
        <v>0</v>
      </c>
    </row>
    <row r="163" customFormat="false" ht="15" hidden="false" customHeight="false" outlineLevel="0" collapsed="false">
      <c r="A163" s="38" t="n">
        <v>151</v>
      </c>
      <c r="B163" s="27" t="n">
        <v>49003</v>
      </c>
      <c r="C163" s="39" t="n">
        <v>2284615384.61538</v>
      </c>
      <c r="D163" s="39" t="n">
        <v>29366826.9230769</v>
      </c>
      <c r="E163" s="39" t="n">
        <v>0</v>
      </c>
      <c r="F163" s="39" t="n">
        <v>29366826.9230769</v>
      </c>
      <c r="G163" s="39" t="n">
        <v>2284615384.61538</v>
      </c>
      <c r="H163" s="33" t="n">
        <f aca="false">J162</f>
        <v>2284615384.61538</v>
      </c>
      <c r="I163" s="33" t="n">
        <f aca="false">H163*N163</f>
        <v>29366826.9230769</v>
      </c>
      <c r="J163" s="33" t="n">
        <f aca="false">H163-E163</f>
        <v>2284615384.61538</v>
      </c>
      <c r="K163" s="33" t="n">
        <f aca="false">D163-I163</f>
        <v>0</v>
      </c>
      <c r="L163" s="33" t="n">
        <f aca="false">G163-J163</f>
        <v>0</v>
      </c>
      <c r="M163" s="33" t="n">
        <f aca="false">F163</f>
        <v>29366826.9230769</v>
      </c>
      <c r="N163" s="64" t="n">
        <v>0.0128541666666667</v>
      </c>
      <c r="O163" s="48" t="n">
        <f aca="false">IF(AND(B163&gt;=DATE(2026,1,1),B163&lt;=Resumen!$C$5),1,0)</f>
        <v>0</v>
      </c>
      <c r="P163" s="48" t="n">
        <f aca="false">IF(AND(B163&gt;Resumen!$C$5,B163&lt;=DATE(2027,7,31)),1,0)</f>
        <v>0</v>
      </c>
    </row>
    <row r="164" customFormat="false" ht="15" hidden="false" customHeight="false" outlineLevel="0" collapsed="false">
      <c r="A164" s="38" t="n">
        <v>152</v>
      </c>
      <c r="B164" s="27" t="n">
        <v>49031</v>
      </c>
      <c r="C164" s="39" t="n">
        <v>2284615384.61538</v>
      </c>
      <c r="D164" s="39" t="n">
        <v>29366826.9230769</v>
      </c>
      <c r="E164" s="39" t="n">
        <v>0</v>
      </c>
      <c r="F164" s="39" t="n">
        <v>29366826.9230769</v>
      </c>
      <c r="G164" s="39" t="n">
        <v>2284615384.61538</v>
      </c>
      <c r="H164" s="33" t="n">
        <f aca="false">J163</f>
        <v>2284615384.61538</v>
      </c>
      <c r="I164" s="33" t="n">
        <f aca="false">H164*N164</f>
        <v>29366826.9230769</v>
      </c>
      <c r="J164" s="33" t="n">
        <f aca="false">H164-E164</f>
        <v>2284615384.61538</v>
      </c>
      <c r="K164" s="33" t="n">
        <f aca="false">D164-I164</f>
        <v>0</v>
      </c>
      <c r="L164" s="33" t="n">
        <f aca="false">G164-J164</f>
        <v>0</v>
      </c>
      <c r="M164" s="33" t="n">
        <f aca="false">F164</f>
        <v>29366826.9230769</v>
      </c>
      <c r="N164" s="64" t="n">
        <v>0.0128541666666667</v>
      </c>
      <c r="O164" s="48" t="n">
        <f aca="false">IF(AND(B164&gt;=DATE(2026,1,1),B164&lt;=Resumen!$C$5),1,0)</f>
        <v>0</v>
      </c>
      <c r="P164" s="48" t="n">
        <f aca="false">IF(AND(B164&gt;Resumen!$C$5,B164&lt;=DATE(2027,7,31)),1,0)</f>
        <v>0</v>
      </c>
    </row>
    <row r="165" customFormat="false" ht="15" hidden="false" customHeight="false" outlineLevel="0" collapsed="false">
      <c r="A165" s="38" t="n">
        <v>153</v>
      </c>
      <c r="B165" s="27" t="n">
        <v>49062</v>
      </c>
      <c r="C165" s="39" t="n">
        <v>2284615384.61538</v>
      </c>
      <c r="D165" s="39" t="n">
        <v>29366826.9230769</v>
      </c>
      <c r="E165" s="39" t="n">
        <v>0</v>
      </c>
      <c r="F165" s="39" t="n">
        <v>29366826.9230769</v>
      </c>
      <c r="G165" s="39" t="n">
        <v>2284615384.61538</v>
      </c>
      <c r="H165" s="33" t="n">
        <f aca="false">J164</f>
        <v>2284615384.61538</v>
      </c>
      <c r="I165" s="33" t="n">
        <f aca="false">H165*N165</f>
        <v>29366826.9230769</v>
      </c>
      <c r="J165" s="33" t="n">
        <f aca="false">H165-E165</f>
        <v>2284615384.61538</v>
      </c>
      <c r="K165" s="33" t="n">
        <f aca="false">D165-I165</f>
        <v>0</v>
      </c>
      <c r="L165" s="33" t="n">
        <f aca="false">G165-J165</f>
        <v>0</v>
      </c>
      <c r="M165" s="33" t="n">
        <f aca="false">F165</f>
        <v>29366826.9230769</v>
      </c>
      <c r="N165" s="64" t="n">
        <v>0.0128541666666667</v>
      </c>
      <c r="O165" s="48" t="n">
        <f aca="false">IF(AND(B165&gt;=DATE(2026,1,1),B165&lt;=Resumen!$C$5),1,0)</f>
        <v>0</v>
      </c>
      <c r="P165" s="48" t="n">
        <f aca="false">IF(AND(B165&gt;Resumen!$C$5,B165&lt;=DATE(2027,7,31)),1,0)</f>
        <v>0</v>
      </c>
    </row>
    <row r="166" customFormat="false" ht="15" hidden="false" customHeight="false" outlineLevel="0" collapsed="false">
      <c r="A166" s="38" t="n">
        <v>154</v>
      </c>
      <c r="B166" s="27" t="n">
        <v>49092</v>
      </c>
      <c r="C166" s="39" t="n">
        <v>2284615384.61538</v>
      </c>
      <c r="D166" s="39" t="n">
        <v>29366826.9230769</v>
      </c>
      <c r="E166" s="39" t="n">
        <v>0</v>
      </c>
      <c r="F166" s="39" t="n">
        <v>29366826.9230769</v>
      </c>
      <c r="G166" s="39" t="n">
        <v>2284615384.61538</v>
      </c>
      <c r="H166" s="33" t="n">
        <f aca="false">J165</f>
        <v>2284615384.61538</v>
      </c>
      <c r="I166" s="33" t="n">
        <f aca="false">H166*N166</f>
        <v>29366826.9230769</v>
      </c>
      <c r="J166" s="33" t="n">
        <f aca="false">H166-E166</f>
        <v>2284615384.61538</v>
      </c>
      <c r="K166" s="33" t="n">
        <f aca="false">D166-I166</f>
        <v>0</v>
      </c>
      <c r="L166" s="33" t="n">
        <f aca="false">G166-J166</f>
        <v>0</v>
      </c>
      <c r="M166" s="33" t="n">
        <f aca="false">F166</f>
        <v>29366826.9230769</v>
      </c>
      <c r="N166" s="64" t="n">
        <v>0.0128541666666667</v>
      </c>
      <c r="O166" s="48" t="n">
        <f aca="false">IF(AND(B166&gt;=DATE(2026,1,1),B166&lt;=Resumen!$C$5),1,0)</f>
        <v>0</v>
      </c>
      <c r="P166" s="48" t="n">
        <f aca="false">IF(AND(B166&gt;Resumen!$C$5,B166&lt;=DATE(2027,7,31)),1,0)</f>
        <v>0</v>
      </c>
    </row>
    <row r="167" customFormat="false" ht="15" hidden="false" customHeight="false" outlineLevel="0" collapsed="false">
      <c r="A167" s="38" t="n">
        <v>155</v>
      </c>
      <c r="B167" s="27" t="n">
        <v>49123</v>
      </c>
      <c r="C167" s="39" t="n">
        <v>2284615384.61538</v>
      </c>
      <c r="D167" s="39" t="n">
        <v>29366826.9230769</v>
      </c>
      <c r="E167" s="39" t="n">
        <v>0</v>
      </c>
      <c r="F167" s="39" t="n">
        <v>29366826.9230769</v>
      </c>
      <c r="G167" s="39" t="n">
        <v>2284615384.61538</v>
      </c>
      <c r="H167" s="33" t="n">
        <f aca="false">J166</f>
        <v>2284615384.61538</v>
      </c>
      <c r="I167" s="33" t="n">
        <f aca="false">H167*N167</f>
        <v>29366826.9230769</v>
      </c>
      <c r="J167" s="33" t="n">
        <f aca="false">H167-E167</f>
        <v>2284615384.61538</v>
      </c>
      <c r="K167" s="33" t="n">
        <f aca="false">D167-I167</f>
        <v>0</v>
      </c>
      <c r="L167" s="33" t="n">
        <f aca="false">G167-J167</f>
        <v>0</v>
      </c>
      <c r="M167" s="33" t="n">
        <f aca="false">F167</f>
        <v>29366826.9230769</v>
      </c>
      <c r="N167" s="64" t="n">
        <v>0.0128541666666667</v>
      </c>
      <c r="O167" s="48" t="n">
        <f aca="false">IF(AND(B167&gt;=DATE(2026,1,1),B167&lt;=Resumen!$C$5),1,0)</f>
        <v>0</v>
      </c>
      <c r="P167" s="48" t="n">
        <f aca="false">IF(AND(B167&gt;Resumen!$C$5,B167&lt;=DATE(2027,7,31)),1,0)</f>
        <v>0</v>
      </c>
    </row>
    <row r="168" customFormat="false" ht="15" hidden="false" customHeight="false" outlineLevel="0" collapsed="false">
      <c r="A168" s="38" t="n">
        <v>156</v>
      </c>
      <c r="B168" s="27" t="n">
        <v>49153</v>
      </c>
      <c r="C168" s="39" t="n">
        <v>2284615384.61538</v>
      </c>
      <c r="D168" s="39" t="n">
        <v>29366826.9230769</v>
      </c>
      <c r="E168" s="39" t="n">
        <v>152307692.307692</v>
      </c>
      <c r="F168" s="39" t="n">
        <v>181674519.230769</v>
      </c>
      <c r="G168" s="39" t="n">
        <v>2132307692.30769</v>
      </c>
      <c r="H168" s="33" t="n">
        <f aca="false">J167</f>
        <v>2284615384.61538</v>
      </c>
      <c r="I168" s="33" t="n">
        <f aca="false">H168*N168</f>
        <v>29366826.9230769</v>
      </c>
      <c r="J168" s="33" t="n">
        <f aca="false">H168-E168</f>
        <v>2132307692.30769</v>
      </c>
      <c r="K168" s="33" t="n">
        <f aca="false">D168-I168</f>
        <v>0</v>
      </c>
      <c r="L168" s="33" t="n">
        <f aca="false">G168-J168</f>
        <v>0</v>
      </c>
      <c r="M168" s="33" t="n">
        <f aca="false">F168</f>
        <v>181674519.230769</v>
      </c>
      <c r="N168" s="64" t="n">
        <v>0.0128541666666667</v>
      </c>
      <c r="O168" s="48" t="n">
        <f aca="false">IF(AND(B168&gt;=DATE(2026,1,1),B168&lt;=Resumen!$C$5),1,0)</f>
        <v>0</v>
      </c>
      <c r="P168" s="48" t="n">
        <f aca="false">IF(AND(B168&gt;Resumen!$C$5,B168&lt;=DATE(2027,7,31)),1,0)</f>
        <v>0</v>
      </c>
    </row>
    <row r="169" customFormat="false" ht="15" hidden="false" customHeight="false" outlineLevel="0" collapsed="false">
      <c r="A169" s="38" t="n">
        <v>157</v>
      </c>
      <c r="B169" s="27" t="n">
        <v>49184</v>
      </c>
      <c r="C169" s="39" t="n">
        <v>2132307692.30769</v>
      </c>
      <c r="D169" s="39" t="n">
        <v>27409038.4615384</v>
      </c>
      <c r="E169" s="39" t="n">
        <v>0</v>
      </c>
      <c r="F169" s="39" t="n">
        <v>27409038.4615384</v>
      </c>
      <c r="G169" s="39" t="n">
        <v>2132307692.30769</v>
      </c>
      <c r="H169" s="33" t="n">
        <f aca="false">J168</f>
        <v>2132307692.30769</v>
      </c>
      <c r="I169" s="33" t="n">
        <f aca="false">H169*N169</f>
        <v>27409038.4615384</v>
      </c>
      <c r="J169" s="33" t="n">
        <f aca="false">H169-E169</f>
        <v>2132307692.30769</v>
      </c>
      <c r="K169" s="33" t="n">
        <f aca="false">D169-I169</f>
        <v>0</v>
      </c>
      <c r="L169" s="33" t="n">
        <f aca="false">G169-J169</f>
        <v>0</v>
      </c>
      <c r="M169" s="33" t="n">
        <f aca="false">F169</f>
        <v>27409038.4615384</v>
      </c>
      <c r="N169" s="64" t="n">
        <v>0.0128541666666667</v>
      </c>
      <c r="O169" s="48" t="n">
        <f aca="false">IF(AND(B169&gt;=DATE(2026,1,1),B169&lt;=Resumen!$C$5),1,0)</f>
        <v>0</v>
      </c>
      <c r="P169" s="48" t="n">
        <f aca="false">IF(AND(B169&gt;Resumen!$C$5,B169&lt;=DATE(2027,7,31)),1,0)</f>
        <v>0</v>
      </c>
    </row>
    <row r="170" customFormat="false" ht="15" hidden="false" customHeight="false" outlineLevel="0" collapsed="false">
      <c r="A170" s="38" t="n">
        <v>158</v>
      </c>
      <c r="B170" s="27" t="n">
        <v>49215</v>
      </c>
      <c r="C170" s="39" t="n">
        <v>2132307692.30769</v>
      </c>
      <c r="D170" s="39" t="n">
        <v>27409038.4615384</v>
      </c>
      <c r="E170" s="39" t="n">
        <v>0</v>
      </c>
      <c r="F170" s="39" t="n">
        <v>27409038.4615384</v>
      </c>
      <c r="G170" s="39" t="n">
        <v>2132307692.30769</v>
      </c>
      <c r="H170" s="33" t="n">
        <f aca="false">J169</f>
        <v>2132307692.30769</v>
      </c>
      <c r="I170" s="33" t="n">
        <f aca="false">H170*N170</f>
        <v>27409038.4615384</v>
      </c>
      <c r="J170" s="33" t="n">
        <f aca="false">H170-E170</f>
        <v>2132307692.30769</v>
      </c>
      <c r="K170" s="33" t="n">
        <f aca="false">D170-I170</f>
        <v>0</v>
      </c>
      <c r="L170" s="33" t="n">
        <f aca="false">G170-J170</f>
        <v>0</v>
      </c>
      <c r="M170" s="33" t="n">
        <f aca="false">F170</f>
        <v>27409038.4615384</v>
      </c>
      <c r="N170" s="64" t="n">
        <v>0.0128541666666667</v>
      </c>
      <c r="O170" s="48" t="n">
        <f aca="false">IF(AND(B170&gt;=DATE(2026,1,1),B170&lt;=Resumen!$C$5),1,0)</f>
        <v>0</v>
      </c>
      <c r="P170" s="48" t="n">
        <f aca="false">IF(AND(B170&gt;Resumen!$C$5,B170&lt;=DATE(2027,7,31)),1,0)</f>
        <v>0</v>
      </c>
    </row>
    <row r="171" customFormat="false" ht="15" hidden="false" customHeight="false" outlineLevel="0" collapsed="false">
      <c r="A171" s="38" t="n">
        <v>159</v>
      </c>
      <c r="B171" s="27" t="n">
        <v>49245</v>
      </c>
      <c r="C171" s="39" t="n">
        <v>2132307692.30769</v>
      </c>
      <c r="D171" s="39" t="n">
        <v>27409038.4615384</v>
      </c>
      <c r="E171" s="39" t="n">
        <v>0</v>
      </c>
      <c r="F171" s="39" t="n">
        <v>27409038.4615384</v>
      </c>
      <c r="G171" s="39" t="n">
        <v>2132307692.30769</v>
      </c>
      <c r="H171" s="33" t="n">
        <f aca="false">J170</f>
        <v>2132307692.30769</v>
      </c>
      <c r="I171" s="33" t="n">
        <f aca="false">H171*N171</f>
        <v>27409038.4615384</v>
      </c>
      <c r="J171" s="33" t="n">
        <f aca="false">H171-E171</f>
        <v>2132307692.30769</v>
      </c>
      <c r="K171" s="33" t="n">
        <f aca="false">D171-I171</f>
        <v>0</v>
      </c>
      <c r="L171" s="33" t="n">
        <f aca="false">G171-J171</f>
        <v>0</v>
      </c>
      <c r="M171" s="33" t="n">
        <f aca="false">F171</f>
        <v>27409038.4615384</v>
      </c>
      <c r="N171" s="64" t="n">
        <v>0.0128541666666667</v>
      </c>
      <c r="O171" s="48" t="n">
        <f aca="false">IF(AND(B171&gt;=DATE(2026,1,1),B171&lt;=Resumen!$C$5),1,0)</f>
        <v>0</v>
      </c>
      <c r="P171" s="48" t="n">
        <f aca="false">IF(AND(B171&gt;Resumen!$C$5,B171&lt;=DATE(2027,7,31)),1,0)</f>
        <v>0</v>
      </c>
    </row>
    <row r="172" customFormat="false" ht="15" hidden="false" customHeight="false" outlineLevel="0" collapsed="false">
      <c r="A172" s="38" t="n">
        <v>160</v>
      </c>
      <c r="B172" s="27" t="n">
        <v>49276</v>
      </c>
      <c r="C172" s="39" t="n">
        <v>2132307692.30769</v>
      </c>
      <c r="D172" s="39" t="n">
        <v>27409038.4615384</v>
      </c>
      <c r="E172" s="39" t="n">
        <v>0</v>
      </c>
      <c r="F172" s="39" t="n">
        <v>27409038.4615384</v>
      </c>
      <c r="G172" s="39" t="n">
        <v>2132307692.30769</v>
      </c>
      <c r="H172" s="33" t="n">
        <f aca="false">J171</f>
        <v>2132307692.30769</v>
      </c>
      <c r="I172" s="33" t="n">
        <f aca="false">H172*N172</f>
        <v>27409038.4615384</v>
      </c>
      <c r="J172" s="33" t="n">
        <f aca="false">H172-E172</f>
        <v>2132307692.30769</v>
      </c>
      <c r="K172" s="33" t="n">
        <f aca="false">D172-I172</f>
        <v>0</v>
      </c>
      <c r="L172" s="33" t="n">
        <f aca="false">G172-J172</f>
        <v>0</v>
      </c>
      <c r="M172" s="33" t="n">
        <f aca="false">F172</f>
        <v>27409038.4615384</v>
      </c>
      <c r="N172" s="64" t="n">
        <v>0.0128541666666667</v>
      </c>
      <c r="O172" s="48" t="n">
        <f aca="false">IF(AND(B172&gt;=DATE(2026,1,1),B172&lt;=Resumen!$C$5),1,0)</f>
        <v>0</v>
      </c>
      <c r="P172" s="48" t="n">
        <f aca="false">IF(AND(B172&gt;Resumen!$C$5,B172&lt;=DATE(2027,7,31)),1,0)</f>
        <v>0</v>
      </c>
    </row>
    <row r="173" customFormat="false" ht="15" hidden="false" customHeight="false" outlineLevel="0" collapsed="false">
      <c r="A173" s="38" t="n">
        <v>161</v>
      </c>
      <c r="B173" s="27" t="n">
        <v>49306</v>
      </c>
      <c r="C173" s="39" t="n">
        <v>2132307692.30769</v>
      </c>
      <c r="D173" s="39" t="n">
        <v>27409038.4615384</v>
      </c>
      <c r="E173" s="39" t="n">
        <v>0</v>
      </c>
      <c r="F173" s="39" t="n">
        <v>27409038.4615384</v>
      </c>
      <c r="G173" s="39" t="n">
        <v>2132307692.30769</v>
      </c>
      <c r="H173" s="33" t="n">
        <f aca="false">J172</f>
        <v>2132307692.30769</v>
      </c>
      <c r="I173" s="33" t="n">
        <f aca="false">H173*N173</f>
        <v>27409038.4615384</v>
      </c>
      <c r="J173" s="33" t="n">
        <f aca="false">H173-E173</f>
        <v>2132307692.30769</v>
      </c>
      <c r="K173" s="33" t="n">
        <f aca="false">D173-I173</f>
        <v>0</v>
      </c>
      <c r="L173" s="33" t="n">
        <f aca="false">G173-J173</f>
        <v>0</v>
      </c>
      <c r="M173" s="33" t="n">
        <f aca="false">F173</f>
        <v>27409038.4615384</v>
      </c>
      <c r="N173" s="64" t="n">
        <v>0.0128541666666667</v>
      </c>
      <c r="O173" s="48" t="n">
        <f aca="false">IF(AND(B173&gt;=DATE(2026,1,1),B173&lt;=Resumen!$C$5),1,0)</f>
        <v>0</v>
      </c>
      <c r="P173" s="48" t="n">
        <f aca="false">IF(AND(B173&gt;Resumen!$C$5,B173&lt;=DATE(2027,7,31)),1,0)</f>
        <v>0</v>
      </c>
    </row>
    <row r="174" customFormat="false" ht="15" hidden="false" customHeight="false" outlineLevel="0" collapsed="false">
      <c r="A174" s="38" t="n">
        <v>162</v>
      </c>
      <c r="B174" s="27" t="n">
        <v>49337</v>
      </c>
      <c r="C174" s="39" t="n">
        <v>2132307692.30769</v>
      </c>
      <c r="D174" s="39" t="n">
        <v>27409038.4615384</v>
      </c>
      <c r="E174" s="39" t="n">
        <v>152307692.307692</v>
      </c>
      <c r="F174" s="39" t="n">
        <v>179716730.769231</v>
      </c>
      <c r="G174" s="39" t="n">
        <v>1980000000</v>
      </c>
      <c r="H174" s="33" t="n">
        <f aca="false">J173</f>
        <v>2132307692.30769</v>
      </c>
      <c r="I174" s="33" t="n">
        <f aca="false">H174*N174</f>
        <v>27409038.4615384</v>
      </c>
      <c r="J174" s="33" t="n">
        <f aca="false">H174-E174</f>
        <v>1980000000</v>
      </c>
      <c r="K174" s="33" t="n">
        <f aca="false">D174-I174</f>
        <v>0</v>
      </c>
      <c r="L174" s="33" t="n">
        <f aca="false">G174-J174</f>
        <v>0</v>
      </c>
      <c r="M174" s="33" t="n">
        <f aca="false">F174</f>
        <v>179716730.769231</v>
      </c>
      <c r="N174" s="64" t="n">
        <v>0.0128541666666667</v>
      </c>
      <c r="O174" s="48" t="n">
        <f aca="false">IF(AND(B174&gt;=DATE(2026,1,1),B174&lt;=Resumen!$C$5),1,0)</f>
        <v>0</v>
      </c>
      <c r="P174" s="48" t="n">
        <f aca="false">IF(AND(B174&gt;Resumen!$C$5,B174&lt;=DATE(2027,7,31)),1,0)</f>
        <v>0</v>
      </c>
    </row>
    <row r="175" customFormat="false" ht="15" hidden="false" customHeight="false" outlineLevel="0" collapsed="false">
      <c r="A175" s="38" t="n">
        <v>163</v>
      </c>
      <c r="B175" s="27" t="n">
        <v>49368</v>
      </c>
      <c r="C175" s="39" t="n">
        <v>1980000000</v>
      </c>
      <c r="D175" s="39" t="n">
        <v>25451250</v>
      </c>
      <c r="E175" s="39" t="n">
        <v>0</v>
      </c>
      <c r="F175" s="39" t="n">
        <v>25451250</v>
      </c>
      <c r="G175" s="39" t="n">
        <v>1980000000</v>
      </c>
      <c r="H175" s="33" t="n">
        <f aca="false">J174</f>
        <v>1980000000</v>
      </c>
      <c r="I175" s="33" t="n">
        <f aca="false">H175*N175</f>
        <v>25451250</v>
      </c>
      <c r="J175" s="33" t="n">
        <f aca="false">H175-E175</f>
        <v>1980000000</v>
      </c>
      <c r="K175" s="33" t="n">
        <f aca="false">D175-I175</f>
        <v>0</v>
      </c>
      <c r="L175" s="33" t="n">
        <f aca="false">G175-J175</f>
        <v>0</v>
      </c>
      <c r="M175" s="33" t="n">
        <f aca="false">F175</f>
        <v>25451250</v>
      </c>
      <c r="N175" s="64" t="n">
        <v>0.0128541666666667</v>
      </c>
      <c r="O175" s="48" t="n">
        <f aca="false">IF(AND(B175&gt;=DATE(2026,1,1),B175&lt;=Resumen!$C$5),1,0)</f>
        <v>0</v>
      </c>
      <c r="P175" s="48" t="n">
        <f aca="false">IF(AND(B175&gt;Resumen!$C$5,B175&lt;=DATE(2027,7,31)),1,0)</f>
        <v>0</v>
      </c>
    </row>
    <row r="176" customFormat="false" ht="15" hidden="false" customHeight="false" outlineLevel="0" collapsed="false">
      <c r="A176" s="38" t="n">
        <v>164</v>
      </c>
      <c r="B176" s="27" t="n">
        <v>49396</v>
      </c>
      <c r="C176" s="39" t="n">
        <v>1980000000</v>
      </c>
      <c r="D176" s="39" t="n">
        <v>25451250</v>
      </c>
      <c r="E176" s="39" t="n">
        <v>0</v>
      </c>
      <c r="F176" s="39" t="n">
        <v>25451250</v>
      </c>
      <c r="G176" s="39" t="n">
        <v>1980000000</v>
      </c>
      <c r="H176" s="33" t="n">
        <f aca="false">J175</f>
        <v>1980000000</v>
      </c>
      <c r="I176" s="33" t="n">
        <f aca="false">H176*N176</f>
        <v>25451250</v>
      </c>
      <c r="J176" s="33" t="n">
        <f aca="false">H176-E176</f>
        <v>1980000000</v>
      </c>
      <c r="K176" s="33" t="n">
        <f aca="false">D176-I176</f>
        <v>0</v>
      </c>
      <c r="L176" s="33" t="n">
        <f aca="false">G176-J176</f>
        <v>0</v>
      </c>
      <c r="M176" s="33" t="n">
        <f aca="false">F176</f>
        <v>25451250</v>
      </c>
      <c r="N176" s="64" t="n">
        <v>0.0128541666666667</v>
      </c>
      <c r="O176" s="48" t="n">
        <f aca="false">IF(AND(B176&gt;=DATE(2026,1,1),B176&lt;=Resumen!$C$5),1,0)</f>
        <v>0</v>
      </c>
      <c r="P176" s="48" t="n">
        <f aca="false">IF(AND(B176&gt;Resumen!$C$5,B176&lt;=DATE(2027,7,31)),1,0)</f>
        <v>0</v>
      </c>
    </row>
    <row r="177" customFormat="false" ht="15" hidden="false" customHeight="false" outlineLevel="0" collapsed="false">
      <c r="A177" s="38" t="n">
        <v>165</v>
      </c>
      <c r="B177" s="27" t="n">
        <v>49427</v>
      </c>
      <c r="C177" s="39" t="n">
        <v>1980000000</v>
      </c>
      <c r="D177" s="39" t="n">
        <v>25451250</v>
      </c>
      <c r="E177" s="39" t="n">
        <v>0</v>
      </c>
      <c r="F177" s="39" t="n">
        <v>25451250</v>
      </c>
      <c r="G177" s="39" t="n">
        <v>1980000000</v>
      </c>
      <c r="H177" s="33" t="n">
        <f aca="false">J176</f>
        <v>1980000000</v>
      </c>
      <c r="I177" s="33" t="n">
        <f aca="false">H177*N177</f>
        <v>25451250</v>
      </c>
      <c r="J177" s="33" t="n">
        <f aca="false">H177-E177</f>
        <v>1980000000</v>
      </c>
      <c r="K177" s="33" t="n">
        <f aca="false">D177-I177</f>
        <v>0</v>
      </c>
      <c r="L177" s="33" t="n">
        <f aca="false">G177-J177</f>
        <v>0</v>
      </c>
      <c r="M177" s="33" t="n">
        <f aca="false">F177</f>
        <v>25451250</v>
      </c>
      <c r="N177" s="64" t="n">
        <v>0.0128541666666667</v>
      </c>
      <c r="O177" s="48" t="n">
        <f aca="false">IF(AND(B177&gt;=DATE(2026,1,1),B177&lt;=Resumen!$C$5),1,0)</f>
        <v>0</v>
      </c>
      <c r="P177" s="48" t="n">
        <f aca="false">IF(AND(B177&gt;Resumen!$C$5,B177&lt;=DATE(2027,7,31)),1,0)</f>
        <v>0</v>
      </c>
    </row>
    <row r="178" customFormat="false" ht="15" hidden="false" customHeight="false" outlineLevel="0" collapsed="false">
      <c r="A178" s="38" t="n">
        <v>166</v>
      </c>
      <c r="B178" s="27" t="n">
        <v>49457</v>
      </c>
      <c r="C178" s="39" t="n">
        <v>1980000000</v>
      </c>
      <c r="D178" s="39" t="n">
        <v>25451250</v>
      </c>
      <c r="E178" s="39" t="n">
        <v>0</v>
      </c>
      <c r="F178" s="39" t="n">
        <v>25451250</v>
      </c>
      <c r="G178" s="39" t="n">
        <v>1980000000</v>
      </c>
      <c r="H178" s="33" t="n">
        <f aca="false">J177</f>
        <v>1980000000</v>
      </c>
      <c r="I178" s="33" t="n">
        <f aca="false">H178*N178</f>
        <v>25451250</v>
      </c>
      <c r="J178" s="33" t="n">
        <f aca="false">H178-E178</f>
        <v>1980000000</v>
      </c>
      <c r="K178" s="33" t="n">
        <f aca="false">D178-I178</f>
        <v>0</v>
      </c>
      <c r="L178" s="33" t="n">
        <f aca="false">G178-J178</f>
        <v>0</v>
      </c>
      <c r="M178" s="33" t="n">
        <f aca="false">F178</f>
        <v>25451250</v>
      </c>
      <c r="N178" s="64" t="n">
        <v>0.0128541666666667</v>
      </c>
      <c r="O178" s="48" t="n">
        <f aca="false">IF(AND(B178&gt;=DATE(2026,1,1),B178&lt;=Resumen!$C$5),1,0)</f>
        <v>0</v>
      </c>
      <c r="P178" s="48" t="n">
        <f aca="false">IF(AND(B178&gt;Resumen!$C$5,B178&lt;=DATE(2027,7,31)),1,0)</f>
        <v>0</v>
      </c>
    </row>
    <row r="179" customFormat="false" ht="15" hidden="false" customHeight="false" outlineLevel="0" collapsed="false">
      <c r="A179" s="38" t="n">
        <v>167</v>
      </c>
      <c r="B179" s="27" t="n">
        <v>49488</v>
      </c>
      <c r="C179" s="39" t="n">
        <v>1980000000</v>
      </c>
      <c r="D179" s="39" t="n">
        <v>25451250</v>
      </c>
      <c r="E179" s="39" t="n">
        <v>0</v>
      </c>
      <c r="F179" s="39" t="n">
        <v>25451250</v>
      </c>
      <c r="G179" s="39" t="n">
        <v>1980000000</v>
      </c>
      <c r="H179" s="33" t="n">
        <f aca="false">J178</f>
        <v>1980000000</v>
      </c>
      <c r="I179" s="33" t="n">
        <f aca="false">H179*N179</f>
        <v>25451250</v>
      </c>
      <c r="J179" s="33" t="n">
        <f aca="false">H179-E179</f>
        <v>1980000000</v>
      </c>
      <c r="K179" s="33" t="n">
        <f aca="false">D179-I179</f>
        <v>0</v>
      </c>
      <c r="L179" s="33" t="n">
        <f aca="false">G179-J179</f>
        <v>0</v>
      </c>
      <c r="M179" s="33" t="n">
        <f aca="false">F179</f>
        <v>25451250</v>
      </c>
      <c r="N179" s="64" t="n">
        <v>0.0128541666666667</v>
      </c>
      <c r="O179" s="48" t="n">
        <f aca="false">IF(AND(B179&gt;=DATE(2026,1,1),B179&lt;=Resumen!$C$5),1,0)</f>
        <v>0</v>
      </c>
      <c r="P179" s="48" t="n">
        <f aca="false">IF(AND(B179&gt;Resumen!$C$5,B179&lt;=DATE(2027,7,31)),1,0)</f>
        <v>0</v>
      </c>
    </row>
    <row r="180" customFormat="false" ht="15" hidden="false" customHeight="false" outlineLevel="0" collapsed="false">
      <c r="A180" s="38" t="n">
        <v>168</v>
      </c>
      <c r="B180" s="27" t="n">
        <v>49518</v>
      </c>
      <c r="C180" s="39" t="n">
        <v>1980000000</v>
      </c>
      <c r="D180" s="39" t="n">
        <v>25451250</v>
      </c>
      <c r="E180" s="39" t="n">
        <v>152307692.307692</v>
      </c>
      <c r="F180" s="39" t="n">
        <v>177758942.307692</v>
      </c>
      <c r="G180" s="39" t="n">
        <v>1827692307.69231</v>
      </c>
      <c r="H180" s="33" t="n">
        <f aca="false">J179</f>
        <v>1980000000</v>
      </c>
      <c r="I180" s="33" t="n">
        <f aca="false">H180*N180</f>
        <v>25451250</v>
      </c>
      <c r="J180" s="33" t="n">
        <f aca="false">H180-E180</f>
        <v>1827692307.69231</v>
      </c>
      <c r="K180" s="33" t="n">
        <f aca="false">D180-I180</f>
        <v>0</v>
      </c>
      <c r="L180" s="33" t="n">
        <f aca="false">G180-J180</f>
        <v>0</v>
      </c>
      <c r="M180" s="33" t="n">
        <f aca="false">F180</f>
        <v>177758942.307692</v>
      </c>
      <c r="N180" s="64" t="n">
        <v>0.0128541666666667</v>
      </c>
      <c r="O180" s="48" t="n">
        <f aca="false">IF(AND(B180&gt;=DATE(2026,1,1),B180&lt;=Resumen!$C$5),1,0)</f>
        <v>0</v>
      </c>
      <c r="P180" s="48" t="n">
        <f aca="false">IF(AND(B180&gt;Resumen!$C$5,B180&lt;=DATE(2027,7,31)),1,0)</f>
        <v>0</v>
      </c>
    </row>
    <row r="181" customFormat="false" ht="15" hidden="false" customHeight="false" outlineLevel="0" collapsed="false">
      <c r="A181" s="38" t="n">
        <v>169</v>
      </c>
      <c r="B181" s="27" t="n">
        <v>49549</v>
      </c>
      <c r="C181" s="39" t="n">
        <v>1827692307.69231</v>
      </c>
      <c r="D181" s="39" t="n">
        <v>23493461.5384615</v>
      </c>
      <c r="E181" s="39" t="n">
        <v>0</v>
      </c>
      <c r="F181" s="39" t="n">
        <v>23493461.5384615</v>
      </c>
      <c r="G181" s="39" t="n">
        <v>1827692307.69231</v>
      </c>
      <c r="H181" s="33" t="n">
        <f aca="false">J180</f>
        <v>1827692307.69231</v>
      </c>
      <c r="I181" s="33" t="n">
        <f aca="false">H181*N181</f>
        <v>23493461.5384615</v>
      </c>
      <c r="J181" s="33" t="n">
        <f aca="false">H181-E181</f>
        <v>1827692307.69231</v>
      </c>
      <c r="K181" s="33" t="n">
        <f aca="false">D181-I181</f>
        <v>0</v>
      </c>
      <c r="L181" s="33" t="n">
        <f aca="false">G181-J181</f>
        <v>0</v>
      </c>
      <c r="M181" s="33" t="n">
        <f aca="false">F181</f>
        <v>23493461.5384615</v>
      </c>
      <c r="N181" s="64" t="n">
        <v>0.0128541666666667</v>
      </c>
      <c r="O181" s="48" t="n">
        <f aca="false">IF(AND(B181&gt;=DATE(2026,1,1),B181&lt;=Resumen!$C$5),1,0)</f>
        <v>0</v>
      </c>
      <c r="P181" s="48" t="n">
        <f aca="false">IF(AND(B181&gt;Resumen!$C$5,B181&lt;=DATE(2027,7,31)),1,0)</f>
        <v>0</v>
      </c>
    </row>
    <row r="182" customFormat="false" ht="15" hidden="false" customHeight="false" outlineLevel="0" collapsed="false">
      <c r="A182" s="38" t="n">
        <v>170</v>
      </c>
      <c r="B182" s="27" t="n">
        <v>49580</v>
      </c>
      <c r="C182" s="39" t="n">
        <v>1827692307.69231</v>
      </c>
      <c r="D182" s="39" t="n">
        <v>23493461.5384615</v>
      </c>
      <c r="E182" s="39" t="n">
        <v>0</v>
      </c>
      <c r="F182" s="39" t="n">
        <v>23493461.5384615</v>
      </c>
      <c r="G182" s="39" t="n">
        <v>1827692307.69231</v>
      </c>
      <c r="H182" s="33" t="n">
        <f aca="false">J181</f>
        <v>1827692307.69231</v>
      </c>
      <c r="I182" s="33" t="n">
        <f aca="false">H182*N182</f>
        <v>23493461.5384615</v>
      </c>
      <c r="J182" s="33" t="n">
        <f aca="false">H182-E182</f>
        <v>1827692307.69231</v>
      </c>
      <c r="K182" s="33" t="n">
        <f aca="false">D182-I182</f>
        <v>0</v>
      </c>
      <c r="L182" s="33" t="n">
        <f aca="false">G182-J182</f>
        <v>0</v>
      </c>
      <c r="M182" s="33" t="n">
        <f aca="false">F182</f>
        <v>23493461.5384615</v>
      </c>
      <c r="N182" s="64" t="n">
        <v>0.0128541666666667</v>
      </c>
      <c r="O182" s="48" t="n">
        <f aca="false">IF(AND(B182&gt;=DATE(2026,1,1),B182&lt;=Resumen!$C$5),1,0)</f>
        <v>0</v>
      </c>
      <c r="P182" s="48" t="n">
        <f aca="false">IF(AND(B182&gt;Resumen!$C$5,B182&lt;=DATE(2027,7,31)),1,0)</f>
        <v>0</v>
      </c>
    </row>
    <row r="183" customFormat="false" ht="15" hidden="false" customHeight="false" outlineLevel="0" collapsed="false">
      <c r="A183" s="38" t="n">
        <v>171</v>
      </c>
      <c r="B183" s="27" t="n">
        <v>49610</v>
      </c>
      <c r="C183" s="39" t="n">
        <v>1827692307.69231</v>
      </c>
      <c r="D183" s="39" t="n">
        <v>23493461.5384615</v>
      </c>
      <c r="E183" s="39" t="n">
        <v>0</v>
      </c>
      <c r="F183" s="39" t="n">
        <v>23493461.5384615</v>
      </c>
      <c r="G183" s="39" t="n">
        <v>1827692307.69231</v>
      </c>
      <c r="H183" s="33" t="n">
        <f aca="false">J182</f>
        <v>1827692307.69231</v>
      </c>
      <c r="I183" s="33" t="n">
        <f aca="false">H183*N183</f>
        <v>23493461.5384615</v>
      </c>
      <c r="J183" s="33" t="n">
        <f aca="false">H183-E183</f>
        <v>1827692307.69231</v>
      </c>
      <c r="K183" s="33" t="n">
        <f aca="false">D183-I183</f>
        <v>0</v>
      </c>
      <c r="L183" s="33" t="n">
        <f aca="false">G183-J183</f>
        <v>0</v>
      </c>
      <c r="M183" s="33" t="n">
        <f aca="false">F183</f>
        <v>23493461.5384615</v>
      </c>
      <c r="N183" s="64" t="n">
        <v>0.0128541666666667</v>
      </c>
      <c r="O183" s="48" t="n">
        <f aca="false">IF(AND(B183&gt;=DATE(2026,1,1),B183&lt;=Resumen!$C$5),1,0)</f>
        <v>0</v>
      </c>
      <c r="P183" s="48" t="n">
        <f aca="false">IF(AND(B183&gt;Resumen!$C$5,B183&lt;=DATE(2027,7,31)),1,0)</f>
        <v>0</v>
      </c>
    </row>
    <row r="184" customFormat="false" ht="15" hidden="false" customHeight="false" outlineLevel="0" collapsed="false">
      <c r="A184" s="38" t="n">
        <v>172</v>
      </c>
      <c r="B184" s="27" t="n">
        <v>49641</v>
      </c>
      <c r="C184" s="39" t="n">
        <v>1827692307.69231</v>
      </c>
      <c r="D184" s="39" t="n">
        <v>23493461.5384615</v>
      </c>
      <c r="E184" s="39" t="n">
        <v>0</v>
      </c>
      <c r="F184" s="39" t="n">
        <v>23493461.5384615</v>
      </c>
      <c r="G184" s="39" t="n">
        <v>1827692307.69231</v>
      </c>
      <c r="H184" s="33" t="n">
        <f aca="false">J183</f>
        <v>1827692307.69231</v>
      </c>
      <c r="I184" s="33" t="n">
        <f aca="false">H184*N184</f>
        <v>23493461.5384615</v>
      </c>
      <c r="J184" s="33" t="n">
        <f aca="false">H184-E184</f>
        <v>1827692307.69231</v>
      </c>
      <c r="K184" s="33" t="n">
        <f aca="false">D184-I184</f>
        <v>0</v>
      </c>
      <c r="L184" s="33" t="n">
        <f aca="false">G184-J184</f>
        <v>0</v>
      </c>
      <c r="M184" s="33" t="n">
        <f aca="false">F184</f>
        <v>23493461.5384615</v>
      </c>
      <c r="N184" s="64" t="n">
        <v>0.0128541666666667</v>
      </c>
      <c r="O184" s="48" t="n">
        <f aca="false">IF(AND(B184&gt;=DATE(2026,1,1),B184&lt;=Resumen!$C$5),1,0)</f>
        <v>0</v>
      </c>
      <c r="P184" s="48" t="n">
        <f aca="false">IF(AND(B184&gt;Resumen!$C$5,B184&lt;=DATE(2027,7,31)),1,0)</f>
        <v>0</v>
      </c>
    </row>
    <row r="185" customFormat="false" ht="15" hidden="false" customHeight="false" outlineLevel="0" collapsed="false">
      <c r="A185" s="38" t="n">
        <v>173</v>
      </c>
      <c r="B185" s="27" t="n">
        <v>49671</v>
      </c>
      <c r="C185" s="39" t="n">
        <v>1827692307.69231</v>
      </c>
      <c r="D185" s="39" t="n">
        <v>23493461.5384615</v>
      </c>
      <c r="E185" s="39" t="n">
        <v>0</v>
      </c>
      <c r="F185" s="39" t="n">
        <v>23493461.5384615</v>
      </c>
      <c r="G185" s="39" t="n">
        <v>1827692307.69231</v>
      </c>
      <c r="H185" s="33" t="n">
        <f aca="false">J184</f>
        <v>1827692307.69231</v>
      </c>
      <c r="I185" s="33" t="n">
        <f aca="false">H185*N185</f>
        <v>23493461.5384615</v>
      </c>
      <c r="J185" s="33" t="n">
        <f aca="false">H185-E185</f>
        <v>1827692307.69231</v>
      </c>
      <c r="K185" s="33" t="n">
        <f aca="false">D185-I185</f>
        <v>0</v>
      </c>
      <c r="L185" s="33" t="n">
        <f aca="false">G185-J185</f>
        <v>0</v>
      </c>
      <c r="M185" s="33" t="n">
        <f aca="false">F185</f>
        <v>23493461.5384615</v>
      </c>
      <c r="N185" s="64" t="n">
        <v>0.0128541666666667</v>
      </c>
      <c r="O185" s="48" t="n">
        <f aca="false">IF(AND(B185&gt;=DATE(2026,1,1),B185&lt;=Resumen!$C$5),1,0)</f>
        <v>0</v>
      </c>
      <c r="P185" s="48" t="n">
        <f aca="false">IF(AND(B185&gt;Resumen!$C$5,B185&lt;=DATE(2027,7,31)),1,0)</f>
        <v>0</v>
      </c>
    </row>
    <row r="186" customFormat="false" ht="15" hidden="false" customHeight="false" outlineLevel="0" collapsed="false">
      <c r="A186" s="38" t="n">
        <v>174</v>
      </c>
      <c r="B186" s="27" t="n">
        <v>49702</v>
      </c>
      <c r="C186" s="39" t="n">
        <v>1827692307.69231</v>
      </c>
      <c r="D186" s="39" t="n">
        <v>23493461.5384615</v>
      </c>
      <c r="E186" s="39" t="n">
        <v>152307692.307692</v>
      </c>
      <c r="F186" s="39" t="n">
        <v>175801153.846154</v>
      </c>
      <c r="G186" s="39" t="n">
        <v>1675384615.38461</v>
      </c>
      <c r="H186" s="33" t="n">
        <f aca="false">J185</f>
        <v>1827692307.69231</v>
      </c>
      <c r="I186" s="33" t="n">
        <f aca="false">H186*N186</f>
        <v>23493461.5384615</v>
      </c>
      <c r="J186" s="33" t="n">
        <f aca="false">H186-E186</f>
        <v>1675384615.38461</v>
      </c>
      <c r="K186" s="33" t="n">
        <f aca="false">D186-I186</f>
        <v>0</v>
      </c>
      <c r="L186" s="33" t="n">
        <f aca="false">G186-J186</f>
        <v>0</v>
      </c>
      <c r="M186" s="33" t="n">
        <f aca="false">F186</f>
        <v>175801153.846154</v>
      </c>
      <c r="N186" s="64" t="n">
        <v>0.0128541666666667</v>
      </c>
      <c r="O186" s="48" t="n">
        <f aca="false">IF(AND(B186&gt;=DATE(2026,1,1),B186&lt;=Resumen!$C$5),1,0)</f>
        <v>0</v>
      </c>
      <c r="P186" s="48" t="n">
        <f aca="false">IF(AND(B186&gt;Resumen!$C$5,B186&lt;=DATE(2027,7,31)),1,0)</f>
        <v>0</v>
      </c>
    </row>
    <row r="187" customFormat="false" ht="15" hidden="false" customHeight="false" outlineLevel="0" collapsed="false">
      <c r="A187" s="38" t="n">
        <v>175</v>
      </c>
      <c r="B187" s="27" t="n">
        <v>49733</v>
      </c>
      <c r="C187" s="39" t="n">
        <v>1675384615.38461</v>
      </c>
      <c r="D187" s="39" t="n">
        <v>21535673.0769231</v>
      </c>
      <c r="E187" s="39" t="n">
        <v>0</v>
      </c>
      <c r="F187" s="39" t="n">
        <v>21535673.0769231</v>
      </c>
      <c r="G187" s="39" t="n">
        <v>1675384615.38461</v>
      </c>
      <c r="H187" s="33" t="n">
        <f aca="false">J186</f>
        <v>1675384615.38461</v>
      </c>
      <c r="I187" s="33" t="n">
        <f aca="false">H187*N187</f>
        <v>21535673.0769231</v>
      </c>
      <c r="J187" s="33" t="n">
        <f aca="false">H187-E187</f>
        <v>1675384615.38461</v>
      </c>
      <c r="K187" s="33" t="n">
        <f aca="false">D187-I187</f>
        <v>0</v>
      </c>
      <c r="L187" s="33" t="n">
        <f aca="false">G187-J187</f>
        <v>0</v>
      </c>
      <c r="M187" s="33" t="n">
        <f aca="false">F187</f>
        <v>21535673.0769231</v>
      </c>
      <c r="N187" s="64" t="n">
        <v>0.0128541666666667</v>
      </c>
      <c r="O187" s="48" t="n">
        <f aca="false">IF(AND(B187&gt;=DATE(2026,1,1),B187&lt;=Resumen!$C$5),1,0)</f>
        <v>0</v>
      </c>
      <c r="P187" s="48" t="n">
        <f aca="false">IF(AND(B187&gt;Resumen!$C$5,B187&lt;=DATE(2027,7,31)),1,0)</f>
        <v>0</v>
      </c>
    </row>
    <row r="188" customFormat="false" ht="15" hidden="false" customHeight="false" outlineLevel="0" collapsed="false">
      <c r="A188" s="38" t="n">
        <v>176</v>
      </c>
      <c r="B188" s="27" t="n">
        <v>49762</v>
      </c>
      <c r="C188" s="39" t="n">
        <v>1675384615.38461</v>
      </c>
      <c r="D188" s="39" t="n">
        <v>21535673.0769231</v>
      </c>
      <c r="E188" s="39" t="n">
        <v>0</v>
      </c>
      <c r="F188" s="39" t="n">
        <v>21535673.0769231</v>
      </c>
      <c r="G188" s="39" t="n">
        <v>1675384615.38461</v>
      </c>
      <c r="H188" s="33" t="n">
        <f aca="false">J187</f>
        <v>1675384615.38461</v>
      </c>
      <c r="I188" s="33" t="n">
        <f aca="false">H188*N188</f>
        <v>21535673.0769231</v>
      </c>
      <c r="J188" s="33" t="n">
        <f aca="false">H188-E188</f>
        <v>1675384615.38461</v>
      </c>
      <c r="K188" s="33" t="n">
        <f aca="false">D188-I188</f>
        <v>0</v>
      </c>
      <c r="L188" s="33" t="n">
        <f aca="false">G188-J188</f>
        <v>0</v>
      </c>
      <c r="M188" s="33" t="n">
        <f aca="false">F188</f>
        <v>21535673.0769231</v>
      </c>
      <c r="N188" s="64" t="n">
        <v>0.0128541666666667</v>
      </c>
      <c r="O188" s="48" t="n">
        <f aca="false">IF(AND(B188&gt;=DATE(2026,1,1),B188&lt;=Resumen!$C$5),1,0)</f>
        <v>0</v>
      </c>
      <c r="P188" s="48" t="n">
        <f aca="false">IF(AND(B188&gt;Resumen!$C$5,B188&lt;=DATE(2027,7,31)),1,0)</f>
        <v>0</v>
      </c>
    </row>
    <row r="189" customFormat="false" ht="15" hidden="false" customHeight="false" outlineLevel="0" collapsed="false">
      <c r="A189" s="38" t="n">
        <v>177</v>
      </c>
      <c r="B189" s="27" t="n">
        <v>49793</v>
      </c>
      <c r="C189" s="39" t="n">
        <v>1675384615.38461</v>
      </c>
      <c r="D189" s="39" t="n">
        <v>21535673.0769231</v>
      </c>
      <c r="E189" s="39" t="n">
        <v>0</v>
      </c>
      <c r="F189" s="39" t="n">
        <v>21535673.0769231</v>
      </c>
      <c r="G189" s="39" t="n">
        <v>1675384615.38461</v>
      </c>
      <c r="H189" s="33" t="n">
        <f aca="false">J188</f>
        <v>1675384615.38461</v>
      </c>
      <c r="I189" s="33" t="n">
        <f aca="false">H189*N189</f>
        <v>21535673.0769231</v>
      </c>
      <c r="J189" s="33" t="n">
        <f aca="false">H189-E189</f>
        <v>1675384615.38461</v>
      </c>
      <c r="K189" s="33" t="n">
        <f aca="false">D189-I189</f>
        <v>0</v>
      </c>
      <c r="L189" s="33" t="n">
        <f aca="false">G189-J189</f>
        <v>0</v>
      </c>
      <c r="M189" s="33" t="n">
        <f aca="false">F189</f>
        <v>21535673.0769231</v>
      </c>
      <c r="N189" s="64" t="n">
        <v>0.0128541666666667</v>
      </c>
      <c r="O189" s="48" t="n">
        <f aca="false">IF(AND(B189&gt;=DATE(2026,1,1),B189&lt;=Resumen!$C$5),1,0)</f>
        <v>0</v>
      </c>
      <c r="P189" s="48" t="n">
        <f aca="false">IF(AND(B189&gt;Resumen!$C$5,B189&lt;=DATE(2027,7,31)),1,0)</f>
        <v>0</v>
      </c>
    </row>
    <row r="190" customFormat="false" ht="15" hidden="false" customHeight="false" outlineLevel="0" collapsed="false">
      <c r="A190" s="38" t="n">
        <v>178</v>
      </c>
      <c r="B190" s="27" t="n">
        <v>49823</v>
      </c>
      <c r="C190" s="39" t="n">
        <v>1675384615.38461</v>
      </c>
      <c r="D190" s="39" t="n">
        <v>21535673.0769231</v>
      </c>
      <c r="E190" s="39" t="n">
        <v>0</v>
      </c>
      <c r="F190" s="39" t="n">
        <v>21535673.0769231</v>
      </c>
      <c r="G190" s="39" t="n">
        <v>1675384615.38461</v>
      </c>
      <c r="H190" s="33" t="n">
        <f aca="false">J189</f>
        <v>1675384615.38461</v>
      </c>
      <c r="I190" s="33" t="n">
        <f aca="false">H190*N190</f>
        <v>21535673.0769231</v>
      </c>
      <c r="J190" s="33" t="n">
        <f aca="false">H190-E190</f>
        <v>1675384615.38461</v>
      </c>
      <c r="K190" s="33" t="n">
        <f aca="false">D190-I190</f>
        <v>0</v>
      </c>
      <c r="L190" s="33" t="n">
        <f aca="false">G190-J190</f>
        <v>0</v>
      </c>
      <c r="M190" s="33" t="n">
        <f aca="false">F190</f>
        <v>21535673.0769231</v>
      </c>
      <c r="N190" s="64" t="n">
        <v>0.0128541666666667</v>
      </c>
      <c r="O190" s="48" t="n">
        <f aca="false">IF(AND(B190&gt;=DATE(2026,1,1),B190&lt;=Resumen!$C$5),1,0)</f>
        <v>0</v>
      </c>
      <c r="P190" s="48" t="n">
        <f aca="false">IF(AND(B190&gt;Resumen!$C$5,B190&lt;=DATE(2027,7,31)),1,0)</f>
        <v>0</v>
      </c>
    </row>
    <row r="191" customFormat="false" ht="15" hidden="false" customHeight="false" outlineLevel="0" collapsed="false">
      <c r="A191" s="38" t="n">
        <v>179</v>
      </c>
      <c r="B191" s="27" t="n">
        <v>49854</v>
      </c>
      <c r="C191" s="39" t="n">
        <v>1675384615.38461</v>
      </c>
      <c r="D191" s="39" t="n">
        <v>21535673.0769231</v>
      </c>
      <c r="E191" s="39" t="n">
        <v>0</v>
      </c>
      <c r="F191" s="39" t="n">
        <v>21535673.0769231</v>
      </c>
      <c r="G191" s="39" t="n">
        <v>1675384615.38461</v>
      </c>
      <c r="H191" s="33" t="n">
        <f aca="false">J190</f>
        <v>1675384615.38461</v>
      </c>
      <c r="I191" s="33" t="n">
        <f aca="false">H191*N191</f>
        <v>21535673.0769231</v>
      </c>
      <c r="J191" s="33" t="n">
        <f aca="false">H191-E191</f>
        <v>1675384615.38461</v>
      </c>
      <c r="K191" s="33" t="n">
        <f aca="false">D191-I191</f>
        <v>0</v>
      </c>
      <c r="L191" s="33" t="n">
        <f aca="false">G191-J191</f>
        <v>0</v>
      </c>
      <c r="M191" s="33" t="n">
        <f aca="false">F191</f>
        <v>21535673.0769231</v>
      </c>
      <c r="N191" s="64" t="n">
        <v>0.0128541666666667</v>
      </c>
      <c r="O191" s="48" t="n">
        <f aca="false">IF(AND(B191&gt;=DATE(2026,1,1),B191&lt;=Resumen!$C$5),1,0)</f>
        <v>0</v>
      </c>
      <c r="P191" s="48" t="n">
        <f aca="false">IF(AND(B191&gt;Resumen!$C$5,B191&lt;=DATE(2027,7,31)),1,0)</f>
        <v>0</v>
      </c>
    </row>
    <row r="192" customFormat="false" ht="15" hidden="false" customHeight="false" outlineLevel="0" collapsed="false">
      <c r="A192" s="38" t="n">
        <v>180</v>
      </c>
      <c r="B192" s="27" t="n">
        <v>49884</v>
      </c>
      <c r="C192" s="39" t="n">
        <v>1675384615.38461</v>
      </c>
      <c r="D192" s="39" t="n">
        <v>21535673.0769231</v>
      </c>
      <c r="E192" s="39" t="n">
        <v>152307692.307692</v>
      </c>
      <c r="F192" s="39" t="n">
        <v>173843365.384615</v>
      </c>
      <c r="G192" s="39" t="n">
        <v>1523076923.07692</v>
      </c>
      <c r="H192" s="33" t="n">
        <f aca="false">J191</f>
        <v>1675384615.38461</v>
      </c>
      <c r="I192" s="33" t="n">
        <f aca="false">H192*N192</f>
        <v>21535673.0769231</v>
      </c>
      <c r="J192" s="33" t="n">
        <f aca="false">H192-E192</f>
        <v>1523076923.07692</v>
      </c>
      <c r="K192" s="33" t="n">
        <f aca="false">D192-I192</f>
        <v>0</v>
      </c>
      <c r="L192" s="33" t="n">
        <f aca="false">G192-J192</f>
        <v>0</v>
      </c>
      <c r="M192" s="33" t="n">
        <f aca="false">F192</f>
        <v>173843365.384615</v>
      </c>
      <c r="N192" s="64" t="n">
        <v>0.0128541666666667</v>
      </c>
      <c r="O192" s="48" t="n">
        <f aca="false">IF(AND(B192&gt;=DATE(2026,1,1),B192&lt;=Resumen!$C$5),1,0)</f>
        <v>0</v>
      </c>
      <c r="P192" s="48" t="n">
        <f aca="false">IF(AND(B192&gt;Resumen!$C$5,B192&lt;=DATE(2027,7,31)),1,0)</f>
        <v>0</v>
      </c>
    </row>
    <row r="193" customFormat="false" ht="15" hidden="false" customHeight="false" outlineLevel="0" collapsed="false">
      <c r="A193" s="38" t="n">
        <v>181</v>
      </c>
      <c r="B193" s="27" t="n">
        <v>49915</v>
      </c>
      <c r="C193" s="39" t="n">
        <v>1523076923.07692</v>
      </c>
      <c r="D193" s="39" t="n">
        <v>19577884.6153846</v>
      </c>
      <c r="E193" s="39" t="n">
        <v>0</v>
      </c>
      <c r="F193" s="39" t="n">
        <v>19577884.6153846</v>
      </c>
      <c r="G193" s="39" t="n">
        <v>1523076923.07692</v>
      </c>
      <c r="H193" s="33" t="n">
        <f aca="false">J192</f>
        <v>1523076923.07692</v>
      </c>
      <c r="I193" s="33" t="n">
        <f aca="false">H193*N193</f>
        <v>19577884.6153846</v>
      </c>
      <c r="J193" s="33" t="n">
        <f aca="false">H193-E193</f>
        <v>1523076923.07692</v>
      </c>
      <c r="K193" s="33" t="n">
        <f aca="false">D193-I193</f>
        <v>0</v>
      </c>
      <c r="L193" s="33" t="n">
        <f aca="false">G193-J193</f>
        <v>0</v>
      </c>
      <c r="M193" s="33" t="n">
        <f aca="false">F193</f>
        <v>19577884.6153846</v>
      </c>
      <c r="N193" s="64" t="n">
        <v>0.0128541666666667</v>
      </c>
      <c r="O193" s="48" t="n">
        <f aca="false">IF(AND(B193&gt;=DATE(2026,1,1),B193&lt;=Resumen!$C$5),1,0)</f>
        <v>0</v>
      </c>
      <c r="P193" s="48" t="n">
        <f aca="false">IF(AND(B193&gt;Resumen!$C$5,B193&lt;=DATE(2027,7,31)),1,0)</f>
        <v>0</v>
      </c>
    </row>
    <row r="194" customFormat="false" ht="15" hidden="false" customHeight="false" outlineLevel="0" collapsed="false">
      <c r="A194" s="38" t="n">
        <v>182</v>
      </c>
      <c r="B194" s="27" t="n">
        <v>49946</v>
      </c>
      <c r="C194" s="39" t="n">
        <v>1523076923.07692</v>
      </c>
      <c r="D194" s="39" t="n">
        <v>19577884.6153846</v>
      </c>
      <c r="E194" s="39" t="n">
        <v>0</v>
      </c>
      <c r="F194" s="39" t="n">
        <v>19577884.6153846</v>
      </c>
      <c r="G194" s="39" t="n">
        <v>1523076923.07692</v>
      </c>
      <c r="H194" s="33" t="n">
        <f aca="false">J193</f>
        <v>1523076923.07692</v>
      </c>
      <c r="I194" s="33" t="n">
        <f aca="false">H194*N194</f>
        <v>19577884.6153846</v>
      </c>
      <c r="J194" s="33" t="n">
        <f aca="false">H194-E194</f>
        <v>1523076923.07692</v>
      </c>
      <c r="K194" s="33" t="n">
        <f aca="false">D194-I194</f>
        <v>0</v>
      </c>
      <c r="L194" s="33" t="n">
        <f aca="false">G194-J194</f>
        <v>0</v>
      </c>
      <c r="M194" s="33" t="n">
        <f aca="false">F194</f>
        <v>19577884.6153846</v>
      </c>
      <c r="N194" s="64" t="n">
        <v>0.0128541666666667</v>
      </c>
      <c r="O194" s="48" t="n">
        <f aca="false">IF(AND(B194&gt;=DATE(2026,1,1),B194&lt;=Resumen!$C$5),1,0)</f>
        <v>0</v>
      </c>
      <c r="P194" s="48" t="n">
        <f aca="false">IF(AND(B194&gt;Resumen!$C$5,B194&lt;=DATE(2027,7,31)),1,0)</f>
        <v>0</v>
      </c>
    </row>
    <row r="195" customFormat="false" ht="15" hidden="false" customHeight="false" outlineLevel="0" collapsed="false">
      <c r="A195" s="38" t="n">
        <v>183</v>
      </c>
      <c r="B195" s="27" t="n">
        <v>49976</v>
      </c>
      <c r="C195" s="39" t="n">
        <v>1523076923.07692</v>
      </c>
      <c r="D195" s="39" t="n">
        <v>19577884.6153846</v>
      </c>
      <c r="E195" s="39" t="n">
        <v>0</v>
      </c>
      <c r="F195" s="39" t="n">
        <v>19577884.6153846</v>
      </c>
      <c r="G195" s="39" t="n">
        <v>1523076923.07692</v>
      </c>
      <c r="H195" s="33" t="n">
        <f aca="false">J194</f>
        <v>1523076923.07692</v>
      </c>
      <c r="I195" s="33" t="n">
        <f aca="false">H195*N195</f>
        <v>19577884.6153846</v>
      </c>
      <c r="J195" s="33" t="n">
        <f aca="false">H195-E195</f>
        <v>1523076923.07692</v>
      </c>
      <c r="K195" s="33" t="n">
        <f aca="false">D195-I195</f>
        <v>0</v>
      </c>
      <c r="L195" s="33" t="n">
        <f aca="false">G195-J195</f>
        <v>0</v>
      </c>
      <c r="M195" s="33" t="n">
        <f aca="false">F195</f>
        <v>19577884.6153846</v>
      </c>
      <c r="N195" s="64" t="n">
        <v>0.0128541666666667</v>
      </c>
      <c r="O195" s="48" t="n">
        <f aca="false">IF(AND(B195&gt;=DATE(2026,1,1),B195&lt;=Resumen!$C$5),1,0)</f>
        <v>0</v>
      </c>
      <c r="P195" s="48" t="n">
        <f aca="false">IF(AND(B195&gt;Resumen!$C$5,B195&lt;=DATE(2027,7,31)),1,0)</f>
        <v>0</v>
      </c>
    </row>
    <row r="196" customFormat="false" ht="15" hidden="false" customHeight="false" outlineLevel="0" collapsed="false">
      <c r="A196" s="38" t="n">
        <v>184</v>
      </c>
      <c r="B196" s="27" t="n">
        <v>50007</v>
      </c>
      <c r="C196" s="39" t="n">
        <v>1523076923.07692</v>
      </c>
      <c r="D196" s="39" t="n">
        <v>19577884.6153846</v>
      </c>
      <c r="E196" s="39" t="n">
        <v>0</v>
      </c>
      <c r="F196" s="39" t="n">
        <v>19577884.6153846</v>
      </c>
      <c r="G196" s="39" t="n">
        <v>1523076923.07692</v>
      </c>
      <c r="H196" s="33" t="n">
        <f aca="false">J195</f>
        <v>1523076923.07692</v>
      </c>
      <c r="I196" s="33" t="n">
        <f aca="false">H196*N196</f>
        <v>19577884.6153846</v>
      </c>
      <c r="J196" s="33" t="n">
        <f aca="false">H196-E196</f>
        <v>1523076923.07692</v>
      </c>
      <c r="K196" s="33" t="n">
        <f aca="false">D196-I196</f>
        <v>0</v>
      </c>
      <c r="L196" s="33" t="n">
        <f aca="false">G196-J196</f>
        <v>0</v>
      </c>
      <c r="M196" s="33" t="n">
        <f aca="false">F196</f>
        <v>19577884.6153846</v>
      </c>
      <c r="N196" s="64" t="n">
        <v>0.0128541666666667</v>
      </c>
      <c r="O196" s="48" t="n">
        <f aca="false">IF(AND(B196&gt;=DATE(2026,1,1),B196&lt;=Resumen!$C$5),1,0)</f>
        <v>0</v>
      </c>
      <c r="P196" s="48" t="n">
        <f aca="false">IF(AND(B196&gt;Resumen!$C$5,B196&lt;=DATE(2027,7,31)),1,0)</f>
        <v>0</v>
      </c>
    </row>
    <row r="197" customFormat="false" ht="15" hidden="false" customHeight="false" outlineLevel="0" collapsed="false">
      <c r="A197" s="38" t="n">
        <v>185</v>
      </c>
      <c r="B197" s="27" t="n">
        <v>50037</v>
      </c>
      <c r="C197" s="39" t="n">
        <v>1523076923.07692</v>
      </c>
      <c r="D197" s="39" t="n">
        <v>19577884.6153846</v>
      </c>
      <c r="E197" s="39" t="n">
        <v>0</v>
      </c>
      <c r="F197" s="39" t="n">
        <v>19577884.6153846</v>
      </c>
      <c r="G197" s="39" t="n">
        <v>1523076923.07692</v>
      </c>
      <c r="H197" s="33" t="n">
        <f aca="false">J196</f>
        <v>1523076923.07692</v>
      </c>
      <c r="I197" s="33" t="n">
        <f aca="false">H197*N197</f>
        <v>19577884.6153846</v>
      </c>
      <c r="J197" s="33" t="n">
        <f aca="false">H197-E197</f>
        <v>1523076923.07692</v>
      </c>
      <c r="K197" s="33" t="n">
        <f aca="false">D197-I197</f>
        <v>0</v>
      </c>
      <c r="L197" s="33" t="n">
        <f aca="false">G197-J197</f>
        <v>0</v>
      </c>
      <c r="M197" s="33" t="n">
        <f aca="false">F197</f>
        <v>19577884.6153846</v>
      </c>
      <c r="N197" s="64" t="n">
        <v>0.0128541666666667</v>
      </c>
      <c r="O197" s="48" t="n">
        <f aca="false">IF(AND(B197&gt;=DATE(2026,1,1),B197&lt;=Resumen!$C$5),1,0)</f>
        <v>0</v>
      </c>
      <c r="P197" s="48" t="n">
        <f aca="false">IF(AND(B197&gt;Resumen!$C$5,B197&lt;=DATE(2027,7,31)),1,0)</f>
        <v>0</v>
      </c>
    </row>
    <row r="198" customFormat="false" ht="15" hidden="false" customHeight="false" outlineLevel="0" collapsed="false">
      <c r="A198" s="38" t="n">
        <v>186</v>
      </c>
      <c r="B198" s="27" t="n">
        <v>50068</v>
      </c>
      <c r="C198" s="39" t="n">
        <v>1523076923.07692</v>
      </c>
      <c r="D198" s="39" t="n">
        <v>19577884.6153846</v>
      </c>
      <c r="E198" s="39" t="n">
        <v>152307692.307692</v>
      </c>
      <c r="F198" s="39" t="n">
        <v>171885576.923077</v>
      </c>
      <c r="G198" s="39" t="n">
        <v>1370769230.76923</v>
      </c>
      <c r="H198" s="33" t="n">
        <f aca="false">J197</f>
        <v>1523076923.07692</v>
      </c>
      <c r="I198" s="33" t="n">
        <f aca="false">H198*N198</f>
        <v>19577884.6153846</v>
      </c>
      <c r="J198" s="33" t="n">
        <f aca="false">H198-E198</f>
        <v>1370769230.76923</v>
      </c>
      <c r="K198" s="33" t="n">
        <f aca="false">D198-I198</f>
        <v>0</v>
      </c>
      <c r="L198" s="33" t="n">
        <f aca="false">G198-J198</f>
        <v>0</v>
      </c>
      <c r="M198" s="33" t="n">
        <f aca="false">F198</f>
        <v>171885576.923077</v>
      </c>
      <c r="N198" s="64" t="n">
        <v>0.0128541666666667</v>
      </c>
      <c r="O198" s="48" t="n">
        <f aca="false">IF(AND(B198&gt;=DATE(2026,1,1),B198&lt;=Resumen!$C$5),1,0)</f>
        <v>0</v>
      </c>
      <c r="P198" s="48" t="n">
        <f aca="false">IF(AND(B198&gt;Resumen!$C$5,B198&lt;=DATE(2027,7,31)),1,0)</f>
        <v>0</v>
      </c>
    </row>
    <row r="199" customFormat="false" ht="15" hidden="false" customHeight="false" outlineLevel="0" collapsed="false">
      <c r="A199" s="38" t="n">
        <v>187</v>
      </c>
      <c r="B199" s="27" t="n">
        <v>50099</v>
      </c>
      <c r="C199" s="39" t="n">
        <v>1370769230.76923</v>
      </c>
      <c r="D199" s="39" t="n">
        <v>17620096.1538461</v>
      </c>
      <c r="E199" s="39" t="n">
        <v>0</v>
      </c>
      <c r="F199" s="39" t="n">
        <v>17620096.1538461</v>
      </c>
      <c r="G199" s="39" t="n">
        <v>1370769230.76923</v>
      </c>
      <c r="H199" s="33" t="n">
        <f aca="false">J198</f>
        <v>1370769230.76923</v>
      </c>
      <c r="I199" s="33" t="n">
        <f aca="false">H199*N199</f>
        <v>17620096.1538461</v>
      </c>
      <c r="J199" s="33" t="n">
        <f aca="false">H199-E199</f>
        <v>1370769230.76923</v>
      </c>
      <c r="K199" s="33" t="n">
        <f aca="false">D199-I199</f>
        <v>0</v>
      </c>
      <c r="L199" s="33" t="n">
        <f aca="false">G199-J199</f>
        <v>0</v>
      </c>
      <c r="M199" s="33" t="n">
        <f aca="false">F199</f>
        <v>17620096.1538461</v>
      </c>
      <c r="N199" s="64" t="n">
        <v>0.0128541666666667</v>
      </c>
      <c r="O199" s="48" t="n">
        <f aca="false">IF(AND(B199&gt;=DATE(2026,1,1),B199&lt;=Resumen!$C$5),1,0)</f>
        <v>0</v>
      </c>
      <c r="P199" s="48" t="n">
        <f aca="false">IF(AND(B199&gt;Resumen!$C$5,B199&lt;=DATE(2027,7,31)),1,0)</f>
        <v>0</v>
      </c>
    </row>
    <row r="200" customFormat="false" ht="15" hidden="false" customHeight="false" outlineLevel="0" collapsed="false">
      <c r="A200" s="38" t="n">
        <v>188</v>
      </c>
      <c r="B200" s="27" t="n">
        <v>50127</v>
      </c>
      <c r="C200" s="39" t="n">
        <v>1370769230.76923</v>
      </c>
      <c r="D200" s="39" t="n">
        <v>17620096.1538461</v>
      </c>
      <c r="E200" s="39" t="n">
        <v>0</v>
      </c>
      <c r="F200" s="39" t="n">
        <v>17620096.1538461</v>
      </c>
      <c r="G200" s="39" t="n">
        <v>1370769230.76923</v>
      </c>
      <c r="H200" s="33" t="n">
        <f aca="false">J199</f>
        <v>1370769230.76923</v>
      </c>
      <c r="I200" s="33" t="n">
        <f aca="false">H200*N200</f>
        <v>17620096.1538461</v>
      </c>
      <c r="J200" s="33" t="n">
        <f aca="false">H200-E200</f>
        <v>1370769230.76923</v>
      </c>
      <c r="K200" s="33" t="n">
        <f aca="false">D200-I200</f>
        <v>0</v>
      </c>
      <c r="L200" s="33" t="n">
        <f aca="false">G200-J200</f>
        <v>0</v>
      </c>
      <c r="M200" s="33" t="n">
        <f aca="false">F200</f>
        <v>17620096.1538461</v>
      </c>
      <c r="N200" s="64" t="n">
        <v>0.0128541666666667</v>
      </c>
      <c r="O200" s="48" t="n">
        <f aca="false">IF(AND(B200&gt;=DATE(2026,1,1),B200&lt;=Resumen!$C$5),1,0)</f>
        <v>0</v>
      </c>
      <c r="P200" s="48" t="n">
        <f aca="false">IF(AND(B200&gt;Resumen!$C$5,B200&lt;=DATE(2027,7,31)),1,0)</f>
        <v>0</v>
      </c>
    </row>
    <row r="201" customFormat="false" ht="15" hidden="false" customHeight="false" outlineLevel="0" collapsed="false">
      <c r="A201" s="38" t="n">
        <v>189</v>
      </c>
      <c r="B201" s="27" t="n">
        <v>50158</v>
      </c>
      <c r="C201" s="39" t="n">
        <v>1370769230.76923</v>
      </c>
      <c r="D201" s="39" t="n">
        <v>17620096.1538461</v>
      </c>
      <c r="E201" s="39" t="n">
        <v>0</v>
      </c>
      <c r="F201" s="39" t="n">
        <v>17620096.1538461</v>
      </c>
      <c r="G201" s="39" t="n">
        <v>1370769230.76923</v>
      </c>
      <c r="H201" s="33" t="n">
        <f aca="false">J200</f>
        <v>1370769230.76923</v>
      </c>
      <c r="I201" s="33" t="n">
        <f aca="false">H201*N201</f>
        <v>17620096.1538461</v>
      </c>
      <c r="J201" s="33" t="n">
        <f aca="false">H201-E201</f>
        <v>1370769230.76923</v>
      </c>
      <c r="K201" s="33" t="n">
        <f aca="false">D201-I201</f>
        <v>0</v>
      </c>
      <c r="L201" s="33" t="n">
        <f aca="false">G201-J201</f>
        <v>0</v>
      </c>
      <c r="M201" s="33" t="n">
        <f aca="false">F201</f>
        <v>17620096.1538461</v>
      </c>
      <c r="N201" s="64" t="n">
        <v>0.0128541666666667</v>
      </c>
      <c r="O201" s="48" t="n">
        <f aca="false">IF(AND(B201&gt;=DATE(2026,1,1),B201&lt;=Resumen!$C$5),1,0)</f>
        <v>0</v>
      </c>
      <c r="P201" s="48" t="n">
        <f aca="false">IF(AND(B201&gt;Resumen!$C$5,B201&lt;=DATE(2027,7,31)),1,0)</f>
        <v>0</v>
      </c>
    </row>
    <row r="202" customFormat="false" ht="15" hidden="false" customHeight="false" outlineLevel="0" collapsed="false">
      <c r="A202" s="38" t="n">
        <v>190</v>
      </c>
      <c r="B202" s="27" t="n">
        <v>50188</v>
      </c>
      <c r="C202" s="39" t="n">
        <v>1370769230.76923</v>
      </c>
      <c r="D202" s="39" t="n">
        <v>17620096.1538461</v>
      </c>
      <c r="E202" s="39" t="n">
        <v>0</v>
      </c>
      <c r="F202" s="39" t="n">
        <v>17620096.1538461</v>
      </c>
      <c r="G202" s="39" t="n">
        <v>1370769230.76923</v>
      </c>
      <c r="H202" s="33" t="n">
        <f aca="false">J201</f>
        <v>1370769230.76923</v>
      </c>
      <c r="I202" s="33" t="n">
        <f aca="false">H202*N202</f>
        <v>17620096.1538461</v>
      </c>
      <c r="J202" s="33" t="n">
        <f aca="false">H202-E202</f>
        <v>1370769230.76923</v>
      </c>
      <c r="K202" s="33" t="n">
        <f aca="false">D202-I202</f>
        <v>0</v>
      </c>
      <c r="L202" s="33" t="n">
        <f aca="false">G202-J202</f>
        <v>0</v>
      </c>
      <c r="M202" s="33" t="n">
        <f aca="false">F202</f>
        <v>17620096.1538461</v>
      </c>
      <c r="N202" s="64" t="n">
        <v>0.0128541666666667</v>
      </c>
      <c r="O202" s="48" t="n">
        <f aca="false">IF(AND(B202&gt;=DATE(2026,1,1),B202&lt;=Resumen!$C$5),1,0)</f>
        <v>0</v>
      </c>
      <c r="P202" s="48" t="n">
        <f aca="false">IF(AND(B202&gt;Resumen!$C$5,B202&lt;=DATE(2027,7,31)),1,0)</f>
        <v>0</v>
      </c>
    </row>
    <row r="203" customFormat="false" ht="15" hidden="false" customHeight="false" outlineLevel="0" collapsed="false">
      <c r="A203" s="38" t="n">
        <v>191</v>
      </c>
      <c r="B203" s="27" t="n">
        <v>50219</v>
      </c>
      <c r="C203" s="39" t="n">
        <v>1370769230.76923</v>
      </c>
      <c r="D203" s="39" t="n">
        <v>17620096.1538461</v>
      </c>
      <c r="E203" s="39" t="n">
        <v>0</v>
      </c>
      <c r="F203" s="39" t="n">
        <v>17620096.1538461</v>
      </c>
      <c r="G203" s="39" t="n">
        <v>1370769230.76923</v>
      </c>
      <c r="H203" s="33" t="n">
        <f aca="false">J202</f>
        <v>1370769230.76923</v>
      </c>
      <c r="I203" s="33" t="n">
        <f aca="false">H203*N203</f>
        <v>17620096.1538461</v>
      </c>
      <c r="J203" s="33" t="n">
        <f aca="false">H203-E203</f>
        <v>1370769230.76923</v>
      </c>
      <c r="K203" s="33" t="n">
        <f aca="false">D203-I203</f>
        <v>0</v>
      </c>
      <c r="L203" s="33" t="n">
        <f aca="false">G203-J203</f>
        <v>0</v>
      </c>
      <c r="M203" s="33" t="n">
        <f aca="false">F203</f>
        <v>17620096.1538461</v>
      </c>
      <c r="N203" s="64" t="n">
        <v>0.0128541666666667</v>
      </c>
      <c r="O203" s="48" t="n">
        <f aca="false">IF(AND(B203&gt;=DATE(2026,1,1),B203&lt;=Resumen!$C$5),1,0)</f>
        <v>0</v>
      </c>
      <c r="P203" s="48" t="n">
        <f aca="false">IF(AND(B203&gt;Resumen!$C$5,B203&lt;=DATE(2027,7,31)),1,0)</f>
        <v>0</v>
      </c>
    </row>
    <row r="204" customFormat="false" ht="15" hidden="false" customHeight="false" outlineLevel="0" collapsed="false">
      <c r="A204" s="38" t="n">
        <v>192</v>
      </c>
      <c r="B204" s="27" t="n">
        <v>50249</v>
      </c>
      <c r="C204" s="39" t="n">
        <v>1370769230.76923</v>
      </c>
      <c r="D204" s="39" t="n">
        <v>17620096.1538461</v>
      </c>
      <c r="E204" s="39" t="n">
        <v>152307692.307692</v>
      </c>
      <c r="F204" s="39" t="n">
        <v>169927788.461538</v>
      </c>
      <c r="G204" s="39" t="n">
        <v>1218461538.46154</v>
      </c>
      <c r="H204" s="33" t="n">
        <f aca="false">J203</f>
        <v>1370769230.76923</v>
      </c>
      <c r="I204" s="33" t="n">
        <f aca="false">H204*N204</f>
        <v>17620096.1538461</v>
      </c>
      <c r="J204" s="33" t="n">
        <f aca="false">H204-E204</f>
        <v>1218461538.46154</v>
      </c>
      <c r="K204" s="33" t="n">
        <f aca="false">D204-I204</f>
        <v>0</v>
      </c>
      <c r="L204" s="33" t="n">
        <f aca="false">G204-J204</f>
        <v>0</v>
      </c>
      <c r="M204" s="33" t="n">
        <f aca="false">F204</f>
        <v>169927788.461538</v>
      </c>
      <c r="N204" s="64" t="n">
        <v>0.0128541666666667</v>
      </c>
      <c r="O204" s="48" t="n">
        <f aca="false">IF(AND(B204&gt;=DATE(2026,1,1),B204&lt;=Resumen!$C$5),1,0)</f>
        <v>0</v>
      </c>
      <c r="P204" s="48" t="n">
        <f aca="false">IF(AND(B204&gt;Resumen!$C$5,B204&lt;=DATE(2027,7,31)),1,0)</f>
        <v>0</v>
      </c>
    </row>
    <row r="205" customFormat="false" ht="15" hidden="false" customHeight="false" outlineLevel="0" collapsed="false">
      <c r="A205" s="38" t="n">
        <v>193</v>
      </c>
      <c r="B205" s="27" t="n">
        <v>50280</v>
      </c>
      <c r="C205" s="39" t="n">
        <v>1218461538.46154</v>
      </c>
      <c r="D205" s="39" t="n">
        <v>15662307.6923077</v>
      </c>
      <c r="E205" s="39" t="n">
        <v>0</v>
      </c>
      <c r="F205" s="39" t="n">
        <v>15662307.6923077</v>
      </c>
      <c r="G205" s="39" t="n">
        <v>1218461538.46154</v>
      </c>
      <c r="H205" s="33" t="n">
        <f aca="false">J204</f>
        <v>1218461538.46154</v>
      </c>
      <c r="I205" s="33" t="n">
        <f aca="false">H205*N205</f>
        <v>15662307.6923077</v>
      </c>
      <c r="J205" s="33" t="n">
        <f aca="false">H205-E205</f>
        <v>1218461538.46154</v>
      </c>
      <c r="K205" s="33" t="n">
        <f aca="false">D205-I205</f>
        <v>0</v>
      </c>
      <c r="L205" s="33" t="n">
        <f aca="false">G205-J205</f>
        <v>0</v>
      </c>
      <c r="M205" s="33" t="n">
        <f aca="false">F205</f>
        <v>15662307.6923077</v>
      </c>
      <c r="N205" s="64" t="n">
        <v>0.0128541666666667</v>
      </c>
      <c r="O205" s="48" t="n">
        <f aca="false">IF(AND(B205&gt;=DATE(2026,1,1),B205&lt;=Resumen!$C$5),1,0)</f>
        <v>0</v>
      </c>
      <c r="P205" s="48" t="n">
        <f aca="false">IF(AND(B205&gt;Resumen!$C$5,B205&lt;=DATE(2027,7,31)),1,0)</f>
        <v>0</v>
      </c>
    </row>
    <row r="206" customFormat="false" ht="15" hidden="false" customHeight="false" outlineLevel="0" collapsed="false">
      <c r="A206" s="38" t="n">
        <v>194</v>
      </c>
      <c r="B206" s="27" t="n">
        <v>50311</v>
      </c>
      <c r="C206" s="39" t="n">
        <v>1218461538.46154</v>
      </c>
      <c r="D206" s="39" t="n">
        <v>15662307.6923077</v>
      </c>
      <c r="E206" s="39" t="n">
        <v>0</v>
      </c>
      <c r="F206" s="39" t="n">
        <v>15662307.6923077</v>
      </c>
      <c r="G206" s="39" t="n">
        <v>1218461538.46154</v>
      </c>
      <c r="H206" s="33" t="n">
        <f aca="false">J205</f>
        <v>1218461538.46154</v>
      </c>
      <c r="I206" s="33" t="n">
        <f aca="false">H206*N206</f>
        <v>15662307.6923077</v>
      </c>
      <c r="J206" s="33" t="n">
        <f aca="false">H206-E206</f>
        <v>1218461538.46154</v>
      </c>
      <c r="K206" s="33" t="n">
        <f aca="false">D206-I206</f>
        <v>0</v>
      </c>
      <c r="L206" s="33" t="n">
        <f aca="false">G206-J206</f>
        <v>0</v>
      </c>
      <c r="M206" s="33" t="n">
        <f aca="false">F206</f>
        <v>15662307.6923077</v>
      </c>
      <c r="N206" s="64" t="n">
        <v>0.0128541666666667</v>
      </c>
      <c r="O206" s="48" t="n">
        <f aca="false">IF(AND(B206&gt;=DATE(2026,1,1),B206&lt;=Resumen!$C$5),1,0)</f>
        <v>0</v>
      </c>
      <c r="P206" s="48" t="n">
        <f aca="false">IF(AND(B206&gt;Resumen!$C$5,B206&lt;=DATE(2027,7,31)),1,0)</f>
        <v>0</v>
      </c>
    </row>
    <row r="207" customFormat="false" ht="15" hidden="false" customHeight="false" outlineLevel="0" collapsed="false">
      <c r="A207" s="38" t="n">
        <v>195</v>
      </c>
      <c r="B207" s="27" t="n">
        <v>50341</v>
      </c>
      <c r="C207" s="39" t="n">
        <v>1218461538.46154</v>
      </c>
      <c r="D207" s="39" t="n">
        <v>15662307.6923077</v>
      </c>
      <c r="E207" s="39" t="n">
        <v>0</v>
      </c>
      <c r="F207" s="39" t="n">
        <v>15662307.6923077</v>
      </c>
      <c r="G207" s="39" t="n">
        <v>1218461538.46154</v>
      </c>
      <c r="H207" s="33" t="n">
        <f aca="false">J206</f>
        <v>1218461538.46154</v>
      </c>
      <c r="I207" s="33" t="n">
        <f aca="false">H207*N207</f>
        <v>15662307.6923077</v>
      </c>
      <c r="J207" s="33" t="n">
        <f aca="false">H207-E207</f>
        <v>1218461538.46154</v>
      </c>
      <c r="K207" s="33" t="n">
        <f aca="false">D207-I207</f>
        <v>0</v>
      </c>
      <c r="L207" s="33" t="n">
        <f aca="false">G207-J207</f>
        <v>0</v>
      </c>
      <c r="M207" s="33" t="n">
        <f aca="false">F207</f>
        <v>15662307.6923077</v>
      </c>
      <c r="N207" s="64" t="n">
        <v>0.0128541666666667</v>
      </c>
      <c r="O207" s="48" t="n">
        <f aca="false">IF(AND(B207&gt;=DATE(2026,1,1),B207&lt;=Resumen!$C$5),1,0)</f>
        <v>0</v>
      </c>
      <c r="P207" s="48" t="n">
        <f aca="false">IF(AND(B207&gt;Resumen!$C$5,B207&lt;=DATE(2027,7,31)),1,0)</f>
        <v>0</v>
      </c>
    </row>
    <row r="208" customFormat="false" ht="15" hidden="false" customHeight="false" outlineLevel="0" collapsed="false">
      <c r="A208" s="38" t="n">
        <v>196</v>
      </c>
      <c r="B208" s="27" t="n">
        <v>50372</v>
      </c>
      <c r="C208" s="39" t="n">
        <v>1218461538.46154</v>
      </c>
      <c r="D208" s="39" t="n">
        <v>15662307.6923077</v>
      </c>
      <c r="E208" s="39" t="n">
        <v>0</v>
      </c>
      <c r="F208" s="39" t="n">
        <v>15662307.6923077</v>
      </c>
      <c r="G208" s="39" t="n">
        <v>1218461538.46154</v>
      </c>
      <c r="H208" s="33" t="n">
        <f aca="false">J207</f>
        <v>1218461538.46154</v>
      </c>
      <c r="I208" s="33" t="n">
        <f aca="false">H208*N208</f>
        <v>15662307.6923077</v>
      </c>
      <c r="J208" s="33" t="n">
        <f aca="false">H208-E208</f>
        <v>1218461538.46154</v>
      </c>
      <c r="K208" s="33" t="n">
        <f aca="false">D208-I208</f>
        <v>0</v>
      </c>
      <c r="L208" s="33" t="n">
        <f aca="false">G208-J208</f>
        <v>0</v>
      </c>
      <c r="M208" s="33" t="n">
        <f aca="false">F208</f>
        <v>15662307.6923077</v>
      </c>
      <c r="N208" s="64" t="n">
        <v>0.0128541666666667</v>
      </c>
      <c r="O208" s="48" t="n">
        <f aca="false">IF(AND(B208&gt;=DATE(2026,1,1),B208&lt;=Resumen!$C$5),1,0)</f>
        <v>0</v>
      </c>
      <c r="P208" s="48" t="n">
        <f aca="false">IF(AND(B208&gt;Resumen!$C$5,B208&lt;=DATE(2027,7,31)),1,0)</f>
        <v>0</v>
      </c>
    </row>
    <row r="209" customFormat="false" ht="15" hidden="false" customHeight="false" outlineLevel="0" collapsed="false">
      <c r="A209" s="38" t="n">
        <v>197</v>
      </c>
      <c r="B209" s="27" t="n">
        <v>50402</v>
      </c>
      <c r="C209" s="39" t="n">
        <v>1218461538.46154</v>
      </c>
      <c r="D209" s="39" t="n">
        <v>15662307.6923077</v>
      </c>
      <c r="E209" s="39" t="n">
        <v>0</v>
      </c>
      <c r="F209" s="39" t="n">
        <v>15662307.6923077</v>
      </c>
      <c r="G209" s="39" t="n">
        <v>1218461538.46154</v>
      </c>
      <c r="H209" s="33" t="n">
        <f aca="false">J208</f>
        <v>1218461538.46154</v>
      </c>
      <c r="I209" s="33" t="n">
        <f aca="false">H209*N209</f>
        <v>15662307.6923077</v>
      </c>
      <c r="J209" s="33" t="n">
        <f aca="false">H209-E209</f>
        <v>1218461538.46154</v>
      </c>
      <c r="K209" s="33" t="n">
        <f aca="false">D209-I209</f>
        <v>0</v>
      </c>
      <c r="L209" s="33" t="n">
        <f aca="false">G209-J209</f>
        <v>0</v>
      </c>
      <c r="M209" s="33" t="n">
        <f aca="false">F209</f>
        <v>15662307.6923077</v>
      </c>
      <c r="N209" s="64" t="n">
        <v>0.0128541666666667</v>
      </c>
      <c r="O209" s="48" t="n">
        <f aca="false">IF(AND(B209&gt;=DATE(2026,1,1),B209&lt;=Resumen!$C$5),1,0)</f>
        <v>0</v>
      </c>
      <c r="P209" s="48" t="n">
        <f aca="false">IF(AND(B209&gt;Resumen!$C$5,B209&lt;=DATE(2027,7,31)),1,0)</f>
        <v>0</v>
      </c>
    </row>
    <row r="210" customFormat="false" ht="15" hidden="false" customHeight="false" outlineLevel="0" collapsed="false">
      <c r="A210" s="38" t="n">
        <v>198</v>
      </c>
      <c r="B210" s="27" t="n">
        <v>50433</v>
      </c>
      <c r="C210" s="39" t="n">
        <v>1218461538.46154</v>
      </c>
      <c r="D210" s="39" t="n">
        <v>15662307.6923077</v>
      </c>
      <c r="E210" s="39" t="n">
        <v>152307692.307692</v>
      </c>
      <c r="F210" s="39" t="n">
        <v>167970000</v>
      </c>
      <c r="G210" s="39" t="n">
        <v>1066153846.15384</v>
      </c>
      <c r="H210" s="33" t="n">
        <f aca="false">J209</f>
        <v>1218461538.46154</v>
      </c>
      <c r="I210" s="33" t="n">
        <f aca="false">H210*N210</f>
        <v>15662307.6923077</v>
      </c>
      <c r="J210" s="33" t="n">
        <f aca="false">H210-E210</f>
        <v>1066153846.15384</v>
      </c>
      <c r="K210" s="33" t="n">
        <f aca="false">D210-I210</f>
        <v>0</v>
      </c>
      <c r="L210" s="33" t="n">
        <f aca="false">G210-J210</f>
        <v>0</v>
      </c>
      <c r="M210" s="33" t="n">
        <f aca="false">F210</f>
        <v>167970000</v>
      </c>
      <c r="N210" s="64" t="n">
        <v>0.0128541666666667</v>
      </c>
      <c r="O210" s="48" t="n">
        <f aca="false">IF(AND(B210&gt;=DATE(2026,1,1),B210&lt;=Resumen!$C$5),1,0)</f>
        <v>0</v>
      </c>
      <c r="P210" s="48" t="n">
        <f aca="false">IF(AND(B210&gt;Resumen!$C$5,B210&lt;=DATE(2027,7,31)),1,0)</f>
        <v>0</v>
      </c>
    </row>
    <row r="211" customFormat="false" ht="15" hidden="false" customHeight="false" outlineLevel="0" collapsed="false">
      <c r="A211" s="38" t="n">
        <v>199</v>
      </c>
      <c r="B211" s="27" t="n">
        <v>50464</v>
      </c>
      <c r="C211" s="39" t="n">
        <v>1066153846.15384</v>
      </c>
      <c r="D211" s="39" t="n">
        <v>13704519.2307692</v>
      </c>
      <c r="E211" s="39" t="n">
        <v>0</v>
      </c>
      <c r="F211" s="39" t="n">
        <v>13704519.2307692</v>
      </c>
      <c r="G211" s="39" t="n">
        <v>1066153846.15384</v>
      </c>
      <c r="H211" s="33" t="n">
        <f aca="false">J210</f>
        <v>1066153846.15384</v>
      </c>
      <c r="I211" s="33" t="n">
        <f aca="false">H211*N211</f>
        <v>13704519.2307692</v>
      </c>
      <c r="J211" s="33" t="n">
        <f aca="false">H211-E211</f>
        <v>1066153846.15384</v>
      </c>
      <c r="K211" s="33" t="n">
        <f aca="false">D211-I211</f>
        <v>0</v>
      </c>
      <c r="L211" s="33" t="n">
        <f aca="false">G211-J211</f>
        <v>0</v>
      </c>
      <c r="M211" s="33" t="n">
        <f aca="false">F211</f>
        <v>13704519.2307692</v>
      </c>
      <c r="N211" s="64" t="n">
        <v>0.0128541666666667</v>
      </c>
      <c r="O211" s="48" t="n">
        <f aca="false">IF(AND(B211&gt;=DATE(2026,1,1),B211&lt;=Resumen!$C$5),1,0)</f>
        <v>0</v>
      </c>
      <c r="P211" s="48" t="n">
        <f aca="false">IF(AND(B211&gt;Resumen!$C$5,B211&lt;=DATE(2027,7,31)),1,0)</f>
        <v>0</v>
      </c>
    </row>
    <row r="212" customFormat="false" ht="15" hidden="false" customHeight="false" outlineLevel="0" collapsed="false">
      <c r="A212" s="38" t="n">
        <v>200</v>
      </c>
      <c r="B212" s="27" t="n">
        <v>50492</v>
      </c>
      <c r="C212" s="39" t="n">
        <v>1066153846.15384</v>
      </c>
      <c r="D212" s="39" t="n">
        <v>13704519.2307692</v>
      </c>
      <c r="E212" s="39" t="n">
        <v>0</v>
      </c>
      <c r="F212" s="39" t="n">
        <v>13704519.2307692</v>
      </c>
      <c r="G212" s="39" t="n">
        <v>1066153846.15384</v>
      </c>
      <c r="H212" s="33" t="n">
        <f aca="false">J211</f>
        <v>1066153846.15384</v>
      </c>
      <c r="I212" s="33" t="n">
        <f aca="false">H212*N212</f>
        <v>13704519.2307692</v>
      </c>
      <c r="J212" s="33" t="n">
        <f aca="false">H212-E212</f>
        <v>1066153846.15384</v>
      </c>
      <c r="K212" s="33" t="n">
        <f aca="false">D212-I212</f>
        <v>0</v>
      </c>
      <c r="L212" s="33" t="n">
        <f aca="false">G212-J212</f>
        <v>0</v>
      </c>
      <c r="M212" s="33" t="n">
        <f aca="false">F212</f>
        <v>13704519.2307692</v>
      </c>
      <c r="N212" s="64" t="n">
        <v>0.0128541666666667</v>
      </c>
      <c r="O212" s="48" t="n">
        <f aca="false">IF(AND(B212&gt;=DATE(2026,1,1),B212&lt;=Resumen!$C$5),1,0)</f>
        <v>0</v>
      </c>
      <c r="P212" s="48" t="n">
        <f aca="false">IF(AND(B212&gt;Resumen!$C$5,B212&lt;=DATE(2027,7,31)),1,0)</f>
        <v>0</v>
      </c>
    </row>
    <row r="213" customFormat="false" ht="15" hidden="false" customHeight="false" outlineLevel="0" collapsed="false">
      <c r="A213" s="38" t="n">
        <v>201</v>
      </c>
      <c r="B213" s="27" t="n">
        <v>50523</v>
      </c>
      <c r="C213" s="39" t="n">
        <v>1066153846.15384</v>
      </c>
      <c r="D213" s="39" t="n">
        <v>13704519.2307692</v>
      </c>
      <c r="E213" s="39" t="n">
        <v>0</v>
      </c>
      <c r="F213" s="39" t="n">
        <v>13704519.2307692</v>
      </c>
      <c r="G213" s="39" t="n">
        <v>1066153846.15384</v>
      </c>
      <c r="H213" s="33" t="n">
        <f aca="false">J212</f>
        <v>1066153846.15384</v>
      </c>
      <c r="I213" s="33" t="n">
        <f aca="false">H213*N213</f>
        <v>13704519.2307692</v>
      </c>
      <c r="J213" s="33" t="n">
        <f aca="false">H213-E213</f>
        <v>1066153846.15384</v>
      </c>
      <c r="K213" s="33" t="n">
        <f aca="false">D213-I213</f>
        <v>0</v>
      </c>
      <c r="L213" s="33" t="n">
        <f aca="false">G213-J213</f>
        <v>0</v>
      </c>
      <c r="M213" s="33" t="n">
        <f aca="false">F213</f>
        <v>13704519.2307692</v>
      </c>
      <c r="N213" s="64" t="n">
        <v>0.0128541666666667</v>
      </c>
      <c r="O213" s="48" t="n">
        <f aca="false">IF(AND(B213&gt;=DATE(2026,1,1),B213&lt;=Resumen!$C$5),1,0)</f>
        <v>0</v>
      </c>
      <c r="P213" s="48" t="n">
        <f aca="false">IF(AND(B213&gt;Resumen!$C$5,B213&lt;=DATE(2027,7,31)),1,0)</f>
        <v>0</v>
      </c>
    </row>
    <row r="214" customFormat="false" ht="15" hidden="false" customHeight="false" outlineLevel="0" collapsed="false">
      <c r="A214" s="38" t="n">
        <v>202</v>
      </c>
      <c r="B214" s="27" t="n">
        <v>50553</v>
      </c>
      <c r="C214" s="39" t="n">
        <v>1066153846.15384</v>
      </c>
      <c r="D214" s="39" t="n">
        <v>13704519.2307692</v>
      </c>
      <c r="E214" s="39" t="n">
        <v>0</v>
      </c>
      <c r="F214" s="39" t="n">
        <v>13704519.2307692</v>
      </c>
      <c r="G214" s="39" t="n">
        <v>1066153846.15384</v>
      </c>
      <c r="H214" s="33" t="n">
        <f aca="false">J213</f>
        <v>1066153846.15384</v>
      </c>
      <c r="I214" s="33" t="n">
        <f aca="false">H214*N214</f>
        <v>13704519.2307692</v>
      </c>
      <c r="J214" s="33" t="n">
        <f aca="false">H214-E214</f>
        <v>1066153846.15384</v>
      </c>
      <c r="K214" s="33" t="n">
        <f aca="false">D214-I214</f>
        <v>0</v>
      </c>
      <c r="L214" s="33" t="n">
        <f aca="false">G214-J214</f>
        <v>0</v>
      </c>
      <c r="M214" s="33" t="n">
        <f aca="false">F214</f>
        <v>13704519.2307692</v>
      </c>
      <c r="N214" s="64" t="n">
        <v>0.0128541666666667</v>
      </c>
      <c r="O214" s="48" t="n">
        <f aca="false">IF(AND(B214&gt;=DATE(2026,1,1),B214&lt;=Resumen!$C$5),1,0)</f>
        <v>0</v>
      </c>
      <c r="P214" s="48" t="n">
        <f aca="false">IF(AND(B214&gt;Resumen!$C$5,B214&lt;=DATE(2027,7,31)),1,0)</f>
        <v>0</v>
      </c>
    </row>
    <row r="215" customFormat="false" ht="15" hidden="false" customHeight="false" outlineLevel="0" collapsed="false">
      <c r="A215" s="38" t="n">
        <v>203</v>
      </c>
      <c r="B215" s="27" t="n">
        <v>50584</v>
      </c>
      <c r="C215" s="39" t="n">
        <v>1066153846.15384</v>
      </c>
      <c r="D215" s="39" t="n">
        <v>13704519.2307692</v>
      </c>
      <c r="E215" s="39" t="n">
        <v>0</v>
      </c>
      <c r="F215" s="39" t="n">
        <v>13704519.2307692</v>
      </c>
      <c r="G215" s="39" t="n">
        <v>1066153846.15384</v>
      </c>
      <c r="H215" s="33" t="n">
        <f aca="false">J214</f>
        <v>1066153846.15384</v>
      </c>
      <c r="I215" s="33" t="n">
        <f aca="false">H215*N215</f>
        <v>13704519.2307692</v>
      </c>
      <c r="J215" s="33" t="n">
        <f aca="false">H215-E215</f>
        <v>1066153846.15384</v>
      </c>
      <c r="K215" s="33" t="n">
        <f aca="false">D215-I215</f>
        <v>0</v>
      </c>
      <c r="L215" s="33" t="n">
        <f aca="false">G215-J215</f>
        <v>0</v>
      </c>
      <c r="M215" s="33" t="n">
        <f aca="false">F215</f>
        <v>13704519.2307692</v>
      </c>
      <c r="N215" s="64" t="n">
        <v>0.0128541666666667</v>
      </c>
      <c r="O215" s="48" t="n">
        <f aca="false">IF(AND(B215&gt;=DATE(2026,1,1),B215&lt;=Resumen!$C$5),1,0)</f>
        <v>0</v>
      </c>
      <c r="P215" s="48" t="n">
        <f aca="false">IF(AND(B215&gt;Resumen!$C$5,B215&lt;=DATE(2027,7,31)),1,0)</f>
        <v>0</v>
      </c>
    </row>
    <row r="216" customFormat="false" ht="15" hidden="false" customHeight="false" outlineLevel="0" collapsed="false">
      <c r="A216" s="38" t="n">
        <v>204</v>
      </c>
      <c r="B216" s="27" t="n">
        <v>50614</v>
      </c>
      <c r="C216" s="39" t="n">
        <v>1066153846.15384</v>
      </c>
      <c r="D216" s="39" t="n">
        <v>13704519.2307692</v>
      </c>
      <c r="E216" s="39" t="n">
        <v>152307692.307692</v>
      </c>
      <c r="F216" s="39" t="n">
        <v>166012211.538462</v>
      </c>
      <c r="G216" s="39" t="n">
        <v>913846153.846152</v>
      </c>
      <c r="H216" s="33" t="n">
        <f aca="false">J215</f>
        <v>1066153846.15384</v>
      </c>
      <c r="I216" s="33" t="n">
        <f aca="false">H216*N216</f>
        <v>13704519.2307692</v>
      </c>
      <c r="J216" s="33" t="n">
        <f aca="false">H216-E216</f>
        <v>913846153.846152</v>
      </c>
      <c r="K216" s="33" t="n">
        <f aca="false">D216-I216</f>
        <v>0</v>
      </c>
      <c r="L216" s="33" t="n">
        <f aca="false">G216-J216</f>
        <v>0</v>
      </c>
      <c r="M216" s="33" t="n">
        <f aca="false">F216</f>
        <v>166012211.538462</v>
      </c>
      <c r="N216" s="64" t="n">
        <v>0.0128541666666667</v>
      </c>
      <c r="O216" s="48" t="n">
        <f aca="false">IF(AND(B216&gt;=DATE(2026,1,1),B216&lt;=Resumen!$C$5),1,0)</f>
        <v>0</v>
      </c>
      <c r="P216" s="48" t="n">
        <f aca="false">IF(AND(B216&gt;Resumen!$C$5,B216&lt;=DATE(2027,7,31)),1,0)</f>
        <v>0</v>
      </c>
    </row>
    <row r="217" customFormat="false" ht="15" hidden="false" customHeight="false" outlineLevel="0" collapsed="false">
      <c r="A217" s="38" t="n">
        <v>205</v>
      </c>
      <c r="B217" s="27" t="n">
        <v>50645</v>
      </c>
      <c r="C217" s="39" t="n">
        <v>913846153.846152</v>
      </c>
      <c r="D217" s="39" t="n">
        <v>11746730.7692307</v>
      </c>
      <c r="E217" s="39" t="n">
        <v>0</v>
      </c>
      <c r="F217" s="39" t="n">
        <v>11746730.7692307</v>
      </c>
      <c r="G217" s="39" t="n">
        <v>913846153.846152</v>
      </c>
      <c r="H217" s="33" t="n">
        <f aca="false">J216</f>
        <v>913846153.846152</v>
      </c>
      <c r="I217" s="33" t="n">
        <f aca="false">H217*N217</f>
        <v>11746730.7692307</v>
      </c>
      <c r="J217" s="33" t="n">
        <f aca="false">H217-E217</f>
        <v>913846153.846152</v>
      </c>
      <c r="K217" s="33" t="n">
        <f aca="false">D217-I217</f>
        <v>0</v>
      </c>
      <c r="L217" s="33" t="n">
        <f aca="false">G217-J217</f>
        <v>0</v>
      </c>
      <c r="M217" s="33" t="n">
        <f aca="false">F217</f>
        <v>11746730.7692307</v>
      </c>
      <c r="N217" s="64" t="n">
        <v>0.0128541666666667</v>
      </c>
      <c r="O217" s="48" t="n">
        <f aca="false">IF(AND(B217&gt;=DATE(2026,1,1),B217&lt;=Resumen!$C$5),1,0)</f>
        <v>0</v>
      </c>
      <c r="P217" s="48" t="n">
        <f aca="false">IF(AND(B217&gt;Resumen!$C$5,B217&lt;=DATE(2027,7,31)),1,0)</f>
        <v>0</v>
      </c>
    </row>
    <row r="218" customFormat="false" ht="15" hidden="false" customHeight="false" outlineLevel="0" collapsed="false">
      <c r="A218" s="38" t="n">
        <v>206</v>
      </c>
      <c r="B218" s="27" t="n">
        <v>50676</v>
      </c>
      <c r="C218" s="39" t="n">
        <v>913846153.846152</v>
      </c>
      <c r="D218" s="39" t="n">
        <v>11746730.7692307</v>
      </c>
      <c r="E218" s="39" t="n">
        <v>0</v>
      </c>
      <c r="F218" s="39" t="n">
        <v>11746730.7692307</v>
      </c>
      <c r="G218" s="39" t="n">
        <v>913846153.846152</v>
      </c>
      <c r="H218" s="33" t="n">
        <f aca="false">J217</f>
        <v>913846153.846152</v>
      </c>
      <c r="I218" s="33" t="n">
        <f aca="false">H218*N218</f>
        <v>11746730.7692307</v>
      </c>
      <c r="J218" s="33" t="n">
        <f aca="false">H218-E218</f>
        <v>913846153.846152</v>
      </c>
      <c r="K218" s="33" t="n">
        <f aca="false">D218-I218</f>
        <v>0</v>
      </c>
      <c r="L218" s="33" t="n">
        <f aca="false">G218-J218</f>
        <v>0</v>
      </c>
      <c r="M218" s="33" t="n">
        <f aca="false">F218</f>
        <v>11746730.7692307</v>
      </c>
      <c r="N218" s="64" t="n">
        <v>0.0128541666666667</v>
      </c>
      <c r="O218" s="48" t="n">
        <f aca="false">IF(AND(B218&gt;=DATE(2026,1,1),B218&lt;=Resumen!$C$5),1,0)</f>
        <v>0</v>
      </c>
      <c r="P218" s="48" t="n">
        <f aca="false">IF(AND(B218&gt;Resumen!$C$5,B218&lt;=DATE(2027,7,31)),1,0)</f>
        <v>0</v>
      </c>
    </row>
    <row r="219" customFormat="false" ht="15" hidden="false" customHeight="false" outlineLevel="0" collapsed="false">
      <c r="A219" s="38" t="n">
        <v>207</v>
      </c>
      <c r="B219" s="27" t="n">
        <v>50706</v>
      </c>
      <c r="C219" s="39" t="n">
        <v>913846153.846152</v>
      </c>
      <c r="D219" s="39" t="n">
        <v>11746730.7692307</v>
      </c>
      <c r="E219" s="39" t="n">
        <v>0</v>
      </c>
      <c r="F219" s="39" t="n">
        <v>11746730.7692307</v>
      </c>
      <c r="G219" s="39" t="n">
        <v>913846153.846152</v>
      </c>
      <c r="H219" s="33" t="n">
        <f aca="false">J218</f>
        <v>913846153.846152</v>
      </c>
      <c r="I219" s="33" t="n">
        <f aca="false">H219*N219</f>
        <v>11746730.7692307</v>
      </c>
      <c r="J219" s="33" t="n">
        <f aca="false">H219-E219</f>
        <v>913846153.846152</v>
      </c>
      <c r="K219" s="33" t="n">
        <f aca="false">D219-I219</f>
        <v>0</v>
      </c>
      <c r="L219" s="33" t="n">
        <f aca="false">G219-J219</f>
        <v>0</v>
      </c>
      <c r="M219" s="33" t="n">
        <f aca="false">F219</f>
        <v>11746730.7692307</v>
      </c>
      <c r="N219" s="64" t="n">
        <v>0.0128541666666667</v>
      </c>
      <c r="O219" s="48" t="n">
        <f aca="false">IF(AND(B219&gt;=DATE(2026,1,1),B219&lt;=Resumen!$C$5),1,0)</f>
        <v>0</v>
      </c>
      <c r="P219" s="48" t="n">
        <f aca="false">IF(AND(B219&gt;Resumen!$C$5,B219&lt;=DATE(2027,7,31)),1,0)</f>
        <v>0</v>
      </c>
    </row>
    <row r="220" customFormat="false" ht="15" hidden="false" customHeight="false" outlineLevel="0" collapsed="false">
      <c r="A220" s="38" t="n">
        <v>208</v>
      </c>
      <c r="B220" s="27" t="n">
        <v>50737</v>
      </c>
      <c r="C220" s="39" t="n">
        <v>913846153.846152</v>
      </c>
      <c r="D220" s="39" t="n">
        <v>11746730.7692307</v>
      </c>
      <c r="E220" s="39" t="n">
        <v>0</v>
      </c>
      <c r="F220" s="39" t="n">
        <v>11746730.7692307</v>
      </c>
      <c r="G220" s="39" t="n">
        <v>913846153.846152</v>
      </c>
      <c r="H220" s="33" t="n">
        <f aca="false">J219</f>
        <v>913846153.846152</v>
      </c>
      <c r="I220" s="33" t="n">
        <f aca="false">H220*N220</f>
        <v>11746730.7692307</v>
      </c>
      <c r="J220" s="33" t="n">
        <f aca="false">H220-E220</f>
        <v>913846153.846152</v>
      </c>
      <c r="K220" s="33" t="n">
        <f aca="false">D220-I220</f>
        <v>0</v>
      </c>
      <c r="L220" s="33" t="n">
        <f aca="false">G220-J220</f>
        <v>0</v>
      </c>
      <c r="M220" s="33" t="n">
        <f aca="false">F220</f>
        <v>11746730.7692307</v>
      </c>
      <c r="N220" s="64" t="n">
        <v>0.0128541666666667</v>
      </c>
      <c r="O220" s="48" t="n">
        <f aca="false">IF(AND(B220&gt;=DATE(2026,1,1),B220&lt;=Resumen!$C$5),1,0)</f>
        <v>0</v>
      </c>
      <c r="P220" s="48" t="n">
        <f aca="false">IF(AND(B220&gt;Resumen!$C$5,B220&lt;=DATE(2027,7,31)),1,0)</f>
        <v>0</v>
      </c>
    </row>
    <row r="221" customFormat="false" ht="15" hidden="false" customHeight="false" outlineLevel="0" collapsed="false">
      <c r="A221" s="38" t="n">
        <v>209</v>
      </c>
      <c r="B221" s="27" t="n">
        <v>50767</v>
      </c>
      <c r="C221" s="39" t="n">
        <v>913846153.846152</v>
      </c>
      <c r="D221" s="39" t="n">
        <v>11746730.7692307</v>
      </c>
      <c r="E221" s="39" t="n">
        <v>0</v>
      </c>
      <c r="F221" s="39" t="n">
        <v>11746730.7692307</v>
      </c>
      <c r="G221" s="39" t="n">
        <v>913846153.846152</v>
      </c>
      <c r="H221" s="33" t="n">
        <f aca="false">J220</f>
        <v>913846153.846152</v>
      </c>
      <c r="I221" s="33" t="n">
        <f aca="false">H221*N221</f>
        <v>11746730.7692307</v>
      </c>
      <c r="J221" s="33" t="n">
        <f aca="false">H221-E221</f>
        <v>913846153.846152</v>
      </c>
      <c r="K221" s="33" t="n">
        <f aca="false">D221-I221</f>
        <v>0</v>
      </c>
      <c r="L221" s="33" t="n">
        <f aca="false">G221-J221</f>
        <v>0</v>
      </c>
      <c r="M221" s="33" t="n">
        <f aca="false">F221</f>
        <v>11746730.7692307</v>
      </c>
      <c r="N221" s="64" t="n">
        <v>0.0128541666666667</v>
      </c>
      <c r="O221" s="48" t="n">
        <f aca="false">IF(AND(B221&gt;=DATE(2026,1,1),B221&lt;=Resumen!$C$5),1,0)</f>
        <v>0</v>
      </c>
      <c r="P221" s="48" t="n">
        <f aca="false">IF(AND(B221&gt;Resumen!$C$5,B221&lt;=DATE(2027,7,31)),1,0)</f>
        <v>0</v>
      </c>
    </row>
    <row r="222" customFormat="false" ht="15" hidden="false" customHeight="false" outlineLevel="0" collapsed="false">
      <c r="A222" s="38" t="n">
        <v>210</v>
      </c>
      <c r="B222" s="27" t="n">
        <v>50798</v>
      </c>
      <c r="C222" s="39" t="n">
        <v>913846153.846152</v>
      </c>
      <c r="D222" s="39" t="n">
        <v>11746730.7692307</v>
      </c>
      <c r="E222" s="39" t="n">
        <v>152307692.307692</v>
      </c>
      <c r="F222" s="39" t="n">
        <v>164054423.076923</v>
      </c>
      <c r="G222" s="39" t="n">
        <v>761538461.538459</v>
      </c>
      <c r="H222" s="33" t="n">
        <f aca="false">J221</f>
        <v>913846153.846152</v>
      </c>
      <c r="I222" s="33" t="n">
        <f aca="false">H222*N222</f>
        <v>11746730.7692307</v>
      </c>
      <c r="J222" s="33" t="n">
        <f aca="false">H222-E222</f>
        <v>761538461.538459</v>
      </c>
      <c r="K222" s="33" t="n">
        <f aca="false">D222-I222</f>
        <v>0</v>
      </c>
      <c r="L222" s="33" t="n">
        <f aca="false">G222-J222</f>
        <v>0</v>
      </c>
      <c r="M222" s="33" t="n">
        <f aca="false">F222</f>
        <v>164054423.076923</v>
      </c>
      <c r="N222" s="64" t="n">
        <v>0.0128541666666667</v>
      </c>
      <c r="O222" s="48" t="n">
        <f aca="false">IF(AND(B222&gt;=DATE(2026,1,1),B222&lt;=Resumen!$C$5),1,0)</f>
        <v>0</v>
      </c>
      <c r="P222" s="48" t="n">
        <f aca="false">IF(AND(B222&gt;Resumen!$C$5,B222&lt;=DATE(2027,7,31)),1,0)</f>
        <v>0</v>
      </c>
    </row>
    <row r="223" customFormat="false" ht="15" hidden="false" customHeight="false" outlineLevel="0" collapsed="false">
      <c r="A223" s="38" t="n">
        <v>211</v>
      </c>
      <c r="B223" s="27" t="n">
        <v>50829</v>
      </c>
      <c r="C223" s="39" t="n">
        <v>761538461.538459</v>
      </c>
      <c r="D223" s="39" t="n">
        <v>9788942.30769228</v>
      </c>
      <c r="E223" s="39" t="n">
        <v>0</v>
      </c>
      <c r="F223" s="39" t="n">
        <v>9788942.30769228</v>
      </c>
      <c r="G223" s="39" t="n">
        <v>761538461.538459</v>
      </c>
      <c r="H223" s="33" t="n">
        <f aca="false">J222</f>
        <v>761538461.538459</v>
      </c>
      <c r="I223" s="33" t="n">
        <f aca="false">H223*N223</f>
        <v>9788942.30769228</v>
      </c>
      <c r="J223" s="33" t="n">
        <f aca="false">H223-E223</f>
        <v>761538461.538459</v>
      </c>
      <c r="K223" s="33" t="n">
        <f aca="false">D223-I223</f>
        <v>0</v>
      </c>
      <c r="L223" s="33" t="n">
        <f aca="false">G223-J223</f>
        <v>0</v>
      </c>
      <c r="M223" s="33" t="n">
        <f aca="false">F223</f>
        <v>9788942.30769228</v>
      </c>
      <c r="N223" s="64" t="n">
        <v>0.0128541666666667</v>
      </c>
      <c r="O223" s="48" t="n">
        <f aca="false">IF(AND(B223&gt;=DATE(2026,1,1),B223&lt;=Resumen!$C$5),1,0)</f>
        <v>0</v>
      </c>
      <c r="P223" s="48" t="n">
        <f aca="false">IF(AND(B223&gt;Resumen!$C$5,B223&lt;=DATE(2027,7,31)),1,0)</f>
        <v>0</v>
      </c>
    </row>
    <row r="224" customFormat="false" ht="15" hidden="false" customHeight="false" outlineLevel="0" collapsed="false">
      <c r="A224" s="38" t="n">
        <v>212</v>
      </c>
      <c r="B224" s="27" t="n">
        <v>50857</v>
      </c>
      <c r="C224" s="39" t="n">
        <v>761538461.538459</v>
      </c>
      <c r="D224" s="39" t="n">
        <v>9788942.30769228</v>
      </c>
      <c r="E224" s="39" t="n">
        <v>0</v>
      </c>
      <c r="F224" s="39" t="n">
        <v>9788942.30769228</v>
      </c>
      <c r="G224" s="39" t="n">
        <v>761538461.538459</v>
      </c>
      <c r="H224" s="33" t="n">
        <f aca="false">J223</f>
        <v>761538461.538459</v>
      </c>
      <c r="I224" s="33" t="n">
        <f aca="false">H224*N224</f>
        <v>9788942.30769228</v>
      </c>
      <c r="J224" s="33" t="n">
        <f aca="false">H224-E224</f>
        <v>761538461.538459</v>
      </c>
      <c r="K224" s="33" t="n">
        <f aca="false">D224-I224</f>
        <v>0</v>
      </c>
      <c r="L224" s="33" t="n">
        <f aca="false">G224-J224</f>
        <v>0</v>
      </c>
      <c r="M224" s="33" t="n">
        <f aca="false">F224</f>
        <v>9788942.30769228</v>
      </c>
      <c r="N224" s="64" t="n">
        <v>0.0128541666666667</v>
      </c>
      <c r="O224" s="48" t="n">
        <f aca="false">IF(AND(B224&gt;=DATE(2026,1,1),B224&lt;=Resumen!$C$5),1,0)</f>
        <v>0</v>
      </c>
      <c r="P224" s="48" t="n">
        <f aca="false">IF(AND(B224&gt;Resumen!$C$5,B224&lt;=DATE(2027,7,31)),1,0)</f>
        <v>0</v>
      </c>
    </row>
    <row r="225" customFormat="false" ht="15" hidden="false" customHeight="false" outlineLevel="0" collapsed="false">
      <c r="A225" s="38" t="n">
        <v>213</v>
      </c>
      <c r="B225" s="27" t="n">
        <v>50888</v>
      </c>
      <c r="C225" s="39" t="n">
        <v>761538461.538459</v>
      </c>
      <c r="D225" s="39" t="n">
        <v>9788942.30769228</v>
      </c>
      <c r="E225" s="39" t="n">
        <v>0</v>
      </c>
      <c r="F225" s="39" t="n">
        <v>9788942.30769228</v>
      </c>
      <c r="G225" s="39" t="n">
        <v>761538461.538459</v>
      </c>
      <c r="H225" s="33" t="n">
        <f aca="false">J224</f>
        <v>761538461.538459</v>
      </c>
      <c r="I225" s="33" t="n">
        <f aca="false">H225*N225</f>
        <v>9788942.30769228</v>
      </c>
      <c r="J225" s="33" t="n">
        <f aca="false">H225-E225</f>
        <v>761538461.538459</v>
      </c>
      <c r="K225" s="33" t="n">
        <f aca="false">D225-I225</f>
        <v>0</v>
      </c>
      <c r="L225" s="33" t="n">
        <f aca="false">G225-J225</f>
        <v>0</v>
      </c>
      <c r="M225" s="33" t="n">
        <f aca="false">F225</f>
        <v>9788942.30769228</v>
      </c>
      <c r="N225" s="64" t="n">
        <v>0.0128541666666667</v>
      </c>
      <c r="O225" s="48" t="n">
        <f aca="false">IF(AND(B225&gt;=DATE(2026,1,1),B225&lt;=Resumen!$C$5),1,0)</f>
        <v>0</v>
      </c>
      <c r="P225" s="48" t="n">
        <f aca="false">IF(AND(B225&gt;Resumen!$C$5,B225&lt;=DATE(2027,7,31)),1,0)</f>
        <v>0</v>
      </c>
    </row>
    <row r="226" customFormat="false" ht="15" hidden="false" customHeight="false" outlineLevel="0" collapsed="false">
      <c r="A226" s="38" t="n">
        <v>214</v>
      </c>
      <c r="B226" s="27" t="n">
        <v>50918</v>
      </c>
      <c r="C226" s="39" t="n">
        <v>761538461.538459</v>
      </c>
      <c r="D226" s="39" t="n">
        <v>9788942.30769228</v>
      </c>
      <c r="E226" s="39" t="n">
        <v>0</v>
      </c>
      <c r="F226" s="39" t="n">
        <v>9788942.30769228</v>
      </c>
      <c r="G226" s="39" t="n">
        <v>761538461.538459</v>
      </c>
      <c r="H226" s="33" t="n">
        <f aca="false">J225</f>
        <v>761538461.538459</v>
      </c>
      <c r="I226" s="33" t="n">
        <f aca="false">H226*N226</f>
        <v>9788942.30769228</v>
      </c>
      <c r="J226" s="33" t="n">
        <f aca="false">H226-E226</f>
        <v>761538461.538459</v>
      </c>
      <c r="K226" s="33" t="n">
        <f aca="false">D226-I226</f>
        <v>0</v>
      </c>
      <c r="L226" s="33" t="n">
        <f aca="false">G226-J226</f>
        <v>0</v>
      </c>
      <c r="M226" s="33" t="n">
        <f aca="false">F226</f>
        <v>9788942.30769228</v>
      </c>
      <c r="N226" s="64" t="n">
        <v>0.0128541666666667</v>
      </c>
      <c r="O226" s="48" t="n">
        <f aca="false">IF(AND(B226&gt;=DATE(2026,1,1),B226&lt;=Resumen!$C$5),1,0)</f>
        <v>0</v>
      </c>
      <c r="P226" s="48" t="n">
        <f aca="false">IF(AND(B226&gt;Resumen!$C$5,B226&lt;=DATE(2027,7,31)),1,0)</f>
        <v>0</v>
      </c>
    </row>
    <row r="227" customFormat="false" ht="15" hidden="false" customHeight="false" outlineLevel="0" collapsed="false">
      <c r="A227" s="38" t="n">
        <v>215</v>
      </c>
      <c r="B227" s="27" t="n">
        <v>50949</v>
      </c>
      <c r="C227" s="39" t="n">
        <v>761538461.538459</v>
      </c>
      <c r="D227" s="39" t="n">
        <v>9788942.30769228</v>
      </c>
      <c r="E227" s="39" t="n">
        <v>0</v>
      </c>
      <c r="F227" s="39" t="n">
        <v>9788942.30769228</v>
      </c>
      <c r="G227" s="39" t="n">
        <v>761538461.538459</v>
      </c>
      <c r="H227" s="33" t="n">
        <f aca="false">J226</f>
        <v>761538461.538459</v>
      </c>
      <c r="I227" s="33" t="n">
        <f aca="false">H227*N227</f>
        <v>9788942.30769228</v>
      </c>
      <c r="J227" s="33" t="n">
        <f aca="false">H227-E227</f>
        <v>761538461.538459</v>
      </c>
      <c r="K227" s="33" t="n">
        <f aca="false">D227-I227</f>
        <v>0</v>
      </c>
      <c r="L227" s="33" t="n">
        <f aca="false">G227-J227</f>
        <v>0</v>
      </c>
      <c r="M227" s="33" t="n">
        <f aca="false">F227</f>
        <v>9788942.30769228</v>
      </c>
      <c r="N227" s="64" t="n">
        <v>0.0128541666666667</v>
      </c>
      <c r="O227" s="48" t="n">
        <f aca="false">IF(AND(B227&gt;=DATE(2026,1,1),B227&lt;=Resumen!$C$5),1,0)</f>
        <v>0</v>
      </c>
      <c r="P227" s="48" t="n">
        <f aca="false">IF(AND(B227&gt;Resumen!$C$5,B227&lt;=DATE(2027,7,31)),1,0)</f>
        <v>0</v>
      </c>
    </row>
    <row r="228" customFormat="false" ht="15" hidden="false" customHeight="false" outlineLevel="0" collapsed="false">
      <c r="A228" s="38" t="n">
        <v>216</v>
      </c>
      <c r="B228" s="27" t="n">
        <v>50979</v>
      </c>
      <c r="C228" s="39" t="n">
        <v>761538461.538459</v>
      </c>
      <c r="D228" s="39" t="n">
        <v>9788942.30769228</v>
      </c>
      <c r="E228" s="39" t="n">
        <v>152307692.307692</v>
      </c>
      <c r="F228" s="39" t="n">
        <v>162096634.615385</v>
      </c>
      <c r="G228" s="39" t="n">
        <v>609230769.230767</v>
      </c>
      <c r="H228" s="33" t="n">
        <f aca="false">J227</f>
        <v>761538461.538459</v>
      </c>
      <c r="I228" s="33" t="n">
        <f aca="false">H228*N228</f>
        <v>9788942.30769228</v>
      </c>
      <c r="J228" s="33" t="n">
        <f aca="false">H228-E228</f>
        <v>609230769.230767</v>
      </c>
      <c r="K228" s="33" t="n">
        <f aca="false">D228-I228</f>
        <v>0</v>
      </c>
      <c r="L228" s="33" t="n">
        <f aca="false">G228-J228</f>
        <v>0</v>
      </c>
      <c r="M228" s="33" t="n">
        <f aca="false">F228</f>
        <v>162096634.615385</v>
      </c>
      <c r="N228" s="64" t="n">
        <v>0.0128541666666667</v>
      </c>
      <c r="O228" s="48" t="n">
        <f aca="false">IF(AND(B228&gt;=DATE(2026,1,1),B228&lt;=Resumen!$C$5),1,0)</f>
        <v>0</v>
      </c>
      <c r="P228" s="48" t="n">
        <f aca="false">IF(AND(B228&gt;Resumen!$C$5,B228&lt;=DATE(2027,7,31)),1,0)</f>
        <v>0</v>
      </c>
    </row>
    <row r="229" customFormat="false" ht="15" hidden="false" customHeight="false" outlineLevel="0" collapsed="false">
      <c r="A229" s="38" t="n">
        <v>217</v>
      </c>
      <c r="B229" s="27" t="n">
        <v>51010</v>
      </c>
      <c r="C229" s="39" t="n">
        <v>609230769.230767</v>
      </c>
      <c r="D229" s="39" t="n">
        <v>7831153.84615382</v>
      </c>
      <c r="E229" s="39" t="n">
        <v>0</v>
      </c>
      <c r="F229" s="39" t="n">
        <v>7831153.84615382</v>
      </c>
      <c r="G229" s="39" t="n">
        <v>609230769.230767</v>
      </c>
      <c r="H229" s="33" t="n">
        <f aca="false">J228</f>
        <v>609230769.230767</v>
      </c>
      <c r="I229" s="33" t="n">
        <f aca="false">H229*N229</f>
        <v>7831153.84615382</v>
      </c>
      <c r="J229" s="33" t="n">
        <f aca="false">H229-E229</f>
        <v>609230769.230767</v>
      </c>
      <c r="K229" s="33" t="n">
        <f aca="false">D229-I229</f>
        <v>0</v>
      </c>
      <c r="L229" s="33" t="n">
        <f aca="false">G229-J229</f>
        <v>0</v>
      </c>
      <c r="M229" s="33" t="n">
        <f aca="false">F229</f>
        <v>7831153.84615382</v>
      </c>
      <c r="N229" s="64" t="n">
        <v>0.0128541666666667</v>
      </c>
      <c r="O229" s="48" t="n">
        <f aca="false">IF(AND(B229&gt;=DATE(2026,1,1),B229&lt;=Resumen!$C$5),1,0)</f>
        <v>0</v>
      </c>
      <c r="P229" s="48" t="n">
        <f aca="false">IF(AND(B229&gt;Resumen!$C$5,B229&lt;=DATE(2027,7,31)),1,0)</f>
        <v>0</v>
      </c>
    </row>
    <row r="230" customFormat="false" ht="15" hidden="false" customHeight="false" outlineLevel="0" collapsed="false">
      <c r="A230" s="38" t="n">
        <v>218</v>
      </c>
      <c r="B230" s="27" t="n">
        <v>51041</v>
      </c>
      <c r="C230" s="39" t="n">
        <v>609230769.230767</v>
      </c>
      <c r="D230" s="39" t="n">
        <v>7831153.84615382</v>
      </c>
      <c r="E230" s="39" t="n">
        <v>0</v>
      </c>
      <c r="F230" s="39" t="n">
        <v>7831153.84615382</v>
      </c>
      <c r="G230" s="39" t="n">
        <v>609230769.230767</v>
      </c>
      <c r="H230" s="33" t="n">
        <f aca="false">J229</f>
        <v>609230769.230767</v>
      </c>
      <c r="I230" s="33" t="n">
        <f aca="false">H230*N230</f>
        <v>7831153.84615382</v>
      </c>
      <c r="J230" s="33" t="n">
        <f aca="false">H230-E230</f>
        <v>609230769.230767</v>
      </c>
      <c r="K230" s="33" t="n">
        <f aca="false">D230-I230</f>
        <v>0</v>
      </c>
      <c r="L230" s="33" t="n">
        <f aca="false">G230-J230</f>
        <v>0</v>
      </c>
      <c r="M230" s="33" t="n">
        <f aca="false">F230</f>
        <v>7831153.84615382</v>
      </c>
      <c r="N230" s="64" t="n">
        <v>0.0128541666666667</v>
      </c>
      <c r="O230" s="48" t="n">
        <f aca="false">IF(AND(B230&gt;=DATE(2026,1,1),B230&lt;=Resumen!$C$5),1,0)</f>
        <v>0</v>
      </c>
      <c r="P230" s="48" t="n">
        <f aca="false">IF(AND(B230&gt;Resumen!$C$5,B230&lt;=DATE(2027,7,31)),1,0)</f>
        <v>0</v>
      </c>
    </row>
    <row r="231" customFormat="false" ht="15" hidden="false" customHeight="false" outlineLevel="0" collapsed="false">
      <c r="A231" s="38" t="n">
        <v>219</v>
      </c>
      <c r="B231" s="27" t="n">
        <v>51071</v>
      </c>
      <c r="C231" s="39" t="n">
        <v>609230769.230767</v>
      </c>
      <c r="D231" s="39" t="n">
        <v>7831153.84615382</v>
      </c>
      <c r="E231" s="39" t="n">
        <v>0</v>
      </c>
      <c r="F231" s="39" t="n">
        <v>7831153.84615382</v>
      </c>
      <c r="G231" s="39" t="n">
        <v>609230769.230767</v>
      </c>
      <c r="H231" s="33" t="n">
        <f aca="false">J230</f>
        <v>609230769.230767</v>
      </c>
      <c r="I231" s="33" t="n">
        <f aca="false">H231*N231</f>
        <v>7831153.84615382</v>
      </c>
      <c r="J231" s="33" t="n">
        <f aca="false">H231-E231</f>
        <v>609230769.230767</v>
      </c>
      <c r="K231" s="33" t="n">
        <f aca="false">D231-I231</f>
        <v>0</v>
      </c>
      <c r="L231" s="33" t="n">
        <f aca="false">G231-J231</f>
        <v>0</v>
      </c>
      <c r="M231" s="33" t="n">
        <f aca="false">F231</f>
        <v>7831153.84615382</v>
      </c>
      <c r="N231" s="64" t="n">
        <v>0.0128541666666667</v>
      </c>
      <c r="O231" s="48" t="n">
        <f aca="false">IF(AND(B231&gt;=DATE(2026,1,1),B231&lt;=Resumen!$C$5),1,0)</f>
        <v>0</v>
      </c>
      <c r="P231" s="48" t="n">
        <f aca="false">IF(AND(B231&gt;Resumen!$C$5,B231&lt;=DATE(2027,7,31)),1,0)</f>
        <v>0</v>
      </c>
    </row>
    <row r="232" customFormat="false" ht="15" hidden="false" customHeight="false" outlineLevel="0" collapsed="false">
      <c r="A232" s="38" t="n">
        <v>220</v>
      </c>
      <c r="B232" s="27" t="n">
        <v>51102</v>
      </c>
      <c r="C232" s="39" t="n">
        <v>609230769.230767</v>
      </c>
      <c r="D232" s="39" t="n">
        <v>7831153.84615382</v>
      </c>
      <c r="E232" s="39" t="n">
        <v>0</v>
      </c>
      <c r="F232" s="39" t="n">
        <v>7831153.84615382</v>
      </c>
      <c r="G232" s="39" t="n">
        <v>609230769.230767</v>
      </c>
      <c r="H232" s="33" t="n">
        <f aca="false">J231</f>
        <v>609230769.230767</v>
      </c>
      <c r="I232" s="33" t="n">
        <f aca="false">H232*N232</f>
        <v>7831153.84615382</v>
      </c>
      <c r="J232" s="33" t="n">
        <f aca="false">H232-E232</f>
        <v>609230769.230767</v>
      </c>
      <c r="K232" s="33" t="n">
        <f aca="false">D232-I232</f>
        <v>0</v>
      </c>
      <c r="L232" s="33" t="n">
        <f aca="false">G232-J232</f>
        <v>0</v>
      </c>
      <c r="M232" s="33" t="n">
        <f aca="false">F232</f>
        <v>7831153.84615382</v>
      </c>
      <c r="N232" s="64" t="n">
        <v>0.0128541666666667</v>
      </c>
      <c r="O232" s="48" t="n">
        <f aca="false">IF(AND(B232&gt;=DATE(2026,1,1),B232&lt;=Resumen!$C$5),1,0)</f>
        <v>0</v>
      </c>
      <c r="P232" s="48" t="n">
        <f aca="false">IF(AND(B232&gt;Resumen!$C$5,B232&lt;=DATE(2027,7,31)),1,0)</f>
        <v>0</v>
      </c>
    </row>
    <row r="233" customFormat="false" ht="15" hidden="false" customHeight="false" outlineLevel="0" collapsed="false">
      <c r="A233" s="38" t="n">
        <v>221</v>
      </c>
      <c r="B233" s="27" t="n">
        <v>51132</v>
      </c>
      <c r="C233" s="39" t="n">
        <v>609230769.230767</v>
      </c>
      <c r="D233" s="39" t="n">
        <v>7831153.84615382</v>
      </c>
      <c r="E233" s="39" t="n">
        <v>0</v>
      </c>
      <c r="F233" s="39" t="n">
        <v>7831153.84615382</v>
      </c>
      <c r="G233" s="39" t="n">
        <v>609230769.230767</v>
      </c>
      <c r="H233" s="33" t="n">
        <f aca="false">J232</f>
        <v>609230769.230767</v>
      </c>
      <c r="I233" s="33" t="n">
        <f aca="false">H233*N233</f>
        <v>7831153.84615382</v>
      </c>
      <c r="J233" s="33" t="n">
        <f aca="false">H233-E233</f>
        <v>609230769.230767</v>
      </c>
      <c r="K233" s="33" t="n">
        <f aca="false">D233-I233</f>
        <v>0</v>
      </c>
      <c r="L233" s="33" t="n">
        <f aca="false">G233-J233</f>
        <v>0</v>
      </c>
      <c r="M233" s="33" t="n">
        <f aca="false">F233</f>
        <v>7831153.84615382</v>
      </c>
      <c r="N233" s="64" t="n">
        <v>0.0128541666666667</v>
      </c>
      <c r="O233" s="48" t="n">
        <f aca="false">IF(AND(B233&gt;=DATE(2026,1,1),B233&lt;=Resumen!$C$5),1,0)</f>
        <v>0</v>
      </c>
      <c r="P233" s="48" t="n">
        <f aca="false">IF(AND(B233&gt;Resumen!$C$5,B233&lt;=DATE(2027,7,31)),1,0)</f>
        <v>0</v>
      </c>
    </row>
    <row r="234" customFormat="false" ht="15" hidden="false" customHeight="false" outlineLevel="0" collapsed="false">
      <c r="A234" s="38" t="n">
        <v>222</v>
      </c>
      <c r="B234" s="27" t="n">
        <v>51163</v>
      </c>
      <c r="C234" s="39" t="n">
        <v>609230769.230767</v>
      </c>
      <c r="D234" s="39" t="n">
        <v>7831153.84615382</v>
      </c>
      <c r="E234" s="39" t="n">
        <v>152307692.307692</v>
      </c>
      <c r="F234" s="39" t="n">
        <v>160138846.153846</v>
      </c>
      <c r="G234" s="39" t="n">
        <v>456923076.923075</v>
      </c>
      <c r="H234" s="33" t="n">
        <f aca="false">J233</f>
        <v>609230769.230767</v>
      </c>
      <c r="I234" s="33" t="n">
        <f aca="false">H234*N234</f>
        <v>7831153.84615382</v>
      </c>
      <c r="J234" s="33" t="n">
        <f aca="false">H234-E234</f>
        <v>456923076.923075</v>
      </c>
      <c r="K234" s="33" t="n">
        <f aca="false">D234-I234</f>
        <v>0</v>
      </c>
      <c r="L234" s="33" t="n">
        <f aca="false">G234-J234</f>
        <v>0</v>
      </c>
      <c r="M234" s="33" t="n">
        <f aca="false">F234</f>
        <v>160138846.153846</v>
      </c>
      <c r="N234" s="64" t="n">
        <v>0.0128541666666667</v>
      </c>
      <c r="O234" s="48" t="n">
        <f aca="false">IF(AND(B234&gt;=DATE(2026,1,1),B234&lt;=Resumen!$C$5),1,0)</f>
        <v>0</v>
      </c>
      <c r="P234" s="48" t="n">
        <f aca="false">IF(AND(B234&gt;Resumen!$C$5,B234&lt;=DATE(2027,7,31)),1,0)</f>
        <v>0</v>
      </c>
    </row>
    <row r="235" customFormat="false" ht="15" hidden="false" customHeight="false" outlineLevel="0" collapsed="false">
      <c r="A235" s="38" t="n">
        <v>223</v>
      </c>
      <c r="B235" s="27" t="n">
        <v>51194</v>
      </c>
      <c r="C235" s="39" t="n">
        <v>456923076.923075</v>
      </c>
      <c r="D235" s="39" t="n">
        <v>5873365.38461536</v>
      </c>
      <c r="E235" s="39" t="n">
        <v>0</v>
      </c>
      <c r="F235" s="39" t="n">
        <v>5873365.38461536</v>
      </c>
      <c r="G235" s="39" t="n">
        <v>456923076.923075</v>
      </c>
      <c r="H235" s="33" t="n">
        <f aca="false">J234</f>
        <v>456923076.923075</v>
      </c>
      <c r="I235" s="33" t="n">
        <f aca="false">H235*N235</f>
        <v>5873365.38461536</v>
      </c>
      <c r="J235" s="33" t="n">
        <f aca="false">H235-E235</f>
        <v>456923076.923075</v>
      </c>
      <c r="K235" s="33" t="n">
        <f aca="false">D235-I235</f>
        <v>0</v>
      </c>
      <c r="L235" s="33" t="n">
        <f aca="false">G235-J235</f>
        <v>0</v>
      </c>
      <c r="M235" s="33" t="n">
        <f aca="false">F235</f>
        <v>5873365.38461536</v>
      </c>
      <c r="N235" s="64" t="n">
        <v>0.0128541666666667</v>
      </c>
      <c r="O235" s="48" t="n">
        <f aca="false">IF(AND(B235&gt;=DATE(2026,1,1),B235&lt;=Resumen!$C$5),1,0)</f>
        <v>0</v>
      </c>
      <c r="P235" s="48" t="n">
        <f aca="false">IF(AND(B235&gt;Resumen!$C$5,B235&lt;=DATE(2027,7,31)),1,0)</f>
        <v>0</v>
      </c>
    </row>
    <row r="236" customFormat="false" ht="15" hidden="false" customHeight="false" outlineLevel="0" collapsed="false">
      <c r="A236" s="38" t="n">
        <v>224</v>
      </c>
      <c r="B236" s="27" t="n">
        <v>51223</v>
      </c>
      <c r="C236" s="39" t="n">
        <v>456923076.923075</v>
      </c>
      <c r="D236" s="39" t="n">
        <v>5873365.38461536</v>
      </c>
      <c r="E236" s="39" t="n">
        <v>0</v>
      </c>
      <c r="F236" s="39" t="n">
        <v>5873365.38461536</v>
      </c>
      <c r="G236" s="39" t="n">
        <v>456923076.923075</v>
      </c>
      <c r="H236" s="33" t="n">
        <f aca="false">J235</f>
        <v>456923076.923075</v>
      </c>
      <c r="I236" s="33" t="n">
        <f aca="false">H236*N236</f>
        <v>5873365.38461536</v>
      </c>
      <c r="J236" s="33" t="n">
        <f aca="false">H236-E236</f>
        <v>456923076.923075</v>
      </c>
      <c r="K236" s="33" t="n">
        <f aca="false">D236-I236</f>
        <v>0</v>
      </c>
      <c r="L236" s="33" t="n">
        <f aca="false">G236-J236</f>
        <v>0</v>
      </c>
      <c r="M236" s="33" t="n">
        <f aca="false">F236</f>
        <v>5873365.38461536</v>
      </c>
      <c r="N236" s="64" t="n">
        <v>0.0128541666666667</v>
      </c>
      <c r="O236" s="48" t="n">
        <f aca="false">IF(AND(B236&gt;=DATE(2026,1,1),B236&lt;=Resumen!$C$5),1,0)</f>
        <v>0</v>
      </c>
      <c r="P236" s="48" t="n">
        <f aca="false">IF(AND(B236&gt;Resumen!$C$5,B236&lt;=DATE(2027,7,31)),1,0)</f>
        <v>0</v>
      </c>
    </row>
    <row r="237" customFormat="false" ht="15" hidden="false" customHeight="false" outlineLevel="0" collapsed="false">
      <c r="A237" s="38" t="n">
        <v>225</v>
      </c>
      <c r="B237" s="27" t="n">
        <v>51254</v>
      </c>
      <c r="C237" s="39" t="n">
        <v>456923076.923075</v>
      </c>
      <c r="D237" s="39" t="n">
        <v>5873365.38461536</v>
      </c>
      <c r="E237" s="39" t="n">
        <v>0</v>
      </c>
      <c r="F237" s="39" t="n">
        <v>5873365.38461536</v>
      </c>
      <c r="G237" s="39" t="n">
        <v>456923076.923075</v>
      </c>
      <c r="H237" s="33" t="n">
        <f aca="false">J236</f>
        <v>456923076.923075</v>
      </c>
      <c r="I237" s="33" t="n">
        <f aca="false">H237*N237</f>
        <v>5873365.38461536</v>
      </c>
      <c r="J237" s="33" t="n">
        <f aca="false">H237-E237</f>
        <v>456923076.923075</v>
      </c>
      <c r="K237" s="33" t="n">
        <f aca="false">D237-I237</f>
        <v>0</v>
      </c>
      <c r="L237" s="33" t="n">
        <f aca="false">G237-J237</f>
        <v>0</v>
      </c>
      <c r="M237" s="33" t="n">
        <f aca="false">F237</f>
        <v>5873365.38461536</v>
      </c>
      <c r="N237" s="64" t="n">
        <v>0.0128541666666667</v>
      </c>
      <c r="O237" s="48" t="n">
        <f aca="false">IF(AND(B237&gt;=DATE(2026,1,1),B237&lt;=Resumen!$C$5),1,0)</f>
        <v>0</v>
      </c>
      <c r="P237" s="48" t="n">
        <f aca="false">IF(AND(B237&gt;Resumen!$C$5,B237&lt;=DATE(2027,7,31)),1,0)</f>
        <v>0</v>
      </c>
    </row>
    <row r="238" customFormat="false" ht="15" hidden="false" customHeight="false" outlineLevel="0" collapsed="false">
      <c r="A238" s="38" t="n">
        <v>226</v>
      </c>
      <c r="B238" s="27" t="n">
        <v>51284</v>
      </c>
      <c r="C238" s="39" t="n">
        <v>456923076.923075</v>
      </c>
      <c r="D238" s="39" t="n">
        <v>5873365.38461536</v>
      </c>
      <c r="E238" s="39" t="n">
        <v>0</v>
      </c>
      <c r="F238" s="39" t="n">
        <v>5873365.38461536</v>
      </c>
      <c r="G238" s="39" t="n">
        <v>456923076.923075</v>
      </c>
      <c r="H238" s="33" t="n">
        <f aca="false">J237</f>
        <v>456923076.923075</v>
      </c>
      <c r="I238" s="33" t="n">
        <f aca="false">H238*N238</f>
        <v>5873365.38461536</v>
      </c>
      <c r="J238" s="33" t="n">
        <f aca="false">H238-E238</f>
        <v>456923076.923075</v>
      </c>
      <c r="K238" s="33" t="n">
        <f aca="false">D238-I238</f>
        <v>0</v>
      </c>
      <c r="L238" s="33" t="n">
        <f aca="false">G238-J238</f>
        <v>0</v>
      </c>
      <c r="M238" s="33" t="n">
        <f aca="false">F238</f>
        <v>5873365.38461536</v>
      </c>
      <c r="N238" s="64" t="n">
        <v>0.0128541666666667</v>
      </c>
      <c r="O238" s="48" t="n">
        <f aca="false">IF(AND(B238&gt;=DATE(2026,1,1),B238&lt;=Resumen!$C$5),1,0)</f>
        <v>0</v>
      </c>
      <c r="P238" s="48" t="n">
        <f aca="false">IF(AND(B238&gt;Resumen!$C$5,B238&lt;=DATE(2027,7,31)),1,0)</f>
        <v>0</v>
      </c>
    </row>
    <row r="239" customFormat="false" ht="15" hidden="false" customHeight="false" outlineLevel="0" collapsed="false">
      <c r="A239" s="38" t="n">
        <v>227</v>
      </c>
      <c r="B239" s="27" t="n">
        <v>51315</v>
      </c>
      <c r="C239" s="39" t="n">
        <v>456923076.923075</v>
      </c>
      <c r="D239" s="39" t="n">
        <v>5873365.38461536</v>
      </c>
      <c r="E239" s="39" t="n">
        <v>0</v>
      </c>
      <c r="F239" s="39" t="n">
        <v>5873365.38461536</v>
      </c>
      <c r="G239" s="39" t="n">
        <v>456923076.923075</v>
      </c>
      <c r="H239" s="33" t="n">
        <f aca="false">J238</f>
        <v>456923076.923075</v>
      </c>
      <c r="I239" s="33" t="n">
        <f aca="false">H239*N239</f>
        <v>5873365.38461536</v>
      </c>
      <c r="J239" s="33" t="n">
        <f aca="false">H239-E239</f>
        <v>456923076.923075</v>
      </c>
      <c r="K239" s="33" t="n">
        <f aca="false">D239-I239</f>
        <v>0</v>
      </c>
      <c r="L239" s="33" t="n">
        <f aca="false">G239-J239</f>
        <v>0</v>
      </c>
      <c r="M239" s="33" t="n">
        <f aca="false">F239</f>
        <v>5873365.38461536</v>
      </c>
      <c r="N239" s="64" t="n">
        <v>0.0128541666666667</v>
      </c>
      <c r="O239" s="48" t="n">
        <f aca="false">IF(AND(B239&gt;=DATE(2026,1,1),B239&lt;=Resumen!$C$5),1,0)</f>
        <v>0</v>
      </c>
      <c r="P239" s="48" t="n">
        <f aca="false">IF(AND(B239&gt;Resumen!$C$5,B239&lt;=DATE(2027,7,31)),1,0)</f>
        <v>0</v>
      </c>
    </row>
    <row r="240" customFormat="false" ht="15" hidden="false" customHeight="false" outlineLevel="0" collapsed="false">
      <c r="A240" s="38" t="n">
        <v>228</v>
      </c>
      <c r="B240" s="27" t="n">
        <v>51345</v>
      </c>
      <c r="C240" s="39" t="n">
        <v>456923076.923075</v>
      </c>
      <c r="D240" s="39" t="n">
        <v>5873365.38461536</v>
      </c>
      <c r="E240" s="39" t="n">
        <v>152307692.307692</v>
      </c>
      <c r="F240" s="39" t="n">
        <v>158181057.692308</v>
      </c>
      <c r="G240" s="39" t="n">
        <v>304615384.615382</v>
      </c>
      <c r="H240" s="33" t="n">
        <f aca="false">J239</f>
        <v>456923076.923075</v>
      </c>
      <c r="I240" s="33" t="n">
        <f aca="false">H240*N240</f>
        <v>5873365.38461536</v>
      </c>
      <c r="J240" s="33" t="n">
        <f aca="false">H240-E240</f>
        <v>304615384.615382</v>
      </c>
      <c r="K240" s="33" t="n">
        <f aca="false">D240-I240</f>
        <v>0</v>
      </c>
      <c r="L240" s="33" t="n">
        <f aca="false">G240-J240</f>
        <v>0</v>
      </c>
      <c r="M240" s="33" t="n">
        <f aca="false">F240</f>
        <v>158181057.692308</v>
      </c>
      <c r="N240" s="64" t="n">
        <v>0.0128541666666667</v>
      </c>
      <c r="O240" s="48" t="n">
        <f aca="false">IF(AND(B240&gt;=DATE(2026,1,1),B240&lt;=Resumen!$C$5),1,0)</f>
        <v>0</v>
      </c>
      <c r="P240" s="48" t="n">
        <f aca="false">IF(AND(B240&gt;Resumen!$C$5,B240&lt;=DATE(2027,7,31)),1,0)</f>
        <v>0</v>
      </c>
    </row>
    <row r="241" customFormat="false" ht="15" hidden="false" customHeight="false" outlineLevel="0" collapsed="false">
      <c r="A241" s="38" t="n">
        <v>229</v>
      </c>
      <c r="B241" s="27" t="n">
        <v>51376</v>
      </c>
      <c r="C241" s="39" t="n">
        <v>304615384.615382</v>
      </c>
      <c r="D241" s="39" t="n">
        <v>3915576.9230769</v>
      </c>
      <c r="E241" s="39" t="n">
        <v>0</v>
      </c>
      <c r="F241" s="39" t="n">
        <v>3915576.9230769</v>
      </c>
      <c r="G241" s="39" t="n">
        <v>304615384.615382</v>
      </c>
      <c r="H241" s="33" t="n">
        <f aca="false">J240</f>
        <v>304615384.615382</v>
      </c>
      <c r="I241" s="33" t="n">
        <f aca="false">H241*N241</f>
        <v>3915576.9230769</v>
      </c>
      <c r="J241" s="33" t="n">
        <f aca="false">H241-E241</f>
        <v>304615384.615382</v>
      </c>
      <c r="K241" s="33" t="n">
        <f aca="false">D241-I241</f>
        <v>0</v>
      </c>
      <c r="L241" s="33" t="n">
        <f aca="false">G241-J241</f>
        <v>0</v>
      </c>
      <c r="M241" s="33" t="n">
        <f aca="false">F241</f>
        <v>3915576.9230769</v>
      </c>
      <c r="N241" s="64" t="n">
        <v>0.0128541666666667</v>
      </c>
      <c r="O241" s="48" t="n">
        <f aca="false">IF(AND(B241&gt;=DATE(2026,1,1),B241&lt;=Resumen!$C$5),1,0)</f>
        <v>0</v>
      </c>
      <c r="P241" s="48" t="n">
        <f aca="false">IF(AND(B241&gt;Resumen!$C$5,B241&lt;=DATE(2027,7,31)),1,0)</f>
        <v>0</v>
      </c>
    </row>
    <row r="242" customFormat="false" ht="15" hidden="false" customHeight="false" outlineLevel="0" collapsed="false">
      <c r="A242" s="38" t="n">
        <v>230</v>
      </c>
      <c r="B242" s="27" t="n">
        <v>51407</v>
      </c>
      <c r="C242" s="39" t="n">
        <v>304615384.615382</v>
      </c>
      <c r="D242" s="39" t="n">
        <v>3915576.9230769</v>
      </c>
      <c r="E242" s="39" t="n">
        <v>0</v>
      </c>
      <c r="F242" s="39" t="n">
        <v>3915576.9230769</v>
      </c>
      <c r="G242" s="39" t="n">
        <v>304615384.615382</v>
      </c>
      <c r="H242" s="33" t="n">
        <f aca="false">J241</f>
        <v>304615384.615382</v>
      </c>
      <c r="I242" s="33" t="n">
        <f aca="false">H242*N242</f>
        <v>3915576.9230769</v>
      </c>
      <c r="J242" s="33" t="n">
        <f aca="false">H242-E242</f>
        <v>304615384.615382</v>
      </c>
      <c r="K242" s="33" t="n">
        <f aca="false">D242-I242</f>
        <v>0</v>
      </c>
      <c r="L242" s="33" t="n">
        <f aca="false">G242-J242</f>
        <v>0</v>
      </c>
      <c r="M242" s="33" t="n">
        <f aca="false">F242</f>
        <v>3915576.9230769</v>
      </c>
      <c r="N242" s="64" t="n">
        <v>0.0128541666666667</v>
      </c>
      <c r="O242" s="48" t="n">
        <f aca="false">IF(AND(B242&gt;=DATE(2026,1,1),B242&lt;=Resumen!$C$5),1,0)</f>
        <v>0</v>
      </c>
      <c r="P242" s="48" t="n">
        <f aca="false">IF(AND(B242&gt;Resumen!$C$5,B242&lt;=DATE(2027,7,31)),1,0)</f>
        <v>0</v>
      </c>
    </row>
    <row r="243" customFormat="false" ht="15" hidden="false" customHeight="false" outlineLevel="0" collapsed="false">
      <c r="A243" s="38" t="n">
        <v>231</v>
      </c>
      <c r="B243" s="27" t="n">
        <v>51437</v>
      </c>
      <c r="C243" s="39" t="n">
        <v>304615384.615382</v>
      </c>
      <c r="D243" s="39" t="n">
        <v>3915576.9230769</v>
      </c>
      <c r="E243" s="39" t="n">
        <v>0</v>
      </c>
      <c r="F243" s="39" t="n">
        <v>3915576.9230769</v>
      </c>
      <c r="G243" s="39" t="n">
        <v>304615384.615382</v>
      </c>
      <c r="H243" s="33" t="n">
        <f aca="false">J242</f>
        <v>304615384.615382</v>
      </c>
      <c r="I243" s="33" t="n">
        <f aca="false">H243*N243</f>
        <v>3915576.9230769</v>
      </c>
      <c r="J243" s="33" t="n">
        <f aca="false">H243-E243</f>
        <v>304615384.615382</v>
      </c>
      <c r="K243" s="33" t="n">
        <f aca="false">D243-I243</f>
        <v>0</v>
      </c>
      <c r="L243" s="33" t="n">
        <f aca="false">G243-J243</f>
        <v>0</v>
      </c>
      <c r="M243" s="33" t="n">
        <f aca="false">F243</f>
        <v>3915576.9230769</v>
      </c>
      <c r="N243" s="64" t="n">
        <v>0.0128541666666667</v>
      </c>
      <c r="O243" s="48" t="n">
        <f aca="false">IF(AND(B243&gt;=DATE(2026,1,1),B243&lt;=Resumen!$C$5),1,0)</f>
        <v>0</v>
      </c>
      <c r="P243" s="48" t="n">
        <f aca="false">IF(AND(B243&gt;Resumen!$C$5,B243&lt;=DATE(2027,7,31)),1,0)</f>
        <v>0</v>
      </c>
    </row>
    <row r="244" customFormat="false" ht="15" hidden="false" customHeight="false" outlineLevel="0" collapsed="false">
      <c r="A244" s="38" t="n">
        <v>232</v>
      </c>
      <c r="B244" s="27" t="n">
        <v>51468</v>
      </c>
      <c r="C244" s="39" t="n">
        <v>304615384.615382</v>
      </c>
      <c r="D244" s="39" t="n">
        <v>3915576.9230769</v>
      </c>
      <c r="E244" s="39" t="n">
        <v>0</v>
      </c>
      <c r="F244" s="39" t="n">
        <v>3915576.9230769</v>
      </c>
      <c r="G244" s="39" t="n">
        <v>304615384.615382</v>
      </c>
      <c r="H244" s="33" t="n">
        <f aca="false">J243</f>
        <v>304615384.615382</v>
      </c>
      <c r="I244" s="33" t="n">
        <f aca="false">H244*N244</f>
        <v>3915576.9230769</v>
      </c>
      <c r="J244" s="33" t="n">
        <f aca="false">H244-E244</f>
        <v>304615384.615382</v>
      </c>
      <c r="K244" s="33" t="n">
        <f aca="false">D244-I244</f>
        <v>0</v>
      </c>
      <c r="L244" s="33" t="n">
        <f aca="false">G244-J244</f>
        <v>0</v>
      </c>
      <c r="M244" s="33" t="n">
        <f aca="false">F244</f>
        <v>3915576.9230769</v>
      </c>
      <c r="N244" s="64" t="n">
        <v>0.0128541666666667</v>
      </c>
      <c r="O244" s="48" t="n">
        <f aca="false">IF(AND(B244&gt;=DATE(2026,1,1),B244&lt;=Resumen!$C$5),1,0)</f>
        <v>0</v>
      </c>
      <c r="P244" s="48" t="n">
        <f aca="false">IF(AND(B244&gt;Resumen!$C$5,B244&lt;=DATE(2027,7,31)),1,0)</f>
        <v>0</v>
      </c>
    </row>
    <row r="245" customFormat="false" ht="15" hidden="false" customHeight="false" outlineLevel="0" collapsed="false">
      <c r="A245" s="38" t="n">
        <v>233</v>
      </c>
      <c r="B245" s="27" t="n">
        <v>51498</v>
      </c>
      <c r="C245" s="39" t="n">
        <v>304615384.615382</v>
      </c>
      <c r="D245" s="39" t="n">
        <v>3915576.9230769</v>
      </c>
      <c r="E245" s="39" t="n">
        <v>0</v>
      </c>
      <c r="F245" s="39" t="n">
        <v>3915576.9230769</v>
      </c>
      <c r="G245" s="39" t="n">
        <v>304615384.615382</v>
      </c>
      <c r="H245" s="33" t="n">
        <f aca="false">J244</f>
        <v>304615384.615382</v>
      </c>
      <c r="I245" s="33" t="n">
        <f aca="false">H245*N245</f>
        <v>3915576.9230769</v>
      </c>
      <c r="J245" s="33" t="n">
        <f aca="false">H245-E245</f>
        <v>304615384.615382</v>
      </c>
      <c r="K245" s="33" t="n">
        <f aca="false">D245-I245</f>
        <v>0</v>
      </c>
      <c r="L245" s="33" t="n">
        <f aca="false">G245-J245</f>
        <v>0</v>
      </c>
      <c r="M245" s="33" t="n">
        <f aca="false">F245</f>
        <v>3915576.9230769</v>
      </c>
      <c r="N245" s="64" t="n">
        <v>0.0128541666666667</v>
      </c>
      <c r="O245" s="48" t="n">
        <f aca="false">IF(AND(B245&gt;=DATE(2026,1,1),B245&lt;=Resumen!$C$5),1,0)</f>
        <v>0</v>
      </c>
      <c r="P245" s="48" t="n">
        <f aca="false">IF(AND(B245&gt;Resumen!$C$5,B245&lt;=DATE(2027,7,31)),1,0)</f>
        <v>0</v>
      </c>
    </row>
    <row r="246" customFormat="false" ht="15" hidden="false" customHeight="false" outlineLevel="0" collapsed="false">
      <c r="A246" s="38" t="n">
        <v>234</v>
      </c>
      <c r="B246" s="27" t="n">
        <v>51529</v>
      </c>
      <c r="C246" s="39" t="n">
        <v>304615384.615382</v>
      </c>
      <c r="D246" s="39" t="n">
        <v>3915576.9230769</v>
      </c>
      <c r="E246" s="39" t="n">
        <v>152307692.307692</v>
      </c>
      <c r="F246" s="39" t="n">
        <v>156223269.230769</v>
      </c>
      <c r="G246" s="39" t="n">
        <v>152307692.30769</v>
      </c>
      <c r="H246" s="33" t="n">
        <f aca="false">J245</f>
        <v>304615384.615382</v>
      </c>
      <c r="I246" s="33" t="n">
        <f aca="false">H246*N246</f>
        <v>3915576.9230769</v>
      </c>
      <c r="J246" s="33" t="n">
        <f aca="false">H246-E246</f>
        <v>152307692.30769</v>
      </c>
      <c r="K246" s="33" t="n">
        <f aca="false">D246-I246</f>
        <v>0</v>
      </c>
      <c r="L246" s="33" t="n">
        <f aca="false">G246-J246</f>
        <v>0</v>
      </c>
      <c r="M246" s="33" t="n">
        <f aca="false">F246</f>
        <v>156223269.230769</v>
      </c>
      <c r="N246" s="64" t="n">
        <v>0.0128541666666667</v>
      </c>
      <c r="O246" s="48" t="n">
        <f aca="false">IF(AND(B246&gt;=DATE(2026,1,1),B246&lt;=Resumen!$C$5),1,0)</f>
        <v>0</v>
      </c>
      <c r="P246" s="48" t="n">
        <f aca="false">IF(AND(B246&gt;Resumen!$C$5,B246&lt;=DATE(2027,7,31)),1,0)</f>
        <v>0</v>
      </c>
    </row>
    <row r="247" customFormat="false" ht="15" hidden="false" customHeight="false" outlineLevel="0" collapsed="false">
      <c r="A247" s="38" t="n">
        <v>235</v>
      </c>
      <c r="B247" s="27" t="n">
        <v>51560</v>
      </c>
      <c r="C247" s="39" t="n">
        <v>152307692.30769</v>
      </c>
      <c r="D247" s="39" t="n">
        <v>1957788.46153843</v>
      </c>
      <c r="E247" s="39" t="n">
        <v>0</v>
      </c>
      <c r="F247" s="39" t="n">
        <v>1957788.46153843</v>
      </c>
      <c r="G247" s="39" t="n">
        <v>152307692.30769</v>
      </c>
      <c r="H247" s="33" t="n">
        <f aca="false">J246</f>
        <v>152307692.30769</v>
      </c>
      <c r="I247" s="33" t="n">
        <f aca="false">H247*N247</f>
        <v>1957788.46153843</v>
      </c>
      <c r="J247" s="33" t="n">
        <f aca="false">H247-E247</f>
        <v>152307692.30769</v>
      </c>
      <c r="K247" s="33" t="n">
        <f aca="false">D247-I247</f>
        <v>0</v>
      </c>
      <c r="L247" s="33" t="n">
        <f aca="false">G247-J247</f>
        <v>0</v>
      </c>
      <c r="M247" s="33" t="n">
        <f aca="false">F247</f>
        <v>1957788.46153843</v>
      </c>
      <c r="N247" s="64" t="n">
        <v>0.0128541666666667</v>
      </c>
      <c r="O247" s="48" t="n">
        <f aca="false">IF(AND(B247&gt;=DATE(2026,1,1),B247&lt;=Resumen!$C$5),1,0)</f>
        <v>0</v>
      </c>
      <c r="P247" s="48" t="n">
        <f aca="false">IF(AND(B247&gt;Resumen!$C$5,B247&lt;=DATE(2027,7,31)),1,0)</f>
        <v>0</v>
      </c>
    </row>
    <row r="248" customFormat="false" ht="15" hidden="false" customHeight="false" outlineLevel="0" collapsed="false">
      <c r="A248" s="38" t="n">
        <v>236</v>
      </c>
      <c r="B248" s="27" t="n">
        <v>51588</v>
      </c>
      <c r="C248" s="39" t="n">
        <v>152307692.30769</v>
      </c>
      <c r="D248" s="39" t="n">
        <v>1957788.46153843</v>
      </c>
      <c r="E248" s="39" t="n">
        <v>0</v>
      </c>
      <c r="F248" s="39" t="n">
        <v>1957788.46153843</v>
      </c>
      <c r="G248" s="39" t="n">
        <v>152307692.30769</v>
      </c>
      <c r="H248" s="33" t="n">
        <f aca="false">J247</f>
        <v>152307692.30769</v>
      </c>
      <c r="I248" s="33" t="n">
        <f aca="false">H248*N248</f>
        <v>1957788.46153843</v>
      </c>
      <c r="J248" s="33" t="n">
        <f aca="false">H248-E248</f>
        <v>152307692.30769</v>
      </c>
      <c r="K248" s="33" t="n">
        <f aca="false">D248-I248</f>
        <v>0</v>
      </c>
      <c r="L248" s="33" t="n">
        <f aca="false">G248-J248</f>
        <v>0</v>
      </c>
      <c r="M248" s="33" t="n">
        <f aca="false">F248</f>
        <v>1957788.46153843</v>
      </c>
      <c r="N248" s="64" t="n">
        <v>0.0128541666666667</v>
      </c>
      <c r="O248" s="48" t="n">
        <f aca="false">IF(AND(B248&gt;=DATE(2026,1,1),B248&lt;=Resumen!$C$5),1,0)</f>
        <v>0</v>
      </c>
      <c r="P248" s="48" t="n">
        <f aca="false">IF(AND(B248&gt;Resumen!$C$5,B248&lt;=DATE(2027,7,31)),1,0)</f>
        <v>0</v>
      </c>
    </row>
    <row r="249" customFormat="false" ht="15" hidden="false" customHeight="false" outlineLevel="0" collapsed="false">
      <c r="A249" s="38" t="n">
        <v>237</v>
      </c>
      <c r="B249" s="27" t="n">
        <v>51619</v>
      </c>
      <c r="C249" s="39" t="n">
        <v>152307692.30769</v>
      </c>
      <c r="D249" s="39" t="n">
        <v>1957788.46153843</v>
      </c>
      <c r="E249" s="39" t="n">
        <v>0</v>
      </c>
      <c r="F249" s="39" t="n">
        <v>1957788.46153843</v>
      </c>
      <c r="G249" s="39" t="n">
        <v>152307692.30769</v>
      </c>
      <c r="H249" s="33" t="n">
        <f aca="false">J248</f>
        <v>152307692.30769</v>
      </c>
      <c r="I249" s="33" t="n">
        <f aca="false">H249*N249</f>
        <v>1957788.46153843</v>
      </c>
      <c r="J249" s="33" t="n">
        <f aca="false">H249-E249</f>
        <v>152307692.30769</v>
      </c>
      <c r="K249" s="33" t="n">
        <f aca="false">D249-I249</f>
        <v>0</v>
      </c>
      <c r="L249" s="33" t="n">
        <f aca="false">G249-J249</f>
        <v>0</v>
      </c>
      <c r="M249" s="33" t="n">
        <f aca="false">F249</f>
        <v>1957788.46153843</v>
      </c>
      <c r="N249" s="64" t="n">
        <v>0.0128541666666667</v>
      </c>
      <c r="O249" s="48" t="n">
        <f aca="false">IF(AND(B249&gt;=DATE(2026,1,1),B249&lt;=Resumen!$C$5),1,0)</f>
        <v>0</v>
      </c>
      <c r="P249" s="48" t="n">
        <f aca="false">IF(AND(B249&gt;Resumen!$C$5,B249&lt;=DATE(2027,7,31)),1,0)</f>
        <v>0</v>
      </c>
    </row>
    <row r="250" customFormat="false" ht="15" hidden="false" customHeight="false" outlineLevel="0" collapsed="false">
      <c r="A250" s="38" t="n">
        <v>238</v>
      </c>
      <c r="B250" s="27" t="n">
        <v>51649</v>
      </c>
      <c r="C250" s="39" t="n">
        <v>152307692.30769</v>
      </c>
      <c r="D250" s="39" t="n">
        <v>1957788.46153843</v>
      </c>
      <c r="E250" s="39" t="n">
        <v>0</v>
      </c>
      <c r="F250" s="39" t="n">
        <v>1957788.46153843</v>
      </c>
      <c r="G250" s="39" t="n">
        <v>152307692.30769</v>
      </c>
      <c r="H250" s="33" t="n">
        <f aca="false">J249</f>
        <v>152307692.30769</v>
      </c>
      <c r="I250" s="33" t="n">
        <f aca="false">H250*N250</f>
        <v>1957788.46153843</v>
      </c>
      <c r="J250" s="33" t="n">
        <f aca="false">H250-E250</f>
        <v>152307692.30769</v>
      </c>
      <c r="K250" s="33" t="n">
        <f aca="false">D250-I250</f>
        <v>0</v>
      </c>
      <c r="L250" s="33" t="n">
        <f aca="false">G250-J250</f>
        <v>0</v>
      </c>
      <c r="M250" s="33" t="n">
        <f aca="false">F250</f>
        <v>1957788.46153843</v>
      </c>
      <c r="N250" s="64" t="n">
        <v>0.0128541666666667</v>
      </c>
      <c r="O250" s="48" t="n">
        <f aca="false">IF(AND(B250&gt;=DATE(2026,1,1),B250&lt;=Resumen!$C$5),1,0)</f>
        <v>0</v>
      </c>
      <c r="P250" s="48" t="n">
        <f aca="false">IF(AND(B250&gt;Resumen!$C$5,B250&lt;=DATE(2027,7,31)),1,0)</f>
        <v>0</v>
      </c>
    </row>
    <row r="251" customFormat="false" ht="15" hidden="false" customHeight="false" outlineLevel="0" collapsed="false">
      <c r="A251" s="38" t="n">
        <v>239</v>
      </c>
      <c r="B251" s="27" t="n">
        <v>51680</v>
      </c>
      <c r="C251" s="39" t="n">
        <v>152307692.30769</v>
      </c>
      <c r="D251" s="39" t="n">
        <v>1957788.46153843</v>
      </c>
      <c r="E251" s="39" t="n">
        <v>0</v>
      </c>
      <c r="F251" s="39" t="n">
        <v>1957788.46153843</v>
      </c>
      <c r="G251" s="39" t="n">
        <v>152307692.30769</v>
      </c>
      <c r="H251" s="33" t="n">
        <f aca="false">J250</f>
        <v>152307692.30769</v>
      </c>
      <c r="I251" s="33" t="n">
        <f aca="false">H251*N251</f>
        <v>1957788.46153843</v>
      </c>
      <c r="J251" s="33" t="n">
        <f aca="false">H251-E251</f>
        <v>152307692.30769</v>
      </c>
      <c r="K251" s="33" t="n">
        <f aca="false">D251-I251</f>
        <v>0</v>
      </c>
      <c r="L251" s="33" t="n">
        <f aca="false">G251-J251</f>
        <v>0</v>
      </c>
      <c r="M251" s="33" t="n">
        <f aca="false">F251</f>
        <v>1957788.46153843</v>
      </c>
      <c r="N251" s="64" t="n">
        <v>0.0128541666666667</v>
      </c>
      <c r="O251" s="48" t="n">
        <f aca="false">IF(AND(B251&gt;=DATE(2026,1,1),B251&lt;=Resumen!$C$5),1,0)</f>
        <v>0</v>
      </c>
      <c r="P251" s="48" t="n">
        <f aca="false">IF(AND(B251&gt;Resumen!$C$5,B251&lt;=DATE(2027,7,31)),1,0)</f>
        <v>0</v>
      </c>
    </row>
    <row r="252" customFormat="false" ht="15" hidden="false" customHeight="false" outlineLevel="0" collapsed="false">
      <c r="A252" s="38" t="n">
        <v>240</v>
      </c>
      <c r="B252" s="27" t="n">
        <v>51710</v>
      </c>
      <c r="C252" s="39" t="n">
        <v>152307692.30769</v>
      </c>
      <c r="D252" s="39" t="n">
        <v>1957788.46153843</v>
      </c>
      <c r="E252" s="39" t="n">
        <v>152307692.307692</v>
      </c>
      <c r="F252" s="39" t="n">
        <v>154265480.769231</v>
      </c>
      <c r="G252" s="39" t="n">
        <v>0</v>
      </c>
      <c r="H252" s="33" t="n">
        <f aca="false">J251</f>
        <v>152307692.30769</v>
      </c>
      <c r="I252" s="33" t="n">
        <f aca="false">H252*N252</f>
        <v>1957788.46153843</v>
      </c>
      <c r="J252" s="33" t="n">
        <f aca="false">H252-E252</f>
        <v>-2.14576721191406E-006</v>
      </c>
      <c r="K252" s="33" t="n">
        <f aca="false">D252-I252</f>
        <v>0</v>
      </c>
      <c r="L252" s="33" t="n">
        <f aca="false">G252-J252</f>
        <v>2.14576721191406E-006</v>
      </c>
      <c r="M252" s="33" t="n">
        <f aca="false">F252</f>
        <v>154265480.769231</v>
      </c>
      <c r="N252" s="64" t="n">
        <v>0.0128541666666667</v>
      </c>
      <c r="O252" s="48" t="n">
        <f aca="false">IF(AND(B252&gt;=DATE(2026,1,1),B252&lt;=Resumen!$C$5),1,0)</f>
        <v>0</v>
      </c>
      <c r="P252" s="48" t="n">
        <f aca="false">IF(AND(B252&gt;Resumen!$C$5,B252&lt;=DATE(2027,7,31)),1,0)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2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1795</v>
      </c>
    </row>
    <row r="2" customFormat="false" ht="15" hidden="false" customHeight="false" outlineLevel="0" collapsed="false">
      <c r="A2" s="24" t="s">
        <v>1796</v>
      </c>
    </row>
    <row r="3" customFormat="false" ht="15" hidden="false" customHeight="false" outlineLevel="0" collapsed="false">
      <c r="A3" s="34" t="s">
        <v>1748</v>
      </c>
      <c r="C3" s="38" t="s">
        <v>1797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3000000000</v>
      </c>
      <c r="F4" s="26" t="s">
        <v>1752</v>
      </c>
      <c r="I4" s="57" t="n">
        <f aca="false">_xlfn.MAXIFS($B$12:$B$252,$B$12:$B$252,"&lt;="&amp;Resumen!$C$5)</f>
        <v>46231</v>
      </c>
    </row>
    <row r="5" customFormat="false" ht="15" hidden="false" customHeight="false" outlineLevel="0" collapsed="false">
      <c r="A5" s="34" t="s">
        <v>1753</v>
      </c>
      <c r="C5" s="27" t="n">
        <v>44405</v>
      </c>
      <c r="F5" s="26" t="s">
        <v>1754</v>
      </c>
      <c r="I5" s="58" t="n">
        <f aca="false">SUMIFS($G$12:$G$252,$B$12:$B$252,I4)</f>
        <v>3000000000</v>
      </c>
    </row>
    <row r="6" customFormat="false" ht="15" hidden="false" customHeight="false" outlineLevel="0" collapsed="false">
      <c r="A6" s="34" t="s">
        <v>1755</v>
      </c>
      <c r="C6" s="38" t="s">
        <v>1794</v>
      </c>
      <c r="F6" s="26" t="s">
        <v>1757</v>
      </c>
      <c r="I6" s="33" t="n">
        <f aca="false">SUMIFS($J$12:$J$252,$B$12:$B$252,I4)</f>
        <v>3000000000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SUMIFS($D$12:$D$252,$O$12:$O$252,1)</f>
        <v>262697500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IFERROR(IRR($M$12:$M$252),"N/A")</f>
        <v>N/A</v>
      </c>
      <c r="F8" s="26" t="s">
        <v>1761</v>
      </c>
      <c r="I8" s="33" t="n">
        <f aca="false">SUMIFS($E$12:$E$252,$P$12:$P$252,1)</f>
        <v>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SUMPRODUCT(MAX(ABS($L$12:$L$252)))</f>
        <v>9.23871994018555E-007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44405</v>
      </c>
      <c r="C12" s="39" t="n">
        <v>3000000000</v>
      </c>
      <c r="D12" s="39" t="n">
        <v>0</v>
      </c>
      <c r="E12" s="39" t="n">
        <v>0</v>
      </c>
      <c r="F12" s="39" t="n">
        <v>0</v>
      </c>
      <c r="G12" s="39" t="n">
        <v>3000000000</v>
      </c>
      <c r="H12" s="33" t="n">
        <f aca="false">C12</f>
        <v>3000000000</v>
      </c>
      <c r="I12" s="33" t="n">
        <f aca="false">H12*N12</f>
        <v>14057500</v>
      </c>
      <c r="J12" s="33" t="n">
        <f aca="false">H12-E12</f>
        <v>3000000000</v>
      </c>
      <c r="K12" s="33" t="n">
        <f aca="false">D12-I12</f>
        <v>-14057500</v>
      </c>
      <c r="L12" s="33" t="n">
        <f aca="false">G12-J12</f>
        <v>0</v>
      </c>
      <c r="M12" s="33" t="n">
        <f aca="false">-$C$4</f>
        <v>-3000000000</v>
      </c>
      <c r="N12" s="64" t="n">
        <v>0.00468583333333333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44436</v>
      </c>
      <c r="C13" s="39" t="n">
        <v>3000000000</v>
      </c>
      <c r="D13" s="39" t="n">
        <v>14380000</v>
      </c>
      <c r="E13" s="39" t="n">
        <v>0</v>
      </c>
      <c r="F13" s="39" t="n">
        <v>14380000</v>
      </c>
      <c r="G13" s="39" t="n">
        <v>3000000000</v>
      </c>
      <c r="H13" s="33" t="n">
        <f aca="false">J12</f>
        <v>3000000000</v>
      </c>
      <c r="I13" s="33" t="n">
        <f aca="false">H13*N13</f>
        <v>14380000</v>
      </c>
      <c r="J13" s="33" t="n">
        <f aca="false">H13-E13</f>
        <v>3000000000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14380000</v>
      </c>
      <c r="N13" s="64" t="n">
        <v>0.00479333333333333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44467</v>
      </c>
      <c r="C14" s="39" t="n">
        <v>3000000000</v>
      </c>
      <c r="D14" s="39" t="n">
        <v>15825000</v>
      </c>
      <c r="E14" s="39" t="n">
        <v>0</v>
      </c>
      <c r="F14" s="39" t="n">
        <v>15825000</v>
      </c>
      <c r="G14" s="39" t="n">
        <v>3000000000</v>
      </c>
      <c r="H14" s="33" t="n">
        <f aca="false">J13</f>
        <v>3000000000</v>
      </c>
      <c r="I14" s="33" t="n">
        <f aca="false">H14*N14</f>
        <v>15825000</v>
      </c>
      <c r="J14" s="33" t="n">
        <f aca="false">H14-E14</f>
        <v>3000000000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15825000</v>
      </c>
      <c r="N14" s="64" t="n">
        <v>0.005275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44497</v>
      </c>
      <c r="C15" s="39" t="n">
        <v>3000000000</v>
      </c>
      <c r="D15" s="39" t="n">
        <v>16612500</v>
      </c>
      <c r="E15" s="39" t="n">
        <v>0</v>
      </c>
      <c r="F15" s="39" t="n">
        <v>16612500</v>
      </c>
      <c r="G15" s="39" t="n">
        <v>3000000000</v>
      </c>
      <c r="H15" s="33" t="n">
        <f aca="false">J14</f>
        <v>3000000000</v>
      </c>
      <c r="I15" s="33" t="n">
        <f aca="false">H15*N15</f>
        <v>16612500</v>
      </c>
      <c r="J15" s="33" t="n">
        <f aca="false">H15-E15</f>
        <v>3000000000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16612500</v>
      </c>
      <c r="N15" s="64" t="n">
        <v>0.0055375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44528</v>
      </c>
      <c r="C16" s="39" t="n">
        <v>3000000000</v>
      </c>
      <c r="D16" s="39" t="n">
        <v>17302500</v>
      </c>
      <c r="E16" s="39" t="n">
        <v>0</v>
      </c>
      <c r="F16" s="39" t="n">
        <v>17302500</v>
      </c>
      <c r="G16" s="39" t="n">
        <v>3000000000</v>
      </c>
      <c r="H16" s="33" t="n">
        <f aca="false">J15</f>
        <v>3000000000</v>
      </c>
      <c r="I16" s="33" t="n">
        <f aca="false">H16*N16</f>
        <v>17302500</v>
      </c>
      <c r="J16" s="33" t="n">
        <f aca="false">H16-E16</f>
        <v>3000000000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17302500</v>
      </c>
      <c r="N16" s="64" t="n">
        <v>0.0057675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44558</v>
      </c>
      <c r="C17" s="39" t="n">
        <v>3000000000</v>
      </c>
      <c r="D17" s="39" t="n">
        <v>18927500</v>
      </c>
      <c r="E17" s="39" t="n">
        <v>0</v>
      </c>
      <c r="F17" s="39" t="n">
        <v>18927500</v>
      </c>
      <c r="G17" s="39" t="n">
        <v>3000000000</v>
      </c>
      <c r="H17" s="33" t="n">
        <f aca="false">J16</f>
        <v>3000000000</v>
      </c>
      <c r="I17" s="33" t="n">
        <f aca="false">H17*N17</f>
        <v>18927500</v>
      </c>
      <c r="J17" s="33" t="n">
        <f aca="false">H17-E17</f>
        <v>3000000000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18927500</v>
      </c>
      <c r="N17" s="64" t="n">
        <v>0.00630916666666667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44589</v>
      </c>
      <c r="C18" s="39" t="n">
        <v>3000000000</v>
      </c>
      <c r="D18" s="39" t="n">
        <v>21127500</v>
      </c>
      <c r="E18" s="39" t="n">
        <v>0</v>
      </c>
      <c r="F18" s="39" t="n">
        <v>21127500</v>
      </c>
      <c r="G18" s="39" t="n">
        <v>3000000000</v>
      </c>
      <c r="H18" s="33" t="n">
        <f aca="false">J17</f>
        <v>3000000000</v>
      </c>
      <c r="I18" s="33" t="n">
        <f aca="false">H18*N18</f>
        <v>21127500</v>
      </c>
      <c r="J18" s="33" t="n">
        <f aca="false">H18-E18</f>
        <v>3000000000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21127500</v>
      </c>
      <c r="N18" s="64" t="n">
        <v>0.0070425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44620</v>
      </c>
      <c r="C19" s="39" t="n">
        <v>3000000000</v>
      </c>
      <c r="D19" s="39" t="n">
        <v>26272500</v>
      </c>
      <c r="E19" s="39" t="n">
        <v>0</v>
      </c>
      <c r="F19" s="39" t="n">
        <v>26272500</v>
      </c>
      <c r="G19" s="39" t="n">
        <v>3000000000</v>
      </c>
      <c r="H19" s="33" t="n">
        <f aca="false">J18</f>
        <v>3000000000</v>
      </c>
      <c r="I19" s="33" t="n">
        <f aca="false">H19*N19</f>
        <v>26272500</v>
      </c>
      <c r="J19" s="33" t="n">
        <f aca="false">H19-E19</f>
        <v>3000000000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26272500</v>
      </c>
      <c r="N19" s="64" t="n">
        <v>0.0087575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44648</v>
      </c>
      <c r="C20" s="39" t="n">
        <v>3000000000</v>
      </c>
      <c r="D20" s="39" t="n">
        <v>26090000</v>
      </c>
      <c r="E20" s="39" t="n">
        <v>0</v>
      </c>
      <c r="F20" s="39" t="n">
        <v>26090000</v>
      </c>
      <c r="G20" s="39" t="n">
        <v>3000000000</v>
      </c>
      <c r="H20" s="33" t="n">
        <f aca="false">J19</f>
        <v>3000000000</v>
      </c>
      <c r="I20" s="33" t="n">
        <f aca="false">H20*N20</f>
        <v>26090000</v>
      </c>
      <c r="J20" s="33" t="n">
        <f aca="false">H20-E20</f>
        <v>3000000000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26090000</v>
      </c>
      <c r="N20" s="64" t="n">
        <v>0.00869666666666667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44679</v>
      </c>
      <c r="C21" s="39" t="n">
        <v>3000000000</v>
      </c>
      <c r="D21" s="39" t="n">
        <v>28342500</v>
      </c>
      <c r="E21" s="39" t="n">
        <v>0</v>
      </c>
      <c r="F21" s="39" t="n">
        <v>28342500</v>
      </c>
      <c r="G21" s="39" t="n">
        <v>3000000000</v>
      </c>
      <c r="H21" s="33" t="n">
        <f aca="false">J20</f>
        <v>3000000000</v>
      </c>
      <c r="I21" s="33" t="n">
        <f aca="false">H21*N21</f>
        <v>28342500</v>
      </c>
      <c r="J21" s="33" t="n">
        <f aca="false">H21-E21</f>
        <v>3000000000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28342500</v>
      </c>
      <c r="N21" s="64" t="n">
        <v>0.0094475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44709</v>
      </c>
      <c r="C22" s="39" t="n">
        <v>3000000000</v>
      </c>
      <c r="D22" s="39" t="n">
        <v>28900000</v>
      </c>
      <c r="E22" s="39" t="n">
        <v>0</v>
      </c>
      <c r="F22" s="39" t="n">
        <v>28900000</v>
      </c>
      <c r="G22" s="39" t="n">
        <v>3000000000</v>
      </c>
      <c r="H22" s="33" t="n">
        <f aca="false">J21</f>
        <v>3000000000</v>
      </c>
      <c r="I22" s="33" t="n">
        <f aca="false">H22*N22</f>
        <v>28900000</v>
      </c>
      <c r="J22" s="33" t="n">
        <f aca="false">H22-E22</f>
        <v>3000000000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28900000</v>
      </c>
      <c r="N22" s="64" t="n">
        <v>0.00963333333333333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44740</v>
      </c>
      <c r="C23" s="39" t="n">
        <v>3000000000</v>
      </c>
      <c r="D23" s="39" t="n">
        <v>28900000</v>
      </c>
      <c r="E23" s="39" t="n">
        <v>0</v>
      </c>
      <c r="F23" s="39" t="n">
        <v>28900000</v>
      </c>
      <c r="G23" s="39" t="n">
        <v>3000000000</v>
      </c>
      <c r="H23" s="33" t="n">
        <f aca="false">J22</f>
        <v>3000000000</v>
      </c>
      <c r="I23" s="33" t="n">
        <f aca="false">H23*N23</f>
        <v>28900000</v>
      </c>
      <c r="J23" s="33" t="n">
        <f aca="false">H23-E23</f>
        <v>3000000000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28900000</v>
      </c>
      <c r="N23" s="64" t="n">
        <v>0.00963333333333333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44770</v>
      </c>
      <c r="C24" s="39" t="n">
        <v>3000000000</v>
      </c>
      <c r="D24" s="39" t="n">
        <v>33417500</v>
      </c>
      <c r="E24" s="39" t="n">
        <v>0</v>
      </c>
      <c r="F24" s="39" t="n">
        <v>33417500</v>
      </c>
      <c r="G24" s="39" t="n">
        <v>3000000000</v>
      </c>
      <c r="H24" s="33" t="n">
        <f aca="false">J23</f>
        <v>3000000000</v>
      </c>
      <c r="I24" s="33" t="n">
        <f aca="false">H24*N24</f>
        <v>33417500</v>
      </c>
      <c r="J24" s="33" t="n">
        <f aca="false">H24-E24</f>
        <v>3000000000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33417500</v>
      </c>
      <c r="N24" s="64" t="n">
        <v>0.0111391666666667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44801</v>
      </c>
      <c r="C25" s="39" t="n">
        <v>3000000000</v>
      </c>
      <c r="D25" s="39" t="n">
        <v>35187500</v>
      </c>
      <c r="E25" s="39" t="n">
        <v>0</v>
      </c>
      <c r="F25" s="39" t="n">
        <v>35187500</v>
      </c>
      <c r="G25" s="39" t="n">
        <v>3000000000</v>
      </c>
      <c r="H25" s="33" t="n">
        <f aca="false">J24</f>
        <v>3000000000</v>
      </c>
      <c r="I25" s="33" t="n">
        <f aca="false">H25*N25</f>
        <v>35187500</v>
      </c>
      <c r="J25" s="33" t="n">
        <f aca="false">H25-E25</f>
        <v>3000000000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35187500</v>
      </c>
      <c r="N25" s="64" t="n">
        <v>0.0117291666666667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44832</v>
      </c>
      <c r="C26" s="39" t="n">
        <v>3000000000</v>
      </c>
      <c r="D26" s="39" t="n">
        <v>36670000</v>
      </c>
      <c r="E26" s="39" t="n">
        <v>0</v>
      </c>
      <c r="F26" s="39" t="n">
        <v>36670000</v>
      </c>
      <c r="G26" s="39" t="n">
        <v>3000000000</v>
      </c>
      <c r="H26" s="33" t="n">
        <f aca="false">J25</f>
        <v>3000000000</v>
      </c>
      <c r="I26" s="33" t="n">
        <f aca="false">H26*N26</f>
        <v>36670000</v>
      </c>
      <c r="J26" s="33" t="n">
        <f aca="false">H26-E26</f>
        <v>3000000000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36670000</v>
      </c>
      <c r="N26" s="64" t="n">
        <v>0.0122233333333333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44862</v>
      </c>
      <c r="C27" s="39" t="n">
        <v>3000000000</v>
      </c>
      <c r="D27" s="39" t="n">
        <v>38555000</v>
      </c>
      <c r="E27" s="39" t="n">
        <v>0</v>
      </c>
      <c r="F27" s="39" t="n">
        <v>38555000</v>
      </c>
      <c r="G27" s="39" t="n">
        <v>3000000000</v>
      </c>
      <c r="H27" s="33" t="n">
        <f aca="false">J26</f>
        <v>3000000000</v>
      </c>
      <c r="I27" s="33" t="n">
        <f aca="false">H27*N27</f>
        <v>38555000</v>
      </c>
      <c r="J27" s="33" t="n">
        <f aca="false">H27-E27</f>
        <v>3000000000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38555000</v>
      </c>
      <c r="N27" s="64" t="n">
        <v>0.0128516666666667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44893</v>
      </c>
      <c r="C28" s="39" t="n">
        <v>3000000000</v>
      </c>
      <c r="D28" s="39" t="n">
        <v>38990000</v>
      </c>
      <c r="E28" s="39" t="n">
        <v>0</v>
      </c>
      <c r="F28" s="39" t="n">
        <v>38990000</v>
      </c>
      <c r="G28" s="39" t="n">
        <v>3000000000</v>
      </c>
      <c r="H28" s="33" t="n">
        <f aca="false">J27</f>
        <v>3000000000</v>
      </c>
      <c r="I28" s="33" t="n">
        <f aca="false">H28*N28</f>
        <v>38990000</v>
      </c>
      <c r="J28" s="33" t="n">
        <f aca="false">H28-E28</f>
        <v>3000000000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38990000</v>
      </c>
      <c r="N28" s="64" t="n">
        <v>0.0129966666666667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44923</v>
      </c>
      <c r="C29" s="39" t="n">
        <v>3000000000</v>
      </c>
      <c r="D29" s="39" t="n">
        <v>39912500</v>
      </c>
      <c r="E29" s="39" t="n">
        <v>0</v>
      </c>
      <c r="F29" s="39" t="n">
        <v>39912500</v>
      </c>
      <c r="G29" s="39" t="n">
        <v>3000000000</v>
      </c>
      <c r="H29" s="33" t="n">
        <f aca="false">J28</f>
        <v>3000000000</v>
      </c>
      <c r="I29" s="33" t="n">
        <f aca="false">H29*N29</f>
        <v>39912500</v>
      </c>
      <c r="J29" s="33" t="n">
        <f aca="false">H29-E29</f>
        <v>3000000000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39912500</v>
      </c>
      <c r="N29" s="64" t="n">
        <v>0.0133041666666667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44954</v>
      </c>
      <c r="C30" s="39" t="n">
        <v>3000000000</v>
      </c>
      <c r="D30" s="39" t="n">
        <v>40725000</v>
      </c>
      <c r="E30" s="39" t="n">
        <v>0</v>
      </c>
      <c r="F30" s="39" t="n">
        <v>40725000</v>
      </c>
      <c r="G30" s="39" t="n">
        <v>3000000000</v>
      </c>
      <c r="H30" s="33" t="n">
        <f aca="false">J29</f>
        <v>3000000000</v>
      </c>
      <c r="I30" s="33" t="n">
        <f aca="false">H30*N30</f>
        <v>40725000</v>
      </c>
      <c r="J30" s="33" t="n">
        <f aca="false">H30-E30</f>
        <v>3000000000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40725000</v>
      </c>
      <c r="N30" s="64" t="n">
        <v>0.013575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44985</v>
      </c>
      <c r="C31" s="39" t="n">
        <v>3000000000</v>
      </c>
      <c r="D31" s="39" t="n">
        <v>41385000</v>
      </c>
      <c r="E31" s="39" t="n">
        <v>0</v>
      </c>
      <c r="F31" s="39" t="n">
        <v>41385000</v>
      </c>
      <c r="G31" s="39" t="n">
        <v>3000000000</v>
      </c>
      <c r="H31" s="33" t="n">
        <f aca="false">J30</f>
        <v>3000000000</v>
      </c>
      <c r="I31" s="33" t="n">
        <f aca="false">H31*N31</f>
        <v>41385000</v>
      </c>
      <c r="J31" s="33" t="n">
        <f aca="false">H31-E31</f>
        <v>3000000000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41385000</v>
      </c>
      <c r="N31" s="64" t="n">
        <v>0.013795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45013</v>
      </c>
      <c r="C32" s="39" t="n">
        <v>3000000000</v>
      </c>
      <c r="D32" s="39" t="n">
        <v>40832500</v>
      </c>
      <c r="E32" s="39" t="n">
        <v>0</v>
      </c>
      <c r="F32" s="39" t="n">
        <v>40832500</v>
      </c>
      <c r="G32" s="39" t="n">
        <v>3000000000</v>
      </c>
      <c r="H32" s="33" t="n">
        <f aca="false">J31</f>
        <v>3000000000</v>
      </c>
      <c r="I32" s="33" t="n">
        <f aca="false">H32*N32</f>
        <v>40832500</v>
      </c>
      <c r="J32" s="33" t="n">
        <f aca="false">H32-E32</f>
        <v>3000000000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40832500</v>
      </c>
      <c r="N32" s="64" t="n">
        <v>0.0136108333333333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45044</v>
      </c>
      <c r="C33" s="39" t="n">
        <v>3000000000</v>
      </c>
      <c r="D33" s="39" t="n">
        <v>41227500</v>
      </c>
      <c r="E33" s="39" t="n">
        <v>0</v>
      </c>
      <c r="F33" s="39" t="n">
        <v>41227500</v>
      </c>
      <c r="G33" s="39" t="n">
        <v>3000000000</v>
      </c>
      <c r="H33" s="33" t="n">
        <f aca="false">J32</f>
        <v>3000000000</v>
      </c>
      <c r="I33" s="33" t="n">
        <f aca="false">H33*N33</f>
        <v>41227500</v>
      </c>
      <c r="J33" s="33" t="n">
        <f aca="false">H33-E33</f>
        <v>3000000000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41227500</v>
      </c>
      <c r="N33" s="64" t="n">
        <v>0.0137425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45074</v>
      </c>
      <c r="C34" s="39" t="n">
        <v>3000000000</v>
      </c>
      <c r="D34" s="39" t="n">
        <v>41435000</v>
      </c>
      <c r="E34" s="39" t="n">
        <v>0</v>
      </c>
      <c r="F34" s="39" t="n">
        <v>41435000</v>
      </c>
      <c r="G34" s="39" t="n">
        <v>3000000000</v>
      </c>
      <c r="H34" s="33" t="n">
        <f aca="false">J33</f>
        <v>3000000000</v>
      </c>
      <c r="I34" s="33" t="n">
        <f aca="false">H34*N34</f>
        <v>41435000</v>
      </c>
      <c r="J34" s="33" t="n">
        <f aca="false">H34-E34</f>
        <v>3000000000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41435000</v>
      </c>
      <c r="N34" s="64" t="n">
        <v>0.0138116666666667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45105</v>
      </c>
      <c r="C35" s="39" t="n">
        <v>3000000000</v>
      </c>
      <c r="D35" s="39" t="n">
        <v>40847500</v>
      </c>
      <c r="E35" s="39" t="n">
        <v>0</v>
      </c>
      <c r="F35" s="39" t="n">
        <v>40847500</v>
      </c>
      <c r="G35" s="39" t="n">
        <v>3000000000</v>
      </c>
      <c r="H35" s="33" t="n">
        <f aca="false">J34</f>
        <v>3000000000</v>
      </c>
      <c r="I35" s="33" t="n">
        <f aca="false">H35*N35</f>
        <v>40847500</v>
      </c>
      <c r="J35" s="33" t="n">
        <f aca="false">H35-E35</f>
        <v>3000000000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40847500</v>
      </c>
      <c r="N35" s="64" t="n">
        <v>0.0136158333333333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45135</v>
      </c>
      <c r="C36" s="39" t="n">
        <v>3000000000</v>
      </c>
      <c r="D36" s="39" t="n">
        <v>39955000</v>
      </c>
      <c r="E36" s="39" t="n">
        <v>0</v>
      </c>
      <c r="F36" s="39" t="n">
        <v>39955000</v>
      </c>
      <c r="G36" s="39" t="n">
        <v>3000000000</v>
      </c>
      <c r="H36" s="33" t="n">
        <f aca="false">J35</f>
        <v>3000000000</v>
      </c>
      <c r="I36" s="33" t="n">
        <f aca="false">H36*N36</f>
        <v>39955000</v>
      </c>
      <c r="J36" s="33" t="n">
        <f aca="false">H36-E36</f>
        <v>3000000000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39955000</v>
      </c>
      <c r="N36" s="64" t="n">
        <v>0.0133183333333333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45166</v>
      </c>
      <c r="C37" s="39" t="n">
        <v>3000000000</v>
      </c>
      <c r="D37" s="39" t="n">
        <v>41630000</v>
      </c>
      <c r="E37" s="39" t="n">
        <v>0</v>
      </c>
      <c r="F37" s="39" t="n">
        <v>41630000</v>
      </c>
      <c r="G37" s="39" t="n">
        <v>3000000000</v>
      </c>
      <c r="H37" s="33" t="n">
        <f aca="false">J36</f>
        <v>3000000000</v>
      </c>
      <c r="I37" s="33" t="n">
        <f aca="false">H37*N37</f>
        <v>41630000</v>
      </c>
      <c r="J37" s="33" t="n">
        <f aca="false">H37-E37</f>
        <v>3000000000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41630000</v>
      </c>
      <c r="N37" s="64" t="n">
        <v>0.0138766666666667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45197</v>
      </c>
      <c r="C38" s="39" t="n">
        <v>3000000000</v>
      </c>
      <c r="D38" s="39" t="n">
        <v>38985000</v>
      </c>
      <c r="E38" s="39" t="n">
        <v>0</v>
      </c>
      <c r="F38" s="39" t="n">
        <v>38985000</v>
      </c>
      <c r="G38" s="39" t="n">
        <v>3000000000</v>
      </c>
      <c r="H38" s="33" t="n">
        <f aca="false">J37</f>
        <v>3000000000</v>
      </c>
      <c r="I38" s="33" t="n">
        <f aca="false">H38*N38</f>
        <v>38985000</v>
      </c>
      <c r="J38" s="33" t="n">
        <f aca="false">H38-E38</f>
        <v>3000000000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38985000</v>
      </c>
      <c r="N38" s="64" t="n">
        <v>0.012995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45227</v>
      </c>
      <c r="C39" s="39" t="n">
        <v>3000000000</v>
      </c>
      <c r="D39" s="39" t="n">
        <v>38895000</v>
      </c>
      <c r="E39" s="39" t="n">
        <v>0</v>
      </c>
      <c r="F39" s="39" t="n">
        <v>38895000</v>
      </c>
      <c r="G39" s="39" t="n">
        <v>3000000000</v>
      </c>
      <c r="H39" s="33" t="n">
        <f aca="false">J38</f>
        <v>3000000000</v>
      </c>
      <c r="I39" s="33" t="n">
        <f aca="false">H39*N39</f>
        <v>38895000</v>
      </c>
      <c r="J39" s="33" t="n">
        <f aca="false">H39-E39</f>
        <v>3000000000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38895000</v>
      </c>
      <c r="N39" s="64" t="n">
        <v>0.012965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45258</v>
      </c>
      <c r="C40" s="39" t="n">
        <v>3000000000</v>
      </c>
      <c r="D40" s="39" t="n">
        <v>38287500</v>
      </c>
      <c r="E40" s="39" t="n">
        <v>0</v>
      </c>
      <c r="F40" s="39" t="n">
        <v>38287500</v>
      </c>
      <c r="G40" s="39" t="n">
        <v>3000000000</v>
      </c>
      <c r="H40" s="33" t="n">
        <f aca="false">J39</f>
        <v>3000000000</v>
      </c>
      <c r="I40" s="33" t="n">
        <f aca="false">H40*N40</f>
        <v>38287500</v>
      </c>
      <c r="J40" s="33" t="n">
        <f aca="false">H40-E40</f>
        <v>3000000000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38287500</v>
      </c>
      <c r="N40" s="64" t="n">
        <v>0.0127625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45288</v>
      </c>
      <c r="C41" s="39" t="n">
        <v>3000000000</v>
      </c>
      <c r="D41" s="39" t="n">
        <v>37757500</v>
      </c>
      <c r="E41" s="39" t="n">
        <v>0</v>
      </c>
      <c r="F41" s="39" t="n">
        <v>37757500</v>
      </c>
      <c r="G41" s="39" t="n">
        <v>3000000000</v>
      </c>
      <c r="H41" s="33" t="n">
        <f aca="false">J40</f>
        <v>3000000000</v>
      </c>
      <c r="I41" s="33" t="n">
        <f aca="false">H41*N41</f>
        <v>37757500</v>
      </c>
      <c r="J41" s="33" t="n">
        <f aca="false">H41-E41</f>
        <v>3000000000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37757500</v>
      </c>
      <c r="N41" s="64" t="n">
        <v>0.0125858333333333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45319</v>
      </c>
      <c r="C42" s="39" t="n">
        <v>3000000000</v>
      </c>
      <c r="D42" s="39" t="n">
        <v>37027500</v>
      </c>
      <c r="E42" s="39" t="n">
        <v>0</v>
      </c>
      <c r="F42" s="39" t="n">
        <v>37027500</v>
      </c>
      <c r="G42" s="39" t="n">
        <v>3000000000</v>
      </c>
      <c r="H42" s="33" t="n">
        <f aca="false">J41</f>
        <v>3000000000</v>
      </c>
      <c r="I42" s="33" t="n">
        <f aca="false">H42*N42</f>
        <v>37027500</v>
      </c>
      <c r="J42" s="33" t="n">
        <f aca="false">H42-E42</f>
        <v>3000000000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37027500</v>
      </c>
      <c r="N42" s="64" t="n">
        <v>0.0123425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45350</v>
      </c>
      <c r="C43" s="39" t="n">
        <v>3000000000</v>
      </c>
      <c r="D43" s="39" t="n">
        <v>37515000</v>
      </c>
      <c r="E43" s="39" t="n">
        <v>0</v>
      </c>
      <c r="F43" s="39" t="n">
        <v>37515000</v>
      </c>
      <c r="G43" s="39" t="n">
        <v>3000000000</v>
      </c>
      <c r="H43" s="33" t="n">
        <f aca="false">J42</f>
        <v>3000000000</v>
      </c>
      <c r="I43" s="33" t="n">
        <f aca="false">H43*N43</f>
        <v>37515000</v>
      </c>
      <c r="J43" s="33" t="n">
        <f aca="false">H43-E43</f>
        <v>3000000000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37515000</v>
      </c>
      <c r="N43" s="64" t="n">
        <v>0.012505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45379</v>
      </c>
      <c r="C44" s="39" t="n">
        <v>3000000000</v>
      </c>
      <c r="D44" s="39" t="n">
        <v>35507500</v>
      </c>
      <c r="E44" s="39" t="n">
        <v>0</v>
      </c>
      <c r="F44" s="39" t="n">
        <v>35507500</v>
      </c>
      <c r="G44" s="39" t="n">
        <v>3000000000</v>
      </c>
      <c r="H44" s="33" t="n">
        <f aca="false">J43</f>
        <v>3000000000</v>
      </c>
      <c r="I44" s="33" t="n">
        <f aca="false">H44*N44</f>
        <v>35507500</v>
      </c>
      <c r="J44" s="33" t="n">
        <f aca="false">H44-E44</f>
        <v>3000000000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35507500</v>
      </c>
      <c r="N44" s="64" t="n">
        <v>0.0118358333333333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45410</v>
      </c>
      <c r="C45" s="39" t="n">
        <v>3000000000</v>
      </c>
      <c r="D45" s="39" t="n">
        <v>35922500</v>
      </c>
      <c r="E45" s="39" t="n">
        <v>0</v>
      </c>
      <c r="F45" s="39" t="n">
        <v>35922500</v>
      </c>
      <c r="G45" s="39" t="n">
        <v>3000000000</v>
      </c>
      <c r="H45" s="33" t="n">
        <f aca="false">J44</f>
        <v>3000000000</v>
      </c>
      <c r="I45" s="33" t="n">
        <f aca="false">H45*N45</f>
        <v>35922500</v>
      </c>
      <c r="J45" s="33" t="n">
        <f aca="false">H45-E45</f>
        <v>3000000000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35922500</v>
      </c>
      <c r="N45" s="64" t="n">
        <v>0.0119741666666667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45440</v>
      </c>
      <c r="C46" s="39" t="n">
        <v>3000000000</v>
      </c>
      <c r="D46" s="39" t="n">
        <v>35042500</v>
      </c>
      <c r="E46" s="39" t="n">
        <v>0</v>
      </c>
      <c r="F46" s="39" t="n">
        <v>35042500</v>
      </c>
      <c r="G46" s="39" t="n">
        <v>3000000000</v>
      </c>
      <c r="H46" s="33" t="n">
        <f aca="false">J45</f>
        <v>3000000000</v>
      </c>
      <c r="I46" s="33" t="n">
        <f aca="false">H46*N46</f>
        <v>35042500</v>
      </c>
      <c r="J46" s="33" t="n">
        <f aca="false">H46-E46</f>
        <v>3000000000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35042500</v>
      </c>
      <c r="N46" s="64" t="n">
        <v>0.0116808333333333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45471</v>
      </c>
      <c r="C47" s="39" t="n">
        <v>3000000000</v>
      </c>
      <c r="D47" s="39" t="n">
        <v>33237500</v>
      </c>
      <c r="E47" s="39" t="n">
        <v>0</v>
      </c>
      <c r="F47" s="39" t="n">
        <v>33237500</v>
      </c>
      <c r="G47" s="39" t="n">
        <v>3000000000</v>
      </c>
      <c r="H47" s="33" t="n">
        <f aca="false">J46</f>
        <v>3000000000</v>
      </c>
      <c r="I47" s="33" t="n">
        <f aca="false">H47*N47</f>
        <v>33237500</v>
      </c>
      <c r="J47" s="33" t="n">
        <f aca="false">H47-E47</f>
        <v>3000000000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33237500</v>
      </c>
      <c r="N47" s="64" t="n">
        <v>0.0110791666666667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45501</v>
      </c>
      <c r="C48" s="39" t="n">
        <v>3000000000</v>
      </c>
      <c r="D48" s="39" t="n">
        <v>33410000</v>
      </c>
      <c r="E48" s="39" t="n">
        <v>0</v>
      </c>
      <c r="F48" s="39" t="n">
        <v>33410000</v>
      </c>
      <c r="G48" s="39" t="n">
        <v>3000000000</v>
      </c>
      <c r="H48" s="33" t="n">
        <f aca="false">J47</f>
        <v>3000000000</v>
      </c>
      <c r="I48" s="33" t="n">
        <f aca="false">H48*N48</f>
        <v>33410000</v>
      </c>
      <c r="J48" s="33" t="n">
        <f aca="false">H48-E48</f>
        <v>3000000000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33410000</v>
      </c>
      <c r="N48" s="64" t="n">
        <v>0.0111366666666667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45532</v>
      </c>
      <c r="C49" s="39" t="n">
        <v>3000000000</v>
      </c>
      <c r="D49" s="39" t="n">
        <v>32497500</v>
      </c>
      <c r="E49" s="39" t="n">
        <v>0</v>
      </c>
      <c r="F49" s="39" t="n">
        <v>32497500</v>
      </c>
      <c r="G49" s="39" t="n">
        <v>3000000000</v>
      </c>
      <c r="H49" s="33" t="n">
        <f aca="false">J48</f>
        <v>3000000000</v>
      </c>
      <c r="I49" s="33" t="n">
        <f aca="false">H49*N49</f>
        <v>32497500</v>
      </c>
      <c r="J49" s="33" t="n">
        <f aca="false">H49-E49</f>
        <v>3000000000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32497500</v>
      </c>
      <c r="N49" s="64" t="n">
        <v>0.0108325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45563</v>
      </c>
      <c r="C50" s="39" t="n">
        <v>3000000000</v>
      </c>
      <c r="D50" s="39" t="n">
        <v>30710000</v>
      </c>
      <c r="E50" s="39" t="n">
        <v>0</v>
      </c>
      <c r="F50" s="39" t="n">
        <v>30710000</v>
      </c>
      <c r="G50" s="39" t="n">
        <v>3000000000</v>
      </c>
      <c r="H50" s="33" t="n">
        <f aca="false">J49</f>
        <v>3000000000</v>
      </c>
      <c r="I50" s="33" t="n">
        <f aca="false">H50*N50</f>
        <v>30710000</v>
      </c>
      <c r="J50" s="33" t="n">
        <f aca="false">H50-E50</f>
        <v>3000000000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30710000</v>
      </c>
      <c r="N50" s="64" t="n">
        <v>0.0102366666666667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0</v>
      </c>
    </row>
    <row r="51" customFormat="false" ht="15" hidden="false" customHeight="false" outlineLevel="0" collapsed="false">
      <c r="A51" s="38" t="n">
        <v>39</v>
      </c>
      <c r="B51" s="27" t="n">
        <v>45593</v>
      </c>
      <c r="C51" s="39" t="n">
        <v>3000000000</v>
      </c>
      <c r="D51" s="39" t="n">
        <v>30012500</v>
      </c>
      <c r="E51" s="39" t="n">
        <v>0</v>
      </c>
      <c r="F51" s="39" t="n">
        <v>30012500</v>
      </c>
      <c r="G51" s="39" t="n">
        <v>3000000000</v>
      </c>
      <c r="H51" s="33" t="n">
        <f aca="false">J50</f>
        <v>3000000000</v>
      </c>
      <c r="I51" s="33" t="n">
        <f aca="false">H51*N51</f>
        <v>30012500</v>
      </c>
      <c r="J51" s="33" t="n">
        <f aca="false">H51-E51</f>
        <v>3000000000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30012500</v>
      </c>
      <c r="N51" s="64" t="n">
        <v>0.0100041666666667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0</v>
      </c>
    </row>
    <row r="52" customFormat="false" ht="15" hidden="false" customHeight="false" outlineLevel="0" collapsed="false">
      <c r="A52" s="38" t="n">
        <v>40</v>
      </c>
      <c r="B52" s="27" t="n">
        <v>45624</v>
      </c>
      <c r="C52" s="39" t="n">
        <v>3000000000</v>
      </c>
      <c r="D52" s="39" t="n">
        <v>29782500</v>
      </c>
      <c r="E52" s="39" t="n">
        <v>0</v>
      </c>
      <c r="F52" s="39" t="n">
        <v>29782500</v>
      </c>
      <c r="G52" s="39" t="n">
        <v>3000000000</v>
      </c>
      <c r="H52" s="33" t="n">
        <f aca="false">J51</f>
        <v>3000000000</v>
      </c>
      <c r="I52" s="33" t="n">
        <f aca="false">H52*N52</f>
        <v>29782500</v>
      </c>
      <c r="J52" s="33" t="n">
        <f aca="false">H52-E52</f>
        <v>3000000000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29782500</v>
      </c>
      <c r="N52" s="64" t="n">
        <v>0.0099275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0</v>
      </c>
    </row>
    <row r="53" customFormat="false" ht="15" hidden="false" customHeight="false" outlineLevel="0" collapsed="false">
      <c r="A53" s="38" t="n">
        <v>41</v>
      </c>
      <c r="B53" s="27" t="n">
        <v>45654</v>
      </c>
      <c r="C53" s="39" t="n">
        <v>3000000000</v>
      </c>
      <c r="D53" s="39" t="n">
        <v>30732500</v>
      </c>
      <c r="E53" s="39" t="n">
        <v>0</v>
      </c>
      <c r="F53" s="39" t="n">
        <v>30732500</v>
      </c>
      <c r="G53" s="39" t="n">
        <v>3000000000</v>
      </c>
      <c r="H53" s="33" t="n">
        <f aca="false">J52</f>
        <v>3000000000</v>
      </c>
      <c r="I53" s="33" t="n">
        <f aca="false">H53*N53</f>
        <v>30732500</v>
      </c>
      <c r="J53" s="33" t="n">
        <f aca="false">H53-E53</f>
        <v>3000000000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30732500</v>
      </c>
      <c r="N53" s="64" t="n">
        <v>0.0102441666666667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45685</v>
      </c>
      <c r="C54" s="39" t="n">
        <v>3000000000</v>
      </c>
      <c r="D54" s="39" t="n">
        <v>30182500</v>
      </c>
      <c r="E54" s="39" t="n">
        <v>0</v>
      </c>
      <c r="F54" s="39" t="n">
        <v>30182500</v>
      </c>
      <c r="G54" s="39" t="n">
        <v>3000000000</v>
      </c>
      <c r="H54" s="33" t="n">
        <f aca="false">J53</f>
        <v>3000000000</v>
      </c>
      <c r="I54" s="33" t="n">
        <f aca="false">H54*N54</f>
        <v>30182500</v>
      </c>
      <c r="J54" s="33" t="n">
        <f aca="false">H54-E54</f>
        <v>3000000000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30182500</v>
      </c>
      <c r="N54" s="64" t="n">
        <v>0.0100608333333333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45716</v>
      </c>
      <c r="C55" s="39" t="n">
        <v>3000000000</v>
      </c>
      <c r="D55" s="39" t="n">
        <v>30412500</v>
      </c>
      <c r="E55" s="39" t="n">
        <v>0</v>
      </c>
      <c r="F55" s="39" t="n">
        <v>30412500</v>
      </c>
      <c r="G55" s="39" t="n">
        <v>3000000000</v>
      </c>
      <c r="H55" s="33" t="n">
        <f aca="false">J54</f>
        <v>3000000000</v>
      </c>
      <c r="I55" s="33" t="n">
        <f aca="false">H55*N55</f>
        <v>30412500</v>
      </c>
      <c r="J55" s="33" t="n">
        <f aca="false">H55-E55</f>
        <v>3000000000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30412500</v>
      </c>
      <c r="N55" s="64" t="n">
        <v>0.0101375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45744</v>
      </c>
      <c r="C56" s="39" t="n">
        <v>3000000000</v>
      </c>
      <c r="D56" s="39" t="n">
        <v>30575000</v>
      </c>
      <c r="E56" s="39" t="n">
        <v>0</v>
      </c>
      <c r="F56" s="39" t="n">
        <v>30575000</v>
      </c>
      <c r="G56" s="39" t="n">
        <v>3000000000</v>
      </c>
      <c r="H56" s="33" t="n">
        <f aca="false">J55</f>
        <v>3000000000</v>
      </c>
      <c r="I56" s="33" t="n">
        <f aca="false">H56*N56</f>
        <v>30575000</v>
      </c>
      <c r="J56" s="33" t="n">
        <f aca="false">H56-E56</f>
        <v>3000000000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30575000</v>
      </c>
      <c r="N56" s="64" t="n">
        <v>0.0101916666666667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45775</v>
      </c>
      <c r="C57" s="39" t="n">
        <v>3000000000</v>
      </c>
      <c r="D57" s="39" t="n">
        <v>30682500</v>
      </c>
      <c r="E57" s="39" t="n">
        <v>0</v>
      </c>
      <c r="F57" s="39" t="n">
        <v>30682500</v>
      </c>
      <c r="G57" s="39" t="n">
        <v>3000000000</v>
      </c>
      <c r="H57" s="33" t="n">
        <f aca="false">J56</f>
        <v>3000000000</v>
      </c>
      <c r="I57" s="33" t="n">
        <f aca="false">H57*N57</f>
        <v>30682500</v>
      </c>
      <c r="J57" s="33" t="n">
        <f aca="false">H57-E57</f>
        <v>3000000000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30682500</v>
      </c>
      <c r="N57" s="64" t="n">
        <v>0.0102275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45805</v>
      </c>
      <c r="C58" s="39" t="n">
        <v>3000000000</v>
      </c>
      <c r="D58" s="39" t="n">
        <v>30237500</v>
      </c>
      <c r="E58" s="39" t="n">
        <v>0</v>
      </c>
      <c r="F58" s="39" t="n">
        <v>30237500</v>
      </c>
      <c r="G58" s="39" t="n">
        <v>3000000000</v>
      </c>
      <c r="H58" s="33" t="n">
        <f aca="false">J57</f>
        <v>3000000000</v>
      </c>
      <c r="I58" s="33" t="n">
        <f aca="false">H58*N58</f>
        <v>30237500</v>
      </c>
      <c r="J58" s="33" t="n">
        <f aca="false">H58-E58</f>
        <v>3000000000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30237500</v>
      </c>
      <c r="N58" s="64" t="n">
        <v>0.0100791666666667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45836</v>
      </c>
      <c r="C59" s="39" t="n">
        <v>3000000000</v>
      </c>
      <c r="D59" s="39" t="n">
        <v>30175000</v>
      </c>
      <c r="E59" s="39" t="n">
        <v>0</v>
      </c>
      <c r="F59" s="39" t="n">
        <v>30175000</v>
      </c>
      <c r="G59" s="39" t="n">
        <v>3000000000</v>
      </c>
      <c r="H59" s="33" t="n">
        <f aca="false">J58</f>
        <v>3000000000</v>
      </c>
      <c r="I59" s="33" t="n">
        <f aca="false">H59*N59</f>
        <v>30175000</v>
      </c>
      <c r="J59" s="33" t="n">
        <f aca="false">H59-E59</f>
        <v>3000000000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30175000</v>
      </c>
      <c r="N59" s="64" t="n">
        <v>0.0100583333333333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45866</v>
      </c>
      <c r="C60" s="39" t="n">
        <v>3000000000</v>
      </c>
      <c r="D60" s="39" t="n">
        <v>29975000</v>
      </c>
      <c r="E60" s="39" t="n">
        <v>0</v>
      </c>
      <c r="F60" s="39" t="n">
        <v>29975000</v>
      </c>
      <c r="G60" s="39" t="n">
        <v>3000000000</v>
      </c>
      <c r="H60" s="33" t="n">
        <f aca="false">J59</f>
        <v>3000000000</v>
      </c>
      <c r="I60" s="33" t="n">
        <f aca="false">H60*N60</f>
        <v>29975000</v>
      </c>
      <c r="J60" s="33" t="n">
        <f aca="false">H60-E60</f>
        <v>3000000000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29975000</v>
      </c>
      <c r="N60" s="64" t="n">
        <v>0.00999166666666667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45897</v>
      </c>
      <c r="C61" s="39" t="n">
        <v>3000000000</v>
      </c>
      <c r="D61" s="39" t="n">
        <v>30412500</v>
      </c>
      <c r="E61" s="39" t="n">
        <v>0</v>
      </c>
      <c r="F61" s="39" t="n">
        <v>30412500</v>
      </c>
      <c r="G61" s="39" t="n">
        <v>3000000000</v>
      </c>
      <c r="H61" s="33" t="n">
        <f aca="false">J60</f>
        <v>3000000000</v>
      </c>
      <c r="I61" s="33" t="n">
        <f aca="false">H61*N61</f>
        <v>30412500</v>
      </c>
      <c r="J61" s="33" t="n">
        <f aca="false">H61-E61</f>
        <v>3000000000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30412500</v>
      </c>
      <c r="N61" s="64" t="n">
        <v>0.0101375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45928</v>
      </c>
      <c r="C62" s="39" t="n">
        <v>3000000000</v>
      </c>
      <c r="D62" s="39" t="n">
        <v>30550000</v>
      </c>
      <c r="E62" s="39" t="n">
        <v>0</v>
      </c>
      <c r="F62" s="39" t="n">
        <v>30550000</v>
      </c>
      <c r="G62" s="39" t="n">
        <v>3000000000</v>
      </c>
      <c r="H62" s="33" t="n">
        <f aca="false">J61</f>
        <v>3000000000</v>
      </c>
      <c r="I62" s="33" t="n">
        <f aca="false">H62*N62</f>
        <v>30550000</v>
      </c>
      <c r="J62" s="33" t="n">
        <f aca="false">H62-E62</f>
        <v>3000000000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30550000</v>
      </c>
      <c r="N62" s="64" t="n">
        <v>0.0101833333333333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45958</v>
      </c>
      <c r="C63" s="39" t="n">
        <v>3000000000</v>
      </c>
      <c r="D63" s="39" t="n">
        <v>31035000</v>
      </c>
      <c r="E63" s="39" t="n">
        <v>0</v>
      </c>
      <c r="F63" s="39" t="n">
        <v>31035000</v>
      </c>
      <c r="G63" s="39" t="n">
        <v>3000000000</v>
      </c>
      <c r="H63" s="33" t="n">
        <f aca="false">J62</f>
        <v>3000000000</v>
      </c>
      <c r="I63" s="33" t="n">
        <f aca="false">H63*N63</f>
        <v>31035000</v>
      </c>
      <c r="J63" s="33" t="n">
        <f aca="false">H63-E63</f>
        <v>3000000000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31035000</v>
      </c>
      <c r="N63" s="64" t="n">
        <v>0.010345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45989</v>
      </c>
      <c r="C64" s="39" t="n">
        <v>3000000000</v>
      </c>
      <c r="D64" s="39" t="n">
        <v>31875000</v>
      </c>
      <c r="E64" s="39" t="n">
        <v>0</v>
      </c>
      <c r="F64" s="39" t="n">
        <v>31875000</v>
      </c>
      <c r="G64" s="39" t="n">
        <v>3000000000</v>
      </c>
      <c r="H64" s="33" t="n">
        <f aca="false">J63</f>
        <v>3000000000</v>
      </c>
      <c r="I64" s="33" t="n">
        <f aca="false">H64*N64</f>
        <v>31875000</v>
      </c>
      <c r="J64" s="33" t="n">
        <f aca="false">H64-E64</f>
        <v>3000000000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31875000</v>
      </c>
      <c r="N64" s="64" t="n">
        <v>0.010625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46019</v>
      </c>
      <c r="C65" s="39" t="n">
        <v>3000000000</v>
      </c>
      <c r="D65" s="39" t="n">
        <v>33907500</v>
      </c>
      <c r="E65" s="39" t="n">
        <v>0</v>
      </c>
      <c r="F65" s="39" t="n">
        <v>33907500</v>
      </c>
      <c r="G65" s="39" t="n">
        <v>3000000000</v>
      </c>
      <c r="H65" s="33" t="n">
        <f aca="false">J64</f>
        <v>3000000000</v>
      </c>
      <c r="I65" s="33" t="n">
        <f aca="false">H65*N65</f>
        <v>33907500</v>
      </c>
      <c r="J65" s="33" t="n">
        <f aca="false">H65-E65</f>
        <v>3000000000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33907500</v>
      </c>
      <c r="N65" s="64" t="n">
        <v>0.0113025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46050</v>
      </c>
      <c r="C66" s="39" t="n">
        <v>3000000000</v>
      </c>
      <c r="D66" s="39" t="n">
        <v>34250000</v>
      </c>
      <c r="E66" s="39" t="n">
        <v>0</v>
      </c>
      <c r="F66" s="39" t="n">
        <v>34250000</v>
      </c>
      <c r="G66" s="39" t="n">
        <v>3000000000</v>
      </c>
      <c r="H66" s="33" t="n">
        <f aca="false">J65</f>
        <v>3000000000</v>
      </c>
      <c r="I66" s="33" t="n">
        <f aca="false">H66*N66</f>
        <v>34250000</v>
      </c>
      <c r="J66" s="33" t="n">
        <f aca="false">H66-E66</f>
        <v>3000000000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34250000</v>
      </c>
      <c r="N66" s="64" t="n">
        <v>0.0114166666666667</v>
      </c>
      <c r="O66" s="48" t="n">
        <f aca="false">IF(AND(B66&gt;=DATE(2026,1,1),B66&lt;=Resumen!$C$5),1,0)</f>
        <v>1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46081</v>
      </c>
      <c r="C67" s="39" t="n">
        <v>3000000000</v>
      </c>
      <c r="D67" s="39" t="n">
        <v>36925000</v>
      </c>
      <c r="E67" s="39" t="n">
        <v>0</v>
      </c>
      <c r="F67" s="39" t="n">
        <v>36925000</v>
      </c>
      <c r="G67" s="39" t="n">
        <v>3000000000</v>
      </c>
      <c r="H67" s="33" t="n">
        <f aca="false">J66</f>
        <v>3000000000</v>
      </c>
      <c r="I67" s="33" t="n">
        <f aca="false">H67*N67</f>
        <v>36925000</v>
      </c>
      <c r="J67" s="33" t="n">
        <f aca="false">H67-E67</f>
        <v>3000000000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36925000</v>
      </c>
      <c r="N67" s="64" t="n">
        <v>0.0123083333333333</v>
      </c>
      <c r="O67" s="48" t="n">
        <f aca="false">IF(AND(B67&gt;=DATE(2026,1,1),B67&lt;=Resumen!$C$5),1,0)</f>
        <v>1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46109</v>
      </c>
      <c r="C68" s="39" t="n">
        <v>3000000000</v>
      </c>
      <c r="D68" s="39" t="n">
        <v>37775000</v>
      </c>
      <c r="E68" s="39" t="n">
        <v>0</v>
      </c>
      <c r="F68" s="39" t="n">
        <v>37775000</v>
      </c>
      <c r="G68" s="39" t="n">
        <v>3000000000</v>
      </c>
      <c r="H68" s="33" t="n">
        <f aca="false">J67</f>
        <v>3000000000</v>
      </c>
      <c r="I68" s="33" t="n">
        <f aca="false">H68*N68</f>
        <v>37775000</v>
      </c>
      <c r="J68" s="33" t="n">
        <f aca="false">H68-E68</f>
        <v>3000000000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37775000</v>
      </c>
      <c r="N68" s="64" t="n">
        <v>0.0125916666666667</v>
      </c>
      <c r="O68" s="48" t="n">
        <f aca="false">IF(AND(B68&gt;=DATE(2026,1,1),B68&lt;=Resumen!$C$5),1,0)</f>
        <v>1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46140</v>
      </c>
      <c r="C69" s="39" t="n">
        <v>3000000000</v>
      </c>
      <c r="D69" s="39" t="n">
        <v>38617500</v>
      </c>
      <c r="E69" s="39" t="n">
        <v>0</v>
      </c>
      <c r="F69" s="39" t="n">
        <v>38617500</v>
      </c>
      <c r="G69" s="39" t="n">
        <v>3000000000</v>
      </c>
      <c r="H69" s="33" t="n">
        <f aca="false">J68</f>
        <v>3000000000</v>
      </c>
      <c r="I69" s="33" t="n">
        <f aca="false">H69*N69</f>
        <v>38617500</v>
      </c>
      <c r="J69" s="33" t="n">
        <f aca="false">H69-E69</f>
        <v>3000000000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38617500</v>
      </c>
      <c r="N69" s="64" t="n">
        <v>0.0128725</v>
      </c>
      <c r="O69" s="48" t="n">
        <f aca="false">IF(AND(B69&gt;=DATE(2026,1,1),B69&lt;=Resumen!$C$5),1,0)</f>
        <v>1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46170</v>
      </c>
      <c r="C70" s="39" t="n">
        <v>3000000000</v>
      </c>
      <c r="D70" s="39" t="n">
        <v>38617500</v>
      </c>
      <c r="E70" s="39" t="n">
        <v>0</v>
      </c>
      <c r="F70" s="39" t="n">
        <v>38617500</v>
      </c>
      <c r="G70" s="39" t="n">
        <v>3000000000</v>
      </c>
      <c r="H70" s="33" t="n">
        <f aca="false">J69</f>
        <v>3000000000</v>
      </c>
      <c r="I70" s="33" t="n">
        <f aca="false">H70*N70</f>
        <v>38617500</v>
      </c>
      <c r="J70" s="33" t="n">
        <f aca="false">H70-E70</f>
        <v>3000000000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38617500</v>
      </c>
      <c r="N70" s="64" t="n">
        <v>0.0128725</v>
      </c>
      <c r="O70" s="48" t="n">
        <f aca="false">IF(AND(B70&gt;=DATE(2026,1,1),B70&lt;=Resumen!$C$5),1,0)</f>
        <v>1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46201</v>
      </c>
      <c r="C71" s="39" t="n">
        <v>3000000000</v>
      </c>
      <c r="D71" s="39" t="n">
        <v>37950000</v>
      </c>
      <c r="E71" s="39" t="n">
        <v>0</v>
      </c>
      <c r="F71" s="39" t="n">
        <v>37950000</v>
      </c>
      <c r="G71" s="39" t="n">
        <v>3000000000</v>
      </c>
      <c r="H71" s="33" t="n">
        <f aca="false">J70</f>
        <v>3000000000</v>
      </c>
      <c r="I71" s="33" t="n">
        <f aca="false">H71*N71</f>
        <v>37950000</v>
      </c>
      <c r="J71" s="33" t="n">
        <f aca="false">H71-E71</f>
        <v>3000000000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37950000</v>
      </c>
      <c r="N71" s="64" t="n">
        <v>0.01265</v>
      </c>
      <c r="O71" s="48" t="n">
        <f aca="false">IF(AND(B71&gt;=DATE(2026,1,1),B71&lt;=Resumen!$C$5),1,0)</f>
        <v>1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46231</v>
      </c>
      <c r="C72" s="39" t="n">
        <v>3000000000</v>
      </c>
      <c r="D72" s="39" t="n">
        <v>38562500</v>
      </c>
      <c r="E72" s="39" t="n">
        <v>0</v>
      </c>
      <c r="F72" s="39" t="n">
        <v>38562500</v>
      </c>
      <c r="G72" s="39" t="n">
        <v>3000000000</v>
      </c>
      <c r="H72" s="33" t="n">
        <f aca="false">J71</f>
        <v>3000000000</v>
      </c>
      <c r="I72" s="33" t="n">
        <f aca="false">H72*N72</f>
        <v>38562500</v>
      </c>
      <c r="J72" s="33" t="n">
        <f aca="false">H72-E72</f>
        <v>3000000000</v>
      </c>
      <c r="K72" s="33" t="n">
        <f aca="false">D72-I72</f>
        <v>0</v>
      </c>
      <c r="L72" s="33" t="n">
        <f aca="false">G72-J72</f>
        <v>0</v>
      </c>
      <c r="M72" s="33" t="n">
        <f aca="false">F72</f>
        <v>38562500</v>
      </c>
      <c r="N72" s="64" t="n">
        <v>0.0128541666666667</v>
      </c>
      <c r="O72" s="48" t="n">
        <f aca="false">IF(AND(B72&gt;=DATE(2026,1,1),B72&lt;=Resumen!$C$5),1,0)</f>
        <v>1</v>
      </c>
      <c r="P72" s="48" t="n">
        <f aca="false">IF(AND(B72&gt;Resumen!$C$5,B72&lt;=DATE(2027,7,31)),1,0)</f>
        <v>0</v>
      </c>
    </row>
    <row r="73" customFormat="false" ht="15" hidden="false" customHeight="false" outlineLevel="0" collapsed="false">
      <c r="A73" s="38" t="n">
        <v>61</v>
      </c>
      <c r="B73" s="27" t="n">
        <v>46262</v>
      </c>
      <c r="C73" s="39" t="n">
        <v>3000000000</v>
      </c>
      <c r="D73" s="39" t="n">
        <v>38562500</v>
      </c>
      <c r="E73" s="39" t="n">
        <v>0</v>
      </c>
      <c r="F73" s="39" t="n">
        <v>38562500</v>
      </c>
      <c r="G73" s="39" t="n">
        <v>3000000000</v>
      </c>
      <c r="H73" s="33" t="n">
        <f aca="false">J72</f>
        <v>3000000000</v>
      </c>
      <c r="I73" s="33" t="n">
        <f aca="false">H73*N73</f>
        <v>38562500</v>
      </c>
      <c r="J73" s="33" t="n">
        <f aca="false">H73-E73</f>
        <v>3000000000</v>
      </c>
      <c r="K73" s="33" t="n">
        <f aca="false">D73-I73</f>
        <v>0</v>
      </c>
      <c r="L73" s="33" t="n">
        <f aca="false">G73-J73</f>
        <v>0</v>
      </c>
      <c r="M73" s="33" t="n">
        <f aca="false">F73</f>
        <v>38562500</v>
      </c>
      <c r="N73" s="64" t="n">
        <v>0.0128541666666667</v>
      </c>
      <c r="O73" s="48" t="n">
        <f aca="false">IF(AND(B73&gt;=DATE(2026,1,1),B73&lt;=Resumen!$C$5),1,0)</f>
        <v>0</v>
      </c>
      <c r="P73" s="48" t="n">
        <f aca="false">IF(AND(B73&gt;Resumen!$C$5,B73&lt;=DATE(2027,7,31)),1,0)</f>
        <v>1</v>
      </c>
    </row>
    <row r="74" customFormat="false" ht="15" hidden="false" customHeight="false" outlineLevel="0" collapsed="false">
      <c r="A74" s="38" t="n">
        <v>62</v>
      </c>
      <c r="B74" s="27" t="n">
        <v>46293</v>
      </c>
      <c r="C74" s="39" t="n">
        <v>3000000000</v>
      </c>
      <c r="D74" s="39" t="n">
        <v>38562500</v>
      </c>
      <c r="E74" s="39" t="n">
        <v>0</v>
      </c>
      <c r="F74" s="39" t="n">
        <v>38562500</v>
      </c>
      <c r="G74" s="39" t="n">
        <v>3000000000</v>
      </c>
      <c r="H74" s="33" t="n">
        <f aca="false">J73</f>
        <v>3000000000</v>
      </c>
      <c r="I74" s="33" t="n">
        <f aca="false">H74*N74</f>
        <v>38562500</v>
      </c>
      <c r="J74" s="33" t="n">
        <f aca="false">H74-E74</f>
        <v>3000000000</v>
      </c>
      <c r="K74" s="33" t="n">
        <f aca="false">D74-I74</f>
        <v>0</v>
      </c>
      <c r="L74" s="33" t="n">
        <f aca="false">G74-J74</f>
        <v>0</v>
      </c>
      <c r="M74" s="33" t="n">
        <f aca="false">F74</f>
        <v>38562500</v>
      </c>
      <c r="N74" s="64" t="n">
        <v>0.0128541666666667</v>
      </c>
      <c r="O74" s="48" t="n">
        <f aca="false">IF(AND(B74&gt;=DATE(2026,1,1),B74&lt;=Resumen!$C$5),1,0)</f>
        <v>0</v>
      </c>
      <c r="P74" s="48" t="n">
        <f aca="false">IF(AND(B74&gt;Resumen!$C$5,B74&lt;=DATE(2027,7,31)),1,0)</f>
        <v>1</v>
      </c>
    </row>
    <row r="75" customFormat="false" ht="15" hidden="false" customHeight="false" outlineLevel="0" collapsed="false">
      <c r="A75" s="38" t="n">
        <v>63</v>
      </c>
      <c r="B75" s="27" t="n">
        <v>46323</v>
      </c>
      <c r="C75" s="39" t="n">
        <v>3000000000</v>
      </c>
      <c r="D75" s="39" t="n">
        <v>38562500</v>
      </c>
      <c r="E75" s="39" t="n">
        <v>0</v>
      </c>
      <c r="F75" s="39" t="n">
        <v>38562500</v>
      </c>
      <c r="G75" s="39" t="n">
        <v>3000000000</v>
      </c>
      <c r="H75" s="33" t="n">
        <f aca="false">J74</f>
        <v>3000000000</v>
      </c>
      <c r="I75" s="33" t="n">
        <f aca="false">H75*N75</f>
        <v>38562500</v>
      </c>
      <c r="J75" s="33" t="n">
        <f aca="false">H75-E75</f>
        <v>3000000000</v>
      </c>
      <c r="K75" s="33" t="n">
        <f aca="false">D75-I75</f>
        <v>0</v>
      </c>
      <c r="L75" s="33" t="n">
        <f aca="false">G75-J75</f>
        <v>0</v>
      </c>
      <c r="M75" s="33" t="n">
        <f aca="false">F75</f>
        <v>38562500</v>
      </c>
      <c r="N75" s="64" t="n">
        <v>0.0128541666666667</v>
      </c>
      <c r="O75" s="48" t="n">
        <f aca="false">IF(AND(B75&gt;=DATE(2026,1,1),B75&lt;=Resumen!$C$5),1,0)</f>
        <v>0</v>
      </c>
      <c r="P75" s="48" t="n">
        <f aca="false">IF(AND(B75&gt;Resumen!$C$5,B75&lt;=DATE(2027,7,31)),1,0)</f>
        <v>1</v>
      </c>
    </row>
    <row r="76" customFormat="false" ht="15" hidden="false" customHeight="false" outlineLevel="0" collapsed="false">
      <c r="A76" s="38" t="n">
        <v>64</v>
      </c>
      <c r="B76" s="27" t="n">
        <v>46354</v>
      </c>
      <c r="C76" s="39" t="n">
        <v>3000000000</v>
      </c>
      <c r="D76" s="39" t="n">
        <v>38562500</v>
      </c>
      <c r="E76" s="39" t="n">
        <v>0</v>
      </c>
      <c r="F76" s="39" t="n">
        <v>38562500</v>
      </c>
      <c r="G76" s="39" t="n">
        <v>3000000000</v>
      </c>
      <c r="H76" s="33" t="n">
        <f aca="false">J75</f>
        <v>3000000000</v>
      </c>
      <c r="I76" s="33" t="n">
        <f aca="false">H76*N76</f>
        <v>38562500</v>
      </c>
      <c r="J76" s="33" t="n">
        <f aca="false">H76-E76</f>
        <v>3000000000</v>
      </c>
      <c r="K76" s="33" t="n">
        <f aca="false">D76-I76</f>
        <v>0</v>
      </c>
      <c r="L76" s="33" t="n">
        <f aca="false">G76-J76</f>
        <v>0</v>
      </c>
      <c r="M76" s="33" t="n">
        <f aca="false">F76</f>
        <v>38562500</v>
      </c>
      <c r="N76" s="64" t="n">
        <v>0.0128541666666667</v>
      </c>
      <c r="O76" s="48" t="n">
        <f aca="false">IF(AND(B76&gt;=DATE(2026,1,1),B76&lt;=Resumen!$C$5),1,0)</f>
        <v>0</v>
      </c>
      <c r="P76" s="48" t="n">
        <f aca="false">IF(AND(B76&gt;Resumen!$C$5,B76&lt;=DATE(2027,7,31)),1,0)</f>
        <v>1</v>
      </c>
    </row>
    <row r="77" customFormat="false" ht="15" hidden="false" customHeight="false" outlineLevel="0" collapsed="false">
      <c r="A77" s="38" t="n">
        <v>65</v>
      </c>
      <c r="B77" s="27" t="n">
        <v>46384</v>
      </c>
      <c r="C77" s="39" t="n">
        <v>3000000000</v>
      </c>
      <c r="D77" s="39" t="n">
        <v>38562500</v>
      </c>
      <c r="E77" s="39" t="n">
        <v>0</v>
      </c>
      <c r="F77" s="39" t="n">
        <v>38562500</v>
      </c>
      <c r="G77" s="39" t="n">
        <v>3000000000</v>
      </c>
      <c r="H77" s="33" t="n">
        <f aca="false">J76</f>
        <v>3000000000</v>
      </c>
      <c r="I77" s="33" t="n">
        <f aca="false">H77*N77</f>
        <v>38562500</v>
      </c>
      <c r="J77" s="33" t="n">
        <f aca="false">H77-E77</f>
        <v>3000000000</v>
      </c>
      <c r="K77" s="33" t="n">
        <f aca="false">D77-I77</f>
        <v>0</v>
      </c>
      <c r="L77" s="33" t="n">
        <f aca="false">G77-J77</f>
        <v>0</v>
      </c>
      <c r="M77" s="33" t="n">
        <f aca="false">F77</f>
        <v>38562500</v>
      </c>
      <c r="N77" s="64" t="n">
        <v>0.0128541666666667</v>
      </c>
      <c r="O77" s="48" t="n">
        <f aca="false">IF(AND(B77&gt;=DATE(2026,1,1),B77&lt;=Resumen!$C$5),1,0)</f>
        <v>0</v>
      </c>
      <c r="P77" s="48" t="n">
        <f aca="false">IF(AND(B77&gt;Resumen!$C$5,B77&lt;=DATE(2027,7,31)),1,0)</f>
        <v>1</v>
      </c>
    </row>
    <row r="78" customFormat="false" ht="15" hidden="false" customHeight="false" outlineLevel="0" collapsed="false">
      <c r="A78" s="38" t="n">
        <v>66</v>
      </c>
      <c r="B78" s="27" t="n">
        <v>46415</v>
      </c>
      <c r="C78" s="39" t="n">
        <v>3000000000</v>
      </c>
      <c r="D78" s="39" t="n">
        <v>38562500</v>
      </c>
      <c r="E78" s="39" t="n">
        <v>0</v>
      </c>
      <c r="F78" s="39" t="n">
        <v>38562500</v>
      </c>
      <c r="G78" s="39" t="n">
        <v>3000000000</v>
      </c>
      <c r="H78" s="33" t="n">
        <f aca="false">J77</f>
        <v>3000000000</v>
      </c>
      <c r="I78" s="33" t="n">
        <f aca="false">H78*N78</f>
        <v>38562500</v>
      </c>
      <c r="J78" s="33" t="n">
        <f aca="false">H78-E78</f>
        <v>3000000000</v>
      </c>
      <c r="K78" s="33" t="n">
        <f aca="false">D78-I78</f>
        <v>0</v>
      </c>
      <c r="L78" s="33" t="n">
        <f aca="false">G78-J78</f>
        <v>0</v>
      </c>
      <c r="M78" s="33" t="n">
        <f aca="false">F78</f>
        <v>38562500</v>
      </c>
      <c r="N78" s="64" t="n">
        <v>0.0128541666666667</v>
      </c>
      <c r="O78" s="48" t="n">
        <f aca="false">IF(AND(B78&gt;=DATE(2026,1,1),B78&lt;=Resumen!$C$5),1,0)</f>
        <v>0</v>
      </c>
      <c r="P78" s="48" t="n">
        <f aca="false">IF(AND(B78&gt;Resumen!$C$5,B78&lt;=DATE(2027,7,31)),1,0)</f>
        <v>1</v>
      </c>
    </row>
    <row r="79" customFormat="false" ht="15" hidden="false" customHeight="false" outlineLevel="0" collapsed="false">
      <c r="A79" s="38" t="n">
        <v>67</v>
      </c>
      <c r="B79" s="27" t="n">
        <v>46446</v>
      </c>
      <c r="C79" s="39" t="n">
        <v>3000000000</v>
      </c>
      <c r="D79" s="39" t="n">
        <v>38562500</v>
      </c>
      <c r="E79" s="39" t="n">
        <v>0</v>
      </c>
      <c r="F79" s="39" t="n">
        <v>38562500</v>
      </c>
      <c r="G79" s="39" t="n">
        <v>3000000000</v>
      </c>
      <c r="H79" s="33" t="n">
        <f aca="false">J78</f>
        <v>3000000000</v>
      </c>
      <c r="I79" s="33" t="n">
        <f aca="false">H79*N79</f>
        <v>38562500</v>
      </c>
      <c r="J79" s="33" t="n">
        <f aca="false">H79-E79</f>
        <v>3000000000</v>
      </c>
      <c r="K79" s="33" t="n">
        <f aca="false">D79-I79</f>
        <v>0</v>
      </c>
      <c r="L79" s="33" t="n">
        <f aca="false">G79-J79</f>
        <v>0</v>
      </c>
      <c r="M79" s="33" t="n">
        <f aca="false">F79</f>
        <v>38562500</v>
      </c>
      <c r="N79" s="64" t="n">
        <v>0.0128541666666667</v>
      </c>
      <c r="O79" s="48" t="n">
        <f aca="false">IF(AND(B79&gt;=DATE(2026,1,1),B79&lt;=Resumen!$C$5),1,0)</f>
        <v>0</v>
      </c>
      <c r="P79" s="48" t="n">
        <f aca="false">IF(AND(B79&gt;Resumen!$C$5,B79&lt;=DATE(2027,7,31)),1,0)</f>
        <v>1</v>
      </c>
    </row>
    <row r="80" customFormat="false" ht="15" hidden="false" customHeight="false" outlineLevel="0" collapsed="false">
      <c r="A80" s="38" t="n">
        <v>68</v>
      </c>
      <c r="B80" s="27" t="n">
        <v>46474</v>
      </c>
      <c r="C80" s="39" t="n">
        <v>3000000000</v>
      </c>
      <c r="D80" s="39" t="n">
        <v>38562500</v>
      </c>
      <c r="E80" s="39" t="n">
        <v>0</v>
      </c>
      <c r="F80" s="39" t="n">
        <v>38562500</v>
      </c>
      <c r="G80" s="39" t="n">
        <v>3000000000</v>
      </c>
      <c r="H80" s="33" t="n">
        <f aca="false">J79</f>
        <v>3000000000</v>
      </c>
      <c r="I80" s="33" t="n">
        <f aca="false">H80*N80</f>
        <v>38562500</v>
      </c>
      <c r="J80" s="33" t="n">
        <f aca="false">H80-E80</f>
        <v>3000000000</v>
      </c>
      <c r="K80" s="33" t="n">
        <f aca="false">D80-I80</f>
        <v>0</v>
      </c>
      <c r="L80" s="33" t="n">
        <f aca="false">G80-J80</f>
        <v>0</v>
      </c>
      <c r="M80" s="33" t="n">
        <f aca="false">F80</f>
        <v>38562500</v>
      </c>
      <c r="N80" s="64" t="n">
        <v>0.0128541666666667</v>
      </c>
      <c r="O80" s="48" t="n">
        <f aca="false">IF(AND(B80&gt;=DATE(2026,1,1),B80&lt;=Resumen!$C$5),1,0)</f>
        <v>0</v>
      </c>
      <c r="P80" s="48" t="n">
        <f aca="false">IF(AND(B80&gt;Resumen!$C$5,B80&lt;=DATE(2027,7,31)),1,0)</f>
        <v>1</v>
      </c>
    </row>
    <row r="81" customFormat="false" ht="15" hidden="false" customHeight="false" outlineLevel="0" collapsed="false">
      <c r="A81" s="38" t="n">
        <v>69</v>
      </c>
      <c r="B81" s="27" t="n">
        <v>46505</v>
      </c>
      <c r="C81" s="39" t="n">
        <v>3000000000</v>
      </c>
      <c r="D81" s="39" t="n">
        <v>38562500</v>
      </c>
      <c r="E81" s="39" t="n">
        <v>0</v>
      </c>
      <c r="F81" s="39" t="n">
        <v>38562500</v>
      </c>
      <c r="G81" s="39" t="n">
        <v>3000000000</v>
      </c>
      <c r="H81" s="33" t="n">
        <f aca="false">J80</f>
        <v>3000000000</v>
      </c>
      <c r="I81" s="33" t="n">
        <f aca="false">H81*N81</f>
        <v>38562500</v>
      </c>
      <c r="J81" s="33" t="n">
        <f aca="false">H81-E81</f>
        <v>3000000000</v>
      </c>
      <c r="K81" s="33" t="n">
        <f aca="false">D81-I81</f>
        <v>0</v>
      </c>
      <c r="L81" s="33" t="n">
        <f aca="false">G81-J81</f>
        <v>0</v>
      </c>
      <c r="M81" s="33" t="n">
        <f aca="false">F81</f>
        <v>38562500</v>
      </c>
      <c r="N81" s="64" t="n">
        <v>0.0128541666666667</v>
      </c>
      <c r="O81" s="48" t="n">
        <f aca="false">IF(AND(B81&gt;=DATE(2026,1,1),B81&lt;=Resumen!$C$5),1,0)</f>
        <v>0</v>
      </c>
      <c r="P81" s="48" t="n">
        <f aca="false">IF(AND(B81&gt;Resumen!$C$5,B81&lt;=DATE(2027,7,31)),1,0)</f>
        <v>1</v>
      </c>
    </row>
    <row r="82" customFormat="false" ht="15" hidden="false" customHeight="false" outlineLevel="0" collapsed="false">
      <c r="A82" s="38" t="n">
        <v>70</v>
      </c>
      <c r="B82" s="27" t="n">
        <v>46535</v>
      </c>
      <c r="C82" s="39" t="n">
        <v>3000000000</v>
      </c>
      <c r="D82" s="39" t="n">
        <v>38562500</v>
      </c>
      <c r="E82" s="39" t="n">
        <v>0</v>
      </c>
      <c r="F82" s="39" t="n">
        <v>38562500</v>
      </c>
      <c r="G82" s="39" t="n">
        <v>3000000000</v>
      </c>
      <c r="H82" s="33" t="n">
        <f aca="false">J81</f>
        <v>3000000000</v>
      </c>
      <c r="I82" s="33" t="n">
        <f aca="false">H82*N82</f>
        <v>38562500</v>
      </c>
      <c r="J82" s="33" t="n">
        <f aca="false">H82-E82</f>
        <v>3000000000</v>
      </c>
      <c r="K82" s="33" t="n">
        <f aca="false">D82-I82</f>
        <v>0</v>
      </c>
      <c r="L82" s="33" t="n">
        <f aca="false">G82-J82</f>
        <v>0</v>
      </c>
      <c r="M82" s="33" t="n">
        <f aca="false">F82</f>
        <v>38562500</v>
      </c>
      <c r="N82" s="64" t="n">
        <v>0.0128541666666667</v>
      </c>
      <c r="O82" s="48" t="n">
        <f aca="false">IF(AND(B82&gt;=DATE(2026,1,1),B82&lt;=Resumen!$C$5),1,0)</f>
        <v>0</v>
      </c>
      <c r="P82" s="48" t="n">
        <f aca="false">IF(AND(B82&gt;Resumen!$C$5,B82&lt;=DATE(2027,7,31)),1,0)</f>
        <v>1</v>
      </c>
    </row>
    <row r="83" customFormat="false" ht="15" hidden="false" customHeight="false" outlineLevel="0" collapsed="false">
      <c r="A83" s="38" t="n">
        <v>71</v>
      </c>
      <c r="B83" s="27" t="n">
        <v>46566</v>
      </c>
      <c r="C83" s="39" t="n">
        <v>3000000000</v>
      </c>
      <c r="D83" s="39" t="n">
        <v>38562500</v>
      </c>
      <c r="E83" s="39" t="n">
        <v>0</v>
      </c>
      <c r="F83" s="39" t="n">
        <v>38562500</v>
      </c>
      <c r="G83" s="39" t="n">
        <v>3000000000</v>
      </c>
      <c r="H83" s="33" t="n">
        <f aca="false">J82</f>
        <v>3000000000</v>
      </c>
      <c r="I83" s="33" t="n">
        <f aca="false">H83*N83</f>
        <v>38562500</v>
      </c>
      <c r="J83" s="33" t="n">
        <f aca="false">H83-E83</f>
        <v>3000000000</v>
      </c>
      <c r="K83" s="33" t="n">
        <f aca="false">D83-I83</f>
        <v>0</v>
      </c>
      <c r="L83" s="33" t="n">
        <f aca="false">G83-J83</f>
        <v>0</v>
      </c>
      <c r="M83" s="33" t="n">
        <f aca="false">F83</f>
        <v>38562500</v>
      </c>
      <c r="N83" s="64" t="n">
        <v>0.0128541666666667</v>
      </c>
      <c r="O83" s="48" t="n">
        <f aca="false">IF(AND(B83&gt;=DATE(2026,1,1),B83&lt;=Resumen!$C$5),1,0)</f>
        <v>0</v>
      </c>
      <c r="P83" s="48" t="n">
        <f aca="false">IF(AND(B83&gt;Resumen!$C$5,B83&lt;=DATE(2027,7,31)),1,0)</f>
        <v>1</v>
      </c>
    </row>
    <row r="84" customFormat="false" ht="15" hidden="false" customHeight="false" outlineLevel="0" collapsed="false">
      <c r="A84" s="38" t="n">
        <v>72</v>
      </c>
      <c r="B84" s="27" t="n">
        <v>46596</v>
      </c>
      <c r="C84" s="39" t="n">
        <v>3000000000</v>
      </c>
      <c r="D84" s="39" t="n">
        <v>38562500</v>
      </c>
      <c r="E84" s="39" t="n">
        <v>0</v>
      </c>
      <c r="F84" s="39" t="n">
        <v>38562500</v>
      </c>
      <c r="G84" s="39" t="n">
        <v>3000000000</v>
      </c>
      <c r="H84" s="33" t="n">
        <f aca="false">J83</f>
        <v>3000000000</v>
      </c>
      <c r="I84" s="33" t="n">
        <f aca="false">H84*N84</f>
        <v>38562500</v>
      </c>
      <c r="J84" s="33" t="n">
        <f aca="false">H84-E84</f>
        <v>3000000000</v>
      </c>
      <c r="K84" s="33" t="n">
        <f aca="false">D84-I84</f>
        <v>0</v>
      </c>
      <c r="L84" s="33" t="n">
        <f aca="false">G84-J84</f>
        <v>0</v>
      </c>
      <c r="M84" s="33" t="n">
        <f aca="false">F84</f>
        <v>38562500</v>
      </c>
      <c r="N84" s="64" t="n">
        <v>0.0128541666666667</v>
      </c>
      <c r="O84" s="48" t="n">
        <f aca="false">IF(AND(B84&gt;=DATE(2026,1,1),B84&lt;=Resumen!$C$5),1,0)</f>
        <v>0</v>
      </c>
      <c r="P84" s="48" t="n">
        <f aca="false">IF(AND(B84&gt;Resumen!$C$5,B84&lt;=DATE(2027,7,31)),1,0)</f>
        <v>1</v>
      </c>
    </row>
    <row r="85" customFormat="false" ht="15" hidden="false" customHeight="false" outlineLevel="0" collapsed="false">
      <c r="A85" s="38" t="n">
        <v>73</v>
      </c>
      <c r="B85" s="27" t="n">
        <v>46627</v>
      </c>
      <c r="C85" s="39" t="n">
        <v>3000000000</v>
      </c>
      <c r="D85" s="39" t="n">
        <v>38562500</v>
      </c>
      <c r="E85" s="39" t="n">
        <v>0</v>
      </c>
      <c r="F85" s="39" t="n">
        <v>38562500</v>
      </c>
      <c r="G85" s="39" t="n">
        <v>3000000000</v>
      </c>
      <c r="H85" s="33" t="n">
        <f aca="false">J84</f>
        <v>3000000000</v>
      </c>
      <c r="I85" s="33" t="n">
        <f aca="false">H85*N85</f>
        <v>38562500</v>
      </c>
      <c r="J85" s="33" t="n">
        <f aca="false">H85-E85</f>
        <v>3000000000</v>
      </c>
      <c r="K85" s="33" t="n">
        <f aca="false">D85-I85</f>
        <v>0</v>
      </c>
      <c r="L85" s="33" t="n">
        <f aca="false">G85-J85</f>
        <v>0</v>
      </c>
      <c r="M85" s="33" t="n">
        <f aca="false">F85</f>
        <v>38562500</v>
      </c>
      <c r="N85" s="64" t="n">
        <v>0.0128541666666667</v>
      </c>
      <c r="O85" s="48" t="n">
        <f aca="false">IF(AND(B85&gt;=DATE(2026,1,1),B85&lt;=Resumen!$C$5),1,0)</f>
        <v>0</v>
      </c>
      <c r="P85" s="48" t="n">
        <f aca="false">IF(AND(B85&gt;Resumen!$C$5,B85&lt;=DATE(2027,7,31)),1,0)</f>
        <v>0</v>
      </c>
    </row>
    <row r="86" customFormat="false" ht="15" hidden="false" customHeight="false" outlineLevel="0" collapsed="false">
      <c r="A86" s="38" t="n">
        <v>74</v>
      </c>
      <c r="B86" s="27" t="n">
        <v>46658</v>
      </c>
      <c r="C86" s="39" t="n">
        <v>3000000000</v>
      </c>
      <c r="D86" s="39" t="n">
        <v>38562500</v>
      </c>
      <c r="E86" s="39" t="n">
        <v>0</v>
      </c>
      <c r="F86" s="39" t="n">
        <v>38562500</v>
      </c>
      <c r="G86" s="39" t="n">
        <v>3000000000</v>
      </c>
      <c r="H86" s="33" t="n">
        <f aca="false">J85</f>
        <v>3000000000</v>
      </c>
      <c r="I86" s="33" t="n">
        <f aca="false">H86*N86</f>
        <v>38562500</v>
      </c>
      <c r="J86" s="33" t="n">
        <f aca="false">H86-E86</f>
        <v>3000000000</v>
      </c>
      <c r="K86" s="33" t="n">
        <f aca="false">D86-I86</f>
        <v>0</v>
      </c>
      <c r="L86" s="33" t="n">
        <f aca="false">G86-J86</f>
        <v>0</v>
      </c>
      <c r="M86" s="33" t="n">
        <f aca="false">F86</f>
        <v>38562500</v>
      </c>
      <c r="N86" s="64" t="n">
        <v>0.0128541666666667</v>
      </c>
      <c r="O86" s="48" t="n">
        <f aca="false">IF(AND(B86&gt;=DATE(2026,1,1),B86&lt;=Resumen!$C$5),1,0)</f>
        <v>0</v>
      </c>
      <c r="P86" s="48" t="n">
        <f aca="false">IF(AND(B86&gt;Resumen!$C$5,B86&lt;=DATE(2027,7,31)),1,0)</f>
        <v>0</v>
      </c>
    </row>
    <row r="87" customFormat="false" ht="15" hidden="false" customHeight="false" outlineLevel="0" collapsed="false">
      <c r="A87" s="38" t="n">
        <v>75</v>
      </c>
      <c r="B87" s="27" t="n">
        <v>46688</v>
      </c>
      <c r="C87" s="39" t="n">
        <v>3000000000</v>
      </c>
      <c r="D87" s="39" t="n">
        <v>38562500</v>
      </c>
      <c r="E87" s="39" t="n">
        <v>0</v>
      </c>
      <c r="F87" s="39" t="n">
        <v>38562500</v>
      </c>
      <c r="G87" s="39" t="n">
        <v>3000000000</v>
      </c>
      <c r="H87" s="33" t="n">
        <f aca="false">J86</f>
        <v>3000000000</v>
      </c>
      <c r="I87" s="33" t="n">
        <f aca="false">H87*N87</f>
        <v>38562500</v>
      </c>
      <c r="J87" s="33" t="n">
        <f aca="false">H87-E87</f>
        <v>3000000000</v>
      </c>
      <c r="K87" s="33" t="n">
        <f aca="false">D87-I87</f>
        <v>0</v>
      </c>
      <c r="L87" s="33" t="n">
        <f aca="false">G87-J87</f>
        <v>0</v>
      </c>
      <c r="M87" s="33" t="n">
        <f aca="false">F87</f>
        <v>38562500</v>
      </c>
      <c r="N87" s="64" t="n">
        <v>0.0128541666666667</v>
      </c>
      <c r="O87" s="48" t="n">
        <f aca="false">IF(AND(B87&gt;=DATE(2026,1,1),B87&lt;=Resumen!$C$5),1,0)</f>
        <v>0</v>
      </c>
      <c r="P87" s="48" t="n">
        <f aca="false">IF(AND(B87&gt;Resumen!$C$5,B87&lt;=DATE(2027,7,31)),1,0)</f>
        <v>0</v>
      </c>
    </row>
    <row r="88" customFormat="false" ht="15" hidden="false" customHeight="false" outlineLevel="0" collapsed="false">
      <c r="A88" s="38" t="n">
        <v>76</v>
      </c>
      <c r="B88" s="27" t="n">
        <v>46719</v>
      </c>
      <c r="C88" s="39" t="n">
        <v>3000000000</v>
      </c>
      <c r="D88" s="39" t="n">
        <v>38562500</v>
      </c>
      <c r="E88" s="39" t="n">
        <v>0</v>
      </c>
      <c r="F88" s="39" t="n">
        <v>38562500</v>
      </c>
      <c r="G88" s="39" t="n">
        <v>3000000000</v>
      </c>
      <c r="H88" s="33" t="n">
        <f aca="false">J87</f>
        <v>3000000000</v>
      </c>
      <c r="I88" s="33" t="n">
        <f aca="false">H88*N88</f>
        <v>38562500</v>
      </c>
      <c r="J88" s="33" t="n">
        <f aca="false">H88-E88</f>
        <v>3000000000</v>
      </c>
      <c r="K88" s="33" t="n">
        <f aca="false">D88-I88</f>
        <v>0</v>
      </c>
      <c r="L88" s="33" t="n">
        <f aca="false">G88-J88</f>
        <v>0</v>
      </c>
      <c r="M88" s="33" t="n">
        <f aca="false">F88</f>
        <v>38562500</v>
      </c>
      <c r="N88" s="64" t="n">
        <v>0.0128541666666667</v>
      </c>
      <c r="O88" s="48" t="n">
        <f aca="false">IF(AND(B88&gt;=DATE(2026,1,1),B88&lt;=Resumen!$C$5),1,0)</f>
        <v>0</v>
      </c>
      <c r="P88" s="48" t="n">
        <f aca="false">IF(AND(B88&gt;Resumen!$C$5,B88&lt;=DATE(2027,7,31)),1,0)</f>
        <v>0</v>
      </c>
    </row>
    <row r="89" customFormat="false" ht="15" hidden="false" customHeight="false" outlineLevel="0" collapsed="false">
      <c r="A89" s="38" t="n">
        <v>77</v>
      </c>
      <c r="B89" s="27" t="n">
        <v>46749</v>
      </c>
      <c r="C89" s="39" t="n">
        <v>3000000000</v>
      </c>
      <c r="D89" s="39" t="n">
        <v>38562500</v>
      </c>
      <c r="E89" s="39" t="n">
        <v>0</v>
      </c>
      <c r="F89" s="39" t="n">
        <v>38562500</v>
      </c>
      <c r="G89" s="39" t="n">
        <v>3000000000</v>
      </c>
      <c r="H89" s="33" t="n">
        <f aca="false">J88</f>
        <v>3000000000</v>
      </c>
      <c r="I89" s="33" t="n">
        <f aca="false">H89*N89</f>
        <v>38562500</v>
      </c>
      <c r="J89" s="33" t="n">
        <f aca="false">H89-E89</f>
        <v>3000000000</v>
      </c>
      <c r="K89" s="33" t="n">
        <f aca="false">D89-I89</f>
        <v>0</v>
      </c>
      <c r="L89" s="33" t="n">
        <f aca="false">G89-J89</f>
        <v>0</v>
      </c>
      <c r="M89" s="33" t="n">
        <f aca="false">F89</f>
        <v>38562500</v>
      </c>
      <c r="N89" s="64" t="n">
        <v>0.0128541666666667</v>
      </c>
      <c r="O89" s="48" t="n">
        <f aca="false">IF(AND(B89&gt;=DATE(2026,1,1),B89&lt;=Resumen!$C$5),1,0)</f>
        <v>0</v>
      </c>
      <c r="P89" s="48" t="n">
        <f aca="false">IF(AND(B89&gt;Resumen!$C$5,B89&lt;=DATE(2027,7,31)),1,0)</f>
        <v>0</v>
      </c>
    </row>
    <row r="90" customFormat="false" ht="15" hidden="false" customHeight="false" outlineLevel="0" collapsed="false">
      <c r="A90" s="38" t="n">
        <v>78</v>
      </c>
      <c r="B90" s="27" t="n">
        <v>46780</v>
      </c>
      <c r="C90" s="39" t="n">
        <v>3000000000</v>
      </c>
      <c r="D90" s="39" t="n">
        <v>38562500</v>
      </c>
      <c r="E90" s="39" t="n">
        <v>0</v>
      </c>
      <c r="F90" s="39" t="n">
        <v>38562500</v>
      </c>
      <c r="G90" s="39" t="n">
        <v>3000000000</v>
      </c>
      <c r="H90" s="33" t="n">
        <f aca="false">J89</f>
        <v>3000000000</v>
      </c>
      <c r="I90" s="33" t="n">
        <f aca="false">H90*N90</f>
        <v>38562500</v>
      </c>
      <c r="J90" s="33" t="n">
        <f aca="false">H90-E90</f>
        <v>3000000000</v>
      </c>
      <c r="K90" s="33" t="n">
        <f aca="false">D90-I90</f>
        <v>0</v>
      </c>
      <c r="L90" s="33" t="n">
        <f aca="false">G90-J90</f>
        <v>0</v>
      </c>
      <c r="M90" s="33" t="n">
        <f aca="false">F90</f>
        <v>38562500</v>
      </c>
      <c r="N90" s="64" t="n">
        <v>0.0128541666666667</v>
      </c>
      <c r="O90" s="48" t="n">
        <f aca="false">IF(AND(B90&gt;=DATE(2026,1,1),B90&lt;=Resumen!$C$5),1,0)</f>
        <v>0</v>
      </c>
      <c r="P90" s="48" t="n">
        <f aca="false">IF(AND(B90&gt;Resumen!$C$5,B90&lt;=DATE(2027,7,31)),1,0)</f>
        <v>0</v>
      </c>
    </row>
    <row r="91" customFormat="false" ht="15" hidden="false" customHeight="false" outlineLevel="0" collapsed="false">
      <c r="A91" s="38" t="n">
        <v>79</v>
      </c>
      <c r="B91" s="27" t="n">
        <v>46811</v>
      </c>
      <c r="C91" s="39" t="n">
        <v>3000000000</v>
      </c>
      <c r="D91" s="39" t="n">
        <v>38562500</v>
      </c>
      <c r="E91" s="39" t="n">
        <v>0</v>
      </c>
      <c r="F91" s="39" t="n">
        <v>38562500</v>
      </c>
      <c r="G91" s="39" t="n">
        <v>3000000000</v>
      </c>
      <c r="H91" s="33" t="n">
        <f aca="false">J90</f>
        <v>3000000000</v>
      </c>
      <c r="I91" s="33" t="n">
        <f aca="false">H91*N91</f>
        <v>38562500</v>
      </c>
      <c r="J91" s="33" t="n">
        <f aca="false">H91-E91</f>
        <v>3000000000</v>
      </c>
      <c r="K91" s="33" t="n">
        <f aca="false">D91-I91</f>
        <v>0</v>
      </c>
      <c r="L91" s="33" t="n">
        <f aca="false">G91-J91</f>
        <v>0</v>
      </c>
      <c r="M91" s="33" t="n">
        <f aca="false">F91</f>
        <v>38562500</v>
      </c>
      <c r="N91" s="64" t="n">
        <v>0.0128541666666667</v>
      </c>
      <c r="O91" s="48" t="n">
        <f aca="false">IF(AND(B91&gt;=DATE(2026,1,1),B91&lt;=Resumen!$C$5),1,0)</f>
        <v>0</v>
      </c>
      <c r="P91" s="48" t="n">
        <f aca="false">IF(AND(B91&gt;Resumen!$C$5,B91&lt;=DATE(2027,7,31)),1,0)</f>
        <v>0</v>
      </c>
    </row>
    <row r="92" customFormat="false" ht="15" hidden="false" customHeight="false" outlineLevel="0" collapsed="false">
      <c r="A92" s="38" t="n">
        <v>80</v>
      </c>
      <c r="B92" s="27" t="n">
        <v>46840</v>
      </c>
      <c r="C92" s="39" t="n">
        <v>3000000000</v>
      </c>
      <c r="D92" s="39" t="n">
        <v>38562500</v>
      </c>
      <c r="E92" s="39" t="n">
        <v>0</v>
      </c>
      <c r="F92" s="39" t="n">
        <v>38562500</v>
      </c>
      <c r="G92" s="39" t="n">
        <v>3000000000</v>
      </c>
      <c r="H92" s="33" t="n">
        <f aca="false">J91</f>
        <v>3000000000</v>
      </c>
      <c r="I92" s="33" t="n">
        <f aca="false">H92*N92</f>
        <v>38562500</v>
      </c>
      <c r="J92" s="33" t="n">
        <f aca="false">H92-E92</f>
        <v>3000000000</v>
      </c>
      <c r="K92" s="33" t="n">
        <f aca="false">D92-I92</f>
        <v>0</v>
      </c>
      <c r="L92" s="33" t="n">
        <f aca="false">G92-J92</f>
        <v>0</v>
      </c>
      <c r="M92" s="33" t="n">
        <f aca="false">F92</f>
        <v>38562500</v>
      </c>
      <c r="N92" s="64" t="n">
        <v>0.0128541666666667</v>
      </c>
      <c r="O92" s="48" t="n">
        <f aca="false">IF(AND(B92&gt;=DATE(2026,1,1),B92&lt;=Resumen!$C$5),1,0)</f>
        <v>0</v>
      </c>
      <c r="P92" s="48" t="n">
        <f aca="false">IF(AND(B92&gt;Resumen!$C$5,B92&lt;=DATE(2027,7,31)),1,0)</f>
        <v>0</v>
      </c>
    </row>
    <row r="93" customFormat="false" ht="15" hidden="false" customHeight="false" outlineLevel="0" collapsed="false">
      <c r="A93" s="38" t="n">
        <v>81</v>
      </c>
      <c r="B93" s="27" t="n">
        <v>46871</v>
      </c>
      <c r="C93" s="39" t="n">
        <v>3000000000</v>
      </c>
      <c r="D93" s="39" t="n">
        <v>38562500</v>
      </c>
      <c r="E93" s="39" t="n">
        <v>0</v>
      </c>
      <c r="F93" s="39" t="n">
        <v>38562500</v>
      </c>
      <c r="G93" s="39" t="n">
        <v>3000000000</v>
      </c>
      <c r="H93" s="33" t="n">
        <f aca="false">J92</f>
        <v>3000000000</v>
      </c>
      <c r="I93" s="33" t="n">
        <f aca="false">H93*N93</f>
        <v>38562500</v>
      </c>
      <c r="J93" s="33" t="n">
        <f aca="false">H93-E93</f>
        <v>3000000000</v>
      </c>
      <c r="K93" s="33" t="n">
        <f aca="false">D93-I93</f>
        <v>0</v>
      </c>
      <c r="L93" s="33" t="n">
        <f aca="false">G93-J93</f>
        <v>0</v>
      </c>
      <c r="M93" s="33" t="n">
        <f aca="false">F93</f>
        <v>38562500</v>
      </c>
      <c r="N93" s="64" t="n">
        <v>0.0128541666666667</v>
      </c>
      <c r="O93" s="48" t="n">
        <f aca="false">IF(AND(B93&gt;=DATE(2026,1,1),B93&lt;=Resumen!$C$5),1,0)</f>
        <v>0</v>
      </c>
      <c r="P93" s="48" t="n">
        <f aca="false">IF(AND(B93&gt;Resumen!$C$5,B93&lt;=DATE(2027,7,31)),1,0)</f>
        <v>0</v>
      </c>
    </row>
    <row r="94" customFormat="false" ht="15" hidden="false" customHeight="false" outlineLevel="0" collapsed="false">
      <c r="A94" s="38" t="n">
        <v>82</v>
      </c>
      <c r="B94" s="27" t="n">
        <v>46901</v>
      </c>
      <c r="C94" s="39" t="n">
        <v>3000000000</v>
      </c>
      <c r="D94" s="39" t="n">
        <v>38562500</v>
      </c>
      <c r="E94" s="39" t="n">
        <v>0</v>
      </c>
      <c r="F94" s="39" t="n">
        <v>38562500</v>
      </c>
      <c r="G94" s="39" t="n">
        <v>3000000000</v>
      </c>
      <c r="H94" s="33" t="n">
        <f aca="false">J93</f>
        <v>3000000000</v>
      </c>
      <c r="I94" s="33" t="n">
        <f aca="false">H94*N94</f>
        <v>38562500</v>
      </c>
      <c r="J94" s="33" t="n">
        <f aca="false">H94-E94</f>
        <v>3000000000</v>
      </c>
      <c r="K94" s="33" t="n">
        <f aca="false">D94-I94</f>
        <v>0</v>
      </c>
      <c r="L94" s="33" t="n">
        <f aca="false">G94-J94</f>
        <v>0</v>
      </c>
      <c r="M94" s="33" t="n">
        <f aca="false">F94</f>
        <v>38562500</v>
      </c>
      <c r="N94" s="64" t="n">
        <v>0.0128541666666667</v>
      </c>
      <c r="O94" s="48" t="n">
        <f aca="false">IF(AND(B94&gt;=DATE(2026,1,1),B94&lt;=Resumen!$C$5),1,0)</f>
        <v>0</v>
      </c>
      <c r="P94" s="48" t="n">
        <f aca="false">IF(AND(B94&gt;Resumen!$C$5,B94&lt;=DATE(2027,7,31)),1,0)</f>
        <v>0</v>
      </c>
    </row>
    <row r="95" customFormat="false" ht="15" hidden="false" customHeight="false" outlineLevel="0" collapsed="false">
      <c r="A95" s="38" t="n">
        <v>83</v>
      </c>
      <c r="B95" s="27" t="n">
        <v>46932</v>
      </c>
      <c r="C95" s="39" t="n">
        <v>3000000000</v>
      </c>
      <c r="D95" s="39" t="n">
        <v>38562500</v>
      </c>
      <c r="E95" s="39" t="n">
        <v>0</v>
      </c>
      <c r="F95" s="39" t="n">
        <v>38562500</v>
      </c>
      <c r="G95" s="39" t="n">
        <v>3000000000</v>
      </c>
      <c r="H95" s="33" t="n">
        <f aca="false">J94</f>
        <v>3000000000</v>
      </c>
      <c r="I95" s="33" t="n">
        <f aca="false">H95*N95</f>
        <v>38562500</v>
      </c>
      <c r="J95" s="33" t="n">
        <f aca="false">H95-E95</f>
        <v>3000000000</v>
      </c>
      <c r="K95" s="33" t="n">
        <f aca="false">D95-I95</f>
        <v>0</v>
      </c>
      <c r="L95" s="33" t="n">
        <f aca="false">G95-J95</f>
        <v>0</v>
      </c>
      <c r="M95" s="33" t="n">
        <f aca="false">F95</f>
        <v>38562500</v>
      </c>
      <c r="N95" s="64" t="n">
        <v>0.0128541666666667</v>
      </c>
      <c r="O95" s="48" t="n">
        <f aca="false">IF(AND(B95&gt;=DATE(2026,1,1),B95&lt;=Resumen!$C$5),1,0)</f>
        <v>0</v>
      </c>
      <c r="P95" s="48" t="n">
        <f aca="false">IF(AND(B95&gt;Resumen!$C$5,B95&lt;=DATE(2027,7,31)),1,0)</f>
        <v>0</v>
      </c>
    </row>
    <row r="96" customFormat="false" ht="15" hidden="false" customHeight="false" outlineLevel="0" collapsed="false">
      <c r="A96" s="38" t="n">
        <v>84</v>
      </c>
      <c r="B96" s="27" t="n">
        <v>46962</v>
      </c>
      <c r="C96" s="39" t="n">
        <v>3000000000</v>
      </c>
      <c r="D96" s="39" t="n">
        <v>38562500</v>
      </c>
      <c r="E96" s="39" t="n">
        <v>0</v>
      </c>
      <c r="F96" s="39" t="n">
        <v>38562500</v>
      </c>
      <c r="G96" s="39" t="n">
        <v>3000000000</v>
      </c>
      <c r="H96" s="33" t="n">
        <f aca="false">J95</f>
        <v>3000000000</v>
      </c>
      <c r="I96" s="33" t="n">
        <f aca="false">H96*N96</f>
        <v>38562500</v>
      </c>
      <c r="J96" s="33" t="n">
        <f aca="false">H96-E96</f>
        <v>3000000000</v>
      </c>
      <c r="K96" s="33" t="n">
        <f aca="false">D96-I96</f>
        <v>0</v>
      </c>
      <c r="L96" s="33" t="n">
        <f aca="false">G96-J96</f>
        <v>0</v>
      </c>
      <c r="M96" s="33" t="n">
        <f aca="false">F96</f>
        <v>38562500</v>
      </c>
      <c r="N96" s="64" t="n">
        <v>0.0128541666666667</v>
      </c>
      <c r="O96" s="48" t="n">
        <f aca="false">IF(AND(B96&gt;=DATE(2026,1,1),B96&lt;=Resumen!$C$5),1,0)</f>
        <v>0</v>
      </c>
      <c r="P96" s="48" t="n">
        <f aca="false">IF(AND(B96&gt;Resumen!$C$5,B96&lt;=DATE(2027,7,31)),1,0)</f>
        <v>0</v>
      </c>
    </row>
    <row r="97" customFormat="false" ht="15" hidden="false" customHeight="false" outlineLevel="0" collapsed="false">
      <c r="A97" s="38" t="n">
        <v>85</v>
      </c>
      <c r="B97" s="27" t="n">
        <v>46993</v>
      </c>
      <c r="C97" s="39" t="n">
        <v>3000000000</v>
      </c>
      <c r="D97" s="39" t="n">
        <v>38562500</v>
      </c>
      <c r="E97" s="39" t="n">
        <v>0</v>
      </c>
      <c r="F97" s="39" t="n">
        <v>38562500</v>
      </c>
      <c r="G97" s="39" t="n">
        <v>3000000000</v>
      </c>
      <c r="H97" s="33" t="n">
        <f aca="false">J96</f>
        <v>3000000000</v>
      </c>
      <c r="I97" s="33" t="n">
        <f aca="false">H97*N97</f>
        <v>38562500</v>
      </c>
      <c r="J97" s="33" t="n">
        <f aca="false">H97-E97</f>
        <v>3000000000</v>
      </c>
      <c r="K97" s="33" t="n">
        <f aca="false">D97-I97</f>
        <v>0</v>
      </c>
      <c r="L97" s="33" t="n">
        <f aca="false">G97-J97</f>
        <v>0</v>
      </c>
      <c r="M97" s="33" t="n">
        <f aca="false">F97</f>
        <v>38562500</v>
      </c>
      <c r="N97" s="64" t="n">
        <v>0.0128541666666667</v>
      </c>
      <c r="O97" s="48" t="n">
        <f aca="false">IF(AND(B97&gt;=DATE(2026,1,1),B97&lt;=Resumen!$C$5),1,0)</f>
        <v>0</v>
      </c>
      <c r="P97" s="48" t="n">
        <f aca="false">IF(AND(B97&gt;Resumen!$C$5,B97&lt;=DATE(2027,7,31)),1,0)</f>
        <v>0</v>
      </c>
    </row>
    <row r="98" customFormat="false" ht="15" hidden="false" customHeight="false" outlineLevel="0" collapsed="false">
      <c r="A98" s="38" t="n">
        <v>86</v>
      </c>
      <c r="B98" s="27" t="n">
        <v>47024</v>
      </c>
      <c r="C98" s="39" t="n">
        <v>3000000000</v>
      </c>
      <c r="D98" s="39" t="n">
        <v>38562500</v>
      </c>
      <c r="E98" s="39" t="n">
        <v>0</v>
      </c>
      <c r="F98" s="39" t="n">
        <v>38562500</v>
      </c>
      <c r="G98" s="39" t="n">
        <v>3000000000</v>
      </c>
      <c r="H98" s="33" t="n">
        <f aca="false">J97</f>
        <v>3000000000</v>
      </c>
      <c r="I98" s="33" t="n">
        <f aca="false">H98*N98</f>
        <v>38562500</v>
      </c>
      <c r="J98" s="33" t="n">
        <f aca="false">H98-E98</f>
        <v>3000000000</v>
      </c>
      <c r="K98" s="33" t="n">
        <f aca="false">D98-I98</f>
        <v>0</v>
      </c>
      <c r="L98" s="33" t="n">
        <f aca="false">G98-J98</f>
        <v>0</v>
      </c>
      <c r="M98" s="33" t="n">
        <f aca="false">F98</f>
        <v>38562500</v>
      </c>
      <c r="N98" s="64" t="n">
        <v>0.0128541666666667</v>
      </c>
      <c r="O98" s="48" t="n">
        <f aca="false">IF(AND(B98&gt;=DATE(2026,1,1),B98&lt;=Resumen!$C$5),1,0)</f>
        <v>0</v>
      </c>
      <c r="P98" s="48" t="n">
        <f aca="false">IF(AND(B98&gt;Resumen!$C$5,B98&lt;=DATE(2027,7,31)),1,0)</f>
        <v>0</v>
      </c>
    </row>
    <row r="99" customFormat="false" ht="15" hidden="false" customHeight="false" outlineLevel="0" collapsed="false">
      <c r="A99" s="38" t="n">
        <v>87</v>
      </c>
      <c r="B99" s="27" t="n">
        <v>47054</v>
      </c>
      <c r="C99" s="39" t="n">
        <v>3000000000</v>
      </c>
      <c r="D99" s="39" t="n">
        <v>38562500</v>
      </c>
      <c r="E99" s="39" t="n">
        <v>0</v>
      </c>
      <c r="F99" s="39" t="n">
        <v>38562500</v>
      </c>
      <c r="G99" s="39" t="n">
        <v>3000000000</v>
      </c>
      <c r="H99" s="33" t="n">
        <f aca="false">J98</f>
        <v>3000000000</v>
      </c>
      <c r="I99" s="33" t="n">
        <f aca="false">H99*N99</f>
        <v>38562500</v>
      </c>
      <c r="J99" s="33" t="n">
        <f aca="false">H99-E99</f>
        <v>3000000000</v>
      </c>
      <c r="K99" s="33" t="n">
        <f aca="false">D99-I99</f>
        <v>0</v>
      </c>
      <c r="L99" s="33" t="n">
        <f aca="false">G99-J99</f>
        <v>0</v>
      </c>
      <c r="M99" s="33" t="n">
        <f aca="false">F99</f>
        <v>38562500</v>
      </c>
      <c r="N99" s="64" t="n">
        <v>0.0128541666666667</v>
      </c>
      <c r="O99" s="48" t="n">
        <f aca="false">IF(AND(B99&gt;=DATE(2026,1,1),B99&lt;=Resumen!$C$5),1,0)</f>
        <v>0</v>
      </c>
      <c r="P99" s="48" t="n">
        <f aca="false">IF(AND(B99&gt;Resumen!$C$5,B99&lt;=DATE(2027,7,31)),1,0)</f>
        <v>0</v>
      </c>
    </row>
    <row r="100" customFormat="false" ht="15" hidden="false" customHeight="false" outlineLevel="0" collapsed="false">
      <c r="A100" s="38" t="n">
        <v>88</v>
      </c>
      <c r="B100" s="27" t="n">
        <v>47085</v>
      </c>
      <c r="C100" s="39" t="n">
        <v>3000000000</v>
      </c>
      <c r="D100" s="39" t="n">
        <v>38562500</v>
      </c>
      <c r="E100" s="39" t="n">
        <v>0</v>
      </c>
      <c r="F100" s="39" t="n">
        <v>38562500</v>
      </c>
      <c r="G100" s="39" t="n">
        <v>3000000000</v>
      </c>
      <c r="H100" s="33" t="n">
        <f aca="false">J99</f>
        <v>3000000000</v>
      </c>
      <c r="I100" s="33" t="n">
        <f aca="false">H100*N100</f>
        <v>38562500</v>
      </c>
      <c r="J100" s="33" t="n">
        <f aca="false">H100-E100</f>
        <v>3000000000</v>
      </c>
      <c r="K100" s="33" t="n">
        <f aca="false">D100-I100</f>
        <v>0</v>
      </c>
      <c r="L100" s="33" t="n">
        <f aca="false">G100-J100</f>
        <v>0</v>
      </c>
      <c r="M100" s="33" t="n">
        <f aca="false">F100</f>
        <v>38562500</v>
      </c>
      <c r="N100" s="64" t="n">
        <v>0.0128541666666667</v>
      </c>
      <c r="O100" s="48" t="n">
        <f aca="false">IF(AND(B100&gt;=DATE(2026,1,1),B100&lt;=Resumen!$C$5),1,0)</f>
        <v>0</v>
      </c>
      <c r="P100" s="48" t="n">
        <f aca="false">IF(AND(B100&gt;Resumen!$C$5,B100&lt;=DATE(2027,7,31)),1,0)</f>
        <v>0</v>
      </c>
    </row>
    <row r="101" customFormat="false" ht="15" hidden="false" customHeight="false" outlineLevel="0" collapsed="false">
      <c r="A101" s="38" t="n">
        <v>89</v>
      </c>
      <c r="B101" s="27" t="n">
        <v>47115</v>
      </c>
      <c r="C101" s="39" t="n">
        <v>3000000000</v>
      </c>
      <c r="D101" s="39" t="n">
        <v>38562500</v>
      </c>
      <c r="E101" s="39" t="n">
        <v>0</v>
      </c>
      <c r="F101" s="39" t="n">
        <v>38562500</v>
      </c>
      <c r="G101" s="39" t="n">
        <v>3000000000</v>
      </c>
      <c r="H101" s="33" t="n">
        <f aca="false">J100</f>
        <v>3000000000</v>
      </c>
      <c r="I101" s="33" t="n">
        <f aca="false">H101*N101</f>
        <v>38562500</v>
      </c>
      <c r="J101" s="33" t="n">
        <f aca="false">H101-E101</f>
        <v>3000000000</v>
      </c>
      <c r="K101" s="33" t="n">
        <f aca="false">D101-I101</f>
        <v>0</v>
      </c>
      <c r="L101" s="33" t="n">
        <f aca="false">G101-J101</f>
        <v>0</v>
      </c>
      <c r="M101" s="33" t="n">
        <f aca="false">F101</f>
        <v>38562500</v>
      </c>
      <c r="N101" s="64" t="n">
        <v>0.0128541666666667</v>
      </c>
      <c r="O101" s="48" t="n">
        <f aca="false">IF(AND(B101&gt;=DATE(2026,1,1),B101&lt;=Resumen!$C$5),1,0)</f>
        <v>0</v>
      </c>
      <c r="P101" s="48" t="n">
        <f aca="false">IF(AND(B101&gt;Resumen!$C$5,B101&lt;=DATE(2027,7,31)),1,0)</f>
        <v>0</v>
      </c>
    </row>
    <row r="102" customFormat="false" ht="15" hidden="false" customHeight="false" outlineLevel="0" collapsed="false">
      <c r="A102" s="38" t="n">
        <v>90</v>
      </c>
      <c r="B102" s="27" t="n">
        <v>47146</v>
      </c>
      <c r="C102" s="39" t="n">
        <v>3000000000</v>
      </c>
      <c r="D102" s="39" t="n">
        <v>38562500</v>
      </c>
      <c r="E102" s="39" t="n">
        <v>115384615.384615</v>
      </c>
      <c r="F102" s="39" t="n">
        <v>153947115.384615</v>
      </c>
      <c r="G102" s="39" t="n">
        <v>2884615384.61539</v>
      </c>
      <c r="H102" s="33" t="n">
        <f aca="false">J101</f>
        <v>3000000000</v>
      </c>
      <c r="I102" s="33" t="n">
        <f aca="false">H102*N102</f>
        <v>38562500</v>
      </c>
      <c r="J102" s="33" t="n">
        <f aca="false">H102-E102</f>
        <v>2884615384.61538</v>
      </c>
      <c r="K102" s="33" t="n">
        <f aca="false">D102-I102</f>
        <v>0</v>
      </c>
      <c r="L102" s="33" t="n">
        <f aca="false">G102-J102</f>
        <v>0</v>
      </c>
      <c r="M102" s="33" t="n">
        <f aca="false">F102</f>
        <v>153947115.384615</v>
      </c>
      <c r="N102" s="64" t="n">
        <v>0.0128541666666667</v>
      </c>
      <c r="O102" s="48" t="n">
        <f aca="false">IF(AND(B102&gt;=DATE(2026,1,1),B102&lt;=Resumen!$C$5),1,0)</f>
        <v>0</v>
      </c>
      <c r="P102" s="48" t="n">
        <f aca="false">IF(AND(B102&gt;Resumen!$C$5,B102&lt;=DATE(2027,7,31)),1,0)</f>
        <v>0</v>
      </c>
    </row>
    <row r="103" customFormat="false" ht="15" hidden="false" customHeight="false" outlineLevel="0" collapsed="false">
      <c r="A103" s="38" t="n">
        <v>91</v>
      </c>
      <c r="B103" s="27" t="n">
        <v>47177</v>
      </c>
      <c r="C103" s="39" t="n">
        <v>2884615384.61539</v>
      </c>
      <c r="D103" s="39" t="n">
        <v>37079326.9230769</v>
      </c>
      <c r="E103" s="39" t="n">
        <v>0</v>
      </c>
      <c r="F103" s="39" t="n">
        <v>37079326.9230769</v>
      </c>
      <c r="G103" s="39" t="n">
        <v>2884615384.61539</v>
      </c>
      <c r="H103" s="33" t="n">
        <f aca="false">J102</f>
        <v>2884615384.61538</v>
      </c>
      <c r="I103" s="33" t="n">
        <f aca="false">H103*N103</f>
        <v>37079326.9230769</v>
      </c>
      <c r="J103" s="33" t="n">
        <f aca="false">H103-E103</f>
        <v>2884615384.61538</v>
      </c>
      <c r="K103" s="33" t="n">
        <f aca="false">D103-I103</f>
        <v>0</v>
      </c>
      <c r="L103" s="33" t="n">
        <f aca="false">G103-J103</f>
        <v>0</v>
      </c>
      <c r="M103" s="33" t="n">
        <f aca="false">F103</f>
        <v>37079326.9230769</v>
      </c>
      <c r="N103" s="64" t="n">
        <v>0.0128541666666667</v>
      </c>
      <c r="O103" s="48" t="n">
        <f aca="false">IF(AND(B103&gt;=DATE(2026,1,1),B103&lt;=Resumen!$C$5),1,0)</f>
        <v>0</v>
      </c>
      <c r="P103" s="48" t="n">
        <f aca="false">IF(AND(B103&gt;Resumen!$C$5,B103&lt;=DATE(2027,7,31)),1,0)</f>
        <v>0</v>
      </c>
    </row>
    <row r="104" customFormat="false" ht="15" hidden="false" customHeight="false" outlineLevel="0" collapsed="false">
      <c r="A104" s="38" t="n">
        <v>92</v>
      </c>
      <c r="B104" s="27" t="n">
        <v>47205</v>
      </c>
      <c r="C104" s="39" t="n">
        <v>2884615384.61539</v>
      </c>
      <c r="D104" s="39" t="n">
        <v>37079326.9230769</v>
      </c>
      <c r="E104" s="39" t="n">
        <v>0</v>
      </c>
      <c r="F104" s="39" t="n">
        <v>37079326.9230769</v>
      </c>
      <c r="G104" s="39" t="n">
        <v>2884615384.61539</v>
      </c>
      <c r="H104" s="33" t="n">
        <f aca="false">J103</f>
        <v>2884615384.61538</v>
      </c>
      <c r="I104" s="33" t="n">
        <f aca="false">H104*N104</f>
        <v>37079326.9230769</v>
      </c>
      <c r="J104" s="33" t="n">
        <f aca="false">H104-E104</f>
        <v>2884615384.61538</v>
      </c>
      <c r="K104" s="33" t="n">
        <f aca="false">D104-I104</f>
        <v>0</v>
      </c>
      <c r="L104" s="33" t="n">
        <f aca="false">G104-J104</f>
        <v>0</v>
      </c>
      <c r="M104" s="33" t="n">
        <f aca="false">F104</f>
        <v>37079326.9230769</v>
      </c>
      <c r="N104" s="64" t="n">
        <v>0.0128541666666667</v>
      </c>
      <c r="O104" s="48" t="n">
        <f aca="false">IF(AND(B104&gt;=DATE(2026,1,1),B104&lt;=Resumen!$C$5),1,0)</f>
        <v>0</v>
      </c>
      <c r="P104" s="48" t="n">
        <f aca="false">IF(AND(B104&gt;Resumen!$C$5,B104&lt;=DATE(2027,7,31)),1,0)</f>
        <v>0</v>
      </c>
    </row>
    <row r="105" customFormat="false" ht="15" hidden="false" customHeight="false" outlineLevel="0" collapsed="false">
      <c r="A105" s="38" t="n">
        <v>93</v>
      </c>
      <c r="B105" s="27" t="n">
        <v>47236</v>
      </c>
      <c r="C105" s="39" t="n">
        <v>2884615384.61539</v>
      </c>
      <c r="D105" s="39" t="n">
        <v>37079326.9230769</v>
      </c>
      <c r="E105" s="39" t="n">
        <v>0</v>
      </c>
      <c r="F105" s="39" t="n">
        <v>37079326.9230769</v>
      </c>
      <c r="G105" s="39" t="n">
        <v>2884615384.61539</v>
      </c>
      <c r="H105" s="33" t="n">
        <f aca="false">J104</f>
        <v>2884615384.61538</v>
      </c>
      <c r="I105" s="33" t="n">
        <f aca="false">H105*N105</f>
        <v>37079326.9230769</v>
      </c>
      <c r="J105" s="33" t="n">
        <f aca="false">H105-E105</f>
        <v>2884615384.61538</v>
      </c>
      <c r="K105" s="33" t="n">
        <f aca="false">D105-I105</f>
        <v>0</v>
      </c>
      <c r="L105" s="33" t="n">
        <f aca="false">G105-J105</f>
        <v>0</v>
      </c>
      <c r="M105" s="33" t="n">
        <f aca="false">F105</f>
        <v>37079326.9230769</v>
      </c>
      <c r="N105" s="64" t="n">
        <v>0.0128541666666667</v>
      </c>
      <c r="O105" s="48" t="n">
        <f aca="false">IF(AND(B105&gt;=DATE(2026,1,1),B105&lt;=Resumen!$C$5),1,0)</f>
        <v>0</v>
      </c>
      <c r="P105" s="48" t="n">
        <f aca="false">IF(AND(B105&gt;Resumen!$C$5,B105&lt;=DATE(2027,7,31)),1,0)</f>
        <v>0</v>
      </c>
    </row>
    <row r="106" customFormat="false" ht="15" hidden="false" customHeight="false" outlineLevel="0" collapsed="false">
      <c r="A106" s="38" t="n">
        <v>94</v>
      </c>
      <c r="B106" s="27" t="n">
        <v>47266</v>
      </c>
      <c r="C106" s="39" t="n">
        <v>2884615384.61539</v>
      </c>
      <c r="D106" s="39" t="n">
        <v>37079326.9230769</v>
      </c>
      <c r="E106" s="39" t="n">
        <v>0</v>
      </c>
      <c r="F106" s="39" t="n">
        <v>37079326.9230769</v>
      </c>
      <c r="G106" s="39" t="n">
        <v>2884615384.61539</v>
      </c>
      <c r="H106" s="33" t="n">
        <f aca="false">J105</f>
        <v>2884615384.61538</v>
      </c>
      <c r="I106" s="33" t="n">
        <f aca="false">H106*N106</f>
        <v>37079326.9230769</v>
      </c>
      <c r="J106" s="33" t="n">
        <f aca="false">H106-E106</f>
        <v>2884615384.61538</v>
      </c>
      <c r="K106" s="33" t="n">
        <f aca="false">D106-I106</f>
        <v>0</v>
      </c>
      <c r="L106" s="33" t="n">
        <f aca="false">G106-J106</f>
        <v>0</v>
      </c>
      <c r="M106" s="33" t="n">
        <f aca="false">F106</f>
        <v>37079326.9230769</v>
      </c>
      <c r="N106" s="64" t="n">
        <v>0.0128541666666667</v>
      </c>
      <c r="O106" s="48" t="n">
        <f aca="false">IF(AND(B106&gt;=DATE(2026,1,1),B106&lt;=Resumen!$C$5),1,0)</f>
        <v>0</v>
      </c>
      <c r="P106" s="48" t="n">
        <f aca="false">IF(AND(B106&gt;Resumen!$C$5,B106&lt;=DATE(2027,7,31)),1,0)</f>
        <v>0</v>
      </c>
    </row>
    <row r="107" customFormat="false" ht="15" hidden="false" customHeight="false" outlineLevel="0" collapsed="false">
      <c r="A107" s="38" t="n">
        <v>95</v>
      </c>
      <c r="B107" s="27" t="n">
        <v>47297</v>
      </c>
      <c r="C107" s="39" t="n">
        <v>2884615384.61539</v>
      </c>
      <c r="D107" s="39" t="n">
        <v>37079326.9230769</v>
      </c>
      <c r="E107" s="39" t="n">
        <v>0</v>
      </c>
      <c r="F107" s="39" t="n">
        <v>37079326.9230769</v>
      </c>
      <c r="G107" s="39" t="n">
        <v>2884615384.61539</v>
      </c>
      <c r="H107" s="33" t="n">
        <f aca="false">J106</f>
        <v>2884615384.61538</v>
      </c>
      <c r="I107" s="33" t="n">
        <f aca="false">H107*N107</f>
        <v>37079326.9230769</v>
      </c>
      <c r="J107" s="33" t="n">
        <f aca="false">H107-E107</f>
        <v>2884615384.61538</v>
      </c>
      <c r="K107" s="33" t="n">
        <f aca="false">D107-I107</f>
        <v>0</v>
      </c>
      <c r="L107" s="33" t="n">
        <f aca="false">G107-J107</f>
        <v>0</v>
      </c>
      <c r="M107" s="33" t="n">
        <f aca="false">F107</f>
        <v>37079326.9230769</v>
      </c>
      <c r="N107" s="64" t="n">
        <v>0.0128541666666667</v>
      </c>
      <c r="O107" s="48" t="n">
        <f aca="false">IF(AND(B107&gt;=DATE(2026,1,1),B107&lt;=Resumen!$C$5),1,0)</f>
        <v>0</v>
      </c>
      <c r="P107" s="48" t="n">
        <f aca="false">IF(AND(B107&gt;Resumen!$C$5,B107&lt;=DATE(2027,7,31)),1,0)</f>
        <v>0</v>
      </c>
    </row>
    <row r="108" customFormat="false" ht="15" hidden="false" customHeight="false" outlineLevel="0" collapsed="false">
      <c r="A108" s="38" t="n">
        <v>96</v>
      </c>
      <c r="B108" s="27" t="n">
        <v>47327</v>
      </c>
      <c r="C108" s="39" t="n">
        <v>2884615384.61539</v>
      </c>
      <c r="D108" s="39" t="n">
        <v>37079326.9230769</v>
      </c>
      <c r="E108" s="39" t="n">
        <v>115384615.384615</v>
      </c>
      <c r="F108" s="39" t="n">
        <v>152463942.307692</v>
      </c>
      <c r="G108" s="39" t="n">
        <v>2769230769.23077</v>
      </c>
      <c r="H108" s="33" t="n">
        <f aca="false">J107</f>
        <v>2884615384.61538</v>
      </c>
      <c r="I108" s="33" t="n">
        <f aca="false">H108*N108</f>
        <v>37079326.9230769</v>
      </c>
      <c r="J108" s="33" t="n">
        <f aca="false">H108-E108</f>
        <v>2769230769.23077</v>
      </c>
      <c r="K108" s="33" t="n">
        <f aca="false">D108-I108</f>
        <v>0</v>
      </c>
      <c r="L108" s="33" t="n">
        <f aca="false">G108-J108</f>
        <v>0</v>
      </c>
      <c r="M108" s="33" t="n">
        <f aca="false">F108</f>
        <v>152463942.307692</v>
      </c>
      <c r="N108" s="64" t="n">
        <v>0.0128541666666667</v>
      </c>
      <c r="O108" s="48" t="n">
        <f aca="false">IF(AND(B108&gt;=DATE(2026,1,1),B108&lt;=Resumen!$C$5),1,0)</f>
        <v>0</v>
      </c>
      <c r="P108" s="48" t="n">
        <f aca="false">IF(AND(B108&gt;Resumen!$C$5,B108&lt;=DATE(2027,7,31)),1,0)</f>
        <v>0</v>
      </c>
    </row>
    <row r="109" customFormat="false" ht="15" hidden="false" customHeight="false" outlineLevel="0" collapsed="false">
      <c r="A109" s="38" t="n">
        <v>97</v>
      </c>
      <c r="B109" s="27" t="n">
        <v>47358</v>
      </c>
      <c r="C109" s="39" t="n">
        <v>2769230769.23077</v>
      </c>
      <c r="D109" s="39" t="n">
        <v>35596153.8461539</v>
      </c>
      <c r="E109" s="39" t="n">
        <v>0</v>
      </c>
      <c r="F109" s="39" t="n">
        <v>35596153.8461539</v>
      </c>
      <c r="G109" s="39" t="n">
        <v>2769230769.23077</v>
      </c>
      <c r="H109" s="33" t="n">
        <f aca="false">J108</f>
        <v>2769230769.23077</v>
      </c>
      <c r="I109" s="33" t="n">
        <f aca="false">H109*N109</f>
        <v>35596153.8461539</v>
      </c>
      <c r="J109" s="33" t="n">
        <f aca="false">H109-E109</f>
        <v>2769230769.23077</v>
      </c>
      <c r="K109" s="33" t="n">
        <f aca="false">D109-I109</f>
        <v>0</v>
      </c>
      <c r="L109" s="33" t="n">
        <f aca="false">G109-J109</f>
        <v>0</v>
      </c>
      <c r="M109" s="33" t="n">
        <f aca="false">F109</f>
        <v>35596153.8461539</v>
      </c>
      <c r="N109" s="64" t="n">
        <v>0.0128541666666667</v>
      </c>
      <c r="O109" s="48" t="n">
        <f aca="false">IF(AND(B109&gt;=DATE(2026,1,1),B109&lt;=Resumen!$C$5),1,0)</f>
        <v>0</v>
      </c>
      <c r="P109" s="48" t="n">
        <f aca="false">IF(AND(B109&gt;Resumen!$C$5,B109&lt;=DATE(2027,7,31)),1,0)</f>
        <v>0</v>
      </c>
    </row>
    <row r="110" customFormat="false" ht="15" hidden="false" customHeight="false" outlineLevel="0" collapsed="false">
      <c r="A110" s="38" t="n">
        <v>98</v>
      </c>
      <c r="B110" s="27" t="n">
        <v>47389</v>
      </c>
      <c r="C110" s="39" t="n">
        <v>2769230769.23077</v>
      </c>
      <c r="D110" s="39" t="n">
        <v>35596153.8461539</v>
      </c>
      <c r="E110" s="39" t="n">
        <v>0</v>
      </c>
      <c r="F110" s="39" t="n">
        <v>35596153.8461539</v>
      </c>
      <c r="G110" s="39" t="n">
        <v>2769230769.23077</v>
      </c>
      <c r="H110" s="33" t="n">
        <f aca="false">J109</f>
        <v>2769230769.23077</v>
      </c>
      <c r="I110" s="33" t="n">
        <f aca="false">H110*N110</f>
        <v>35596153.8461539</v>
      </c>
      <c r="J110" s="33" t="n">
        <f aca="false">H110-E110</f>
        <v>2769230769.23077</v>
      </c>
      <c r="K110" s="33" t="n">
        <f aca="false">D110-I110</f>
        <v>0</v>
      </c>
      <c r="L110" s="33" t="n">
        <f aca="false">G110-J110</f>
        <v>0</v>
      </c>
      <c r="M110" s="33" t="n">
        <f aca="false">F110</f>
        <v>35596153.8461539</v>
      </c>
      <c r="N110" s="64" t="n">
        <v>0.0128541666666667</v>
      </c>
      <c r="O110" s="48" t="n">
        <f aca="false">IF(AND(B110&gt;=DATE(2026,1,1),B110&lt;=Resumen!$C$5),1,0)</f>
        <v>0</v>
      </c>
      <c r="P110" s="48" t="n">
        <f aca="false">IF(AND(B110&gt;Resumen!$C$5,B110&lt;=DATE(2027,7,31)),1,0)</f>
        <v>0</v>
      </c>
    </row>
    <row r="111" customFormat="false" ht="15" hidden="false" customHeight="false" outlineLevel="0" collapsed="false">
      <c r="A111" s="38" t="n">
        <v>99</v>
      </c>
      <c r="B111" s="27" t="n">
        <v>47419</v>
      </c>
      <c r="C111" s="39" t="n">
        <v>2769230769.23077</v>
      </c>
      <c r="D111" s="39" t="n">
        <v>35596153.8461539</v>
      </c>
      <c r="E111" s="39" t="n">
        <v>0</v>
      </c>
      <c r="F111" s="39" t="n">
        <v>35596153.8461539</v>
      </c>
      <c r="G111" s="39" t="n">
        <v>2769230769.23077</v>
      </c>
      <c r="H111" s="33" t="n">
        <f aca="false">J110</f>
        <v>2769230769.23077</v>
      </c>
      <c r="I111" s="33" t="n">
        <f aca="false">H111*N111</f>
        <v>35596153.8461539</v>
      </c>
      <c r="J111" s="33" t="n">
        <f aca="false">H111-E111</f>
        <v>2769230769.23077</v>
      </c>
      <c r="K111" s="33" t="n">
        <f aca="false">D111-I111</f>
        <v>0</v>
      </c>
      <c r="L111" s="33" t="n">
        <f aca="false">G111-J111</f>
        <v>0</v>
      </c>
      <c r="M111" s="33" t="n">
        <f aca="false">F111</f>
        <v>35596153.8461539</v>
      </c>
      <c r="N111" s="64" t="n">
        <v>0.0128541666666667</v>
      </c>
      <c r="O111" s="48" t="n">
        <f aca="false">IF(AND(B111&gt;=DATE(2026,1,1),B111&lt;=Resumen!$C$5),1,0)</f>
        <v>0</v>
      </c>
      <c r="P111" s="48" t="n">
        <f aca="false">IF(AND(B111&gt;Resumen!$C$5,B111&lt;=DATE(2027,7,31)),1,0)</f>
        <v>0</v>
      </c>
    </row>
    <row r="112" customFormat="false" ht="15" hidden="false" customHeight="false" outlineLevel="0" collapsed="false">
      <c r="A112" s="38" t="n">
        <v>100</v>
      </c>
      <c r="B112" s="27" t="n">
        <v>47450</v>
      </c>
      <c r="C112" s="39" t="n">
        <v>2769230769.23077</v>
      </c>
      <c r="D112" s="39" t="n">
        <v>35596153.8461539</v>
      </c>
      <c r="E112" s="39" t="n">
        <v>0</v>
      </c>
      <c r="F112" s="39" t="n">
        <v>35596153.8461539</v>
      </c>
      <c r="G112" s="39" t="n">
        <v>2769230769.23077</v>
      </c>
      <c r="H112" s="33" t="n">
        <f aca="false">J111</f>
        <v>2769230769.23077</v>
      </c>
      <c r="I112" s="33" t="n">
        <f aca="false">H112*N112</f>
        <v>35596153.8461539</v>
      </c>
      <c r="J112" s="33" t="n">
        <f aca="false">H112-E112</f>
        <v>2769230769.23077</v>
      </c>
      <c r="K112" s="33" t="n">
        <f aca="false">D112-I112</f>
        <v>0</v>
      </c>
      <c r="L112" s="33" t="n">
        <f aca="false">G112-J112</f>
        <v>0</v>
      </c>
      <c r="M112" s="33" t="n">
        <f aca="false">F112</f>
        <v>35596153.8461539</v>
      </c>
      <c r="N112" s="64" t="n">
        <v>0.0128541666666667</v>
      </c>
      <c r="O112" s="48" t="n">
        <f aca="false">IF(AND(B112&gt;=DATE(2026,1,1),B112&lt;=Resumen!$C$5),1,0)</f>
        <v>0</v>
      </c>
      <c r="P112" s="48" t="n">
        <f aca="false">IF(AND(B112&gt;Resumen!$C$5,B112&lt;=DATE(2027,7,31)),1,0)</f>
        <v>0</v>
      </c>
    </row>
    <row r="113" customFormat="false" ht="15" hidden="false" customHeight="false" outlineLevel="0" collapsed="false">
      <c r="A113" s="38" t="n">
        <v>101</v>
      </c>
      <c r="B113" s="27" t="n">
        <v>47480</v>
      </c>
      <c r="C113" s="39" t="n">
        <v>2769230769.23077</v>
      </c>
      <c r="D113" s="39" t="n">
        <v>35596153.8461539</v>
      </c>
      <c r="E113" s="39" t="n">
        <v>0</v>
      </c>
      <c r="F113" s="39" t="n">
        <v>35596153.8461539</v>
      </c>
      <c r="G113" s="39" t="n">
        <v>2769230769.23077</v>
      </c>
      <c r="H113" s="33" t="n">
        <f aca="false">J112</f>
        <v>2769230769.23077</v>
      </c>
      <c r="I113" s="33" t="n">
        <f aca="false">H113*N113</f>
        <v>35596153.8461539</v>
      </c>
      <c r="J113" s="33" t="n">
        <f aca="false">H113-E113</f>
        <v>2769230769.23077</v>
      </c>
      <c r="K113" s="33" t="n">
        <f aca="false">D113-I113</f>
        <v>0</v>
      </c>
      <c r="L113" s="33" t="n">
        <f aca="false">G113-J113</f>
        <v>0</v>
      </c>
      <c r="M113" s="33" t="n">
        <f aca="false">F113</f>
        <v>35596153.8461539</v>
      </c>
      <c r="N113" s="64" t="n">
        <v>0.0128541666666667</v>
      </c>
      <c r="O113" s="48" t="n">
        <f aca="false">IF(AND(B113&gt;=DATE(2026,1,1),B113&lt;=Resumen!$C$5),1,0)</f>
        <v>0</v>
      </c>
      <c r="P113" s="48" t="n">
        <f aca="false">IF(AND(B113&gt;Resumen!$C$5,B113&lt;=DATE(2027,7,31)),1,0)</f>
        <v>0</v>
      </c>
    </row>
    <row r="114" customFormat="false" ht="15" hidden="false" customHeight="false" outlineLevel="0" collapsed="false">
      <c r="A114" s="38" t="n">
        <v>102</v>
      </c>
      <c r="B114" s="27" t="n">
        <v>47511</v>
      </c>
      <c r="C114" s="39" t="n">
        <v>2769230769.23077</v>
      </c>
      <c r="D114" s="39" t="n">
        <v>35596153.8461539</v>
      </c>
      <c r="E114" s="39" t="n">
        <v>115384615.384615</v>
      </c>
      <c r="F114" s="39" t="n">
        <v>150980769.230769</v>
      </c>
      <c r="G114" s="39" t="n">
        <v>2653846153.84615</v>
      </c>
      <c r="H114" s="33" t="n">
        <f aca="false">J113</f>
        <v>2769230769.23077</v>
      </c>
      <c r="I114" s="33" t="n">
        <f aca="false">H114*N114</f>
        <v>35596153.8461539</v>
      </c>
      <c r="J114" s="33" t="n">
        <f aca="false">H114-E114</f>
        <v>2653846153.84615</v>
      </c>
      <c r="K114" s="33" t="n">
        <f aca="false">D114-I114</f>
        <v>0</v>
      </c>
      <c r="L114" s="33" t="n">
        <f aca="false">G114-J114</f>
        <v>0</v>
      </c>
      <c r="M114" s="33" t="n">
        <f aca="false">F114</f>
        <v>150980769.230769</v>
      </c>
      <c r="N114" s="64" t="n">
        <v>0.0128541666666667</v>
      </c>
      <c r="O114" s="48" t="n">
        <f aca="false">IF(AND(B114&gt;=DATE(2026,1,1),B114&lt;=Resumen!$C$5),1,0)</f>
        <v>0</v>
      </c>
      <c r="P114" s="48" t="n">
        <f aca="false">IF(AND(B114&gt;Resumen!$C$5,B114&lt;=DATE(2027,7,31)),1,0)</f>
        <v>0</v>
      </c>
    </row>
    <row r="115" customFormat="false" ht="15" hidden="false" customHeight="false" outlineLevel="0" collapsed="false">
      <c r="A115" s="38" t="n">
        <v>103</v>
      </c>
      <c r="B115" s="27" t="n">
        <v>47542</v>
      </c>
      <c r="C115" s="39" t="n">
        <v>2653846153.84615</v>
      </c>
      <c r="D115" s="39" t="n">
        <v>34112980.7692308</v>
      </c>
      <c r="E115" s="39" t="n">
        <v>0</v>
      </c>
      <c r="F115" s="39" t="n">
        <v>34112980.7692308</v>
      </c>
      <c r="G115" s="39" t="n">
        <v>2653846153.84615</v>
      </c>
      <c r="H115" s="33" t="n">
        <f aca="false">J114</f>
        <v>2653846153.84615</v>
      </c>
      <c r="I115" s="33" t="n">
        <f aca="false">H115*N115</f>
        <v>34112980.7692308</v>
      </c>
      <c r="J115" s="33" t="n">
        <f aca="false">H115-E115</f>
        <v>2653846153.84615</v>
      </c>
      <c r="K115" s="33" t="n">
        <f aca="false">D115-I115</f>
        <v>0</v>
      </c>
      <c r="L115" s="33" t="n">
        <f aca="false">G115-J115</f>
        <v>0</v>
      </c>
      <c r="M115" s="33" t="n">
        <f aca="false">F115</f>
        <v>34112980.7692308</v>
      </c>
      <c r="N115" s="64" t="n">
        <v>0.0128541666666667</v>
      </c>
      <c r="O115" s="48" t="n">
        <f aca="false">IF(AND(B115&gt;=DATE(2026,1,1),B115&lt;=Resumen!$C$5),1,0)</f>
        <v>0</v>
      </c>
      <c r="P115" s="48" t="n">
        <f aca="false">IF(AND(B115&gt;Resumen!$C$5,B115&lt;=DATE(2027,7,31)),1,0)</f>
        <v>0</v>
      </c>
    </row>
    <row r="116" customFormat="false" ht="15" hidden="false" customHeight="false" outlineLevel="0" collapsed="false">
      <c r="A116" s="38" t="n">
        <v>104</v>
      </c>
      <c r="B116" s="27" t="n">
        <v>47570</v>
      </c>
      <c r="C116" s="39" t="n">
        <v>2653846153.84615</v>
      </c>
      <c r="D116" s="39" t="n">
        <v>34112980.7692308</v>
      </c>
      <c r="E116" s="39" t="n">
        <v>0</v>
      </c>
      <c r="F116" s="39" t="n">
        <v>34112980.7692308</v>
      </c>
      <c r="G116" s="39" t="n">
        <v>2653846153.84615</v>
      </c>
      <c r="H116" s="33" t="n">
        <f aca="false">J115</f>
        <v>2653846153.84615</v>
      </c>
      <c r="I116" s="33" t="n">
        <f aca="false">H116*N116</f>
        <v>34112980.7692308</v>
      </c>
      <c r="J116" s="33" t="n">
        <f aca="false">H116-E116</f>
        <v>2653846153.84615</v>
      </c>
      <c r="K116" s="33" t="n">
        <f aca="false">D116-I116</f>
        <v>0</v>
      </c>
      <c r="L116" s="33" t="n">
        <f aca="false">G116-J116</f>
        <v>0</v>
      </c>
      <c r="M116" s="33" t="n">
        <f aca="false">F116</f>
        <v>34112980.7692308</v>
      </c>
      <c r="N116" s="64" t="n">
        <v>0.0128541666666667</v>
      </c>
      <c r="O116" s="48" t="n">
        <f aca="false">IF(AND(B116&gt;=DATE(2026,1,1),B116&lt;=Resumen!$C$5),1,0)</f>
        <v>0</v>
      </c>
      <c r="P116" s="48" t="n">
        <f aca="false">IF(AND(B116&gt;Resumen!$C$5,B116&lt;=DATE(2027,7,31)),1,0)</f>
        <v>0</v>
      </c>
    </row>
    <row r="117" customFormat="false" ht="15" hidden="false" customHeight="false" outlineLevel="0" collapsed="false">
      <c r="A117" s="38" t="n">
        <v>105</v>
      </c>
      <c r="B117" s="27" t="n">
        <v>47601</v>
      </c>
      <c r="C117" s="39" t="n">
        <v>2653846153.84615</v>
      </c>
      <c r="D117" s="39" t="n">
        <v>34112980.7692308</v>
      </c>
      <c r="E117" s="39" t="n">
        <v>0</v>
      </c>
      <c r="F117" s="39" t="n">
        <v>34112980.7692308</v>
      </c>
      <c r="G117" s="39" t="n">
        <v>2653846153.84615</v>
      </c>
      <c r="H117" s="33" t="n">
        <f aca="false">J116</f>
        <v>2653846153.84615</v>
      </c>
      <c r="I117" s="33" t="n">
        <f aca="false">H117*N117</f>
        <v>34112980.7692308</v>
      </c>
      <c r="J117" s="33" t="n">
        <f aca="false">H117-E117</f>
        <v>2653846153.84615</v>
      </c>
      <c r="K117" s="33" t="n">
        <f aca="false">D117-I117</f>
        <v>0</v>
      </c>
      <c r="L117" s="33" t="n">
        <f aca="false">G117-J117</f>
        <v>0</v>
      </c>
      <c r="M117" s="33" t="n">
        <f aca="false">F117</f>
        <v>34112980.7692308</v>
      </c>
      <c r="N117" s="64" t="n">
        <v>0.0128541666666667</v>
      </c>
      <c r="O117" s="48" t="n">
        <f aca="false">IF(AND(B117&gt;=DATE(2026,1,1),B117&lt;=Resumen!$C$5),1,0)</f>
        <v>0</v>
      </c>
      <c r="P117" s="48" t="n">
        <f aca="false">IF(AND(B117&gt;Resumen!$C$5,B117&lt;=DATE(2027,7,31)),1,0)</f>
        <v>0</v>
      </c>
    </row>
    <row r="118" customFormat="false" ht="15" hidden="false" customHeight="false" outlineLevel="0" collapsed="false">
      <c r="A118" s="38" t="n">
        <v>106</v>
      </c>
      <c r="B118" s="27" t="n">
        <v>47631</v>
      </c>
      <c r="C118" s="39" t="n">
        <v>2653846153.84615</v>
      </c>
      <c r="D118" s="39" t="n">
        <v>34112980.7692308</v>
      </c>
      <c r="E118" s="39" t="n">
        <v>0</v>
      </c>
      <c r="F118" s="39" t="n">
        <v>34112980.7692308</v>
      </c>
      <c r="G118" s="39" t="n">
        <v>2653846153.84615</v>
      </c>
      <c r="H118" s="33" t="n">
        <f aca="false">J117</f>
        <v>2653846153.84615</v>
      </c>
      <c r="I118" s="33" t="n">
        <f aca="false">H118*N118</f>
        <v>34112980.7692308</v>
      </c>
      <c r="J118" s="33" t="n">
        <f aca="false">H118-E118</f>
        <v>2653846153.84615</v>
      </c>
      <c r="K118" s="33" t="n">
        <f aca="false">D118-I118</f>
        <v>0</v>
      </c>
      <c r="L118" s="33" t="n">
        <f aca="false">G118-J118</f>
        <v>0</v>
      </c>
      <c r="M118" s="33" t="n">
        <f aca="false">F118</f>
        <v>34112980.7692308</v>
      </c>
      <c r="N118" s="64" t="n">
        <v>0.0128541666666667</v>
      </c>
      <c r="O118" s="48" t="n">
        <f aca="false">IF(AND(B118&gt;=DATE(2026,1,1),B118&lt;=Resumen!$C$5),1,0)</f>
        <v>0</v>
      </c>
      <c r="P118" s="48" t="n">
        <f aca="false">IF(AND(B118&gt;Resumen!$C$5,B118&lt;=DATE(2027,7,31)),1,0)</f>
        <v>0</v>
      </c>
    </row>
    <row r="119" customFormat="false" ht="15" hidden="false" customHeight="false" outlineLevel="0" collapsed="false">
      <c r="A119" s="38" t="n">
        <v>107</v>
      </c>
      <c r="B119" s="27" t="n">
        <v>47662</v>
      </c>
      <c r="C119" s="39" t="n">
        <v>2653846153.84615</v>
      </c>
      <c r="D119" s="39" t="n">
        <v>34112980.7692308</v>
      </c>
      <c r="E119" s="39" t="n">
        <v>0</v>
      </c>
      <c r="F119" s="39" t="n">
        <v>34112980.7692308</v>
      </c>
      <c r="G119" s="39" t="n">
        <v>2653846153.84615</v>
      </c>
      <c r="H119" s="33" t="n">
        <f aca="false">J118</f>
        <v>2653846153.84615</v>
      </c>
      <c r="I119" s="33" t="n">
        <f aca="false">H119*N119</f>
        <v>34112980.7692308</v>
      </c>
      <c r="J119" s="33" t="n">
        <f aca="false">H119-E119</f>
        <v>2653846153.84615</v>
      </c>
      <c r="K119" s="33" t="n">
        <f aca="false">D119-I119</f>
        <v>0</v>
      </c>
      <c r="L119" s="33" t="n">
        <f aca="false">G119-J119</f>
        <v>0</v>
      </c>
      <c r="M119" s="33" t="n">
        <f aca="false">F119</f>
        <v>34112980.7692308</v>
      </c>
      <c r="N119" s="64" t="n">
        <v>0.0128541666666667</v>
      </c>
      <c r="O119" s="48" t="n">
        <f aca="false">IF(AND(B119&gt;=DATE(2026,1,1),B119&lt;=Resumen!$C$5),1,0)</f>
        <v>0</v>
      </c>
      <c r="P119" s="48" t="n">
        <f aca="false">IF(AND(B119&gt;Resumen!$C$5,B119&lt;=DATE(2027,7,31)),1,0)</f>
        <v>0</v>
      </c>
    </row>
    <row r="120" customFormat="false" ht="15" hidden="false" customHeight="false" outlineLevel="0" collapsed="false">
      <c r="A120" s="38" t="n">
        <v>108</v>
      </c>
      <c r="B120" s="27" t="n">
        <v>47692</v>
      </c>
      <c r="C120" s="39" t="n">
        <v>2653846153.84615</v>
      </c>
      <c r="D120" s="39" t="n">
        <v>34112980.7692308</v>
      </c>
      <c r="E120" s="39" t="n">
        <v>115384615.384615</v>
      </c>
      <c r="F120" s="39" t="n">
        <v>149497596.153846</v>
      </c>
      <c r="G120" s="39" t="n">
        <v>2538461538.46154</v>
      </c>
      <c r="H120" s="33" t="n">
        <f aca="false">J119</f>
        <v>2653846153.84615</v>
      </c>
      <c r="I120" s="33" t="n">
        <f aca="false">H120*N120</f>
        <v>34112980.7692308</v>
      </c>
      <c r="J120" s="33" t="n">
        <f aca="false">H120-E120</f>
        <v>2538461538.46154</v>
      </c>
      <c r="K120" s="33" t="n">
        <f aca="false">D120-I120</f>
        <v>0</v>
      </c>
      <c r="L120" s="33" t="n">
        <f aca="false">G120-J120</f>
        <v>0</v>
      </c>
      <c r="M120" s="33" t="n">
        <f aca="false">F120</f>
        <v>149497596.153846</v>
      </c>
      <c r="N120" s="64" t="n">
        <v>0.0128541666666667</v>
      </c>
      <c r="O120" s="48" t="n">
        <f aca="false">IF(AND(B120&gt;=DATE(2026,1,1),B120&lt;=Resumen!$C$5),1,0)</f>
        <v>0</v>
      </c>
      <c r="P120" s="48" t="n">
        <f aca="false">IF(AND(B120&gt;Resumen!$C$5,B120&lt;=DATE(2027,7,31)),1,0)</f>
        <v>0</v>
      </c>
    </row>
    <row r="121" customFormat="false" ht="15" hidden="false" customHeight="false" outlineLevel="0" collapsed="false">
      <c r="A121" s="38" t="n">
        <v>109</v>
      </c>
      <c r="B121" s="27" t="n">
        <v>47723</v>
      </c>
      <c r="C121" s="39" t="n">
        <v>2538461538.46154</v>
      </c>
      <c r="D121" s="39" t="n">
        <v>32629807.6923077</v>
      </c>
      <c r="E121" s="39" t="n">
        <v>0</v>
      </c>
      <c r="F121" s="39" t="n">
        <v>32629807.6923077</v>
      </c>
      <c r="G121" s="39" t="n">
        <v>2538461538.46154</v>
      </c>
      <c r="H121" s="33" t="n">
        <f aca="false">J120</f>
        <v>2538461538.46154</v>
      </c>
      <c r="I121" s="33" t="n">
        <f aca="false">H121*N121</f>
        <v>32629807.6923077</v>
      </c>
      <c r="J121" s="33" t="n">
        <f aca="false">H121-E121</f>
        <v>2538461538.46154</v>
      </c>
      <c r="K121" s="33" t="n">
        <f aca="false">D121-I121</f>
        <v>0</v>
      </c>
      <c r="L121" s="33" t="n">
        <f aca="false">G121-J121</f>
        <v>0</v>
      </c>
      <c r="M121" s="33" t="n">
        <f aca="false">F121</f>
        <v>32629807.6923077</v>
      </c>
      <c r="N121" s="64" t="n">
        <v>0.0128541666666667</v>
      </c>
      <c r="O121" s="48" t="n">
        <f aca="false">IF(AND(B121&gt;=DATE(2026,1,1),B121&lt;=Resumen!$C$5),1,0)</f>
        <v>0</v>
      </c>
      <c r="P121" s="48" t="n">
        <f aca="false">IF(AND(B121&gt;Resumen!$C$5,B121&lt;=DATE(2027,7,31)),1,0)</f>
        <v>0</v>
      </c>
    </row>
    <row r="122" customFormat="false" ht="15" hidden="false" customHeight="false" outlineLevel="0" collapsed="false">
      <c r="A122" s="38" t="n">
        <v>110</v>
      </c>
      <c r="B122" s="27" t="n">
        <v>47754</v>
      </c>
      <c r="C122" s="39" t="n">
        <v>2538461538.46154</v>
      </c>
      <c r="D122" s="39" t="n">
        <v>32629807.6923077</v>
      </c>
      <c r="E122" s="39" t="n">
        <v>0</v>
      </c>
      <c r="F122" s="39" t="n">
        <v>32629807.6923077</v>
      </c>
      <c r="G122" s="39" t="n">
        <v>2538461538.46154</v>
      </c>
      <c r="H122" s="33" t="n">
        <f aca="false">J121</f>
        <v>2538461538.46154</v>
      </c>
      <c r="I122" s="33" t="n">
        <f aca="false">H122*N122</f>
        <v>32629807.6923077</v>
      </c>
      <c r="J122" s="33" t="n">
        <f aca="false">H122-E122</f>
        <v>2538461538.46154</v>
      </c>
      <c r="K122" s="33" t="n">
        <f aca="false">D122-I122</f>
        <v>0</v>
      </c>
      <c r="L122" s="33" t="n">
        <f aca="false">G122-J122</f>
        <v>0</v>
      </c>
      <c r="M122" s="33" t="n">
        <f aca="false">F122</f>
        <v>32629807.6923077</v>
      </c>
      <c r="N122" s="64" t="n">
        <v>0.0128541666666667</v>
      </c>
      <c r="O122" s="48" t="n">
        <f aca="false">IF(AND(B122&gt;=DATE(2026,1,1),B122&lt;=Resumen!$C$5),1,0)</f>
        <v>0</v>
      </c>
      <c r="P122" s="48" t="n">
        <f aca="false">IF(AND(B122&gt;Resumen!$C$5,B122&lt;=DATE(2027,7,31)),1,0)</f>
        <v>0</v>
      </c>
    </row>
    <row r="123" customFormat="false" ht="15" hidden="false" customHeight="false" outlineLevel="0" collapsed="false">
      <c r="A123" s="38" t="n">
        <v>111</v>
      </c>
      <c r="B123" s="27" t="n">
        <v>47784</v>
      </c>
      <c r="C123" s="39" t="n">
        <v>2538461538.46154</v>
      </c>
      <c r="D123" s="39" t="n">
        <v>32629807.6923077</v>
      </c>
      <c r="E123" s="39" t="n">
        <v>0</v>
      </c>
      <c r="F123" s="39" t="n">
        <v>32629807.6923077</v>
      </c>
      <c r="G123" s="39" t="n">
        <v>2538461538.46154</v>
      </c>
      <c r="H123" s="33" t="n">
        <f aca="false">J122</f>
        <v>2538461538.46154</v>
      </c>
      <c r="I123" s="33" t="n">
        <f aca="false">H123*N123</f>
        <v>32629807.6923077</v>
      </c>
      <c r="J123" s="33" t="n">
        <f aca="false">H123-E123</f>
        <v>2538461538.46154</v>
      </c>
      <c r="K123" s="33" t="n">
        <f aca="false">D123-I123</f>
        <v>0</v>
      </c>
      <c r="L123" s="33" t="n">
        <f aca="false">G123-J123</f>
        <v>0</v>
      </c>
      <c r="M123" s="33" t="n">
        <f aca="false">F123</f>
        <v>32629807.6923077</v>
      </c>
      <c r="N123" s="64" t="n">
        <v>0.0128541666666667</v>
      </c>
      <c r="O123" s="48" t="n">
        <f aca="false">IF(AND(B123&gt;=DATE(2026,1,1),B123&lt;=Resumen!$C$5),1,0)</f>
        <v>0</v>
      </c>
      <c r="P123" s="48" t="n">
        <f aca="false">IF(AND(B123&gt;Resumen!$C$5,B123&lt;=DATE(2027,7,31)),1,0)</f>
        <v>0</v>
      </c>
    </row>
    <row r="124" customFormat="false" ht="15" hidden="false" customHeight="false" outlineLevel="0" collapsed="false">
      <c r="A124" s="38" t="n">
        <v>112</v>
      </c>
      <c r="B124" s="27" t="n">
        <v>47815</v>
      </c>
      <c r="C124" s="39" t="n">
        <v>2538461538.46154</v>
      </c>
      <c r="D124" s="39" t="n">
        <v>32629807.6923077</v>
      </c>
      <c r="E124" s="39" t="n">
        <v>0</v>
      </c>
      <c r="F124" s="39" t="n">
        <v>32629807.6923077</v>
      </c>
      <c r="G124" s="39" t="n">
        <v>2538461538.46154</v>
      </c>
      <c r="H124" s="33" t="n">
        <f aca="false">J123</f>
        <v>2538461538.46154</v>
      </c>
      <c r="I124" s="33" t="n">
        <f aca="false">H124*N124</f>
        <v>32629807.6923077</v>
      </c>
      <c r="J124" s="33" t="n">
        <f aca="false">H124-E124</f>
        <v>2538461538.46154</v>
      </c>
      <c r="K124" s="33" t="n">
        <f aca="false">D124-I124</f>
        <v>0</v>
      </c>
      <c r="L124" s="33" t="n">
        <f aca="false">G124-J124</f>
        <v>0</v>
      </c>
      <c r="M124" s="33" t="n">
        <f aca="false">F124</f>
        <v>32629807.6923077</v>
      </c>
      <c r="N124" s="64" t="n">
        <v>0.0128541666666667</v>
      </c>
      <c r="O124" s="48" t="n">
        <f aca="false">IF(AND(B124&gt;=DATE(2026,1,1),B124&lt;=Resumen!$C$5),1,0)</f>
        <v>0</v>
      </c>
      <c r="P124" s="48" t="n">
        <f aca="false">IF(AND(B124&gt;Resumen!$C$5,B124&lt;=DATE(2027,7,31)),1,0)</f>
        <v>0</v>
      </c>
    </row>
    <row r="125" customFormat="false" ht="15" hidden="false" customHeight="false" outlineLevel="0" collapsed="false">
      <c r="A125" s="38" t="n">
        <v>113</v>
      </c>
      <c r="B125" s="27" t="n">
        <v>47845</v>
      </c>
      <c r="C125" s="39" t="n">
        <v>2538461538.46154</v>
      </c>
      <c r="D125" s="39" t="n">
        <v>32629807.6923077</v>
      </c>
      <c r="E125" s="39" t="n">
        <v>0</v>
      </c>
      <c r="F125" s="39" t="n">
        <v>32629807.6923077</v>
      </c>
      <c r="G125" s="39" t="n">
        <v>2538461538.46154</v>
      </c>
      <c r="H125" s="33" t="n">
        <f aca="false">J124</f>
        <v>2538461538.46154</v>
      </c>
      <c r="I125" s="33" t="n">
        <f aca="false">H125*N125</f>
        <v>32629807.6923077</v>
      </c>
      <c r="J125" s="33" t="n">
        <f aca="false">H125-E125</f>
        <v>2538461538.46154</v>
      </c>
      <c r="K125" s="33" t="n">
        <f aca="false">D125-I125</f>
        <v>0</v>
      </c>
      <c r="L125" s="33" t="n">
        <f aca="false">G125-J125</f>
        <v>0</v>
      </c>
      <c r="M125" s="33" t="n">
        <f aca="false">F125</f>
        <v>32629807.6923077</v>
      </c>
      <c r="N125" s="64" t="n">
        <v>0.0128541666666667</v>
      </c>
      <c r="O125" s="48" t="n">
        <f aca="false">IF(AND(B125&gt;=DATE(2026,1,1),B125&lt;=Resumen!$C$5),1,0)</f>
        <v>0</v>
      </c>
      <c r="P125" s="48" t="n">
        <f aca="false">IF(AND(B125&gt;Resumen!$C$5,B125&lt;=DATE(2027,7,31)),1,0)</f>
        <v>0</v>
      </c>
    </row>
    <row r="126" customFormat="false" ht="15" hidden="false" customHeight="false" outlineLevel="0" collapsed="false">
      <c r="A126" s="38" t="n">
        <v>114</v>
      </c>
      <c r="B126" s="27" t="n">
        <v>47876</v>
      </c>
      <c r="C126" s="39" t="n">
        <v>2538461538.46154</v>
      </c>
      <c r="D126" s="39" t="n">
        <v>32629807.6923077</v>
      </c>
      <c r="E126" s="39" t="n">
        <v>115384615.384615</v>
      </c>
      <c r="F126" s="39" t="n">
        <v>148014423.076923</v>
      </c>
      <c r="G126" s="39" t="n">
        <v>2423076923.07692</v>
      </c>
      <c r="H126" s="33" t="n">
        <f aca="false">J125</f>
        <v>2538461538.46154</v>
      </c>
      <c r="I126" s="33" t="n">
        <f aca="false">H126*N126</f>
        <v>32629807.6923077</v>
      </c>
      <c r="J126" s="33" t="n">
        <f aca="false">H126-E126</f>
        <v>2423076923.07692</v>
      </c>
      <c r="K126" s="33" t="n">
        <f aca="false">D126-I126</f>
        <v>0</v>
      </c>
      <c r="L126" s="33" t="n">
        <f aca="false">G126-J126</f>
        <v>0</v>
      </c>
      <c r="M126" s="33" t="n">
        <f aca="false">F126</f>
        <v>148014423.076923</v>
      </c>
      <c r="N126" s="64" t="n">
        <v>0.0128541666666667</v>
      </c>
      <c r="O126" s="48" t="n">
        <f aca="false">IF(AND(B126&gt;=DATE(2026,1,1),B126&lt;=Resumen!$C$5),1,0)</f>
        <v>0</v>
      </c>
      <c r="P126" s="48" t="n">
        <f aca="false">IF(AND(B126&gt;Resumen!$C$5,B126&lt;=DATE(2027,7,31)),1,0)</f>
        <v>0</v>
      </c>
    </row>
    <row r="127" customFormat="false" ht="15" hidden="false" customHeight="false" outlineLevel="0" collapsed="false">
      <c r="A127" s="38" t="n">
        <v>115</v>
      </c>
      <c r="B127" s="27" t="n">
        <v>47907</v>
      </c>
      <c r="C127" s="39" t="n">
        <v>2423076923.07692</v>
      </c>
      <c r="D127" s="39" t="n">
        <v>31146634.6153846</v>
      </c>
      <c r="E127" s="39" t="n">
        <v>0</v>
      </c>
      <c r="F127" s="39" t="n">
        <v>31146634.6153846</v>
      </c>
      <c r="G127" s="39" t="n">
        <v>2423076923.07692</v>
      </c>
      <c r="H127" s="33" t="n">
        <f aca="false">J126</f>
        <v>2423076923.07692</v>
      </c>
      <c r="I127" s="33" t="n">
        <f aca="false">H127*N127</f>
        <v>31146634.6153846</v>
      </c>
      <c r="J127" s="33" t="n">
        <f aca="false">H127-E127</f>
        <v>2423076923.07692</v>
      </c>
      <c r="K127" s="33" t="n">
        <f aca="false">D127-I127</f>
        <v>0</v>
      </c>
      <c r="L127" s="33" t="n">
        <f aca="false">G127-J127</f>
        <v>0</v>
      </c>
      <c r="M127" s="33" t="n">
        <f aca="false">F127</f>
        <v>31146634.6153846</v>
      </c>
      <c r="N127" s="64" t="n">
        <v>0.0128541666666667</v>
      </c>
      <c r="O127" s="48" t="n">
        <f aca="false">IF(AND(B127&gt;=DATE(2026,1,1),B127&lt;=Resumen!$C$5),1,0)</f>
        <v>0</v>
      </c>
      <c r="P127" s="48" t="n">
        <f aca="false">IF(AND(B127&gt;Resumen!$C$5,B127&lt;=DATE(2027,7,31)),1,0)</f>
        <v>0</v>
      </c>
    </row>
    <row r="128" customFormat="false" ht="15" hidden="false" customHeight="false" outlineLevel="0" collapsed="false">
      <c r="A128" s="38" t="n">
        <v>116</v>
      </c>
      <c r="B128" s="27" t="n">
        <v>47935</v>
      </c>
      <c r="C128" s="39" t="n">
        <v>2423076923.07692</v>
      </c>
      <c r="D128" s="39" t="n">
        <v>31146634.6153846</v>
      </c>
      <c r="E128" s="39" t="n">
        <v>0</v>
      </c>
      <c r="F128" s="39" t="n">
        <v>31146634.6153846</v>
      </c>
      <c r="G128" s="39" t="n">
        <v>2423076923.07692</v>
      </c>
      <c r="H128" s="33" t="n">
        <f aca="false">J127</f>
        <v>2423076923.07692</v>
      </c>
      <c r="I128" s="33" t="n">
        <f aca="false">H128*N128</f>
        <v>31146634.6153846</v>
      </c>
      <c r="J128" s="33" t="n">
        <f aca="false">H128-E128</f>
        <v>2423076923.07692</v>
      </c>
      <c r="K128" s="33" t="n">
        <f aca="false">D128-I128</f>
        <v>0</v>
      </c>
      <c r="L128" s="33" t="n">
        <f aca="false">G128-J128</f>
        <v>0</v>
      </c>
      <c r="M128" s="33" t="n">
        <f aca="false">F128</f>
        <v>31146634.6153846</v>
      </c>
      <c r="N128" s="64" t="n">
        <v>0.0128541666666667</v>
      </c>
      <c r="O128" s="48" t="n">
        <f aca="false">IF(AND(B128&gt;=DATE(2026,1,1),B128&lt;=Resumen!$C$5),1,0)</f>
        <v>0</v>
      </c>
      <c r="P128" s="48" t="n">
        <f aca="false">IF(AND(B128&gt;Resumen!$C$5,B128&lt;=DATE(2027,7,31)),1,0)</f>
        <v>0</v>
      </c>
    </row>
    <row r="129" customFormat="false" ht="15" hidden="false" customHeight="false" outlineLevel="0" collapsed="false">
      <c r="A129" s="38" t="n">
        <v>117</v>
      </c>
      <c r="B129" s="27" t="n">
        <v>47966</v>
      </c>
      <c r="C129" s="39" t="n">
        <v>2423076923.07692</v>
      </c>
      <c r="D129" s="39" t="n">
        <v>31146634.6153846</v>
      </c>
      <c r="E129" s="39" t="n">
        <v>0</v>
      </c>
      <c r="F129" s="39" t="n">
        <v>31146634.6153846</v>
      </c>
      <c r="G129" s="39" t="n">
        <v>2423076923.07692</v>
      </c>
      <c r="H129" s="33" t="n">
        <f aca="false">J128</f>
        <v>2423076923.07692</v>
      </c>
      <c r="I129" s="33" t="n">
        <f aca="false">H129*N129</f>
        <v>31146634.6153846</v>
      </c>
      <c r="J129" s="33" t="n">
        <f aca="false">H129-E129</f>
        <v>2423076923.07692</v>
      </c>
      <c r="K129" s="33" t="n">
        <f aca="false">D129-I129</f>
        <v>0</v>
      </c>
      <c r="L129" s="33" t="n">
        <f aca="false">G129-J129</f>
        <v>0</v>
      </c>
      <c r="M129" s="33" t="n">
        <f aca="false">F129</f>
        <v>31146634.6153846</v>
      </c>
      <c r="N129" s="64" t="n">
        <v>0.0128541666666667</v>
      </c>
      <c r="O129" s="48" t="n">
        <f aca="false">IF(AND(B129&gt;=DATE(2026,1,1),B129&lt;=Resumen!$C$5),1,0)</f>
        <v>0</v>
      </c>
      <c r="P129" s="48" t="n">
        <f aca="false">IF(AND(B129&gt;Resumen!$C$5,B129&lt;=DATE(2027,7,31)),1,0)</f>
        <v>0</v>
      </c>
    </row>
    <row r="130" customFormat="false" ht="15" hidden="false" customHeight="false" outlineLevel="0" collapsed="false">
      <c r="A130" s="38" t="n">
        <v>118</v>
      </c>
      <c r="B130" s="27" t="n">
        <v>47996</v>
      </c>
      <c r="C130" s="39" t="n">
        <v>2423076923.07692</v>
      </c>
      <c r="D130" s="39" t="n">
        <v>31146634.6153846</v>
      </c>
      <c r="E130" s="39" t="n">
        <v>0</v>
      </c>
      <c r="F130" s="39" t="n">
        <v>31146634.6153846</v>
      </c>
      <c r="G130" s="39" t="n">
        <v>2423076923.07692</v>
      </c>
      <c r="H130" s="33" t="n">
        <f aca="false">J129</f>
        <v>2423076923.07692</v>
      </c>
      <c r="I130" s="33" t="n">
        <f aca="false">H130*N130</f>
        <v>31146634.6153846</v>
      </c>
      <c r="J130" s="33" t="n">
        <f aca="false">H130-E130</f>
        <v>2423076923.07692</v>
      </c>
      <c r="K130" s="33" t="n">
        <f aca="false">D130-I130</f>
        <v>0</v>
      </c>
      <c r="L130" s="33" t="n">
        <f aca="false">G130-J130</f>
        <v>0</v>
      </c>
      <c r="M130" s="33" t="n">
        <f aca="false">F130</f>
        <v>31146634.6153846</v>
      </c>
      <c r="N130" s="64" t="n">
        <v>0.0128541666666667</v>
      </c>
      <c r="O130" s="48" t="n">
        <f aca="false">IF(AND(B130&gt;=DATE(2026,1,1),B130&lt;=Resumen!$C$5),1,0)</f>
        <v>0</v>
      </c>
      <c r="P130" s="48" t="n">
        <f aca="false">IF(AND(B130&gt;Resumen!$C$5,B130&lt;=DATE(2027,7,31)),1,0)</f>
        <v>0</v>
      </c>
    </row>
    <row r="131" customFormat="false" ht="15" hidden="false" customHeight="false" outlineLevel="0" collapsed="false">
      <c r="A131" s="38" t="n">
        <v>119</v>
      </c>
      <c r="B131" s="27" t="n">
        <v>48027</v>
      </c>
      <c r="C131" s="39" t="n">
        <v>2423076923.07692</v>
      </c>
      <c r="D131" s="39" t="n">
        <v>31146634.6153846</v>
      </c>
      <c r="E131" s="39" t="n">
        <v>0</v>
      </c>
      <c r="F131" s="39" t="n">
        <v>31146634.6153846</v>
      </c>
      <c r="G131" s="39" t="n">
        <v>2423076923.07692</v>
      </c>
      <c r="H131" s="33" t="n">
        <f aca="false">J130</f>
        <v>2423076923.07692</v>
      </c>
      <c r="I131" s="33" t="n">
        <f aca="false">H131*N131</f>
        <v>31146634.6153846</v>
      </c>
      <c r="J131" s="33" t="n">
        <f aca="false">H131-E131</f>
        <v>2423076923.07692</v>
      </c>
      <c r="K131" s="33" t="n">
        <f aca="false">D131-I131</f>
        <v>0</v>
      </c>
      <c r="L131" s="33" t="n">
        <f aca="false">G131-J131</f>
        <v>0</v>
      </c>
      <c r="M131" s="33" t="n">
        <f aca="false">F131</f>
        <v>31146634.6153846</v>
      </c>
      <c r="N131" s="64" t="n">
        <v>0.0128541666666667</v>
      </c>
      <c r="O131" s="48" t="n">
        <f aca="false">IF(AND(B131&gt;=DATE(2026,1,1),B131&lt;=Resumen!$C$5),1,0)</f>
        <v>0</v>
      </c>
      <c r="P131" s="48" t="n">
        <f aca="false">IF(AND(B131&gt;Resumen!$C$5,B131&lt;=DATE(2027,7,31)),1,0)</f>
        <v>0</v>
      </c>
    </row>
    <row r="132" customFormat="false" ht="15" hidden="false" customHeight="false" outlineLevel="0" collapsed="false">
      <c r="A132" s="38" t="n">
        <v>120</v>
      </c>
      <c r="B132" s="27" t="n">
        <v>48057</v>
      </c>
      <c r="C132" s="39" t="n">
        <v>2423076923.07692</v>
      </c>
      <c r="D132" s="39" t="n">
        <v>31146634.6153846</v>
      </c>
      <c r="E132" s="39" t="n">
        <v>115384615.384615</v>
      </c>
      <c r="F132" s="39" t="n">
        <v>146531250</v>
      </c>
      <c r="G132" s="39" t="n">
        <v>2307692307.69231</v>
      </c>
      <c r="H132" s="33" t="n">
        <f aca="false">J131</f>
        <v>2423076923.07692</v>
      </c>
      <c r="I132" s="33" t="n">
        <f aca="false">H132*N132</f>
        <v>31146634.6153846</v>
      </c>
      <c r="J132" s="33" t="n">
        <f aca="false">H132-E132</f>
        <v>2307692307.69231</v>
      </c>
      <c r="K132" s="33" t="n">
        <f aca="false">D132-I132</f>
        <v>0</v>
      </c>
      <c r="L132" s="33" t="n">
        <f aca="false">G132-J132</f>
        <v>0</v>
      </c>
      <c r="M132" s="33" t="n">
        <f aca="false">F132</f>
        <v>146531250</v>
      </c>
      <c r="N132" s="64" t="n">
        <v>0.0128541666666667</v>
      </c>
      <c r="O132" s="48" t="n">
        <f aca="false">IF(AND(B132&gt;=DATE(2026,1,1),B132&lt;=Resumen!$C$5),1,0)</f>
        <v>0</v>
      </c>
      <c r="P132" s="48" t="n">
        <f aca="false">IF(AND(B132&gt;Resumen!$C$5,B132&lt;=DATE(2027,7,31)),1,0)</f>
        <v>0</v>
      </c>
    </row>
    <row r="133" customFormat="false" ht="15" hidden="false" customHeight="false" outlineLevel="0" collapsed="false">
      <c r="A133" s="38" t="n">
        <v>121</v>
      </c>
      <c r="B133" s="27" t="n">
        <v>48088</v>
      </c>
      <c r="C133" s="39" t="n">
        <v>2307692307.69231</v>
      </c>
      <c r="D133" s="39" t="n">
        <v>29663461.5384615</v>
      </c>
      <c r="E133" s="39" t="n">
        <v>0</v>
      </c>
      <c r="F133" s="39" t="n">
        <v>29663461.5384615</v>
      </c>
      <c r="G133" s="39" t="n">
        <v>2307692307.69231</v>
      </c>
      <c r="H133" s="33" t="n">
        <f aca="false">J132</f>
        <v>2307692307.69231</v>
      </c>
      <c r="I133" s="33" t="n">
        <f aca="false">H133*N133</f>
        <v>29663461.5384615</v>
      </c>
      <c r="J133" s="33" t="n">
        <f aca="false">H133-E133</f>
        <v>2307692307.69231</v>
      </c>
      <c r="K133" s="33" t="n">
        <f aca="false">D133-I133</f>
        <v>0</v>
      </c>
      <c r="L133" s="33" t="n">
        <f aca="false">G133-J133</f>
        <v>0</v>
      </c>
      <c r="M133" s="33" t="n">
        <f aca="false">F133</f>
        <v>29663461.5384615</v>
      </c>
      <c r="N133" s="64" t="n">
        <v>0.0128541666666667</v>
      </c>
      <c r="O133" s="48" t="n">
        <f aca="false">IF(AND(B133&gt;=DATE(2026,1,1),B133&lt;=Resumen!$C$5),1,0)</f>
        <v>0</v>
      </c>
      <c r="P133" s="48" t="n">
        <f aca="false">IF(AND(B133&gt;Resumen!$C$5,B133&lt;=DATE(2027,7,31)),1,0)</f>
        <v>0</v>
      </c>
    </row>
    <row r="134" customFormat="false" ht="15" hidden="false" customHeight="false" outlineLevel="0" collapsed="false">
      <c r="A134" s="38" t="n">
        <v>122</v>
      </c>
      <c r="B134" s="27" t="n">
        <v>48119</v>
      </c>
      <c r="C134" s="39" t="n">
        <v>2307692307.69231</v>
      </c>
      <c r="D134" s="39" t="n">
        <v>29663461.5384615</v>
      </c>
      <c r="E134" s="39" t="n">
        <v>0</v>
      </c>
      <c r="F134" s="39" t="n">
        <v>29663461.5384615</v>
      </c>
      <c r="G134" s="39" t="n">
        <v>2307692307.69231</v>
      </c>
      <c r="H134" s="33" t="n">
        <f aca="false">J133</f>
        <v>2307692307.69231</v>
      </c>
      <c r="I134" s="33" t="n">
        <f aca="false">H134*N134</f>
        <v>29663461.5384615</v>
      </c>
      <c r="J134" s="33" t="n">
        <f aca="false">H134-E134</f>
        <v>2307692307.69231</v>
      </c>
      <c r="K134" s="33" t="n">
        <f aca="false">D134-I134</f>
        <v>0</v>
      </c>
      <c r="L134" s="33" t="n">
        <f aca="false">G134-J134</f>
        <v>0</v>
      </c>
      <c r="M134" s="33" t="n">
        <f aca="false">F134</f>
        <v>29663461.5384615</v>
      </c>
      <c r="N134" s="64" t="n">
        <v>0.0128541666666667</v>
      </c>
      <c r="O134" s="48" t="n">
        <f aca="false">IF(AND(B134&gt;=DATE(2026,1,1),B134&lt;=Resumen!$C$5),1,0)</f>
        <v>0</v>
      </c>
      <c r="P134" s="48" t="n">
        <f aca="false">IF(AND(B134&gt;Resumen!$C$5,B134&lt;=DATE(2027,7,31)),1,0)</f>
        <v>0</v>
      </c>
    </row>
    <row r="135" customFormat="false" ht="15" hidden="false" customHeight="false" outlineLevel="0" collapsed="false">
      <c r="A135" s="38" t="n">
        <v>123</v>
      </c>
      <c r="B135" s="27" t="n">
        <v>48149</v>
      </c>
      <c r="C135" s="39" t="n">
        <v>2307692307.69231</v>
      </c>
      <c r="D135" s="39" t="n">
        <v>29663461.5384615</v>
      </c>
      <c r="E135" s="39" t="n">
        <v>0</v>
      </c>
      <c r="F135" s="39" t="n">
        <v>29663461.5384615</v>
      </c>
      <c r="G135" s="39" t="n">
        <v>2307692307.69231</v>
      </c>
      <c r="H135" s="33" t="n">
        <f aca="false">J134</f>
        <v>2307692307.69231</v>
      </c>
      <c r="I135" s="33" t="n">
        <f aca="false">H135*N135</f>
        <v>29663461.5384615</v>
      </c>
      <c r="J135" s="33" t="n">
        <f aca="false">H135-E135</f>
        <v>2307692307.69231</v>
      </c>
      <c r="K135" s="33" t="n">
        <f aca="false">D135-I135</f>
        <v>0</v>
      </c>
      <c r="L135" s="33" t="n">
        <f aca="false">G135-J135</f>
        <v>0</v>
      </c>
      <c r="M135" s="33" t="n">
        <f aca="false">F135</f>
        <v>29663461.5384615</v>
      </c>
      <c r="N135" s="64" t="n">
        <v>0.0128541666666667</v>
      </c>
      <c r="O135" s="48" t="n">
        <f aca="false">IF(AND(B135&gt;=DATE(2026,1,1),B135&lt;=Resumen!$C$5),1,0)</f>
        <v>0</v>
      </c>
      <c r="P135" s="48" t="n">
        <f aca="false">IF(AND(B135&gt;Resumen!$C$5,B135&lt;=DATE(2027,7,31)),1,0)</f>
        <v>0</v>
      </c>
    </row>
    <row r="136" customFormat="false" ht="15" hidden="false" customHeight="false" outlineLevel="0" collapsed="false">
      <c r="A136" s="38" t="n">
        <v>124</v>
      </c>
      <c r="B136" s="27" t="n">
        <v>48180</v>
      </c>
      <c r="C136" s="39" t="n">
        <v>2307692307.69231</v>
      </c>
      <c r="D136" s="39" t="n">
        <v>29663461.5384615</v>
      </c>
      <c r="E136" s="39" t="n">
        <v>0</v>
      </c>
      <c r="F136" s="39" t="n">
        <v>29663461.5384615</v>
      </c>
      <c r="G136" s="39" t="n">
        <v>2307692307.69231</v>
      </c>
      <c r="H136" s="33" t="n">
        <f aca="false">J135</f>
        <v>2307692307.69231</v>
      </c>
      <c r="I136" s="33" t="n">
        <f aca="false">H136*N136</f>
        <v>29663461.5384615</v>
      </c>
      <c r="J136" s="33" t="n">
        <f aca="false">H136-E136</f>
        <v>2307692307.69231</v>
      </c>
      <c r="K136" s="33" t="n">
        <f aca="false">D136-I136</f>
        <v>0</v>
      </c>
      <c r="L136" s="33" t="n">
        <f aca="false">G136-J136</f>
        <v>0</v>
      </c>
      <c r="M136" s="33" t="n">
        <f aca="false">F136</f>
        <v>29663461.5384615</v>
      </c>
      <c r="N136" s="64" t="n">
        <v>0.0128541666666667</v>
      </c>
      <c r="O136" s="48" t="n">
        <f aca="false">IF(AND(B136&gt;=DATE(2026,1,1),B136&lt;=Resumen!$C$5),1,0)</f>
        <v>0</v>
      </c>
      <c r="P136" s="48" t="n">
        <f aca="false">IF(AND(B136&gt;Resumen!$C$5,B136&lt;=DATE(2027,7,31)),1,0)</f>
        <v>0</v>
      </c>
    </row>
    <row r="137" customFormat="false" ht="15" hidden="false" customHeight="false" outlineLevel="0" collapsed="false">
      <c r="A137" s="38" t="n">
        <v>125</v>
      </c>
      <c r="B137" s="27" t="n">
        <v>48210</v>
      </c>
      <c r="C137" s="39" t="n">
        <v>2307692307.69231</v>
      </c>
      <c r="D137" s="39" t="n">
        <v>29663461.5384615</v>
      </c>
      <c r="E137" s="39" t="n">
        <v>0</v>
      </c>
      <c r="F137" s="39" t="n">
        <v>29663461.5384615</v>
      </c>
      <c r="G137" s="39" t="n">
        <v>2307692307.69231</v>
      </c>
      <c r="H137" s="33" t="n">
        <f aca="false">J136</f>
        <v>2307692307.69231</v>
      </c>
      <c r="I137" s="33" t="n">
        <f aca="false">H137*N137</f>
        <v>29663461.5384615</v>
      </c>
      <c r="J137" s="33" t="n">
        <f aca="false">H137-E137</f>
        <v>2307692307.69231</v>
      </c>
      <c r="K137" s="33" t="n">
        <f aca="false">D137-I137</f>
        <v>0</v>
      </c>
      <c r="L137" s="33" t="n">
        <f aca="false">G137-J137</f>
        <v>0</v>
      </c>
      <c r="M137" s="33" t="n">
        <f aca="false">F137</f>
        <v>29663461.5384615</v>
      </c>
      <c r="N137" s="64" t="n">
        <v>0.0128541666666667</v>
      </c>
      <c r="O137" s="48" t="n">
        <f aca="false">IF(AND(B137&gt;=DATE(2026,1,1),B137&lt;=Resumen!$C$5),1,0)</f>
        <v>0</v>
      </c>
      <c r="P137" s="48" t="n">
        <f aca="false">IF(AND(B137&gt;Resumen!$C$5,B137&lt;=DATE(2027,7,31)),1,0)</f>
        <v>0</v>
      </c>
    </row>
    <row r="138" customFormat="false" ht="15" hidden="false" customHeight="false" outlineLevel="0" collapsed="false">
      <c r="A138" s="38" t="n">
        <v>126</v>
      </c>
      <c r="B138" s="27" t="n">
        <v>48241</v>
      </c>
      <c r="C138" s="39" t="n">
        <v>2307692307.69231</v>
      </c>
      <c r="D138" s="39" t="n">
        <v>29663461.5384615</v>
      </c>
      <c r="E138" s="39" t="n">
        <v>115384615.384615</v>
      </c>
      <c r="F138" s="39" t="n">
        <v>145048076.923077</v>
      </c>
      <c r="G138" s="39" t="n">
        <v>2192307692.30769</v>
      </c>
      <c r="H138" s="33" t="n">
        <f aca="false">J137</f>
        <v>2307692307.69231</v>
      </c>
      <c r="I138" s="33" t="n">
        <f aca="false">H138*N138</f>
        <v>29663461.5384615</v>
      </c>
      <c r="J138" s="33" t="n">
        <f aca="false">H138-E138</f>
        <v>2192307692.30769</v>
      </c>
      <c r="K138" s="33" t="n">
        <f aca="false">D138-I138</f>
        <v>0</v>
      </c>
      <c r="L138" s="33" t="n">
        <f aca="false">G138-J138</f>
        <v>0</v>
      </c>
      <c r="M138" s="33" t="n">
        <f aca="false">F138</f>
        <v>145048076.923077</v>
      </c>
      <c r="N138" s="64" t="n">
        <v>0.0128541666666667</v>
      </c>
      <c r="O138" s="48" t="n">
        <f aca="false">IF(AND(B138&gt;=DATE(2026,1,1),B138&lt;=Resumen!$C$5),1,0)</f>
        <v>0</v>
      </c>
      <c r="P138" s="48" t="n">
        <f aca="false">IF(AND(B138&gt;Resumen!$C$5,B138&lt;=DATE(2027,7,31)),1,0)</f>
        <v>0</v>
      </c>
    </row>
    <row r="139" customFormat="false" ht="15" hidden="false" customHeight="false" outlineLevel="0" collapsed="false">
      <c r="A139" s="38" t="n">
        <v>127</v>
      </c>
      <c r="B139" s="27" t="n">
        <v>48272</v>
      </c>
      <c r="C139" s="39" t="n">
        <v>2192307692.30769</v>
      </c>
      <c r="D139" s="39" t="n">
        <v>28180288.4615385</v>
      </c>
      <c r="E139" s="39" t="n">
        <v>0</v>
      </c>
      <c r="F139" s="39" t="n">
        <v>28180288.4615385</v>
      </c>
      <c r="G139" s="39" t="n">
        <v>2192307692.30769</v>
      </c>
      <c r="H139" s="33" t="n">
        <f aca="false">J138</f>
        <v>2192307692.30769</v>
      </c>
      <c r="I139" s="33" t="n">
        <f aca="false">H139*N139</f>
        <v>28180288.4615385</v>
      </c>
      <c r="J139" s="33" t="n">
        <f aca="false">H139-E139</f>
        <v>2192307692.30769</v>
      </c>
      <c r="K139" s="33" t="n">
        <f aca="false">D139-I139</f>
        <v>0</v>
      </c>
      <c r="L139" s="33" t="n">
        <f aca="false">G139-J139</f>
        <v>0</v>
      </c>
      <c r="M139" s="33" t="n">
        <f aca="false">F139</f>
        <v>28180288.4615385</v>
      </c>
      <c r="N139" s="64" t="n">
        <v>0.0128541666666667</v>
      </c>
      <c r="O139" s="48" t="n">
        <f aca="false">IF(AND(B139&gt;=DATE(2026,1,1),B139&lt;=Resumen!$C$5),1,0)</f>
        <v>0</v>
      </c>
      <c r="P139" s="48" t="n">
        <f aca="false">IF(AND(B139&gt;Resumen!$C$5,B139&lt;=DATE(2027,7,31)),1,0)</f>
        <v>0</v>
      </c>
    </row>
    <row r="140" customFormat="false" ht="15" hidden="false" customHeight="false" outlineLevel="0" collapsed="false">
      <c r="A140" s="38" t="n">
        <v>128</v>
      </c>
      <c r="B140" s="27" t="n">
        <v>48301</v>
      </c>
      <c r="C140" s="39" t="n">
        <v>2192307692.30769</v>
      </c>
      <c r="D140" s="39" t="n">
        <v>28180288.4615385</v>
      </c>
      <c r="E140" s="39" t="n">
        <v>0</v>
      </c>
      <c r="F140" s="39" t="n">
        <v>28180288.4615385</v>
      </c>
      <c r="G140" s="39" t="n">
        <v>2192307692.30769</v>
      </c>
      <c r="H140" s="33" t="n">
        <f aca="false">J139</f>
        <v>2192307692.30769</v>
      </c>
      <c r="I140" s="33" t="n">
        <f aca="false">H140*N140</f>
        <v>28180288.4615385</v>
      </c>
      <c r="J140" s="33" t="n">
        <f aca="false">H140-E140</f>
        <v>2192307692.30769</v>
      </c>
      <c r="K140" s="33" t="n">
        <f aca="false">D140-I140</f>
        <v>0</v>
      </c>
      <c r="L140" s="33" t="n">
        <f aca="false">G140-J140</f>
        <v>0</v>
      </c>
      <c r="M140" s="33" t="n">
        <f aca="false">F140</f>
        <v>28180288.4615385</v>
      </c>
      <c r="N140" s="64" t="n">
        <v>0.0128541666666667</v>
      </c>
      <c r="O140" s="48" t="n">
        <f aca="false">IF(AND(B140&gt;=DATE(2026,1,1),B140&lt;=Resumen!$C$5),1,0)</f>
        <v>0</v>
      </c>
      <c r="P140" s="48" t="n">
        <f aca="false">IF(AND(B140&gt;Resumen!$C$5,B140&lt;=DATE(2027,7,31)),1,0)</f>
        <v>0</v>
      </c>
    </row>
    <row r="141" customFormat="false" ht="15" hidden="false" customHeight="false" outlineLevel="0" collapsed="false">
      <c r="A141" s="38" t="n">
        <v>129</v>
      </c>
      <c r="B141" s="27" t="n">
        <v>48332</v>
      </c>
      <c r="C141" s="39" t="n">
        <v>2192307692.30769</v>
      </c>
      <c r="D141" s="39" t="n">
        <v>28180288.4615385</v>
      </c>
      <c r="E141" s="39" t="n">
        <v>0</v>
      </c>
      <c r="F141" s="39" t="n">
        <v>28180288.4615385</v>
      </c>
      <c r="G141" s="39" t="n">
        <v>2192307692.30769</v>
      </c>
      <c r="H141" s="33" t="n">
        <f aca="false">J140</f>
        <v>2192307692.30769</v>
      </c>
      <c r="I141" s="33" t="n">
        <f aca="false">H141*N141</f>
        <v>28180288.4615385</v>
      </c>
      <c r="J141" s="33" t="n">
        <f aca="false">H141-E141</f>
        <v>2192307692.30769</v>
      </c>
      <c r="K141" s="33" t="n">
        <f aca="false">D141-I141</f>
        <v>0</v>
      </c>
      <c r="L141" s="33" t="n">
        <f aca="false">G141-J141</f>
        <v>0</v>
      </c>
      <c r="M141" s="33" t="n">
        <f aca="false">F141</f>
        <v>28180288.4615385</v>
      </c>
      <c r="N141" s="64" t="n">
        <v>0.0128541666666667</v>
      </c>
      <c r="O141" s="48" t="n">
        <f aca="false">IF(AND(B141&gt;=DATE(2026,1,1),B141&lt;=Resumen!$C$5),1,0)</f>
        <v>0</v>
      </c>
      <c r="P141" s="48" t="n">
        <f aca="false">IF(AND(B141&gt;Resumen!$C$5,B141&lt;=DATE(2027,7,31)),1,0)</f>
        <v>0</v>
      </c>
    </row>
    <row r="142" customFormat="false" ht="15" hidden="false" customHeight="false" outlineLevel="0" collapsed="false">
      <c r="A142" s="38" t="n">
        <v>130</v>
      </c>
      <c r="B142" s="27" t="n">
        <v>48362</v>
      </c>
      <c r="C142" s="39" t="n">
        <v>2192307692.30769</v>
      </c>
      <c r="D142" s="39" t="n">
        <v>28180288.4615385</v>
      </c>
      <c r="E142" s="39" t="n">
        <v>0</v>
      </c>
      <c r="F142" s="39" t="n">
        <v>28180288.4615385</v>
      </c>
      <c r="G142" s="39" t="n">
        <v>2192307692.30769</v>
      </c>
      <c r="H142" s="33" t="n">
        <f aca="false">J141</f>
        <v>2192307692.30769</v>
      </c>
      <c r="I142" s="33" t="n">
        <f aca="false">H142*N142</f>
        <v>28180288.4615385</v>
      </c>
      <c r="J142" s="33" t="n">
        <f aca="false">H142-E142</f>
        <v>2192307692.30769</v>
      </c>
      <c r="K142" s="33" t="n">
        <f aca="false">D142-I142</f>
        <v>0</v>
      </c>
      <c r="L142" s="33" t="n">
        <f aca="false">G142-J142</f>
        <v>0</v>
      </c>
      <c r="M142" s="33" t="n">
        <f aca="false">F142</f>
        <v>28180288.4615385</v>
      </c>
      <c r="N142" s="64" t="n">
        <v>0.0128541666666667</v>
      </c>
      <c r="O142" s="48" t="n">
        <f aca="false">IF(AND(B142&gt;=DATE(2026,1,1),B142&lt;=Resumen!$C$5),1,0)</f>
        <v>0</v>
      </c>
      <c r="P142" s="48" t="n">
        <f aca="false">IF(AND(B142&gt;Resumen!$C$5,B142&lt;=DATE(2027,7,31)),1,0)</f>
        <v>0</v>
      </c>
    </row>
    <row r="143" customFormat="false" ht="15" hidden="false" customHeight="false" outlineLevel="0" collapsed="false">
      <c r="A143" s="38" t="n">
        <v>131</v>
      </c>
      <c r="B143" s="27" t="n">
        <v>48393</v>
      </c>
      <c r="C143" s="39" t="n">
        <v>2192307692.30769</v>
      </c>
      <c r="D143" s="39" t="n">
        <v>28180288.4615385</v>
      </c>
      <c r="E143" s="39" t="n">
        <v>0</v>
      </c>
      <c r="F143" s="39" t="n">
        <v>28180288.4615385</v>
      </c>
      <c r="G143" s="39" t="n">
        <v>2192307692.30769</v>
      </c>
      <c r="H143" s="33" t="n">
        <f aca="false">J142</f>
        <v>2192307692.30769</v>
      </c>
      <c r="I143" s="33" t="n">
        <f aca="false">H143*N143</f>
        <v>28180288.4615385</v>
      </c>
      <c r="J143" s="33" t="n">
        <f aca="false">H143-E143</f>
        <v>2192307692.30769</v>
      </c>
      <c r="K143" s="33" t="n">
        <f aca="false">D143-I143</f>
        <v>0</v>
      </c>
      <c r="L143" s="33" t="n">
        <f aca="false">G143-J143</f>
        <v>0</v>
      </c>
      <c r="M143" s="33" t="n">
        <f aca="false">F143</f>
        <v>28180288.4615385</v>
      </c>
      <c r="N143" s="64" t="n">
        <v>0.0128541666666667</v>
      </c>
      <c r="O143" s="48" t="n">
        <f aca="false">IF(AND(B143&gt;=DATE(2026,1,1),B143&lt;=Resumen!$C$5),1,0)</f>
        <v>0</v>
      </c>
      <c r="P143" s="48" t="n">
        <f aca="false">IF(AND(B143&gt;Resumen!$C$5,B143&lt;=DATE(2027,7,31)),1,0)</f>
        <v>0</v>
      </c>
    </row>
    <row r="144" customFormat="false" ht="15" hidden="false" customHeight="false" outlineLevel="0" collapsed="false">
      <c r="A144" s="38" t="n">
        <v>132</v>
      </c>
      <c r="B144" s="27" t="n">
        <v>48423</v>
      </c>
      <c r="C144" s="39" t="n">
        <v>2192307692.30769</v>
      </c>
      <c r="D144" s="39" t="n">
        <v>28180288.4615385</v>
      </c>
      <c r="E144" s="39" t="n">
        <v>115384615.384615</v>
      </c>
      <c r="F144" s="39" t="n">
        <v>143564903.846154</v>
      </c>
      <c r="G144" s="39" t="n">
        <v>2076923076.92308</v>
      </c>
      <c r="H144" s="33" t="n">
        <f aca="false">J143</f>
        <v>2192307692.30769</v>
      </c>
      <c r="I144" s="33" t="n">
        <f aca="false">H144*N144</f>
        <v>28180288.4615385</v>
      </c>
      <c r="J144" s="33" t="n">
        <f aca="false">H144-E144</f>
        <v>2076923076.92308</v>
      </c>
      <c r="K144" s="33" t="n">
        <f aca="false">D144-I144</f>
        <v>0</v>
      </c>
      <c r="L144" s="33" t="n">
        <f aca="false">G144-J144</f>
        <v>0</v>
      </c>
      <c r="M144" s="33" t="n">
        <f aca="false">F144</f>
        <v>143564903.846154</v>
      </c>
      <c r="N144" s="64" t="n">
        <v>0.0128541666666667</v>
      </c>
      <c r="O144" s="48" t="n">
        <f aca="false">IF(AND(B144&gt;=DATE(2026,1,1),B144&lt;=Resumen!$C$5),1,0)</f>
        <v>0</v>
      </c>
      <c r="P144" s="48" t="n">
        <f aca="false">IF(AND(B144&gt;Resumen!$C$5,B144&lt;=DATE(2027,7,31)),1,0)</f>
        <v>0</v>
      </c>
    </row>
    <row r="145" customFormat="false" ht="15" hidden="false" customHeight="false" outlineLevel="0" collapsed="false">
      <c r="A145" s="38" t="n">
        <v>133</v>
      </c>
      <c r="B145" s="27" t="n">
        <v>48454</v>
      </c>
      <c r="C145" s="39" t="n">
        <v>2076923076.92308</v>
      </c>
      <c r="D145" s="39" t="n">
        <v>26697115.3846154</v>
      </c>
      <c r="E145" s="39" t="n">
        <v>0</v>
      </c>
      <c r="F145" s="39" t="n">
        <v>26697115.3846154</v>
      </c>
      <c r="G145" s="39" t="n">
        <v>2076923076.92308</v>
      </c>
      <c r="H145" s="33" t="n">
        <f aca="false">J144</f>
        <v>2076923076.92308</v>
      </c>
      <c r="I145" s="33" t="n">
        <f aca="false">H145*N145</f>
        <v>26697115.3846154</v>
      </c>
      <c r="J145" s="33" t="n">
        <f aca="false">H145-E145</f>
        <v>2076923076.92308</v>
      </c>
      <c r="K145" s="33" t="n">
        <f aca="false">D145-I145</f>
        <v>0</v>
      </c>
      <c r="L145" s="33" t="n">
        <f aca="false">G145-J145</f>
        <v>0</v>
      </c>
      <c r="M145" s="33" t="n">
        <f aca="false">F145</f>
        <v>26697115.3846154</v>
      </c>
      <c r="N145" s="64" t="n">
        <v>0.0128541666666667</v>
      </c>
      <c r="O145" s="48" t="n">
        <f aca="false">IF(AND(B145&gt;=DATE(2026,1,1),B145&lt;=Resumen!$C$5),1,0)</f>
        <v>0</v>
      </c>
      <c r="P145" s="48" t="n">
        <f aca="false">IF(AND(B145&gt;Resumen!$C$5,B145&lt;=DATE(2027,7,31)),1,0)</f>
        <v>0</v>
      </c>
    </row>
    <row r="146" customFormat="false" ht="15" hidden="false" customHeight="false" outlineLevel="0" collapsed="false">
      <c r="A146" s="38" t="n">
        <v>134</v>
      </c>
      <c r="B146" s="27" t="n">
        <v>48485</v>
      </c>
      <c r="C146" s="39" t="n">
        <v>2076923076.92308</v>
      </c>
      <c r="D146" s="39" t="n">
        <v>26697115.3846154</v>
      </c>
      <c r="E146" s="39" t="n">
        <v>0</v>
      </c>
      <c r="F146" s="39" t="n">
        <v>26697115.3846154</v>
      </c>
      <c r="G146" s="39" t="n">
        <v>2076923076.92308</v>
      </c>
      <c r="H146" s="33" t="n">
        <f aca="false">J145</f>
        <v>2076923076.92308</v>
      </c>
      <c r="I146" s="33" t="n">
        <f aca="false">H146*N146</f>
        <v>26697115.3846154</v>
      </c>
      <c r="J146" s="33" t="n">
        <f aca="false">H146-E146</f>
        <v>2076923076.92308</v>
      </c>
      <c r="K146" s="33" t="n">
        <f aca="false">D146-I146</f>
        <v>0</v>
      </c>
      <c r="L146" s="33" t="n">
        <f aca="false">G146-J146</f>
        <v>0</v>
      </c>
      <c r="M146" s="33" t="n">
        <f aca="false">F146</f>
        <v>26697115.3846154</v>
      </c>
      <c r="N146" s="64" t="n">
        <v>0.0128541666666667</v>
      </c>
      <c r="O146" s="48" t="n">
        <f aca="false">IF(AND(B146&gt;=DATE(2026,1,1),B146&lt;=Resumen!$C$5),1,0)</f>
        <v>0</v>
      </c>
      <c r="P146" s="48" t="n">
        <f aca="false">IF(AND(B146&gt;Resumen!$C$5,B146&lt;=DATE(2027,7,31)),1,0)</f>
        <v>0</v>
      </c>
    </row>
    <row r="147" customFormat="false" ht="15" hidden="false" customHeight="false" outlineLevel="0" collapsed="false">
      <c r="A147" s="38" t="n">
        <v>135</v>
      </c>
      <c r="B147" s="27" t="n">
        <v>48515</v>
      </c>
      <c r="C147" s="39" t="n">
        <v>2076923076.92308</v>
      </c>
      <c r="D147" s="39" t="n">
        <v>26697115.3846154</v>
      </c>
      <c r="E147" s="39" t="n">
        <v>0</v>
      </c>
      <c r="F147" s="39" t="n">
        <v>26697115.3846154</v>
      </c>
      <c r="G147" s="39" t="n">
        <v>2076923076.92308</v>
      </c>
      <c r="H147" s="33" t="n">
        <f aca="false">J146</f>
        <v>2076923076.92308</v>
      </c>
      <c r="I147" s="33" t="n">
        <f aca="false">H147*N147</f>
        <v>26697115.3846154</v>
      </c>
      <c r="J147" s="33" t="n">
        <f aca="false">H147-E147</f>
        <v>2076923076.92308</v>
      </c>
      <c r="K147" s="33" t="n">
        <f aca="false">D147-I147</f>
        <v>0</v>
      </c>
      <c r="L147" s="33" t="n">
        <f aca="false">G147-J147</f>
        <v>0</v>
      </c>
      <c r="M147" s="33" t="n">
        <f aca="false">F147</f>
        <v>26697115.3846154</v>
      </c>
      <c r="N147" s="64" t="n">
        <v>0.0128541666666667</v>
      </c>
      <c r="O147" s="48" t="n">
        <f aca="false">IF(AND(B147&gt;=DATE(2026,1,1),B147&lt;=Resumen!$C$5),1,0)</f>
        <v>0</v>
      </c>
      <c r="P147" s="48" t="n">
        <f aca="false">IF(AND(B147&gt;Resumen!$C$5,B147&lt;=DATE(2027,7,31)),1,0)</f>
        <v>0</v>
      </c>
    </row>
    <row r="148" customFormat="false" ht="15" hidden="false" customHeight="false" outlineLevel="0" collapsed="false">
      <c r="A148" s="38" t="n">
        <v>136</v>
      </c>
      <c r="B148" s="27" t="n">
        <v>48546</v>
      </c>
      <c r="C148" s="39" t="n">
        <v>2076923076.92308</v>
      </c>
      <c r="D148" s="39" t="n">
        <v>26697115.3846154</v>
      </c>
      <c r="E148" s="39" t="n">
        <v>0</v>
      </c>
      <c r="F148" s="39" t="n">
        <v>26697115.3846154</v>
      </c>
      <c r="G148" s="39" t="n">
        <v>2076923076.92308</v>
      </c>
      <c r="H148" s="33" t="n">
        <f aca="false">J147</f>
        <v>2076923076.92308</v>
      </c>
      <c r="I148" s="33" t="n">
        <f aca="false">H148*N148</f>
        <v>26697115.3846154</v>
      </c>
      <c r="J148" s="33" t="n">
        <f aca="false">H148-E148</f>
        <v>2076923076.92308</v>
      </c>
      <c r="K148" s="33" t="n">
        <f aca="false">D148-I148</f>
        <v>0</v>
      </c>
      <c r="L148" s="33" t="n">
        <f aca="false">G148-J148</f>
        <v>0</v>
      </c>
      <c r="M148" s="33" t="n">
        <f aca="false">F148</f>
        <v>26697115.3846154</v>
      </c>
      <c r="N148" s="64" t="n">
        <v>0.0128541666666667</v>
      </c>
      <c r="O148" s="48" t="n">
        <f aca="false">IF(AND(B148&gt;=DATE(2026,1,1),B148&lt;=Resumen!$C$5),1,0)</f>
        <v>0</v>
      </c>
      <c r="P148" s="48" t="n">
        <f aca="false">IF(AND(B148&gt;Resumen!$C$5,B148&lt;=DATE(2027,7,31)),1,0)</f>
        <v>0</v>
      </c>
    </row>
    <row r="149" customFormat="false" ht="15" hidden="false" customHeight="false" outlineLevel="0" collapsed="false">
      <c r="A149" s="38" t="n">
        <v>137</v>
      </c>
      <c r="B149" s="27" t="n">
        <v>48576</v>
      </c>
      <c r="C149" s="39" t="n">
        <v>2076923076.92308</v>
      </c>
      <c r="D149" s="39" t="n">
        <v>26697115.3846154</v>
      </c>
      <c r="E149" s="39" t="n">
        <v>0</v>
      </c>
      <c r="F149" s="39" t="n">
        <v>26697115.3846154</v>
      </c>
      <c r="G149" s="39" t="n">
        <v>2076923076.92308</v>
      </c>
      <c r="H149" s="33" t="n">
        <f aca="false">J148</f>
        <v>2076923076.92308</v>
      </c>
      <c r="I149" s="33" t="n">
        <f aca="false">H149*N149</f>
        <v>26697115.3846154</v>
      </c>
      <c r="J149" s="33" t="n">
        <f aca="false">H149-E149</f>
        <v>2076923076.92308</v>
      </c>
      <c r="K149" s="33" t="n">
        <f aca="false">D149-I149</f>
        <v>0</v>
      </c>
      <c r="L149" s="33" t="n">
        <f aca="false">G149-J149</f>
        <v>0</v>
      </c>
      <c r="M149" s="33" t="n">
        <f aca="false">F149</f>
        <v>26697115.3846154</v>
      </c>
      <c r="N149" s="64" t="n">
        <v>0.0128541666666667</v>
      </c>
      <c r="O149" s="48" t="n">
        <f aca="false">IF(AND(B149&gt;=DATE(2026,1,1),B149&lt;=Resumen!$C$5),1,0)</f>
        <v>0</v>
      </c>
      <c r="P149" s="48" t="n">
        <f aca="false">IF(AND(B149&gt;Resumen!$C$5,B149&lt;=DATE(2027,7,31)),1,0)</f>
        <v>0</v>
      </c>
    </row>
    <row r="150" customFormat="false" ht="15" hidden="false" customHeight="false" outlineLevel="0" collapsed="false">
      <c r="A150" s="38" t="n">
        <v>138</v>
      </c>
      <c r="B150" s="27" t="n">
        <v>48607</v>
      </c>
      <c r="C150" s="39" t="n">
        <v>2076923076.92308</v>
      </c>
      <c r="D150" s="39" t="n">
        <v>26697115.3846154</v>
      </c>
      <c r="E150" s="39" t="n">
        <v>115384615.384615</v>
      </c>
      <c r="F150" s="39" t="n">
        <v>142081730.769231</v>
      </c>
      <c r="G150" s="39" t="n">
        <v>1961538461.53846</v>
      </c>
      <c r="H150" s="33" t="n">
        <f aca="false">J149</f>
        <v>2076923076.92308</v>
      </c>
      <c r="I150" s="33" t="n">
        <f aca="false">H150*N150</f>
        <v>26697115.3846154</v>
      </c>
      <c r="J150" s="33" t="n">
        <f aca="false">H150-E150</f>
        <v>1961538461.53846</v>
      </c>
      <c r="K150" s="33" t="n">
        <f aca="false">D150-I150</f>
        <v>0</v>
      </c>
      <c r="L150" s="33" t="n">
        <f aca="false">G150-J150</f>
        <v>0</v>
      </c>
      <c r="M150" s="33" t="n">
        <f aca="false">F150</f>
        <v>142081730.769231</v>
      </c>
      <c r="N150" s="64" t="n">
        <v>0.0128541666666667</v>
      </c>
      <c r="O150" s="48" t="n">
        <f aca="false">IF(AND(B150&gt;=DATE(2026,1,1),B150&lt;=Resumen!$C$5),1,0)</f>
        <v>0</v>
      </c>
      <c r="P150" s="48" t="n">
        <f aca="false">IF(AND(B150&gt;Resumen!$C$5,B150&lt;=DATE(2027,7,31)),1,0)</f>
        <v>0</v>
      </c>
    </row>
    <row r="151" customFormat="false" ht="15" hidden="false" customHeight="false" outlineLevel="0" collapsed="false">
      <c r="A151" s="38" t="n">
        <v>139</v>
      </c>
      <c r="B151" s="27" t="n">
        <v>48638</v>
      </c>
      <c r="C151" s="39" t="n">
        <v>1961538461.53846</v>
      </c>
      <c r="D151" s="39" t="n">
        <v>25213942.3076923</v>
      </c>
      <c r="E151" s="39" t="n">
        <v>0</v>
      </c>
      <c r="F151" s="39" t="n">
        <v>25213942.3076923</v>
      </c>
      <c r="G151" s="39" t="n">
        <v>1961538461.53846</v>
      </c>
      <c r="H151" s="33" t="n">
        <f aca="false">J150</f>
        <v>1961538461.53846</v>
      </c>
      <c r="I151" s="33" t="n">
        <f aca="false">H151*N151</f>
        <v>25213942.3076923</v>
      </c>
      <c r="J151" s="33" t="n">
        <f aca="false">H151-E151</f>
        <v>1961538461.53846</v>
      </c>
      <c r="K151" s="33" t="n">
        <f aca="false">D151-I151</f>
        <v>0</v>
      </c>
      <c r="L151" s="33" t="n">
        <f aca="false">G151-J151</f>
        <v>0</v>
      </c>
      <c r="M151" s="33" t="n">
        <f aca="false">F151</f>
        <v>25213942.3076923</v>
      </c>
      <c r="N151" s="64" t="n">
        <v>0.0128541666666667</v>
      </c>
      <c r="O151" s="48" t="n">
        <f aca="false">IF(AND(B151&gt;=DATE(2026,1,1),B151&lt;=Resumen!$C$5),1,0)</f>
        <v>0</v>
      </c>
      <c r="P151" s="48" t="n">
        <f aca="false">IF(AND(B151&gt;Resumen!$C$5,B151&lt;=DATE(2027,7,31)),1,0)</f>
        <v>0</v>
      </c>
    </row>
    <row r="152" customFormat="false" ht="15" hidden="false" customHeight="false" outlineLevel="0" collapsed="false">
      <c r="A152" s="38" t="n">
        <v>140</v>
      </c>
      <c r="B152" s="27" t="n">
        <v>48666</v>
      </c>
      <c r="C152" s="39" t="n">
        <v>1961538461.53846</v>
      </c>
      <c r="D152" s="39" t="n">
        <v>25213942.3076923</v>
      </c>
      <c r="E152" s="39" t="n">
        <v>0</v>
      </c>
      <c r="F152" s="39" t="n">
        <v>25213942.3076923</v>
      </c>
      <c r="G152" s="39" t="n">
        <v>1961538461.53846</v>
      </c>
      <c r="H152" s="33" t="n">
        <f aca="false">J151</f>
        <v>1961538461.53846</v>
      </c>
      <c r="I152" s="33" t="n">
        <f aca="false">H152*N152</f>
        <v>25213942.3076923</v>
      </c>
      <c r="J152" s="33" t="n">
        <f aca="false">H152-E152</f>
        <v>1961538461.53846</v>
      </c>
      <c r="K152" s="33" t="n">
        <f aca="false">D152-I152</f>
        <v>0</v>
      </c>
      <c r="L152" s="33" t="n">
        <f aca="false">G152-J152</f>
        <v>0</v>
      </c>
      <c r="M152" s="33" t="n">
        <f aca="false">F152</f>
        <v>25213942.3076923</v>
      </c>
      <c r="N152" s="64" t="n">
        <v>0.0128541666666667</v>
      </c>
      <c r="O152" s="48" t="n">
        <f aca="false">IF(AND(B152&gt;=DATE(2026,1,1),B152&lt;=Resumen!$C$5),1,0)</f>
        <v>0</v>
      </c>
      <c r="P152" s="48" t="n">
        <f aca="false">IF(AND(B152&gt;Resumen!$C$5,B152&lt;=DATE(2027,7,31)),1,0)</f>
        <v>0</v>
      </c>
    </row>
    <row r="153" customFormat="false" ht="15" hidden="false" customHeight="false" outlineLevel="0" collapsed="false">
      <c r="A153" s="38" t="n">
        <v>141</v>
      </c>
      <c r="B153" s="27" t="n">
        <v>48697</v>
      </c>
      <c r="C153" s="39" t="n">
        <v>1961538461.53846</v>
      </c>
      <c r="D153" s="39" t="n">
        <v>25213942.3076923</v>
      </c>
      <c r="E153" s="39" t="n">
        <v>0</v>
      </c>
      <c r="F153" s="39" t="n">
        <v>25213942.3076923</v>
      </c>
      <c r="G153" s="39" t="n">
        <v>1961538461.53846</v>
      </c>
      <c r="H153" s="33" t="n">
        <f aca="false">J152</f>
        <v>1961538461.53846</v>
      </c>
      <c r="I153" s="33" t="n">
        <f aca="false">H153*N153</f>
        <v>25213942.3076923</v>
      </c>
      <c r="J153" s="33" t="n">
        <f aca="false">H153-E153</f>
        <v>1961538461.53846</v>
      </c>
      <c r="K153" s="33" t="n">
        <f aca="false">D153-I153</f>
        <v>0</v>
      </c>
      <c r="L153" s="33" t="n">
        <f aca="false">G153-J153</f>
        <v>0</v>
      </c>
      <c r="M153" s="33" t="n">
        <f aca="false">F153</f>
        <v>25213942.3076923</v>
      </c>
      <c r="N153" s="64" t="n">
        <v>0.0128541666666667</v>
      </c>
      <c r="O153" s="48" t="n">
        <f aca="false">IF(AND(B153&gt;=DATE(2026,1,1),B153&lt;=Resumen!$C$5),1,0)</f>
        <v>0</v>
      </c>
      <c r="P153" s="48" t="n">
        <f aca="false">IF(AND(B153&gt;Resumen!$C$5,B153&lt;=DATE(2027,7,31)),1,0)</f>
        <v>0</v>
      </c>
    </row>
    <row r="154" customFormat="false" ht="15" hidden="false" customHeight="false" outlineLevel="0" collapsed="false">
      <c r="A154" s="38" t="n">
        <v>142</v>
      </c>
      <c r="B154" s="27" t="n">
        <v>48727</v>
      </c>
      <c r="C154" s="39" t="n">
        <v>1961538461.53846</v>
      </c>
      <c r="D154" s="39" t="n">
        <v>25213942.3076923</v>
      </c>
      <c r="E154" s="39" t="n">
        <v>0</v>
      </c>
      <c r="F154" s="39" t="n">
        <v>25213942.3076923</v>
      </c>
      <c r="G154" s="39" t="n">
        <v>1961538461.53846</v>
      </c>
      <c r="H154" s="33" t="n">
        <f aca="false">J153</f>
        <v>1961538461.53846</v>
      </c>
      <c r="I154" s="33" t="n">
        <f aca="false">H154*N154</f>
        <v>25213942.3076923</v>
      </c>
      <c r="J154" s="33" t="n">
        <f aca="false">H154-E154</f>
        <v>1961538461.53846</v>
      </c>
      <c r="K154" s="33" t="n">
        <f aca="false">D154-I154</f>
        <v>0</v>
      </c>
      <c r="L154" s="33" t="n">
        <f aca="false">G154-J154</f>
        <v>0</v>
      </c>
      <c r="M154" s="33" t="n">
        <f aca="false">F154</f>
        <v>25213942.3076923</v>
      </c>
      <c r="N154" s="64" t="n">
        <v>0.0128541666666667</v>
      </c>
      <c r="O154" s="48" t="n">
        <f aca="false">IF(AND(B154&gt;=DATE(2026,1,1),B154&lt;=Resumen!$C$5),1,0)</f>
        <v>0</v>
      </c>
      <c r="P154" s="48" t="n">
        <f aca="false">IF(AND(B154&gt;Resumen!$C$5,B154&lt;=DATE(2027,7,31)),1,0)</f>
        <v>0</v>
      </c>
    </row>
    <row r="155" customFormat="false" ht="15" hidden="false" customHeight="false" outlineLevel="0" collapsed="false">
      <c r="A155" s="38" t="n">
        <v>143</v>
      </c>
      <c r="B155" s="27" t="n">
        <v>48758</v>
      </c>
      <c r="C155" s="39" t="n">
        <v>1961538461.53846</v>
      </c>
      <c r="D155" s="39" t="n">
        <v>25213942.3076923</v>
      </c>
      <c r="E155" s="39" t="n">
        <v>0</v>
      </c>
      <c r="F155" s="39" t="n">
        <v>25213942.3076923</v>
      </c>
      <c r="G155" s="39" t="n">
        <v>1961538461.53846</v>
      </c>
      <c r="H155" s="33" t="n">
        <f aca="false">J154</f>
        <v>1961538461.53846</v>
      </c>
      <c r="I155" s="33" t="n">
        <f aca="false">H155*N155</f>
        <v>25213942.3076923</v>
      </c>
      <c r="J155" s="33" t="n">
        <f aca="false">H155-E155</f>
        <v>1961538461.53846</v>
      </c>
      <c r="K155" s="33" t="n">
        <f aca="false">D155-I155</f>
        <v>0</v>
      </c>
      <c r="L155" s="33" t="n">
        <f aca="false">G155-J155</f>
        <v>0</v>
      </c>
      <c r="M155" s="33" t="n">
        <f aca="false">F155</f>
        <v>25213942.3076923</v>
      </c>
      <c r="N155" s="64" t="n">
        <v>0.0128541666666667</v>
      </c>
      <c r="O155" s="48" t="n">
        <f aca="false">IF(AND(B155&gt;=DATE(2026,1,1),B155&lt;=Resumen!$C$5),1,0)</f>
        <v>0</v>
      </c>
      <c r="P155" s="48" t="n">
        <f aca="false">IF(AND(B155&gt;Resumen!$C$5,B155&lt;=DATE(2027,7,31)),1,0)</f>
        <v>0</v>
      </c>
    </row>
    <row r="156" customFormat="false" ht="15" hidden="false" customHeight="false" outlineLevel="0" collapsed="false">
      <c r="A156" s="38" t="n">
        <v>144</v>
      </c>
      <c r="B156" s="27" t="n">
        <v>48788</v>
      </c>
      <c r="C156" s="39" t="n">
        <v>1961538461.53846</v>
      </c>
      <c r="D156" s="39" t="n">
        <v>25213942.3076923</v>
      </c>
      <c r="E156" s="39" t="n">
        <v>115384615.384615</v>
      </c>
      <c r="F156" s="39" t="n">
        <v>140598557.692308</v>
      </c>
      <c r="G156" s="39" t="n">
        <v>1846153846.15385</v>
      </c>
      <c r="H156" s="33" t="n">
        <f aca="false">J155</f>
        <v>1961538461.53846</v>
      </c>
      <c r="I156" s="33" t="n">
        <f aca="false">H156*N156</f>
        <v>25213942.3076923</v>
      </c>
      <c r="J156" s="33" t="n">
        <f aca="false">H156-E156</f>
        <v>1846153846.15385</v>
      </c>
      <c r="K156" s="33" t="n">
        <f aca="false">D156-I156</f>
        <v>0</v>
      </c>
      <c r="L156" s="33" t="n">
        <f aca="false">G156-J156</f>
        <v>0</v>
      </c>
      <c r="M156" s="33" t="n">
        <f aca="false">F156</f>
        <v>140598557.692308</v>
      </c>
      <c r="N156" s="64" t="n">
        <v>0.0128541666666667</v>
      </c>
      <c r="O156" s="48" t="n">
        <f aca="false">IF(AND(B156&gt;=DATE(2026,1,1),B156&lt;=Resumen!$C$5),1,0)</f>
        <v>0</v>
      </c>
      <c r="P156" s="48" t="n">
        <f aca="false">IF(AND(B156&gt;Resumen!$C$5,B156&lt;=DATE(2027,7,31)),1,0)</f>
        <v>0</v>
      </c>
    </row>
    <row r="157" customFormat="false" ht="15" hidden="false" customHeight="false" outlineLevel="0" collapsed="false">
      <c r="A157" s="38" t="n">
        <v>145</v>
      </c>
      <c r="B157" s="27" t="n">
        <v>48819</v>
      </c>
      <c r="C157" s="39" t="n">
        <v>1846153846.15385</v>
      </c>
      <c r="D157" s="39" t="n">
        <v>23730769.2307692</v>
      </c>
      <c r="E157" s="39" t="n">
        <v>0</v>
      </c>
      <c r="F157" s="39" t="n">
        <v>23730769.2307692</v>
      </c>
      <c r="G157" s="39" t="n">
        <v>1846153846.15385</v>
      </c>
      <c r="H157" s="33" t="n">
        <f aca="false">J156</f>
        <v>1846153846.15385</v>
      </c>
      <c r="I157" s="33" t="n">
        <f aca="false">H157*N157</f>
        <v>23730769.2307692</v>
      </c>
      <c r="J157" s="33" t="n">
        <f aca="false">H157-E157</f>
        <v>1846153846.15385</v>
      </c>
      <c r="K157" s="33" t="n">
        <f aca="false">D157-I157</f>
        <v>0</v>
      </c>
      <c r="L157" s="33" t="n">
        <f aca="false">G157-J157</f>
        <v>0</v>
      </c>
      <c r="M157" s="33" t="n">
        <f aca="false">F157</f>
        <v>23730769.2307692</v>
      </c>
      <c r="N157" s="64" t="n">
        <v>0.0128541666666667</v>
      </c>
      <c r="O157" s="48" t="n">
        <f aca="false">IF(AND(B157&gt;=DATE(2026,1,1),B157&lt;=Resumen!$C$5),1,0)</f>
        <v>0</v>
      </c>
      <c r="P157" s="48" t="n">
        <f aca="false">IF(AND(B157&gt;Resumen!$C$5,B157&lt;=DATE(2027,7,31)),1,0)</f>
        <v>0</v>
      </c>
    </row>
    <row r="158" customFormat="false" ht="15" hidden="false" customHeight="false" outlineLevel="0" collapsed="false">
      <c r="A158" s="38" t="n">
        <v>146</v>
      </c>
      <c r="B158" s="27" t="n">
        <v>48850</v>
      </c>
      <c r="C158" s="39" t="n">
        <v>1846153846.15385</v>
      </c>
      <c r="D158" s="39" t="n">
        <v>23730769.2307692</v>
      </c>
      <c r="E158" s="39" t="n">
        <v>0</v>
      </c>
      <c r="F158" s="39" t="n">
        <v>23730769.2307692</v>
      </c>
      <c r="G158" s="39" t="n">
        <v>1846153846.15385</v>
      </c>
      <c r="H158" s="33" t="n">
        <f aca="false">J157</f>
        <v>1846153846.15385</v>
      </c>
      <c r="I158" s="33" t="n">
        <f aca="false">H158*N158</f>
        <v>23730769.2307692</v>
      </c>
      <c r="J158" s="33" t="n">
        <f aca="false">H158-E158</f>
        <v>1846153846.15385</v>
      </c>
      <c r="K158" s="33" t="n">
        <f aca="false">D158-I158</f>
        <v>0</v>
      </c>
      <c r="L158" s="33" t="n">
        <f aca="false">G158-J158</f>
        <v>0</v>
      </c>
      <c r="M158" s="33" t="n">
        <f aca="false">F158</f>
        <v>23730769.2307692</v>
      </c>
      <c r="N158" s="64" t="n">
        <v>0.0128541666666667</v>
      </c>
      <c r="O158" s="48" t="n">
        <f aca="false">IF(AND(B158&gt;=DATE(2026,1,1),B158&lt;=Resumen!$C$5),1,0)</f>
        <v>0</v>
      </c>
      <c r="P158" s="48" t="n">
        <f aca="false">IF(AND(B158&gt;Resumen!$C$5,B158&lt;=DATE(2027,7,31)),1,0)</f>
        <v>0</v>
      </c>
    </row>
    <row r="159" customFormat="false" ht="15" hidden="false" customHeight="false" outlineLevel="0" collapsed="false">
      <c r="A159" s="38" t="n">
        <v>147</v>
      </c>
      <c r="B159" s="27" t="n">
        <v>48880</v>
      </c>
      <c r="C159" s="39" t="n">
        <v>1846153846.15385</v>
      </c>
      <c r="D159" s="39" t="n">
        <v>23730769.2307692</v>
      </c>
      <c r="E159" s="39" t="n">
        <v>0</v>
      </c>
      <c r="F159" s="39" t="n">
        <v>23730769.2307692</v>
      </c>
      <c r="G159" s="39" t="n">
        <v>1846153846.15385</v>
      </c>
      <c r="H159" s="33" t="n">
        <f aca="false">J158</f>
        <v>1846153846.15385</v>
      </c>
      <c r="I159" s="33" t="n">
        <f aca="false">H159*N159</f>
        <v>23730769.2307692</v>
      </c>
      <c r="J159" s="33" t="n">
        <f aca="false">H159-E159</f>
        <v>1846153846.15385</v>
      </c>
      <c r="K159" s="33" t="n">
        <f aca="false">D159-I159</f>
        <v>0</v>
      </c>
      <c r="L159" s="33" t="n">
        <f aca="false">G159-J159</f>
        <v>0</v>
      </c>
      <c r="M159" s="33" t="n">
        <f aca="false">F159</f>
        <v>23730769.2307692</v>
      </c>
      <c r="N159" s="64" t="n">
        <v>0.0128541666666667</v>
      </c>
      <c r="O159" s="48" t="n">
        <f aca="false">IF(AND(B159&gt;=DATE(2026,1,1),B159&lt;=Resumen!$C$5),1,0)</f>
        <v>0</v>
      </c>
      <c r="P159" s="48" t="n">
        <f aca="false">IF(AND(B159&gt;Resumen!$C$5,B159&lt;=DATE(2027,7,31)),1,0)</f>
        <v>0</v>
      </c>
    </row>
    <row r="160" customFormat="false" ht="15" hidden="false" customHeight="false" outlineLevel="0" collapsed="false">
      <c r="A160" s="38" t="n">
        <v>148</v>
      </c>
      <c r="B160" s="27" t="n">
        <v>48911</v>
      </c>
      <c r="C160" s="39" t="n">
        <v>1846153846.15385</v>
      </c>
      <c r="D160" s="39" t="n">
        <v>23730769.2307692</v>
      </c>
      <c r="E160" s="39" t="n">
        <v>0</v>
      </c>
      <c r="F160" s="39" t="n">
        <v>23730769.2307692</v>
      </c>
      <c r="G160" s="39" t="n">
        <v>1846153846.15385</v>
      </c>
      <c r="H160" s="33" t="n">
        <f aca="false">J159</f>
        <v>1846153846.15385</v>
      </c>
      <c r="I160" s="33" t="n">
        <f aca="false">H160*N160</f>
        <v>23730769.2307692</v>
      </c>
      <c r="J160" s="33" t="n">
        <f aca="false">H160-E160</f>
        <v>1846153846.15385</v>
      </c>
      <c r="K160" s="33" t="n">
        <f aca="false">D160-I160</f>
        <v>0</v>
      </c>
      <c r="L160" s="33" t="n">
        <f aca="false">G160-J160</f>
        <v>0</v>
      </c>
      <c r="M160" s="33" t="n">
        <f aca="false">F160</f>
        <v>23730769.2307692</v>
      </c>
      <c r="N160" s="64" t="n">
        <v>0.0128541666666667</v>
      </c>
      <c r="O160" s="48" t="n">
        <f aca="false">IF(AND(B160&gt;=DATE(2026,1,1),B160&lt;=Resumen!$C$5),1,0)</f>
        <v>0</v>
      </c>
      <c r="P160" s="48" t="n">
        <f aca="false">IF(AND(B160&gt;Resumen!$C$5,B160&lt;=DATE(2027,7,31)),1,0)</f>
        <v>0</v>
      </c>
    </row>
    <row r="161" customFormat="false" ht="15" hidden="false" customHeight="false" outlineLevel="0" collapsed="false">
      <c r="A161" s="38" t="n">
        <v>149</v>
      </c>
      <c r="B161" s="27" t="n">
        <v>48941</v>
      </c>
      <c r="C161" s="39" t="n">
        <v>1846153846.15385</v>
      </c>
      <c r="D161" s="39" t="n">
        <v>23730769.2307692</v>
      </c>
      <c r="E161" s="39" t="n">
        <v>0</v>
      </c>
      <c r="F161" s="39" t="n">
        <v>23730769.2307692</v>
      </c>
      <c r="G161" s="39" t="n">
        <v>1846153846.15385</v>
      </c>
      <c r="H161" s="33" t="n">
        <f aca="false">J160</f>
        <v>1846153846.15385</v>
      </c>
      <c r="I161" s="33" t="n">
        <f aca="false">H161*N161</f>
        <v>23730769.2307692</v>
      </c>
      <c r="J161" s="33" t="n">
        <f aca="false">H161-E161</f>
        <v>1846153846.15385</v>
      </c>
      <c r="K161" s="33" t="n">
        <f aca="false">D161-I161</f>
        <v>0</v>
      </c>
      <c r="L161" s="33" t="n">
        <f aca="false">G161-J161</f>
        <v>0</v>
      </c>
      <c r="M161" s="33" t="n">
        <f aca="false">F161</f>
        <v>23730769.2307692</v>
      </c>
      <c r="N161" s="64" t="n">
        <v>0.0128541666666667</v>
      </c>
      <c r="O161" s="48" t="n">
        <f aca="false">IF(AND(B161&gt;=DATE(2026,1,1),B161&lt;=Resumen!$C$5),1,0)</f>
        <v>0</v>
      </c>
      <c r="P161" s="48" t="n">
        <f aca="false">IF(AND(B161&gt;Resumen!$C$5,B161&lt;=DATE(2027,7,31)),1,0)</f>
        <v>0</v>
      </c>
    </row>
    <row r="162" customFormat="false" ht="15" hidden="false" customHeight="false" outlineLevel="0" collapsed="false">
      <c r="A162" s="38" t="n">
        <v>150</v>
      </c>
      <c r="B162" s="27" t="n">
        <v>48972</v>
      </c>
      <c r="C162" s="39" t="n">
        <v>1846153846.15385</v>
      </c>
      <c r="D162" s="39" t="n">
        <v>23730769.2307692</v>
      </c>
      <c r="E162" s="39" t="n">
        <v>115384615.384615</v>
      </c>
      <c r="F162" s="39" t="n">
        <v>139115384.615385</v>
      </c>
      <c r="G162" s="39" t="n">
        <v>1730769230.76923</v>
      </c>
      <c r="H162" s="33" t="n">
        <f aca="false">J161</f>
        <v>1846153846.15385</v>
      </c>
      <c r="I162" s="33" t="n">
        <f aca="false">H162*N162</f>
        <v>23730769.2307692</v>
      </c>
      <c r="J162" s="33" t="n">
        <f aca="false">H162-E162</f>
        <v>1730769230.76923</v>
      </c>
      <c r="K162" s="33" t="n">
        <f aca="false">D162-I162</f>
        <v>0</v>
      </c>
      <c r="L162" s="33" t="n">
        <f aca="false">G162-J162</f>
        <v>0</v>
      </c>
      <c r="M162" s="33" t="n">
        <f aca="false">F162</f>
        <v>139115384.615385</v>
      </c>
      <c r="N162" s="64" t="n">
        <v>0.0128541666666667</v>
      </c>
      <c r="O162" s="48" t="n">
        <f aca="false">IF(AND(B162&gt;=DATE(2026,1,1),B162&lt;=Resumen!$C$5),1,0)</f>
        <v>0</v>
      </c>
      <c r="P162" s="48" t="n">
        <f aca="false">IF(AND(B162&gt;Resumen!$C$5,B162&lt;=DATE(2027,7,31)),1,0)</f>
        <v>0</v>
      </c>
    </row>
    <row r="163" customFormat="false" ht="15" hidden="false" customHeight="false" outlineLevel="0" collapsed="false">
      <c r="A163" s="38" t="n">
        <v>151</v>
      </c>
      <c r="B163" s="27" t="n">
        <v>49003</v>
      </c>
      <c r="C163" s="39" t="n">
        <v>1730769230.76923</v>
      </c>
      <c r="D163" s="39" t="n">
        <v>22247596.1538462</v>
      </c>
      <c r="E163" s="39" t="n">
        <v>0</v>
      </c>
      <c r="F163" s="39" t="n">
        <v>22247596.1538462</v>
      </c>
      <c r="G163" s="39" t="n">
        <v>1730769230.76923</v>
      </c>
      <c r="H163" s="33" t="n">
        <f aca="false">J162</f>
        <v>1730769230.76923</v>
      </c>
      <c r="I163" s="33" t="n">
        <f aca="false">H163*N163</f>
        <v>22247596.1538462</v>
      </c>
      <c r="J163" s="33" t="n">
        <f aca="false">H163-E163</f>
        <v>1730769230.76923</v>
      </c>
      <c r="K163" s="33" t="n">
        <f aca="false">D163-I163</f>
        <v>0</v>
      </c>
      <c r="L163" s="33" t="n">
        <f aca="false">G163-J163</f>
        <v>0</v>
      </c>
      <c r="M163" s="33" t="n">
        <f aca="false">F163</f>
        <v>22247596.1538462</v>
      </c>
      <c r="N163" s="64" t="n">
        <v>0.0128541666666667</v>
      </c>
      <c r="O163" s="48" t="n">
        <f aca="false">IF(AND(B163&gt;=DATE(2026,1,1),B163&lt;=Resumen!$C$5),1,0)</f>
        <v>0</v>
      </c>
      <c r="P163" s="48" t="n">
        <f aca="false">IF(AND(B163&gt;Resumen!$C$5,B163&lt;=DATE(2027,7,31)),1,0)</f>
        <v>0</v>
      </c>
    </row>
    <row r="164" customFormat="false" ht="15" hidden="false" customHeight="false" outlineLevel="0" collapsed="false">
      <c r="A164" s="38" t="n">
        <v>152</v>
      </c>
      <c r="B164" s="27" t="n">
        <v>49031</v>
      </c>
      <c r="C164" s="39" t="n">
        <v>1730769230.76923</v>
      </c>
      <c r="D164" s="39" t="n">
        <v>22247596.1538462</v>
      </c>
      <c r="E164" s="39" t="n">
        <v>0</v>
      </c>
      <c r="F164" s="39" t="n">
        <v>22247596.1538462</v>
      </c>
      <c r="G164" s="39" t="n">
        <v>1730769230.76923</v>
      </c>
      <c r="H164" s="33" t="n">
        <f aca="false">J163</f>
        <v>1730769230.76923</v>
      </c>
      <c r="I164" s="33" t="n">
        <f aca="false">H164*N164</f>
        <v>22247596.1538462</v>
      </c>
      <c r="J164" s="33" t="n">
        <f aca="false">H164-E164</f>
        <v>1730769230.76923</v>
      </c>
      <c r="K164" s="33" t="n">
        <f aca="false">D164-I164</f>
        <v>0</v>
      </c>
      <c r="L164" s="33" t="n">
        <f aca="false">G164-J164</f>
        <v>0</v>
      </c>
      <c r="M164" s="33" t="n">
        <f aca="false">F164</f>
        <v>22247596.1538462</v>
      </c>
      <c r="N164" s="64" t="n">
        <v>0.0128541666666667</v>
      </c>
      <c r="O164" s="48" t="n">
        <f aca="false">IF(AND(B164&gt;=DATE(2026,1,1),B164&lt;=Resumen!$C$5),1,0)</f>
        <v>0</v>
      </c>
      <c r="P164" s="48" t="n">
        <f aca="false">IF(AND(B164&gt;Resumen!$C$5,B164&lt;=DATE(2027,7,31)),1,0)</f>
        <v>0</v>
      </c>
    </row>
    <row r="165" customFormat="false" ht="15" hidden="false" customHeight="false" outlineLevel="0" collapsed="false">
      <c r="A165" s="38" t="n">
        <v>153</v>
      </c>
      <c r="B165" s="27" t="n">
        <v>49062</v>
      </c>
      <c r="C165" s="39" t="n">
        <v>1730769230.76923</v>
      </c>
      <c r="D165" s="39" t="n">
        <v>22247596.1538462</v>
      </c>
      <c r="E165" s="39" t="n">
        <v>0</v>
      </c>
      <c r="F165" s="39" t="n">
        <v>22247596.1538462</v>
      </c>
      <c r="G165" s="39" t="n">
        <v>1730769230.76923</v>
      </c>
      <c r="H165" s="33" t="n">
        <f aca="false">J164</f>
        <v>1730769230.76923</v>
      </c>
      <c r="I165" s="33" t="n">
        <f aca="false">H165*N165</f>
        <v>22247596.1538462</v>
      </c>
      <c r="J165" s="33" t="n">
        <f aca="false">H165-E165</f>
        <v>1730769230.76923</v>
      </c>
      <c r="K165" s="33" t="n">
        <f aca="false">D165-I165</f>
        <v>0</v>
      </c>
      <c r="L165" s="33" t="n">
        <f aca="false">G165-J165</f>
        <v>0</v>
      </c>
      <c r="M165" s="33" t="n">
        <f aca="false">F165</f>
        <v>22247596.1538462</v>
      </c>
      <c r="N165" s="64" t="n">
        <v>0.0128541666666667</v>
      </c>
      <c r="O165" s="48" t="n">
        <f aca="false">IF(AND(B165&gt;=DATE(2026,1,1),B165&lt;=Resumen!$C$5),1,0)</f>
        <v>0</v>
      </c>
      <c r="P165" s="48" t="n">
        <f aca="false">IF(AND(B165&gt;Resumen!$C$5,B165&lt;=DATE(2027,7,31)),1,0)</f>
        <v>0</v>
      </c>
    </row>
    <row r="166" customFormat="false" ht="15" hidden="false" customHeight="false" outlineLevel="0" collapsed="false">
      <c r="A166" s="38" t="n">
        <v>154</v>
      </c>
      <c r="B166" s="27" t="n">
        <v>49092</v>
      </c>
      <c r="C166" s="39" t="n">
        <v>1730769230.76923</v>
      </c>
      <c r="D166" s="39" t="n">
        <v>22247596.1538462</v>
      </c>
      <c r="E166" s="39" t="n">
        <v>0</v>
      </c>
      <c r="F166" s="39" t="n">
        <v>22247596.1538462</v>
      </c>
      <c r="G166" s="39" t="n">
        <v>1730769230.76923</v>
      </c>
      <c r="H166" s="33" t="n">
        <f aca="false">J165</f>
        <v>1730769230.76923</v>
      </c>
      <c r="I166" s="33" t="n">
        <f aca="false">H166*N166</f>
        <v>22247596.1538462</v>
      </c>
      <c r="J166" s="33" t="n">
        <f aca="false">H166-E166</f>
        <v>1730769230.76923</v>
      </c>
      <c r="K166" s="33" t="n">
        <f aca="false">D166-I166</f>
        <v>0</v>
      </c>
      <c r="L166" s="33" t="n">
        <f aca="false">G166-J166</f>
        <v>0</v>
      </c>
      <c r="M166" s="33" t="n">
        <f aca="false">F166</f>
        <v>22247596.1538462</v>
      </c>
      <c r="N166" s="64" t="n">
        <v>0.0128541666666667</v>
      </c>
      <c r="O166" s="48" t="n">
        <f aca="false">IF(AND(B166&gt;=DATE(2026,1,1),B166&lt;=Resumen!$C$5),1,0)</f>
        <v>0</v>
      </c>
      <c r="P166" s="48" t="n">
        <f aca="false">IF(AND(B166&gt;Resumen!$C$5,B166&lt;=DATE(2027,7,31)),1,0)</f>
        <v>0</v>
      </c>
    </row>
    <row r="167" customFormat="false" ht="15" hidden="false" customHeight="false" outlineLevel="0" collapsed="false">
      <c r="A167" s="38" t="n">
        <v>155</v>
      </c>
      <c r="B167" s="27" t="n">
        <v>49123</v>
      </c>
      <c r="C167" s="39" t="n">
        <v>1730769230.76923</v>
      </c>
      <c r="D167" s="39" t="n">
        <v>22247596.1538462</v>
      </c>
      <c r="E167" s="39" t="n">
        <v>0</v>
      </c>
      <c r="F167" s="39" t="n">
        <v>22247596.1538462</v>
      </c>
      <c r="G167" s="39" t="n">
        <v>1730769230.76923</v>
      </c>
      <c r="H167" s="33" t="n">
        <f aca="false">J166</f>
        <v>1730769230.76923</v>
      </c>
      <c r="I167" s="33" t="n">
        <f aca="false">H167*N167</f>
        <v>22247596.1538462</v>
      </c>
      <c r="J167" s="33" t="n">
        <f aca="false">H167-E167</f>
        <v>1730769230.76923</v>
      </c>
      <c r="K167" s="33" t="n">
        <f aca="false">D167-I167</f>
        <v>0</v>
      </c>
      <c r="L167" s="33" t="n">
        <f aca="false">G167-J167</f>
        <v>0</v>
      </c>
      <c r="M167" s="33" t="n">
        <f aca="false">F167</f>
        <v>22247596.1538462</v>
      </c>
      <c r="N167" s="64" t="n">
        <v>0.0128541666666667</v>
      </c>
      <c r="O167" s="48" t="n">
        <f aca="false">IF(AND(B167&gt;=DATE(2026,1,1),B167&lt;=Resumen!$C$5),1,0)</f>
        <v>0</v>
      </c>
      <c r="P167" s="48" t="n">
        <f aca="false">IF(AND(B167&gt;Resumen!$C$5,B167&lt;=DATE(2027,7,31)),1,0)</f>
        <v>0</v>
      </c>
    </row>
    <row r="168" customFormat="false" ht="15" hidden="false" customHeight="false" outlineLevel="0" collapsed="false">
      <c r="A168" s="38" t="n">
        <v>156</v>
      </c>
      <c r="B168" s="27" t="n">
        <v>49153</v>
      </c>
      <c r="C168" s="39" t="n">
        <v>1730769230.76923</v>
      </c>
      <c r="D168" s="39" t="n">
        <v>22247596.1538462</v>
      </c>
      <c r="E168" s="39" t="n">
        <v>115384615.384615</v>
      </c>
      <c r="F168" s="39" t="n">
        <v>137632211.538462</v>
      </c>
      <c r="G168" s="39" t="n">
        <v>1615384615.38462</v>
      </c>
      <c r="H168" s="33" t="n">
        <f aca="false">J167</f>
        <v>1730769230.76923</v>
      </c>
      <c r="I168" s="33" t="n">
        <f aca="false">H168*N168</f>
        <v>22247596.1538462</v>
      </c>
      <c r="J168" s="33" t="n">
        <f aca="false">H168-E168</f>
        <v>1615384615.38462</v>
      </c>
      <c r="K168" s="33" t="n">
        <f aca="false">D168-I168</f>
        <v>0</v>
      </c>
      <c r="L168" s="33" t="n">
        <f aca="false">G168-J168</f>
        <v>0</v>
      </c>
      <c r="M168" s="33" t="n">
        <f aca="false">F168</f>
        <v>137632211.538462</v>
      </c>
      <c r="N168" s="64" t="n">
        <v>0.0128541666666667</v>
      </c>
      <c r="O168" s="48" t="n">
        <f aca="false">IF(AND(B168&gt;=DATE(2026,1,1),B168&lt;=Resumen!$C$5),1,0)</f>
        <v>0</v>
      </c>
      <c r="P168" s="48" t="n">
        <f aca="false">IF(AND(B168&gt;Resumen!$C$5,B168&lt;=DATE(2027,7,31)),1,0)</f>
        <v>0</v>
      </c>
    </row>
    <row r="169" customFormat="false" ht="15" hidden="false" customHeight="false" outlineLevel="0" collapsed="false">
      <c r="A169" s="38" t="n">
        <v>157</v>
      </c>
      <c r="B169" s="27" t="n">
        <v>49184</v>
      </c>
      <c r="C169" s="39" t="n">
        <v>1615384615.38462</v>
      </c>
      <c r="D169" s="39" t="n">
        <v>20764423.0769231</v>
      </c>
      <c r="E169" s="39" t="n">
        <v>0</v>
      </c>
      <c r="F169" s="39" t="n">
        <v>20764423.0769231</v>
      </c>
      <c r="G169" s="39" t="n">
        <v>1615384615.38462</v>
      </c>
      <c r="H169" s="33" t="n">
        <f aca="false">J168</f>
        <v>1615384615.38462</v>
      </c>
      <c r="I169" s="33" t="n">
        <f aca="false">H169*N169</f>
        <v>20764423.0769231</v>
      </c>
      <c r="J169" s="33" t="n">
        <f aca="false">H169-E169</f>
        <v>1615384615.38462</v>
      </c>
      <c r="K169" s="33" t="n">
        <f aca="false">D169-I169</f>
        <v>0</v>
      </c>
      <c r="L169" s="33" t="n">
        <f aca="false">G169-J169</f>
        <v>0</v>
      </c>
      <c r="M169" s="33" t="n">
        <f aca="false">F169</f>
        <v>20764423.0769231</v>
      </c>
      <c r="N169" s="64" t="n">
        <v>0.0128541666666667</v>
      </c>
      <c r="O169" s="48" t="n">
        <f aca="false">IF(AND(B169&gt;=DATE(2026,1,1),B169&lt;=Resumen!$C$5),1,0)</f>
        <v>0</v>
      </c>
      <c r="P169" s="48" t="n">
        <f aca="false">IF(AND(B169&gt;Resumen!$C$5,B169&lt;=DATE(2027,7,31)),1,0)</f>
        <v>0</v>
      </c>
    </row>
    <row r="170" customFormat="false" ht="15" hidden="false" customHeight="false" outlineLevel="0" collapsed="false">
      <c r="A170" s="38" t="n">
        <v>158</v>
      </c>
      <c r="B170" s="27" t="n">
        <v>49215</v>
      </c>
      <c r="C170" s="39" t="n">
        <v>1615384615.38462</v>
      </c>
      <c r="D170" s="39" t="n">
        <v>20764423.0769231</v>
      </c>
      <c r="E170" s="39" t="n">
        <v>0</v>
      </c>
      <c r="F170" s="39" t="n">
        <v>20764423.0769231</v>
      </c>
      <c r="G170" s="39" t="n">
        <v>1615384615.38462</v>
      </c>
      <c r="H170" s="33" t="n">
        <f aca="false">J169</f>
        <v>1615384615.38462</v>
      </c>
      <c r="I170" s="33" t="n">
        <f aca="false">H170*N170</f>
        <v>20764423.0769231</v>
      </c>
      <c r="J170" s="33" t="n">
        <f aca="false">H170-E170</f>
        <v>1615384615.38462</v>
      </c>
      <c r="K170" s="33" t="n">
        <f aca="false">D170-I170</f>
        <v>0</v>
      </c>
      <c r="L170" s="33" t="n">
        <f aca="false">G170-J170</f>
        <v>0</v>
      </c>
      <c r="M170" s="33" t="n">
        <f aca="false">F170</f>
        <v>20764423.0769231</v>
      </c>
      <c r="N170" s="64" t="n">
        <v>0.0128541666666667</v>
      </c>
      <c r="O170" s="48" t="n">
        <f aca="false">IF(AND(B170&gt;=DATE(2026,1,1),B170&lt;=Resumen!$C$5),1,0)</f>
        <v>0</v>
      </c>
      <c r="P170" s="48" t="n">
        <f aca="false">IF(AND(B170&gt;Resumen!$C$5,B170&lt;=DATE(2027,7,31)),1,0)</f>
        <v>0</v>
      </c>
    </row>
    <row r="171" customFormat="false" ht="15" hidden="false" customHeight="false" outlineLevel="0" collapsed="false">
      <c r="A171" s="38" t="n">
        <v>159</v>
      </c>
      <c r="B171" s="27" t="n">
        <v>49245</v>
      </c>
      <c r="C171" s="39" t="n">
        <v>1615384615.38462</v>
      </c>
      <c r="D171" s="39" t="n">
        <v>20764423.0769231</v>
      </c>
      <c r="E171" s="39" t="n">
        <v>0</v>
      </c>
      <c r="F171" s="39" t="n">
        <v>20764423.0769231</v>
      </c>
      <c r="G171" s="39" t="n">
        <v>1615384615.38462</v>
      </c>
      <c r="H171" s="33" t="n">
        <f aca="false">J170</f>
        <v>1615384615.38462</v>
      </c>
      <c r="I171" s="33" t="n">
        <f aca="false">H171*N171</f>
        <v>20764423.0769231</v>
      </c>
      <c r="J171" s="33" t="n">
        <f aca="false">H171-E171</f>
        <v>1615384615.38462</v>
      </c>
      <c r="K171" s="33" t="n">
        <f aca="false">D171-I171</f>
        <v>0</v>
      </c>
      <c r="L171" s="33" t="n">
        <f aca="false">G171-J171</f>
        <v>0</v>
      </c>
      <c r="M171" s="33" t="n">
        <f aca="false">F171</f>
        <v>20764423.0769231</v>
      </c>
      <c r="N171" s="64" t="n">
        <v>0.0128541666666667</v>
      </c>
      <c r="O171" s="48" t="n">
        <f aca="false">IF(AND(B171&gt;=DATE(2026,1,1),B171&lt;=Resumen!$C$5),1,0)</f>
        <v>0</v>
      </c>
      <c r="P171" s="48" t="n">
        <f aca="false">IF(AND(B171&gt;Resumen!$C$5,B171&lt;=DATE(2027,7,31)),1,0)</f>
        <v>0</v>
      </c>
    </row>
    <row r="172" customFormat="false" ht="15" hidden="false" customHeight="false" outlineLevel="0" collapsed="false">
      <c r="A172" s="38" t="n">
        <v>160</v>
      </c>
      <c r="B172" s="27" t="n">
        <v>49276</v>
      </c>
      <c r="C172" s="39" t="n">
        <v>1615384615.38462</v>
      </c>
      <c r="D172" s="39" t="n">
        <v>20764423.0769231</v>
      </c>
      <c r="E172" s="39" t="n">
        <v>0</v>
      </c>
      <c r="F172" s="39" t="n">
        <v>20764423.0769231</v>
      </c>
      <c r="G172" s="39" t="n">
        <v>1615384615.38462</v>
      </c>
      <c r="H172" s="33" t="n">
        <f aca="false">J171</f>
        <v>1615384615.38462</v>
      </c>
      <c r="I172" s="33" t="n">
        <f aca="false">H172*N172</f>
        <v>20764423.0769231</v>
      </c>
      <c r="J172" s="33" t="n">
        <f aca="false">H172-E172</f>
        <v>1615384615.38462</v>
      </c>
      <c r="K172" s="33" t="n">
        <f aca="false">D172-I172</f>
        <v>0</v>
      </c>
      <c r="L172" s="33" t="n">
        <f aca="false">G172-J172</f>
        <v>0</v>
      </c>
      <c r="M172" s="33" t="n">
        <f aca="false">F172</f>
        <v>20764423.0769231</v>
      </c>
      <c r="N172" s="64" t="n">
        <v>0.0128541666666667</v>
      </c>
      <c r="O172" s="48" t="n">
        <f aca="false">IF(AND(B172&gt;=DATE(2026,1,1),B172&lt;=Resumen!$C$5),1,0)</f>
        <v>0</v>
      </c>
      <c r="P172" s="48" t="n">
        <f aca="false">IF(AND(B172&gt;Resumen!$C$5,B172&lt;=DATE(2027,7,31)),1,0)</f>
        <v>0</v>
      </c>
    </row>
    <row r="173" customFormat="false" ht="15" hidden="false" customHeight="false" outlineLevel="0" collapsed="false">
      <c r="A173" s="38" t="n">
        <v>161</v>
      </c>
      <c r="B173" s="27" t="n">
        <v>49306</v>
      </c>
      <c r="C173" s="39" t="n">
        <v>1615384615.38462</v>
      </c>
      <c r="D173" s="39" t="n">
        <v>20764423.0769231</v>
      </c>
      <c r="E173" s="39" t="n">
        <v>0</v>
      </c>
      <c r="F173" s="39" t="n">
        <v>20764423.0769231</v>
      </c>
      <c r="G173" s="39" t="n">
        <v>1615384615.38462</v>
      </c>
      <c r="H173" s="33" t="n">
        <f aca="false">J172</f>
        <v>1615384615.38462</v>
      </c>
      <c r="I173" s="33" t="n">
        <f aca="false">H173*N173</f>
        <v>20764423.0769231</v>
      </c>
      <c r="J173" s="33" t="n">
        <f aca="false">H173-E173</f>
        <v>1615384615.38462</v>
      </c>
      <c r="K173" s="33" t="n">
        <f aca="false">D173-I173</f>
        <v>0</v>
      </c>
      <c r="L173" s="33" t="n">
        <f aca="false">G173-J173</f>
        <v>0</v>
      </c>
      <c r="M173" s="33" t="n">
        <f aca="false">F173</f>
        <v>20764423.0769231</v>
      </c>
      <c r="N173" s="64" t="n">
        <v>0.0128541666666667</v>
      </c>
      <c r="O173" s="48" t="n">
        <f aca="false">IF(AND(B173&gt;=DATE(2026,1,1),B173&lt;=Resumen!$C$5),1,0)</f>
        <v>0</v>
      </c>
      <c r="P173" s="48" t="n">
        <f aca="false">IF(AND(B173&gt;Resumen!$C$5,B173&lt;=DATE(2027,7,31)),1,0)</f>
        <v>0</v>
      </c>
    </row>
    <row r="174" customFormat="false" ht="15" hidden="false" customHeight="false" outlineLevel="0" collapsed="false">
      <c r="A174" s="38" t="n">
        <v>162</v>
      </c>
      <c r="B174" s="27" t="n">
        <v>49337</v>
      </c>
      <c r="C174" s="39" t="n">
        <v>1615384615.38462</v>
      </c>
      <c r="D174" s="39" t="n">
        <v>20764423.0769231</v>
      </c>
      <c r="E174" s="39" t="n">
        <v>115384615.384615</v>
      </c>
      <c r="F174" s="39" t="n">
        <v>136149038.461539</v>
      </c>
      <c r="G174" s="39" t="n">
        <v>1500000000</v>
      </c>
      <c r="H174" s="33" t="n">
        <f aca="false">J173</f>
        <v>1615384615.38462</v>
      </c>
      <c r="I174" s="33" t="n">
        <f aca="false">H174*N174</f>
        <v>20764423.0769231</v>
      </c>
      <c r="J174" s="33" t="n">
        <f aca="false">H174-E174</f>
        <v>1500000000</v>
      </c>
      <c r="K174" s="33" t="n">
        <f aca="false">D174-I174</f>
        <v>0</v>
      </c>
      <c r="L174" s="33" t="n">
        <f aca="false">G174-J174</f>
        <v>0</v>
      </c>
      <c r="M174" s="33" t="n">
        <f aca="false">F174</f>
        <v>136149038.461539</v>
      </c>
      <c r="N174" s="64" t="n">
        <v>0.0128541666666667</v>
      </c>
      <c r="O174" s="48" t="n">
        <f aca="false">IF(AND(B174&gt;=DATE(2026,1,1),B174&lt;=Resumen!$C$5),1,0)</f>
        <v>0</v>
      </c>
      <c r="P174" s="48" t="n">
        <f aca="false">IF(AND(B174&gt;Resumen!$C$5,B174&lt;=DATE(2027,7,31)),1,0)</f>
        <v>0</v>
      </c>
    </row>
    <row r="175" customFormat="false" ht="15" hidden="false" customHeight="false" outlineLevel="0" collapsed="false">
      <c r="A175" s="38" t="n">
        <v>163</v>
      </c>
      <c r="B175" s="27" t="n">
        <v>49368</v>
      </c>
      <c r="C175" s="39" t="n">
        <v>1500000000</v>
      </c>
      <c r="D175" s="39" t="n">
        <v>19281250</v>
      </c>
      <c r="E175" s="39" t="n">
        <v>0</v>
      </c>
      <c r="F175" s="39" t="n">
        <v>19281250</v>
      </c>
      <c r="G175" s="39" t="n">
        <v>1500000000</v>
      </c>
      <c r="H175" s="33" t="n">
        <f aca="false">J174</f>
        <v>1500000000</v>
      </c>
      <c r="I175" s="33" t="n">
        <f aca="false">H175*N175</f>
        <v>19281250</v>
      </c>
      <c r="J175" s="33" t="n">
        <f aca="false">H175-E175</f>
        <v>1500000000</v>
      </c>
      <c r="K175" s="33" t="n">
        <f aca="false">D175-I175</f>
        <v>0</v>
      </c>
      <c r="L175" s="33" t="n">
        <f aca="false">G175-J175</f>
        <v>0</v>
      </c>
      <c r="M175" s="33" t="n">
        <f aca="false">F175</f>
        <v>19281250</v>
      </c>
      <c r="N175" s="64" t="n">
        <v>0.0128541666666667</v>
      </c>
      <c r="O175" s="48" t="n">
        <f aca="false">IF(AND(B175&gt;=DATE(2026,1,1),B175&lt;=Resumen!$C$5),1,0)</f>
        <v>0</v>
      </c>
      <c r="P175" s="48" t="n">
        <f aca="false">IF(AND(B175&gt;Resumen!$C$5,B175&lt;=DATE(2027,7,31)),1,0)</f>
        <v>0</v>
      </c>
    </row>
    <row r="176" customFormat="false" ht="15" hidden="false" customHeight="false" outlineLevel="0" collapsed="false">
      <c r="A176" s="38" t="n">
        <v>164</v>
      </c>
      <c r="B176" s="27" t="n">
        <v>49396</v>
      </c>
      <c r="C176" s="39" t="n">
        <v>1500000000</v>
      </c>
      <c r="D176" s="39" t="n">
        <v>19281250</v>
      </c>
      <c r="E176" s="39" t="n">
        <v>0</v>
      </c>
      <c r="F176" s="39" t="n">
        <v>19281250</v>
      </c>
      <c r="G176" s="39" t="n">
        <v>1500000000</v>
      </c>
      <c r="H176" s="33" t="n">
        <f aca="false">J175</f>
        <v>1500000000</v>
      </c>
      <c r="I176" s="33" t="n">
        <f aca="false">H176*N176</f>
        <v>19281250</v>
      </c>
      <c r="J176" s="33" t="n">
        <f aca="false">H176-E176</f>
        <v>1500000000</v>
      </c>
      <c r="K176" s="33" t="n">
        <f aca="false">D176-I176</f>
        <v>0</v>
      </c>
      <c r="L176" s="33" t="n">
        <f aca="false">G176-J176</f>
        <v>0</v>
      </c>
      <c r="M176" s="33" t="n">
        <f aca="false">F176</f>
        <v>19281250</v>
      </c>
      <c r="N176" s="64" t="n">
        <v>0.0128541666666667</v>
      </c>
      <c r="O176" s="48" t="n">
        <f aca="false">IF(AND(B176&gt;=DATE(2026,1,1),B176&lt;=Resumen!$C$5),1,0)</f>
        <v>0</v>
      </c>
      <c r="P176" s="48" t="n">
        <f aca="false">IF(AND(B176&gt;Resumen!$C$5,B176&lt;=DATE(2027,7,31)),1,0)</f>
        <v>0</v>
      </c>
    </row>
    <row r="177" customFormat="false" ht="15" hidden="false" customHeight="false" outlineLevel="0" collapsed="false">
      <c r="A177" s="38" t="n">
        <v>165</v>
      </c>
      <c r="B177" s="27" t="n">
        <v>49427</v>
      </c>
      <c r="C177" s="39" t="n">
        <v>1500000000</v>
      </c>
      <c r="D177" s="39" t="n">
        <v>19281250</v>
      </c>
      <c r="E177" s="39" t="n">
        <v>0</v>
      </c>
      <c r="F177" s="39" t="n">
        <v>19281250</v>
      </c>
      <c r="G177" s="39" t="n">
        <v>1500000000</v>
      </c>
      <c r="H177" s="33" t="n">
        <f aca="false">J176</f>
        <v>1500000000</v>
      </c>
      <c r="I177" s="33" t="n">
        <f aca="false">H177*N177</f>
        <v>19281250</v>
      </c>
      <c r="J177" s="33" t="n">
        <f aca="false">H177-E177</f>
        <v>1500000000</v>
      </c>
      <c r="K177" s="33" t="n">
        <f aca="false">D177-I177</f>
        <v>0</v>
      </c>
      <c r="L177" s="33" t="n">
        <f aca="false">G177-J177</f>
        <v>0</v>
      </c>
      <c r="M177" s="33" t="n">
        <f aca="false">F177</f>
        <v>19281250</v>
      </c>
      <c r="N177" s="64" t="n">
        <v>0.0128541666666667</v>
      </c>
      <c r="O177" s="48" t="n">
        <f aca="false">IF(AND(B177&gt;=DATE(2026,1,1),B177&lt;=Resumen!$C$5),1,0)</f>
        <v>0</v>
      </c>
      <c r="P177" s="48" t="n">
        <f aca="false">IF(AND(B177&gt;Resumen!$C$5,B177&lt;=DATE(2027,7,31)),1,0)</f>
        <v>0</v>
      </c>
    </row>
    <row r="178" customFormat="false" ht="15" hidden="false" customHeight="false" outlineLevel="0" collapsed="false">
      <c r="A178" s="38" t="n">
        <v>166</v>
      </c>
      <c r="B178" s="27" t="n">
        <v>49457</v>
      </c>
      <c r="C178" s="39" t="n">
        <v>1500000000</v>
      </c>
      <c r="D178" s="39" t="n">
        <v>19281250</v>
      </c>
      <c r="E178" s="39" t="n">
        <v>0</v>
      </c>
      <c r="F178" s="39" t="n">
        <v>19281250</v>
      </c>
      <c r="G178" s="39" t="n">
        <v>1500000000</v>
      </c>
      <c r="H178" s="33" t="n">
        <f aca="false">J177</f>
        <v>1500000000</v>
      </c>
      <c r="I178" s="33" t="n">
        <f aca="false">H178*N178</f>
        <v>19281250</v>
      </c>
      <c r="J178" s="33" t="n">
        <f aca="false">H178-E178</f>
        <v>1500000000</v>
      </c>
      <c r="K178" s="33" t="n">
        <f aca="false">D178-I178</f>
        <v>0</v>
      </c>
      <c r="L178" s="33" t="n">
        <f aca="false">G178-J178</f>
        <v>0</v>
      </c>
      <c r="M178" s="33" t="n">
        <f aca="false">F178</f>
        <v>19281250</v>
      </c>
      <c r="N178" s="64" t="n">
        <v>0.0128541666666667</v>
      </c>
      <c r="O178" s="48" t="n">
        <f aca="false">IF(AND(B178&gt;=DATE(2026,1,1),B178&lt;=Resumen!$C$5),1,0)</f>
        <v>0</v>
      </c>
      <c r="P178" s="48" t="n">
        <f aca="false">IF(AND(B178&gt;Resumen!$C$5,B178&lt;=DATE(2027,7,31)),1,0)</f>
        <v>0</v>
      </c>
    </row>
    <row r="179" customFormat="false" ht="15" hidden="false" customHeight="false" outlineLevel="0" collapsed="false">
      <c r="A179" s="38" t="n">
        <v>167</v>
      </c>
      <c r="B179" s="27" t="n">
        <v>49488</v>
      </c>
      <c r="C179" s="39" t="n">
        <v>1500000000</v>
      </c>
      <c r="D179" s="39" t="n">
        <v>19281250</v>
      </c>
      <c r="E179" s="39" t="n">
        <v>0</v>
      </c>
      <c r="F179" s="39" t="n">
        <v>19281250</v>
      </c>
      <c r="G179" s="39" t="n">
        <v>1500000000</v>
      </c>
      <c r="H179" s="33" t="n">
        <f aca="false">J178</f>
        <v>1500000000</v>
      </c>
      <c r="I179" s="33" t="n">
        <f aca="false">H179*N179</f>
        <v>19281250</v>
      </c>
      <c r="J179" s="33" t="n">
        <f aca="false">H179-E179</f>
        <v>1500000000</v>
      </c>
      <c r="K179" s="33" t="n">
        <f aca="false">D179-I179</f>
        <v>0</v>
      </c>
      <c r="L179" s="33" t="n">
        <f aca="false">G179-J179</f>
        <v>0</v>
      </c>
      <c r="M179" s="33" t="n">
        <f aca="false">F179</f>
        <v>19281250</v>
      </c>
      <c r="N179" s="64" t="n">
        <v>0.0128541666666667</v>
      </c>
      <c r="O179" s="48" t="n">
        <f aca="false">IF(AND(B179&gt;=DATE(2026,1,1),B179&lt;=Resumen!$C$5),1,0)</f>
        <v>0</v>
      </c>
      <c r="P179" s="48" t="n">
        <f aca="false">IF(AND(B179&gt;Resumen!$C$5,B179&lt;=DATE(2027,7,31)),1,0)</f>
        <v>0</v>
      </c>
    </row>
    <row r="180" customFormat="false" ht="15" hidden="false" customHeight="false" outlineLevel="0" collapsed="false">
      <c r="A180" s="38" t="n">
        <v>168</v>
      </c>
      <c r="B180" s="27" t="n">
        <v>49518</v>
      </c>
      <c r="C180" s="39" t="n">
        <v>1500000000</v>
      </c>
      <c r="D180" s="39" t="n">
        <v>19281250</v>
      </c>
      <c r="E180" s="39" t="n">
        <v>115384615.384615</v>
      </c>
      <c r="F180" s="39" t="n">
        <v>134665865.384615</v>
      </c>
      <c r="G180" s="39" t="n">
        <v>1384615384.61538</v>
      </c>
      <c r="H180" s="33" t="n">
        <f aca="false">J179</f>
        <v>1500000000</v>
      </c>
      <c r="I180" s="33" t="n">
        <f aca="false">H180*N180</f>
        <v>19281250</v>
      </c>
      <c r="J180" s="33" t="n">
        <f aca="false">H180-E180</f>
        <v>1384615384.61538</v>
      </c>
      <c r="K180" s="33" t="n">
        <f aca="false">D180-I180</f>
        <v>0</v>
      </c>
      <c r="L180" s="33" t="n">
        <f aca="false">G180-J180</f>
        <v>0</v>
      </c>
      <c r="M180" s="33" t="n">
        <f aca="false">F180</f>
        <v>134665865.384615</v>
      </c>
      <c r="N180" s="64" t="n">
        <v>0.0128541666666667</v>
      </c>
      <c r="O180" s="48" t="n">
        <f aca="false">IF(AND(B180&gt;=DATE(2026,1,1),B180&lt;=Resumen!$C$5),1,0)</f>
        <v>0</v>
      </c>
      <c r="P180" s="48" t="n">
        <f aca="false">IF(AND(B180&gt;Resumen!$C$5,B180&lt;=DATE(2027,7,31)),1,0)</f>
        <v>0</v>
      </c>
    </row>
    <row r="181" customFormat="false" ht="15" hidden="false" customHeight="false" outlineLevel="0" collapsed="false">
      <c r="A181" s="38" t="n">
        <v>169</v>
      </c>
      <c r="B181" s="27" t="n">
        <v>49549</v>
      </c>
      <c r="C181" s="39" t="n">
        <v>1384615384.61538</v>
      </c>
      <c r="D181" s="39" t="n">
        <v>17798076.9230769</v>
      </c>
      <c r="E181" s="39" t="n">
        <v>0</v>
      </c>
      <c r="F181" s="39" t="n">
        <v>17798076.9230769</v>
      </c>
      <c r="G181" s="39" t="n">
        <v>1384615384.61538</v>
      </c>
      <c r="H181" s="33" t="n">
        <f aca="false">J180</f>
        <v>1384615384.61538</v>
      </c>
      <c r="I181" s="33" t="n">
        <f aca="false">H181*N181</f>
        <v>17798076.9230769</v>
      </c>
      <c r="J181" s="33" t="n">
        <f aca="false">H181-E181</f>
        <v>1384615384.61538</v>
      </c>
      <c r="K181" s="33" t="n">
        <f aca="false">D181-I181</f>
        <v>0</v>
      </c>
      <c r="L181" s="33" t="n">
        <f aca="false">G181-J181</f>
        <v>0</v>
      </c>
      <c r="M181" s="33" t="n">
        <f aca="false">F181</f>
        <v>17798076.9230769</v>
      </c>
      <c r="N181" s="64" t="n">
        <v>0.0128541666666667</v>
      </c>
      <c r="O181" s="48" t="n">
        <f aca="false">IF(AND(B181&gt;=DATE(2026,1,1),B181&lt;=Resumen!$C$5),1,0)</f>
        <v>0</v>
      </c>
      <c r="P181" s="48" t="n">
        <f aca="false">IF(AND(B181&gt;Resumen!$C$5,B181&lt;=DATE(2027,7,31)),1,0)</f>
        <v>0</v>
      </c>
    </row>
    <row r="182" customFormat="false" ht="15" hidden="false" customHeight="false" outlineLevel="0" collapsed="false">
      <c r="A182" s="38" t="n">
        <v>170</v>
      </c>
      <c r="B182" s="27" t="n">
        <v>49580</v>
      </c>
      <c r="C182" s="39" t="n">
        <v>1384615384.61538</v>
      </c>
      <c r="D182" s="39" t="n">
        <v>17798076.9230769</v>
      </c>
      <c r="E182" s="39" t="n">
        <v>0</v>
      </c>
      <c r="F182" s="39" t="n">
        <v>17798076.9230769</v>
      </c>
      <c r="G182" s="39" t="n">
        <v>1384615384.61538</v>
      </c>
      <c r="H182" s="33" t="n">
        <f aca="false">J181</f>
        <v>1384615384.61538</v>
      </c>
      <c r="I182" s="33" t="n">
        <f aca="false">H182*N182</f>
        <v>17798076.9230769</v>
      </c>
      <c r="J182" s="33" t="n">
        <f aca="false">H182-E182</f>
        <v>1384615384.61538</v>
      </c>
      <c r="K182" s="33" t="n">
        <f aca="false">D182-I182</f>
        <v>0</v>
      </c>
      <c r="L182" s="33" t="n">
        <f aca="false">G182-J182</f>
        <v>0</v>
      </c>
      <c r="M182" s="33" t="n">
        <f aca="false">F182</f>
        <v>17798076.9230769</v>
      </c>
      <c r="N182" s="64" t="n">
        <v>0.0128541666666667</v>
      </c>
      <c r="O182" s="48" t="n">
        <f aca="false">IF(AND(B182&gt;=DATE(2026,1,1),B182&lt;=Resumen!$C$5),1,0)</f>
        <v>0</v>
      </c>
      <c r="P182" s="48" t="n">
        <f aca="false">IF(AND(B182&gt;Resumen!$C$5,B182&lt;=DATE(2027,7,31)),1,0)</f>
        <v>0</v>
      </c>
    </row>
    <row r="183" customFormat="false" ht="15" hidden="false" customHeight="false" outlineLevel="0" collapsed="false">
      <c r="A183" s="38" t="n">
        <v>171</v>
      </c>
      <c r="B183" s="27" t="n">
        <v>49610</v>
      </c>
      <c r="C183" s="39" t="n">
        <v>1384615384.61538</v>
      </c>
      <c r="D183" s="39" t="n">
        <v>17798076.9230769</v>
      </c>
      <c r="E183" s="39" t="n">
        <v>0</v>
      </c>
      <c r="F183" s="39" t="n">
        <v>17798076.9230769</v>
      </c>
      <c r="G183" s="39" t="n">
        <v>1384615384.61538</v>
      </c>
      <c r="H183" s="33" t="n">
        <f aca="false">J182</f>
        <v>1384615384.61538</v>
      </c>
      <c r="I183" s="33" t="n">
        <f aca="false">H183*N183</f>
        <v>17798076.9230769</v>
      </c>
      <c r="J183" s="33" t="n">
        <f aca="false">H183-E183</f>
        <v>1384615384.61538</v>
      </c>
      <c r="K183" s="33" t="n">
        <f aca="false">D183-I183</f>
        <v>0</v>
      </c>
      <c r="L183" s="33" t="n">
        <f aca="false">G183-J183</f>
        <v>0</v>
      </c>
      <c r="M183" s="33" t="n">
        <f aca="false">F183</f>
        <v>17798076.9230769</v>
      </c>
      <c r="N183" s="64" t="n">
        <v>0.0128541666666667</v>
      </c>
      <c r="O183" s="48" t="n">
        <f aca="false">IF(AND(B183&gt;=DATE(2026,1,1),B183&lt;=Resumen!$C$5),1,0)</f>
        <v>0</v>
      </c>
      <c r="P183" s="48" t="n">
        <f aca="false">IF(AND(B183&gt;Resumen!$C$5,B183&lt;=DATE(2027,7,31)),1,0)</f>
        <v>0</v>
      </c>
    </row>
    <row r="184" customFormat="false" ht="15" hidden="false" customHeight="false" outlineLevel="0" collapsed="false">
      <c r="A184" s="38" t="n">
        <v>172</v>
      </c>
      <c r="B184" s="27" t="n">
        <v>49641</v>
      </c>
      <c r="C184" s="39" t="n">
        <v>1384615384.61538</v>
      </c>
      <c r="D184" s="39" t="n">
        <v>17798076.9230769</v>
      </c>
      <c r="E184" s="39" t="n">
        <v>0</v>
      </c>
      <c r="F184" s="39" t="n">
        <v>17798076.9230769</v>
      </c>
      <c r="G184" s="39" t="n">
        <v>1384615384.61538</v>
      </c>
      <c r="H184" s="33" t="n">
        <f aca="false">J183</f>
        <v>1384615384.61538</v>
      </c>
      <c r="I184" s="33" t="n">
        <f aca="false">H184*N184</f>
        <v>17798076.9230769</v>
      </c>
      <c r="J184" s="33" t="n">
        <f aca="false">H184-E184</f>
        <v>1384615384.61538</v>
      </c>
      <c r="K184" s="33" t="n">
        <f aca="false">D184-I184</f>
        <v>0</v>
      </c>
      <c r="L184" s="33" t="n">
        <f aca="false">G184-J184</f>
        <v>0</v>
      </c>
      <c r="M184" s="33" t="n">
        <f aca="false">F184</f>
        <v>17798076.9230769</v>
      </c>
      <c r="N184" s="64" t="n">
        <v>0.0128541666666667</v>
      </c>
      <c r="O184" s="48" t="n">
        <f aca="false">IF(AND(B184&gt;=DATE(2026,1,1),B184&lt;=Resumen!$C$5),1,0)</f>
        <v>0</v>
      </c>
      <c r="P184" s="48" t="n">
        <f aca="false">IF(AND(B184&gt;Resumen!$C$5,B184&lt;=DATE(2027,7,31)),1,0)</f>
        <v>0</v>
      </c>
    </row>
    <row r="185" customFormat="false" ht="15" hidden="false" customHeight="false" outlineLevel="0" collapsed="false">
      <c r="A185" s="38" t="n">
        <v>173</v>
      </c>
      <c r="B185" s="27" t="n">
        <v>49671</v>
      </c>
      <c r="C185" s="39" t="n">
        <v>1384615384.61538</v>
      </c>
      <c r="D185" s="39" t="n">
        <v>17798076.9230769</v>
      </c>
      <c r="E185" s="39" t="n">
        <v>0</v>
      </c>
      <c r="F185" s="39" t="n">
        <v>17798076.9230769</v>
      </c>
      <c r="G185" s="39" t="n">
        <v>1384615384.61538</v>
      </c>
      <c r="H185" s="33" t="n">
        <f aca="false">J184</f>
        <v>1384615384.61538</v>
      </c>
      <c r="I185" s="33" t="n">
        <f aca="false">H185*N185</f>
        <v>17798076.9230769</v>
      </c>
      <c r="J185" s="33" t="n">
        <f aca="false">H185-E185</f>
        <v>1384615384.61538</v>
      </c>
      <c r="K185" s="33" t="n">
        <f aca="false">D185-I185</f>
        <v>0</v>
      </c>
      <c r="L185" s="33" t="n">
        <f aca="false">G185-J185</f>
        <v>0</v>
      </c>
      <c r="M185" s="33" t="n">
        <f aca="false">F185</f>
        <v>17798076.9230769</v>
      </c>
      <c r="N185" s="64" t="n">
        <v>0.0128541666666667</v>
      </c>
      <c r="O185" s="48" t="n">
        <f aca="false">IF(AND(B185&gt;=DATE(2026,1,1),B185&lt;=Resumen!$C$5),1,0)</f>
        <v>0</v>
      </c>
      <c r="P185" s="48" t="n">
        <f aca="false">IF(AND(B185&gt;Resumen!$C$5,B185&lt;=DATE(2027,7,31)),1,0)</f>
        <v>0</v>
      </c>
    </row>
    <row r="186" customFormat="false" ht="15" hidden="false" customHeight="false" outlineLevel="0" collapsed="false">
      <c r="A186" s="38" t="n">
        <v>174</v>
      </c>
      <c r="B186" s="27" t="n">
        <v>49702</v>
      </c>
      <c r="C186" s="39" t="n">
        <v>1384615384.61538</v>
      </c>
      <c r="D186" s="39" t="n">
        <v>17798076.9230769</v>
      </c>
      <c r="E186" s="39" t="n">
        <v>115384615.384615</v>
      </c>
      <c r="F186" s="39" t="n">
        <v>133182692.307692</v>
      </c>
      <c r="G186" s="39" t="n">
        <v>1269230769.23077</v>
      </c>
      <c r="H186" s="33" t="n">
        <f aca="false">J185</f>
        <v>1384615384.61538</v>
      </c>
      <c r="I186" s="33" t="n">
        <f aca="false">H186*N186</f>
        <v>17798076.9230769</v>
      </c>
      <c r="J186" s="33" t="n">
        <f aca="false">H186-E186</f>
        <v>1269230769.23077</v>
      </c>
      <c r="K186" s="33" t="n">
        <f aca="false">D186-I186</f>
        <v>0</v>
      </c>
      <c r="L186" s="33" t="n">
        <f aca="false">G186-J186</f>
        <v>0</v>
      </c>
      <c r="M186" s="33" t="n">
        <f aca="false">F186</f>
        <v>133182692.307692</v>
      </c>
      <c r="N186" s="64" t="n">
        <v>0.0128541666666667</v>
      </c>
      <c r="O186" s="48" t="n">
        <f aca="false">IF(AND(B186&gt;=DATE(2026,1,1),B186&lt;=Resumen!$C$5),1,0)</f>
        <v>0</v>
      </c>
      <c r="P186" s="48" t="n">
        <f aca="false">IF(AND(B186&gt;Resumen!$C$5,B186&lt;=DATE(2027,7,31)),1,0)</f>
        <v>0</v>
      </c>
    </row>
    <row r="187" customFormat="false" ht="15" hidden="false" customHeight="false" outlineLevel="0" collapsed="false">
      <c r="A187" s="38" t="n">
        <v>175</v>
      </c>
      <c r="B187" s="27" t="n">
        <v>49733</v>
      </c>
      <c r="C187" s="39" t="n">
        <v>1269230769.23077</v>
      </c>
      <c r="D187" s="39" t="n">
        <v>16314903.8461538</v>
      </c>
      <c r="E187" s="39" t="n">
        <v>0</v>
      </c>
      <c r="F187" s="39" t="n">
        <v>16314903.8461538</v>
      </c>
      <c r="G187" s="39" t="n">
        <v>1269230769.23077</v>
      </c>
      <c r="H187" s="33" t="n">
        <f aca="false">J186</f>
        <v>1269230769.23077</v>
      </c>
      <c r="I187" s="33" t="n">
        <f aca="false">H187*N187</f>
        <v>16314903.8461538</v>
      </c>
      <c r="J187" s="33" t="n">
        <f aca="false">H187-E187</f>
        <v>1269230769.23077</v>
      </c>
      <c r="K187" s="33" t="n">
        <f aca="false">D187-I187</f>
        <v>0</v>
      </c>
      <c r="L187" s="33" t="n">
        <f aca="false">G187-J187</f>
        <v>0</v>
      </c>
      <c r="M187" s="33" t="n">
        <f aca="false">F187</f>
        <v>16314903.8461538</v>
      </c>
      <c r="N187" s="64" t="n">
        <v>0.0128541666666667</v>
      </c>
      <c r="O187" s="48" t="n">
        <f aca="false">IF(AND(B187&gt;=DATE(2026,1,1),B187&lt;=Resumen!$C$5),1,0)</f>
        <v>0</v>
      </c>
      <c r="P187" s="48" t="n">
        <f aca="false">IF(AND(B187&gt;Resumen!$C$5,B187&lt;=DATE(2027,7,31)),1,0)</f>
        <v>0</v>
      </c>
    </row>
    <row r="188" customFormat="false" ht="15" hidden="false" customHeight="false" outlineLevel="0" collapsed="false">
      <c r="A188" s="38" t="n">
        <v>176</v>
      </c>
      <c r="B188" s="27" t="n">
        <v>49762</v>
      </c>
      <c r="C188" s="39" t="n">
        <v>1269230769.23077</v>
      </c>
      <c r="D188" s="39" t="n">
        <v>16314903.8461538</v>
      </c>
      <c r="E188" s="39" t="n">
        <v>0</v>
      </c>
      <c r="F188" s="39" t="n">
        <v>16314903.8461538</v>
      </c>
      <c r="G188" s="39" t="n">
        <v>1269230769.23077</v>
      </c>
      <c r="H188" s="33" t="n">
        <f aca="false">J187</f>
        <v>1269230769.23077</v>
      </c>
      <c r="I188" s="33" t="n">
        <f aca="false">H188*N188</f>
        <v>16314903.8461538</v>
      </c>
      <c r="J188" s="33" t="n">
        <f aca="false">H188-E188</f>
        <v>1269230769.23077</v>
      </c>
      <c r="K188" s="33" t="n">
        <f aca="false">D188-I188</f>
        <v>0</v>
      </c>
      <c r="L188" s="33" t="n">
        <f aca="false">G188-J188</f>
        <v>0</v>
      </c>
      <c r="M188" s="33" t="n">
        <f aca="false">F188</f>
        <v>16314903.8461538</v>
      </c>
      <c r="N188" s="64" t="n">
        <v>0.0128541666666667</v>
      </c>
      <c r="O188" s="48" t="n">
        <f aca="false">IF(AND(B188&gt;=DATE(2026,1,1),B188&lt;=Resumen!$C$5),1,0)</f>
        <v>0</v>
      </c>
      <c r="P188" s="48" t="n">
        <f aca="false">IF(AND(B188&gt;Resumen!$C$5,B188&lt;=DATE(2027,7,31)),1,0)</f>
        <v>0</v>
      </c>
    </row>
    <row r="189" customFormat="false" ht="15" hidden="false" customHeight="false" outlineLevel="0" collapsed="false">
      <c r="A189" s="38" t="n">
        <v>177</v>
      </c>
      <c r="B189" s="27" t="n">
        <v>49793</v>
      </c>
      <c r="C189" s="39" t="n">
        <v>1269230769.23077</v>
      </c>
      <c r="D189" s="39" t="n">
        <v>16314903.8461538</v>
      </c>
      <c r="E189" s="39" t="n">
        <v>0</v>
      </c>
      <c r="F189" s="39" t="n">
        <v>16314903.8461538</v>
      </c>
      <c r="G189" s="39" t="n">
        <v>1269230769.23077</v>
      </c>
      <c r="H189" s="33" t="n">
        <f aca="false">J188</f>
        <v>1269230769.23077</v>
      </c>
      <c r="I189" s="33" t="n">
        <f aca="false">H189*N189</f>
        <v>16314903.8461538</v>
      </c>
      <c r="J189" s="33" t="n">
        <f aca="false">H189-E189</f>
        <v>1269230769.23077</v>
      </c>
      <c r="K189" s="33" t="n">
        <f aca="false">D189-I189</f>
        <v>0</v>
      </c>
      <c r="L189" s="33" t="n">
        <f aca="false">G189-J189</f>
        <v>0</v>
      </c>
      <c r="M189" s="33" t="n">
        <f aca="false">F189</f>
        <v>16314903.8461538</v>
      </c>
      <c r="N189" s="64" t="n">
        <v>0.0128541666666667</v>
      </c>
      <c r="O189" s="48" t="n">
        <f aca="false">IF(AND(B189&gt;=DATE(2026,1,1),B189&lt;=Resumen!$C$5),1,0)</f>
        <v>0</v>
      </c>
      <c r="P189" s="48" t="n">
        <f aca="false">IF(AND(B189&gt;Resumen!$C$5,B189&lt;=DATE(2027,7,31)),1,0)</f>
        <v>0</v>
      </c>
    </row>
    <row r="190" customFormat="false" ht="15" hidden="false" customHeight="false" outlineLevel="0" collapsed="false">
      <c r="A190" s="38" t="n">
        <v>178</v>
      </c>
      <c r="B190" s="27" t="n">
        <v>49823</v>
      </c>
      <c r="C190" s="39" t="n">
        <v>1269230769.23077</v>
      </c>
      <c r="D190" s="39" t="n">
        <v>16314903.8461538</v>
      </c>
      <c r="E190" s="39" t="n">
        <v>0</v>
      </c>
      <c r="F190" s="39" t="n">
        <v>16314903.8461538</v>
      </c>
      <c r="G190" s="39" t="n">
        <v>1269230769.23077</v>
      </c>
      <c r="H190" s="33" t="n">
        <f aca="false">J189</f>
        <v>1269230769.23077</v>
      </c>
      <c r="I190" s="33" t="n">
        <f aca="false">H190*N190</f>
        <v>16314903.8461538</v>
      </c>
      <c r="J190" s="33" t="n">
        <f aca="false">H190-E190</f>
        <v>1269230769.23077</v>
      </c>
      <c r="K190" s="33" t="n">
        <f aca="false">D190-I190</f>
        <v>0</v>
      </c>
      <c r="L190" s="33" t="n">
        <f aca="false">G190-J190</f>
        <v>0</v>
      </c>
      <c r="M190" s="33" t="n">
        <f aca="false">F190</f>
        <v>16314903.8461538</v>
      </c>
      <c r="N190" s="64" t="n">
        <v>0.0128541666666667</v>
      </c>
      <c r="O190" s="48" t="n">
        <f aca="false">IF(AND(B190&gt;=DATE(2026,1,1),B190&lt;=Resumen!$C$5),1,0)</f>
        <v>0</v>
      </c>
      <c r="P190" s="48" t="n">
        <f aca="false">IF(AND(B190&gt;Resumen!$C$5,B190&lt;=DATE(2027,7,31)),1,0)</f>
        <v>0</v>
      </c>
    </row>
    <row r="191" customFormat="false" ht="15" hidden="false" customHeight="false" outlineLevel="0" collapsed="false">
      <c r="A191" s="38" t="n">
        <v>179</v>
      </c>
      <c r="B191" s="27" t="n">
        <v>49854</v>
      </c>
      <c r="C191" s="39" t="n">
        <v>1269230769.23077</v>
      </c>
      <c r="D191" s="39" t="n">
        <v>16314903.8461538</v>
      </c>
      <c r="E191" s="39" t="n">
        <v>0</v>
      </c>
      <c r="F191" s="39" t="n">
        <v>16314903.8461538</v>
      </c>
      <c r="G191" s="39" t="n">
        <v>1269230769.23077</v>
      </c>
      <c r="H191" s="33" t="n">
        <f aca="false">J190</f>
        <v>1269230769.23077</v>
      </c>
      <c r="I191" s="33" t="n">
        <f aca="false">H191*N191</f>
        <v>16314903.8461538</v>
      </c>
      <c r="J191" s="33" t="n">
        <f aca="false">H191-E191</f>
        <v>1269230769.23077</v>
      </c>
      <c r="K191" s="33" t="n">
        <f aca="false">D191-I191</f>
        <v>0</v>
      </c>
      <c r="L191" s="33" t="n">
        <f aca="false">G191-J191</f>
        <v>0</v>
      </c>
      <c r="M191" s="33" t="n">
        <f aca="false">F191</f>
        <v>16314903.8461538</v>
      </c>
      <c r="N191" s="64" t="n">
        <v>0.0128541666666667</v>
      </c>
      <c r="O191" s="48" t="n">
        <f aca="false">IF(AND(B191&gt;=DATE(2026,1,1),B191&lt;=Resumen!$C$5),1,0)</f>
        <v>0</v>
      </c>
      <c r="P191" s="48" t="n">
        <f aca="false">IF(AND(B191&gt;Resumen!$C$5,B191&lt;=DATE(2027,7,31)),1,0)</f>
        <v>0</v>
      </c>
    </row>
    <row r="192" customFormat="false" ht="15" hidden="false" customHeight="false" outlineLevel="0" collapsed="false">
      <c r="A192" s="38" t="n">
        <v>180</v>
      </c>
      <c r="B192" s="27" t="n">
        <v>49884</v>
      </c>
      <c r="C192" s="39" t="n">
        <v>1269230769.23077</v>
      </c>
      <c r="D192" s="39" t="n">
        <v>16314903.8461538</v>
      </c>
      <c r="E192" s="39" t="n">
        <v>115384615.384615</v>
      </c>
      <c r="F192" s="39" t="n">
        <v>131699519.230769</v>
      </c>
      <c r="G192" s="39" t="n">
        <v>1153846153.84615</v>
      </c>
      <c r="H192" s="33" t="n">
        <f aca="false">J191</f>
        <v>1269230769.23077</v>
      </c>
      <c r="I192" s="33" t="n">
        <f aca="false">H192*N192</f>
        <v>16314903.8461538</v>
      </c>
      <c r="J192" s="33" t="n">
        <f aca="false">H192-E192</f>
        <v>1153846153.84615</v>
      </c>
      <c r="K192" s="33" t="n">
        <f aca="false">D192-I192</f>
        <v>0</v>
      </c>
      <c r="L192" s="33" t="n">
        <f aca="false">G192-J192</f>
        <v>0</v>
      </c>
      <c r="M192" s="33" t="n">
        <f aca="false">F192</f>
        <v>131699519.230769</v>
      </c>
      <c r="N192" s="64" t="n">
        <v>0.0128541666666667</v>
      </c>
      <c r="O192" s="48" t="n">
        <f aca="false">IF(AND(B192&gt;=DATE(2026,1,1),B192&lt;=Resumen!$C$5),1,0)</f>
        <v>0</v>
      </c>
      <c r="P192" s="48" t="n">
        <f aca="false">IF(AND(B192&gt;Resumen!$C$5,B192&lt;=DATE(2027,7,31)),1,0)</f>
        <v>0</v>
      </c>
    </row>
    <row r="193" customFormat="false" ht="15" hidden="false" customHeight="false" outlineLevel="0" collapsed="false">
      <c r="A193" s="38" t="n">
        <v>181</v>
      </c>
      <c r="B193" s="27" t="n">
        <v>49915</v>
      </c>
      <c r="C193" s="39" t="n">
        <v>1153846153.84615</v>
      </c>
      <c r="D193" s="39" t="n">
        <v>14831730.7692308</v>
      </c>
      <c r="E193" s="39" t="n">
        <v>0</v>
      </c>
      <c r="F193" s="39" t="n">
        <v>14831730.7692308</v>
      </c>
      <c r="G193" s="39" t="n">
        <v>1153846153.84615</v>
      </c>
      <c r="H193" s="33" t="n">
        <f aca="false">J192</f>
        <v>1153846153.84615</v>
      </c>
      <c r="I193" s="33" t="n">
        <f aca="false">H193*N193</f>
        <v>14831730.7692308</v>
      </c>
      <c r="J193" s="33" t="n">
        <f aca="false">H193-E193</f>
        <v>1153846153.84615</v>
      </c>
      <c r="K193" s="33" t="n">
        <f aca="false">D193-I193</f>
        <v>0</v>
      </c>
      <c r="L193" s="33" t="n">
        <f aca="false">G193-J193</f>
        <v>0</v>
      </c>
      <c r="M193" s="33" t="n">
        <f aca="false">F193</f>
        <v>14831730.7692308</v>
      </c>
      <c r="N193" s="64" t="n">
        <v>0.0128541666666667</v>
      </c>
      <c r="O193" s="48" t="n">
        <f aca="false">IF(AND(B193&gt;=DATE(2026,1,1),B193&lt;=Resumen!$C$5),1,0)</f>
        <v>0</v>
      </c>
      <c r="P193" s="48" t="n">
        <f aca="false">IF(AND(B193&gt;Resumen!$C$5,B193&lt;=DATE(2027,7,31)),1,0)</f>
        <v>0</v>
      </c>
    </row>
    <row r="194" customFormat="false" ht="15" hidden="false" customHeight="false" outlineLevel="0" collapsed="false">
      <c r="A194" s="38" t="n">
        <v>182</v>
      </c>
      <c r="B194" s="27" t="n">
        <v>49946</v>
      </c>
      <c r="C194" s="39" t="n">
        <v>1153846153.84615</v>
      </c>
      <c r="D194" s="39" t="n">
        <v>14831730.7692308</v>
      </c>
      <c r="E194" s="39" t="n">
        <v>0</v>
      </c>
      <c r="F194" s="39" t="n">
        <v>14831730.7692308</v>
      </c>
      <c r="G194" s="39" t="n">
        <v>1153846153.84615</v>
      </c>
      <c r="H194" s="33" t="n">
        <f aca="false">J193</f>
        <v>1153846153.84615</v>
      </c>
      <c r="I194" s="33" t="n">
        <f aca="false">H194*N194</f>
        <v>14831730.7692308</v>
      </c>
      <c r="J194" s="33" t="n">
        <f aca="false">H194-E194</f>
        <v>1153846153.84615</v>
      </c>
      <c r="K194" s="33" t="n">
        <f aca="false">D194-I194</f>
        <v>0</v>
      </c>
      <c r="L194" s="33" t="n">
        <f aca="false">G194-J194</f>
        <v>0</v>
      </c>
      <c r="M194" s="33" t="n">
        <f aca="false">F194</f>
        <v>14831730.7692308</v>
      </c>
      <c r="N194" s="64" t="n">
        <v>0.0128541666666667</v>
      </c>
      <c r="O194" s="48" t="n">
        <f aca="false">IF(AND(B194&gt;=DATE(2026,1,1),B194&lt;=Resumen!$C$5),1,0)</f>
        <v>0</v>
      </c>
      <c r="P194" s="48" t="n">
        <f aca="false">IF(AND(B194&gt;Resumen!$C$5,B194&lt;=DATE(2027,7,31)),1,0)</f>
        <v>0</v>
      </c>
    </row>
    <row r="195" customFormat="false" ht="15" hidden="false" customHeight="false" outlineLevel="0" collapsed="false">
      <c r="A195" s="38" t="n">
        <v>183</v>
      </c>
      <c r="B195" s="27" t="n">
        <v>49976</v>
      </c>
      <c r="C195" s="39" t="n">
        <v>1153846153.84615</v>
      </c>
      <c r="D195" s="39" t="n">
        <v>14831730.7692308</v>
      </c>
      <c r="E195" s="39" t="n">
        <v>0</v>
      </c>
      <c r="F195" s="39" t="n">
        <v>14831730.7692308</v>
      </c>
      <c r="G195" s="39" t="n">
        <v>1153846153.84615</v>
      </c>
      <c r="H195" s="33" t="n">
        <f aca="false">J194</f>
        <v>1153846153.84615</v>
      </c>
      <c r="I195" s="33" t="n">
        <f aca="false">H195*N195</f>
        <v>14831730.7692308</v>
      </c>
      <c r="J195" s="33" t="n">
        <f aca="false">H195-E195</f>
        <v>1153846153.84615</v>
      </c>
      <c r="K195" s="33" t="n">
        <f aca="false">D195-I195</f>
        <v>0</v>
      </c>
      <c r="L195" s="33" t="n">
        <f aca="false">G195-J195</f>
        <v>0</v>
      </c>
      <c r="M195" s="33" t="n">
        <f aca="false">F195</f>
        <v>14831730.7692308</v>
      </c>
      <c r="N195" s="64" t="n">
        <v>0.0128541666666667</v>
      </c>
      <c r="O195" s="48" t="n">
        <f aca="false">IF(AND(B195&gt;=DATE(2026,1,1),B195&lt;=Resumen!$C$5),1,0)</f>
        <v>0</v>
      </c>
      <c r="P195" s="48" t="n">
        <f aca="false">IF(AND(B195&gt;Resumen!$C$5,B195&lt;=DATE(2027,7,31)),1,0)</f>
        <v>0</v>
      </c>
    </row>
    <row r="196" customFormat="false" ht="15" hidden="false" customHeight="false" outlineLevel="0" collapsed="false">
      <c r="A196" s="38" t="n">
        <v>184</v>
      </c>
      <c r="B196" s="27" t="n">
        <v>50007</v>
      </c>
      <c r="C196" s="39" t="n">
        <v>1153846153.84615</v>
      </c>
      <c r="D196" s="39" t="n">
        <v>14831730.7692308</v>
      </c>
      <c r="E196" s="39" t="n">
        <v>0</v>
      </c>
      <c r="F196" s="39" t="n">
        <v>14831730.7692308</v>
      </c>
      <c r="G196" s="39" t="n">
        <v>1153846153.84615</v>
      </c>
      <c r="H196" s="33" t="n">
        <f aca="false">J195</f>
        <v>1153846153.84615</v>
      </c>
      <c r="I196" s="33" t="n">
        <f aca="false">H196*N196</f>
        <v>14831730.7692308</v>
      </c>
      <c r="J196" s="33" t="n">
        <f aca="false">H196-E196</f>
        <v>1153846153.84615</v>
      </c>
      <c r="K196" s="33" t="n">
        <f aca="false">D196-I196</f>
        <v>0</v>
      </c>
      <c r="L196" s="33" t="n">
        <f aca="false">G196-J196</f>
        <v>0</v>
      </c>
      <c r="M196" s="33" t="n">
        <f aca="false">F196</f>
        <v>14831730.7692308</v>
      </c>
      <c r="N196" s="64" t="n">
        <v>0.0128541666666667</v>
      </c>
      <c r="O196" s="48" t="n">
        <f aca="false">IF(AND(B196&gt;=DATE(2026,1,1),B196&lt;=Resumen!$C$5),1,0)</f>
        <v>0</v>
      </c>
      <c r="P196" s="48" t="n">
        <f aca="false">IF(AND(B196&gt;Resumen!$C$5,B196&lt;=DATE(2027,7,31)),1,0)</f>
        <v>0</v>
      </c>
    </row>
    <row r="197" customFormat="false" ht="15" hidden="false" customHeight="false" outlineLevel="0" collapsed="false">
      <c r="A197" s="38" t="n">
        <v>185</v>
      </c>
      <c r="B197" s="27" t="n">
        <v>50037</v>
      </c>
      <c r="C197" s="39" t="n">
        <v>1153846153.84615</v>
      </c>
      <c r="D197" s="39" t="n">
        <v>14831730.7692308</v>
      </c>
      <c r="E197" s="39" t="n">
        <v>0</v>
      </c>
      <c r="F197" s="39" t="n">
        <v>14831730.7692308</v>
      </c>
      <c r="G197" s="39" t="n">
        <v>1153846153.84615</v>
      </c>
      <c r="H197" s="33" t="n">
        <f aca="false">J196</f>
        <v>1153846153.84615</v>
      </c>
      <c r="I197" s="33" t="n">
        <f aca="false">H197*N197</f>
        <v>14831730.7692308</v>
      </c>
      <c r="J197" s="33" t="n">
        <f aca="false">H197-E197</f>
        <v>1153846153.84615</v>
      </c>
      <c r="K197" s="33" t="n">
        <f aca="false">D197-I197</f>
        <v>0</v>
      </c>
      <c r="L197" s="33" t="n">
        <f aca="false">G197-J197</f>
        <v>0</v>
      </c>
      <c r="M197" s="33" t="n">
        <f aca="false">F197</f>
        <v>14831730.7692308</v>
      </c>
      <c r="N197" s="64" t="n">
        <v>0.0128541666666667</v>
      </c>
      <c r="O197" s="48" t="n">
        <f aca="false">IF(AND(B197&gt;=DATE(2026,1,1),B197&lt;=Resumen!$C$5),1,0)</f>
        <v>0</v>
      </c>
      <c r="P197" s="48" t="n">
        <f aca="false">IF(AND(B197&gt;Resumen!$C$5,B197&lt;=DATE(2027,7,31)),1,0)</f>
        <v>0</v>
      </c>
    </row>
    <row r="198" customFormat="false" ht="15" hidden="false" customHeight="false" outlineLevel="0" collapsed="false">
      <c r="A198" s="38" t="n">
        <v>186</v>
      </c>
      <c r="B198" s="27" t="n">
        <v>50068</v>
      </c>
      <c r="C198" s="39" t="n">
        <v>1153846153.84615</v>
      </c>
      <c r="D198" s="39" t="n">
        <v>14831730.7692308</v>
      </c>
      <c r="E198" s="39" t="n">
        <v>115384615.384615</v>
      </c>
      <c r="F198" s="39" t="n">
        <v>130216346.153846</v>
      </c>
      <c r="G198" s="39" t="n">
        <v>1038461538.46154</v>
      </c>
      <c r="H198" s="33" t="n">
        <f aca="false">J197</f>
        <v>1153846153.84615</v>
      </c>
      <c r="I198" s="33" t="n">
        <f aca="false">H198*N198</f>
        <v>14831730.7692308</v>
      </c>
      <c r="J198" s="33" t="n">
        <f aca="false">H198-E198</f>
        <v>1038461538.46154</v>
      </c>
      <c r="K198" s="33" t="n">
        <f aca="false">D198-I198</f>
        <v>0</v>
      </c>
      <c r="L198" s="33" t="n">
        <f aca="false">G198-J198</f>
        <v>0</v>
      </c>
      <c r="M198" s="33" t="n">
        <f aca="false">F198</f>
        <v>130216346.153846</v>
      </c>
      <c r="N198" s="64" t="n">
        <v>0.0128541666666667</v>
      </c>
      <c r="O198" s="48" t="n">
        <f aca="false">IF(AND(B198&gt;=DATE(2026,1,1),B198&lt;=Resumen!$C$5),1,0)</f>
        <v>0</v>
      </c>
      <c r="P198" s="48" t="n">
        <f aca="false">IF(AND(B198&gt;Resumen!$C$5,B198&lt;=DATE(2027,7,31)),1,0)</f>
        <v>0</v>
      </c>
    </row>
    <row r="199" customFormat="false" ht="15" hidden="false" customHeight="false" outlineLevel="0" collapsed="false">
      <c r="A199" s="38" t="n">
        <v>187</v>
      </c>
      <c r="B199" s="27" t="n">
        <v>50099</v>
      </c>
      <c r="C199" s="39" t="n">
        <v>1038461538.46154</v>
      </c>
      <c r="D199" s="39" t="n">
        <v>13348557.6923077</v>
      </c>
      <c r="E199" s="39" t="n">
        <v>0</v>
      </c>
      <c r="F199" s="39" t="n">
        <v>13348557.6923077</v>
      </c>
      <c r="G199" s="39" t="n">
        <v>1038461538.46154</v>
      </c>
      <c r="H199" s="33" t="n">
        <f aca="false">J198</f>
        <v>1038461538.46154</v>
      </c>
      <c r="I199" s="33" t="n">
        <f aca="false">H199*N199</f>
        <v>13348557.6923077</v>
      </c>
      <c r="J199" s="33" t="n">
        <f aca="false">H199-E199</f>
        <v>1038461538.46154</v>
      </c>
      <c r="K199" s="33" t="n">
        <f aca="false">D199-I199</f>
        <v>0</v>
      </c>
      <c r="L199" s="33" t="n">
        <f aca="false">G199-J199</f>
        <v>0</v>
      </c>
      <c r="M199" s="33" t="n">
        <f aca="false">F199</f>
        <v>13348557.6923077</v>
      </c>
      <c r="N199" s="64" t="n">
        <v>0.0128541666666667</v>
      </c>
      <c r="O199" s="48" t="n">
        <f aca="false">IF(AND(B199&gt;=DATE(2026,1,1),B199&lt;=Resumen!$C$5),1,0)</f>
        <v>0</v>
      </c>
      <c r="P199" s="48" t="n">
        <f aca="false">IF(AND(B199&gt;Resumen!$C$5,B199&lt;=DATE(2027,7,31)),1,0)</f>
        <v>0</v>
      </c>
    </row>
    <row r="200" customFormat="false" ht="15" hidden="false" customHeight="false" outlineLevel="0" collapsed="false">
      <c r="A200" s="38" t="n">
        <v>188</v>
      </c>
      <c r="B200" s="27" t="n">
        <v>50127</v>
      </c>
      <c r="C200" s="39" t="n">
        <v>1038461538.46154</v>
      </c>
      <c r="D200" s="39" t="n">
        <v>13348557.6923077</v>
      </c>
      <c r="E200" s="39" t="n">
        <v>0</v>
      </c>
      <c r="F200" s="39" t="n">
        <v>13348557.6923077</v>
      </c>
      <c r="G200" s="39" t="n">
        <v>1038461538.46154</v>
      </c>
      <c r="H200" s="33" t="n">
        <f aca="false">J199</f>
        <v>1038461538.46154</v>
      </c>
      <c r="I200" s="33" t="n">
        <f aca="false">H200*N200</f>
        <v>13348557.6923077</v>
      </c>
      <c r="J200" s="33" t="n">
        <f aca="false">H200-E200</f>
        <v>1038461538.46154</v>
      </c>
      <c r="K200" s="33" t="n">
        <f aca="false">D200-I200</f>
        <v>0</v>
      </c>
      <c r="L200" s="33" t="n">
        <f aca="false">G200-J200</f>
        <v>0</v>
      </c>
      <c r="M200" s="33" t="n">
        <f aca="false">F200</f>
        <v>13348557.6923077</v>
      </c>
      <c r="N200" s="64" t="n">
        <v>0.0128541666666667</v>
      </c>
      <c r="O200" s="48" t="n">
        <f aca="false">IF(AND(B200&gt;=DATE(2026,1,1),B200&lt;=Resumen!$C$5),1,0)</f>
        <v>0</v>
      </c>
      <c r="P200" s="48" t="n">
        <f aca="false">IF(AND(B200&gt;Resumen!$C$5,B200&lt;=DATE(2027,7,31)),1,0)</f>
        <v>0</v>
      </c>
    </row>
    <row r="201" customFormat="false" ht="15" hidden="false" customHeight="false" outlineLevel="0" collapsed="false">
      <c r="A201" s="38" t="n">
        <v>189</v>
      </c>
      <c r="B201" s="27" t="n">
        <v>50158</v>
      </c>
      <c r="C201" s="39" t="n">
        <v>1038461538.46154</v>
      </c>
      <c r="D201" s="39" t="n">
        <v>13348557.6923077</v>
      </c>
      <c r="E201" s="39" t="n">
        <v>0</v>
      </c>
      <c r="F201" s="39" t="n">
        <v>13348557.6923077</v>
      </c>
      <c r="G201" s="39" t="n">
        <v>1038461538.46154</v>
      </c>
      <c r="H201" s="33" t="n">
        <f aca="false">J200</f>
        <v>1038461538.46154</v>
      </c>
      <c r="I201" s="33" t="n">
        <f aca="false">H201*N201</f>
        <v>13348557.6923077</v>
      </c>
      <c r="J201" s="33" t="n">
        <f aca="false">H201-E201</f>
        <v>1038461538.46154</v>
      </c>
      <c r="K201" s="33" t="n">
        <f aca="false">D201-I201</f>
        <v>0</v>
      </c>
      <c r="L201" s="33" t="n">
        <f aca="false">G201-J201</f>
        <v>0</v>
      </c>
      <c r="M201" s="33" t="n">
        <f aca="false">F201</f>
        <v>13348557.6923077</v>
      </c>
      <c r="N201" s="64" t="n">
        <v>0.0128541666666667</v>
      </c>
      <c r="O201" s="48" t="n">
        <f aca="false">IF(AND(B201&gt;=DATE(2026,1,1),B201&lt;=Resumen!$C$5),1,0)</f>
        <v>0</v>
      </c>
      <c r="P201" s="48" t="n">
        <f aca="false">IF(AND(B201&gt;Resumen!$C$5,B201&lt;=DATE(2027,7,31)),1,0)</f>
        <v>0</v>
      </c>
    </row>
    <row r="202" customFormat="false" ht="15" hidden="false" customHeight="false" outlineLevel="0" collapsed="false">
      <c r="A202" s="38" t="n">
        <v>190</v>
      </c>
      <c r="B202" s="27" t="n">
        <v>50188</v>
      </c>
      <c r="C202" s="39" t="n">
        <v>1038461538.46154</v>
      </c>
      <c r="D202" s="39" t="n">
        <v>13348557.6923077</v>
      </c>
      <c r="E202" s="39" t="n">
        <v>0</v>
      </c>
      <c r="F202" s="39" t="n">
        <v>13348557.6923077</v>
      </c>
      <c r="G202" s="39" t="n">
        <v>1038461538.46154</v>
      </c>
      <c r="H202" s="33" t="n">
        <f aca="false">J201</f>
        <v>1038461538.46154</v>
      </c>
      <c r="I202" s="33" t="n">
        <f aca="false">H202*N202</f>
        <v>13348557.6923077</v>
      </c>
      <c r="J202" s="33" t="n">
        <f aca="false">H202-E202</f>
        <v>1038461538.46154</v>
      </c>
      <c r="K202" s="33" t="n">
        <f aca="false">D202-I202</f>
        <v>0</v>
      </c>
      <c r="L202" s="33" t="n">
        <f aca="false">G202-J202</f>
        <v>0</v>
      </c>
      <c r="M202" s="33" t="n">
        <f aca="false">F202</f>
        <v>13348557.6923077</v>
      </c>
      <c r="N202" s="64" t="n">
        <v>0.0128541666666667</v>
      </c>
      <c r="O202" s="48" t="n">
        <f aca="false">IF(AND(B202&gt;=DATE(2026,1,1),B202&lt;=Resumen!$C$5),1,0)</f>
        <v>0</v>
      </c>
      <c r="P202" s="48" t="n">
        <f aca="false">IF(AND(B202&gt;Resumen!$C$5,B202&lt;=DATE(2027,7,31)),1,0)</f>
        <v>0</v>
      </c>
    </row>
    <row r="203" customFormat="false" ht="15" hidden="false" customHeight="false" outlineLevel="0" collapsed="false">
      <c r="A203" s="38" t="n">
        <v>191</v>
      </c>
      <c r="B203" s="27" t="n">
        <v>50219</v>
      </c>
      <c r="C203" s="39" t="n">
        <v>1038461538.46154</v>
      </c>
      <c r="D203" s="39" t="n">
        <v>13348557.6923077</v>
      </c>
      <c r="E203" s="39" t="n">
        <v>0</v>
      </c>
      <c r="F203" s="39" t="n">
        <v>13348557.6923077</v>
      </c>
      <c r="G203" s="39" t="n">
        <v>1038461538.46154</v>
      </c>
      <c r="H203" s="33" t="n">
        <f aca="false">J202</f>
        <v>1038461538.46154</v>
      </c>
      <c r="I203" s="33" t="n">
        <f aca="false">H203*N203</f>
        <v>13348557.6923077</v>
      </c>
      <c r="J203" s="33" t="n">
        <f aca="false">H203-E203</f>
        <v>1038461538.46154</v>
      </c>
      <c r="K203" s="33" t="n">
        <f aca="false">D203-I203</f>
        <v>0</v>
      </c>
      <c r="L203" s="33" t="n">
        <f aca="false">G203-J203</f>
        <v>0</v>
      </c>
      <c r="M203" s="33" t="n">
        <f aca="false">F203</f>
        <v>13348557.6923077</v>
      </c>
      <c r="N203" s="64" t="n">
        <v>0.0128541666666667</v>
      </c>
      <c r="O203" s="48" t="n">
        <f aca="false">IF(AND(B203&gt;=DATE(2026,1,1),B203&lt;=Resumen!$C$5),1,0)</f>
        <v>0</v>
      </c>
      <c r="P203" s="48" t="n">
        <f aca="false">IF(AND(B203&gt;Resumen!$C$5,B203&lt;=DATE(2027,7,31)),1,0)</f>
        <v>0</v>
      </c>
    </row>
    <row r="204" customFormat="false" ht="15" hidden="false" customHeight="false" outlineLevel="0" collapsed="false">
      <c r="A204" s="38" t="n">
        <v>192</v>
      </c>
      <c r="B204" s="27" t="n">
        <v>50249</v>
      </c>
      <c r="C204" s="39" t="n">
        <v>1038461538.46154</v>
      </c>
      <c r="D204" s="39" t="n">
        <v>13348557.6923077</v>
      </c>
      <c r="E204" s="39" t="n">
        <v>115384615.384615</v>
      </c>
      <c r="F204" s="39" t="n">
        <v>128733173.076923</v>
      </c>
      <c r="G204" s="39" t="n">
        <v>923076923.076922</v>
      </c>
      <c r="H204" s="33" t="n">
        <f aca="false">J203</f>
        <v>1038461538.46154</v>
      </c>
      <c r="I204" s="33" t="n">
        <f aca="false">H204*N204</f>
        <v>13348557.6923077</v>
      </c>
      <c r="J204" s="33" t="n">
        <f aca="false">H204-E204</f>
        <v>923076923.076922</v>
      </c>
      <c r="K204" s="33" t="n">
        <f aca="false">D204-I204</f>
        <v>0</v>
      </c>
      <c r="L204" s="33" t="n">
        <f aca="false">G204-J204</f>
        <v>0</v>
      </c>
      <c r="M204" s="33" t="n">
        <f aca="false">F204</f>
        <v>128733173.076923</v>
      </c>
      <c r="N204" s="64" t="n">
        <v>0.0128541666666667</v>
      </c>
      <c r="O204" s="48" t="n">
        <f aca="false">IF(AND(B204&gt;=DATE(2026,1,1),B204&lt;=Resumen!$C$5),1,0)</f>
        <v>0</v>
      </c>
      <c r="P204" s="48" t="n">
        <f aca="false">IF(AND(B204&gt;Resumen!$C$5,B204&lt;=DATE(2027,7,31)),1,0)</f>
        <v>0</v>
      </c>
    </row>
    <row r="205" customFormat="false" ht="15" hidden="false" customHeight="false" outlineLevel="0" collapsed="false">
      <c r="A205" s="38" t="n">
        <v>193</v>
      </c>
      <c r="B205" s="27" t="n">
        <v>50280</v>
      </c>
      <c r="C205" s="39" t="n">
        <v>923076923.076922</v>
      </c>
      <c r="D205" s="39" t="n">
        <v>11865384.6153846</v>
      </c>
      <c r="E205" s="39" t="n">
        <v>0</v>
      </c>
      <c r="F205" s="39" t="n">
        <v>11865384.6153846</v>
      </c>
      <c r="G205" s="39" t="n">
        <v>923076923.076922</v>
      </c>
      <c r="H205" s="33" t="n">
        <f aca="false">J204</f>
        <v>923076923.076922</v>
      </c>
      <c r="I205" s="33" t="n">
        <f aca="false">H205*N205</f>
        <v>11865384.6153846</v>
      </c>
      <c r="J205" s="33" t="n">
        <f aca="false">H205-E205</f>
        <v>923076923.076922</v>
      </c>
      <c r="K205" s="33" t="n">
        <f aca="false">D205-I205</f>
        <v>0</v>
      </c>
      <c r="L205" s="33" t="n">
        <f aca="false">G205-J205</f>
        <v>0</v>
      </c>
      <c r="M205" s="33" t="n">
        <f aca="false">F205</f>
        <v>11865384.6153846</v>
      </c>
      <c r="N205" s="64" t="n">
        <v>0.0128541666666667</v>
      </c>
      <c r="O205" s="48" t="n">
        <f aca="false">IF(AND(B205&gt;=DATE(2026,1,1),B205&lt;=Resumen!$C$5),1,0)</f>
        <v>0</v>
      </c>
      <c r="P205" s="48" t="n">
        <f aca="false">IF(AND(B205&gt;Resumen!$C$5,B205&lt;=DATE(2027,7,31)),1,0)</f>
        <v>0</v>
      </c>
    </row>
    <row r="206" customFormat="false" ht="15" hidden="false" customHeight="false" outlineLevel="0" collapsed="false">
      <c r="A206" s="38" t="n">
        <v>194</v>
      </c>
      <c r="B206" s="27" t="n">
        <v>50311</v>
      </c>
      <c r="C206" s="39" t="n">
        <v>923076923.076922</v>
      </c>
      <c r="D206" s="39" t="n">
        <v>11865384.6153846</v>
      </c>
      <c r="E206" s="39" t="n">
        <v>0</v>
      </c>
      <c r="F206" s="39" t="n">
        <v>11865384.6153846</v>
      </c>
      <c r="G206" s="39" t="n">
        <v>923076923.076922</v>
      </c>
      <c r="H206" s="33" t="n">
        <f aca="false">J205</f>
        <v>923076923.076922</v>
      </c>
      <c r="I206" s="33" t="n">
        <f aca="false">H206*N206</f>
        <v>11865384.6153846</v>
      </c>
      <c r="J206" s="33" t="n">
        <f aca="false">H206-E206</f>
        <v>923076923.076922</v>
      </c>
      <c r="K206" s="33" t="n">
        <f aca="false">D206-I206</f>
        <v>0</v>
      </c>
      <c r="L206" s="33" t="n">
        <f aca="false">G206-J206</f>
        <v>0</v>
      </c>
      <c r="M206" s="33" t="n">
        <f aca="false">F206</f>
        <v>11865384.6153846</v>
      </c>
      <c r="N206" s="64" t="n">
        <v>0.0128541666666667</v>
      </c>
      <c r="O206" s="48" t="n">
        <f aca="false">IF(AND(B206&gt;=DATE(2026,1,1),B206&lt;=Resumen!$C$5),1,0)</f>
        <v>0</v>
      </c>
      <c r="P206" s="48" t="n">
        <f aca="false">IF(AND(B206&gt;Resumen!$C$5,B206&lt;=DATE(2027,7,31)),1,0)</f>
        <v>0</v>
      </c>
    </row>
    <row r="207" customFormat="false" ht="15" hidden="false" customHeight="false" outlineLevel="0" collapsed="false">
      <c r="A207" s="38" t="n">
        <v>195</v>
      </c>
      <c r="B207" s="27" t="n">
        <v>50341</v>
      </c>
      <c r="C207" s="39" t="n">
        <v>923076923.076922</v>
      </c>
      <c r="D207" s="39" t="n">
        <v>11865384.6153846</v>
      </c>
      <c r="E207" s="39" t="n">
        <v>0</v>
      </c>
      <c r="F207" s="39" t="n">
        <v>11865384.6153846</v>
      </c>
      <c r="G207" s="39" t="n">
        <v>923076923.076922</v>
      </c>
      <c r="H207" s="33" t="n">
        <f aca="false">J206</f>
        <v>923076923.076922</v>
      </c>
      <c r="I207" s="33" t="n">
        <f aca="false">H207*N207</f>
        <v>11865384.6153846</v>
      </c>
      <c r="J207" s="33" t="n">
        <f aca="false">H207-E207</f>
        <v>923076923.076922</v>
      </c>
      <c r="K207" s="33" t="n">
        <f aca="false">D207-I207</f>
        <v>0</v>
      </c>
      <c r="L207" s="33" t="n">
        <f aca="false">G207-J207</f>
        <v>0</v>
      </c>
      <c r="M207" s="33" t="n">
        <f aca="false">F207</f>
        <v>11865384.6153846</v>
      </c>
      <c r="N207" s="64" t="n">
        <v>0.0128541666666667</v>
      </c>
      <c r="O207" s="48" t="n">
        <f aca="false">IF(AND(B207&gt;=DATE(2026,1,1),B207&lt;=Resumen!$C$5),1,0)</f>
        <v>0</v>
      </c>
      <c r="P207" s="48" t="n">
        <f aca="false">IF(AND(B207&gt;Resumen!$C$5,B207&lt;=DATE(2027,7,31)),1,0)</f>
        <v>0</v>
      </c>
    </row>
    <row r="208" customFormat="false" ht="15" hidden="false" customHeight="false" outlineLevel="0" collapsed="false">
      <c r="A208" s="38" t="n">
        <v>196</v>
      </c>
      <c r="B208" s="27" t="n">
        <v>50372</v>
      </c>
      <c r="C208" s="39" t="n">
        <v>923076923.076922</v>
      </c>
      <c r="D208" s="39" t="n">
        <v>11865384.6153846</v>
      </c>
      <c r="E208" s="39" t="n">
        <v>0</v>
      </c>
      <c r="F208" s="39" t="n">
        <v>11865384.6153846</v>
      </c>
      <c r="G208" s="39" t="n">
        <v>923076923.076922</v>
      </c>
      <c r="H208" s="33" t="n">
        <f aca="false">J207</f>
        <v>923076923.076922</v>
      </c>
      <c r="I208" s="33" t="n">
        <f aca="false">H208*N208</f>
        <v>11865384.6153846</v>
      </c>
      <c r="J208" s="33" t="n">
        <f aca="false">H208-E208</f>
        <v>923076923.076922</v>
      </c>
      <c r="K208" s="33" t="n">
        <f aca="false">D208-I208</f>
        <v>0</v>
      </c>
      <c r="L208" s="33" t="n">
        <f aca="false">G208-J208</f>
        <v>0</v>
      </c>
      <c r="M208" s="33" t="n">
        <f aca="false">F208</f>
        <v>11865384.6153846</v>
      </c>
      <c r="N208" s="64" t="n">
        <v>0.0128541666666667</v>
      </c>
      <c r="O208" s="48" t="n">
        <f aca="false">IF(AND(B208&gt;=DATE(2026,1,1),B208&lt;=Resumen!$C$5),1,0)</f>
        <v>0</v>
      </c>
      <c r="P208" s="48" t="n">
        <f aca="false">IF(AND(B208&gt;Resumen!$C$5,B208&lt;=DATE(2027,7,31)),1,0)</f>
        <v>0</v>
      </c>
    </row>
    <row r="209" customFormat="false" ht="15" hidden="false" customHeight="false" outlineLevel="0" collapsed="false">
      <c r="A209" s="38" t="n">
        <v>197</v>
      </c>
      <c r="B209" s="27" t="n">
        <v>50402</v>
      </c>
      <c r="C209" s="39" t="n">
        <v>923076923.076922</v>
      </c>
      <c r="D209" s="39" t="n">
        <v>11865384.6153846</v>
      </c>
      <c r="E209" s="39" t="n">
        <v>0</v>
      </c>
      <c r="F209" s="39" t="n">
        <v>11865384.6153846</v>
      </c>
      <c r="G209" s="39" t="n">
        <v>923076923.076922</v>
      </c>
      <c r="H209" s="33" t="n">
        <f aca="false">J208</f>
        <v>923076923.076922</v>
      </c>
      <c r="I209" s="33" t="n">
        <f aca="false">H209*N209</f>
        <v>11865384.6153846</v>
      </c>
      <c r="J209" s="33" t="n">
        <f aca="false">H209-E209</f>
        <v>923076923.076922</v>
      </c>
      <c r="K209" s="33" t="n">
        <f aca="false">D209-I209</f>
        <v>0</v>
      </c>
      <c r="L209" s="33" t="n">
        <f aca="false">G209-J209</f>
        <v>0</v>
      </c>
      <c r="M209" s="33" t="n">
        <f aca="false">F209</f>
        <v>11865384.6153846</v>
      </c>
      <c r="N209" s="64" t="n">
        <v>0.0128541666666667</v>
      </c>
      <c r="O209" s="48" t="n">
        <f aca="false">IF(AND(B209&gt;=DATE(2026,1,1),B209&lt;=Resumen!$C$5),1,0)</f>
        <v>0</v>
      </c>
      <c r="P209" s="48" t="n">
        <f aca="false">IF(AND(B209&gt;Resumen!$C$5,B209&lt;=DATE(2027,7,31)),1,0)</f>
        <v>0</v>
      </c>
    </row>
    <row r="210" customFormat="false" ht="15" hidden="false" customHeight="false" outlineLevel="0" collapsed="false">
      <c r="A210" s="38" t="n">
        <v>198</v>
      </c>
      <c r="B210" s="27" t="n">
        <v>50433</v>
      </c>
      <c r="C210" s="39" t="n">
        <v>923076923.076922</v>
      </c>
      <c r="D210" s="39" t="n">
        <v>11865384.6153846</v>
      </c>
      <c r="E210" s="39" t="n">
        <v>115384615.384615</v>
      </c>
      <c r="F210" s="39" t="n">
        <v>127250000</v>
      </c>
      <c r="G210" s="39" t="n">
        <v>807692307.692307</v>
      </c>
      <c r="H210" s="33" t="n">
        <f aca="false">J209</f>
        <v>923076923.076922</v>
      </c>
      <c r="I210" s="33" t="n">
        <f aca="false">H210*N210</f>
        <v>11865384.6153846</v>
      </c>
      <c r="J210" s="33" t="n">
        <f aca="false">H210-E210</f>
        <v>807692307.692307</v>
      </c>
      <c r="K210" s="33" t="n">
        <f aca="false">D210-I210</f>
        <v>0</v>
      </c>
      <c r="L210" s="33" t="n">
        <f aca="false">G210-J210</f>
        <v>0</v>
      </c>
      <c r="M210" s="33" t="n">
        <f aca="false">F210</f>
        <v>127250000</v>
      </c>
      <c r="N210" s="64" t="n">
        <v>0.0128541666666667</v>
      </c>
      <c r="O210" s="48" t="n">
        <f aca="false">IF(AND(B210&gt;=DATE(2026,1,1),B210&lt;=Resumen!$C$5),1,0)</f>
        <v>0</v>
      </c>
      <c r="P210" s="48" t="n">
        <f aca="false">IF(AND(B210&gt;Resumen!$C$5,B210&lt;=DATE(2027,7,31)),1,0)</f>
        <v>0</v>
      </c>
    </row>
    <row r="211" customFormat="false" ht="15" hidden="false" customHeight="false" outlineLevel="0" collapsed="false">
      <c r="A211" s="38" t="n">
        <v>199</v>
      </c>
      <c r="B211" s="27" t="n">
        <v>50464</v>
      </c>
      <c r="C211" s="39" t="n">
        <v>807692307.692307</v>
      </c>
      <c r="D211" s="39" t="n">
        <v>10382211.5384615</v>
      </c>
      <c r="E211" s="39" t="n">
        <v>0</v>
      </c>
      <c r="F211" s="39" t="n">
        <v>10382211.5384615</v>
      </c>
      <c r="G211" s="39" t="n">
        <v>807692307.692307</v>
      </c>
      <c r="H211" s="33" t="n">
        <f aca="false">J210</f>
        <v>807692307.692307</v>
      </c>
      <c r="I211" s="33" t="n">
        <f aca="false">H211*N211</f>
        <v>10382211.5384615</v>
      </c>
      <c r="J211" s="33" t="n">
        <f aca="false">H211-E211</f>
        <v>807692307.692307</v>
      </c>
      <c r="K211" s="33" t="n">
        <f aca="false">D211-I211</f>
        <v>0</v>
      </c>
      <c r="L211" s="33" t="n">
        <f aca="false">G211-J211</f>
        <v>0</v>
      </c>
      <c r="M211" s="33" t="n">
        <f aca="false">F211</f>
        <v>10382211.5384615</v>
      </c>
      <c r="N211" s="64" t="n">
        <v>0.0128541666666667</v>
      </c>
      <c r="O211" s="48" t="n">
        <f aca="false">IF(AND(B211&gt;=DATE(2026,1,1),B211&lt;=Resumen!$C$5),1,0)</f>
        <v>0</v>
      </c>
      <c r="P211" s="48" t="n">
        <f aca="false">IF(AND(B211&gt;Resumen!$C$5,B211&lt;=DATE(2027,7,31)),1,0)</f>
        <v>0</v>
      </c>
    </row>
    <row r="212" customFormat="false" ht="15" hidden="false" customHeight="false" outlineLevel="0" collapsed="false">
      <c r="A212" s="38" t="n">
        <v>200</v>
      </c>
      <c r="B212" s="27" t="n">
        <v>50492</v>
      </c>
      <c r="C212" s="39" t="n">
        <v>807692307.692307</v>
      </c>
      <c r="D212" s="39" t="n">
        <v>10382211.5384615</v>
      </c>
      <c r="E212" s="39" t="n">
        <v>0</v>
      </c>
      <c r="F212" s="39" t="n">
        <v>10382211.5384615</v>
      </c>
      <c r="G212" s="39" t="n">
        <v>807692307.692307</v>
      </c>
      <c r="H212" s="33" t="n">
        <f aca="false">J211</f>
        <v>807692307.692307</v>
      </c>
      <c r="I212" s="33" t="n">
        <f aca="false">H212*N212</f>
        <v>10382211.5384615</v>
      </c>
      <c r="J212" s="33" t="n">
        <f aca="false">H212-E212</f>
        <v>807692307.692307</v>
      </c>
      <c r="K212" s="33" t="n">
        <f aca="false">D212-I212</f>
        <v>0</v>
      </c>
      <c r="L212" s="33" t="n">
        <f aca="false">G212-J212</f>
        <v>0</v>
      </c>
      <c r="M212" s="33" t="n">
        <f aca="false">F212</f>
        <v>10382211.5384615</v>
      </c>
      <c r="N212" s="64" t="n">
        <v>0.0128541666666667</v>
      </c>
      <c r="O212" s="48" t="n">
        <f aca="false">IF(AND(B212&gt;=DATE(2026,1,1),B212&lt;=Resumen!$C$5),1,0)</f>
        <v>0</v>
      </c>
      <c r="P212" s="48" t="n">
        <f aca="false">IF(AND(B212&gt;Resumen!$C$5,B212&lt;=DATE(2027,7,31)),1,0)</f>
        <v>0</v>
      </c>
    </row>
    <row r="213" customFormat="false" ht="15" hidden="false" customHeight="false" outlineLevel="0" collapsed="false">
      <c r="A213" s="38" t="n">
        <v>201</v>
      </c>
      <c r="B213" s="27" t="n">
        <v>50523</v>
      </c>
      <c r="C213" s="39" t="n">
        <v>807692307.692307</v>
      </c>
      <c r="D213" s="39" t="n">
        <v>10382211.5384615</v>
      </c>
      <c r="E213" s="39" t="n">
        <v>0</v>
      </c>
      <c r="F213" s="39" t="n">
        <v>10382211.5384615</v>
      </c>
      <c r="G213" s="39" t="n">
        <v>807692307.692307</v>
      </c>
      <c r="H213" s="33" t="n">
        <f aca="false">J212</f>
        <v>807692307.692307</v>
      </c>
      <c r="I213" s="33" t="n">
        <f aca="false">H213*N213</f>
        <v>10382211.5384615</v>
      </c>
      <c r="J213" s="33" t="n">
        <f aca="false">H213-E213</f>
        <v>807692307.692307</v>
      </c>
      <c r="K213" s="33" t="n">
        <f aca="false">D213-I213</f>
        <v>0</v>
      </c>
      <c r="L213" s="33" t="n">
        <f aca="false">G213-J213</f>
        <v>0</v>
      </c>
      <c r="M213" s="33" t="n">
        <f aca="false">F213</f>
        <v>10382211.5384615</v>
      </c>
      <c r="N213" s="64" t="n">
        <v>0.0128541666666667</v>
      </c>
      <c r="O213" s="48" t="n">
        <f aca="false">IF(AND(B213&gt;=DATE(2026,1,1),B213&lt;=Resumen!$C$5),1,0)</f>
        <v>0</v>
      </c>
      <c r="P213" s="48" t="n">
        <f aca="false">IF(AND(B213&gt;Resumen!$C$5,B213&lt;=DATE(2027,7,31)),1,0)</f>
        <v>0</v>
      </c>
    </row>
    <row r="214" customFormat="false" ht="15" hidden="false" customHeight="false" outlineLevel="0" collapsed="false">
      <c r="A214" s="38" t="n">
        <v>202</v>
      </c>
      <c r="B214" s="27" t="n">
        <v>50553</v>
      </c>
      <c r="C214" s="39" t="n">
        <v>807692307.692307</v>
      </c>
      <c r="D214" s="39" t="n">
        <v>10382211.5384615</v>
      </c>
      <c r="E214" s="39" t="n">
        <v>0</v>
      </c>
      <c r="F214" s="39" t="n">
        <v>10382211.5384615</v>
      </c>
      <c r="G214" s="39" t="n">
        <v>807692307.692307</v>
      </c>
      <c r="H214" s="33" t="n">
        <f aca="false">J213</f>
        <v>807692307.692307</v>
      </c>
      <c r="I214" s="33" t="n">
        <f aca="false">H214*N214</f>
        <v>10382211.5384615</v>
      </c>
      <c r="J214" s="33" t="n">
        <f aca="false">H214-E214</f>
        <v>807692307.692307</v>
      </c>
      <c r="K214" s="33" t="n">
        <f aca="false">D214-I214</f>
        <v>0</v>
      </c>
      <c r="L214" s="33" t="n">
        <f aca="false">G214-J214</f>
        <v>0</v>
      </c>
      <c r="M214" s="33" t="n">
        <f aca="false">F214</f>
        <v>10382211.5384615</v>
      </c>
      <c r="N214" s="64" t="n">
        <v>0.0128541666666667</v>
      </c>
      <c r="O214" s="48" t="n">
        <f aca="false">IF(AND(B214&gt;=DATE(2026,1,1),B214&lt;=Resumen!$C$5),1,0)</f>
        <v>0</v>
      </c>
      <c r="P214" s="48" t="n">
        <f aca="false">IF(AND(B214&gt;Resumen!$C$5,B214&lt;=DATE(2027,7,31)),1,0)</f>
        <v>0</v>
      </c>
    </row>
    <row r="215" customFormat="false" ht="15" hidden="false" customHeight="false" outlineLevel="0" collapsed="false">
      <c r="A215" s="38" t="n">
        <v>203</v>
      </c>
      <c r="B215" s="27" t="n">
        <v>50584</v>
      </c>
      <c r="C215" s="39" t="n">
        <v>807692307.692307</v>
      </c>
      <c r="D215" s="39" t="n">
        <v>10382211.5384615</v>
      </c>
      <c r="E215" s="39" t="n">
        <v>0</v>
      </c>
      <c r="F215" s="39" t="n">
        <v>10382211.5384615</v>
      </c>
      <c r="G215" s="39" t="n">
        <v>807692307.692307</v>
      </c>
      <c r="H215" s="33" t="n">
        <f aca="false">J214</f>
        <v>807692307.692307</v>
      </c>
      <c r="I215" s="33" t="n">
        <f aca="false">H215*N215</f>
        <v>10382211.5384615</v>
      </c>
      <c r="J215" s="33" t="n">
        <f aca="false">H215-E215</f>
        <v>807692307.692307</v>
      </c>
      <c r="K215" s="33" t="n">
        <f aca="false">D215-I215</f>
        <v>0</v>
      </c>
      <c r="L215" s="33" t="n">
        <f aca="false">G215-J215</f>
        <v>0</v>
      </c>
      <c r="M215" s="33" t="n">
        <f aca="false">F215</f>
        <v>10382211.5384615</v>
      </c>
      <c r="N215" s="64" t="n">
        <v>0.0128541666666667</v>
      </c>
      <c r="O215" s="48" t="n">
        <f aca="false">IF(AND(B215&gt;=DATE(2026,1,1),B215&lt;=Resumen!$C$5),1,0)</f>
        <v>0</v>
      </c>
      <c r="P215" s="48" t="n">
        <f aca="false">IF(AND(B215&gt;Resumen!$C$5,B215&lt;=DATE(2027,7,31)),1,0)</f>
        <v>0</v>
      </c>
    </row>
    <row r="216" customFormat="false" ht="15" hidden="false" customHeight="false" outlineLevel="0" collapsed="false">
      <c r="A216" s="38" t="n">
        <v>204</v>
      </c>
      <c r="B216" s="27" t="n">
        <v>50614</v>
      </c>
      <c r="C216" s="39" t="n">
        <v>807692307.692307</v>
      </c>
      <c r="D216" s="39" t="n">
        <v>10382211.5384615</v>
      </c>
      <c r="E216" s="39" t="n">
        <v>115384615.384615</v>
      </c>
      <c r="F216" s="39" t="n">
        <v>125766826.923077</v>
      </c>
      <c r="G216" s="39" t="n">
        <v>692307692.307692</v>
      </c>
      <c r="H216" s="33" t="n">
        <f aca="false">J215</f>
        <v>807692307.692307</v>
      </c>
      <c r="I216" s="33" t="n">
        <f aca="false">H216*N216</f>
        <v>10382211.5384615</v>
      </c>
      <c r="J216" s="33" t="n">
        <f aca="false">H216-E216</f>
        <v>692307692.307692</v>
      </c>
      <c r="K216" s="33" t="n">
        <f aca="false">D216-I216</f>
        <v>0</v>
      </c>
      <c r="L216" s="33" t="n">
        <f aca="false">G216-J216</f>
        <v>0</v>
      </c>
      <c r="M216" s="33" t="n">
        <f aca="false">F216</f>
        <v>125766826.923077</v>
      </c>
      <c r="N216" s="64" t="n">
        <v>0.0128541666666667</v>
      </c>
      <c r="O216" s="48" t="n">
        <f aca="false">IF(AND(B216&gt;=DATE(2026,1,1),B216&lt;=Resumen!$C$5),1,0)</f>
        <v>0</v>
      </c>
      <c r="P216" s="48" t="n">
        <f aca="false">IF(AND(B216&gt;Resumen!$C$5,B216&lt;=DATE(2027,7,31)),1,0)</f>
        <v>0</v>
      </c>
    </row>
    <row r="217" customFormat="false" ht="15" hidden="false" customHeight="false" outlineLevel="0" collapsed="false">
      <c r="A217" s="38" t="n">
        <v>205</v>
      </c>
      <c r="B217" s="27" t="n">
        <v>50645</v>
      </c>
      <c r="C217" s="39" t="n">
        <v>692307692.307692</v>
      </c>
      <c r="D217" s="39" t="n">
        <v>8899038.46153845</v>
      </c>
      <c r="E217" s="39" t="n">
        <v>0</v>
      </c>
      <c r="F217" s="39" t="n">
        <v>8899038.46153845</v>
      </c>
      <c r="G217" s="39" t="n">
        <v>692307692.307692</v>
      </c>
      <c r="H217" s="33" t="n">
        <f aca="false">J216</f>
        <v>692307692.307692</v>
      </c>
      <c r="I217" s="33" t="n">
        <f aca="false">H217*N217</f>
        <v>8899038.46153846</v>
      </c>
      <c r="J217" s="33" t="n">
        <f aca="false">H217-E217</f>
        <v>692307692.307692</v>
      </c>
      <c r="K217" s="33" t="n">
        <f aca="false">D217-I217</f>
        <v>0</v>
      </c>
      <c r="L217" s="33" t="n">
        <f aca="false">G217-J217</f>
        <v>0</v>
      </c>
      <c r="M217" s="33" t="n">
        <f aca="false">F217</f>
        <v>8899038.46153845</v>
      </c>
      <c r="N217" s="64" t="n">
        <v>0.0128541666666667</v>
      </c>
      <c r="O217" s="48" t="n">
        <f aca="false">IF(AND(B217&gt;=DATE(2026,1,1),B217&lt;=Resumen!$C$5),1,0)</f>
        <v>0</v>
      </c>
      <c r="P217" s="48" t="n">
        <f aca="false">IF(AND(B217&gt;Resumen!$C$5,B217&lt;=DATE(2027,7,31)),1,0)</f>
        <v>0</v>
      </c>
    </row>
    <row r="218" customFormat="false" ht="15" hidden="false" customHeight="false" outlineLevel="0" collapsed="false">
      <c r="A218" s="38" t="n">
        <v>206</v>
      </c>
      <c r="B218" s="27" t="n">
        <v>50676</v>
      </c>
      <c r="C218" s="39" t="n">
        <v>692307692.307692</v>
      </c>
      <c r="D218" s="39" t="n">
        <v>8899038.46153845</v>
      </c>
      <c r="E218" s="39" t="n">
        <v>0</v>
      </c>
      <c r="F218" s="39" t="n">
        <v>8899038.46153845</v>
      </c>
      <c r="G218" s="39" t="n">
        <v>692307692.307692</v>
      </c>
      <c r="H218" s="33" t="n">
        <f aca="false">J217</f>
        <v>692307692.307692</v>
      </c>
      <c r="I218" s="33" t="n">
        <f aca="false">H218*N218</f>
        <v>8899038.46153846</v>
      </c>
      <c r="J218" s="33" t="n">
        <f aca="false">H218-E218</f>
        <v>692307692.307692</v>
      </c>
      <c r="K218" s="33" t="n">
        <f aca="false">D218-I218</f>
        <v>0</v>
      </c>
      <c r="L218" s="33" t="n">
        <f aca="false">G218-J218</f>
        <v>0</v>
      </c>
      <c r="M218" s="33" t="n">
        <f aca="false">F218</f>
        <v>8899038.46153845</v>
      </c>
      <c r="N218" s="64" t="n">
        <v>0.0128541666666667</v>
      </c>
      <c r="O218" s="48" t="n">
        <f aca="false">IF(AND(B218&gt;=DATE(2026,1,1),B218&lt;=Resumen!$C$5),1,0)</f>
        <v>0</v>
      </c>
      <c r="P218" s="48" t="n">
        <f aca="false">IF(AND(B218&gt;Resumen!$C$5,B218&lt;=DATE(2027,7,31)),1,0)</f>
        <v>0</v>
      </c>
    </row>
    <row r="219" customFormat="false" ht="15" hidden="false" customHeight="false" outlineLevel="0" collapsed="false">
      <c r="A219" s="38" t="n">
        <v>207</v>
      </c>
      <c r="B219" s="27" t="n">
        <v>50706</v>
      </c>
      <c r="C219" s="39" t="n">
        <v>692307692.307692</v>
      </c>
      <c r="D219" s="39" t="n">
        <v>8899038.46153845</v>
      </c>
      <c r="E219" s="39" t="n">
        <v>0</v>
      </c>
      <c r="F219" s="39" t="n">
        <v>8899038.46153845</v>
      </c>
      <c r="G219" s="39" t="n">
        <v>692307692.307692</v>
      </c>
      <c r="H219" s="33" t="n">
        <f aca="false">J218</f>
        <v>692307692.307692</v>
      </c>
      <c r="I219" s="33" t="n">
        <f aca="false">H219*N219</f>
        <v>8899038.46153846</v>
      </c>
      <c r="J219" s="33" t="n">
        <f aca="false">H219-E219</f>
        <v>692307692.307692</v>
      </c>
      <c r="K219" s="33" t="n">
        <f aca="false">D219-I219</f>
        <v>0</v>
      </c>
      <c r="L219" s="33" t="n">
        <f aca="false">G219-J219</f>
        <v>0</v>
      </c>
      <c r="M219" s="33" t="n">
        <f aca="false">F219</f>
        <v>8899038.46153845</v>
      </c>
      <c r="N219" s="64" t="n">
        <v>0.0128541666666667</v>
      </c>
      <c r="O219" s="48" t="n">
        <f aca="false">IF(AND(B219&gt;=DATE(2026,1,1),B219&lt;=Resumen!$C$5),1,0)</f>
        <v>0</v>
      </c>
      <c r="P219" s="48" t="n">
        <f aca="false">IF(AND(B219&gt;Resumen!$C$5,B219&lt;=DATE(2027,7,31)),1,0)</f>
        <v>0</v>
      </c>
    </row>
    <row r="220" customFormat="false" ht="15" hidden="false" customHeight="false" outlineLevel="0" collapsed="false">
      <c r="A220" s="38" t="n">
        <v>208</v>
      </c>
      <c r="B220" s="27" t="n">
        <v>50737</v>
      </c>
      <c r="C220" s="39" t="n">
        <v>692307692.307692</v>
      </c>
      <c r="D220" s="39" t="n">
        <v>8899038.46153845</v>
      </c>
      <c r="E220" s="39" t="n">
        <v>0</v>
      </c>
      <c r="F220" s="39" t="n">
        <v>8899038.46153845</v>
      </c>
      <c r="G220" s="39" t="n">
        <v>692307692.307692</v>
      </c>
      <c r="H220" s="33" t="n">
        <f aca="false">J219</f>
        <v>692307692.307692</v>
      </c>
      <c r="I220" s="33" t="n">
        <f aca="false">H220*N220</f>
        <v>8899038.46153846</v>
      </c>
      <c r="J220" s="33" t="n">
        <f aca="false">H220-E220</f>
        <v>692307692.307692</v>
      </c>
      <c r="K220" s="33" t="n">
        <f aca="false">D220-I220</f>
        <v>0</v>
      </c>
      <c r="L220" s="33" t="n">
        <f aca="false">G220-J220</f>
        <v>0</v>
      </c>
      <c r="M220" s="33" t="n">
        <f aca="false">F220</f>
        <v>8899038.46153845</v>
      </c>
      <c r="N220" s="64" t="n">
        <v>0.0128541666666667</v>
      </c>
      <c r="O220" s="48" t="n">
        <f aca="false">IF(AND(B220&gt;=DATE(2026,1,1),B220&lt;=Resumen!$C$5),1,0)</f>
        <v>0</v>
      </c>
      <c r="P220" s="48" t="n">
        <f aca="false">IF(AND(B220&gt;Resumen!$C$5,B220&lt;=DATE(2027,7,31)),1,0)</f>
        <v>0</v>
      </c>
    </row>
    <row r="221" customFormat="false" ht="15" hidden="false" customHeight="false" outlineLevel="0" collapsed="false">
      <c r="A221" s="38" t="n">
        <v>209</v>
      </c>
      <c r="B221" s="27" t="n">
        <v>50767</v>
      </c>
      <c r="C221" s="39" t="n">
        <v>692307692.307692</v>
      </c>
      <c r="D221" s="39" t="n">
        <v>8899038.46153845</v>
      </c>
      <c r="E221" s="39" t="n">
        <v>0</v>
      </c>
      <c r="F221" s="39" t="n">
        <v>8899038.46153845</v>
      </c>
      <c r="G221" s="39" t="n">
        <v>692307692.307692</v>
      </c>
      <c r="H221" s="33" t="n">
        <f aca="false">J220</f>
        <v>692307692.307692</v>
      </c>
      <c r="I221" s="33" t="n">
        <f aca="false">H221*N221</f>
        <v>8899038.46153846</v>
      </c>
      <c r="J221" s="33" t="n">
        <f aca="false">H221-E221</f>
        <v>692307692.307692</v>
      </c>
      <c r="K221" s="33" t="n">
        <f aca="false">D221-I221</f>
        <v>0</v>
      </c>
      <c r="L221" s="33" t="n">
        <f aca="false">G221-J221</f>
        <v>0</v>
      </c>
      <c r="M221" s="33" t="n">
        <f aca="false">F221</f>
        <v>8899038.46153845</v>
      </c>
      <c r="N221" s="64" t="n">
        <v>0.0128541666666667</v>
      </c>
      <c r="O221" s="48" t="n">
        <f aca="false">IF(AND(B221&gt;=DATE(2026,1,1),B221&lt;=Resumen!$C$5),1,0)</f>
        <v>0</v>
      </c>
      <c r="P221" s="48" t="n">
        <f aca="false">IF(AND(B221&gt;Resumen!$C$5,B221&lt;=DATE(2027,7,31)),1,0)</f>
        <v>0</v>
      </c>
    </row>
    <row r="222" customFormat="false" ht="15" hidden="false" customHeight="false" outlineLevel="0" collapsed="false">
      <c r="A222" s="38" t="n">
        <v>210</v>
      </c>
      <c r="B222" s="27" t="n">
        <v>50798</v>
      </c>
      <c r="C222" s="39" t="n">
        <v>692307692.307692</v>
      </c>
      <c r="D222" s="39" t="n">
        <v>8899038.46153845</v>
      </c>
      <c r="E222" s="39" t="n">
        <v>115384615.384615</v>
      </c>
      <c r="F222" s="39" t="n">
        <v>124283653.846154</v>
      </c>
      <c r="G222" s="39" t="n">
        <v>576923076.923076</v>
      </c>
      <c r="H222" s="33" t="n">
        <f aca="false">J221</f>
        <v>692307692.307692</v>
      </c>
      <c r="I222" s="33" t="n">
        <f aca="false">H222*N222</f>
        <v>8899038.46153846</v>
      </c>
      <c r="J222" s="33" t="n">
        <f aca="false">H222-E222</f>
        <v>576923076.923076</v>
      </c>
      <c r="K222" s="33" t="n">
        <f aca="false">D222-I222</f>
        <v>0</v>
      </c>
      <c r="L222" s="33" t="n">
        <f aca="false">G222-J222</f>
        <v>0</v>
      </c>
      <c r="M222" s="33" t="n">
        <f aca="false">F222</f>
        <v>124283653.846154</v>
      </c>
      <c r="N222" s="64" t="n">
        <v>0.0128541666666667</v>
      </c>
      <c r="O222" s="48" t="n">
        <f aca="false">IF(AND(B222&gt;=DATE(2026,1,1),B222&lt;=Resumen!$C$5),1,0)</f>
        <v>0</v>
      </c>
      <c r="P222" s="48" t="n">
        <f aca="false">IF(AND(B222&gt;Resumen!$C$5,B222&lt;=DATE(2027,7,31)),1,0)</f>
        <v>0</v>
      </c>
    </row>
    <row r="223" customFormat="false" ht="15" hidden="false" customHeight="false" outlineLevel="0" collapsed="false">
      <c r="A223" s="38" t="n">
        <v>211</v>
      </c>
      <c r="B223" s="27" t="n">
        <v>50829</v>
      </c>
      <c r="C223" s="39" t="n">
        <v>576923076.923076</v>
      </c>
      <c r="D223" s="39" t="n">
        <v>7415865.38461538</v>
      </c>
      <c r="E223" s="39" t="n">
        <v>0</v>
      </c>
      <c r="F223" s="39" t="n">
        <v>7415865.38461538</v>
      </c>
      <c r="G223" s="39" t="n">
        <v>576923076.923076</v>
      </c>
      <c r="H223" s="33" t="n">
        <f aca="false">J222</f>
        <v>576923076.923076</v>
      </c>
      <c r="I223" s="33" t="n">
        <f aca="false">H223*N223</f>
        <v>7415865.38461538</v>
      </c>
      <c r="J223" s="33" t="n">
        <f aca="false">H223-E223</f>
        <v>576923076.923076</v>
      </c>
      <c r="K223" s="33" t="n">
        <f aca="false">D223-I223</f>
        <v>0</v>
      </c>
      <c r="L223" s="33" t="n">
        <f aca="false">G223-J223</f>
        <v>0</v>
      </c>
      <c r="M223" s="33" t="n">
        <f aca="false">F223</f>
        <v>7415865.38461538</v>
      </c>
      <c r="N223" s="64" t="n">
        <v>0.0128541666666667</v>
      </c>
      <c r="O223" s="48" t="n">
        <f aca="false">IF(AND(B223&gt;=DATE(2026,1,1),B223&lt;=Resumen!$C$5),1,0)</f>
        <v>0</v>
      </c>
      <c r="P223" s="48" t="n">
        <f aca="false">IF(AND(B223&gt;Resumen!$C$5,B223&lt;=DATE(2027,7,31)),1,0)</f>
        <v>0</v>
      </c>
    </row>
    <row r="224" customFormat="false" ht="15" hidden="false" customHeight="false" outlineLevel="0" collapsed="false">
      <c r="A224" s="38" t="n">
        <v>212</v>
      </c>
      <c r="B224" s="27" t="n">
        <v>50857</v>
      </c>
      <c r="C224" s="39" t="n">
        <v>576923076.923076</v>
      </c>
      <c r="D224" s="39" t="n">
        <v>7415865.38461538</v>
      </c>
      <c r="E224" s="39" t="n">
        <v>0</v>
      </c>
      <c r="F224" s="39" t="n">
        <v>7415865.38461538</v>
      </c>
      <c r="G224" s="39" t="n">
        <v>576923076.923076</v>
      </c>
      <c r="H224" s="33" t="n">
        <f aca="false">J223</f>
        <v>576923076.923076</v>
      </c>
      <c r="I224" s="33" t="n">
        <f aca="false">H224*N224</f>
        <v>7415865.38461538</v>
      </c>
      <c r="J224" s="33" t="n">
        <f aca="false">H224-E224</f>
        <v>576923076.923076</v>
      </c>
      <c r="K224" s="33" t="n">
        <f aca="false">D224-I224</f>
        <v>0</v>
      </c>
      <c r="L224" s="33" t="n">
        <f aca="false">G224-J224</f>
        <v>0</v>
      </c>
      <c r="M224" s="33" t="n">
        <f aca="false">F224</f>
        <v>7415865.38461538</v>
      </c>
      <c r="N224" s="64" t="n">
        <v>0.0128541666666667</v>
      </c>
      <c r="O224" s="48" t="n">
        <f aca="false">IF(AND(B224&gt;=DATE(2026,1,1),B224&lt;=Resumen!$C$5),1,0)</f>
        <v>0</v>
      </c>
      <c r="P224" s="48" t="n">
        <f aca="false">IF(AND(B224&gt;Resumen!$C$5,B224&lt;=DATE(2027,7,31)),1,0)</f>
        <v>0</v>
      </c>
    </row>
    <row r="225" customFormat="false" ht="15" hidden="false" customHeight="false" outlineLevel="0" collapsed="false">
      <c r="A225" s="38" t="n">
        <v>213</v>
      </c>
      <c r="B225" s="27" t="n">
        <v>50888</v>
      </c>
      <c r="C225" s="39" t="n">
        <v>576923076.923076</v>
      </c>
      <c r="D225" s="39" t="n">
        <v>7415865.38461538</v>
      </c>
      <c r="E225" s="39" t="n">
        <v>0</v>
      </c>
      <c r="F225" s="39" t="n">
        <v>7415865.38461538</v>
      </c>
      <c r="G225" s="39" t="n">
        <v>576923076.923076</v>
      </c>
      <c r="H225" s="33" t="n">
        <f aca="false">J224</f>
        <v>576923076.923076</v>
      </c>
      <c r="I225" s="33" t="n">
        <f aca="false">H225*N225</f>
        <v>7415865.38461538</v>
      </c>
      <c r="J225" s="33" t="n">
        <f aca="false">H225-E225</f>
        <v>576923076.923076</v>
      </c>
      <c r="K225" s="33" t="n">
        <f aca="false">D225-I225</f>
        <v>0</v>
      </c>
      <c r="L225" s="33" t="n">
        <f aca="false">G225-J225</f>
        <v>0</v>
      </c>
      <c r="M225" s="33" t="n">
        <f aca="false">F225</f>
        <v>7415865.38461538</v>
      </c>
      <c r="N225" s="64" t="n">
        <v>0.0128541666666667</v>
      </c>
      <c r="O225" s="48" t="n">
        <f aca="false">IF(AND(B225&gt;=DATE(2026,1,1),B225&lt;=Resumen!$C$5),1,0)</f>
        <v>0</v>
      </c>
      <c r="P225" s="48" t="n">
        <f aca="false">IF(AND(B225&gt;Resumen!$C$5,B225&lt;=DATE(2027,7,31)),1,0)</f>
        <v>0</v>
      </c>
    </row>
    <row r="226" customFormat="false" ht="15" hidden="false" customHeight="false" outlineLevel="0" collapsed="false">
      <c r="A226" s="38" t="n">
        <v>214</v>
      </c>
      <c r="B226" s="27" t="n">
        <v>50918</v>
      </c>
      <c r="C226" s="39" t="n">
        <v>576923076.923076</v>
      </c>
      <c r="D226" s="39" t="n">
        <v>7415865.38461538</v>
      </c>
      <c r="E226" s="39" t="n">
        <v>0</v>
      </c>
      <c r="F226" s="39" t="n">
        <v>7415865.38461538</v>
      </c>
      <c r="G226" s="39" t="n">
        <v>576923076.923076</v>
      </c>
      <c r="H226" s="33" t="n">
        <f aca="false">J225</f>
        <v>576923076.923076</v>
      </c>
      <c r="I226" s="33" t="n">
        <f aca="false">H226*N226</f>
        <v>7415865.38461538</v>
      </c>
      <c r="J226" s="33" t="n">
        <f aca="false">H226-E226</f>
        <v>576923076.923076</v>
      </c>
      <c r="K226" s="33" t="n">
        <f aca="false">D226-I226</f>
        <v>0</v>
      </c>
      <c r="L226" s="33" t="n">
        <f aca="false">G226-J226</f>
        <v>0</v>
      </c>
      <c r="M226" s="33" t="n">
        <f aca="false">F226</f>
        <v>7415865.38461538</v>
      </c>
      <c r="N226" s="64" t="n">
        <v>0.0128541666666667</v>
      </c>
      <c r="O226" s="48" t="n">
        <f aca="false">IF(AND(B226&gt;=DATE(2026,1,1),B226&lt;=Resumen!$C$5),1,0)</f>
        <v>0</v>
      </c>
      <c r="P226" s="48" t="n">
        <f aca="false">IF(AND(B226&gt;Resumen!$C$5,B226&lt;=DATE(2027,7,31)),1,0)</f>
        <v>0</v>
      </c>
    </row>
    <row r="227" customFormat="false" ht="15" hidden="false" customHeight="false" outlineLevel="0" collapsed="false">
      <c r="A227" s="38" t="n">
        <v>215</v>
      </c>
      <c r="B227" s="27" t="n">
        <v>50949</v>
      </c>
      <c r="C227" s="39" t="n">
        <v>576923076.923076</v>
      </c>
      <c r="D227" s="39" t="n">
        <v>7415865.38461538</v>
      </c>
      <c r="E227" s="39" t="n">
        <v>0</v>
      </c>
      <c r="F227" s="39" t="n">
        <v>7415865.38461538</v>
      </c>
      <c r="G227" s="39" t="n">
        <v>576923076.923076</v>
      </c>
      <c r="H227" s="33" t="n">
        <f aca="false">J226</f>
        <v>576923076.923076</v>
      </c>
      <c r="I227" s="33" t="n">
        <f aca="false">H227*N227</f>
        <v>7415865.38461538</v>
      </c>
      <c r="J227" s="33" t="n">
        <f aca="false">H227-E227</f>
        <v>576923076.923076</v>
      </c>
      <c r="K227" s="33" t="n">
        <f aca="false">D227-I227</f>
        <v>0</v>
      </c>
      <c r="L227" s="33" t="n">
        <f aca="false">G227-J227</f>
        <v>0</v>
      </c>
      <c r="M227" s="33" t="n">
        <f aca="false">F227</f>
        <v>7415865.38461538</v>
      </c>
      <c r="N227" s="64" t="n">
        <v>0.0128541666666667</v>
      </c>
      <c r="O227" s="48" t="n">
        <f aca="false">IF(AND(B227&gt;=DATE(2026,1,1),B227&lt;=Resumen!$C$5),1,0)</f>
        <v>0</v>
      </c>
      <c r="P227" s="48" t="n">
        <f aca="false">IF(AND(B227&gt;Resumen!$C$5,B227&lt;=DATE(2027,7,31)),1,0)</f>
        <v>0</v>
      </c>
    </row>
    <row r="228" customFormat="false" ht="15" hidden="false" customHeight="false" outlineLevel="0" collapsed="false">
      <c r="A228" s="38" t="n">
        <v>216</v>
      </c>
      <c r="B228" s="27" t="n">
        <v>50979</v>
      </c>
      <c r="C228" s="39" t="n">
        <v>576923076.923076</v>
      </c>
      <c r="D228" s="39" t="n">
        <v>7415865.38461538</v>
      </c>
      <c r="E228" s="39" t="n">
        <v>115384615.384615</v>
      </c>
      <c r="F228" s="39" t="n">
        <v>122800480.769231</v>
      </c>
      <c r="G228" s="39" t="n">
        <v>461538461.538461</v>
      </c>
      <c r="H228" s="33" t="n">
        <f aca="false">J227</f>
        <v>576923076.923076</v>
      </c>
      <c r="I228" s="33" t="n">
        <f aca="false">H228*N228</f>
        <v>7415865.38461538</v>
      </c>
      <c r="J228" s="33" t="n">
        <f aca="false">H228-E228</f>
        <v>461538461.538461</v>
      </c>
      <c r="K228" s="33" t="n">
        <f aca="false">D228-I228</f>
        <v>0</v>
      </c>
      <c r="L228" s="33" t="n">
        <f aca="false">G228-J228</f>
        <v>0</v>
      </c>
      <c r="M228" s="33" t="n">
        <f aca="false">F228</f>
        <v>122800480.769231</v>
      </c>
      <c r="N228" s="64" t="n">
        <v>0.0128541666666667</v>
      </c>
      <c r="O228" s="48" t="n">
        <f aca="false">IF(AND(B228&gt;=DATE(2026,1,1),B228&lt;=Resumen!$C$5),1,0)</f>
        <v>0</v>
      </c>
      <c r="P228" s="48" t="n">
        <f aca="false">IF(AND(B228&gt;Resumen!$C$5,B228&lt;=DATE(2027,7,31)),1,0)</f>
        <v>0</v>
      </c>
    </row>
    <row r="229" customFormat="false" ht="15" hidden="false" customHeight="false" outlineLevel="0" collapsed="false">
      <c r="A229" s="38" t="n">
        <v>217</v>
      </c>
      <c r="B229" s="27" t="n">
        <v>51010</v>
      </c>
      <c r="C229" s="39" t="n">
        <v>461538461.538461</v>
      </c>
      <c r="D229" s="39" t="n">
        <v>5932692.3076923</v>
      </c>
      <c r="E229" s="39" t="n">
        <v>0</v>
      </c>
      <c r="F229" s="39" t="n">
        <v>5932692.3076923</v>
      </c>
      <c r="G229" s="39" t="n">
        <v>461538461.538461</v>
      </c>
      <c r="H229" s="33" t="n">
        <f aca="false">J228</f>
        <v>461538461.538461</v>
      </c>
      <c r="I229" s="33" t="n">
        <f aca="false">H229*N229</f>
        <v>5932692.3076923</v>
      </c>
      <c r="J229" s="33" t="n">
        <f aca="false">H229-E229</f>
        <v>461538461.538461</v>
      </c>
      <c r="K229" s="33" t="n">
        <f aca="false">D229-I229</f>
        <v>0</v>
      </c>
      <c r="L229" s="33" t="n">
        <f aca="false">G229-J229</f>
        <v>0</v>
      </c>
      <c r="M229" s="33" t="n">
        <f aca="false">F229</f>
        <v>5932692.3076923</v>
      </c>
      <c r="N229" s="64" t="n">
        <v>0.0128541666666667</v>
      </c>
      <c r="O229" s="48" t="n">
        <f aca="false">IF(AND(B229&gt;=DATE(2026,1,1),B229&lt;=Resumen!$C$5),1,0)</f>
        <v>0</v>
      </c>
      <c r="P229" s="48" t="n">
        <f aca="false">IF(AND(B229&gt;Resumen!$C$5,B229&lt;=DATE(2027,7,31)),1,0)</f>
        <v>0</v>
      </c>
    </row>
    <row r="230" customFormat="false" ht="15" hidden="false" customHeight="false" outlineLevel="0" collapsed="false">
      <c r="A230" s="38" t="n">
        <v>218</v>
      </c>
      <c r="B230" s="27" t="n">
        <v>51041</v>
      </c>
      <c r="C230" s="39" t="n">
        <v>461538461.538461</v>
      </c>
      <c r="D230" s="39" t="n">
        <v>5932692.3076923</v>
      </c>
      <c r="E230" s="39" t="n">
        <v>0</v>
      </c>
      <c r="F230" s="39" t="n">
        <v>5932692.3076923</v>
      </c>
      <c r="G230" s="39" t="n">
        <v>461538461.538461</v>
      </c>
      <c r="H230" s="33" t="n">
        <f aca="false">J229</f>
        <v>461538461.538461</v>
      </c>
      <c r="I230" s="33" t="n">
        <f aca="false">H230*N230</f>
        <v>5932692.3076923</v>
      </c>
      <c r="J230" s="33" t="n">
        <f aca="false">H230-E230</f>
        <v>461538461.538461</v>
      </c>
      <c r="K230" s="33" t="n">
        <f aca="false">D230-I230</f>
        <v>0</v>
      </c>
      <c r="L230" s="33" t="n">
        <f aca="false">G230-J230</f>
        <v>0</v>
      </c>
      <c r="M230" s="33" t="n">
        <f aca="false">F230</f>
        <v>5932692.3076923</v>
      </c>
      <c r="N230" s="64" t="n">
        <v>0.0128541666666667</v>
      </c>
      <c r="O230" s="48" t="n">
        <f aca="false">IF(AND(B230&gt;=DATE(2026,1,1),B230&lt;=Resumen!$C$5),1,0)</f>
        <v>0</v>
      </c>
      <c r="P230" s="48" t="n">
        <f aca="false">IF(AND(B230&gt;Resumen!$C$5,B230&lt;=DATE(2027,7,31)),1,0)</f>
        <v>0</v>
      </c>
    </row>
    <row r="231" customFormat="false" ht="15" hidden="false" customHeight="false" outlineLevel="0" collapsed="false">
      <c r="A231" s="38" t="n">
        <v>219</v>
      </c>
      <c r="B231" s="27" t="n">
        <v>51071</v>
      </c>
      <c r="C231" s="39" t="n">
        <v>461538461.538461</v>
      </c>
      <c r="D231" s="39" t="n">
        <v>5932692.3076923</v>
      </c>
      <c r="E231" s="39" t="n">
        <v>0</v>
      </c>
      <c r="F231" s="39" t="n">
        <v>5932692.3076923</v>
      </c>
      <c r="G231" s="39" t="n">
        <v>461538461.538461</v>
      </c>
      <c r="H231" s="33" t="n">
        <f aca="false">J230</f>
        <v>461538461.538461</v>
      </c>
      <c r="I231" s="33" t="n">
        <f aca="false">H231*N231</f>
        <v>5932692.3076923</v>
      </c>
      <c r="J231" s="33" t="n">
        <f aca="false">H231-E231</f>
        <v>461538461.538461</v>
      </c>
      <c r="K231" s="33" t="n">
        <f aca="false">D231-I231</f>
        <v>0</v>
      </c>
      <c r="L231" s="33" t="n">
        <f aca="false">G231-J231</f>
        <v>0</v>
      </c>
      <c r="M231" s="33" t="n">
        <f aca="false">F231</f>
        <v>5932692.3076923</v>
      </c>
      <c r="N231" s="64" t="n">
        <v>0.0128541666666667</v>
      </c>
      <c r="O231" s="48" t="n">
        <f aca="false">IF(AND(B231&gt;=DATE(2026,1,1),B231&lt;=Resumen!$C$5),1,0)</f>
        <v>0</v>
      </c>
      <c r="P231" s="48" t="n">
        <f aca="false">IF(AND(B231&gt;Resumen!$C$5,B231&lt;=DATE(2027,7,31)),1,0)</f>
        <v>0</v>
      </c>
    </row>
    <row r="232" customFormat="false" ht="15" hidden="false" customHeight="false" outlineLevel="0" collapsed="false">
      <c r="A232" s="38" t="n">
        <v>220</v>
      </c>
      <c r="B232" s="27" t="n">
        <v>51102</v>
      </c>
      <c r="C232" s="39" t="n">
        <v>461538461.538461</v>
      </c>
      <c r="D232" s="39" t="n">
        <v>5932692.3076923</v>
      </c>
      <c r="E232" s="39" t="n">
        <v>0</v>
      </c>
      <c r="F232" s="39" t="n">
        <v>5932692.3076923</v>
      </c>
      <c r="G232" s="39" t="n">
        <v>461538461.538461</v>
      </c>
      <c r="H232" s="33" t="n">
        <f aca="false">J231</f>
        <v>461538461.538461</v>
      </c>
      <c r="I232" s="33" t="n">
        <f aca="false">H232*N232</f>
        <v>5932692.3076923</v>
      </c>
      <c r="J232" s="33" t="n">
        <f aca="false">H232-E232</f>
        <v>461538461.538461</v>
      </c>
      <c r="K232" s="33" t="n">
        <f aca="false">D232-I232</f>
        <v>0</v>
      </c>
      <c r="L232" s="33" t="n">
        <f aca="false">G232-J232</f>
        <v>0</v>
      </c>
      <c r="M232" s="33" t="n">
        <f aca="false">F232</f>
        <v>5932692.3076923</v>
      </c>
      <c r="N232" s="64" t="n">
        <v>0.0128541666666667</v>
      </c>
      <c r="O232" s="48" t="n">
        <f aca="false">IF(AND(B232&gt;=DATE(2026,1,1),B232&lt;=Resumen!$C$5),1,0)</f>
        <v>0</v>
      </c>
      <c r="P232" s="48" t="n">
        <f aca="false">IF(AND(B232&gt;Resumen!$C$5,B232&lt;=DATE(2027,7,31)),1,0)</f>
        <v>0</v>
      </c>
    </row>
    <row r="233" customFormat="false" ht="15" hidden="false" customHeight="false" outlineLevel="0" collapsed="false">
      <c r="A233" s="38" t="n">
        <v>221</v>
      </c>
      <c r="B233" s="27" t="n">
        <v>51132</v>
      </c>
      <c r="C233" s="39" t="n">
        <v>461538461.538461</v>
      </c>
      <c r="D233" s="39" t="n">
        <v>5932692.3076923</v>
      </c>
      <c r="E233" s="39" t="n">
        <v>0</v>
      </c>
      <c r="F233" s="39" t="n">
        <v>5932692.3076923</v>
      </c>
      <c r="G233" s="39" t="n">
        <v>461538461.538461</v>
      </c>
      <c r="H233" s="33" t="n">
        <f aca="false">J232</f>
        <v>461538461.538461</v>
      </c>
      <c r="I233" s="33" t="n">
        <f aca="false">H233*N233</f>
        <v>5932692.3076923</v>
      </c>
      <c r="J233" s="33" t="n">
        <f aca="false">H233-E233</f>
        <v>461538461.538461</v>
      </c>
      <c r="K233" s="33" t="n">
        <f aca="false">D233-I233</f>
        <v>0</v>
      </c>
      <c r="L233" s="33" t="n">
        <f aca="false">G233-J233</f>
        <v>0</v>
      </c>
      <c r="M233" s="33" t="n">
        <f aca="false">F233</f>
        <v>5932692.3076923</v>
      </c>
      <c r="N233" s="64" t="n">
        <v>0.0128541666666667</v>
      </c>
      <c r="O233" s="48" t="n">
        <f aca="false">IF(AND(B233&gt;=DATE(2026,1,1),B233&lt;=Resumen!$C$5),1,0)</f>
        <v>0</v>
      </c>
      <c r="P233" s="48" t="n">
        <f aca="false">IF(AND(B233&gt;Resumen!$C$5,B233&lt;=DATE(2027,7,31)),1,0)</f>
        <v>0</v>
      </c>
    </row>
    <row r="234" customFormat="false" ht="15" hidden="false" customHeight="false" outlineLevel="0" collapsed="false">
      <c r="A234" s="38" t="n">
        <v>222</v>
      </c>
      <c r="B234" s="27" t="n">
        <v>51163</v>
      </c>
      <c r="C234" s="39" t="n">
        <v>461538461.538461</v>
      </c>
      <c r="D234" s="39" t="n">
        <v>5932692.3076923</v>
      </c>
      <c r="E234" s="39" t="n">
        <v>115384615.384615</v>
      </c>
      <c r="F234" s="39" t="n">
        <v>121317307.692308</v>
      </c>
      <c r="G234" s="39" t="n">
        <v>346153846.153845</v>
      </c>
      <c r="H234" s="33" t="n">
        <f aca="false">J233</f>
        <v>461538461.538461</v>
      </c>
      <c r="I234" s="33" t="n">
        <f aca="false">H234*N234</f>
        <v>5932692.3076923</v>
      </c>
      <c r="J234" s="33" t="n">
        <f aca="false">H234-E234</f>
        <v>346153846.153845</v>
      </c>
      <c r="K234" s="33" t="n">
        <f aca="false">D234-I234</f>
        <v>0</v>
      </c>
      <c r="L234" s="33" t="n">
        <f aca="false">G234-J234</f>
        <v>0</v>
      </c>
      <c r="M234" s="33" t="n">
        <f aca="false">F234</f>
        <v>121317307.692308</v>
      </c>
      <c r="N234" s="64" t="n">
        <v>0.0128541666666667</v>
      </c>
      <c r="O234" s="48" t="n">
        <f aca="false">IF(AND(B234&gt;=DATE(2026,1,1),B234&lt;=Resumen!$C$5),1,0)</f>
        <v>0</v>
      </c>
      <c r="P234" s="48" t="n">
        <f aca="false">IF(AND(B234&gt;Resumen!$C$5,B234&lt;=DATE(2027,7,31)),1,0)</f>
        <v>0</v>
      </c>
    </row>
    <row r="235" customFormat="false" ht="15" hidden="false" customHeight="false" outlineLevel="0" collapsed="false">
      <c r="A235" s="38" t="n">
        <v>223</v>
      </c>
      <c r="B235" s="27" t="n">
        <v>51194</v>
      </c>
      <c r="C235" s="39" t="n">
        <v>346153846.153845</v>
      </c>
      <c r="D235" s="39" t="n">
        <v>4449519.23076922</v>
      </c>
      <c r="E235" s="39" t="n">
        <v>0</v>
      </c>
      <c r="F235" s="39" t="n">
        <v>4449519.23076922</v>
      </c>
      <c r="G235" s="39" t="n">
        <v>346153846.153845</v>
      </c>
      <c r="H235" s="33" t="n">
        <f aca="false">J234</f>
        <v>346153846.153845</v>
      </c>
      <c r="I235" s="33" t="n">
        <f aca="false">H235*N235</f>
        <v>4449519.23076922</v>
      </c>
      <c r="J235" s="33" t="n">
        <f aca="false">H235-E235</f>
        <v>346153846.153845</v>
      </c>
      <c r="K235" s="33" t="n">
        <f aca="false">D235-I235</f>
        <v>0</v>
      </c>
      <c r="L235" s="33" t="n">
        <f aca="false">G235-J235</f>
        <v>0</v>
      </c>
      <c r="M235" s="33" t="n">
        <f aca="false">F235</f>
        <v>4449519.23076922</v>
      </c>
      <c r="N235" s="64" t="n">
        <v>0.0128541666666667</v>
      </c>
      <c r="O235" s="48" t="n">
        <f aca="false">IF(AND(B235&gt;=DATE(2026,1,1),B235&lt;=Resumen!$C$5),1,0)</f>
        <v>0</v>
      </c>
      <c r="P235" s="48" t="n">
        <f aca="false">IF(AND(B235&gt;Resumen!$C$5,B235&lt;=DATE(2027,7,31)),1,0)</f>
        <v>0</v>
      </c>
    </row>
    <row r="236" customFormat="false" ht="15" hidden="false" customHeight="false" outlineLevel="0" collapsed="false">
      <c r="A236" s="38" t="n">
        <v>224</v>
      </c>
      <c r="B236" s="27" t="n">
        <v>51223</v>
      </c>
      <c r="C236" s="39" t="n">
        <v>346153846.153845</v>
      </c>
      <c r="D236" s="39" t="n">
        <v>4449519.23076922</v>
      </c>
      <c r="E236" s="39" t="n">
        <v>0</v>
      </c>
      <c r="F236" s="39" t="n">
        <v>4449519.23076922</v>
      </c>
      <c r="G236" s="39" t="n">
        <v>346153846.153845</v>
      </c>
      <c r="H236" s="33" t="n">
        <f aca="false">J235</f>
        <v>346153846.153845</v>
      </c>
      <c r="I236" s="33" t="n">
        <f aca="false">H236*N236</f>
        <v>4449519.23076922</v>
      </c>
      <c r="J236" s="33" t="n">
        <f aca="false">H236-E236</f>
        <v>346153846.153845</v>
      </c>
      <c r="K236" s="33" t="n">
        <f aca="false">D236-I236</f>
        <v>0</v>
      </c>
      <c r="L236" s="33" t="n">
        <f aca="false">G236-J236</f>
        <v>0</v>
      </c>
      <c r="M236" s="33" t="n">
        <f aca="false">F236</f>
        <v>4449519.23076922</v>
      </c>
      <c r="N236" s="64" t="n">
        <v>0.0128541666666667</v>
      </c>
      <c r="O236" s="48" t="n">
        <f aca="false">IF(AND(B236&gt;=DATE(2026,1,1),B236&lt;=Resumen!$C$5),1,0)</f>
        <v>0</v>
      </c>
      <c r="P236" s="48" t="n">
        <f aca="false">IF(AND(B236&gt;Resumen!$C$5,B236&lt;=DATE(2027,7,31)),1,0)</f>
        <v>0</v>
      </c>
    </row>
    <row r="237" customFormat="false" ht="15" hidden="false" customHeight="false" outlineLevel="0" collapsed="false">
      <c r="A237" s="38" t="n">
        <v>225</v>
      </c>
      <c r="B237" s="27" t="n">
        <v>51254</v>
      </c>
      <c r="C237" s="39" t="n">
        <v>346153846.153845</v>
      </c>
      <c r="D237" s="39" t="n">
        <v>4449519.23076922</v>
      </c>
      <c r="E237" s="39" t="n">
        <v>0</v>
      </c>
      <c r="F237" s="39" t="n">
        <v>4449519.23076922</v>
      </c>
      <c r="G237" s="39" t="n">
        <v>346153846.153845</v>
      </c>
      <c r="H237" s="33" t="n">
        <f aca="false">J236</f>
        <v>346153846.153845</v>
      </c>
      <c r="I237" s="33" t="n">
        <f aca="false">H237*N237</f>
        <v>4449519.23076922</v>
      </c>
      <c r="J237" s="33" t="n">
        <f aca="false">H237-E237</f>
        <v>346153846.153845</v>
      </c>
      <c r="K237" s="33" t="n">
        <f aca="false">D237-I237</f>
        <v>0</v>
      </c>
      <c r="L237" s="33" t="n">
        <f aca="false">G237-J237</f>
        <v>0</v>
      </c>
      <c r="M237" s="33" t="n">
        <f aca="false">F237</f>
        <v>4449519.23076922</v>
      </c>
      <c r="N237" s="64" t="n">
        <v>0.0128541666666667</v>
      </c>
      <c r="O237" s="48" t="n">
        <f aca="false">IF(AND(B237&gt;=DATE(2026,1,1),B237&lt;=Resumen!$C$5),1,0)</f>
        <v>0</v>
      </c>
      <c r="P237" s="48" t="n">
        <f aca="false">IF(AND(B237&gt;Resumen!$C$5,B237&lt;=DATE(2027,7,31)),1,0)</f>
        <v>0</v>
      </c>
    </row>
    <row r="238" customFormat="false" ht="15" hidden="false" customHeight="false" outlineLevel="0" collapsed="false">
      <c r="A238" s="38" t="n">
        <v>226</v>
      </c>
      <c r="B238" s="27" t="n">
        <v>51284</v>
      </c>
      <c r="C238" s="39" t="n">
        <v>346153846.153845</v>
      </c>
      <c r="D238" s="39" t="n">
        <v>4449519.23076922</v>
      </c>
      <c r="E238" s="39" t="n">
        <v>0</v>
      </c>
      <c r="F238" s="39" t="n">
        <v>4449519.23076922</v>
      </c>
      <c r="G238" s="39" t="n">
        <v>346153846.153845</v>
      </c>
      <c r="H238" s="33" t="n">
        <f aca="false">J237</f>
        <v>346153846.153845</v>
      </c>
      <c r="I238" s="33" t="n">
        <f aca="false">H238*N238</f>
        <v>4449519.23076922</v>
      </c>
      <c r="J238" s="33" t="n">
        <f aca="false">H238-E238</f>
        <v>346153846.153845</v>
      </c>
      <c r="K238" s="33" t="n">
        <f aca="false">D238-I238</f>
        <v>0</v>
      </c>
      <c r="L238" s="33" t="n">
        <f aca="false">G238-J238</f>
        <v>0</v>
      </c>
      <c r="M238" s="33" t="n">
        <f aca="false">F238</f>
        <v>4449519.23076922</v>
      </c>
      <c r="N238" s="64" t="n">
        <v>0.0128541666666667</v>
      </c>
      <c r="O238" s="48" t="n">
        <f aca="false">IF(AND(B238&gt;=DATE(2026,1,1),B238&lt;=Resumen!$C$5),1,0)</f>
        <v>0</v>
      </c>
      <c r="P238" s="48" t="n">
        <f aca="false">IF(AND(B238&gt;Resumen!$C$5,B238&lt;=DATE(2027,7,31)),1,0)</f>
        <v>0</v>
      </c>
    </row>
    <row r="239" customFormat="false" ht="15" hidden="false" customHeight="false" outlineLevel="0" collapsed="false">
      <c r="A239" s="38" t="n">
        <v>227</v>
      </c>
      <c r="B239" s="27" t="n">
        <v>51315</v>
      </c>
      <c r="C239" s="39" t="n">
        <v>346153846.153845</v>
      </c>
      <c r="D239" s="39" t="n">
        <v>4449519.23076922</v>
      </c>
      <c r="E239" s="39" t="n">
        <v>0</v>
      </c>
      <c r="F239" s="39" t="n">
        <v>4449519.23076922</v>
      </c>
      <c r="G239" s="39" t="n">
        <v>346153846.153845</v>
      </c>
      <c r="H239" s="33" t="n">
        <f aca="false">J238</f>
        <v>346153846.153845</v>
      </c>
      <c r="I239" s="33" t="n">
        <f aca="false">H239*N239</f>
        <v>4449519.23076922</v>
      </c>
      <c r="J239" s="33" t="n">
        <f aca="false">H239-E239</f>
        <v>346153846.153845</v>
      </c>
      <c r="K239" s="33" t="n">
        <f aca="false">D239-I239</f>
        <v>0</v>
      </c>
      <c r="L239" s="33" t="n">
        <f aca="false">G239-J239</f>
        <v>0</v>
      </c>
      <c r="M239" s="33" t="n">
        <f aca="false">F239</f>
        <v>4449519.23076922</v>
      </c>
      <c r="N239" s="64" t="n">
        <v>0.0128541666666667</v>
      </c>
      <c r="O239" s="48" t="n">
        <f aca="false">IF(AND(B239&gt;=DATE(2026,1,1),B239&lt;=Resumen!$C$5),1,0)</f>
        <v>0</v>
      </c>
      <c r="P239" s="48" t="n">
        <f aca="false">IF(AND(B239&gt;Resumen!$C$5,B239&lt;=DATE(2027,7,31)),1,0)</f>
        <v>0</v>
      </c>
    </row>
    <row r="240" customFormat="false" ht="15" hidden="false" customHeight="false" outlineLevel="0" collapsed="false">
      <c r="A240" s="38" t="n">
        <v>228</v>
      </c>
      <c r="B240" s="27" t="n">
        <v>51345</v>
      </c>
      <c r="C240" s="39" t="n">
        <v>346153846.153845</v>
      </c>
      <c r="D240" s="39" t="n">
        <v>4449519.23076922</v>
      </c>
      <c r="E240" s="39" t="n">
        <v>115384615.384615</v>
      </c>
      <c r="F240" s="39" t="n">
        <v>119834134.615385</v>
      </c>
      <c r="G240" s="39" t="n">
        <v>230769230.76923</v>
      </c>
      <c r="H240" s="33" t="n">
        <f aca="false">J239</f>
        <v>346153846.153845</v>
      </c>
      <c r="I240" s="33" t="n">
        <f aca="false">H240*N240</f>
        <v>4449519.23076922</v>
      </c>
      <c r="J240" s="33" t="n">
        <f aca="false">H240-E240</f>
        <v>230769230.76923</v>
      </c>
      <c r="K240" s="33" t="n">
        <f aca="false">D240-I240</f>
        <v>0</v>
      </c>
      <c r="L240" s="33" t="n">
        <f aca="false">G240-J240</f>
        <v>0</v>
      </c>
      <c r="M240" s="33" t="n">
        <f aca="false">F240</f>
        <v>119834134.615385</v>
      </c>
      <c r="N240" s="64" t="n">
        <v>0.0128541666666667</v>
      </c>
      <c r="O240" s="48" t="n">
        <f aca="false">IF(AND(B240&gt;=DATE(2026,1,1),B240&lt;=Resumen!$C$5),1,0)</f>
        <v>0</v>
      </c>
      <c r="P240" s="48" t="n">
        <f aca="false">IF(AND(B240&gt;Resumen!$C$5,B240&lt;=DATE(2027,7,31)),1,0)</f>
        <v>0</v>
      </c>
    </row>
    <row r="241" customFormat="false" ht="15" hidden="false" customHeight="false" outlineLevel="0" collapsed="false">
      <c r="A241" s="38" t="n">
        <v>229</v>
      </c>
      <c r="B241" s="27" t="n">
        <v>51376</v>
      </c>
      <c r="C241" s="39" t="n">
        <v>230769230.76923</v>
      </c>
      <c r="D241" s="39" t="n">
        <v>2966346.15384614</v>
      </c>
      <c r="E241" s="39" t="n">
        <v>0</v>
      </c>
      <c r="F241" s="39" t="n">
        <v>2966346.15384614</v>
      </c>
      <c r="G241" s="39" t="n">
        <v>230769230.76923</v>
      </c>
      <c r="H241" s="33" t="n">
        <f aca="false">J240</f>
        <v>230769230.76923</v>
      </c>
      <c r="I241" s="33" t="n">
        <f aca="false">H241*N241</f>
        <v>2966346.15384614</v>
      </c>
      <c r="J241" s="33" t="n">
        <f aca="false">H241-E241</f>
        <v>230769230.76923</v>
      </c>
      <c r="K241" s="33" t="n">
        <f aca="false">D241-I241</f>
        <v>0</v>
      </c>
      <c r="L241" s="33" t="n">
        <f aca="false">G241-J241</f>
        <v>0</v>
      </c>
      <c r="M241" s="33" t="n">
        <f aca="false">F241</f>
        <v>2966346.15384614</v>
      </c>
      <c r="N241" s="64" t="n">
        <v>0.0128541666666667</v>
      </c>
      <c r="O241" s="48" t="n">
        <f aca="false">IF(AND(B241&gt;=DATE(2026,1,1),B241&lt;=Resumen!$C$5),1,0)</f>
        <v>0</v>
      </c>
      <c r="P241" s="48" t="n">
        <f aca="false">IF(AND(B241&gt;Resumen!$C$5,B241&lt;=DATE(2027,7,31)),1,0)</f>
        <v>0</v>
      </c>
    </row>
    <row r="242" customFormat="false" ht="15" hidden="false" customHeight="false" outlineLevel="0" collapsed="false">
      <c r="A242" s="38" t="n">
        <v>230</v>
      </c>
      <c r="B242" s="27" t="n">
        <v>51407</v>
      </c>
      <c r="C242" s="39" t="n">
        <v>230769230.76923</v>
      </c>
      <c r="D242" s="39" t="n">
        <v>2966346.15384614</v>
      </c>
      <c r="E242" s="39" t="n">
        <v>0</v>
      </c>
      <c r="F242" s="39" t="n">
        <v>2966346.15384614</v>
      </c>
      <c r="G242" s="39" t="n">
        <v>230769230.76923</v>
      </c>
      <c r="H242" s="33" t="n">
        <f aca="false">J241</f>
        <v>230769230.76923</v>
      </c>
      <c r="I242" s="33" t="n">
        <f aca="false">H242*N242</f>
        <v>2966346.15384614</v>
      </c>
      <c r="J242" s="33" t="n">
        <f aca="false">H242-E242</f>
        <v>230769230.76923</v>
      </c>
      <c r="K242" s="33" t="n">
        <f aca="false">D242-I242</f>
        <v>0</v>
      </c>
      <c r="L242" s="33" t="n">
        <f aca="false">G242-J242</f>
        <v>0</v>
      </c>
      <c r="M242" s="33" t="n">
        <f aca="false">F242</f>
        <v>2966346.15384614</v>
      </c>
      <c r="N242" s="64" t="n">
        <v>0.0128541666666667</v>
      </c>
      <c r="O242" s="48" t="n">
        <f aca="false">IF(AND(B242&gt;=DATE(2026,1,1),B242&lt;=Resumen!$C$5),1,0)</f>
        <v>0</v>
      </c>
      <c r="P242" s="48" t="n">
        <f aca="false">IF(AND(B242&gt;Resumen!$C$5,B242&lt;=DATE(2027,7,31)),1,0)</f>
        <v>0</v>
      </c>
    </row>
    <row r="243" customFormat="false" ht="15" hidden="false" customHeight="false" outlineLevel="0" collapsed="false">
      <c r="A243" s="38" t="n">
        <v>231</v>
      </c>
      <c r="B243" s="27" t="n">
        <v>51437</v>
      </c>
      <c r="C243" s="39" t="n">
        <v>230769230.76923</v>
      </c>
      <c r="D243" s="39" t="n">
        <v>2966346.15384614</v>
      </c>
      <c r="E243" s="39" t="n">
        <v>0</v>
      </c>
      <c r="F243" s="39" t="n">
        <v>2966346.15384614</v>
      </c>
      <c r="G243" s="39" t="n">
        <v>230769230.76923</v>
      </c>
      <c r="H243" s="33" t="n">
        <f aca="false">J242</f>
        <v>230769230.76923</v>
      </c>
      <c r="I243" s="33" t="n">
        <f aca="false">H243*N243</f>
        <v>2966346.15384614</v>
      </c>
      <c r="J243" s="33" t="n">
        <f aca="false">H243-E243</f>
        <v>230769230.76923</v>
      </c>
      <c r="K243" s="33" t="n">
        <f aca="false">D243-I243</f>
        <v>0</v>
      </c>
      <c r="L243" s="33" t="n">
        <f aca="false">G243-J243</f>
        <v>0</v>
      </c>
      <c r="M243" s="33" t="n">
        <f aca="false">F243</f>
        <v>2966346.15384614</v>
      </c>
      <c r="N243" s="64" t="n">
        <v>0.0128541666666667</v>
      </c>
      <c r="O243" s="48" t="n">
        <f aca="false">IF(AND(B243&gt;=DATE(2026,1,1),B243&lt;=Resumen!$C$5),1,0)</f>
        <v>0</v>
      </c>
      <c r="P243" s="48" t="n">
        <f aca="false">IF(AND(B243&gt;Resumen!$C$5,B243&lt;=DATE(2027,7,31)),1,0)</f>
        <v>0</v>
      </c>
    </row>
    <row r="244" customFormat="false" ht="15" hidden="false" customHeight="false" outlineLevel="0" collapsed="false">
      <c r="A244" s="38" t="n">
        <v>232</v>
      </c>
      <c r="B244" s="27" t="n">
        <v>51468</v>
      </c>
      <c r="C244" s="39" t="n">
        <v>230769230.76923</v>
      </c>
      <c r="D244" s="39" t="n">
        <v>2966346.15384614</v>
      </c>
      <c r="E244" s="39" t="n">
        <v>0</v>
      </c>
      <c r="F244" s="39" t="n">
        <v>2966346.15384614</v>
      </c>
      <c r="G244" s="39" t="n">
        <v>230769230.76923</v>
      </c>
      <c r="H244" s="33" t="n">
        <f aca="false">J243</f>
        <v>230769230.76923</v>
      </c>
      <c r="I244" s="33" t="n">
        <f aca="false">H244*N244</f>
        <v>2966346.15384614</v>
      </c>
      <c r="J244" s="33" t="n">
        <f aca="false">H244-E244</f>
        <v>230769230.76923</v>
      </c>
      <c r="K244" s="33" t="n">
        <f aca="false">D244-I244</f>
        <v>0</v>
      </c>
      <c r="L244" s="33" t="n">
        <f aca="false">G244-J244</f>
        <v>0</v>
      </c>
      <c r="M244" s="33" t="n">
        <f aca="false">F244</f>
        <v>2966346.15384614</v>
      </c>
      <c r="N244" s="64" t="n">
        <v>0.0128541666666667</v>
      </c>
      <c r="O244" s="48" t="n">
        <f aca="false">IF(AND(B244&gt;=DATE(2026,1,1),B244&lt;=Resumen!$C$5),1,0)</f>
        <v>0</v>
      </c>
      <c r="P244" s="48" t="n">
        <f aca="false">IF(AND(B244&gt;Resumen!$C$5,B244&lt;=DATE(2027,7,31)),1,0)</f>
        <v>0</v>
      </c>
    </row>
    <row r="245" customFormat="false" ht="15" hidden="false" customHeight="false" outlineLevel="0" collapsed="false">
      <c r="A245" s="38" t="n">
        <v>233</v>
      </c>
      <c r="B245" s="27" t="n">
        <v>51498</v>
      </c>
      <c r="C245" s="39" t="n">
        <v>230769230.76923</v>
      </c>
      <c r="D245" s="39" t="n">
        <v>2966346.15384614</v>
      </c>
      <c r="E245" s="39" t="n">
        <v>0</v>
      </c>
      <c r="F245" s="39" t="n">
        <v>2966346.15384614</v>
      </c>
      <c r="G245" s="39" t="n">
        <v>230769230.76923</v>
      </c>
      <c r="H245" s="33" t="n">
        <f aca="false">J244</f>
        <v>230769230.76923</v>
      </c>
      <c r="I245" s="33" t="n">
        <f aca="false">H245*N245</f>
        <v>2966346.15384614</v>
      </c>
      <c r="J245" s="33" t="n">
        <f aca="false">H245-E245</f>
        <v>230769230.76923</v>
      </c>
      <c r="K245" s="33" t="n">
        <f aca="false">D245-I245</f>
        <v>0</v>
      </c>
      <c r="L245" s="33" t="n">
        <f aca="false">G245-J245</f>
        <v>0</v>
      </c>
      <c r="M245" s="33" t="n">
        <f aca="false">F245</f>
        <v>2966346.15384614</v>
      </c>
      <c r="N245" s="64" t="n">
        <v>0.0128541666666667</v>
      </c>
      <c r="O245" s="48" t="n">
        <f aca="false">IF(AND(B245&gt;=DATE(2026,1,1),B245&lt;=Resumen!$C$5),1,0)</f>
        <v>0</v>
      </c>
      <c r="P245" s="48" t="n">
        <f aca="false">IF(AND(B245&gt;Resumen!$C$5,B245&lt;=DATE(2027,7,31)),1,0)</f>
        <v>0</v>
      </c>
    </row>
    <row r="246" customFormat="false" ht="15" hidden="false" customHeight="false" outlineLevel="0" collapsed="false">
      <c r="A246" s="38" t="n">
        <v>234</v>
      </c>
      <c r="B246" s="27" t="n">
        <v>51529</v>
      </c>
      <c r="C246" s="39" t="n">
        <v>230769230.76923</v>
      </c>
      <c r="D246" s="39" t="n">
        <v>2966346.15384614</v>
      </c>
      <c r="E246" s="39" t="n">
        <v>115384615.384615</v>
      </c>
      <c r="F246" s="39" t="n">
        <v>118350961.538462</v>
      </c>
      <c r="G246" s="39" t="n">
        <v>115384615.384615</v>
      </c>
      <c r="H246" s="33" t="n">
        <f aca="false">J245</f>
        <v>230769230.76923</v>
      </c>
      <c r="I246" s="33" t="n">
        <f aca="false">H246*N246</f>
        <v>2966346.15384614</v>
      </c>
      <c r="J246" s="33" t="n">
        <f aca="false">H246-E246</f>
        <v>115384615.384614</v>
      </c>
      <c r="K246" s="33" t="n">
        <f aca="false">D246-I246</f>
        <v>0</v>
      </c>
      <c r="L246" s="33" t="n">
        <f aca="false">G246-J246</f>
        <v>0</v>
      </c>
      <c r="M246" s="33" t="n">
        <f aca="false">F246</f>
        <v>118350961.538462</v>
      </c>
      <c r="N246" s="64" t="n">
        <v>0.0128541666666667</v>
      </c>
      <c r="O246" s="48" t="n">
        <f aca="false">IF(AND(B246&gt;=DATE(2026,1,1),B246&lt;=Resumen!$C$5),1,0)</f>
        <v>0</v>
      </c>
      <c r="P246" s="48" t="n">
        <f aca="false">IF(AND(B246&gt;Resumen!$C$5,B246&lt;=DATE(2027,7,31)),1,0)</f>
        <v>0</v>
      </c>
    </row>
    <row r="247" customFormat="false" ht="15" hidden="false" customHeight="false" outlineLevel="0" collapsed="false">
      <c r="A247" s="38" t="n">
        <v>235</v>
      </c>
      <c r="B247" s="27" t="n">
        <v>51560</v>
      </c>
      <c r="C247" s="39" t="n">
        <v>115384615.384615</v>
      </c>
      <c r="D247" s="39" t="n">
        <v>1483173.07692307</v>
      </c>
      <c r="E247" s="39" t="n">
        <v>0</v>
      </c>
      <c r="F247" s="39" t="n">
        <v>1483173.07692307</v>
      </c>
      <c r="G247" s="39" t="n">
        <v>115384615.384615</v>
      </c>
      <c r="H247" s="33" t="n">
        <f aca="false">J246</f>
        <v>115384615.384614</v>
      </c>
      <c r="I247" s="33" t="n">
        <f aca="false">H247*N247</f>
        <v>1483173.07692307</v>
      </c>
      <c r="J247" s="33" t="n">
        <f aca="false">H247-E247</f>
        <v>115384615.384614</v>
      </c>
      <c r="K247" s="33" t="n">
        <f aca="false">D247-I247</f>
        <v>0</v>
      </c>
      <c r="L247" s="33" t="n">
        <f aca="false">G247-J247</f>
        <v>0</v>
      </c>
      <c r="M247" s="33" t="n">
        <f aca="false">F247</f>
        <v>1483173.07692307</v>
      </c>
      <c r="N247" s="64" t="n">
        <v>0.0128541666666667</v>
      </c>
      <c r="O247" s="48" t="n">
        <f aca="false">IF(AND(B247&gt;=DATE(2026,1,1),B247&lt;=Resumen!$C$5),1,0)</f>
        <v>0</v>
      </c>
      <c r="P247" s="48" t="n">
        <f aca="false">IF(AND(B247&gt;Resumen!$C$5,B247&lt;=DATE(2027,7,31)),1,0)</f>
        <v>0</v>
      </c>
    </row>
    <row r="248" customFormat="false" ht="15" hidden="false" customHeight="false" outlineLevel="0" collapsed="false">
      <c r="A248" s="38" t="n">
        <v>236</v>
      </c>
      <c r="B248" s="27" t="n">
        <v>51588</v>
      </c>
      <c r="C248" s="39" t="n">
        <v>115384615.384615</v>
      </c>
      <c r="D248" s="39" t="n">
        <v>1483173.07692307</v>
      </c>
      <c r="E248" s="39" t="n">
        <v>0</v>
      </c>
      <c r="F248" s="39" t="n">
        <v>1483173.07692307</v>
      </c>
      <c r="G248" s="39" t="n">
        <v>115384615.384615</v>
      </c>
      <c r="H248" s="33" t="n">
        <f aca="false">J247</f>
        <v>115384615.384614</v>
      </c>
      <c r="I248" s="33" t="n">
        <f aca="false">H248*N248</f>
        <v>1483173.07692307</v>
      </c>
      <c r="J248" s="33" t="n">
        <f aca="false">H248-E248</f>
        <v>115384615.384614</v>
      </c>
      <c r="K248" s="33" t="n">
        <f aca="false">D248-I248</f>
        <v>0</v>
      </c>
      <c r="L248" s="33" t="n">
        <f aca="false">G248-J248</f>
        <v>0</v>
      </c>
      <c r="M248" s="33" t="n">
        <f aca="false">F248</f>
        <v>1483173.07692307</v>
      </c>
      <c r="N248" s="64" t="n">
        <v>0.0128541666666667</v>
      </c>
      <c r="O248" s="48" t="n">
        <f aca="false">IF(AND(B248&gt;=DATE(2026,1,1),B248&lt;=Resumen!$C$5),1,0)</f>
        <v>0</v>
      </c>
      <c r="P248" s="48" t="n">
        <f aca="false">IF(AND(B248&gt;Resumen!$C$5,B248&lt;=DATE(2027,7,31)),1,0)</f>
        <v>0</v>
      </c>
    </row>
    <row r="249" customFormat="false" ht="15" hidden="false" customHeight="false" outlineLevel="0" collapsed="false">
      <c r="A249" s="38" t="n">
        <v>237</v>
      </c>
      <c r="B249" s="27" t="n">
        <v>51619</v>
      </c>
      <c r="C249" s="39" t="n">
        <v>115384615.384615</v>
      </c>
      <c r="D249" s="39" t="n">
        <v>1483173.07692307</v>
      </c>
      <c r="E249" s="39" t="n">
        <v>0</v>
      </c>
      <c r="F249" s="39" t="n">
        <v>1483173.07692307</v>
      </c>
      <c r="G249" s="39" t="n">
        <v>115384615.384615</v>
      </c>
      <c r="H249" s="33" t="n">
        <f aca="false">J248</f>
        <v>115384615.384614</v>
      </c>
      <c r="I249" s="33" t="n">
        <f aca="false">H249*N249</f>
        <v>1483173.07692307</v>
      </c>
      <c r="J249" s="33" t="n">
        <f aca="false">H249-E249</f>
        <v>115384615.384614</v>
      </c>
      <c r="K249" s="33" t="n">
        <f aca="false">D249-I249</f>
        <v>0</v>
      </c>
      <c r="L249" s="33" t="n">
        <f aca="false">G249-J249</f>
        <v>0</v>
      </c>
      <c r="M249" s="33" t="n">
        <f aca="false">F249</f>
        <v>1483173.07692307</v>
      </c>
      <c r="N249" s="64" t="n">
        <v>0.0128541666666667</v>
      </c>
      <c r="O249" s="48" t="n">
        <f aca="false">IF(AND(B249&gt;=DATE(2026,1,1),B249&lt;=Resumen!$C$5),1,0)</f>
        <v>0</v>
      </c>
      <c r="P249" s="48" t="n">
        <f aca="false">IF(AND(B249&gt;Resumen!$C$5,B249&lt;=DATE(2027,7,31)),1,0)</f>
        <v>0</v>
      </c>
    </row>
    <row r="250" customFormat="false" ht="15" hidden="false" customHeight="false" outlineLevel="0" collapsed="false">
      <c r="A250" s="38" t="n">
        <v>238</v>
      </c>
      <c r="B250" s="27" t="n">
        <v>51649</v>
      </c>
      <c r="C250" s="39" t="n">
        <v>115384615.384615</v>
      </c>
      <c r="D250" s="39" t="n">
        <v>1483173.07692307</v>
      </c>
      <c r="E250" s="39" t="n">
        <v>0</v>
      </c>
      <c r="F250" s="39" t="n">
        <v>1483173.07692307</v>
      </c>
      <c r="G250" s="39" t="n">
        <v>115384615.384615</v>
      </c>
      <c r="H250" s="33" t="n">
        <f aca="false">J249</f>
        <v>115384615.384614</v>
      </c>
      <c r="I250" s="33" t="n">
        <f aca="false">H250*N250</f>
        <v>1483173.07692307</v>
      </c>
      <c r="J250" s="33" t="n">
        <f aca="false">H250-E250</f>
        <v>115384615.384614</v>
      </c>
      <c r="K250" s="33" t="n">
        <f aca="false">D250-I250</f>
        <v>0</v>
      </c>
      <c r="L250" s="33" t="n">
        <f aca="false">G250-J250</f>
        <v>0</v>
      </c>
      <c r="M250" s="33" t="n">
        <f aca="false">F250</f>
        <v>1483173.07692307</v>
      </c>
      <c r="N250" s="64" t="n">
        <v>0.0128541666666667</v>
      </c>
      <c r="O250" s="48" t="n">
        <f aca="false">IF(AND(B250&gt;=DATE(2026,1,1),B250&lt;=Resumen!$C$5),1,0)</f>
        <v>0</v>
      </c>
      <c r="P250" s="48" t="n">
        <f aca="false">IF(AND(B250&gt;Resumen!$C$5,B250&lt;=DATE(2027,7,31)),1,0)</f>
        <v>0</v>
      </c>
    </row>
    <row r="251" customFormat="false" ht="15" hidden="false" customHeight="false" outlineLevel="0" collapsed="false">
      <c r="A251" s="38" t="n">
        <v>239</v>
      </c>
      <c r="B251" s="27" t="n">
        <v>51680</v>
      </c>
      <c r="C251" s="39" t="n">
        <v>115384615.384615</v>
      </c>
      <c r="D251" s="39" t="n">
        <v>1483173.07692307</v>
      </c>
      <c r="E251" s="39" t="n">
        <v>0</v>
      </c>
      <c r="F251" s="39" t="n">
        <v>1483173.07692307</v>
      </c>
      <c r="G251" s="39" t="n">
        <v>115384615.384615</v>
      </c>
      <c r="H251" s="33" t="n">
        <f aca="false">J250</f>
        <v>115384615.384614</v>
      </c>
      <c r="I251" s="33" t="n">
        <f aca="false">H251*N251</f>
        <v>1483173.07692307</v>
      </c>
      <c r="J251" s="33" t="n">
        <f aca="false">H251-E251</f>
        <v>115384615.384614</v>
      </c>
      <c r="K251" s="33" t="n">
        <f aca="false">D251-I251</f>
        <v>0</v>
      </c>
      <c r="L251" s="33" t="n">
        <f aca="false">G251-J251</f>
        <v>0</v>
      </c>
      <c r="M251" s="33" t="n">
        <f aca="false">F251</f>
        <v>1483173.07692307</v>
      </c>
      <c r="N251" s="64" t="n">
        <v>0.0128541666666667</v>
      </c>
      <c r="O251" s="48" t="n">
        <f aca="false">IF(AND(B251&gt;=DATE(2026,1,1),B251&lt;=Resumen!$C$5),1,0)</f>
        <v>0</v>
      </c>
      <c r="P251" s="48" t="n">
        <f aca="false">IF(AND(B251&gt;Resumen!$C$5,B251&lt;=DATE(2027,7,31)),1,0)</f>
        <v>0</v>
      </c>
    </row>
    <row r="252" customFormat="false" ht="15" hidden="false" customHeight="false" outlineLevel="0" collapsed="false">
      <c r="A252" s="38" t="n">
        <v>240</v>
      </c>
      <c r="B252" s="27" t="n">
        <v>51710</v>
      </c>
      <c r="C252" s="39" t="n">
        <v>115384615.384615</v>
      </c>
      <c r="D252" s="39" t="n">
        <v>1483173.07692307</v>
      </c>
      <c r="E252" s="39" t="n">
        <v>115384615.384615</v>
      </c>
      <c r="F252" s="39" t="n">
        <v>116867788.461539</v>
      </c>
      <c r="G252" s="39" t="n">
        <v>0</v>
      </c>
      <c r="H252" s="33" t="n">
        <f aca="false">J251</f>
        <v>115384615.384614</v>
      </c>
      <c r="I252" s="33" t="n">
        <f aca="false">H252*N252</f>
        <v>1483173.07692307</v>
      </c>
      <c r="J252" s="33" t="n">
        <f aca="false">H252-E252</f>
        <v>-9.23871994018555E-007</v>
      </c>
      <c r="K252" s="33" t="n">
        <f aca="false">D252-I252</f>
        <v>0</v>
      </c>
      <c r="L252" s="33" t="n">
        <f aca="false">G252-J252</f>
        <v>9.23871994018555E-007</v>
      </c>
      <c r="M252" s="33" t="n">
        <f aca="false">F252</f>
        <v>116867788.461539</v>
      </c>
      <c r="N252" s="64" t="n">
        <v>0.0128541666666667</v>
      </c>
      <c r="O252" s="48" t="n">
        <f aca="false">IF(AND(B252&gt;=DATE(2026,1,1),B252&lt;=Resumen!$C$5),1,0)</f>
        <v>0</v>
      </c>
      <c r="P252" s="48" t="n">
        <f aca="false">IF(AND(B252&gt;Resumen!$C$5,B252&lt;=DATE(2027,7,31)),1,0)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1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1798</v>
      </c>
    </row>
    <row r="2" customFormat="false" ht="15" hidden="false" customHeight="false" outlineLevel="0" collapsed="false">
      <c r="A2" s="24" t="s">
        <v>1799</v>
      </c>
    </row>
    <row r="3" customFormat="false" ht="15" hidden="false" customHeight="false" outlineLevel="0" collapsed="false">
      <c r="A3" s="34" t="s">
        <v>1748</v>
      </c>
      <c r="C3" s="38" t="s">
        <v>1800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7500000000</v>
      </c>
      <c r="F4" s="26" t="s">
        <v>1752</v>
      </c>
      <c r="I4" s="57" t="n">
        <f aca="false">_xlfn.MAXIFS($B$12:$B$158,$B$12:$B$158,"&lt;="&amp;Resumen!$C$5)</f>
        <v>46220</v>
      </c>
    </row>
    <row r="5" customFormat="false" ht="15" hidden="false" customHeight="false" outlineLevel="0" collapsed="false">
      <c r="A5" s="34" t="s">
        <v>1753</v>
      </c>
      <c r="C5" s="27" t="n">
        <v>43207</v>
      </c>
      <c r="F5" s="26" t="s">
        <v>1754</v>
      </c>
      <c r="I5" s="58" t="n">
        <f aca="false">SUMIFS($G$12:$G$158,$B$12:$B$158,I4)</f>
        <v>2937500000</v>
      </c>
    </row>
    <row r="6" customFormat="false" ht="15" hidden="false" customHeight="false" outlineLevel="0" collapsed="false">
      <c r="A6" s="34" t="s">
        <v>1755</v>
      </c>
      <c r="C6" s="38" t="s">
        <v>1801</v>
      </c>
      <c r="F6" s="26" t="s">
        <v>1757</v>
      </c>
      <c r="I6" s="33" t="n">
        <f aca="false">SUMIFS($J$12:$J$158,$B$12:$B$158,I4)</f>
        <v>2937500000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SUMIFS($D$12:$D$158,$O$12:$O$158,1)</f>
        <v>284219218.75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IFERROR(IRR($M$12:$M$158),"N/A")</f>
        <v>N/A</v>
      </c>
      <c r="F8" s="26" t="s">
        <v>1761</v>
      </c>
      <c r="I8" s="33" t="n">
        <f aca="false">SUMIFS($E$12:$E$158,$P$12:$P$158,1)</f>
        <v>750000000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SUMPRODUCT(MAX(ABS($L$12:$L$158)))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43207</v>
      </c>
      <c r="C12" s="39" t="n">
        <v>7500000000</v>
      </c>
      <c r="D12" s="39" t="n">
        <v>0</v>
      </c>
      <c r="E12" s="39" t="n">
        <v>0</v>
      </c>
      <c r="F12" s="39" t="n">
        <v>0</v>
      </c>
      <c r="G12" s="39" t="n">
        <v>7500000000</v>
      </c>
      <c r="H12" s="33" t="n">
        <f aca="false">C12</f>
        <v>7500000000</v>
      </c>
      <c r="I12" s="33" t="n">
        <f aca="false">H12*N12</f>
        <v>55437500</v>
      </c>
      <c r="J12" s="33" t="n">
        <f aca="false">H12-E12</f>
        <v>7500000000</v>
      </c>
      <c r="K12" s="33" t="n">
        <f aca="false">D12-I12</f>
        <v>-55437500</v>
      </c>
      <c r="L12" s="33" t="n">
        <f aca="false">G12-J12</f>
        <v>0</v>
      </c>
      <c r="M12" s="33" t="n">
        <f aca="false">-$C$4</f>
        <v>-7500000000</v>
      </c>
      <c r="N12" s="64" t="n">
        <v>0.00739166666666667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43237</v>
      </c>
      <c r="C13" s="39" t="n">
        <v>7500000000</v>
      </c>
      <c r="D13" s="39" t="n">
        <v>55500000</v>
      </c>
      <c r="E13" s="39" t="n">
        <v>0</v>
      </c>
      <c r="F13" s="39" t="n">
        <v>55500000</v>
      </c>
      <c r="G13" s="39" t="n">
        <v>7500000000</v>
      </c>
      <c r="H13" s="33" t="n">
        <f aca="false">J12</f>
        <v>7500000000</v>
      </c>
      <c r="I13" s="33" t="n">
        <f aca="false">H13*N13</f>
        <v>55500000</v>
      </c>
      <c r="J13" s="33" t="n">
        <f aca="false">H13-E13</f>
        <v>7500000000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55500000</v>
      </c>
      <c r="N13" s="64" t="n">
        <v>0.0074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43268</v>
      </c>
      <c r="C14" s="39" t="n">
        <v>7500000000</v>
      </c>
      <c r="D14" s="39" t="n">
        <v>55875000</v>
      </c>
      <c r="E14" s="39" t="n">
        <v>0</v>
      </c>
      <c r="F14" s="39" t="n">
        <v>55875000</v>
      </c>
      <c r="G14" s="39" t="n">
        <v>7500000000</v>
      </c>
      <c r="H14" s="33" t="n">
        <f aca="false">J13</f>
        <v>7500000000</v>
      </c>
      <c r="I14" s="33" t="n">
        <f aca="false">H14*N14</f>
        <v>55875000</v>
      </c>
      <c r="J14" s="33" t="n">
        <f aca="false">H14-E14</f>
        <v>7500000000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55875000</v>
      </c>
      <c r="N14" s="64" t="n">
        <v>0.00745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43298</v>
      </c>
      <c r="C15" s="39" t="n">
        <v>7500000000</v>
      </c>
      <c r="D15" s="39" t="n">
        <v>55943750</v>
      </c>
      <c r="E15" s="39" t="n">
        <v>0</v>
      </c>
      <c r="F15" s="39" t="n">
        <v>55943750</v>
      </c>
      <c r="G15" s="39" t="n">
        <v>7500000000</v>
      </c>
      <c r="H15" s="33" t="n">
        <f aca="false">J14</f>
        <v>7500000000</v>
      </c>
      <c r="I15" s="33" t="n">
        <f aca="false">H15*N15</f>
        <v>55943750</v>
      </c>
      <c r="J15" s="33" t="n">
        <f aca="false">H15-E15</f>
        <v>7500000000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55943750</v>
      </c>
      <c r="N15" s="64" t="n">
        <v>0.00745916666666667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43329</v>
      </c>
      <c r="C16" s="39" t="n">
        <v>7500000000</v>
      </c>
      <c r="D16" s="39" t="n">
        <v>55943750</v>
      </c>
      <c r="E16" s="39" t="n">
        <v>0</v>
      </c>
      <c r="F16" s="39" t="n">
        <v>55943750</v>
      </c>
      <c r="G16" s="39" t="n">
        <v>7500000000</v>
      </c>
      <c r="H16" s="33" t="n">
        <f aca="false">J15</f>
        <v>7500000000</v>
      </c>
      <c r="I16" s="33" t="n">
        <f aca="false">H16*N16</f>
        <v>55943750</v>
      </c>
      <c r="J16" s="33" t="n">
        <f aca="false">H16-E16</f>
        <v>7500000000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55943750</v>
      </c>
      <c r="N16" s="64" t="n">
        <v>0.00745916666666667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43360</v>
      </c>
      <c r="C17" s="39" t="n">
        <v>7500000000</v>
      </c>
      <c r="D17" s="39" t="n">
        <v>55943750</v>
      </c>
      <c r="E17" s="39" t="n">
        <v>0</v>
      </c>
      <c r="F17" s="39" t="n">
        <v>55943750</v>
      </c>
      <c r="G17" s="39" t="n">
        <v>7500000000</v>
      </c>
      <c r="H17" s="33" t="n">
        <f aca="false">J16</f>
        <v>7500000000</v>
      </c>
      <c r="I17" s="33" t="n">
        <f aca="false">H17*N17</f>
        <v>55943750</v>
      </c>
      <c r="J17" s="33" t="n">
        <f aca="false">H17-E17</f>
        <v>7500000000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55943750</v>
      </c>
      <c r="N17" s="64" t="n">
        <v>0.00745916666666667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43390</v>
      </c>
      <c r="C18" s="39" t="n">
        <v>7500000000</v>
      </c>
      <c r="D18" s="39" t="n">
        <v>55943750</v>
      </c>
      <c r="E18" s="39" t="n">
        <v>0</v>
      </c>
      <c r="F18" s="39" t="n">
        <v>55943750</v>
      </c>
      <c r="G18" s="39" t="n">
        <v>7500000000</v>
      </c>
      <c r="H18" s="33" t="n">
        <f aca="false">J17</f>
        <v>7500000000</v>
      </c>
      <c r="I18" s="33" t="n">
        <f aca="false">H18*N18</f>
        <v>55943750</v>
      </c>
      <c r="J18" s="33" t="n">
        <f aca="false">H18-E18</f>
        <v>7500000000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55943750</v>
      </c>
      <c r="N18" s="64" t="n">
        <v>0.00745916666666667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43421</v>
      </c>
      <c r="C19" s="39" t="n">
        <v>7500000000</v>
      </c>
      <c r="D19" s="39" t="n">
        <v>55943750</v>
      </c>
      <c r="E19" s="39" t="n">
        <v>0</v>
      </c>
      <c r="F19" s="39" t="n">
        <v>55943750</v>
      </c>
      <c r="G19" s="39" t="n">
        <v>7500000000</v>
      </c>
      <c r="H19" s="33" t="n">
        <f aca="false">J18</f>
        <v>7500000000</v>
      </c>
      <c r="I19" s="33" t="n">
        <f aca="false">H19*N19</f>
        <v>55943750</v>
      </c>
      <c r="J19" s="33" t="n">
        <f aca="false">H19-E19</f>
        <v>7500000000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55943750</v>
      </c>
      <c r="N19" s="64" t="n">
        <v>0.00745916666666667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43451</v>
      </c>
      <c r="C20" s="39" t="n">
        <v>7500000000</v>
      </c>
      <c r="D20" s="39" t="n">
        <v>55943750</v>
      </c>
      <c r="E20" s="39" t="n">
        <v>0</v>
      </c>
      <c r="F20" s="39" t="n">
        <v>55943750</v>
      </c>
      <c r="G20" s="39" t="n">
        <v>7500000000</v>
      </c>
      <c r="H20" s="33" t="n">
        <f aca="false">J19</f>
        <v>7500000000</v>
      </c>
      <c r="I20" s="33" t="n">
        <f aca="false">H20*N20</f>
        <v>55943750</v>
      </c>
      <c r="J20" s="33" t="n">
        <f aca="false">H20-E20</f>
        <v>7500000000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55943750</v>
      </c>
      <c r="N20" s="64" t="n">
        <v>0.00745916666666667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43482</v>
      </c>
      <c r="C21" s="39" t="n">
        <v>7500000000</v>
      </c>
      <c r="D21" s="39" t="n">
        <v>55937500</v>
      </c>
      <c r="E21" s="39" t="n">
        <v>0</v>
      </c>
      <c r="F21" s="39" t="n">
        <v>55937500</v>
      </c>
      <c r="G21" s="39" t="n">
        <v>7500000000</v>
      </c>
      <c r="H21" s="33" t="n">
        <f aca="false">J20</f>
        <v>7500000000</v>
      </c>
      <c r="I21" s="33" t="n">
        <f aca="false">H21*N21</f>
        <v>55937500</v>
      </c>
      <c r="J21" s="33" t="n">
        <f aca="false">H21-E21</f>
        <v>7500000000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55937500</v>
      </c>
      <c r="N21" s="64" t="n">
        <v>0.00745833333333333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43513</v>
      </c>
      <c r="C22" s="39" t="n">
        <v>7500000000</v>
      </c>
      <c r="D22" s="39" t="n">
        <v>55937500</v>
      </c>
      <c r="E22" s="39" t="n">
        <v>0</v>
      </c>
      <c r="F22" s="39" t="n">
        <v>55937500</v>
      </c>
      <c r="G22" s="39" t="n">
        <v>7500000000</v>
      </c>
      <c r="H22" s="33" t="n">
        <f aca="false">J21</f>
        <v>7500000000</v>
      </c>
      <c r="I22" s="33" t="n">
        <f aca="false">H22*N22</f>
        <v>55937500</v>
      </c>
      <c r="J22" s="33" t="n">
        <f aca="false">H22-E22</f>
        <v>7500000000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55937500</v>
      </c>
      <c r="N22" s="64" t="n">
        <v>0.00745833333333333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43541</v>
      </c>
      <c r="C23" s="39" t="n">
        <v>7500000000</v>
      </c>
      <c r="D23" s="39" t="n">
        <v>55937500</v>
      </c>
      <c r="E23" s="39" t="n">
        <v>0</v>
      </c>
      <c r="F23" s="39" t="n">
        <v>55937500</v>
      </c>
      <c r="G23" s="39" t="n">
        <v>7500000000</v>
      </c>
      <c r="H23" s="33" t="n">
        <f aca="false">J22</f>
        <v>7500000000</v>
      </c>
      <c r="I23" s="33" t="n">
        <f aca="false">H23*N23</f>
        <v>55937500</v>
      </c>
      <c r="J23" s="33" t="n">
        <f aca="false">H23-E23</f>
        <v>7500000000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55937500</v>
      </c>
      <c r="N23" s="64" t="n">
        <v>0.00745833333333333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43572</v>
      </c>
      <c r="C24" s="39" t="n">
        <v>7500000000</v>
      </c>
      <c r="D24" s="39" t="n">
        <v>55937500</v>
      </c>
      <c r="E24" s="39" t="n">
        <v>0</v>
      </c>
      <c r="F24" s="39" t="n">
        <v>55937500</v>
      </c>
      <c r="G24" s="39" t="n">
        <v>7500000000</v>
      </c>
      <c r="H24" s="33" t="n">
        <f aca="false">J23</f>
        <v>7500000000</v>
      </c>
      <c r="I24" s="33" t="n">
        <f aca="false">H24*N24</f>
        <v>55937500</v>
      </c>
      <c r="J24" s="33" t="n">
        <f aca="false">H24-E24</f>
        <v>7500000000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55937500</v>
      </c>
      <c r="N24" s="64" t="n">
        <v>0.00745833333333333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43602</v>
      </c>
      <c r="C25" s="39" t="n">
        <v>7500000000</v>
      </c>
      <c r="D25" s="39" t="n">
        <v>55937500</v>
      </c>
      <c r="E25" s="39" t="n">
        <v>0</v>
      </c>
      <c r="F25" s="39" t="n">
        <v>55937500</v>
      </c>
      <c r="G25" s="39" t="n">
        <v>7500000000</v>
      </c>
      <c r="H25" s="33" t="n">
        <f aca="false">J24</f>
        <v>7500000000</v>
      </c>
      <c r="I25" s="33" t="n">
        <f aca="false">H25*N25</f>
        <v>55937500</v>
      </c>
      <c r="J25" s="33" t="n">
        <f aca="false">H25-E25</f>
        <v>7500000000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55937500</v>
      </c>
      <c r="N25" s="64" t="n">
        <v>0.00745833333333333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43633</v>
      </c>
      <c r="C26" s="39" t="n">
        <v>7500000000</v>
      </c>
      <c r="D26" s="39" t="n">
        <v>55937500</v>
      </c>
      <c r="E26" s="39" t="n">
        <v>0</v>
      </c>
      <c r="F26" s="39" t="n">
        <v>55937500</v>
      </c>
      <c r="G26" s="39" t="n">
        <v>7500000000</v>
      </c>
      <c r="H26" s="33" t="n">
        <f aca="false">J25</f>
        <v>7500000000</v>
      </c>
      <c r="I26" s="33" t="n">
        <f aca="false">H26*N26</f>
        <v>55937500</v>
      </c>
      <c r="J26" s="33" t="n">
        <f aca="false">H26-E26</f>
        <v>7500000000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55937500</v>
      </c>
      <c r="N26" s="64" t="n">
        <v>0.00745833333333333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43663</v>
      </c>
      <c r="C27" s="39" t="n">
        <v>7500000000</v>
      </c>
      <c r="D27" s="39" t="n">
        <v>55937500</v>
      </c>
      <c r="E27" s="39" t="n">
        <v>0</v>
      </c>
      <c r="F27" s="39" t="n">
        <v>55937500</v>
      </c>
      <c r="G27" s="39" t="n">
        <v>7500000000</v>
      </c>
      <c r="H27" s="33" t="n">
        <f aca="false">J26</f>
        <v>7500000000</v>
      </c>
      <c r="I27" s="33" t="n">
        <f aca="false">H27*N27</f>
        <v>55937500</v>
      </c>
      <c r="J27" s="33" t="n">
        <f aca="false">H27-E27</f>
        <v>7500000000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55937500</v>
      </c>
      <c r="N27" s="64" t="n">
        <v>0.00745833333333333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43694</v>
      </c>
      <c r="C28" s="39" t="n">
        <v>7500000000</v>
      </c>
      <c r="D28" s="39" t="n">
        <v>55937500</v>
      </c>
      <c r="E28" s="39" t="n">
        <v>0</v>
      </c>
      <c r="F28" s="39" t="n">
        <v>55937500</v>
      </c>
      <c r="G28" s="39" t="n">
        <v>7500000000</v>
      </c>
      <c r="H28" s="33" t="n">
        <f aca="false">J27</f>
        <v>7500000000</v>
      </c>
      <c r="I28" s="33" t="n">
        <f aca="false">H28*N28</f>
        <v>55937500</v>
      </c>
      <c r="J28" s="33" t="n">
        <f aca="false">H28-E28</f>
        <v>7500000000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55937500</v>
      </c>
      <c r="N28" s="64" t="n">
        <v>0.00745833333333333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43725</v>
      </c>
      <c r="C29" s="39" t="n">
        <v>7500000000</v>
      </c>
      <c r="D29" s="39" t="n">
        <v>55937500</v>
      </c>
      <c r="E29" s="39" t="n">
        <v>0</v>
      </c>
      <c r="F29" s="39" t="n">
        <v>55937500</v>
      </c>
      <c r="G29" s="39" t="n">
        <v>7500000000</v>
      </c>
      <c r="H29" s="33" t="n">
        <f aca="false">J28</f>
        <v>7500000000</v>
      </c>
      <c r="I29" s="33" t="n">
        <f aca="false">H29*N29</f>
        <v>55937500</v>
      </c>
      <c r="J29" s="33" t="n">
        <f aca="false">H29-E29</f>
        <v>7500000000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55937500</v>
      </c>
      <c r="N29" s="64" t="n">
        <v>0.00745833333333333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43755</v>
      </c>
      <c r="C30" s="39" t="n">
        <v>7500000000</v>
      </c>
      <c r="D30" s="39" t="n">
        <v>55937500</v>
      </c>
      <c r="E30" s="39" t="n">
        <v>0</v>
      </c>
      <c r="F30" s="39" t="n">
        <v>55937500</v>
      </c>
      <c r="G30" s="39" t="n">
        <v>7500000000</v>
      </c>
      <c r="H30" s="33" t="n">
        <f aca="false">J29</f>
        <v>7500000000</v>
      </c>
      <c r="I30" s="33" t="n">
        <f aca="false">H30*N30</f>
        <v>55937500</v>
      </c>
      <c r="J30" s="33" t="n">
        <f aca="false">H30-E30</f>
        <v>7500000000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55937500</v>
      </c>
      <c r="N30" s="64" t="n">
        <v>0.00745833333333333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43786</v>
      </c>
      <c r="C31" s="39" t="n">
        <v>7500000000</v>
      </c>
      <c r="D31" s="39" t="n">
        <v>55937500</v>
      </c>
      <c r="E31" s="39" t="n">
        <v>0</v>
      </c>
      <c r="F31" s="39" t="n">
        <v>55937500</v>
      </c>
      <c r="G31" s="39" t="n">
        <v>7500000000</v>
      </c>
      <c r="H31" s="33" t="n">
        <f aca="false">J30</f>
        <v>7500000000</v>
      </c>
      <c r="I31" s="33" t="n">
        <f aca="false">H31*N31</f>
        <v>55937500</v>
      </c>
      <c r="J31" s="33" t="n">
        <f aca="false">H31-E31</f>
        <v>7500000000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55937500</v>
      </c>
      <c r="N31" s="64" t="n">
        <v>0.00745833333333333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43816</v>
      </c>
      <c r="C32" s="39" t="n">
        <v>7500000000</v>
      </c>
      <c r="D32" s="39" t="n">
        <v>55937500</v>
      </c>
      <c r="E32" s="39" t="n">
        <v>0</v>
      </c>
      <c r="F32" s="39" t="n">
        <v>55937500</v>
      </c>
      <c r="G32" s="39" t="n">
        <v>7500000000</v>
      </c>
      <c r="H32" s="33" t="n">
        <f aca="false">J31</f>
        <v>7500000000</v>
      </c>
      <c r="I32" s="33" t="n">
        <f aca="false">H32*N32</f>
        <v>55937500</v>
      </c>
      <c r="J32" s="33" t="n">
        <f aca="false">H32-E32</f>
        <v>7500000000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55937500</v>
      </c>
      <c r="N32" s="64" t="n">
        <v>0.00745833333333333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43847</v>
      </c>
      <c r="C33" s="39" t="n">
        <v>7500000000</v>
      </c>
      <c r="D33" s="39" t="n">
        <v>55956250</v>
      </c>
      <c r="E33" s="39" t="n">
        <v>0</v>
      </c>
      <c r="F33" s="39" t="n">
        <v>55956250</v>
      </c>
      <c r="G33" s="39" t="n">
        <v>7500000000</v>
      </c>
      <c r="H33" s="33" t="n">
        <f aca="false">J32</f>
        <v>7500000000</v>
      </c>
      <c r="I33" s="33" t="n">
        <f aca="false">H33*N33</f>
        <v>55956250</v>
      </c>
      <c r="J33" s="33" t="n">
        <f aca="false">H33-E33</f>
        <v>7500000000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55956250</v>
      </c>
      <c r="N33" s="64" t="n">
        <v>0.00746083333333333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43878</v>
      </c>
      <c r="C34" s="39" t="n">
        <v>7500000000</v>
      </c>
      <c r="D34" s="39" t="n">
        <v>55950000</v>
      </c>
      <c r="E34" s="39" t="n">
        <v>0</v>
      </c>
      <c r="F34" s="39" t="n">
        <v>55950000</v>
      </c>
      <c r="G34" s="39" t="n">
        <v>7500000000</v>
      </c>
      <c r="H34" s="33" t="n">
        <f aca="false">J33</f>
        <v>7500000000</v>
      </c>
      <c r="I34" s="33" t="n">
        <f aca="false">H34*N34</f>
        <v>55950000</v>
      </c>
      <c r="J34" s="33" t="n">
        <f aca="false">H34-E34</f>
        <v>7500000000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55950000</v>
      </c>
      <c r="N34" s="64" t="n">
        <v>0.00746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43907</v>
      </c>
      <c r="C35" s="39" t="n">
        <v>7500000000</v>
      </c>
      <c r="D35" s="39" t="n">
        <v>54612500</v>
      </c>
      <c r="E35" s="39" t="n">
        <v>0</v>
      </c>
      <c r="F35" s="39" t="n">
        <v>54612500</v>
      </c>
      <c r="G35" s="39" t="n">
        <v>7500000000</v>
      </c>
      <c r="H35" s="33" t="n">
        <f aca="false">J34</f>
        <v>7500000000</v>
      </c>
      <c r="I35" s="33" t="n">
        <f aca="false">H35*N35</f>
        <v>54612500</v>
      </c>
      <c r="J35" s="33" t="n">
        <f aca="false">H35-E35</f>
        <v>7500000000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54612500</v>
      </c>
      <c r="N35" s="64" t="n">
        <v>0.00728166666666667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43938</v>
      </c>
      <c r="C36" s="39" t="n">
        <v>7500000000</v>
      </c>
      <c r="D36" s="39" t="n">
        <v>52537500</v>
      </c>
      <c r="E36" s="39" t="n">
        <v>0</v>
      </c>
      <c r="F36" s="39" t="n">
        <v>52537500</v>
      </c>
      <c r="G36" s="39" t="n">
        <v>7500000000</v>
      </c>
      <c r="H36" s="33" t="n">
        <f aca="false">J35</f>
        <v>7500000000</v>
      </c>
      <c r="I36" s="33" t="n">
        <f aca="false">H36*N36</f>
        <v>52537500</v>
      </c>
      <c r="J36" s="33" t="n">
        <f aca="false">H36-E36</f>
        <v>7500000000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52537500</v>
      </c>
      <c r="N36" s="64" t="n">
        <v>0.007005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43968</v>
      </c>
      <c r="C37" s="39" t="n">
        <v>7500000000</v>
      </c>
      <c r="D37" s="39" t="n">
        <v>49631250</v>
      </c>
      <c r="E37" s="39" t="n">
        <v>0</v>
      </c>
      <c r="F37" s="39" t="n">
        <v>49631250</v>
      </c>
      <c r="G37" s="39" t="n">
        <v>7500000000</v>
      </c>
      <c r="H37" s="33" t="n">
        <f aca="false">J36</f>
        <v>7500000000</v>
      </c>
      <c r="I37" s="33" t="n">
        <f aca="false">H37*N37</f>
        <v>49631250</v>
      </c>
      <c r="J37" s="33" t="n">
        <f aca="false">H37-E37</f>
        <v>7500000000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49631250</v>
      </c>
      <c r="N37" s="64" t="n">
        <v>0.0066175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43999</v>
      </c>
      <c r="C38" s="39" t="n">
        <v>7500000000</v>
      </c>
      <c r="D38" s="39" t="n">
        <v>46612500</v>
      </c>
      <c r="E38" s="39" t="n">
        <v>0</v>
      </c>
      <c r="F38" s="39" t="n">
        <v>46612500</v>
      </c>
      <c r="G38" s="39" t="n">
        <v>7500000000</v>
      </c>
      <c r="H38" s="33" t="n">
        <f aca="false">J37</f>
        <v>7500000000</v>
      </c>
      <c r="I38" s="33" t="n">
        <f aca="false">H38*N38</f>
        <v>46612500</v>
      </c>
      <c r="J38" s="33" t="n">
        <f aca="false">H38-E38</f>
        <v>7500000000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46612500</v>
      </c>
      <c r="N38" s="64" t="n">
        <v>0.006215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44029</v>
      </c>
      <c r="C39" s="39" t="n">
        <v>7500000000</v>
      </c>
      <c r="D39" s="39" t="n">
        <v>44837500</v>
      </c>
      <c r="E39" s="39" t="n">
        <v>62500000</v>
      </c>
      <c r="F39" s="39" t="n">
        <v>107337500</v>
      </c>
      <c r="G39" s="39" t="n">
        <v>7437500000</v>
      </c>
      <c r="H39" s="33" t="n">
        <f aca="false">J38</f>
        <v>7500000000</v>
      </c>
      <c r="I39" s="33" t="n">
        <f aca="false">H39*N39</f>
        <v>44837500</v>
      </c>
      <c r="J39" s="33" t="n">
        <f aca="false">H39-E39</f>
        <v>7437500000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107337500</v>
      </c>
      <c r="N39" s="64" t="n">
        <v>0.00597833333333333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44060</v>
      </c>
      <c r="C40" s="39" t="n">
        <v>7437500000</v>
      </c>
      <c r="D40" s="39" t="n">
        <v>42592083.3333333</v>
      </c>
      <c r="E40" s="39" t="n">
        <v>62500000</v>
      </c>
      <c r="F40" s="39" t="n">
        <v>105092083.333333</v>
      </c>
      <c r="G40" s="39" t="n">
        <v>7375000000</v>
      </c>
      <c r="H40" s="33" t="n">
        <f aca="false">J39</f>
        <v>7437500000</v>
      </c>
      <c r="I40" s="33" t="n">
        <f aca="false">H40*N40</f>
        <v>42592083.3333333</v>
      </c>
      <c r="J40" s="33" t="n">
        <f aca="false">H40-E40</f>
        <v>7375000000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105092083.333333</v>
      </c>
      <c r="N40" s="64" t="n">
        <v>0.00572666666666667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44091</v>
      </c>
      <c r="C41" s="39" t="n">
        <v>7375000000</v>
      </c>
      <c r="D41" s="39" t="n">
        <v>41115625</v>
      </c>
      <c r="E41" s="39" t="n">
        <v>62500000</v>
      </c>
      <c r="F41" s="39" t="n">
        <v>103615625</v>
      </c>
      <c r="G41" s="39" t="n">
        <v>7312500000</v>
      </c>
      <c r="H41" s="33" t="n">
        <f aca="false">J40</f>
        <v>7375000000</v>
      </c>
      <c r="I41" s="33" t="n">
        <f aca="false">H41*N41</f>
        <v>41115625</v>
      </c>
      <c r="J41" s="33" t="n">
        <f aca="false">H41-E41</f>
        <v>7312500000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103615625</v>
      </c>
      <c r="N41" s="64" t="n">
        <v>0.005575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44121</v>
      </c>
      <c r="C42" s="39" t="n">
        <v>7312500000</v>
      </c>
      <c r="D42" s="39" t="n">
        <v>39000000</v>
      </c>
      <c r="E42" s="39" t="n">
        <v>62500000</v>
      </c>
      <c r="F42" s="39" t="n">
        <v>101500000</v>
      </c>
      <c r="G42" s="39" t="n">
        <v>7250000000</v>
      </c>
      <c r="H42" s="33" t="n">
        <f aca="false">J41</f>
        <v>7312500000</v>
      </c>
      <c r="I42" s="33" t="n">
        <f aca="false">H42*N42</f>
        <v>39000000</v>
      </c>
      <c r="J42" s="33" t="n">
        <f aca="false">H42-E42</f>
        <v>7250000000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101500000</v>
      </c>
      <c r="N42" s="64" t="n">
        <v>0.00533333333333333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44152</v>
      </c>
      <c r="C43" s="39" t="n">
        <v>7250000000</v>
      </c>
      <c r="D43" s="39" t="n">
        <v>38745208.3333333</v>
      </c>
      <c r="E43" s="39" t="n">
        <v>62500000</v>
      </c>
      <c r="F43" s="39" t="n">
        <v>101245208.333333</v>
      </c>
      <c r="G43" s="39" t="n">
        <v>7187500000</v>
      </c>
      <c r="H43" s="33" t="n">
        <f aca="false">J42</f>
        <v>7250000000</v>
      </c>
      <c r="I43" s="33" t="n">
        <f aca="false">H43*N43</f>
        <v>38745208.3333333</v>
      </c>
      <c r="J43" s="33" t="n">
        <f aca="false">H43-E43</f>
        <v>7187500000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101245208.333333</v>
      </c>
      <c r="N43" s="64" t="n">
        <v>0.00534416666666667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44182</v>
      </c>
      <c r="C44" s="39" t="n">
        <v>7187500000</v>
      </c>
      <c r="D44" s="39" t="n">
        <v>38291406.25</v>
      </c>
      <c r="E44" s="39" t="n">
        <v>62500000</v>
      </c>
      <c r="F44" s="39" t="n">
        <v>100791406.25</v>
      </c>
      <c r="G44" s="39" t="n">
        <v>7125000000</v>
      </c>
      <c r="H44" s="33" t="n">
        <f aca="false">J43</f>
        <v>7187500000</v>
      </c>
      <c r="I44" s="33" t="n">
        <f aca="false">H44*N44</f>
        <v>38291406.25</v>
      </c>
      <c r="J44" s="33" t="n">
        <f aca="false">H44-E44</f>
        <v>7125000000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100791406.25</v>
      </c>
      <c r="N44" s="64" t="n">
        <v>0.0053275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44213</v>
      </c>
      <c r="C45" s="39" t="n">
        <v>7125000000</v>
      </c>
      <c r="D45" s="39" t="n">
        <v>37756562.5</v>
      </c>
      <c r="E45" s="39" t="n">
        <v>62500000</v>
      </c>
      <c r="F45" s="39" t="n">
        <v>100256562.5</v>
      </c>
      <c r="G45" s="39" t="n">
        <v>7062500000</v>
      </c>
      <c r="H45" s="33" t="n">
        <f aca="false">J44</f>
        <v>7125000000</v>
      </c>
      <c r="I45" s="33" t="n">
        <f aca="false">H45*N45</f>
        <v>37756562.5</v>
      </c>
      <c r="J45" s="33" t="n">
        <f aca="false">H45-E45</f>
        <v>7062500000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100256562.5</v>
      </c>
      <c r="N45" s="64" t="n">
        <v>0.00529916666666667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44244</v>
      </c>
      <c r="C46" s="39" t="n">
        <v>7062500000</v>
      </c>
      <c r="D46" s="39" t="n">
        <v>37660781.25</v>
      </c>
      <c r="E46" s="39" t="n">
        <v>62500000</v>
      </c>
      <c r="F46" s="39" t="n">
        <v>100160781.25</v>
      </c>
      <c r="G46" s="39" t="n">
        <v>7000000000</v>
      </c>
      <c r="H46" s="33" t="n">
        <f aca="false">J45</f>
        <v>7062500000</v>
      </c>
      <c r="I46" s="33" t="n">
        <f aca="false">H46*N46</f>
        <v>37660781.25</v>
      </c>
      <c r="J46" s="33" t="n">
        <f aca="false">H46-E46</f>
        <v>7000000000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100160781.25</v>
      </c>
      <c r="N46" s="64" t="n">
        <v>0.0053325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44272</v>
      </c>
      <c r="C47" s="39" t="n">
        <v>7000000000</v>
      </c>
      <c r="D47" s="39" t="n">
        <v>37245833.3333333</v>
      </c>
      <c r="E47" s="39" t="n">
        <v>62500000</v>
      </c>
      <c r="F47" s="39" t="n">
        <v>99745833.3333333</v>
      </c>
      <c r="G47" s="39" t="n">
        <v>6937500000</v>
      </c>
      <c r="H47" s="33" t="n">
        <f aca="false">J46</f>
        <v>7000000000</v>
      </c>
      <c r="I47" s="33" t="n">
        <f aca="false">H47*N47</f>
        <v>37245833.3333333</v>
      </c>
      <c r="J47" s="33" t="n">
        <f aca="false">H47-E47</f>
        <v>6937500000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99745833.3333333</v>
      </c>
      <c r="N47" s="64" t="n">
        <v>0.00532083333333333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44303</v>
      </c>
      <c r="C48" s="39" t="n">
        <v>6937500000</v>
      </c>
      <c r="D48" s="39" t="n">
        <v>37115625</v>
      </c>
      <c r="E48" s="39" t="n">
        <v>62500000</v>
      </c>
      <c r="F48" s="39" t="n">
        <v>99615625</v>
      </c>
      <c r="G48" s="39" t="n">
        <v>6875000000</v>
      </c>
      <c r="H48" s="33" t="n">
        <f aca="false">J47</f>
        <v>6937500000</v>
      </c>
      <c r="I48" s="33" t="n">
        <f aca="false">H48*N48</f>
        <v>37115625</v>
      </c>
      <c r="J48" s="33" t="n">
        <f aca="false">H48-E48</f>
        <v>6875000000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99615625</v>
      </c>
      <c r="N48" s="64" t="n">
        <v>0.00535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44333</v>
      </c>
      <c r="C49" s="39" t="n">
        <v>6875000000</v>
      </c>
      <c r="D49" s="39" t="n">
        <v>36758333.3333333</v>
      </c>
      <c r="E49" s="39" t="n">
        <v>62500000</v>
      </c>
      <c r="F49" s="39" t="n">
        <v>99258333.3333333</v>
      </c>
      <c r="G49" s="39" t="n">
        <v>6812500000</v>
      </c>
      <c r="H49" s="33" t="n">
        <f aca="false">J48</f>
        <v>6875000000</v>
      </c>
      <c r="I49" s="33" t="n">
        <f aca="false">H49*N49</f>
        <v>36758333.3333333</v>
      </c>
      <c r="J49" s="33" t="n">
        <f aca="false">H49-E49</f>
        <v>6812500000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99258333.3333333</v>
      </c>
      <c r="N49" s="64" t="n">
        <v>0.00534666666666667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44364</v>
      </c>
      <c r="C50" s="39" t="n">
        <v>6812500000</v>
      </c>
      <c r="D50" s="39" t="n">
        <v>37372239.5833333</v>
      </c>
      <c r="E50" s="39" t="n">
        <v>62500000</v>
      </c>
      <c r="F50" s="39" t="n">
        <v>99872239.5833333</v>
      </c>
      <c r="G50" s="39" t="n">
        <v>6750000000</v>
      </c>
      <c r="H50" s="33" t="n">
        <f aca="false">J49</f>
        <v>6812500000</v>
      </c>
      <c r="I50" s="33" t="n">
        <f aca="false">H50*N50</f>
        <v>37372239.5833333</v>
      </c>
      <c r="J50" s="33" t="n">
        <f aca="false">H50-E50</f>
        <v>6750000000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99872239.5833333</v>
      </c>
      <c r="N50" s="64" t="n">
        <v>0.00548583333333333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0</v>
      </c>
    </row>
    <row r="51" customFormat="false" ht="15" hidden="false" customHeight="false" outlineLevel="0" collapsed="false">
      <c r="A51" s="38" t="n">
        <v>39</v>
      </c>
      <c r="B51" s="27" t="n">
        <v>44394</v>
      </c>
      <c r="C51" s="39" t="n">
        <v>6750000000</v>
      </c>
      <c r="D51" s="39" t="n">
        <v>36090000</v>
      </c>
      <c r="E51" s="39" t="n">
        <v>62500000</v>
      </c>
      <c r="F51" s="39" t="n">
        <v>98590000</v>
      </c>
      <c r="G51" s="39" t="n">
        <v>6687500000</v>
      </c>
      <c r="H51" s="33" t="n">
        <f aca="false">J50</f>
        <v>6750000000</v>
      </c>
      <c r="I51" s="33" t="n">
        <f aca="false">H51*N51</f>
        <v>36090000</v>
      </c>
      <c r="J51" s="33" t="n">
        <f aca="false">H51-E51</f>
        <v>6687500000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98590000</v>
      </c>
      <c r="N51" s="64" t="n">
        <v>0.00534666666666667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0</v>
      </c>
    </row>
    <row r="52" customFormat="false" ht="15" hidden="false" customHeight="false" outlineLevel="0" collapsed="false">
      <c r="A52" s="38" t="n">
        <v>40</v>
      </c>
      <c r="B52" s="27" t="n">
        <v>44425</v>
      </c>
      <c r="C52" s="39" t="n">
        <v>6687500000</v>
      </c>
      <c r="D52" s="39" t="n">
        <v>35778125</v>
      </c>
      <c r="E52" s="39" t="n">
        <v>62500000</v>
      </c>
      <c r="F52" s="39" t="n">
        <v>98278125</v>
      </c>
      <c r="G52" s="39" t="n">
        <v>6625000000</v>
      </c>
      <c r="H52" s="33" t="n">
        <f aca="false">J51</f>
        <v>6687500000</v>
      </c>
      <c r="I52" s="33" t="n">
        <f aca="false">H52*N52</f>
        <v>35778125</v>
      </c>
      <c r="J52" s="33" t="n">
        <f aca="false">H52-E52</f>
        <v>6625000000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98278125</v>
      </c>
      <c r="N52" s="64" t="n">
        <v>0.00535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0</v>
      </c>
    </row>
    <row r="53" customFormat="false" ht="15" hidden="false" customHeight="false" outlineLevel="0" collapsed="false">
      <c r="A53" s="38" t="n">
        <v>41</v>
      </c>
      <c r="B53" s="27" t="n">
        <v>44456</v>
      </c>
      <c r="C53" s="39" t="n">
        <v>6625000000</v>
      </c>
      <c r="D53" s="39" t="n">
        <v>35581770.8333333</v>
      </c>
      <c r="E53" s="39" t="n">
        <v>62500000</v>
      </c>
      <c r="F53" s="39" t="n">
        <v>98081770.8333333</v>
      </c>
      <c r="G53" s="39" t="n">
        <v>6562500000</v>
      </c>
      <c r="H53" s="33" t="n">
        <f aca="false">J52</f>
        <v>6625000000</v>
      </c>
      <c r="I53" s="33" t="n">
        <f aca="false">H53*N53</f>
        <v>35581770.8333333</v>
      </c>
      <c r="J53" s="33" t="n">
        <f aca="false">H53-E53</f>
        <v>6562500000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98081770.8333333</v>
      </c>
      <c r="N53" s="64" t="n">
        <v>0.00537083333333333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44486</v>
      </c>
      <c r="C54" s="39" t="n">
        <v>6562500000</v>
      </c>
      <c r="D54" s="39" t="n">
        <v>36454687.5</v>
      </c>
      <c r="E54" s="39" t="n">
        <v>62500000</v>
      </c>
      <c r="F54" s="39" t="n">
        <v>98954687.5</v>
      </c>
      <c r="G54" s="39" t="n">
        <v>6500000000</v>
      </c>
      <c r="H54" s="33" t="n">
        <f aca="false">J53</f>
        <v>6562500000</v>
      </c>
      <c r="I54" s="33" t="n">
        <f aca="false">H54*N54</f>
        <v>36454687.5</v>
      </c>
      <c r="J54" s="33" t="n">
        <f aca="false">H54-E54</f>
        <v>6500000000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98954687.5</v>
      </c>
      <c r="N54" s="64" t="n">
        <v>0.005555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44517</v>
      </c>
      <c r="C55" s="39" t="n">
        <v>6500000000</v>
      </c>
      <c r="D55" s="39" t="n">
        <v>39395416.6666667</v>
      </c>
      <c r="E55" s="39" t="n">
        <v>62500000</v>
      </c>
      <c r="F55" s="39" t="n">
        <v>101895416.666667</v>
      </c>
      <c r="G55" s="39" t="n">
        <v>6437500000</v>
      </c>
      <c r="H55" s="33" t="n">
        <f aca="false">J54</f>
        <v>6500000000</v>
      </c>
      <c r="I55" s="33" t="n">
        <f aca="false">H55*N55</f>
        <v>39395416.6666667</v>
      </c>
      <c r="J55" s="33" t="n">
        <f aca="false">H55-E55</f>
        <v>6437500000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101895416.666667</v>
      </c>
      <c r="N55" s="64" t="n">
        <v>0.00606083333333333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44547</v>
      </c>
      <c r="C56" s="39" t="n">
        <v>6437500000</v>
      </c>
      <c r="D56" s="39" t="n">
        <v>41323385.4166667</v>
      </c>
      <c r="E56" s="39" t="n">
        <v>62500000</v>
      </c>
      <c r="F56" s="39" t="n">
        <v>103823385.416667</v>
      </c>
      <c r="G56" s="39" t="n">
        <v>6375000000</v>
      </c>
      <c r="H56" s="33" t="n">
        <f aca="false">J55</f>
        <v>6437500000</v>
      </c>
      <c r="I56" s="33" t="n">
        <f aca="false">H56*N56</f>
        <v>41323385.4166667</v>
      </c>
      <c r="J56" s="33" t="n">
        <f aca="false">H56-E56</f>
        <v>6375000000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103823385.416667</v>
      </c>
      <c r="N56" s="64" t="n">
        <v>0.00641916666666667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44578</v>
      </c>
      <c r="C57" s="39" t="n">
        <v>6375000000</v>
      </c>
      <c r="D57" s="39" t="n">
        <v>45544062.5</v>
      </c>
      <c r="E57" s="39" t="n">
        <v>62500000</v>
      </c>
      <c r="F57" s="39" t="n">
        <v>108044062.5</v>
      </c>
      <c r="G57" s="39" t="n">
        <v>6312500000</v>
      </c>
      <c r="H57" s="33" t="n">
        <f aca="false">J56</f>
        <v>6375000000</v>
      </c>
      <c r="I57" s="33" t="n">
        <f aca="false">H57*N57</f>
        <v>45544062.5</v>
      </c>
      <c r="J57" s="33" t="n">
        <f aca="false">H57-E57</f>
        <v>6312500000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108044062.5</v>
      </c>
      <c r="N57" s="64" t="n">
        <v>0.00714416666666667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44609</v>
      </c>
      <c r="C58" s="39" t="n">
        <v>6312500000</v>
      </c>
      <c r="D58" s="39" t="n">
        <v>45076510.4166667</v>
      </c>
      <c r="E58" s="39" t="n">
        <v>62500000</v>
      </c>
      <c r="F58" s="39" t="n">
        <v>107576510.416667</v>
      </c>
      <c r="G58" s="39" t="n">
        <v>6250000000</v>
      </c>
      <c r="H58" s="33" t="n">
        <f aca="false">J57</f>
        <v>6312500000</v>
      </c>
      <c r="I58" s="33" t="n">
        <f aca="false">H58*N58</f>
        <v>45076510.4166667</v>
      </c>
      <c r="J58" s="33" t="n">
        <f aca="false">H58-E58</f>
        <v>6250000000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107576510.416667</v>
      </c>
      <c r="N58" s="64" t="n">
        <v>0.00714083333333333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44637</v>
      </c>
      <c r="C59" s="39" t="n">
        <v>6250000000</v>
      </c>
      <c r="D59" s="39" t="n">
        <v>45359375</v>
      </c>
      <c r="E59" s="39" t="n">
        <v>62500000</v>
      </c>
      <c r="F59" s="39" t="n">
        <v>107859375</v>
      </c>
      <c r="G59" s="39" t="n">
        <v>6187500000</v>
      </c>
      <c r="H59" s="33" t="n">
        <f aca="false">J58</f>
        <v>6250000000</v>
      </c>
      <c r="I59" s="33" t="n">
        <f aca="false">H59*N59</f>
        <v>45359375</v>
      </c>
      <c r="J59" s="33" t="n">
        <f aca="false">H59-E59</f>
        <v>6187500000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107859375</v>
      </c>
      <c r="N59" s="64" t="n">
        <v>0.0072575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44668</v>
      </c>
      <c r="C60" s="39" t="n">
        <v>6187500000</v>
      </c>
      <c r="D60" s="39" t="n">
        <v>50056875</v>
      </c>
      <c r="E60" s="39" t="n">
        <v>62500000</v>
      </c>
      <c r="F60" s="39" t="n">
        <v>112556875</v>
      </c>
      <c r="G60" s="39" t="n">
        <v>6125000000</v>
      </c>
      <c r="H60" s="33" t="n">
        <f aca="false">J59</f>
        <v>6187500000</v>
      </c>
      <c r="I60" s="33" t="n">
        <f aca="false">H60*N60</f>
        <v>50056875</v>
      </c>
      <c r="J60" s="33" t="n">
        <f aca="false">H60-E60</f>
        <v>6125000000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112556875</v>
      </c>
      <c r="N60" s="64" t="n">
        <v>0.00809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44698</v>
      </c>
      <c r="C61" s="39" t="n">
        <v>6125000000</v>
      </c>
      <c r="D61" s="39" t="n">
        <v>49551250</v>
      </c>
      <c r="E61" s="39" t="n">
        <v>62500000</v>
      </c>
      <c r="F61" s="39" t="n">
        <v>112051250</v>
      </c>
      <c r="G61" s="39" t="n">
        <v>6062500000</v>
      </c>
      <c r="H61" s="33" t="n">
        <f aca="false">J60</f>
        <v>6125000000</v>
      </c>
      <c r="I61" s="33" t="n">
        <f aca="false">H61*N61</f>
        <v>49551250</v>
      </c>
      <c r="J61" s="33" t="n">
        <f aca="false">H61-E61</f>
        <v>6062500000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112051250</v>
      </c>
      <c r="N61" s="64" t="n">
        <v>0.00809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44729</v>
      </c>
      <c r="C62" s="39" t="n">
        <v>6062500000</v>
      </c>
      <c r="D62" s="39" t="n">
        <v>54537239.5833333</v>
      </c>
      <c r="E62" s="39" t="n">
        <v>62500000</v>
      </c>
      <c r="F62" s="39" t="n">
        <v>117037239.583333</v>
      </c>
      <c r="G62" s="39" t="n">
        <v>6000000000</v>
      </c>
      <c r="H62" s="33" t="n">
        <f aca="false">J61</f>
        <v>6062500000</v>
      </c>
      <c r="I62" s="33" t="n">
        <f aca="false">H62*N62</f>
        <v>54537239.5833333</v>
      </c>
      <c r="J62" s="33" t="n">
        <f aca="false">H62-E62</f>
        <v>6000000000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117037239.583333</v>
      </c>
      <c r="N62" s="64" t="n">
        <v>0.00899583333333333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44759</v>
      </c>
      <c r="C63" s="39" t="n">
        <v>6000000000</v>
      </c>
      <c r="D63" s="39" t="n">
        <v>68415000</v>
      </c>
      <c r="E63" s="39" t="n">
        <v>62500000</v>
      </c>
      <c r="F63" s="39" t="n">
        <v>130915000</v>
      </c>
      <c r="G63" s="39" t="n">
        <v>5937500000</v>
      </c>
      <c r="H63" s="33" t="n">
        <f aca="false">J62</f>
        <v>6000000000</v>
      </c>
      <c r="I63" s="33" t="n">
        <f aca="false">H63*N63</f>
        <v>68415000</v>
      </c>
      <c r="J63" s="33" t="n">
        <f aca="false">H63-E63</f>
        <v>5937500000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130915000</v>
      </c>
      <c r="N63" s="64" t="n">
        <v>0.0114025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44790</v>
      </c>
      <c r="C64" s="39" t="n">
        <v>5937500000</v>
      </c>
      <c r="D64" s="39" t="n">
        <v>67786458.3333333</v>
      </c>
      <c r="E64" s="39" t="n">
        <v>62500000</v>
      </c>
      <c r="F64" s="39" t="n">
        <v>130286458.333333</v>
      </c>
      <c r="G64" s="39" t="n">
        <v>5875000000</v>
      </c>
      <c r="H64" s="33" t="n">
        <f aca="false">J63</f>
        <v>5937500000</v>
      </c>
      <c r="I64" s="33" t="n">
        <f aca="false">H64*N64</f>
        <v>67786458.3333334</v>
      </c>
      <c r="J64" s="33" t="n">
        <f aca="false">H64-E64</f>
        <v>5875000000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130286458.333333</v>
      </c>
      <c r="N64" s="64" t="n">
        <v>0.0114166666666667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44821</v>
      </c>
      <c r="C65" s="39" t="n">
        <v>5875000000</v>
      </c>
      <c r="D65" s="39" t="n">
        <v>70279687.5</v>
      </c>
      <c r="E65" s="39" t="n">
        <v>62500000</v>
      </c>
      <c r="F65" s="39" t="n">
        <v>132779687.5</v>
      </c>
      <c r="G65" s="39" t="n">
        <v>5812500000</v>
      </c>
      <c r="H65" s="33" t="n">
        <f aca="false">J64</f>
        <v>5875000000</v>
      </c>
      <c r="I65" s="33" t="n">
        <f aca="false">H65*N65</f>
        <v>70279687.5</v>
      </c>
      <c r="J65" s="33" t="n">
        <f aca="false">H65-E65</f>
        <v>5812500000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132779687.5</v>
      </c>
      <c r="N65" s="64" t="n">
        <v>0.0119625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44851</v>
      </c>
      <c r="C66" s="39" t="n">
        <v>5812500000</v>
      </c>
      <c r="D66" s="39" t="n">
        <v>75993593.75</v>
      </c>
      <c r="E66" s="39" t="n">
        <v>62500000</v>
      </c>
      <c r="F66" s="39" t="n">
        <v>138493593.75</v>
      </c>
      <c r="G66" s="39" t="n">
        <v>5750000000</v>
      </c>
      <c r="H66" s="33" t="n">
        <f aca="false">J65</f>
        <v>5812500000</v>
      </c>
      <c r="I66" s="33" t="n">
        <f aca="false">H66*N66</f>
        <v>75993593.75</v>
      </c>
      <c r="J66" s="33" t="n">
        <f aca="false">H66-E66</f>
        <v>5750000000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138493593.75</v>
      </c>
      <c r="N66" s="64" t="n">
        <v>0.0130741666666667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44882</v>
      </c>
      <c r="C67" s="39" t="n">
        <v>5750000000</v>
      </c>
      <c r="D67" s="39" t="n">
        <v>76891875</v>
      </c>
      <c r="E67" s="39" t="n">
        <v>62500000</v>
      </c>
      <c r="F67" s="39" t="n">
        <v>139391875</v>
      </c>
      <c r="G67" s="39" t="n">
        <v>5687500000</v>
      </c>
      <c r="H67" s="33" t="n">
        <f aca="false">J66</f>
        <v>5750000000</v>
      </c>
      <c r="I67" s="33" t="n">
        <f aca="false">H67*N67</f>
        <v>76891875</v>
      </c>
      <c r="J67" s="33" t="n">
        <f aca="false">H67-E67</f>
        <v>5687500000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139391875</v>
      </c>
      <c r="N67" s="64" t="n">
        <v>0.0133725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44912</v>
      </c>
      <c r="C68" s="39" t="n">
        <v>5687500000</v>
      </c>
      <c r="D68" s="39" t="n">
        <v>79136822.9166667</v>
      </c>
      <c r="E68" s="39" t="n">
        <v>62500000</v>
      </c>
      <c r="F68" s="39" t="n">
        <v>141636822.916667</v>
      </c>
      <c r="G68" s="39" t="n">
        <v>5625000000</v>
      </c>
      <c r="H68" s="33" t="n">
        <f aca="false">J67</f>
        <v>5687500000</v>
      </c>
      <c r="I68" s="33" t="n">
        <f aca="false">H68*N68</f>
        <v>79136822.9166667</v>
      </c>
      <c r="J68" s="33" t="n">
        <f aca="false">H68-E68</f>
        <v>5625000000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141636822.916667</v>
      </c>
      <c r="N68" s="64" t="n">
        <v>0.0139141666666667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44943</v>
      </c>
      <c r="C69" s="39" t="n">
        <v>5625000000</v>
      </c>
      <c r="D69" s="39" t="n">
        <v>81745312.5</v>
      </c>
      <c r="E69" s="39" t="n">
        <v>62500000</v>
      </c>
      <c r="F69" s="39" t="n">
        <v>144245312.5</v>
      </c>
      <c r="G69" s="39" t="n">
        <v>5562500000</v>
      </c>
      <c r="H69" s="33" t="n">
        <f aca="false">J68</f>
        <v>5625000000</v>
      </c>
      <c r="I69" s="33" t="n">
        <f aca="false">H69*N69</f>
        <v>81745312.5</v>
      </c>
      <c r="J69" s="33" t="n">
        <f aca="false">H69-E69</f>
        <v>5562500000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144245312.5</v>
      </c>
      <c r="N69" s="64" t="n">
        <v>0.0145325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44974</v>
      </c>
      <c r="C70" s="39" t="n">
        <v>5562500000</v>
      </c>
      <c r="D70" s="39" t="n">
        <v>80892656.25</v>
      </c>
      <c r="E70" s="39" t="n">
        <v>62500000</v>
      </c>
      <c r="F70" s="39" t="n">
        <v>143392656.25</v>
      </c>
      <c r="G70" s="39" t="n">
        <v>5500000000</v>
      </c>
      <c r="H70" s="33" t="n">
        <f aca="false">J69</f>
        <v>5562500000</v>
      </c>
      <c r="I70" s="33" t="n">
        <f aca="false">H70*N70</f>
        <v>80892656.25</v>
      </c>
      <c r="J70" s="33" t="n">
        <f aca="false">H70-E70</f>
        <v>5500000000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143392656.25</v>
      </c>
      <c r="N70" s="64" t="n">
        <v>0.0145425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45002</v>
      </c>
      <c r="C71" s="39" t="n">
        <v>5500000000</v>
      </c>
      <c r="D71" s="39" t="n">
        <v>81088333.3333333</v>
      </c>
      <c r="E71" s="39" t="n">
        <v>62500000</v>
      </c>
      <c r="F71" s="39" t="n">
        <v>143588333.333333</v>
      </c>
      <c r="G71" s="39" t="n">
        <v>5437500000</v>
      </c>
      <c r="H71" s="33" t="n">
        <f aca="false">J70</f>
        <v>5500000000</v>
      </c>
      <c r="I71" s="33" t="n">
        <f aca="false">H71*N71</f>
        <v>81088333.3333334</v>
      </c>
      <c r="J71" s="33" t="n">
        <f aca="false">H71-E71</f>
        <v>5437500000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143588333.333333</v>
      </c>
      <c r="N71" s="64" t="n">
        <v>0.0147433333333333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45033</v>
      </c>
      <c r="C72" s="39" t="n">
        <v>5437500000</v>
      </c>
      <c r="D72" s="39" t="n">
        <v>80733281.25</v>
      </c>
      <c r="E72" s="39" t="n">
        <v>62500000</v>
      </c>
      <c r="F72" s="39" t="n">
        <v>143233281.25</v>
      </c>
      <c r="G72" s="39" t="n">
        <v>5375000000</v>
      </c>
      <c r="H72" s="33" t="n">
        <f aca="false">J71</f>
        <v>5437500000</v>
      </c>
      <c r="I72" s="33" t="n">
        <f aca="false">H72*N72</f>
        <v>80733281.25</v>
      </c>
      <c r="J72" s="33" t="n">
        <f aca="false">H72-E72</f>
        <v>5375000000</v>
      </c>
      <c r="K72" s="33" t="n">
        <f aca="false">D72-I72</f>
        <v>0</v>
      </c>
      <c r="L72" s="33" t="n">
        <f aca="false">G72-J72</f>
        <v>0</v>
      </c>
      <c r="M72" s="33" t="n">
        <f aca="false">F72</f>
        <v>143233281.25</v>
      </c>
      <c r="N72" s="64" t="n">
        <v>0.0148475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  <row r="73" customFormat="false" ht="15" hidden="false" customHeight="false" outlineLevel="0" collapsed="false">
      <c r="A73" s="38" t="n">
        <v>61</v>
      </c>
      <c r="B73" s="27" t="n">
        <v>45063</v>
      </c>
      <c r="C73" s="39" t="n">
        <v>5375000000</v>
      </c>
      <c r="D73" s="39" t="n">
        <v>80378645.8333333</v>
      </c>
      <c r="E73" s="39" t="n">
        <v>62500000</v>
      </c>
      <c r="F73" s="39" t="n">
        <v>142878645.833333</v>
      </c>
      <c r="G73" s="39" t="n">
        <v>5312500000</v>
      </c>
      <c r="H73" s="33" t="n">
        <f aca="false">J72</f>
        <v>5375000000</v>
      </c>
      <c r="I73" s="33" t="n">
        <f aca="false">H73*N73</f>
        <v>80378645.8333333</v>
      </c>
      <c r="J73" s="33" t="n">
        <f aca="false">H73-E73</f>
        <v>5312500000</v>
      </c>
      <c r="K73" s="33" t="n">
        <f aca="false">D73-I73</f>
        <v>0</v>
      </c>
      <c r="L73" s="33" t="n">
        <f aca="false">G73-J73</f>
        <v>0</v>
      </c>
      <c r="M73" s="33" t="n">
        <f aca="false">F73</f>
        <v>142878645.833333</v>
      </c>
      <c r="N73" s="64" t="n">
        <v>0.0149541666666667</v>
      </c>
      <c r="O73" s="48" t="n">
        <f aca="false">IF(AND(B73&gt;=DATE(2026,1,1),B73&lt;=Resumen!$C$5),1,0)</f>
        <v>0</v>
      </c>
      <c r="P73" s="48" t="n">
        <f aca="false">IF(AND(B73&gt;Resumen!$C$5,B73&lt;=DATE(2027,7,31)),1,0)</f>
        <v>0</v>
      </c>
    </row>
    <row r="74" customFormat="false" ht="15" hidden="false" customHeight="false" outlineLevel="0" collapsed="false">
      <c r="A74" s="38" t="n">
        <v>62</v>
      </c>
      <c r="B74" s="27" t="n">
        <v>45094</v>
      </c>
      <c r="C74" s="39" t="n">
        <v>5312500000</v>
      </c>
      <c r="D74" s="39" t="n">
        <v>79457291.6666667</v>
      </c>
      <c r="E74" s="39" t="n">
        <v>62500000</v>
      </c>
      <c r="F74" s="39" t="n">
        <v>141957291.666667</v>
      </c>
      <c r="G74" s="39" t="n">
        <v>5250000000</v>
      </c>
      <c r="H74" s="33" t="n">
        <f aca="false">J73</f>
        <v>5312500000</v>
      </c>
      <c r="I74" s="33" t="n">
        <f aca="false">H74*N74</f>
        <v>79457291.6666666</v>
      </c>
      <c r="J74" s="33" t="n">
        <f aca="false">H74-E74</f>
        <v>5250000000</v>
      </c>
      <c r="K74" s="33" t="n">
        <f aca="false">D74-I74</f>
        <v>0</v>
      </c>
      <c r="L74" s="33" t="n">
        <f aca="false">G74-J74</f>
        <v>0</v>
      </c>
      <c r="M74" s="33" t="n">
        <f aca="false">F74</f>
        <v>141957291.666667</v>
      </c>
      <c r="N74" s="64" t="n">
        <v>0.0149566666666667</v>
      </c>
      <c r="O74" s="48" t="n">
        <f aca="false">IF(AND(B74&gt;=DATE(2026,1,1),B74&lt;=Resumen!$C$5),1,0)</f>
        <v>0</v>
      </c>
      <c r="P74" s="48" t="n">
        <f aca="false">IF(AND(B74&gt;Resumen!$C$5,B74&lt;=DATE(2027,7,31)),1,0)</f>
        <v>0</v>
      </c>
    </row>
    <row r="75" customFormat="false" ht="15" hidden="false" customHeight="false" outlineLevel="0" collapsed="false">
      <c r="A75" s="38" t="n">
        <v>63</v>
      </c>
      <c r="B75" s="27" t="n">
        <v>45124</v>
      </c>
      <c r="C75" s="39" t="n">
        <v>5250000000</v>
      </c>
      <c r="D75" s="39" t="n">
        <v>78531250</v>
      </c>
      <c r="E75" s="39" t="n">
        <v>62500000</v>
      </c>
      <c r="F75" s="39" t="n">
        <v>141031250</v>
      </c>
      <c r="G75" s="39" t="n">
        <v>5187500000</v>
      </c>
      <c r="H75" s="33" t="n">
        <f aca="false">J74</f>
        <v>5250000000</v>
      </c>
      <c r="I75" s="33" t="n">
        <f aca="false">H75*N75</f>
        <v>78531250</v>
      </c>
      <c r="J75" s="33" t="n">
        <f aca="false">H75-E75</f>
        <v>5187500000</v>
      </c>
      <c r="K75" s="33" t="n">
        <f aca="false">D75-I75</f>
        <v>0</v>
      </c>
      <c r="L75" s="33" t="n">
        <f aca="false">G75-J75</f>
        <v>0</v>
      </c>
      <c r="M75" s="33" t="n">
        <f aca="false">F75</f>
        <v>141031250</v>
      </c>
      <c r="N75" s="64" t="n">
        <v>0.0149583333333333</v>
      </c>
      <c r="O75" s="48" t="n">
        <f aca="false">IF(AND(B75&gt;=DATE(2026,1,1),B75&lt;=Resumen!$C$5),1,0)</f>
        <v>0</v>
      </c>
      <c r="P75" s="48" t="n">
        <f aca="false">IF(AND(B75&gt;Resumen!$C$5,B75&lt;=DATE(2027,7,31)),1,0)</f>
        <v>0</v>
      </c>
    </row>
    <row r="76" customFormat="false" ht="15" hidden="false" customHeight="false" outlineLevel="0" collapsed="false">
      <c r="A76" s="38" t="n">
        <v>64</v>
      </c>
      <c r="B76" s="27" t="n">
        <v>45155</v>
      </c>
      <c r="C76" s="39" t="n">
        <v>5187500000</v>
      </c>
      <c r="D76" s="39" t="n">
        <v>74639479.1666667</v>
      </c>
      <c r="E76" s="39" t="n">
        <v>62500000</v>
      </c>
      <c r="F76" s="39" t="n">
        <v>137139479.166667</v>
      </c>
      <c r="G76" s="39" t="n">
        <v>5125000000</v>
      </c>
      <c r="H76" s="33" t="n">
        <f aca="false">J75</f>
        <v>5187500000</v>
      </c>
      <c r="I76" s="33" t="n">
        <f aca="false">H76*N76</f>
        <v>74639479.1666666</v>
      </c>
      <c r="J76" s="33" t="n">
        <f aca="false">H76-E76</f>
        <v>5125000000</v>
      </c>
      <c r="K76" s="33" t="n">
        <f aca="false">D76-I76</f>
        <v>0</v>
      </c>
      <c r="L76" s="33" t="n">
        <f aca="false">G76-J76</f>
        <v>0</v>
      </c>
      <c r="M76" s="33" t="n">
        <f aca="false">F76</f>
        <v>137139479.166667</v>
      </c>
      <c r="N76" s="64" t="n">
        <v>0.0143883333333333</v>
      </c>
      <c r="O76" s="48" t="n">
        <f aca="false">IF(AND(B76&gt;=DATE(2026,1,1),B76&lt;=Resumen!$C$5),1,0)</f>
        <v>0</v>
      </c>
      <c r="P76" s="48" t="n">
        <f aca="false">IF(AND(B76&gt;Resumen!$C$5,B76&lt;=DATE(2027,7,31)),1,0)</f>
        <v>0</v>
      </c>
    </row>
    <row r="77" customFormat="false" ht="15" hidden="false" customHeight="false" outlineLevel="0" collapsed="false">
      <c r="A77" s="38" t="n">
        <v>65</v>
      </c>
      <c r="B77" s="27" t="n">
        <v>45186</v>
      </c>
      <c r="C77" s="39" t="n">
        <v>5125000000</v>
      </c>
      <c r="D77" s="39" t="n">
        <v>72723750</v>
      </c>
      <c r="E77" s="39" t="n">
        <v>62500000</v>
      </c>
      <c r="F77" s="39" t="n">
        <v>135223750</v>
      </c>
      <c r="G77" s="39" t="n">
        <v>5062500000</v>
      </c>
      <c r="H77" s="33" t="n">
        <f aca="false">J76</f>
        <v>5125000000</v>
      </c>
      <c r="I77" s="33" t="n">
        <f aca="false">H77*N77</f>
        <v>72723750</v>
      </c>
      <c r="J77" s="33" t="n">
        <f aca="false">H77-E77</f>
        <v>5062500000</v>
      </c>
      <c r="K77" s="33" t="n">
        <f aca="false">D77-I77</f>
        <v>0</v>
      </c>
      <c r="L77" s="33" t="n">
        <f aca="false">G77-J77</f>
        <v>0</v>
      </c>
      <c r="M77" s="33" t="n">
        <f aca="false">F77</f>
        <v>135223750</v>
      </c>
      <c r="N77" s="64" t="n">
        <v>0.01419</v>
      </c>
      <c r="O77" s="48" t="n">
        <f aca="false">IF(AND(B77&gt;=DATE(2026,1,1),B77&lt;=Resumen!$C$5),1,0)</f>
        <v>0</v>
      </c>
      <c r="P77" s="48" t="n">
        <f aca="false">IF(AND(B77&gt;Resumen!$C$5,B77&lt;=DATE(2027,7,31)),1,0)</f>
        <v>0</v>
      </c>
    </row>
    <row r="78" customFormat="false" ht="15" hidden="false" customHeight="false" outlineLevel="0" collapsed="false">
      <c r="A78" s="38" t="n">
        <v>66</v>
      </c>
      <c r="B78" s="27" t="n">
        <v>45216</v>
      </c>
      <c r="C78" s="39" t="n">
        <v>5062500000</v>
      </c>
      <c r="D78" s="39" t="n">
        <v>71857968.75</v>
      </c>
      <c r="E78" s="39" t="n">
        <v>62500000</v>
      </c>
      <c r="F78" s="39" t="n">
        <v>134357968.75</v>
      </c>
      <c r="G78" s="39" t="n">
        <v>5000000000</v>
      </c>
      <c r="H78" s="33" t="n">
        <f aca="false">J77</f>
        <v>5062500000</v>
      </c>
      <c r="I78" s="33" t="n">
        <f aca="false">H78*N78</f>
        <v>71857968.75</v>
      </c>
      <c r="J78" s="33" t="n">
        <f aca="false">H78-E78</f>
        <v>5000000000</v>
      </c>
      <c r="K78" s="33" t="n">
        <f aca="false">D78-I78</f>
        <v>0</v>
      </c>
      <c r="L78" s="33" t="n">
        <f aca="false">G78-J78</f>
        <v>0</v>
      </c>
      <c r="M78" s="33" t="n">
        <f aca="false">F78</f>
        <v>134357968.75</v>
      </c>
      <c r="N78" s="64" t="n">
        <v>0.0141941666666667</v>
      </c>
      <c r="O78" s="48" t="n">
        <f aca="false">IF(AND(B78&gt;=DATE(2026,1,1),B78&lt;=Resumen!$C$5),1,0)</f>
        <v>0</v>
      </c>
      <c r="P78" s="48" t="n">
        <f aca="false">IF(AND(B78&gt;Resumen!$C$5,B78&lt;=DATE(2027,7,31)),1,0)</f>
        <v>0</v>
      </c>
    </row>
    <row r="79" customFormat="false" ht="15" hidden="false" customHeight="false" outlineLevel="0" collapsed="false">
      <c r="A79" s="38" t="n">
        <v>67</v>
      </c>
      <c r="B79" s="27" t="n">
        <v>45247</v>
      </c>
      <c r="C79" s="39" t="n">
        <v>5000000000</v>
      </c>
      <c r="D79" s="39" t="n">
        <v>70854166.6666667</v>
      </c>
      <c r="E79" s="39" t="n">
        <v>62500000</v>
      </c>
      <c r="F79" s="39" t="n">
        <v>133354166.666667</v>
      </c>
      <c r="G79" s="39" t="n">
        <v>4937500000</v>
      </c>
      <c r="H79" s="33" t="n">
        <f aca="false">J78</f>
        <v>5000000000</v>
      </c>
      <c r="I79" s="33" t="n">
        <f aca="false">H79*N79</f>
        <v>70854166.6666667</v>
      </c>
      <c r="J79" s="33" t="n">
        <f aca="false">H79-E79</f>
        <v>4937500000</v>
      </c>
      <c r="K79" s="33" t="n">
        <f aca="false">D79-I79</f>
        <v>0</v>
      </c>
      <c r="L79" s="33" t="n">
        <f aca="false">G79-J79</f>
        <v>0</v>
      </c>
      <c r="M79" s="33" t="n">
        <f aca="false">F79</f>
        <v>133354166.666667</v>
      </c>
      <c r="N79" s="64" t="n">
        <v>0.0141708333333333</v>
      </c>
      <c r="O79" s="48" t="n">
        <f aca="false">IF(AND(B79&gt;=DATE(2026,1,1),B79&lt;=Resumen!$C$5),1,0)</f>
        <v>0</v>
      </c>
      <c r="P79" s="48" t="n">
        <f aca="false">IF(AND(B79&gt;Resumen!$C$5,B79&lt;=DATE(2027,7,31)),1,0)</f>
        <v>0</v>
      </c>
    </row>
    <row r="80" customFormat="false" ht="15" hidden="false" customHeight="false" outlineLevel="0" collapsed="false">
      <c r="A80" s="38" t="n">
        <v>68</v>
      </c>
      <c r="B80" s="27" t="n">
        <v>45277</v>
      </c>
      <c r="C80" s="39" t="n">
        <v>4937500000</v>
      </c>
      <c r="D80" s="39" t="n">
        <v>68980989.5833333</v>
      </c>
      <c r="E80" s="39" t="n">
        <v>62500000</v>
      </c>
      <c r="F80" s="39" t="n">
        <v>131480989.583333</v>
      </c>
      <c r="G80" s="39" t="n">
        <v>4875000000</v>
      </c>
      <c r="H80" s="33" t="n">
        <f aca="false">J79</f>
        <v>4937500000</v>
      </c>
      <c r="I80" s="33" t="n">
        <f aca="false">H80*N80</f>
        <v>68980989.5833333</v>
      </c>
      <c r="J80" s="33" t="n">
        <f aca="false">H80-E80</f>
        <v>4875000000</v>
      </c>
      <c r="K80" s="33" t="n">
        <f aca="false">D80-I80</f>
        <v>0</v>
      </c>
      <c r="L80" s="33" t="n">
        <f aca="false">G80-J80</f>
        <v>0</v>
      </c>
      <c r="M80" s="33" t="n">
        <f aca="false">F80</f>
        <v>131480989.583333</v>
      </c>
      <c r="N80" s="64" t="n">
        <v>0.0139708333333333</v>
      </c>
      <c r="O80" s="48" t="n">
        <f aca="false">IF(AND(B80&gt;=DATE(2026,1,1),B80&lt;=Resumen!$C$5),1,0)</f>
        <v>0</v>
      </c>
      <c r="P80" s="48" t="n">
        <f aca="false">IF(AND(B80&gt;Resumen!$C$5,B80&lt;=DATE(2027,7,31)),1,0)</f>
        <v>0</v>
      </c>
    </row>
    <row r="81" customFormat="false" ht="15" hidden="false" customHeight="false" outlineLevel="0" collapsed="false">
      <c r="A81" s="38" t="n">
        <v>69</v>
      </c>
      <c r="B81" s="27" t="n">
        <v>45308</v>
      </c>
      <c r="C81" s="39" t="n">
        <v>4875000000</v>
      </c>
      <c r="D81" s="39" t="n">
        <v>67380625</v>
      </c>
      <c r="E81" s="39" t="n">
        <v>62500000</v>
      </c>
      <c r="F81" s="39" t="n">
        <v>129880625</v>
      </c>
      <c r="G81" s="39" t="n">
        <v>4812500000</v>
      </c>
      <c r="H81" s="33" t="n">
        <f aca="false">J80</f>
        <v>4875000000</v>
      </c>
      <c r="I81" s="33" t="n">
        <f aca="false">H81*N81</f>
        <v>67380625</v>
      </c>
      <c r="J81" s="33" t="n">
        <f aca="false">H81-E81</f>
        <v>4812500000</v>
      </c>
      <c r="K81" s="33" t="n">
        <f aca="false">D81-I81</f>
        <v>0</v>
      </c>
      <c r="L81" s="33" t="n">
        <f aca="false">G81-J81</f>
        <v>0</v>
      </c>
      <c r="M81" s="33" t="n">
        <f aca="false">F81</f>
        <v>129880625</v>
      </c>
      <c r="N81" s="64" t="n">
        <v>0.0138216666666667</v>
      </c>
      <c r="O81" s="48" t="n">
        <f aca="false">IF(AND(B81&gt;=DATE(2026,1,1),B81&lt;=Resumen!$C$5),1,0)</f>
        <v>0</v>
      </c>
      <c r="P81" s="48" t="n">
        <f aca="false">IF(AND(B81&gt;Resumen!$C$5,B81&lt;=DATE(2027,7,31)),1,0)</f>
        <v>0</v>
      </c>
    </row>
    <row r="82" customFormat="false" ht="15" hidden="false" customHeight="false" outlineLevel="0" collapsed="false">
      <c r="A82" s="38" t="n">
        <v>70</v>
      </c>
      <c r="B82" s="27" t="n">
        <v>45339</v>
      </c>
      <c r="C82" s="39" t="n">
        <v>4812500000</v>
      </c>
      <c r="D82" s="39" t="n">
        <v>69664947.9166667</v>
      </c>
      <c r="E82" s="39" t="n">
        <v>62500000</v>
      </c>
      <c r="F82" s="39" t="n">
        <v>132164947.916667</v>
      </c>
      <c r="G82" s="39" t="n">
        <v>4750000000</v>
      </c>
      <c r="H82" s="33" t="n">
        <f aca="false">J81</f>
        <v>4812500000</v>
      </c>
      <c r="I82" s="33" t="n">
        <f aca="false">H82*N82</f>
        <v>69664947.9166667</v>
      </c>
      <c r="J82" s="33" t="n">
        <f aca="false">H82-E82</f>
        <v>4750000000</v>
      </c>
      <c r="K82" s="33" t="n">
        <f aca="false">D82-I82</f>
        <v>0</v>
      </c>
      <c r="L82" s="33" t="n">
        <f aca="false">G82-J82</f>
        <v>0</v>
      </c>
      <c r="M82" s="33" t="n">
        <f aca="false">F82</f>
        <v>132164947.916667</v>
      </c>
      <c r="N82" s="64" t="n">
        <v>0.0144758333333333</v>
      </c>
      <c r="O82" s="48" t="n">
        <f aca="false">IF(AND(B82&gt;=DATE(2026,1,1),B82&lt;=Resumen!$C$5),1,0)</f>
        <v>0</v>
      </c>
      <c r="P82" s="48" t="n">
        <f aca="false">IF(AND(B82&gt;Resumen!$C$5,B82&lt;=DATE(2027,7,31)),1,0)</f>
        <v>0</v>
      </c>
    </row>
    <row r="83" customFormat="false" ht="15" hidden="false" customHeight="false" outlineLevel="0" collapsed="false">
      <c r="A83" s="38" t="n">
        <v>71</v>
      </c>
      <c r="B83" s="27" t="n">
        <v>45368</v>
      </c>
      <c r="C83" s="39" t="n">
        <v>4750000000</v>
      </c>
      <c r="D83" s="39" t="n">
        <v>63681666.6666667</v>
      </c>
      <c r="E83" s="39" t="n">
        <v>62500000</v>
      </c>
      <c r="F83" s="39" t="n">
        <v>126181666.666667</v>
      </c>
      <c r="G83" s="39" t="n">
        <v>4687500000</v>
      </c>
      <c r="H83" s="33" t="n">
        <f aca="false">J82</f>
        <v>4750000000</v>
      </c>
      <c r="I83" s="33" t="n">
        <f aca="false">H83*N83</f>
        <v>63681666.6666667</v>
      </c>
      <c r="J83" s="33" t="n">
        <f aca="false">H83-E83</f>
        <v>4687500000</v>
      </c>
      <c r="K83" s="33" t="n">
        <f aca="false">D83-I83</f>
        <v>0</v>
      </c>
      <c r="L83" s="33" t="n">
        <f aca="false">G83-J83</f>
        <v>0</v>
      </c>
      <c r="M83" s="33" t="n">
        <f aca="false">F83</f>
        <v>126181666.666667</v>
      </c>
      <c r="N83" s="64" t="n">
        <v>0.0134066666666667</v>
      </c>
      <c r="O83" s="48" t="n">
        <f aca="false">IF(AND(B83&gt;=DATE(2026,1,1),B83&lt;=Resumen!$C$5),1,0)</f>
        <v>0</v>
      </c>
      <c r="P83" s="48" t="n">
        <f aca="false">IF(AND(B83&gt;Resumen!$C$5,B83&lt;=DATE(2027,7,31)),1,0)</f>
        <v>0</v>
      </c>
    </row>
    <row r="84" customFormat="false" ht="15" hidden="false" customHeight="false" outlineLevel="0" collapsed="false">
      <c r="A84" s="38" t="n">
        <v>72</v>
      </c>
      <c r="B84" s="27" t="n">
        <v>45399</v>
      </c>
      <c r="C84" s="39" t="n">
        <v>4687500000</v>
      </c>
      <c r="D84" s="39" t="n">
        <v>64343750</v>
      </c>
      <c r="E84" s="39" t="n">
        <v>62500000</v>
      </c>
      <c r="F84" s="39" t="n">
        <v>126843750</v>
      </c>
      <c r="G84" s="39" t="n">
        <v>4625000000</v>
      </c>
      <c r="H84" s="33" t="n">
        <f aca="false">J83</f>
        <v>4687500000</v>
      </c>
      <c r="I84" s="33" t="n">
        <f aca="false">H84*N84</f>
        <v>64343750</v>
      </c>
      <c r="J84" s="33" t="n">
        <f aca="false">H84-E84</f>
        <v>4625000000</v>
      </c>
      <c r="K84" s="33" t="n">
        <f aca="false">D84-I84</f>
        <v>0</v>
      </c>
      <c r="L84" s="33" t="n">
        <f aca="false">G84-J84</f>
        <v>0</v>
      </c>
      <c r="M84" s="33" t="n">
        <f aca="false">F84</f>
        <v>126843750</v>
      </c>
      <c r="N84" s="64" t="n">
        <v>0.0137266666666667</v>
      </c>
      <c r="O84" s="48" t="n">
        <f aca="false">IF(AND(B84&gt;=DATE(2026,1,1),B84&lt;=Resumen!$C$5),1,0)</f>
        <v>0</v>
      </c>
      <c r="P84" s="48" t="n">
        <f aca="false">IF(AND(B84&gt;Resumen!$C$5,B84&lt;=DATE(2027,7,31)),1,0)</f>
        <v>0</v>
      </c>
    </row>
    <row r="85" customFormat="false" ht="15" hidden="false" customHeight="false" outlineLevel="0" collapsed="false">
      <c r="A85" s="38" t="n">
        <v>73</v>
      </c>
      <c r="B85" s="27" t="n">
        <v>45429</v>
      </c>
      <c r="C85" s="39" t="n">
        <v>4625000000</v>
      </c>
      <c r="D85" s="39" t="n">
        <v>63339375</v>
      </c>
      <c r="E85" s="39" t="n">
        <v>62500000</v>
      </c>
      <c r="F85" s="39" t="n">
        <v>125839375</v>
      </c>
      <c r="G85" s="39" t="n">
        <v>4562500000</v>
      </c>
      <c r="H85" s="33" t="n">
        <f aca="false">J84</f>
        <v>4625000000</v>
      </c>
      <c r="I85" s="33" t="n">
        <f aca="false">H85*N85</f>
        <v>63339375</v>
      </c>
      <c r="J85" s="33" t="n">
        <f aca="false">H85-E85</f>
        <v>4562500000</v>
      </c>
      <c r="K85" s="33" t="n">
        <f aca="false">D85-I85</f>
        <v>0</v>
      </c>
      <c r="L85" s="33" t="n">
        <f aca="false">G85-J85</f>
        <v>0</v>
      </c>
      <c r="M85" s="33" t="n">
        <f aca="false">F85</f>
        <v>125839375</v>
      </c>
      <c r="N85" s="64" t="n">
        <v>0.013695</v>
      </c>
      <c r="O85" s="48" t="n">
        <f aca="false">IF(AND(B85&gt;=DATE(2026,1,1),B85&lt;=Resumen!$C$5),1,0)</f>
        <v>0</v>
      </c>
      <c r="P85" s="48" t="n">
        <f aca="false">IF(AND(B85&gt;Resumen!$C$5,B85&lt;=DATE(2027,7,31)),1,0)</f>
        <v>0</v>
      </c>
    </row>
    <row r="86" customFormat="false" ht="15" hidden="false" customHeight="false" outlineLevel="0" collapsed="false">
      <c r="A86" s="38" t="n">
        <v>74</v>
      </c>
      <c r="B86" s="27" t="n">
        <v>45460</v>
      </c>
      <c r="C86" s="39" t="n">
        <v>4562500000</v>
      </c>
      <c r="D86" s="39" t="n">
        <v>57563541.6666667</v>
      </c>
      <c r="E86" s="39" t="n">
        <v>62500000</v>
      </c>
      <c r="F86" s="39" t="n">
        <v>120063541.666667</v>
      </c>
      <c r="G86" s="39" t="n">
        <v>4500000000</v>
      </c>
      <c r="H86" s="33" t="n">
        <f aca="false">J85</f>
        <v>4562500000</v>
      </c>
      <c r="I86" s="33" t="n">
        <f aca="false">H86*N86</f>
        <v>57563541.6666667</v>
      </c>
      <c r="J86" s="33" t="n">
        <f aca="false">H86-E86</f>
        <v>4500000000</v>
      </c>
      <c r="K86" s="33" t="n">
        <f aca="false">D86-I86</f>
        <v>0</v>
      </c>
      <c r="L86" s="33" t="n">
        <f aca="false">G86-J86</f>
        <v>0</v>
      </c>
      <c r="M86" s="33" t="n">
        <f aca="false">F86</f>
        <v>120063541.666667</v>
      </c>
      <c r="N86" s="64" t="n">
        <v>0.0126166666666667</v>
      </c>
      <c r="O86" s="48" t="n">
        <f aca="false">IF(AND(B86&gt;=DATE(2026,1,1),B86&lt;=Resumen!$C$5),1,0)</f>
        <v>0</v>
      </c>
      <c r="P86" s="48" t="n">
        <f aca="false">IF(AND(B86&gt;Resumen!$C$5,B86&lt;=DATE(2027,7,31)),1,0)</f>
        <v>0</v>
      </c>
    </row>
    <row r="87" customFormat="false" ht="15" hidden="false" customHeight="false" outlineLevel="0" collapsed="false">
      <c r="A87" s="38" t="n">
        <v>75</v>
      </c>
      <c r="B87" s="27" t="n">
        <v>45490</v>
      </c>
      <c r="C87" s="39" t="n">
        <v>4500000000</v>
      </c>
      <c r="D87" s="39" t="n">
        <v>57892500</v>
      </c>
      <c r="E87" s="39" t="n">
        <v>62500000</v>
      </c>
      <c r="F87" s="39" t="n">
        <v>120392500</v>
      </c>
      <c r="G87" s="39" t="n">
        <v>4437500000</v>
      </c>
      <c r="H87" s="33" t="n">
        <f aca="false">J86</f>
        <v>4500000000</v>
      </c>
      <c r="I87" s="33" t="n">
        <f aca="false">H87*N87</f>
        <v>57892500</v>
      </c>
      <c r="J87" s="33" t="n">
        <f aca="false">H87-E87</f>
        <v>4437500000</v>
      </c>
      <c r="K87" s="33" t="n">
        <f aca="false">D87-I87</f>
        <v>0</v>
      </c>
      <c r="L87" s="33" t="n">
        <f aca="false">G87-J87</f>
        <v>0</v>
      </c>
      <c r="M87" s="33" t="n">
        <f aca="false">F87</f>
        <v>120392500</v>
      </c>
      <c r="N87" s="64" t="n">
        <v>0.012865</v>
      </c>
      <c r="O87" s="48" t="n">
        <f aca="false">IF(AND(B87&gt;=DATE(2026,1,1),B87&lt;=Resumen!$C$5),1,0)</f>
        <v>0</v>
      </c>
      <c r="P87" s="48" t="n">
        <f aca="false">IF(AND(B87&gt;Resumen!$C$5,B87&lt;=DATE(2027,7,31)),1,0)</f>
        <v>0</v>
      </c>
    </row>
    <row r="88" customFormat="false" ht="15" hidden="false" customHeight="false" outlineLevel="0" collapsed="false">
      <c r="A88" s="38" t="n">
        <v>76</v>
      </c>
      <c r="B88" s="27" t="n">
        <v>45521</v>
      </c>
      <c r="C88" s="39" t="n">
        <v>4437500000</v>
      </c>
      <c r="D88" s="39" t="n">
        <v>57069947.9166667</v>
      </c>
      <c r="E88" s="39" t="n">
        <v>62500000</v>
      </c>
      <c r="F88" s="39" t="n">
        <v>119569947.916667</v>
      </c>
      <c r="G88" s="39" t="n">
        <v>4375000000</v>
      </c>
      <c r="H88" s="33" t="n">
        <f aca="false">J87</f>
        <v>4437500000</v>
      </c>
      <c r="I88" s="33" t="n">
        <f aca="false">H88*N88</f>
        <v>57069947.9166667</v>
      </c>
      <c r="J88" s="33" t="n">
        <f aca="false">H88-E88</f>
        <v>4375000000</v>
      </c>
      <c r="K88" s="33" t="n">
        <f aca="false">D88-I88</f>
        <v>0</v>
      </c>
      <c r="L88" s="33" t="n">
        <f aca="false">G88-J88</f>
        <v>0</v>
      </c>
      <c r="M88" s="33" t="n">
        <f aca="false">F88</f>
        <v>119569947.916667</v>
      </c>
      <c r="N88" s="64" t="n">
        <v>0.0128608333333333</v>
      </c>
      <c r="O88" s="48" t="n">
        <f aca="false">IF(AND(B88&gt;=DATE(2026,1,1),B88&lt;=Resumen!$C$5),1,0)</f>
        <v>0</v>
      </c>
      <c r="P88" s="48" t="n">
        <f aca="false">IF(AND(B88&gt;Resumen!$C$5,B88&lt;=DATE(2027,7,31)),1,0)</f>
        <v>0</v>
      </c>
    </row>
    <row r="89" customFormat="false" ht="15" hidden="false" customHeight="false" outlineLevel="0" collapsed="false">
      <c r="A89" s="38" t="n">
        <v>77</v>
      </c>
      <c r="B89" s="27" t="n">
        <v>45552</v>
      </c>
      <c r="C89" s="39" t="n">
        <v>4375000000</v>
      </c>
      <c r="D89" s="39" t="n">
        <v>52190104.1666667</v>
      </c>
      <c r="E89" s="39" t="n">
        <v>62500000</v>
      </c>
      <c r="F89" s="39" t="n">
        <v>114690104.166667</v>
      </c>
      <c r="G89" s="39" t="n">
        <v>4312500000</v>
      </c>
      <c r="H89" s="33" t="n">
        <f aca="false">J88</f>
        <v>4375000000</v>
      </c>
      <c r="I89" s="33" t="n">
        <f aca="false">H89*N89</f>
        <v>52190104.1666667</v>
      </c>
      <c r="J89" s="33" t="n">
        <f aca="false">H89-E89</f>
        <v>4312500000</v>
      </c>
      <c r="K89" s="33" t="n">
        <f aca="false">D89-I89</f>
        <v>0</v>
      </c>
      <c r="L89" s="33" t="n">
        <f aca="false">G89-J89</f>
        <v>0</v>
      </c>
      <c r="M89" s="33" t="n">
        <f aca="false">F89</f>
        <v>114690104.166667</v>
      </c>
      <c r="N89" s="64" t="n">
        <v>0.0119291666666667</v>
      </c>
      <c r="O89" s="48" t="n">
        <f aca="false">IF(AND(B89&gt;=DATE(2026,1,1),B89&lt;=Resumen!$C$5),1,0)</f>
        <v>0</v>
      </c>
      <c r="P89" s="48" t="n">
        <f aca="false">IF(AND(B89&gt;Resumen!$C$5,B89&lt;=DATE(2027,7,31)),1,0)</f>
        <v>0</v>
      </c>
    </row>
    <row r="90" customFormat="false" ht="15" hidden="false" customHeight="false" outlineLevel="0" collapsed="false">
      <c r="A90" s="38" t="n">
        <v>78</v>
      </c>
      <c r="B90" s="27" t="n">
        <v>45582</v>
      </c>
      <c r="C90" s="39" t="n">
        <v>4312500000</v>
      </c>
      <c r="D90" s="39" t="n">
        <v>49827343.75</v>
      </c>
      <c r="E90" s="39" t="n">
        <v>62500000</v>
      </c>
      <c r="F90" s="39" t="n">
        <v>112327343.75</v>
      </c>
      <c r="G90" s="39" t="n">
        <v>4250000000</v>
      </c>
      <c r="H90" s="33" t="n">
        <f aca="false">J89</f>
        <v>4312500000</v>
      </c>
      <c r="I90" s="33" t="n">
        <f aca="false">H90*N90</f>
        <v>49827343.75</v>
      </c>
      <c r="J90" s="33" t="n">
        <f aca="false">H90-E90</f>
        <v>4250000000</v>
      </c>
      <c r="K90" s="33" t="n">
        <f aca="false">D90-I90</f>
        <v>0</v>
      </c>
      <c r="L90" s="33" t="n">
        <f aca="false">G90-J90</f>
        <v>0</v>
      </c>
      <c r="M90" s="33" t="n">
        <f aca="false">F90</f>
        <v>112327343.75</v>
      </c>
      <c r="N90" s="64" t="n">
        <v>0.0115541666666667</v>
      </c>
      <c r="O90" s="48" t="n">
        <f aca="false">IF(AND(B90&gt;=DATE(2026,1,1),B90&lt;=Resumen!$C$5),1,0)</f>
        <v>0</v>
      </c>
      <c r="P90" s="48" t="n">
        <f aca="false">IF(AND(B90&gt;Resumen!$C$5,B90&lt;=DATE(2027,7,31)),1,0)</f>
        <v>0</v>
      </c>
    </row>
    <row r="91" customFormat="false" ht="15" hidden="false" customHeight="false" outlineLevel="0" collapsed="false">
      <c r="A91" s="38" t="n">
        <v>79</v>
      </c>
      <c r="B91" s="27" t="n">
        <v>45613</v>
      </c>
      <c r="C91" s="39" t="n">
        <v>4250000000</v>
      </c>
      <c r="D91" s="39" t="n">
        <v>48761666.6666667</v>
      </c>
      <c r="E91" s="39" t="n">
        <v>62500000</v>
      </c>
      <c r="F91" s="39" t="n">
        <v>111261666.666667</v>
      </c>
      <c r="G91" s="39" t="n">
        <v>4187500000</v>
      </c>
      <c r="H91" s="33" t="n">
        <f aca="false">J90</f>
        <v>4250000000</v>
      </c>
      <c r="I91" s="33" t="n">
        <f aca="false">H91*N91</f>
        <v>48761666.6666667</v>
      </c>
      <c r="J91" s="33" t="n">
        <f aca="false">H91-E91</f>
        <v>4187500000</v>
      </c>
      <c r="K91" s="33" t="n">
        <f aca="false">D91-I91</f>
        <v>0</v>
      </c>
      <c r="L91" s="33" t="n">
        <f aca="false">G91-J91</f>
        <v>0</v>
      </c>
      <c r="M91" s="33" t="n">
        <f aca="false">F91</f>
        <v>111261666.666667</v>
      </c>
      <c r="N91" s="64" t="n">
        <v>0.0114733333333333</v>
      </c>
      <c r="O91" s="48" t="n">
        <f aca="false">IF(AND(B91&gt;=DATE(2026,1,1),B91&lt;=Resumen!$C$5),1,0)</f>
        <v>0</v>
      </c>
      <c r="P91" s="48" t="n">
        <f aca="false">IF(AND(B91&gt;Resumen!$C$5,B91&lt;=DATE(2027,7,31)),1,0)</f>
        <v>0</v>
      </c>
    </row>
    <row r="92" customFormat="false" ht="15" hidden="false" customHeight="false" outlineLevel="0" collapsed="false">
      <c r="A92" s="38" t="n">
        <v>80</v>
      </c>
      <c r="B92" s="27" t="n">
        <v>45643</v>
      </c>
      <c r="C92" s="39" t="n">
        <v>4187500000</v>
      </c>
      <c r="D92" s="39" t="n">
        <v>47775885.4166667</v>
      </c>
      <c r="E92" s="39" t="n">
        <v>62500000</v>
      </c>
      <c r="F92" s="39" t="n">
        <v>110275885.416667</v>
      </c>
      <c r="G92" s="39" t="n">
        <v>4125000000</v>
      </c>
      <c r="H92" s="33" t="n">
        <f aca="false">J91</f>
        <v>4187500000</v>
      </c>
      <c r="I92" s="33" t="n">
        <f aca="false">H92*N92</f>
        <v>47775885.4166667</v>
      </c>
      <c r="J92" s="33" t="n">
        <f aca="false">H92-E92</f>
        <v>4125000000</v>
      </c>
      <c r="K92" s="33" t="n">
        <f aca="false">D92-I92</f>
        <v>0</v>
      </c>
      <c r="L92" s="33" t="n">
        <f aca="false">G92-J92</f>
        <v>0</v>
      </c>
      <c r="M92" s="33" t="n">
        <f aca="false">F92</f>
        <v>110275885.416667</v>
      </c>
      <c r="N92" s="64" t="n">
        <v>0.0114091666666667</v>
      </c>
      <c r="O92" s="48" t="n">
        <f aca="false">IF(AND(B92&gt;=DATE(2026,1,1),B92&lt;=Resumen!$C$5),1,0)</f>
        <v>0</v>
      </c>
      <c r="P92" s="48" t="n">
        <f aca="false">IF(AND(B92&gt;Resumen!$C$5,B92&lt;=DATE(2027,7,31)),1,0)</f>
        <v>0</v>
      </c>
    </row>
    <row r="93" customFormat="false" ht="15" hidden="false" customHeight="false" outlineLevel="0" collapsed="false">
      <c r="A93" s="38" t="n">
        <v>81</v>
      </c>
      <c r="B93" s="27" t="n">
        <v>45674</v>
      </c>
      <c r="C93" s="39" t="n">
        <v>4125000000</v>
      </c>
      <c r="D93" s="39" t="n">
        <v>46581562.5</v>
      </c>
      <c r="E93" s="39" t="n">
        <v>62500000</v>
      </c>
      <c r="F93" s="39" t="n">
        <v>109081562.5</v>
      </c>
      <c r="G93" s="39" t="n">
        <v>4062500000</v>
      </c>
      <c r="H93" s="33" t="n">
        <f aca="false">J92</f>
        <v>4125000000</v>
      </c>
      <c r="I93" s="33" t="n">
        <f aca="false">H93*N93</f>
        <v>46581562.5</v>
      </c>
      <c r="J93" s="33" t="n">
        <f aca="false">H93-E93</f>
        <v>4062500000</v>
      </c>
      <c r="K93" s="33" t="n">
        <f aca="false">D93-I93</f>
        <v>0</v>
      </c>
      <c r="L93" s="33" t="n">
        <f aca="false">G93-J93</f>
        <v>0</v>
      </c>
      <c r="M93" s="33" t="n">
        <f aca="false">F93</f>
        <v>109081562.5</v>
      </c>
      <c r="N93" s="64" t="n">
        <v>0.0112925</v>
      </c>
      <c r="O93" s="48" t="n">
        <f aca="false">IF(AND(B93&gt;=DATE(2026,1,1),B93&lt;=Resumen!$C$5),1,0)</f>
        <v>0</v>
      </c>
      <c r="P93" s="48" t="n">
        <f aca="false">IF(AND(B93&gt;Resumen!$C$5,B93&lt;=DATE(2027,7,31)),1,0)</f>
        <v>0</v>
      </c>
    </row>
    <row r="94" customFormat="false" ht="15" hidden="false" customHeight="false" outlineLevel="0" collapsed="false">
      <c r="A94" s="38" t="n">
        <v>82</v>
      </c>
      <c r="B94" s="27" t="n">
        <v>45705</v>
      </c>
      <c r="C94" s="39" t="n">
        <v>4062500000</v>
      </c>
      <c r="D94" s="39" t="n">
        <v>46302343.75</v>
      </c>
      <c r="E94" s="39" t="n">
        <v>62500000</v>
      </c>
      <c r="F94" s="39" t="n">
        <v>108802343.75</v>
      </c>
      <c r="G94" s="39" t="n">
        <v>4000000000</v>
      </c>
      <c r="H94" s="33" t="n">
        <f aca="false">J93</f>
        <v>4062500000</v>
      </c>
      <c r="I94" s="33" t="n">
        <f aca="false">H94*N94</f>
        <v>46302343.75</v>
      </c>
      <c r="J94" s="33" t="n">
        <f aca="false">H94-E94</f>
        <v>4000000000</v>
      </c>
      <c r="K94" s="33" t="n">
        <f aca="false">D94-I94</f>
        <v>0</v>
      </c>
      <c r="L94" s="33" t="n">
        <f aca="false">G94-J94</f>
        <v>0</v>
      </c>
      <c r="M94" s="33" t="n">
        <f aca="false">F94</f>
        <v>108802343.75</v>
      </c>
      <c r="N94" s="64" t="n">
        <v>0.0113975</v>
      </c>
      <c r="O94" s="48" t="n">
        <f aca="false">IF(AND(B94&gt;=DATE(2026,1,1),B94&lt;=Resumen!$C$5),1,0)</f>
        <v>0</v>
      </c>
      <c r="P94" s="48" t="n">
        <f aca="false">IF(AND(B94&gt;Resumen!$C$5,B94&lt;=DATE(2027,7,31)),1,0)</f>
        <v>0</v>
      </c>
    </row>
    <row r="95" customFormat="false" ht="15" hidden="false" customHeight="false" outlineLevel="0" collapsed="false">
      <c r="A95" s="38" t="n">
        <v>83</v>
      </c>
      <c r="B95" s="27" t="n">
        <v>45733</v>
      </c>
      <c r="C95" s="39" t="n">
        <v>4000000000</v>
      </c>
      <c r="D95" s="39" t="n">
        <v>45403333.3333333</v>
      </c>
      <c r="E95" s="39" t="n">
        <v>62500000</v>
      </c>
      <c r="F95" s="39" t="n">
        <v>107903333.333333</v>
      </c>
      <c r="G95" s="39" t="n">
        <v>3937500000</v>
      </c>
      <c r="H95" s="33" t="n">
        <f aca="false">J94</f>
        <v>4000000000</v>
      </c>
      <c r="I95" s="33" t="n">
        <f aca="false">H95*N95</f>
        <v>45403333.3333333</v>
      </c>
      <c r="J95" s="33" t="n">
        <f aca="false">H95-E95</f>
        <v>3937500000</v>
      </c>
      <c r="K95" s="33" t="n">
        <f aca="false">D95-I95</f>
        <v>0</v>
      </c>
      <c r="L95" s="33" t="n">
        <f aca="false">G95-J95</f>
        <v>0</v>
      </c>
      <c r="M95" s="33" t="n">
        <f aca="false">F95</f>
        <v>107903333.333333</v>
      </c>
      <c r="N95" s="64" t="n">
        <v>0.0113508333333333</v>
      </c>
      <c r="O95" s="48" t="n">
        <f aca="false">IF(AND(B95&gt;=DATE(2026,1,1),B95&lt;=Resumen!$C$5),1,0)</f>
        <v>0</v>
      </c>
      <c r="P95" s="48" t="n">
        <f aca="false">IF(AND(B95&gt;Resumen!$C$5,B95&lt;=DATE(2027,7,31)),1,0)</f>
        <v>0</v>
      </c>
    </row>
    <row r="96" customFormat="false" ht="15" hidden="false" customHeight="false" outlineLevel="0" collapsed="false">
      <c r="A96" s="38" t="n">
        <v>84</v>
      </c>
      <c r="B96" s="27" t="n">
        <v>45764</v>
      </c>
      <c r="C96" s="39" t="n">
        <v>3937500000</v>
      </c>
      <c r="D96" s="39" t="n">
        <v>44782500</v>
      </c>
      <c r="E96" s="39" t="n">
        <v>62500000</v>
      </c>
      <c r="F96" s="39" t="n">
        <v>107282500</v>
      </c>
      <c r="G96" s="39" t="n">
        <v>3875000000</v>
      </c>
      <c r="H96" s="33" t="n">
        <f aca="false">J95</f>
        <v>3937500000</v>
      </c>
      <c r="I96" s="33" t="n">
        <f aca="false">H96*N96</f>
        <v>44782500</v>
      </c>
      <c r="J96" s="33" t="n">
        <f aca="false">H96-E96</f>
        <v>3875000000</v>
      </c>
      <c r="K96" s="33" t="n">
        <f aca="false">D96-I96</f>
        <v>0</v>
      </c>
      <c r="L96" s="33" t="n">
        <f aca="false">G96-J96</f>
        <v>0</v>
      </c>
      <c r="M96" s="33" t="n">
        <f aca="false">F96</f>
        <v>107282500</v>
      </c>
      <c r="N96" s="64" t="n">
        <v>0.0113733333333333</v>
      </c>
      <c r="O96" s="48" t="n">
        <f aca="false">IF(AND(B96&gt;=DATE(2026,1,1),B96&lt;=Resumen!$C$5),1,0)</f>
        <v>0</v>
      </c>
      <c r="P96" s="48" t="n">
        <f aca="false">IF(AND(B96&gt;Resumen!$C$5,B96&lt;=DATE(2027,7,31)),1,0)</f>
        <v>0</v>
      </c>
    </row>
    <row r="97" customFormat="false" ht="15" hidden="false" customHeight="false" outlineLevel="0" collapsed="false">
      <c r="A97" s="38" t="n">
        <v>85</v>
      </c>
      <c r="B97" s="27" t="n">
        <v>45794</v>
      </c>
      <c r="C97" s="39" t="n">
        <v>3875000000</v>
      </c>
      <c r="D97" s="39" t="n">
        <v>43432291.6666667</v>
      </c>
      <c r="E97" s="39" t="n">
        <v>62500000</v>
      </c>
      <c r="F97" s="39" t="n">
        <v>105932291.666667</v>
      </c>
      <c r="G97" s="39" t="n">
        <v>3812500000</v>
      </c>
      <c r="H97" s="33" t="n">
        <f aca="false">J96</f>
        <v>3875000000</v>
      </c>
      <c r="I97" s="33" t="n">
        <f aca="false">H97*N97</f>
        <v>43432291.6666667</v>
      </c>
      <c r="J97" s="33" t="n">
        <f aca="false">H97-E97</f>
        <v>3812500000</v>
      </c>
      <c r="K97" s="33" t="n">
        <f aca="false">D97-I97</f>
        <v>0</v>
      </c>
      <c r="L97" s="33" t="n">
        <f aca="false">G97-J97</f>
        <v>0</v>
      </c>
      <c r="M97" s="33" t="n">
        <f aca="false">F97</f>
        <v>105932291.666667</v>
      </c>
      <c r="N97" s="64" t="n">
        <v>0.0112083333333333</v>
      </c>
      <c r="O97" s="48" t="n">
        <f aca="false">IF(AND(B97&gt;=DATE(2026,1,1),B97&lt;=Resumen!$C$5),1,0)</f>
        <v>0</v>
      </c>
      <c r="P97" s="48" t="n">
        <f aca="false">IF(AND(B97&gt;Resumen!$C$5,B97&lt;=DATE(2027,7,31)),1,0)</f>
        <v>0</v>
      </c>
    </row>
    <row r="98" customFormat="false" ht="15" hidden="false" customHeight="false" outlineLevel="0" collapsed="false">
      <c r="A98" s="38" t="n">
        <v>86</v>
      </c>
      <c r="B98" s="27" t="n">
        <v>45825</v>
      </c>
      <c r="C98" s="39" t="n">
        <v>3812500000</v>
      </c>
      <c r="D98" s="39" t="n">
        <v>42614218.75</v>
      </c>
      <c r="E98" s="39" t="n">
        <v>62500000</v>
      </c>
      <c r="F98" s="39" t="n">
        <v>105114218.75</v>
      </c>
      <c r="G98" s="39" t="n">
        <v>3750000000</v>
      </c>
      <c r="H98" s="33" t="n">
        <f aca="false">J97</f>
        <v>3812500000</v>
      </c>
      <c r="I98" s="33" t="n">
        <f aca="false">H98*N98</f>
        <v>42614218.75</v>
      </c>
      <c r="J98" s="33" t="n">
        <f aca="false">H98-E98</f>
        <v>3750000000</v>
      </c>
      <c r="K98" s="33" t="n">
        <f aca="false">D98-I98</f>
        <v>0</v>
      </c>
      <c r="L98" s="33" t="n">
        <f aca="false">G98-J98</f>
        <v>0</v>
      </c>
      <c r="M98" s="33" t="n">
        <f aca="false">F98</f>
        <v>105114218.75</v>
      </c>
      <c r="N98" s="64" t="n">
        <v>0.0111775</v>
      </c>
      <c r="O98" s="48" t="n">
        <f aca="false">IF(AND(B98&gt;=DATE(2026,1,1),B98&lt;=Resumen!$C$5),1,0)</f>
        <v>0</v>
      </c>
      <c r="P98" s="48" t="n">
        <f aca="false">IF(AND(B98&gt;Resumen!$C$5,B98&lt;=DATE(2027,7,31)),1,0)</f>
        <v>0</v>
      </c>
    </row>
    <row r="99" customFormat="false" ht="15" hidden="false" customHeight="false" outlineLevel="0" collapsed="false">
      <c r="A99" s="38" t="n">
        <v>87</v>
      </c>
      <c r="B99" s="27" t="n">
        <v>45855</v>
      </c>
      <c r="C99" s="39" t="n">
        <v>3750000000</v>
      </c>
      <c r="D99" s="39" t="n">
        <v>41568750</v>
      </c>
      <c r="E99" s="39" t="n">
        <v>62500000</v>
      </c>
      <c r="F99" s="39" t="n">
        <v>104068750</v>
      </c>
      <c r="G99" s="39" t="n">
        <v>3687500000</v>
      </c>
      <c r="H99" s="33" t="n">
        <f aca="false">J98</f>
        <v>3750000000</v>
      </c>
      <c r="I99" s="33" t="n">
        <f aca="false">H99*N99</f>
        <v>41568750</v>
      </c>
      <c r="J99" s="33" t="n">
        <f aca="false">H99-E99</f>
        <v>3687500000</v>
      </c>
      <c r="K99" s="33" t="n">
        <f aca="false">D99-I99</f>
        <v>0</v>
      </c>
      <c r="L99" s="33" t="n">
        <f aca="false">G99-J99</f>
        <v>0</v>
      </c>
      <c r="M99" s="33" t="n">
        <f aca="false">F99</f>
        <v>104068750</v>
      </c>
      <c r="N99" s="64" t="n">
        <v>0.011085</v>
      </c>
      <c r="O99" s="48" t="n">
        <f aca="false">IF(AND(B99&gt;=DATE(2026,1,1),B99&lt;=Resumen!$C$5),1,0)</f>
        <v>0</v>
      </c>
      <c r="P99" s="48" t="n">
        <f aca="false">IF(AND(B99&gt;Resumen!$C$5,B99&lt;=DATE(2027,7,31)),1,0)</f>
        <v>0</v>
      </c>
    </row>
    <row r="100" customFormat="false" ht="15" hidden="false" customHeight="false" outlineLevel="0" collapsed="false">
      <c r="A100" s="38" t="n">
        <v>88</v>
      </c>
      <c r="B100" s="27" t="n">
        <v>45886</v>
      </c>
      <c r="C100" s="39" t="n">
        <v>3687500000</v>
      </c>
      <c r="D100" s="39" t="n">
        <v>41358385.4166667</v>
      </c>
      <c r="E100" s="39" t="n">
        <v>62500000</v>
      </c>
      <c r="F100" s="39" t="n">
        <v>103858385.416667</v>
      </c>
      <c r="G100" s="39" t="n">
        <v>3625000000</v>
      </c>
      <c r="H100" s="33" t="n">
        <f aca="false">J99</f>
        <v>3687500000</v>
      </c>
      <c r="I100" s="33" t="n">
        <f aca="false">H100*N100</f>
        <v>41358385.4166667</v>
      </c>
      <c r="J100" s="33" t="n">
        <f aca="false">H100-E100</f>
        <v>3625000000</v>
      </c>
      <c r="K100" s="33" t="n">
        <f aca="false">D100-I100</f>
        <v>0</v>
      </c>
      <c r="L100" s="33" t="n">
        <f aca="false">G100-J100</f>
        <v>0</v>
      </c>
      <c r="M100" s="33" t="n">
        <f aca="false">F100</f>
        <v>103858385.416667</v>
      </c>
      <c r="N100" s="64" t="n">
        <v>0.0112158333333333</v>
      </c>
      <c r="O100" s="48" t="n">
        <f aca="false">IF(AND(B100&gt;=DATE(2026,1,1),B100&lt;=Resumen!$C$5),1,0)</f>
        <v>0</v>
      </c>
      <c r="P100" s="48" t="n">
        <f aca="false">IF(AND(B100&gt;Resumen!$C$5,B100&lt;=DATE(2027,7,31)),1,0)</f>
        <v>0</v>
      </c>
    </row>
    <row r="101" customFormat="false" ht="15" hidden="false" customHeight="false" outlineLevel="0" collapsed="false">
      <c r="A101" s="38" t="n">
        <v>89</v>
      </c>
      <c r="B101" s="27" t="n">
        <v>45917</v>
      </c>
      <c r="C101" s="39" t="n">
        <v>3625000000</v>
      </c>
      <c r="D101" s="39" t="n">
        <v>40639270.8333333</v>
      </c>
      <c r="E101" s="39" t="n">
        <v>62500000</v>
      </c>
      <c r="F101" s="39" t="n">
        <v>103139270.833333</v>
      </c>
      <c r="G101" s="39" t="n">
        <v>3562500000</v>
      </c>
      <c r="H101" s="33" t="n">
        <f aca="false">J100</f>
        <v>3625000000</v>
      </c>
      <c r="I101" s="33" t="n">
        <f aca="false">H101*N101</f>
        <v>40639270.8333333</v>
      </c>
      <c r="J101" s="33" t="n">
        <f aca="false">H101-E101</f>
        <v>3562500000</v>
      </c>
      <c r="K101" s="33" t="n">
        <f aca="false">D101-I101</f>
        <v>0</v>
      </c>
      <c r="L101" s="33" t="n">
        <f aca="false">G101-J101</f>
        <v>0</v>
      </c>
      <c r="M101" s="33" t="n">
        <f aca="false">F101</f>
        <v>103139270.833333</v>
      </c>
      <c r="N101" s="64" t="n">
        <v>0.0112108333333333</v>
      </c>
      <c r="O101" s="48" t="n">
        <f aca="false">IF(AND(B101&gt;=DATE(2026,1,1),B101&lt;=Resumen!$C$5),1,0)</f>
        <v>0</v>
      </c>
      <c r="P101" s="48" t="n">
        <f aca="false">IF(AND(B101&gt;Resumen!$C$5,B101&lt;=DATE(2027,7,31)),1,0)</f>
        <v>0</v>
      </c>
    </row>
    <row r="102" customFormat="false" ht="15" hidden="false" customHeight="false" outlineLevel="0" collapsed="false">
      <c r="A102" s="38" t="n">
        <v>90</v>
      </c>
      <c r="B102" s="27" t="n">
        <v>45947</v>
      </c>
      <c r="C102" s="39" t="n">
        <v>3562500000</v>
      </c>
      <c r="D102" s="39" t="n">
        <v>39950468.75</v>
      </c>
      <c r="E102" s="39" t="n">
        <v>62500000</v>
      </c>
      <c r="F102" s="39" t="n">
        <v>102450468.75</v>
      </c>
      <c r="G102" s="39" t="n">
        <v>3500000000</v>
      </c>
      <c r="H102" s="33" t="n">
        <f aca="false">J101</f>
        <v>3562500000</v>
      </c>
      <c r="I102" s="33" t="n">
        <f aca="false">H102*N102</f>
        <v>39950468.75</v>
      </c>
      <c r="J102" s="33" t="n">
        <f aca="false">H102-E102</f>
        <v>3500000000</v>
      </c>
      <c r="K102" s="33" t="n">
        <f aca="false">D102-I102</f>
        <v>0</v>
      </c>
      <c r="L102" s="33" t="n">
        <f aca="false">G102-J102</f>
        <v>0</v>
      </c>
      <c r="M102" s="33" t="n">
        <f aca="false">F102</f>
        <v>102450468.75</v>
      </c>
      <c r="N102" s="64" t="n">
        <v>0.0112141666666667</v>
      </c>
      <c r="O102" s="48" t="n">
        <f aca="false">IF(AND(B102&gt;=DATE(2026,1,1),B102&lt;=Resumen!$C$5),1,0)</f>
        <v>0</v>
      </c>
      <c r="P102" s="48" t="n">
        <f aca="false">IF(AND(B102&gt;Resumen!$C$5,B102&lt;=DATE(2027,7,31)),1,0)</f>
        <v>0</v>
      </c>
    </row>
    <row r="103" customFormat="false" ht="15" hidden="false" customHeight="false" outlineLevel="0" collapsed="false">
      <c r="A103" s="38" t="n">
        <v>91</v>
      </c>
      <c r="B103" s="27" t="n">
        <v>45978</v>
      </c>
      <c r="C103" s="39" t="n">
        <v>3500000000</v>
      </c>
      <c r="D103" s="39" t="n">
        <v>39272916.6666667</v>
      </c>
      <c r="E103" s="39" t="n">
        <v>62500000</v>
      </c>
      <c r="F103" s="39" t="n">
        <v>101772916.666667</v>
      </c>
      <c r="G103" s="39" t="n">
        <v>3437500000</v>
      </c>
      <c r="H103" s="33" t="n">
        <f aca="false">J102</f>
        <v>3500000000</v>
      </c>
      <c r="I103" s="33" t="n">
        <f aca="false">H103*N103</f>
        <v>39272916.6666667</v>
      </c>
      <c r="J103" s="33" t="n">
        <f aca="false">H103-E103</f>
        <v>3437500000</v>
      </c>
      <c r="K103" s="33" t="n">
        <f aca="false">D103-I103</f>
        <v>0</v>
      </c>
      <c r="L103" s="33" t="n">
        <f aca="false">G103-J103</f>
        <v>0</v>
      </c>
      <c r="M103" s="33" t="n">
        <f aca="false">F103</f>
        <v>101772916.666667</v>
      </c>
      <c r="N103" s="64" t="n">
        <v>0.0112208333333333</v>
      </c>
      <c r="O103" s="48" t="n">
        <f aca="false">IF(AND(B103&gt;=DATE(2026,1,1),B103&lt;=Resumen!$C$5),1,0)</f>
        <v>0</v>
      </c>
      <c r="P103" s="48" t="n">
        <f aca="false">IF(AND(B103&gt;Resumen!$C$5,B103&lt;=DATE(2027,7,31)),1,0)</f>
        <v>0</v>
      </c>
    </row>
    <row r="104" customFormat="false" ht="15" hidden="false" customHeight="false" outlineLevel="0" collapsed="false">
      <c r="A104" s="38" t="n">
        <v>92</v>
      </c>
      <c r="B104" s="27" t="n">
        <v>46008</v>
      </c>
      <c r="C104" s="39" t="n">
        <v>3437500000</v>
      </c>
      <c r="D104" s="39" t="n">
        <v>38972656.25</v>
      </c>
      <c r="E104" s="39" t="n">
        <v>62500000</v>
      </c>
      <c r="F104" s="39" t="n">
        <v>101472656.25</v>
      </c>
      <c r="G104" s="39" t="n">
        <v>3375000000</v>
      </c>
      <c r="H104" s="33" t="n">
        <f aca="false">J103</f>
        <v>3437500000</v>
      </c>
      <c r="I104" s="33" t="n">
        <f aca="false">H104*N104</f>
        <v>38972656.25</v>
      </c>
      <c r="J104" s="33" t="n">
        <f aca="false">H104-E104</f>
        <v>3375000000</v>
      </c>
      <c r="K104" s="33" t="n">
        <f aca="false">D104-I104</f>
        <v>0</v>
      </c>
      <c r="L104" s="33" t="n">
        <f aca="false">G104-J104</f>
        <v>0</v>
      </c>
      <c r="M104" s="33" t="n">
        <f aca="false">F104</f>
        <v>101472656.25</v>
      </c>
      <c r="N104" s="64" t="n">
        <v>0.0113375</v>
      </c>
      <c r="O104" s="48" t="n">
        <f aca="false">IF(AND(B104&gt;=DATE(2026,1,1),B104&lt;=Resumen!$C$5),1,0)</f>
        <v>0</v>
      </c>
      <c r="P104" s="48" t="n">
        <f aca="false">IF(AND(B104&gt;Resumen!$C$5,B104&lt;=DATE(2027,7,31)),1,0)</f>
        <v>0</v>
      </c>
    </row>
    <row r="105" customFormat="false" ht="15" hidden="false" customHeight="false" outlineLevel="0" collapsed="false">
      <c r="A105" s="38" t="n">
        <v>93</v>
      </c>
      <c r="B105" s="27" t="n">
        <v>46039</v>
      </c>
      <c r="C105" s="39" t="n">
        <v>3375000000</v>
      </c>
      <c r="D105" s="39" t="n">
        <v>39304687.5</v>
      </c>
      <c r="E105" s="39" t="n">
        <v>62500000</v>
      </c>
      <c r="F105" s="39" t="n">
        <v>101804687.5</v>
      </c>
      <c r="G105" s="39" t="n">
        <v>3312500000</v>
      </c>
      <c r="H105" s="33" t="n">
        <f aca="false">J104</f>
        <v>3375000000</v>
      </c>
      <c r="I105" s="33" t="n">
        <f aca="false">H105*N105</f>
        <v>39304687.5</v>
      </c>
      <c r="J105" s="33" t="n">
        <f aca="false">H105-E105</f>
        <v>3312500000</v>
      </c>
      <c r="K105" s="33" t="n">
        <f aca="false">D105-I105</f>
        <v>0</v>
      </c>
      <c r="L105" s="33" t="n">
        <f aca="false">G105-J105</f>
        <v>0</v>
      </c>
      <c r="M105" s="33" t="n">
        <f aca="false">F105</f>
        <v>101804687.5</v>
      </c>
      <c r="N105" s="64" t="n">
        <v>0.0116458333333333</v>
      </c>
      <c r="O105" s="48" t="n">
        <f aca="false">IF(AND(B105&gt;=DATE(2026,1,1),B105&lt;=Resumen!$C$5),1,0)</f>
        <v>1</v>
      </c>
      <c r="P105" s="48" t="n">
        <f aca="false">IF(AND(B105&gt;Resumen!$C$5,B105&lt;=DATE(2027,7,31)),1,0)</f>
        <v>0</v>
      </c>
    </row>
    <row r="106" customFormat="false" ht="15" hidden="false" customHeight="false" outlineLevel="0" collapsed="false">
      <c r="A106" s="38" t="n">
        <v>94</v>
      </c>
      <c r="B106" s="27" t="n">
        <v>46070</v>
      </c>
      <c r="C106" s="39" t="n">
        <v>3312500000</v>
      </c>
      <c r="D106" s="39" t="n">
        <v>39774843.75</v>
      </c>
      <c r="E106" s="39" t="n">
        <v>62500000</v>
      </c>
      <c r="F106" s="39" t="n">
        <v>102274843.75</v>
      </c>
      <c r="G106" s="39" t="n">
        <v>3250000000</v>
      </c>
      <c r="H106" s="33" t="n">
        <f aca="false">J105</f>
        <v>3312500000</v>
      </c>
      <c r="I106" s="33" t="n">
        <f aca="false">H106*N106</f>
        <v>39774843.75</v>
      </c>
      <c r="J106" s="33" t="n">
        <f aca="false">H106-E106</f>
        <v>3250000000</v>
      </c>
      <c r="K106" s="33" t="n">
        <f aca="false">D106-I106</f>
        <v>0</v>
      </c>
      <c r="L106" s="33" t="n">
        <f aca="false">G106-J106</f>
        <v>0</v>
      </c>
      <c r="M106" s="33" t="n">
        <f aca="false">F106</f>
        <v>102274843.75</v>
      </c>
      <c r="N106" s="64" t="n">
        <v>0.0120075</v>
      </c>
      <c r="O106" s="48" t="n">
        <f aca="false">IF(AND(B106&gt;=DATE(2026,1,1),B106&lt;=Resumen!$C$5),1,0)</f>
        <v>1</v>
      </c>
      <c r="P106" s="48" t="n">
        <f aca="false">IF(AND(B106&gt;Resumen!$C$5,B106&lt;=DATE(2027,7,31)),1,0)</f>
        <v>0</v>
      </c>
    </row>
    <row r="107" customFormat="false" ht="15" hidden="false" customHeight="false" outlineLevel="0" collapsed="false">
      <c r="A107" s="38" t="n">
        <v>95</v>
      </c>
      <c r="B107" s="27" t="n">
        <v>46098</v>
      </c>
      <c r="C107" s="39" t="n">
        <v>3250000000</v>
      </c>
      <c r="D107" s="39" t="n">
        <v>41315625</v>
      </c>
      <c r="E107" s="39" t="n">
        <v>62500000</v>
      </c>
      <c r="F107" s="39" t="n">
        <v>103815625</v>
      </c>
      <c r="G107" s="39" t="n">
        <v>3187500000</v>
      </c>
      <c r="H107" s="33" t="n">
        <f aca="false">J106</f>
        <v>3250000000</v>
      </c>
      <c r="I107" s="33" t="n">
        <f aca="false">H107*N107</f>
        <v>41315625</v>
      </c>
      <c r="J107" s="33" t="n">
        <f aca="false">H107-E107</f>
        <v>3187500000</v>
      </c>
      <c r="K107" s="33" t="n">
        <f aca="false">D107-I107</f>
        <v>0</v>
      </c>
      <c r="L107" s="33" t="n">
        <f aca="false">G107-J107</f>
        <v>0</v>
      </c>
      <c r="M107" s="33" t="n">
        <f aca="false">F107</f>
        <v>103815625</v>
      </c>
      <c r="N107" s="64" t="n">
        <v>0.0127125</v>
      </c>
      <c r="O107" s="48" t="n">
        <f aca="false">IF(AND(B107&gt;=DATE(2026,1,1),B107&lt;=Resumen!$C$5),1,0)</f>
        <v>1</v>
      </c>
      <c r="P107" s="48" t="n">
        <f aca="false">IF(AND(B107&gt;Resumen!$C$5,B107&lt;=DATE(2027,7,31)),1,0)</f>
        <v>0</v>
      </c>
    </row>
    <row r="108" customFormat="false" ht="15" hidden="false" customHeight="false" outlineLevel="0" collapsed="false">
      <c r="A108" s="38" t="n">
        <v>96</v>
      </c>
      <c r="B108" s="27" t="n">
        <v>46129</v>
      </c>
      <c r="C108" s="39" t="n">
        <v>3187500000</v>
      </c>
      <c r="D108" s="39" t="n">
        <v>41867812.5</v>
      </c>
      <c r="E108" s="39" t="n">
        <v>62500000</v>
      </c>
      <c r="F108" s="39" t="n">
        <v>104367812.5</v>
      </c>
      <c r="G108" s="39" t="n">
        <v>3125000000</v>
      </c>
      <c r="H108" s="33" t="n">
        <f aca="false">J107</f>
        <v>3187500000</v>
      </c>
      <c r="I108" s="33" t="n">
        <f aca="false">H108*N108</f>
        <v>41867812.5</v>
      </c>
      <c r="J108" s="33" t="n">
        <f aca="false">H108-E108</f>
        <v>3125000000</v>
      </c>
      <c r="K108" s="33" t="n">
        <f aca="false">D108-I108</f>
        <v>0</v>
      </c>
      <c r="L108" s="33" t="n">
        <f aca="false">G108-J108</f>
        <v>0</v>
      </c>
      <c r="M108" s="33" t="n">
        <f aca="false">F108</f>
        <v>104367812.5</v>
      </c>
      <c r="N108" s="64" t="n">
        <v>0.013135</v>
      </c>
      <c r="O108" s="48" t="n">
        <f aca="false">IF(AND(B108&gt;=DATE(2026,1,1),B108&lt;=Resumen!$C$5),1,0)</f>
        <v>1</v>
      </c>
      <c r="P108" s="48" t="n">
        <f aca="false">IF(AND(B108&gt;Resumen!$C$5,B108&lt;=DATE(2027,7,31)),1,0)</f>
        <v>0</v>
      </c>
    </row>
    <row r="109" customFormat="false" ht="15" hidden="false" customHeight="false" outlineLevel="0" collapsed="false">
      <c r="A109" s="38" t="n">
        <v>97</v>
      </c>
      <c r="B109" s="27" t="n">
        <v>46159</v>
      </c>
      <c r="C109" s="39" t="n">
        <v>3125000000</v>
      </c>
      <c r="D109" s="39" t="n">
        <v>41046875</v>
      </c>
      <c r="E109" s="39" t="n">
        <v>62500000</v>
      </c>
      <c r="F109" s="39" t="n">
        <v>103546875</v>
      </c>
      <c r="G109" s="39" t="n">
        <v>3062500000</v>
      </c>
      <c r="H109" s="33" t="n">
        <f aca="false">J108</f>
        <v>3125000000</v>
      </c>
      <c r="I109" s="33" t="n">
        <f aca="false">H109*N109</f>
        <v>41046875</v>
      </c>
      <c r="J109" s="33" t="n">
        <f aca="false">H109-E109</f>
        <v>3062500000</v>
      </c>
      <c r="K109" s="33" t="n">
        <f aca="false">D109-I109</f>
        <v>0</v>
      </c>
      <c r="L109" s="33" t="n">
        <f aca="false">G109-J109</f>
        <v>0</v>
      </c>
      <c r="M109" s="33" t="n">
        <f aca="false">F109</f>
        <v>103546875</v>
      </c>
      <c r="N109" s="64" t="n">
        <v>0.013135</v>
      </c>
      <c r="O109" s="48" t="n">
        <f aca="false">IF(AND(B109&gt;=DATE(2026,1,1),B109&lt;=Resumen!$C$5),1,0)</f>
        <v>1</v>
      </c>
      <c r="P109" s="48" t="n">
        <f aca="false">IF(AND(B109&gt;Resumen!$C$5,B109&lt;=DATE(2027,7,31)),1,0)</f>
        <v>0</v>
      </c>
    </row>
    <row r="110" customFormat="false" ht="15" hidden="false" customHeight="false" outlineLevel="0" collapsed="false">
      <c r="A110" s="38" t="n">
        <v>98</v>
      </c>
      <c r="B110" s="27" t="n">
        <v>46190</v>
      </c>
      <c r="C110" s="39" t="n">
        <v>3062500000</v>
      </c>
      <c r="D110" s="39" t="n">
        <v>40271875</v>
      </c>
      <c r="E110" s="39" t="n">
        <v>62500000</v>
      </c>
      <c r="F110" s="39" t="n">
        <v>102771875</v>
      </c>
      <c r="G110" s="39" t="n">
        <v>3000000000</v>
      </c>
      <c r="H110" s="33" t="n">
        <f aca="false">J109</f>
        <v>3062500000</v>
      </c>
      <c r="I110" s="33" t="n">
        <f aca="false">H110*N110</f>
        <v>40271875</v>
      </c>
      <c r="J110" s="33" t="n">
        <f aca="false">H110-E110</f>
        <v>3000000000</v>
      </c>
      <c r="K110" s="33" t="n">
        <f aca="false">D110-I110</f>
        <v>0</v>
      </c>
      <c r="L110" s="33" t="n">
        <f aca="false">G110-J110</f>
        <v>0</v>
      </c>
      <c r="M110" s="33" t="n">
        <f aca="false">F110</f>
        <v>102771875</v>
      </c>
      <c r="N110" s="64" t="n">
        <v>0.01315</v>
      </c>
      <c r="O110" s="48" t="n">
        <f aca="false">IF(AND(B110&gt;=DATE(2026,1,1),B110&lt;=Resumen!$C$5),1,0)</f>
        <v>1</v>
      </c>
      <c r="P110" s="48" t="n">
        <f aca="false">IF(AND(B110&gt;Resumen!$C$5,B110&lt;=DATE(2027,7,31)),1,0)</f>
        <v>0</v>
      </c>
    </row>
    <row r="111" customFormat="false" ht="15" hidden="false" customHeight="false" outlineLevel="0" collapsed="false">
      <c r="A111" s="38" t="n">
        <v>99</v>
      </c>
      <c r="B111" s="27" t="n">
        <v>46220</v>
      </c>
      <c r="C111" s="39" t="n">
        <v>3000000000</v>
      </c>
      <c r="D111" s="39" t="n">
        <v>40637500</v>
      </c>
      <c r="E111" s="39" t="n">
        <v>62500000</v>
      </c>
      <c r="F111" s="39" t="n">
        <v>103137500</v>
      </c>
      <c r="G111" s="39" t="n">
        <v>2937500000</v>
      </c>
      <c r="H111" s="33" t="n">
        <f aca="false">J110</f>
        <v>3000000000</v>
      </c>
      <c r="I111" s="33" t="n">
        <f aca="false">H111*N111</f>
        <v>40637500</v>
      </c>
      <c r="J111" s="33" t="n">
        <f aca="false">H111-E111</f>
        <v>2937500000</v>
      </c>
      <c r="K111" s="33" t="n">
        <f aca="false">D111-I111</f>
        <v>0</v>
      </c>
      <c r="L111" s="33" t="n">
        <f aca="false">G111-J111</f>
        <v>0</v>
      </c>
      <c r="M111" s="33" t="n">
        <f aca="false">F111</f>
        <v>103137500</v>
      </c>
      <c r="N111" s="64" t="n">
        <v>0.0135458333333333</v>
      </c>
      <c r="O111" s="48" t="n">
        <f aca="false">IF(AND(B111&gt;=DATE(2026,1,1),B111&lt;=Resumen!$C$5),1,0)</f>
        <v>1</v>
      </c>
      <c r="P111" s="48" t="n">
        <f aca="false">IF(AND(B111&gt;Resumen!$C$5,B111&lt;=DATE(2027,7,31)),1,0)</f>
        <v>0</v>
      </c>
    </row>
    <row r="112" customFormat="false" ht="15" hidden="false" customHeight="false" outlineLevel="0" collapsed="false">
      <c r="A112" s="38" t="n">
        <v>100</v>
      </c>
      <c r="B112" s="27" t="n">
        <v>46251</v>
      </c>
      <c r="C112" s="39" t="n">
        <v>2937500000</v>
      </c>
      <c r="D112" s="39" t="n">
        <v>39790885.4166667</v>
      </c>
      <c r="E112" s="39" t="n">
        <v>62500000</v>
      </c>
      <c r="F112" s="39" t="n">
        <v>102290885.416667</v>
      </c>
      <c r="G112" s="39" t="n">
        <v>2875000000</v>
      </c>
      <c r="H112" s="33" t="n">
        <f aca="false">J111</f>
        <v>2937500000</v>
      </c>
      <c r="I112" s="33" t="n">
        <f aca="false">H112*N112</f>
        <v>39790885.4166667</v>
      </c>
      <c r="J112" s="33" t="n">
        <f aca="false">H112-E112</f>
        <v>2875000000</v>
      </c>
      <c r="K112" s="33" t="n">
        <f aca="false">D112-I112</f>
        <v>0</v>
      </c>
      <c r="L112" s="33" t="n">
        <f aca="false">G112-J112</f>
        <v>0</v>
      </c>
      <c r="M112" s="33" t="n">
        <f aca="false">F112</f>
        <v>102290885.416667</v>
      </c>
      <c r="N112" s="64" t="n">
        <v>0.0135458333333333</v>
      </c>
      <c r="O112" s="48" t="n">
        <f aca="false">IF(AND(B112&gt;=DATE(2026,1,1),B112&lt;=Resumen!$C$5),1,0)</f>
        <v>0</v>
      </c>
      <c r="P112" s="48" t="n">
        <f aca="false">IF(AND(B112&gt;Resumen!$C$5,B112&lt;=DATE(2027,7,31)),1,0)</f>
        <v>1</v>
      </c>
    </row>
    <row r="113" customFormat="false" ht="15" hidden="false" customHeight="false" outlineLevel="0" collapsed="false">
      <c r="A113" s="38" t="n">
        <v>101</v>
      </c>
      <c r="B113" s="27" t="n">
        <v>46282</v>
      </c>
      <c r="C113" s="39" t="n">
        <v>2875000000</v>
      </c>
      <c r="D113" s="39" t="n">
        <v>38944270.8333333</v>
      </c>
      <c r="E113" s="39" t="n">
        <v>62500000</v>
      </c>
      <c r="F113" s="39" t="n">
        <v>101444270.833333</v>
      </c>
      <c r="G113" s="39" t="n">
        <v>2812500000</v>
      </c>
      <c r="H113" s="33" t="n">
        <f aca="false">J112</f>
        <v>2875000000</v>
      </c>
      <c r="I113" s="33" t="n">
        <f aca="false">H113*N113</f>
        <v>38944270.8333333</v>
      </c>
      <c r="J113" s="33" t="n">
        <f aca="false">H113-E113</f>
        <v>2812500000</v>
      </c>
      <c r="K113" s="33" t="n">
        <f aca="false">D113-I113</f>
        <v>0</v>
      </c>
      <c r="L113" s="33" t="n">
        <f aca="false">G113-J113</f>
        <v>0</v>
      </c>
      <c r="M113" s="33" t="n">
        <f aca="false">F113</f>
        <v>101444270.833333</v>
      </c>
      <c r="N113" s="64" t="n">
        <v>0.0135458333333333</v>
      </c>
      <c r="O113" s="48" t="n">
        <f aca="false">IF(AND(B113&gt;=DATE(2026,1,1),B113&lt;=Resumen!$C$5),1,0)</f>
        <v>0</v>
      </c>
      <c r="P113" s="48" t="n">
        <f aca="false">IF(AND(B113&gt;Resumen!$C$5,B113&lt;=DATE(2027,7,31)),1,0)</f>
        <v>1</v>
      </c>
    </row>
    <row r="114" customFormat="false" ht="15" hidden="false" customHeight="false" outlineLevel="0" collapsed="false">
      <c r="A114" s="38" t="n">
        <v>102</v>
      </c>
      <c r="B114" s="27" t="n">
        <v>46312</v>
      </c>
      <c r="C114" s="39" t="n">
        <v>2812500000</v>
      </c>
      <c r="D114" s="39" t="n">
        <v>38097656.25</v>
      </c>
      <c r="E114" s="39" t="n">
        <v>62500000</v>
      </c>
      <c r="F114" s="39" t="n">
        <v>100597656.25</v>
      </c>
      <c r="G114" s="39" t="n">
        <v>2750000000</v>
      </c>
      <c r="H114" s="33" t="n">
        <f aca="false">J113</f>
        <v>2812500000</v>
      </c>
      <c r="I114" s="33" t="n">
        <f aca="false">H114*N114</f>
        <v>38097656.25</v>
      </c>
      <c r="J114" s="33" t="n">
        <f aca="false">H114-E114</f>
        <v>2750000000</v>
      </c>
      <c r="K114" s="33" t="n">
        <f aca="false">D114-I114</f>
        <v>0</v>
      </c>
      <c r="L114" s="33" t="n">
        <f aca="false">G114-J114</f>
        <v>0</v>
      </c>
      <c r="M114" s="33" t="n">
        <f aca="false">F114</f>
        <v>100597656.25</v>
      </c>
      <c r="N114" s="64" t="n">
        <v>0.0135458333333333</v>
      </c>
      <c r="O114" s="48" t="n">
        <f aca="false">IF(AND(B114&gt;=DATE(2026,1,1),B114&lt;=Resumen!$C$5),1,0)</f>
        <v>0</v>
      </c>
      <c r="P114" s="48" t="n">
        <f aca="false">IF(AND(B114&gt;Resumen!$C$5,B114&lt;=DATE(2027,7,31)),1,0)</f>
        <v>1</v>
      </c>
    </row>
    <row r="115" customFormat="false" ht="15" hidden="false" customHeight="false" outlineLevel="0" collapsed="false">
      <c r="A115" s="38" t="n">
        <v>103</v>
      </c>
      <c r="B115" s="27" t="n">
        <v>46343</v>
      </c>
      <c r="C115" s="39" t="n">
        <v>2750000000</v>
      </c>
      <c r="D115" s="39" t="n">
        <v>37251041.6666667</v>
      </c>
      <c r="E115" s="39" t="n">
        <v>62500000</v>
      </c>
      <c r="F115" s="39" t="n">
        <v>99751041.6666667</v>
      </c>
      <c r="G115" s="39" t="n">
        <v>2687500000</v>
      </c>
      <c r="H115" s="33" t="n">
        <f aca="false">J114</f>
        <v>2750000000</v>
      </c>
      <c r="I115" s="33" t="n">
        <f aca="false">H115*N115</f>
        <v>37251041.6666667</v>
      </c>
      <c r="J115" s="33" t="n">
        <f aca="false">H115-E115</f>
        <v>2687500000</v>
      </c>
      <c r="K115" s="33" t="n">
        <f aca="false">D115-I115</f>
        <v>0</v>
      </c>
      <c r="L115" s="33" t="n">
        <f aca="false">G115-J115</f>
        <v>0</v>
      </c>
      <c r="M115" s="33" t="n">
        <f aca="false">F115</f>
        <v>99751041.6666667</v>
      </c>
      <c r="N115" s="64" t="n">
        <v>0.0135458333333333</v>
      </c>
      <c r="O115" s="48" t="n">
        <f aca="false">IF(AND(B115&gt;=DATE(2026,1,1),B115&lt;=Resumen!$C$5),1,0)</f>
        <v>0</v>
      </c>
      <c r="P115" s="48" t="n">
        <f aca="false">IF(AND(B115&gt;Resumen!$C$5,B115&lt;=DATE(2027,7,31)),1,0)</f>
        <v>1</v>
      </c>
    </row>
    <row r="116" customFormat="false" ht="15" hidden="false" customHeight="false" outlineLevel="0" collapsed="false">
      <c r="A116" s="38" t="n">
        <v>104</v>
      </c>
      <c r="B116" s="27" t="n">
        <v>46373</v>
      </c>
      <c r="C116" s="39" t="n">
        <v>2687500000</v>
      </c>
      <c r="D116" s="39" t="n">
        <v>36404427.0833333</v>
      </c>
      <c r="E116" s="39" t="n">
        <v>62500000</v>
      </c>
      <c r="F116" s="39" t="n">
        <v>98904427.0833333</v>
      </c>
      <c r="G116" s="39" t="n">
        <v>2625000000</v>
      </c>
      <c r="H116" s="33" t="n">
        <f aca="false">J115</f>
        <v>2687500000</v>
      </c>
      <c r="I116" s="33" t="n">
        <f aca="false">H116*N116</f>
        <v>36404427.0833333</v>
      </c>
      <c r="J116" s="33" t="n">
        <f aca="false">H116-E116</f>
        <v>2625000000</v>
      </c>
      <c r="K116" s="33" t="n">
        <f aca="false">D116-I116</f>
        <v>0</v>
      </c>
      <c r="L116" s="33" t="n">
        <f aca="false">G116-J116</f>
        <v>0</v>
      </c>
      <c r="M116" s="33" t="n">
        <f aca="false">F116</f>
        <v>98904427.0833333</v>
      </c>
      <c r="N116" s="64" t="n">
        <v>0.0135458333333333</v>
      </c>
      <c r="O116" s="48" t="n">
        <f aca="false">IF(AND(B116&gt;=DATE(2026,1,1),B116&lt;=Resumen!$C$5),1,0)</f>
        <v>0</v>
      </c>
      <c r="P116" s="48" t="n">
        <f aca="false">IF(AND(B116&gt;Resumen!$C$5,B116&lt;=DATE(2027,7,31)),1,0)</f>
        <v>1</v>
      </c>
    </row>
    <row r="117" customFormat="false" ht="15" hidden="false" customHeight="false" outlineLevel="0" collapsed="false">
      <c r="A117" s="38" t="n">
        <v>105</v>
      </c>
      <c r="B117" s="27" t="n">
        <v>46404</v>
      </c>
      <c r="C117" s="39" t="n">
        <v>2625000000</v>
      </c>
      <c r="D117" s="39" t="n">
        <v>35557812.5</v>
      </c>
      <c r="E117" s="39" t="n">
        <v>62500000</v>
      </c>
      <c r="F117" s="39" t="n">
        <v>98057812.5</v>
      </c>
      <c r="G117" s="39" t="n">
        <v>2562500000</v>
      </c>
      <c r="H117" s="33" t="n">
        <f aca="false">J116</f>
        <v>2625000000</v>
      </c>
      <c r="I117" s="33" t="n">
        <f aca="false">H117*N117</f>
        <v>35557812.5</v>
      </c>
      <c r="J117" s="33" t="n">
        <f aca="false">H117-E117</f>
        <v>2562500000</v>
      </c>
      <c r="K117" s="33" t="n">
        <f aca="false">D117-I117</f>
        <v>0</v>
      </c>
      <c r="L117" s="33" t="n">
        <f aca="false">G117-J117</f>
        <v>0</v>
      </c>
      <c r="M117" s="33" t="n">
        <f aca="false">F117</f>
        <v>98057812.5</v>
      </c>
      <c r="N117" s="64" t="n">
        <v>0.0135458333333333</v>
      </c>
      <c r="O117" s="48" t="n">
        <f aca="false">IF(AND(B117&gt;=DATE(2026,1,1),B117&lt;=Resumen!$C$5),1,0)</f>
        <v>0</v>
      </c>
      <c r="P117" s="48" t="n">
        <f aca="false">IF(AND(B117&gt;Resumen!$C$5,B117&lt;=DATE(2027,7,31)),1,0)</f>
        <v>1</v>
      </c>
    </row>
    <row r="118" customFormat="false" ht="15" hidden="false" customHeight="false" outlineLevel="0" collapsed="false">
      <c r="A118" s="38" t="n">
        <v>106</v>
      </c>
      <c r="B118" s="27" t="n">
        <v>46435</v>
      </c>
      <c r="C118" s="39" t="n">
        <v>2562500000</v>
      </c>
      <c r="D118" s="39" t="n">
        <v>34711197.9166667</v>
      </c>
      <c r="E118" s="39" t="n">
        <v>62500000</v>
      </c>
      <c r="F118" s="39" t="n">
        <v>97211197.9166667</v>
      </c>
      <c r="G118" s="39" t="n">
        <v>2500000000</v>
      </c>
      <c r="H118" s="33" t="n">
        <f aca="false">J117</f>
        <v>2562500000</v>
      </c>
      <c r="I118" s="33" t="n">
        <f aca="false">H118*N118</f>
        <v>34711197.9166667</v>
      </c>
      <c r="J118" s="33" t="n">
        <f aca="false">H118-E118</f>
        <v>2500000000</v>
      </c>
      <c r="K118" s="33" t="n">
        <f aca="false">D118-I118</f>
        <v>0</v>
      </c>
      <c r="L118" s="33" t="n">
        <f aca="false">G118-J118</f>
        <v>0</v>
      </c>
      <c r="M118" s="33" t="n">
        <f aca="false">F118</f>
        <v>97211197.9166667</v>
      </c>
      <c r="N118" s="64" t="n">
        <v>0.0135458333333333</v>
      </c>
      <c r="O118" s="48" t="n">
        <f aca="false">IF(AND(B118&gt;=DATE(2026,1,1),B118&lt;=Resumen!$C$5),1,0)</f>
        <v>0</v>
      </c>
      <c r="P118" s="48" t="n">
        <f aca="false">IF(AND(B118&gt;Resumen!$C$5,B118&lt;=DATE(2027,7,31)),1,0)</f>
        <v>1</v>
      </c>
    </row>
    <row r="119" customFormat="false" ht="15" hidden="false" customHeight="false" outlineLevel="0" collapsed="false">
      <c r="A119" s="38" t="n">
        <v>107</v>
      </c>
      <c r="B119" s="27" t="n">
        <v>46463</v>
      </c>
      <c r="C119" s="39" t="n">
        <v>2500000000</v>
      </c>
      <c r="D119" s="39" t="n">
        <v>33864583.3333333</v>
      </c>
      <c r="E119" s="39" t="n">
        <v>62500000</v>
      </c>
      <c r="F119" s="39" t="n">
        <v>96364583.3333333</v>
      </c>
      <c r="G119" s="39" t="n">
        <v>2437500000</v>
      </c>
      <c r="H119" s="33" t="n">
        <f aca="false">J118</f>
        <v>2500000000</v>
      </c>
      <c r="I119" s="33" t="n">
        <f aca="false">H119*N119</f>
        <v>33864583.3333333</v>
      </c>
      <c r="J119" s="33" t="n">
        <f aca="false">H119-E119</f>
        <v>2437500000</v>
      </c>
      <c r="K119" s="33" t="n">
        <f aca="false">D119-I119</f>
        <v>0</v>
      </c>
      <c r="L119" s="33" t="n">
        <f aca="false">G119-J119</f>
        <v>0</v>
      </c>
      <c r="M119" s="33" t="n">
        <f aca="false">F119</f>
        <v>96364583.3333333</v>
      </c>
      <c r="N119" s="64" t="n">
        <v>0.0135458333333333</v>
      </c>
      <c r="O119" s="48" t="n">
        <f aca="false">IF(AND(B119&gt;=DATE(2026,1,1),B119&lt;=Resumen!$C$5),1,0)</f>
        <v>0</v>
      </c>
      <c r="P119" s="48" t="n">
        <f aca="false">IF(AND(B119&gt;Resumen!$C$5,B119&lt;=DATE(2027,7,31)),1,0)</f>
        <v>1</v>
      </c>
    </row>
    <row r="120" customFormat="false" ht="15" hidden="false" customHeight="false" outlineLevel="0" collapsed="false">
      <c r="A120" s="38" t="n">
        <v>108</v>
      </c>
      <c r="B120" s="27" t="n">
        <v>46494</v>
      </c>
      <c r="C120" s="39" t="n">
        <v>2437500000</v>
      </c>
      <c r="D120" s="39" t="n">
        <v>33017968.75</v>
      </c>
      <c r="E120" s="39" t="n">
        <v>62500000</v>
      </c>
      <c r="F120" s="39" t="n">
        <v>95517968.75</v>
      </c>
      <c r="G120" s="39" t="n">
        <v>2375000000</v>
      </c>
      <c r="H120" s="33" t="n">
        <f aca="false">J119</f>
        <v>2437500000</v>
      </c>
      <c r="I120" s="33" t="n">
        <f aca="false">H120*N120</f>
        <v>33017968.75</v>
      </c>
      <c r="J120" s="33" t="n">
        <f aca="false">H120-E120</f>
        <v>2375000000</v>
      </c>
      <c r="K120" s="33" t="n">
        <f aca="false">D120-I120</f>
        <v>0</v>
      </c>
      <c r="L120" s="33" t="n">
        <f aca="false">G120-J120</f>
        <v>0</v>
      </c>
      <c r="M120" s="33" t="n">
        <f aca="false">F120</f>
        <v>95517968.75</v>
      </c>
      <c r="N120" s="64" t="n">
        <v>0.0135458333333333</v>
      </c>
      <c r="O120" s="48" t="n">
        <f aca="false">IF(AND(B120&gt;=DATE(2026,1,1),B120&lt;=Resumen!$C$5),1,0)</f>
        <v>0</v>
      </c>
      <c r="P120" s="48" t="n">
        <f aca="false">IF(AND(B120&gt;Resumen!$C$5,B120&lt;=DATE(2027,7,31)),1,0)</f>
        <v>1</v>
      </c>
    </row>
    <row r="121" customFormat="false" ht="15" hidden="false" customHeight="false" outlineLevel="0" collapsed="false">
      <c r="A121" s="38" t="n">
        <v>109</v>
      </c>
      <c r="B121" s="27" t="n">
        <v>46524</v>
      </c>
      <c r="C121" s="39" t="n">
        <v>2375000000</v>
      </c>
      <c r="D121" s="39" t="n">
        <v>32171354.1666667</v>
      </c>
      <c r="E121" s="39" t="n">
        <v>62500000</v>
      </c>
      <c r="F121" s="39" t="n">
        <v>94671354.1666667</v>
      </c>
      <c r="G121" s="39" t="n">
        <v>2312500000</v>
      </c>
      <c r="H121" s="33" t="n">
        <f aca="false">J120</f>
        <v>2375000000</v>
      </c>
      <c r="I121" s="33" t="n">
        <f aca="false">H121*N121</f>
        <v>32171354.1666667</v>
      </c>
      <c r="J121" s="33" t="n">
        <f aca="false">H121-E121</f>
        <v>2312500000</v>
      </c>
      <c r="K121" s="33" t="n">
        <f aca="false">D121-I121</f>
        <v>0</v>
      </c>
      <c r="L121" s="33" t="n">
        <f aca="false">G121-J121</f>
        <v>0</v>
      </c>
      <c r="M121" s="33" t="n">
        <f aca="false">F121</f>
        <v>94671354.1666667</v>
      </c>
      <c r="N121" s="64" t="n">
        <v>0.0135458333333333</v>
      </c>
      <c r="O121" s="48" t="n">
        <f aca="false">IF(AND(B121&gt;=DATE(2026,1,1),B121&lt;=Resumen!$C$5),1,0)</f>
        <v>0</v>
      </c>
      <c r="P121" s="48" t="n">
        <f aca="false">IF(AND(B121&gt;Resumen!$C$5,B121&lt;=DATE(2027,7,31)),1,0)</f>
        <v>1</v>
      </c>
    </row>
    <row r="122" customFormat="false" ht="15" hidden="false" customHeight="false" outlineLevel="0" collapsed="false">
      <c r="A122" s="38" t="n">
        <v>110</v>
      </c>
      <c r="B122" s="27" t="n">
        <v>46555</v>
      </c>
      <c r="C122" s="39" t="n">
        <v>2312500000</v>
      </c>
      <c r="D122" s="39" t="n">
        <v>31324739.5833333</v>
      </c>
      <c r="E122" s="39" t="n">
        <v>62500000</v>
      </c>
      <c r="F122" s="39" t="n">
        <v>93824739.5833333</v>
      </c>
      <c r="G122" s="39" t="n">
        <v>2250000000</v>
      </c>
      <c r="H122" s="33" t="n">
        <f aca="false">J121</f>
        <v>2312500000</v>
      </c>
      <c r="I122" s="33" t="n">
        <f aca="false">H122*N122</f>
        <v>31324739.5833333</v>
      </c>
      <c r="J122" s="33" t="n">
        <f aca="false">H122-E122</f>
        <v>2250000000</v>
      </c>
      <c r="K122" s="33" t="n">
        <f aca="false">D122-I122</f>
        <v>0</v>
      </c>
      <c r="L122" s="33" t="n">
        <f aca="false">G122-J122</f>
        <v>0</v>
      </c>
      <c r="M122" s="33" t="n">
        <f aca="false">F122</f>
        <v>93824739.5833333</v>
      </c>
      <c r="N122" s="64" t="n">
        <v>0.0135458333333333</v>
      </c>
      <c r="O122" s="48" t="n">
        <f aca="false">IF(AND(B122&gt;=DATE(2026,1,1),B122&lt;=Resumen!$C$5),1,0)</f>
        <v>0</v>
      </c>
      <c r="P122" s="48" t="n">
        <f aca="false">IF(AND(B122&gt;Resumen!$C$5,B122&lt;=DATE(2027,7,31)),1,0)</f>
        <v>1</v>
      </c>
    </row>
    <row r="123" customFormat="false" ht="15" hidden="false" customHeight="false" outlineLevel="0" collapsed="false">
      <c r="A123" s="38" t="n">
        <v>111</v>
      </c>
      <c r="B123" s="27" t="n">
        <v>46585</v>
      </c>
      <c r="C123" s="39" t="n">
        <v>2250000000</v>
      </c>
      <c r="D123" s="39" t="n">
        <v>30478125</v>
      </c>
      <c r="E123" s="39" t="n">
        <v>62500000</v>
      </c>
      <c r="F123" s="39" t="n">
        <v>92978125</v>
      </c>
      <c r="G123" s="39" t="n">
        <v>2187500000</v>
      </c>
      <c r="H123" s="33" t="n">
        <f aca="false">J122</f>
        <v>2250000000</v>
      </c>
      <c r="I123" s="33" t="n">
        <f aca="false">H123*N123</f>
        <v>30478125</v>
      </c>
      <c r="J123" s="33" t="n">
        <f aca="false">H123-E123</f>
        <v>2187500000</v>
      </c>
      <c r="K123" s="33" t="n">
        <f aca="false">D123-I123</f>
        <v>0</v>
      </c>
      <c r="L123" s="33" t="n">
        <f aca="false">G123-J123</f>
        <v>0</v>
      </c>
      <c r="M123" s="33" t="n">
        <f aca="false">F123</f>
        <v>92978125</v>
      </c>
      <c r="N123" s="64" t="n">
        <v>0.0135458333333333</v>
      </c>
      <c r="O123" s="48" t="n">
        <f aca="false">IF(AND(B123&gt;=DATE(2026,1,1),B123&lt;=Resumen!$C$5),1,0)</f>
        <v>0</v>
      </c>
      <c r="P123" s="48" t="n">
        <f aca="false">IF(AND(B123&gt;Resumen!$C$5,B123&lt;=DATE(2027,7,31)),1,0)</f>
        <v>1</v>
      </c>
    </row>
    <row r="124" customFormat="false" ht="15" hidden="false" customHeight="false" outlineLevel="0" collapsed="false">
      <c r="A124" s="38" t="n">
        <v>112</v>
      </c>
      <c r="B124" s="27" t="n">
        <v>46616</v>
      </c>
      <c r="C124" s="39" t="n">
        <v>2187500000</v>
      </c>
      <c r="D124" s="39" t="n">
        <v>29631510.4166667</v>
      </c>
      <c r="E124" s="39" t="n">
        <v>62500000</v>
      </c>
      <c r="F124" s="39" t="n">
        <v>92131510.4166667</v>
      </c>
      <c r="G124" s="39" t="n">
        <v>2125000000</v>
      </c>
      <c r="H124" s="33" t="n">
        <f aca="false">J123</f>
        <v>2187500000</v>
      </c>
      <c r="I124" s="33" t="n">
        <f aca="false">H124*N124</f>
        <v>29631510.4166667</v>
      </c>
      <c r="J124" s="33" t="n">
        <f aca="false">H124-E124</f>
        <v>2125000000</v>
      </c>
      <c r="K124" s="33" t="n">
        <f aca="false">D124-I124</f>
        <v>0</v>
      </c>
      <c r="L124" s="33" t="n">
        <f aca="false">G124-J124</f>
        <v>0</v>
      </c>
      <c r="M124" s="33" t="n">
        <f aca="false">F124</f>
        <v>92131510.4166667</v>
      </c>
      <c r="N124" s="64" t="n">
        <v>0.0135458333333333</v>
      </c>
      <c r="O124" s="48" t="n">
        <f aca="false">IF(AND(B124&gt;=DATE(2026,1,1),B124&lt;=Resumen!$C$5),1,0)</f>
        <v>0</v>
      </c>
      <c r="P124" s="48" t="n">
        <f aca="false">IF(AND(B124&gt;Resumen!$C$5,B124&lt;=DATE(2027,7,31)),1,0)</f>
        <v>0</v>
      </c>
    </row>
    <row r="125" customFormat="false" ht="15" hidden="false" customHeight="false" outlineLevel="0" collapsed="false">
      <c r="A125" s="38" t="n">
        <v>113</v>
      </c>
      <c r="B125" s="27" t="n">
        <v>46647</v>
      </c>
      <c r="C125" s="39" t="n">
        <v>2125000000</v>
      </c>
      <c r="D125" s="39" t="n">
        <v>28784895.8333333</v>
      </c>
      <c r="E125" s="39" t="n">
        <v>62500000</v>
      </c>
      <c r="F125" s="39" t="n">
        <v>91284895.8333333</v>
      </c>
      <c r="G125" s="39" t="n">
        <v>2062500000</v>
      </c>
      <c r="H125" s="33" t="n">
        <f aca="false">J124</f>
        <v>2125000000</v>
      </c>
      <c r="I125" s="33" t="n">
        <f aca="false">H125*N125</f>
        <v>28784895.8333333</v>
      </c>
      <c r="J125" s="33" t="n">
        <f aca="false">H125-E125</f>
        <v>2062500000</v>
      </c>
      <c r="K125" s="33" t="n">
        <f aca="false">D125-I125</f>
        <v>0</v>
      </c>
      <c r="L125" s="33" t="n">
        <f aca="false">G125-J125</f>
        <v>0</v>
      </c>
      <c r="M125" s="33" t="n">
        <f aca="false">F125</f>
        <v>91284895.8333333</v>
      </c>
      <c r="N125" s="64" t="n">
        <v>0.0135458333333333</v>
      </c>
      <c r="O125" s="48" t="n">
        <f aca="false">IF(AND(B125&gt;=DATE(2026,1,1),B125&lt;=Resumen!$C$5),1,0)</f>
        <v>0</v>
      </c>
      <c r="P125" s="48" t="n">
        <f aca="false">IF(AND(B125&gt;Resumen!$C$5,B125&lt;=DATE(2027,7,31)),1,0)</f>
        <v>0</v>
      </c>
    </row>
    <row r="126" customFormat="false" ht="15" hidden="false" customHeight="false" outlineLevel="0" collapsed="false">
      <c r="A126" s="38" t="n">
        <v>114</v>
      </c>
      <c r="B126" s="27" t="n">
        <v>46677</v>
      </c>
      <c r="C126" s="39" t="n">
        <v>2062500000</v>
      </c>
      <c r="D126" s="39" t="n">
        <v>27938281.25</v>
      </c>
      <c r="E126" s="39" t="n">
        <v>62500000</v>
      </c>
      <c r="F126" s="39" t="n">
        <v>90438281.25</v>
      </c>
      <c r="G126" s="39" t="n">
        <v>2000000000</v>
      </c>
      <c r="H126" s="33" t="n">
        <f aca="false">J125</f>
        <v>2062500000</v>
      </c>
      <c r="I126" s="33" t="n">
        <f aca="false">H126*N126</f>
        <v>27938281.25</v>
      </c>
      <c r="J126" s="33" t="n">
        <f aca="false">H126-E126</f>
        <v>2000000000</v>
      </c>
      <c r="K126" s="33" t="n">
        <f aca="false">D126-I126</f>
        <v>0</v>
      </c>
      <c r="L126" s="33" t="n">
        <f aca="false">G126-J126</f>
        <v>0</v>
      </c>
      <c r="M126" s="33" t="n">
        <f aca="false">F126</f>
        <v>90438281.25</v>
      </c>
      <c r="N126" s="64" t="n">
        <v>0.0135458333333333</v>
      </c>
      <c r="O126" s="48" t="n">
        <f aca="false">IF(AND(B126&gt;=DATE(2026,1,1),B126&lt;=Resumen!$C$5),1,0)</f>
        <v>0</v>
      </c>
      <c r="P126" s="48" t="n">
        <f aca="false">IF(AND(B126&gt;Resumen!$C$5,B126&lt;=DATE(2027,7,31)),1,0)</f>
        <v>0</v>
      </c>
    </row>
    <row r="127" customFormat="false" ht="15" hidden="false" customHeight="false" outlineLevel="0" collapsed="false">
      <c r="A127" s="38" t="n">
        <v>115</v>
      </c>
      <c r="B127" s="27" t="n">
        <v>46708</v>
      </c>
      <c r="C127" s="39" t="n">
        <v>2000000000</v>
      </c>
      <c r="D127" s="39" t="n">
        <v>27091666.6666667</v>
      </c>
      <c r="E127" s="39" t="n">
        <v>62500000</v>
      </c>
      <c r="F127" s="39" t="n">
        <v>89591666.6666667</v>
      </c>
      <c r="G127" s="39" t="n">
        <v>1937500000</v>
      </c>
      <c r="H127" s="33" t="n">
        <f aca="false">J126</f>
        <v>2000000000</v>
      </c>
      <c r="I127" s="33" t="n">
        <f aca="false">H127*N127</f>
        <v>27091666.6666667</v>
      </c>
      <c r="J127" s="33" t="n">
        <f aca="false">H127-E127</f>
        <v>1937500000</v>
      </c>
      <c r="K127" s="33" t="n">
        <f aca="false">D127-I127</f>
        <v>0</v>
      </c>
      <c r="L127" s="33" t="n">
        <f aca="false">G127-J127</f>
        <v>0</v>
      </c>
      <c r="M127" s="33" t="n">
        <f aca="false">F127</f>
        <v>89591666.6666667</v>
      </c>
      <c r="N127" s="64" t="n">
        <v>0.0135458333333333</v>
      </c>
      <c r="O127" s="48" t="n">
        <f aca="false">IF(AND(B127&gt;=DATE(2026,1,1),B127&lt;=Resumen!$C$5),1,0)</f>
        <v>0</v>
      </c>
      <c r="P127" s="48" t="n">
        <f aca="false">IF(AND(B127&gt;Resumen!$C$5,B127&lt;=DATE(2027,7,31)),1,0)</f>
        <v>0</v>
      </c>
    </row>
    <row r="128" customFormat="false" ht="15" hidden="false" customHeight="false" outlineLevel="0" collapsed="false">
      <c r="A128" s="38" t="n">
        <v>116</v>
      </c>
      <c r="B128" s="27" t="n">
        <v>46738</v>
      </c>
      <c r="C128" s="39" t="n">
        <v>1937500000</v>
      </c>
      <c r="D128" s="39" t="n">
        <v>26245052.0833333</v>
      </c>
      <c r="E128" s="39" t="n">
        <v>62500000</v>
      </c>
      <c r="F128" s="39" t="n">
        <v>88745052.0833333</v>
      </c>
      <c r="G128" s="39" t="n">
        <v>1875000000</v>
      </c>
      <c r="H128" s="33" t="n">
        <f aca="false">J127</f>
        <v>1937500000</v>
      </c>
      <c r="I128" s="33" t="n">
        <f aca="false">H128*N128</f>
        <v>26245052.0833333</v>
      </c>
      <c r="J128" s="33" t="n">
        <f aca="false">H128-E128</f>
        <v>1875000000</v>
      </c>
      <c r="K128" s="33" t="n">
        <f aca="false">D128-I128</f>
        <v>0</v>
      </c>
      <c r="L128" s="33" t="n">
        <f aca="false">G128-J128</f>
        <v>0</v>
      </c>
      <c r="M128" s="33" t="n">
        <f aca="false">F128</f>
        <v>88745052.0833333</v>
      </c>
      <c r="N128" s="64" t="n">
        <v>0.0135458333333333</v>
      </c>
      <c r="O128" s="48" t="n">
        <f aca="false">IF(AND(B128&gt;=DATE(2026,1,1),B128&lt;=Resumen!$C$5),1,0)</f>
        <v>0</v>
      </c>
      <c r="P128" s="48" t="n">
        <f aca="false">IF(AND(B128&gt;Resumen!$C$5,B128&lt;=DATE(2027,7,31)),1,0)</f>
        <v>0</v>
      </c>
    </row>
    <row r="129" customFormat="false" ht="15" hidden="false" customHeight="false" outlineLevel="0" collapsed="false">
      <c r="A129" s="38" t="n">
        <v>117</v>
      </c>
      <c r="B129" s="27" t="n">
        <v>46769</v>
      </c>
      <c r="C129" s="39" t="n">
        <v>1875000000</v>
      </c>
      <c r="D129" s="39" t="n">
        <v>25398437.5</v>
      </c>
      <c r="E129" s="39" t="n">
        <v>62500000</v>
      </c>
      <c r="F129" s="39" t="n">
        <v>87898437.5</v>
      </c>
      <c r="G129" s="39" t="n">
        <v>1812500000</v>
      </c>
      <c r="H129" s="33" t="n">
        <f aca="false">J128</f>
        <v>1875000000</v>
      </c>
      <c r="I129" s="33" t="n">
        <f aca="false">H129*N129</f>
        <v>25398437.5</v>
      </c>
      <c r="J129" s="33" t="n">
        <f aca="false">H129-E129</f>
        <v>1812500000</v>
      </c>
      <c r="K129" s="33" t="n">
        <f aca="false">D129-I129</f>
        <v>0</v>
      </c>
      <c r="L129" s="33" t="n">
        <f aca="false">G129-J129</f>
        <v>0</v>
      </c>
      <c r="M129" s="33" t="n">
        <f aca="false">F129</f>
        <v>87898437.5</v>
      </c>
      <c r="N129" s="64" t="n">
        <v>0.0135458333333333</v>
      </c>
      <c r="O129" s="48" t="n">
        <f aca="false">IF(AND(B129&gt;=DATE(2026,1,1),B129&lt;=Resumen!$C$5),1,0)</f>
        <v>0</v>
      </c>
      <c r="P129" s="48" t="n">
        <f aca="false">IF(AND(B129&gt;Resumen!$C$5,B129&lt;=DATE(2027,7,31)),1,0)</f>
        <v>0</v>
      </c>
    </row>
    <row r="130" customFormat="false" ht="15" hidden="false" customHeight="false" outlineLevel="0" collapsed="false">
      <c r="A130" s="38" t="n">
        <v>118</v>
      </c>
      <c r="B130" s="27" t="n">
        <v>46800</v>
      </c>
      <c r="C130" s="39" t="n">
        <v>1812500000</v>
      </c>
      <c r="D130" s="39" t="n">
        <v>24551822.9166667</v>
      </c>
      <c r="E130" s="39" t="n">
        <v>62500000</v>
      </c>
      <c r="F130" s="39" t="n">
        <v>87051822.9166667</v>
      </c>
      <c r="G130" s="39" t="n">
        <v>1750000000</v>
      </c>
      <c r="H130" s="33" t="n">
        <f aca="false">J129</f>
        <v>1812500000</v>
      </c>
      <c r="I130" s="33" t="n">
        <f aca="false">H130*N130</f>
        <v>24551822.9166667</v>
      </c>
      <c r="J130" s="33" t="n">
        <f aca="false">H130-E130</f>
        <v>1750000000</v>
      </c>
      <c r="K130" s="33" t="n">
        <f aca="false">D130-I130</f>
        <v>0</v>
      </c>
      <c r="L130" s="33" t="n">
        <f aca="false">G130-J130</f>
        <v>0</v>
      </c>
      <c r="M130" s="33" t="n">
        <f aca="false">F130</f>
        <v>87051822.9166667</v>
      </c>
      <c r="N130" s="64" t="n">
        <v>0.0135458333333333</v>
      </c>
      <c r="O130" s="48" t="n">
        <f aca="false">IF(AND(B130&gt;=DATE(2026,1,1),B130&lt;=Resumen!$C$5),1,0)</f>
        <v>0</v>
      </c>
      <c r="P130" s="48" t="n">
        <f aca="false">IF(AND(B130&gt;Resumen!$C$5,B130&lt;=DATE(2027,7,31)),1,0)</f>
        <v>0</v>
      </c>
    </row>
    <row r="131" customFormat="false" ht="15" hidden="false" customHeight="false" outlineLevel="0" collapsed="false">
      <c r="A131" s="38" t="n">
        <v>119</v>
      </c>
      <c r="B131" s="27" t="n">
        <v>46829</v>
      </c>
      <c r="C131" s="39" t="n">
        <v>1750000000</v>
      </c>
      <c r="D131" s="39" t="n">
        <v>23705208.3333333</v>
      </c>
      <c r="E131" s="39" t="n">
        <v>62500000</v>
      </c>
      <c r="F131" s="39" t="n">
        <v>86205208.3333333</v>
      </c>
      <c r="G131" s="39" t="n">
        <v>1687500000</v>
      </c>
      <c r="H131" s="33" t="n">
        <f aca="false">J130</f>
        <v>1750000000</v>
      </c>
      <c r="I131" s="33" t="n">
        <f aca="false">H131*N131</f>
        <v>23705208.3333333</v>
      </c>
      <c r="J131" s="33" t="n">
        <f aca="false">H131-E131</f>
        <v>1687500000</v>
      </c>
      <c r="K131" s="33" t="n">
        <f aca="false">D131-I131</f>
        <v>0</v>
      </c>
      <c r="L131" s="33" t="n">
        <f aca="false">G131-J131</f>
        <v>0</v>
      </c>
      <c r="M131" s="33" t="n">
        <f aca="false">F131</f>
        <v>86205208.3333333</v>
      </c>
      <c r="N131" s="64" t="n">
        <v>0.0135458333333333</v>
      </c>
      <c r="O131" s="48" t="n">
        <f aca="false">IF(AND(B131&gt;=DATE(2026,1,1),B131&lt;=Resumen!$C$5),1,0)</f>
        <v>0</v>
      </c>
      <c r="P131" s="48" t="n">
        <f aca="false">IF(AND(B131&gt;Resumen!$C$5,B131&lt;=DATE(2027,7,31)),1,0)</f>
        <v>0</v>
      </c>
    </row>
    <row r="132" customFormat="false" ht="15" hidden="false" customHeight="false" outlineLevel="0" collapsed="false">
      <c r="A132" s="38" t="n">
        <v>120</v>
      </c>
      <c r="B132" s="27" t="n">
        <v>46860</v>
      </c>
      <c r="C132" s="39" t="n">
        <v>1687500000</v>
      </c>
      <c r="D132" s="39" t="n">
        <v>22858593.75</v>
      </c>
      <c r="E132" s="39" t="n">
        <v>62500000</v>
      </c>
      <c r="F132" s="39" t="n">
        <v>85358593.75</v>
      </c>
      <c r="G132" s="39" t="n">
        <v>1625000000</v>
      </c>
      <c r="H132" s="33" t="n">
        <f aca="false">J131</f>
        <v>1687500000</v>
      </c>
      <c r="I132" s="33" t="n">
        <f aca="false">H132*N132</f>
        <v>22858593.75</v>
      </c>
      <c r="J132" s="33" t="n">
        <f aca="false">H132-E132</f>
        <v>1625000000</v>
      </c>
      <c r="K132" s="33" t="n">
        <f aca="false">D132-I132</f>
        <v>0</v>
      </c>
      <c r="L132" s="33" t="n">
        <f aca="false">G132-J132</f>
        <v>0</v>
      </c>
      <c r="M132" s="33" t="n">
        <f aca="false">F132</f>
        <v>85358593.75</v>
      </c>
      <c r="N132" s="64" t="n">
        <v>0.0135458333333333</v>
      </c>
      <c r="O132" s="48" t="n">
        <f aca="false">IF(AND(B132&gt;=DATE(2026,1,1),B132&lt;=Resumen!$C$5),1,0)</f>
        <v>0</v>
      </c>
      <c r="P132" s="48" t="n">
        <f aca="false">IF(AND(B132&gt;Resumen!$C$5,B132&lt;=DATE(2027,7,31)),1,0)</f>
        <v>0</v>
      </c>
    </row>
    <row r="133" customFormat="false" ht="15" hidden="false" customHeight="false" outlineLevel="0" collapsed="false">
      <c r="A133" s="38" t="n">
        <v>121</v>
      </c>
      <c r="B133" s="27" t="n">
        <v>46890</v>
      </c>
      <c r="C133" s="39" t="n">
        <v>1625000000</v>
      </c>
      <c r="D133" s="39" t="n">
        <v>22011979.1666667</v>
      </c>
      <c r="E133" s="39" t="n">
        <v>62500000</v>
      </c>
      <c r="F133" s="39" t="n">
        <v>84511979.1666667</v>
      </c>
      <c r="G133" s="39" t="n">
        <v>1562500000</v>
      </c>
      <c r="H133" s="33" t="n">
        <f aca="false">J132</f>
        <v>1625000000</v>
      </c>
      <c r="I133" s="33" t="n">
        <f aca="false">H133*N133</f>
        <v>22011979.1666667</v>
      </c>
      <c r="J133" s="33" t="n">
        <f aca="false">H133-E133</f>
        <v>1562500000</v>
      </c>
      <c r="K133" s="33" t="n">
        <f aca="false">D133-I133</f>
        <v>0</v>
      </c>
      <c r="L133" s="33" t="n">
        <f aca="false">G133-J133</f>
        <v>0</v>
      </c>
      <c r="M133" s="33" t="n">
        <f aca="false">F133</f>
        <v>84511979.1666667</v>
      </c>
      <c r="N133" s="64" t="n">
        <v>0.0135458333333333</v>
      </c>
      <c r="O133" s="48" t="n">
        <f aca="false">IF(AND(B133&gt;=DATE(2026,1,1),B133&lt;=Resumen!$C$5),1,0)</f>
        <v>0</v>
      </c>
      <c r="P133" s="48" t="n">
        <f aca="false">IF(AND(B133&gt;Resumen!$C$5,B133&lt;=DATE(2027,7,31)),1,0)</f>
        <v>0</v>
      </c>
    </row>
    <row r="134" customFormat="false" ht="15" hidden="false" customHeight="false" outlineLevel="0" collapsed="false">
      <c r="A134" s="38" t="n">
        <v>122</v>
      </c>
      <c r="B134" s="27" t="n">
        <v>46921</v>
      </c>
      <c r="C134" s="39" t="n">
        <v>1562500000</v>
      </c>
      <c r="D134" s="39" t="n">
        <v>21165364.5833333</v>
      </c>
      <c r="E134" s="39" t="n">
        <v>62500000</v>
      </c>
      <c r="F134" s="39" t="n">
        <v>83665364.5833333</v>
      </c>
      <c r="G134" s="39" t="n">
        <v>1500000000</v>
      </c>
      <c r="H134" s="33" t="n">
        <f aca="false">J133</f>
        <v>1562500000</v>
      </c>
      <c r="I134" s="33" t="n">
        <f aca="false">H134*N134</f>
        <v>21165364.5833333</v>
      </c>
      <c r="J134" s="33" t="n">
        <f aca="false">H134-E134</f>
        <v>1500000000</v>
      </c>
      <c r="K134" s="33" t="n">
        <f aca="false">D134-I134</f>
        <v>0</v>
      </c>
      <c r="L134" s="33" t="n">
        <f aca="false">G134-J134</f>
        <v>0</v>
      </c>
      <c r="M134" s="33" t="n">
        <f aca="false">F134</f>
        <v>83665364.5833333</v>
      </c>
      <c r="N134" s="64" t="n">
        <v>0.0135458333333333</v>
      </c>
      <c r="O134" s="48" t="n">
        <f aca="false">IF(AND(B134&gt;=DATE(2026,1,1),B134&lt;=Resumen!$C$5),1,0)</f>
        <v>0</v>
      </c>
      <c r="P134" s="48" t="n">
        <f aca="false">IF(AND(B134&gt;Resumen!$C$5,B134&lt;=DATE(2027,7,31)),1,0)</f>
        <v>0</v>
      </c>
    </row>
    <row r="135" customFormat="false" ht="15" hidden="false" customHeight="false" outlineLevel="0" collapsed="false">
      <c r="A135" s="38" t="n">
        <v>123</v>
      </c>
      <c r="B135" s="27" t="n">
        <v>46951</v>
      </c>
      <c r="C135" s="39" t="n">
        <v>1500000000</v>
      </c>
      <c r="D135" s="39" t="n">
        <v>20318750</v>
      </c>
      <c r="E135" s="39" t="n">
        <v>62500000</v>
      </c>
      <c r="F135" s="39" t="n">
        <v>82818750</v>
      </c>
      <c r="G135" s="39" t="n">
        <v>1437500000</v>
      </c>
      <c r="H135" s="33" t="n">
        <f aca="false">J134</f>
        <v>1500000000</v>
      </c>
      <c r="I135" s="33" t="n">
        <f aca="false">H135*N135</f>
        <v>20318750</v>
      </c>
      <c r="J135" s="33" t="n">
        <f aca="false">H135-E135</f>
        <v>1437500000</v>
      </c>
      <c r="K135" s="33" t="n">
        <f aca="false">D135-I135</f>
        <v>0</v>
      </c>
      <c r="L135" s="33" t="n">
        <f aca="false">G135-J135</f>
        <v>0</v>
      </c>
      <c r="M135" s="33" t="n">
        <f aca="false">F135</f>
        <v>82818750</v>
      </c>
      <c r="N135" s="64" t="n">
        <v>0.0135458333333333</v>
      </c>
      <c r="O135" s="48" t="n">
        <f aca="false">IF(AND(B135&gt;=DATE(2026,1,1),B135&lt;=Resumen!$C$5),1,0)</f>
        <v>0</v>
      </c>
      <c r="P135" s="48" t="n">
        <f aca="false">IF(AND(B135&gt;Resumen!$C$5,B135&lt;=DATE(2027,7,31)),1,0)</f>
        <v>0</v>
      </c>
    </row>
    <row r="136" customFormat="false" ht="15" hidden="false" customHeight="false" outlineLevel="0" collapsed="false">
      <c r="A136" s="38" t="n">
        <v>124</v>
      </c>
      <c r="B136" s="27" t="n">
        <v>46982</v>
      </c>
      <c r="C136" s="39" t="n">
        <v>1437500000</v>
      </c>
      <c r="D136" s="39" t="n">
        <v>19472135.4166667</v>
      </c>
      <c r="E136" s="39" t="n">
        <v>62500000</v>
      </c>
      <c r="F136" s="39" t="n">
        <v>81972135.4166667</v>
      </c>
      <c r="G136" s="39" t="n">
        <v>1375000000</v>
      </c>
      <c r="H136" s="33" t="n">
        <f aca="false">J135</f>
        <v>1437500000</v>
      </c>
      <c r="I136" s="33" t="n">
        <f aca="false">H136*N136</f>
        <v>19472135.4166667</v>
      </c>
      <c r="J136" s="33" t="n">
        <f aca="false">H136-E136</f>
        <v>1375000000</v>
      </c>
      <c r="K136" s="33" t="n">
        <f aca="false">D136-I136</f>
        <v>0</v>
      </c>
      <c r="L136" s="33" t="n">
        <f aca="false">G136-J136</f>
        <v>0</v>
      </c>
      <c r="M136" s="33" t="n">
        <f aca="false">F136</f>
        <v>81972135.4166667</v>
      </c>
      <c r="N136" s="64" t="n">
        <v>0.0135458333333333</v>
      </c>
      <c r="O136" s="48" t="n">
        <f aca="false">IF(AND(B136&gt;=DATE(2026,1,1),B136&lt;=Resumen!$C$5),1,0)</f>
        <v>0</v>
      </c>
      <c r="P136" s="48" t="n">
        <f aca="false">IF(AND(B136&gt;Resumen!$C$5,B136&lt;=DATE(2027,7,31)),1,0)</f>
        <v>0</v>
      </c>
    </row>
    <row r="137" customFormat="false" ht="15" hidden="false" customHeight="false" outlineLevel="0" collapsed="false">
      <c r="A137" s="38" t="n">
        <v>125</v>
      </c>
      <c r="B137" s="27" t="n">
        <v>47013</v>
      </c>
      <c r="C137" s="39" t="n">
        <v>1375000000</v>
      </c>
      <c r="D137" s="39" t="n">
        <v>18625520.8333333</v>
      </c>
      <c r="E137" s="39" t="n">
        <v>62500000</v>
      </c>
      <c r="F137" s="39" t="n">
        <v>81125520.8333333</v>
      </c>
      <c r="G137" s="39" t="n">
        <v>1312500000</v>
      </c>
      <c r="H137" s="33" t="n">
        <f aca="false">J136</f>
        <v>1375000000</v>
      </c>
      <c r="I137" s="33" t="n">
        <f aca="false">H137*N137</f>
        <v>18625520.8333333</v>
      </c>
      <c r="J137" s="33" t="n">
        <f aca="false">H137-E137</f>
        <v>1312500000</v>
      </c>
      <c r="K137" s="33" t="n">
        <f aca="false">D137-I137</f>
        <v>0</v>
      </c>
      <c r="L137" s="33" t="n">
        <f aca="false">G137-J137</f>
        <v>0</v>
      </c>
      <c r="M137" s="33" t="n">
        <f aca="false">F137</f>
        <v>81125520.8333333</v>
      </c>
      <c r="N137" s="64" t="n">
        <v>0.0135458333333333</v>
      </c>
      <c r="O137" s="48" t="n">
        <f aca="false">IF(AND(B137&gt;=DATE(2026,1,1),B137&lt;=Resumen!$C$5),1,0)</f>
        <v>0</v>
      </c>
      <c r="P137" s="48" t="n">
        <f aca="false">IF(AND(B137&gt;Resumen!$C$5,B137&lt;=DATE(2027,7,31)),1,0)</f>
        <v>0</v>
      </c>
    </row>
    <row r="138" customFormat="false" ht="15" hidden="false" customHeight="false" outlineLevel="0" collapsed="false">
      <c r="A138" s="38" t="n">
        <v>126</v>
      </c>
      <c r="B138" s="27" t="n">
        <v>47043</v>
      </c>
      <c r="C138" s="39" t="n">
        <v>1312500000</v>
      </c>
      <c r="D138" s="39" t="n">
        <v>17778906.25</v>
      </c>
      <c r="E138" s="39" t="n">
        <v>62500000</v>
      </c>
      <c r="F138" s="39" t="n">
        <v>80278906.25</v>
      </c>
      <c r="G138" s="39" t="n">
        <v>1250000000</v>
      </c>
      <c r="H138" s="33" t="n">
        <f aca="false">J137</f>
        <v>1312500000</v>
      </c>
      <c r="I138" s="33" t="n">
        <f aca="false">H138*N138</f>
        <v>17778906.25</v>
      </c>
      <c r="J138" s="33" t="n">
        <f aca="false">H138-E138</f>
        <v>1250000000</v>
      </c>
      <c r="K138" s="33" t="n">
        <f aca="false">D138-I138</f>
        <v>0</v>
      </c>
      <c r="L138" s="33" t="n">
        <f aca="false">G138-J138</f>
        <v>0</v>
      </c>
      <c r="M138" s="33" t="n">
        <f aca="false">F138</f>
        <v>80278906.25</v>
      </c>
      <c r="N138" s="64" t="n">
        <v>0.0135458333333333</v>
      </c>
      <c r="O138" s="48" t="n">
        <f aca="false">IF(AND(B138&gt;=DATE(2026,1,1),B138&lt;=Resumen!$C$5),1,0)</f>
        <v>0</v>
      </c>
      <c r="P138" s="48" t="n">
        <f aca="false">IF(AND(B138&gt;Resumen!$C$5,B138&lt;=DATE(2027,7,31)),1,0)</f>
        <v>0</v>
      </c>
    </row>
    <row r="139" customFormat="false" ht="15" hidden="false" customHeight="false" outlineLevel="0" collapsed="false">
      <c r="A139" s="38" t="n">
        <v>127</v>
      </c>
      <c r="B139" s="27" t="n">
        <v>47074</v>
      </c>
      <c r="C139" s="39" t="n">
        <v>1250000000</v>
      </c>
      <c r="D139" s="39" t="n">
        <v>16932291.6666667</v>
      </c>
      <c r="E139" s="39" t="n">
        <v>62500000</v>
      </c>
      <c r="F139" s="39" t="n">
        <v>79432291.6666667</v>
      </c>
      <c r="G139" s="39" t="n">
        <v>1187500000</v>
      </c>
      <c r="H139" s="33" t="n">
        <f aca="false">J138</f>
        <v>1250000000</v>
      </c>
      <c r="I139" s="33" t="n">
        <f aca="false">H139*N139</f>
        <v>16932291.6666667</v>
      </c>
      <c r="J139" s="33" t="n">
        <f aca="false">H139-E139</f>
        <v>1187500000</v>
      </c>
      <c r="K139" s="33" t="n">
        <f aca="false">D139-I139</f>
        <v>0</v>
      </c>
      <c r="L139" s="33" t="n">
        <f aca="false">G139-J139</f>
        <v>0</v>
      </c>
      <c r="M139" s="33" t="n">
        <f aca="false">F139</f>
        <v>79432291.6666667</v>
      </c>
      <c r="N139" s="64" t="n">
        <v>0.0135458333333333</v>
      </c>
      <c r="O139" s="48" t="n">
        <f aca="false">IF(AND(B139&gt;=DATE(2026,1,1),B139&lt;=Resumen!$C$5),1,0)</f>
        <v>0</v>
      </c>
      <c r="P139" s="48" t="n">
        <f aca="false">IF(AND(B139&gt;Resumen!$C$5,B139&lt;=DATE(2027,7,31)),1,0)</f>
        <v>0</v>
      </c>
    </row>
    <row r="140" customFormat="false" ht="15" hidden="false" customHeight="false" outlineLevel="0" collapsed="false">
      <c r="A140" s="38" t="n">
        <v>128</v>
      </c>
      <c r="B140" s="27" t="n">
        <v>47104</v>
      </c>
      <c r="C140" s="39" t="n">
        <v>1187500000</v>
      </c>
      <c r="D140" s="39" t="n">
        <v>16085677.0833333</v>
      </c>
      <c r="E140" s="39" t="n">
        <v>62500000</v>
      </c>
      <c r="F140" s="39" t="n">
        <v>78585677.0833333</v>
      </c>
      <c r="G140" s="39" t="n">
        <v>1125000000</v>
      </c>
      <c r="H140" s="33" t="n">
        <f aca="false">J139</f>
        <v>1187500000</v>
      </c>
      <c r="I140" s="33" t="n">
        <f aca="false">H140*N140</f>
        <v>16085677.0833333</v>
      </c>
      <c r="J140" s="33" t="n">
        <f aca="false">H140-E140</f>
        <v>1125000000</v>
      </c>
      <c r="K140" s="33" t="n">
        <f aca="false">D140-I140</f>
        <v>0</v>
      </c>
      <c r="L140" s="33" t="n">
        <f aca="false">G140-J140</f>
        <v>0</v>
      </c>
      <c r="M140" s="33" t="n">
        <f aca="false">F140</f>
        <v>78585677.0833333</v>
      </c>
      <c r="N140" s="64" t="n">
        <v>0.0135458333333333</v>
      </c>
      <c r="O140" s="48" t="n">
        <f aca="false">IF(AND(B140&gt;=DATE(2026,1,1),B140&lt;=Resumen!$C$5),1,0)</f>
        <v>0</v>
      </c>
      <c r="P140" s="48" t="n">
        <f aca="false">IF(AND(B140&gt;Resumen!$C$5,B140&lt;=DATE(2027,7,31)),1,0)</f>
        <v>0</v>
      </c>
    </row>
    <row r="141" customFormat="false" ht="15" hidden="false" customHeight="false" outlineLevel="0" collapsed="false">
      <c r="A141" s="38" t="n">
        <v>129</v>
      </c>
      <c r="B141" s="27" t="n">
        <v>47135</v>
      </c>
      <c r="C141" s="39" t="n">
        <v>1125000000</v>
      </c>
      <c r="D141" s="39" t="n">
        <v>15239062.5</v>
      </c>
      <c r="E141" s="39" t="n">
        <v>62500000</v>
      </c>
      <c r="F141" s="39" t="n">
        <v>77739062.5</v>
      </c>
      <c r="G141" s="39" t="n">
        <v>1062500000</v>
      </c>
      <c r="H141" s="33" t="n">
        <f aca="false">J140</f>
        <v>1125000000</v>
      </c>
      <c r="I141" s="33" t="n">
        <f aca="false">H141*N141</f>
        <v>15239062.5</v>
      </c>
      <c r="J141" s="33" t="n">
        <f aca="false">H141-E141</f>
        <v>1062500000</v>
      </c>
      <c r="K141" s="33" t="n">
        <f aca="false">D141-I141</f>
        <v>0</v>
      </c>
      <c r="L141" s="33" t="n">
        <f aca="false">G141-J141</f>
        <v>0</v>
      </c>
      <c r="M141" s="33" t="n">
        <f aca="false">F141</f>
        <v>77739062.5</v>
      </c>
      <c r="N141" s="64" t="n">
        <v>0.0135458333333333</v>
      </c>
      <c r="O141" s="48" t="n">
        <f aca="false">IF(AND(B141&gt;=DATE(2026,1,1),B141&lt;=Resumen!$C$5),1,0)</f>
        <v>0</v>
      </c>
      <c r="P141" s="48" t="n">
        <f aca="false">IF(AND(B141&gt;Resumen!$C$5,B141&lt;=DATE(2027,7,31)),1,0)</f>
        <v>0</v>
      </c>
    </row>
    <row r="142" customFormat="false" ht="15" hidden="false" customHeight="false" outlineLevel="0" collapsed="false">
      <c r="A142" s="38" t="n">
        <v>130</v>
      </c>
      <c r="B142" s="27" t="n">
        <v>47166</v>
      </c>
      <c r="C142" s="39" t="n">
        <v>1062500000</v>
      </c>
      <c r="D142" s="39" t="n">
        <v>14392447.9166667</v>
      </c>
      <c r="E142" s="39" t="n">
        <v>62500000</v>
      </c>
      <c r="F142" s="39" t="n">
        <v>76892447.9166667</v>
      </c>
      <c r="G142" s="39" t="n">
        <v>1000000000</v>
      </c>
      <c r="H142" s="33" t="n">
        <f aca="false">J141</f>
        <v>1062500000</v>
      </c>
      <c r="I142" s="33" t="n">
        <f aca="false">H142*N142</f>
        <v>14392447.9166667</v>
      </c>
      <c r="J142" s="33" t="n">
        <f aca="false">H142-E142</f>
        <v>1000000000</v>
      </c>
      <c r="K142" s="33" t="n">
        <f aca="false">D142-I142</f>
        <v>0</v>
      </c>
      <c r="L142" s="33" t="n">
        <f aca="false">G142-J142</f>
        <v>0</v>
      </c>
      <c r="M142" s="33" t="n">
        <f aca="false">F142</f>
        <v>76892447.9166667</v>
      </c>
      <c r="N142" s="64" t="n">
        <v>0.0135458333333333</v>
      </c>
      <c r="O142" s="48" t="n">
        <f aca="false">IF(AND(B142&gt;=DATE(2026,1,1),B142&lt;=Resumen!$C$5),1,0)</f>
        <v>0</v>
      </c>
      <c r="P142" s="48" t="n">
        <f aca="false">IF(AND(B142&gt;Resumen!$C$5,B142&lt;=DATE(2027,7,31)),1,0)</f>
        <v>0</v>
      </c>
    </row>
    <row r="143" customFormat="false" ht="15" hidden="false" customHeight="false" outlineLevel="0" collapsed="false">
      <c r="A143" s="38" t="n">
        <v>131</v>
      </c>
      <c r="B143" s="27" t="n">
        <v>47194</v>
      </c>
      <c r="C143" s="39" t="n">
        <v>1000000000</v>
      </c>
      <c r="D143" s="39" t="n">
        <v>13545833.3333333</v>
      </c>
      <c r="E143" s="39" t="n">
        <v>62500000</v>
      </c>
      <c r="F143" s="39" t="n">
        <v>76045833.3333333</v>
      </c>
      <c r="G143" s="39" t="n">
        <v>937500000</v>
      </c>
      <c r="H143" s="33" t="n">
        <f aca="false">J142</f>
        <v>1000000000</v>
      </c>
      <c r="I143" s="33" t="n">
        <f aca="false">H143*N143</f>
        <v>13545833.3333333</v>
      </c>
      <c r="J143" s="33" t="n">
        <f aca="false">H143-E143</f>
        <v>937500000</v>
      </c>
      <c r="K143" s="33" t="n">
        <f aca="false">D143-I143</f>
        <v>0</v>
      </c>
      <c r="L143" s="33" t="n">
        <f aca="false">G143-J143</f>
        <v>0</v>
      </c>
      <c r="M143" s="33" t="n">
        <f aca="false">F143</f>
        <v>76045833.3333333</v>
      </c>
      <c r="N143" s="64" t="n">
        <v>0.0135458333333333</v>
      </c>
      <c r="O143" s="48" t="n">
        <f aca="false">IF(AND(B143&gt;=DATE(2026,1,1),B143&lt;=Resumen!$C$5),1,0)</f>
        <v>0</v>
      </c>
      <c r="P143" s="48" t="n">
        <f aca="false">IF(AND(B143&gt;Resumen!$C$5,B143&lt;=DATE(2027,7,31)),1,0)</f>
        <v>0</v>
      </c>
    </row>
    <row r="144" customFormat="false" ht="15" hidden="false" customHeight="false" outlineLevel="0" collapsed="false">
      <c r="A144" s="38" t="n">
        <v>132</v>
      </c>
      <c r="B144" s="27" t="n">
        <v>47225</v>
      </c>
      <c r="C144" s="39" t="n">
        <v>937500000</v>
      </c>
      <c r="D144" s="39" t="n">
        <v>12699218.75</v>
      </c>
      <c r="E144" s="39" t="n">
        <v>62500000</v>
      </c>
      <c r="F144" s="39" t="n">
        <v>75199218.75</v>
      </c>
      <c r="G144" s="39" t="n">
        <v>875000000</v>
      </c>
      <c r="H144" s="33" t="n">
        <f aca="false">J143</f>
        <v>937500000</v>
      </c>
      <c r="I144" s="33" t="n">
        <f aca="false">H144*N144</f>
        <v>12699218.75</v>
      </c>
      <c r="J144" s="33" t="n">
        <f aca="false">H144-E144</f>
        <v>875000000</v>
      </c>
      <c r="K144" s="33" t="n">
        <f aca="false">D144-I144</f>
        <v>0</v>
      </c>
      <c r="L144" s="33" t="n">
        <f aca="false">G144-J144</f>
        <v>0</v>
      </c>
      <c r="M144" s="33" t="n">
        <f aca="false">F144</f>
        <v>75199218.75</v>
      </c>
      <c r="N144" s="64" t="n">
        <v>0.0135458333333333</v>
      </c>
      <c r="O144" s="48" t="n">
        <f aca="false">IF(AND(B144&gt;=DATE(2026,1,1),B144&lt;=Resumen!$C$5),1,0)</f>
        <v>0</v>
      </c>
      <c r="P144" s="48" t="n">
        <f aca="false">IF(AND(B144&gt;Resumen!$C$5,B144&lt;=DATE(2027,7,31)),1,0)</f>
        <v>0</v>
      </c>
    </row>
    <row r="145" customFormat="false" ht="15" hidden="false" customHeight="false" outlineLevel="0" collapsed="false">
      <c r="A145" s="38" t="n">
        <v>133</v>
      </c>
      <c r="B145" s="27" t="n">
        <v>47255</v>
      </c>
      <c r="C145" s="39" t="n">
        <v>875000000</v>
      </c>
      <c r="D145" s="39" t="n">
        <v>11852604.1666667</v>
      </c>
      <c r="E145" s="39" t="n">
        <v>62500000</v>
      </c>
      <c r="F145" s="39" t="n">
        <v>74352604.1666667</v>
      </c>
      <c r="G145" s="39" t="n">
        <v>812500000</v>
      </c>
      <c r="H145" s="33" t="n">
        <f aca="false">J144</f>
        <v>875000000</v>
      </c>
      <c r="I145" s="33" t="n">
        <f aca="false">H145*N145</f>
        <v>11852604.1666667</v>
      </c>
      <c r="J145" s="33" t="n">
        <f aca="false">H145-E145</f>
        <v>812500000</v>
      </c>
      <c r="K145" s="33" t="n">
        <f aca="false">D145-I145</f>
        <v>0</v>
      </c>
      <c r="L145" s="33" t="n">
        <f aca="false">G145-J145</f>
        <v>0</v>
      </c>
      <c r="M145" s="33" t="n">
        <f aca="false">F145</f>
        <v>74352604.1666667</v>
      </c>
      <c r="N145" s="64" t="n">
        <v>0.0135458333333333</v>
      </c>
      <c r="O145" s="48" t="n">
        <f aca="false">IF(AND(B145&gt;=DATE(2026,1,1),B145&lt;=Resumen!$C$5),1,0)</f>
        <v>0</v>
      </c>
      <c r="P145" s="48" t="n">
        <f aca="false">IF(AND(B145&gt;Resumen!$C$5,B145&lt;=DATE(2027,7,31)),1,0)</f>
        <v>0</v>
      </c>
    </row>
    <row r="146" customFormat="false" ht="15" hidden="false" customHeight="false" outlineLevel="0" collapsed="false">
      <c r="A146" s="38" t="n">
        <v>134</v>
      </c>
      <c r="B146" s="27" t="n">
        <v>47286</v>
      </c>
      <c r="C146" s="39" t="n">
        <v>812500000</v>
      </c>
      <c r="D146" s="39" t="n">
        <v>11005989.5833333</v>
      </c>
      <c r="E146" s="39" t="n">
        <v>62500000</v>
      </c>
      <c r="F146" s="39" t="n">
        <v>73505989.5833333</v>
      </c>
      <c r="G146" s="39" t="n">
        <v>750000000</v>
      </c>
      <c r="H146" s="33" t="n">
        <f aca="false">J145</f>
        <v>812500000</v>
      </c>
      <c r="I146" s="33" t="n">
        <f aca="false">H146*N146</f>
        <v>11005989.5833333</v>
      </c>
      <c r="J146" s="33" t="n">
        <f aca="false">H146-E146</f>
        <v>750000000</v>
      </c>
      <c r="K146" s="33" t="n">
        <f aca="false">D146-I146</f>
        <v>0</v>
      </c>
      <c r="L146" s="33" t="n">
        <f aca="false">G146-J146</f>
        <v>0</v>
      </c>
      <c r="M146" s="33" t="n">
        <f aca="false">F146</f>
        <v>73505989.5833333</v>
      </c>
      <c r="N146" s="64" t="n">
        <v>0.0135458333333333</v>
      </c>
      <c r="O146" s="48" t="n">
        <f aca="false">IF(AND(B146&gt;=DATE(2026,1,1),B146&lt;=Resumen!$C$5),1,0)</f>
        <v>0</v>
      </c>
      <c r="P146" s="48" t="n">
        <f aca="false">IF(AND(B146&gt;Resumen!$C$5,B146&lt;=DATE(2027,7,31)),1,0)</f>
        <v>0</v>
      </c>
    </row>
    <row r="147" customFormat="false" ht="15" hidden="false" customHeight="false" outlineLevel="0" collapsed="false">
      <c r="A147" s="38" t="n">
        <v>135</v>
      </c>
      <c r="B147" s="27" t="n">
        <v>47316</v>
      </c>
      <c r="C147" s="39" t="n">
        <v>750000000</v>
      </c>
      <c r="D147" s="39" t="n">
        <v>10159375</v>
      </c>
      <c r="E147" s="39" t="n">
        <v>62500000</v>
      </c>
      <c r="F147" s="39" t="n">
        <v>72659375</v>
      </c>
      <c r="G147" s="39" t="n">
        <v>687500000</v>
      </c>
      <c r="H147" s="33" t="n">
        <f aca="false">J146</f>
        <v>750000000</v>
      </c>
      <c r="I147" s="33" t="n">
        <f aca="false">H147*N147</f>
        <v>10159375</v>
      </c>
      <c r="J147" s="33" t="n">
        <f aca="false">H147-E147</f>
        <v>687500000</v>
      </c>
      <c r="K147" s="33" t="n">
        <f aca="false">D147-I147</f>
        <v>0</v>
      </c>
      <c r="L147" s="33" t="n">
        <f aca="false">G147-J147</f>
        <v>0</v>
      </c>
      <c r="M147" s="33" t="n">
        <f aca="false">F147</f>
        <v>72659375</v>
      </c>
      <c r="N147" s="64" t="n">
        <v>0.0135458333333333</v>
      </c>
      <c r="O147" s="48" t="n">
        <f aca="false">IF(AND(B147&gt;=DATE(2026,1,1),B147&lt;=Resumen!$C$5),1,0)</f>
        <v>0</v>
      </c>
      <c r="P147" s="48" t="n">
        <f aca="false">IF(AND(B147&gt;Resumen!$C$5,B147&lt;=DATE(2027,7,31)),1,0)</f>
        <v>0</v>
      </c>
    </row>
    <row r="148" customFormat="false" ht="15" hidden="false" customHeight="false" outlineLevel="0" collapsed="false">
      <c r="A148" s="38" t="n">
        <v>136</v>
      </c>
      <c r="B148" s="27" t="n">
        <v>47347</v>
      </c>
      <c r="C148" s="39" t="n">
        <v>687500000</v>
      </c>
      <c r="D148" s="39" t="n">
        <v>9312760.41666667</v>
      </c>
      <c r="E148" s="39" t="n">
        <v>62500000</v>
      </c>
      <c r="F148" s="39" t="n">
        <v>71812760.4166667</v>
      </c>
      <c r="G148" s="39" t="n">
        <v>625000000</v>
      </c>
      <c r="H148" s="33" t="n">
        <f aca="false">J147</f>
        <v>687500000</v>
      </c>
      <c r="I148" s="33" t="n">
        <f aca="false">H148*N148</f>
        <v>9312760.41666666</v>
      </c>
      <c r="J148" s="33" t="n">
        <f aca="false">H148-E148</f>
        <v>625000000</v>
      </c>
      <c r="K148" s="33" t="n">
        <f aca="false">D148-I148</f>
        <v>0</v>
      </c>
      <c r="L148" s="33" t="n">
        <f aca="false">G148-J148</f>
        <v>0</v>
      </c>
      <c r="M148" s="33" t="n">
        <f aca="false">F148</f>
        <v>71812760.4166667</v>
      </c>
      <c r="N148" s="64" t="n">
        <v>0.0135458333333333</v>
      </c>
      <c r="O148" s="48" t="n">
        <f aca="false">IF(AND(B148&gt;=DATE(2026,1,1),B148&lt;=Resumen!$C$5),1,0)</f>
        <v>0</v>
      </c>
      <c r="P148" s="48" t="n">
        <f aca="false">IF(AND(B148&gt;Resumen!$C$5,B148&lt;=DATE(2027,7,31)),1,0)</f>
        <v>0</v>
      </c>
    </row>
    <row r="149" customFormat="false" ht="15" hidden="false" customHeight="false" outlineLevel="0" collapsed="false">
      <c r="A149" s="38" t="n">
        <v>137</v>
      </c>
      <c r="B149" s="27" t="n">
        <v>47378</v>
      </c>
      <c r="C149" s="39" t="n">
        <v>625000000</v>
      </c>
      <c r="D149" s="39" t="n">
        <v>8466145.83333333</v>
      </c>
      <c r="E149" s="39" t="n">
        <v>62500000</v>
      </c>
      <c r="F149" s="39" t="n">
        <v>70966145.8333333</v>
      </c>
      <c r="G149" s="39" t="n">
        <v>562500000</v>
      </c>
      <c r="H149" s="33" t="n">
        <f aca="false">J148</f>
        <v>625000000</v>
      </c>
      <c r="I149" s="33" t="n">
        <f aca="false">H149*N149</f>
        <v>8466145.83333333</v>
      </c>
      <c r="J149" s="33" t="n">
        <f aca="false">H149-E149</f>
        <v>562500000</v>
      </c>
      <c r="K149" s="33" t="n">
        <f aca="false">D149-I149</f>
        <v>0</v>
      </c>
      <c r="L149" s="33" t="n">
        <f aca="false">G149-J149</f>
        <v>0</v>
      </c>
      <c r="M149" s="33" t="n">
        <f aca="false">F149</f>
        <v>70966145.8333333</v>
      </c>
      <c r="N149" s="64" t="n">
        <v>0.0135458333333333</v>
      </c>
      <c r="O149" s="48" t="n">
        <f aca="false">IF(AND(B149&gt;=DATE(2026,1,1),B149&lt;=Resumen!$C$5),1,0)</f>
        <v>0</v>
      </c>
      <c r="P149" s="48" t="n">
        <f aca="false">IF(AND(B149&gt;Resumen!$C$5,B149&lt;=DATE(2027,7,31)),1,0)</f>
        <v>0</v>
      </c>
    </row>
    <row r="150" customFormat="false" ht="15" hidden="false" customHeight="false" outlineLevel="0" collapsed="false">
      <c r="A150" s="38" t="n">
        <v>138</v>
      </c>
      <c r="B150" s="27" t="n">
        <v>47408</v>
      </c>
      <c r="C150" s="39" t="n">
        <v>562500000</v>
      </c>
      <c r="D150" s="39" t="n">
        <v>7619531.25</v>
      </c>
      <c r="E150" s="39" t="n">
        <v>62500000</v>
      </c>
      <c r="F150" s="39" t="n">
        <v>70119531.25</v>
      </c>
      <c r="G150" s="39" t="n">
        <v>500000000</v>
      </c>
      <c r="H150" s="33" t="n">
        <f aca="false">J149</f>
        <v>562500000</v>
      </c>
      <c r="I150" s="33" t="n">
        <f aca="false">H150*N150</f>
        <v>7619531.25</v>
      </c>
      <c r="J150" s="33" t="n">
        <f aca="false">H150-E150</f>
        <v>500000000</v>
      </c>
      <c r="K150" s="33" t="n">
        <f aca="false">D150-I150</f>
        <v>0</v>
      </c>
      <c r="L150" s="33" t="n">
        <f aca="false">G150-J150</f>
        <v>0</v>
      </c>
      <c r="M150" s="33" t="n">
        <f aca="false">F150</f>
        <v>70119531.25</v>
      </c>
      <c r="N150" s="64" t="n">
        <v>0.0135458333333333</v>
      </c>
      <c r="O150" s="48" t="n">
        <f aca="false">IF(AND(B150&gt;=DATE(2026,1,1),B150&lt;=Resumen!$C$5),1,0)</f>
        <v>0</v>
      </c>
      <c r="P150" s="48" t="n">
        <f aca="false">IF(AND(B150&gt;Resumen!$C$5,B150&lt;=DATE(2027,7,31)),1,0)</f>
        <v>0</v>
      </c>
    </row>
    <row r="151" customFormat="false" ht="15" hidden="false" customHeight="false" outlineLevel="0" collapsed="false">
      <c r="A151" s="38" t="n">
        <v>139</v>
      </c>
      <c r="B151" s="27" t="n">
        <v>47439</v>
      </c>
      <c r="C151" s="39" t="n">
        <v>500000000</v>
      </c>
      <c r="D151" s="39" t="n">
        <v>6772916.66666667</v>
      </c>
      <c r="E151" s="39" t="n">
        <v>62500000</v>
      </c>
      <c r="F151" s="39" t="n">
        <v>69272916.6666667</v>
      </c>
      <c r="G151" s="39" t="n">
        <v>437500000</v>
      </c>
      <c r="H151" s="33" t="n">
        <f aca="false">J150</f>
        <v>500000000</v>
      </c>
      <c r="I151" s="33" t="n">
        <f aca="false">H151*N151</f>
        <v>6772916.66666667</v>
      </c>
      <c r="J151" s="33" t="n">
        <f aca="false">H151-E151</f>
        <v>437500000</v>
      </c>
      <c r="K151" s="33" t="n">
        <f aca="false">D151-I151</f>
        <v>0</v>
      </c>
      <c r="L151" s="33" t="n">
        <f aca="false">G151-J151</f>
        <v>0</v>
      </c>
      <c r="M151" s="33" t="n">
        <f aca="false">F151</f>
        <v>69272916.6666667</v>
      </c>
      <c r="N151" s="64" t="n">
        <v>0.0135458333333333</v>
      </c>
      <c r="O151" s="48" t="n">
        <f aca="false">IF(AND(B151&gt;=DATE(2026,1,1),B151&lt;=Resumen!$C$5),1,0)</f>
        <v>0</v>
      </c>
      <c r="P151" s="48" t="n">
        <f aca="false">IF(AND(B151&gt;Resumen!$C$5,B151&lt;=DATE(2027,7,31)),1,0)</f>
        <v>0</v>
      </c>
    </row>
    <row r="152" customFormat="false" ht="15" hidden="false" customHeight="false" outlineLevel="0" collapsed="false">
      <c r="A152" s="38" t="n">
        <v>140</v>
      </c>
      <c r="B152" s="27" t="n">
        <v>47469</v>
      </c>
      <c r="C152" s="39" t="n">
        <v>437500000</v>
      </c>
      <c r="D152" s="39" t="n">
        <v>5926302.08333333</v>
      </c>
      <c r="E152" s="39" t="n">
        <v>62500000</v>
      </c>
      <c r="F152" s="39" t="n">
        <v>68426302.0833333</v>
      </c>
      <c r="G152" s="39" t="n">
        <v>375000000</v>
      </c>
      <c r="H152" s="33" t="n">
        <f aca="false">J151</f>
        <v>437500000</v>
      </c>
      <c r="I152" s="33" t="n">
        <f aca="false">H152*N152</f>
        <v>5926302.08333333</v>
      </c>
      <c r="J152" s="33" t="n">
        <f aca="false">H152-E152</f>
        <v>375000000</v>
      </c>
      <c r="K152" s="33" t="n">
        <f aca="false">D152-I152</f>
        <v>0</v>
      </c>
      <c r="L152" s="33" t="n">
        <f aca="false">G152-J152</f>
        <v>0</v>
      </c>
      <c r="M152" s="33" t="n">
        <f aca="false">F152</f>
        <v>68426302.0833333</v>
      </c>
      <c r="N152" s="64" t="n">
        <v>0.0135458333333333</v>
      </c>
      <c r="O152" s="48" t="n">
        <f aca="false">IF(AND(B152&gt;=DATE(2026,1,1),B152&lt;=Resumen!$C$5),1,0)</f>
        <v>0</v>
      </c>
      <c r="P152" s="48" t="n">
        <f aca="false">IF(AND(B152&gt;Resumen!$C$5,B152&lt;=DATE(2027,7,31)),1,0)</f>
        <v>0</v>
      </c>
    </row>
    <row r="153" customFormat="false" ht="15" hidden="false" customHeight="false" outlineLevel="0" collapsed="false">
      <c r="A153" s="38" t="n">
        <v>141</v>
      </c>
      <c r="B153" s="27" t="n">
        <v>47500</v>
      </c>
      <c r="C153" s="39" t="n">
        <v>375000000</v>
      </c>
      <c r="D153" s="39" t="n">
        <v>5079687.5</v>
      </c>
      <c r="E153" s="39" t="n">
        <v>62500000</v>
      </c>
      <c r="F153" s="39" t="n">
        <v>67579687.5</v>
      </c>
      <c r="G153" s="39" t="n">
        <v>312500000</v>
      </c>
      <c r="H153" s="33" t="n">
        <f aca="false">J152</f>
        <v>375000000</v>
      </c>
      <c r="I153" s="33" t="n">
        <f aca="false">H153*N153</f>
        <v>5079687.5</v>
      </c>
      <c r="J153" s="33" t="n">
        <f aca="false">H153-E153</f>
        <v>312500000</v>
      </c>
      <c r="K153" s="33" t="n">
        <f aca="false">D153-I153</f>
        <v>0</v>
      </c>
      <c r="L153" s="33" t="n">
        <f aca="false">G153-J153</f>
        <v>0</v>
      </c>
      <c r="M153" s="33" t="n">
        <f aca="false">F153</f>
        <v>67579687.5</v>
      </c>
      <c r="N153" s="64" t="n">
        <v>0.0135458333333333</v>
      </c>
      <c r="O153" s="48" t="n">
        <f aca="false">IF(AND(B153&gt;=DATE(2026,1,1),B153&lt;=Resumen!$C$5),1,0)</f>
        <v>0</v>
      </c>
      <c r="P153" s="48" t="n">
        <f aca="false">IF(AND(B153&gt;Resumen!$C$5,B153&lt;=DATE(2027,7,31)),1,0)</f>
        <v>0</v>
      </c>
    </row>
    <row r="154" customFormat="false" ht="15" hidden="false" customHeight="false" outlineLevel="0" collapsed="false">
      <c r="A154" s="38" t="n">
        <v>142</v>
      </c>
      <c r="B154" s="27" t="n">
        <v>47531</v>
      </c>
      <c r="C154" s="39" t="n">
        <v>312500000</v>
      </c>
      <c r="D154" s="39" t="n">
        <v>4233072.91666667</v>
      </c>
      <c r="E154" s="39" t="n">
        <v>62500000</v>
      </c>
      <c r="F154" s="39" t="n">
        <v>66733072.9166667</v>
      </c>
      <c r="G154" s="39" t="n">
        <v>250000000</v>
      </c>
      <c r="H154" s="33" t="n">
        <f aca="false">J153</f>
        <v>312500000</v>
      </c>
      <c r="I154" s="33" t="n">
        <f aca="false">H154*N154</f>
        <v>4233072.91666667</v>
      </c>
      <c r="J154" s="33" t="n">
        <f aca="false">H154-E154</f>
        <v>250000000</v>
      </c>
      <c r="K154" s="33" t="n">
        <f aca="false">D154-I154</f>
        <v>0</v>
      </c>
      <c r="L154" s="33" t="n">
        <f aca="false">G154-J154</f>
        <v>0</v>
      </c>
      <c r="M154" s="33" t="n">
        <f aca="false">F154</f>
        <v>66733072.9166667</v>
      </c>
      <c r="N154" s="64" t="n">
        <v>0.0135458333333333</v>
      </c>
      <c r="O154" s="48" t="n">
        <f aca="false">IF(AND(B154&gt;=DATE(2026,1,1),B154&lt;=Resumen!$C$5),1,0)</f>
        <v>0</v>
      </c>
      <c r="P154" s="48" t="n">
        <f aca="false">IF(AND(B154&gt;Resumen!$C$5,B154&lt;=DATE(2027,7,31)),1,0)</f>
        <v>0</v>
      </c>
    </row>
    <row r="155" customFormat="false" ht="15" hidden="false" customHeight="false" outlineLevel="0" collapsed="false">
      <c r="A155" s="38" t="n">
        <v>143</v>
      </c>
      <c r="B155" s="27" t="n">
        <v>47559</v>
      </c>
      <c r="C155" s="39" t="n">
        <v>250000000</v>
      </c>
      <c r="D155" s="39" t="n">
        <v>3386458.33333333</v>
      </c>
      <c r="E155" s="39" t="n">
        <v>62500000</v>
      </c>
      <c r="F155" s="39" t="n">
        <v>65886458.3333333</v>
      </c>
      <c r="G155" s="39" t="n">
        <v>187500000</v>
      </c>
      <c r="H155" s="33" t="n">
        <f aca="false">J154</f>
        <v>250000000</v>
      </c>
      <c r="I155" s="33" t="n">
        <f aca="false">H155*N155</f>
        <v>3386458.33333333</v>
      </c>
      <c r="J155" s="33" t="n">
        <f aca="false">H155-E155</f>
        <v>187500000</v>
      </c>
      <c r="K155" s="33" t="n">
        <f aca="false">D155-I155</f>
        <v>0</v>
      </c>
      <c r="L155" s="33" t="n">
        <f aca="false">G155-J155</f>
        <v>0</v>
      </c>
      <c r="M155" s="33" t="n">
        <f aca="false">F155</f>
        <v>65886458.3333333</v>
      </c>
      <c r="N155" s="64" t="n">
        <v>0.0135458333333333</v>
      </c>
      <c r="O155" s="48" t="n">
        <f aca="false">IF(AND(B155&gt;=DATE(2026,1,1),B155&lt;=Resumen!$C$5),1,0)</f>
        <v>0</v>
      </c>
      <c r="P155" s="48" t="n">
        <f aca="false">IF(AND(B155&gt;Resumen!$C$5,B155&lt;=DATE(2027,7,31)),1,0)</f>
        <v>0</v>
      </c>
    </row>
    <row r="156" customFormat="false" ht="15" hidden="false" customHeight="false" outlineLevel="0" collapsed="false">
      <c r="A156" s="38" t="n">
        <v>144</v>
      </c>
      <c r="B156" s="27" t="n">
        <v>47590</v>
      </c>
      <c r="C156" s="39" t="n">
        <v>187500000</v>
      </c>
      <c r="D156" s="39" t="n">
        <v>2539843.75</v>
      </c>
      <c r="E156" s="39" t="n">
        <v>62500000</v>
      </c>
      <c r="F156" s="39" t="n">
        <v>65039843.75</v>
      </c>
      <c r="G156" s="39" t="n">
        <v>125000000</v>
      </c>
      <c r="H156" s="33" t="n">
        <f aca="false">J155</f>
        <v>187500000</v>
      </c>
      <c r="I156" s="33" t="n">
        <f aca="false">H156*N156</f>
        <v>2539843.75</v>
      </c>
      <c r="J156" s="33" t="n">
        <f aca="false">H156-E156</f>
        <v>125000000</v>
      </c>
      <c r="K156" s="33" t="n">
        <f aca="false">D156-I156</f>
        <v>0</v>
      </c>
      <c r="L156" s="33" t="n">
        <f aca="false">G156-J156</f>
        <v>0</v>
      </c>
      <c r="M156" s="33" t="n">
        <f aca="false">F156</f>
        <v>65039843.75</v>
      </c>
      <c r="N156" s="64" t="n">
        <v>0.0135458333333333</v>
      </c>
      <c r="O156" s="48" t="n">
        <f aca="false">IF(AND(B156&gt;=DATE(2026,1,1),B156&lt;=Resumen!$C$5),1,0)</f>
        <v>0</v>
      </c>
      <c r="P156" s="48" t="n">
        <f aca="false">IF(AND(B156&gt;Resumen!$C$5,B156&lt;=DATE(2027,7,31)),1,0)</f>
        <v>0</v>
      </c>
    </row>
    <row r="157" customFormat="false" ht="15" hidden="false" customHeight="false" outlineLevel="0" collapsed="false">
      <c r="A157" s="38" t="n">
        <v>145</v>
      </c>
      <c r="B157" s="27" t="n">
        <v>47620</v>
      </c>
      <c r="C157" s="39" t="n">
        <v>125000000</v>
      </c>
      <c r="D157" s="39" t="n">
        <v>1693229.16666667</v>
      </c>
      <c r="E157" s="39" t="n">
        <v>62500000</v>
      </c>
      <c r="F157" s="39" t="n">
        <v>64193229.1666667</v>
      </c>
      <c r="G157" s="39" t="n">
        <v>62500000</v>
      </c>
      <c r="H157" s="33" t="n">
        <f aca="false">J156</f>
        <v>125000000</v>
      </c>
      <c r="I157" s="33" t="n">
        <f aca="false">H157*N157</f>
        <v>1693229.16666667</v>
      </c>
      <c r="J157" s="33" t="n">
        <f aca="false">H157-E157</f>
        <v>62500000</v>
      </c>
      <c r="K157" s="33" t="n">
        <f aca="false">D157-I157</f>
        <v>0</v>
      </c>
      <c r="L157" s="33" t="n">
        <f aca="false">G157-J157</f>
        <v>0</v>
      </c>
      <c r="M157" s="33" t="n">
        <f aca="false">F157</f>
        <v>64193229.1666667</v>
      </c>
      <c r="N157" s="64" t="n">
        <v>0.0135458333333333</v>
      </c>
      <c r="O157" s="48" t="n">
        <f aca="false">IF(AND(B157&gt;=DATE(2026,1,1),B157&lt;=Resumen!$C$5),1,0)</f>
        <v>0</v>
      </c>
      <c r="P157" s="48" t="n">
        <f aca="false">IF(AND(B157&gt;Resumen!$C$5,B157&lt;=DATE(2027,7,31)),1,0)</f>
        <v>0</v>
      </c>
    </row>
    <row r="158" customFormat="false" ht="15" hidden="false" customHeight="false" outlineLevel="0" collapsed="false">
      <c r="A158" s="38" t="n">
        <v>146</v>
      </c>
      <c r="B158" s="27" t="n">
        <v>47651</v>
      </c>
      <c r="C158" s="39" t="n">
        <v>62500000</v>
      </c>
      <c r="D158" s="39" t="n">
        <v>846614.583333333</v>
      </c>
      <c r="E158" s="39" t="n">
        <v>62500000</v>
      </c>
      <c r="F158" s="39" t="n">
        <v>63346614.5833333</v>
      </c>
      <c r="G158" s="39" t="n">
        <v>0</v>
      </c>
      <c r="H158" s="33" t="n">
        <f aca="false">J157</f>
        <v>62500000</v>
      </c>
      <c r="I158" s="33" t="n">
        <f aca="false">H158*N158</f>
        <v>846614.583333333</v>
      </c>
      <c r="J158" s="33" t="n">
        <f aca="false">H158-E158</f>
        <v>0</v>
      </c>
      <c r="K158" s="33" t="n">
        <f aca="false">D158-I158</f>
        <v>0</v>
      </c>
      <c r="L158" s="33" t="n">
        <f aca="false">G158-J158</f>
        <v>0</v>
      </c>
      <c r="M158" s="33" t="n">
        <f aca="false">F158</f>
        <v>63346614.5833333</v>
      </c>
      <c r="N158" s="64" t="n">
        <v>0.0135458333333333</v>
      </c>
      <c r="O158" s="48" t="n">
        <f aca="false">IF(AND(B158&gt;=DATE(2026,1,1),B158&lt;=Resumen!$C$5),1,0)</f>
        <v>0</v>
      </c>
      <c r="P158" s="48" t="n">
        <f aca="false">IF(AND(B158&gt;Resumen!$C$5,B158&lt;=DATE(2027,7,31)),1,0)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1802</v>
      </c>
    </row>
    <row r="2" customFormat="false" ht="15" hidden="false" customHeight="false" outlineLevel="0" collapsed="false">
      <c r="A2" s="24" t="s">
        <v>1803</v>
      </c>
    </row>
    <row r="3" customFormat="false" ht="15" hidden="false" customHeight="false" outlineLevel="0" collapsed="false">
      <c r="A3" s="34" t="s">
        <v>1748</v>
      </c>
      <c r="C3" s="38" t="s">
        <v>1804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2186000000</v>
      </c>
      <c r="F4" s="26" t="s">
        <v>1752</v>
      </c>
      <c r="I4" s="57" t="n">
        <f aca="false">_xlfn.MAXIFS($B$12:$B$72,$B$12:$B$72,"&lt;="&amp;Resumen!$C$5)</f>
        <v>46224</v>
      </c>
    </row>
    <row r="5" customFormat="false" ht="15" hidden="false" customHeight="false" outlineLevel="0" collapsed="false">
      <c r="A5" s="34" t="s">
        <v>1753</v>
      </c>
      <c r="C5" s="27" t="n">
        <v>45098</v>
      </c>
      <c r="F5" s="26" t="s">
        <v>1754</v>
      </c>
      <c r="I5" s="58" t="n">
        <f aca="false">SUMIFS($G$12:$G$72,$B$12:$B$72,I4)</f>
        <v>1457333336</v>
      </c>
    </row>
    <row r="6" customFormat="false" ht="15" hidden="false" customHeight="false" outlineLevel="0" collapsed="false">
      <c r="A6" s="34" t="s">
        <v>1755</v>
      </c>
      <c r="C6" s="38" t="s">
        <v>1805</v>
      </c>
      <c r="F6" s="26" t="s">
        <v>1757</v>
      </c>
      <c r="I6" s="33" t="n">
        <f aca="false">SUMIFS($J$12:$J$72,$B$12:$B$72,I4)</f>
        <v>1457333336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SUMIFS($D$12:$D$72,$O$12:$O$72,1)</f>
        <v>140132012.200862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IFERROR(IRR($M$12:$M$72),"N/A")</f>
        <v>N/A</v>
      </c>
      <c r="F8" s="26" t="s">
        <v>1761</v>
      </c>
      <c r="I8" s="33" t="n">
        <f aca="false">SUMIFS($E$12:$E$72,$P$12:$P$72,1)</f>
        <v>728666668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SUMPRODUCT(MAX(ABS($L$12:$L$72)))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45098</v>
      </c>
      <c r="C12" s="39" t="n">
        <v>2186000000</v>
      </c>
      <c r="D12" s="39" t="n">
        <v>0</v>
      </c>
      <c r="E12" s="39" t="n">
        <v>0</v>
      </c>
      <c r="F12" s="39" t="n">
        <v>0</v>
      </c>
      <c r="G12" s="39" t="n">
        <v>2186000000</v>
      </c>
      <c r="H12" s="33" t="n">
        <f aca="false">C12</f>
        <v>2186000000</v>
      </c>
      <c r="I12" s="33" t="n">
        <f aca="false">H12*N12</f>
        <v>29973703.3333333</v>
      </c>
      <c r="J12" s="33" t="n">
        <f aca="false">H12-E12</f>
        <v>2186000000</v>
      </c>
      <c r="K12" s="33" t="n">
        <f aca="false">D12-I12</f>
        <v>-29973703.3333333</v>
      </c>
      <c r="L12" s="33" t="n">
        <f aca="false">G12-J12</f>
        <v>0</v>
      </c>
      <c r="M12" s="33" t="n">
        <f aca="false">-$C$4</f>
        <v>-2186000000</v>
      </c>
      <c r="N12" s="64" t="n">
        <v>0.0137116666666667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45128</v>
      </c>
      <c r="C13" s="39" t="n">
        <v>2186000000</v>
      </c>
      <c r="D13" s="39" t="n">
        <v>29715026.6666667</v>
      </c>
      <c r="E13" s="39" t="n">
        <v>0</v>
      </c>
      <c r="F13" s="39" t="n">
        <v>29715026.6666667</v>
      </c>
      <c r="G13" s="39" t="n">
        <v>2186000000</v>
      </c>
      <c r="H13" s="33" t="n">
        <f aca="false">J12</f>
        <v>2186000000</v>
      </c>
      <c r="I13" s="33" t="n">
        <f aca="false">H13*N13</f>
        <v>29715026.6666667</v>
      </c>
      <c r="J13" s="33" t="n">
        <f aca="false">H13-E13</f>
        <v>2186000000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29715026.6666667</v>
      </c>
      <c r="N13" s="64" t="n">
        <v>0.0135933333333333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45159</v>
      </c>
      <c r="C14" s="39" t="n">
        <v>2186000000</v>
      </c>
      <c r="D14" s="39" t="n">
        <v>29713205</v>
      </c>
      <c r="E14" s="39" t="n">
        <v>0</v>
      </c>
      <c r="F14" s="39" t="n">
        <v>29713205</v>
      </c>
      <c r="G14" s="39" t="n">
        <v>2186000000</v>
      </c>
      <c r="H14" s="33" t="n">
        <f aca="false">J13</f>
        <v>2186000000</v>
      </c>
      <c r="I14" s="33" t="n">
        <f aca="false">H14*N14</f>
        <v>29713205</v>
      </c>
      <c r="J14" s="33" t="n">
        <f aca="false">H14-E14</f>
        <v>2186000000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29713205</v>
      </c>
      <c r="N14" s="64" t="n">
        <v>0.0135925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45190</v>
      </c>
      <c r="C15" s="39" t="n">
        <v>2186000000</v>
      </c>
      <c r="D15" s="39" t="n">
        <v>28264980</v>
      </c>
      <c r="E15" s="39" t="n">
        <v>0</v>
      </c>
      <c r="F15" s="39" t="n">
        <v>28264980</v>
      </c>
      <c r="G15" s="39" t="n">
        <v>2186000000</v>
      </c>
      <c r="H15" s="33" t="n">
        <f aca="false">J14</f>
        <v>2186000000</v>
      </c>
      <c r="I15" s="33" t="n">
        <f aca="false">H15*N15</f>
        <v>28264980</v>
      </c>
      <c r="J15" s="33" t="n">
        <f aca="false">H15-E15</f>
        <v>2186000000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28264980</v>
      </c>
      <c r="N15" s="64" t="n">
        <v>0.01293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45220</v>
      </c>
      <c r="C16" s="39" t="n">
        <v>2186000000</v>
      </c>
      <c r="D16" s="39" t="n">
        <v>28252228.3333333</v>
      </c>
      <c r="E16" s="39" t="n">
        <v>0</v>
      </c>
      <c r="F16" s="39" t="n">
        <v>28252228.3333333</v>
      </c>
      <c r="G16" s="39" t="n">
        <v>2186000000</v>
      </c>
      <c r="H16" s="33" t="n">
        <f aca="false">J15</f>
        <v>2186000000</v>
      </c>
      <c r="I16" s="33" t="n">
        <f aca="false">H16*N16</f>
        <v>28252228.3333333</v>
      </c>
      <c r="J16" s="33" t="n">
        <f aca="false">H16-E16</f>
        <v>2186000000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28252228.3333333</v>
      </c>
      <c r="N16" s="64" t="n">
        <v>0.0129241666666667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45251</v>
      </c>
      <c r="C17" s="39" t="n">
        <v>2186000000</v>
      </c>
      <c r="D17" s="39" t="n">
        <v>27960761.6666667</v>
      </c>
      <c r="E17" s="39" t="n">
        <v>0</v>
      </c>
      <c r="F17" s="39" t="n">
        <v>27960761.6666667</v>
      </c>
      <c r="G17" s="39" t="n">
        <v>2186000000</v>
      </c>
      <c r="H17" s="33" t="n">
        <f aca="false">J16</f>
        <v>2186000000</v>
      </c>
      <c r="I17" s="33" t="n">
        <f aca="false">H17*N17</f>
        <v>27960761.6666667</v>
      </c>
      <c r="J17" s="33" t="n">
        <f aca="false">H17-E17</f>
        <v>2186000000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27960761.6666667</v>
      </c>
      <c r="N17" s="64" t="n">
        <v>0.0127908333333333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45281</v>
      </c>
      <c r="C18" s="39" t="n">
        <v>2186000000</v>
      </c>
      <c r="D18" s="39" t="n">
        <v>27689333.3333333</v>
      </c>
      <c r="E18" s="39" t="n">
        <v>0</v>
      </c>
      <c r="F18" s="39" t="n">
        <v>27689333.3333333</v>
      </c>
      <c r="G18" s="39" t="n">
        <v>2186000000</v>
      </c>
      <c r="H18" s="33" t="n">
        <f aca="false">J17</f>
        <v>2186000000</v>
      </c>
      <c r="I18" s="33" t="n">
        <f aca="false">H18*N18</f>
        <v>27689333.3333333</v>
      </c>
      <c r="J18" s="33" t="n">
        <f aca="false">H18-E18</f>
        <v>2186000000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27689333.3333333</v>
      </c>
      <c r="N18" s="64" t="n">
        <v>0.0126666666666667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45312</v>
      </c>
      <c r="C19" s="39" t="n">
        <v>2186000000</v>
      </c>
      <c r="D19" s="39" t="n">
        <v>27299496.6666667</v>
      </c>
      <c r="E19" s="39" t="n">
        <v>0</v>
      </c>
      <c r="F19" s="39" t="n">
        <v>27299496.6666667</v>
      </c>
      <c r="G19" s="39" t="n">
        <v>2186000000</v>
      </c>
      <c r="H19" s="33" t="n">
        <f aca="false">J18</f>
        <v>2186000000</v>
      </c>
      <c r="I19" s="33" t="n">
        <f aca="false">H19*N19</f>
        <v>27299496.6666667</v>
      </c>
      <c r="J19" s="33" t="n">
        <f aca="false">H19-E19</f>
        <v>2186000000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27299496.6666667</v>
      </c>
      <c r="N19" s="64" t="n">
        <v>0.0124883333333333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45343</v>
      </c>
      <c r="C20" s="39" t="n">
        <v>2186000000</v>
      </c>
      <c r="D20" s="39" t="n">
        <v>28101030</v>
      </c>
      <c r="E20" s="39" t="n">
        <v>0</v>
      </c>
      <c r="F20" s="39" t="n">
        <v>28101030</v>
      </c>
      <c r="G20" s="39" t="n">
        <v>2186000000</v>
      </c>
      <c r="H20" s="33" t="n">
        <f aca="false">J19</f>
        <v>2186000000</v>
      </c>
      <c r="I20" s="33" t="n">
        <f aca="false">H20*N20</f>
        <v>28101030</v>
      </c>
      <c r="J20" s="33" t="n">
        <f aca="false">H20-E20</f>
        <v>2186000000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28101030</v>
      </c>
      <c r="N20" s="64" t="n">
        <v>0.012855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45372</v>
      </c>
      <c r="C21" s="39" t="n">
        <v>2186000000</v>
      </c>
      <c r="D21" s="39" t="n">
        <v>26250216.6666667</v>
      </c>
      <c r="E21" s="39" t="n">
        <v>0</v>
      </c>
      <c r="F21" s="39" t="n">
        <v>26250216.6666667</v>
      </c>
      <c r="G21" s="39" t="n">
        <v>2186000000</v>
      </c>
      <c r="H21" s="33" t="n">
        <f aca="false">J20</f>
        <v>2186000000</v>
      </c>
      <c r="I21" s="33" t="n">
        <f aca="false">H21*N21</f>
        <v>26250216.6666667</v>
      </c>
      <c r="J21" s="33" t="n">
        <f aca="false">H21-E21</f>
        <v>2186000000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26250216.6666667</v>
      </c>
      <c r="N21" s="64" t="n">
        <v>0.0120083333333333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45403</v>
      </c>
      <c r="C22" s="39" t="n">
        <v>2186000000</v>
      </c>
      <c r="D22" s="39" t="n">
        <v>26887800</v>
      </c>
      <c r="E22" s="39" t="n">
        <v>0</v>
      </c>
      <c r="F22" s="39" t="n">
        <v>26887800</v>
      </c>
      <c r="G22" s="39" t="n">
        <v>2186000000</v>
      </c>
      <c r="H22" s="33" t="n">
        <f aca="false">J21</f>
        <v>2186000000</v>
      </c>
      <c r="I22" s="33" t="n">
        <f aca="false">H22*N22</f>
        <v>26887800</v>
      </c>
      <c r="J22" s="33" t="n">
        <f aca="false">H22-E22</f>
        <v>2186000000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26887800</v>
      </c>
      <c r="N22" s="64" t="n">
        <v>0.0123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45433</v>
      </c>
      <c r="C23" s="39" t="n">
        <v>2186000000</v>
      </c>
      <c r="D23" s="39" t="n">
        <v>26171885</v>
      </c>
      <c r="E23" s="39" t="n">
        <v>0</v>
      </c>
      <c r="F23" s="39" t="n">
        <v>26171885</v>
      </c>
      <c r="G23" s="39" t="n">
        <v>2186000000</v>
      </c>
      <c r="H23" s="33" t="n">
        <f aca="false">J22</f>
        <v>2186000000</v>
      </c>
      <c r="I23" s="33" t="n">
        <f aca="false">H23*N23</f>
        <v>26171885</v>
      </c>
      <c r="J23" s="33" t="n">
        <f aca="false">H23-E23</f>
        <v>2186000000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26171885</v>
      </c>
      <c r="N23" s="64" t="n">
        <v>0.0119725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45464</v>
      </c>
      <c r="C24" s="39" t="n">
        <v>2186000000</v>
      </c>
      <c r="D24" s="39" t="n">
        <v>24519633.3333333</v>
      </c>
      <c r="E24" s="39" t="n">
        <v>0</v>
      </c>
      <c r="F24" s="39" t="n">
        <v>24519633.3333333</v>
      </c>
      <c r="G24" s="39" t="n">
        <v>2186000000</v>
      </c>
      <c r="H24" s="33" t="n">
        <f aca="false">J23</f>
        <v>2186000000</v>
      </c>
      <c r="I24" s="33" t="n">
        <f aca="false">H24*N24</f>
        <v>24519633.3333333</v>
      </c>
      <c r="J24" s="33" t="n">
        <f aca="false">H24-E24</f>
        <v>2186000000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24519633.3333333</v>
      </c>
      <c r="N24" s="64" t="n">
        <v>0.0112166666666667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45494</v>
      </c>
      <c r="C25" s="39" t="n">
        <v>2186000000</v>
      </c>
      <c r="D25" s="39" t="n">
        <v>24483200</v>
      </c>
      <c r="E25" s="39" t="n">
        <v>0</v>
      </c>
      <c r="F25" s="39" t="n">
        <v>24483200</v>
      </c>
      <c r="G25" s="39" t="n">
        <v>2186000000</v>
      </c>
      <c r="H25" s="33" t="n">
        <f aca="false">J24</f>
        <v>2186000000</v>
      </c>
      <c r="I25" s="33" t="n">
        <f aca="false">H25*N25</f>
        <v>24483200</v>
      </c>
      <c r="J25" s="33" t="n">
        <f aca="false">H25-E25</f>
        <v>2186000000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24483200</v>
      </c>
      <c r="N25" s="64" t="n">
        <v>0.0112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45525</v>
      </c>
      <c r="C26" s="39" t="n">
        <v>2186000000</v>
      </c>
      <c r="D26" s="39" t="n">
        <v>24372078.3333333</v>
      </c>
      <c r="E26" s="39" t="n">
        <v>0</v>
      </c>
      <c r="F26" s="39" t="n">
        <v>24372078.3333333</v>
      </c>
      <c r="G26" s="39" t="n">
        <v>2186000000</v>
      </c>
      <c r="H26" s="33" t="n">
        <f aca="false">J25</f>
        <v>2186000000</v>
      </c>
      <c r="I26" s="33" t="n">
        <f aca="false">H26*N26</f>
        <v>24372078.3333333</v>
      </c>
      <c r="J26" s="33" t="n">
        <f aca="false">H26-E26</f>
        <v>2186000000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24372078.3333333</v>
      </c>
      <c r="N26" s="64" t="n">
        <v>0.0111491666666667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45556</v>
      </c>
      <c r="C27" s="39" t="n">
        <v>2186000000</v>
      </c>
      <c r="D27" s="39" t="n">
        <v>22743508.3333333</v>
      </c>
      <c r="E27" s="39" t="n">
        <v>0</v>
      </c>
      <c r="F27" s="39" t="n">
        <v>22743508.3333333</v>
      </c>
      <c r="G27" s="39" t="n">
        <v>2186000000</v>
      </c>
      <c r="H27" s="33" t="n">
        <f aca="false">J26</f>
        <v>2186000000</v>
      </c>
      <c r="I27" s="33" t="n">
        <f aca="false">H27*N27</f>
        <v>22743508.3333333</v>
      </c>
      <c r="J27" s="33" t="n">
        <f aca="false">H27-E27</f>
        <v>2186000000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22743508.3333333</v>
      </c>
      <c r="N27" s="64" t="n">
        <v>0.0104041666666667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45586</v>
      </c>
      <c r="C28" s="39" t="n">
        <v>2186000000</v>
      </c>
      <c r="D28" s="39" t="n">
        <v>22233441.6666667</v>
      </c>
      <c r="E28" s="39" t="n">
        <v>0</v>
      </c>
      <c r="F28" s="39" t="n">
        <v>22233441.6666667</v>
      </c>
      <c r="G28" s="39" t="n">
        <v>2186000000</v>
      </c>
      <c r="H28" s="33" t="n">
        <f aca="false">J27</f>
        <v>2186000000</v>
      </c>
      <c r="I28" s="33" t="n">
        <f aca="false">H28*N28</f>
        <v>22233441.6666667</v>
      </c>
      <c r="J28" s="33" t="n">
        <f aca="false">H28-E28</f>
        <v>2186000000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22233441.6666667</v>
      </c>
      <c r="N28" s="64" t="n">
        <v>0.0101708333333333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45617</v>
      </c>
      <c r="C29" s="39" t="n">
        <v>2186000000</v>
      </c>
      <c r="D29" s="39" t="n">
        <v>21901898.3333333</v>
      </c>
      <c r="E29" s="39" t="n">
        <v>0</v>
      </c>
      <c r="F29" s="39" t="n">
        <v>21901898.3333333</v>
      </c>
      <c r="G29" s="39" t="n">
        <v>2186000000</v>
      </c>
      <c r="H29" s="33" t="n">
        <f aca="false">J28</f>
        <v>2186000000</v>
      </c>
      <c r="I29" s="33" t="n">
        <f aca="false">H29*N29</f>
        <v>21901898.3333333</v>
      </c>
      <c r="J29" s="33" t="n">
        <f aca="false">H29-E29</f>
        <v>2186000000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21901898.3333333</v>
      </c>
      <c r="N29" s="64" t="n">
        <v>0.0100191666666667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45647</v>
      </c>
      <c r="C30" s="39" t="n">
        <v>2186000000</v>
      </c>
      <c r="D30" s="39" t="n">
        <v>22146001.6666667</v>
      </c>
      <c r="E30" s="39" t="n">
        <v>0</v>
      </c>
      <c r="F30" s="39" t="n">
        <v>22146001.6666667</v>
      </c>
      <c r="G30" s="39" t="n">
        <v>2186000000</v>
      </c>
      <c r="H30" s="33" t="n">
        <f aca="false">J29</f>
        <v>2186000000</v>
      </c>
      <c r="I30" s="33" t="n">
        <f aca="false">H30*N30</f>
        <v>22146001.6666667</v>
      </c>
      <c r="J30" s="33" t="n">
        <f aca="false">H30-E30</f>
        <v>2186000000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22146001.6666667</v>
      </c>
      <c r="N30" s="64" t="n">
        <v>0.0101308333333333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45678</v>
      </c>
      <c r="C31" s="39" t="n">
        <v>2186000000</v>
      </c>
      <c r="D31" s="39" t="n">
        <v>21874573.3333333</v>
      </c>
      <c r="E31" s="39" t="n">
        <v>0</v>
      </c>
      <c r="F31" s="39" t="n">
        <v>21874573.3333333</v>
      </c>
      <c r="G31" s="39" t="n">
        <v>2186000000</v>
      </c>
      <c r="H31" s="33" t="n">
        <f aca="false">J30</f>
        <v>2186000000</v>
      </c>
      <c r="I31" s="33" t="n">
        <f aca="false">H31*N31</f>
        <v>21874573.3333333</v>
      </c>
      <c r="J31" s="33" t="n">
        <f aca="false">H31-E31</f>
        <v>2186000000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21874573.3333333</v>
      </c>
      <c r="N31" s="64" t="n">
        <v>0.0100066666666667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45709</v>
      </c>
      <c r="C32" s="39" t="n">
        <v>2186000000</v>
      </c>
      <c r="D32" s="39" t="n">
        <v>21965656.6666667</v>
      </c>
      <c r="E32" s="39" t="n">
        <v>0</v>
      </c>
      <c r="F32" s="39" t="n">
        <v>21965656.6666667</v>
      </c>
      <c r="G32" s="39" t="n">
        <v>2186000000</v>
      </c>
      <c r="H32" s="33" t="n">
        <f aca="false">J31</f>
        <v>2186000000</v>
      </c>
      <c r="I32" s="33" t="n">
        <f aca="false">H32*N32</f>
        <v>21965656.6666667</v>
      </c>
      <c r="J32" s="33" t="n">
        <f aca="false">H32-E32</f>
        <v>2186000000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21965656.6666667</v>
      </c>
      <c r="N32" s="64" t="n">
        <v>0.0100483333333333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45737</v>
      </c>
      <c r="C33" s="39" t="n">
        <v>2186000000</v>
      </c>
      <c r="D33" s="39" t="n">
        <v>22023950</v>
      </c>
      <c r="E33" s="39" t="n">
        <v>0</v>
      </c>
      <c r="F33" s="39" t="n">
        <v>22023950</v>
      </c>
      <c r="G33" s="39" t="n">
        <v>2186000000</v>
      </c>
      <c r="H33" s="33" t="n">
        <f aca="false">J32</f>
        <v>2186000000</v>
      </c>
      <c r="I33" s="33" t="n">
        <f aca="false">H33*N33</f>
        <v>22023950</v>
      </c>
      <c r="J33" s="33" t="n">
        <f aca="false">H33-E33</f>
        <v>2186000000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22023950</v>
      </c>
      <c r="N33" s="64" t="n">
        <v>0.010075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45768</v>
      </c>
      <c r="C34" s="39" t="n">
        <v>2186000000</v>
      </c>
      <c r="D34" s="39" t="n">
        <v>22142358.3333333</v>
      </c>
      <c r="E34" s="39" t="n">
        <v>0</v>
      </c>
      <c r="F34" s="39" t="n">
        <v>22142358.3333333</v>
      </c>
      <c r="G34" s="39" t="n">
        <v>2186000000</v>
      </c>
      <c r="H34" s="33" t="n">
        <f aca="false">J33</f>
        <v>2186000000</v>
      </c>
      <c r="I34" s="33" t="n">
        <f aca="false">H34*N34</f>
        <v>22142358.3333333</v>
      </c>
      <c r="J34" s="33" t="n">
        <f aca="false">H34-E34</f>
        <v>2186000000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22142358.3333333</v>
      </c>
      <c r="N34" s="64" t="n">
        <v>0.0101291666666667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45798</v>
      </c>
      <c r="C35" s="39" t="n">
        <v>2186000000</v>
      </c>
      <c r="D35" s="39" t="n">
        <v>21708801.6666667</v>
      </c>
      <c r="E35" s="39" t="n">
        <v>0</v>
      </c>
      <c r="F35" s="39" t="n">
        <v>21708801.6666667</v>
      </c>
      <c r="G35" s="39" t="n">
        <v>2186000000</v>
      </c>
      <c r="H35" s="33" t="n">
        <f aca="false">J34</f>
        <v>2186000000</v>
      </c>
      <c r="I35" s="33" t="n">
        <f aca="false">H35*N35</f>
        <v>21708801.6666667</v>
      </c>
      <c r="J35" s="33" t="n">
        <f aca="false">H35-E35</f>
        <v>2186000000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21708801.6666667</v>
      </c>
      <c r="N35" s="64" t="n">
        <v>0.00993083333333333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45829</v>
      </c>
      <c r="C36" s="39" t="n">
        <v>2186000000</v>
      </c>
      <c r="D36" s="39" t="n">
        <v>21666903.3333333</v>
      </c>
      <c r="E36" s="39" t="n">
        <v>0</v>
      </c>
      <c r="F36" s="39" t="n">
        <v>21666903.3333333</v>
      </c>
      <c r="G36" s="39" t="n">
        <v>2186000000</v>
      </c>
      <c r="H36" s="33" t="n">
        <f aca="false">J35</f>
        <v>2186000000</v>
      </c>
      <c r="I36" s="33" t="n">
        <f aca="false">H36*N36</f>
        <v>21666903.3333333</v>
      </c>
      <c r="J36" s="33" t="n">
        <f aca="false">H36-E36</f>
        <v>2186000000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21666903.3333333</v>
      </c>
      <c r="N36" s="64" t="n">
        <v>0.00991166666666667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45859</v>
      </c>
      <c r="C37" s="39" t="n">
        <v>2186000000</v>
      </c>
      <c r="D37" s="39" t="n">
        <v>21521170</v>
      </c>
      <c r="E37" s="39" t="n">
        <v>0</v>
      </c>
      <c r="F37" s="39" t="n">
        <v>21521170</v>
      </c>
      <c r="G37" s="39" t="n">
        <v>2186000000</v>
      </c>
      <c r="H37" s="33" t="n">
        <f aca="false">J36</f>
        <v>2186000000</v>
      </c>
      <c r="I37" s="33" t="n">
        <f aca="false">H37*N37</f>
        <v>21521170</v>
      </c>
      <c r="J37" s="33" t="n">
        <f aca="false">H37-E37</f>
        <v>2186000000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21521170</v>
      </c>
      <c r="N37" s="64" t="n">
        <v>0.009845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45890</v>
      </c>
      <c r="C38" s="39" t="n">
        <v>2186000000</v>
      </c>
      <c r="D38" s="39" t="n">
        <v>21785311.6666667</v>
      </c>
      <c r="E38" s="39" t="n">
        <v>0</v>
      </c>
      <c r="F38" s="39" t="n">
        <v>21785311.6666667</v>
      </c>
      <c r="G38" s="39" t="n">
        <v>2186000000</v>
      </c>
      <c r="H38" s="33" t="n">
        <f aca="false">J37</f>
        <v>2186000000</v>
      </c>
      <c r="I38" s="33" t="n">
        <f aca="false">H38*N38</f>
        <v>21785311.6666667</v>
      </c>
      <c r="J38" s="33" t="n">
        <f aca="false">H38-E38</f>
        <v>2186000000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21785311.6666667</v>
      </c>
      <c r="N38" s="64" t="n">
        <v>0.00996583333333333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45921</v>
      </c>
      <c r="C39" s="39" t="n">
        <v>2186000000</v>
      </c>
      <c r="D39" s="39" t="n">
        <v>21829031.6666667</v>
      </c>
      <c r="E39" s="39" t="n">
        <v>182166663</v>
      </c>
      <c r="F39" s="39" t="n">
        <v>203995694.666667</v>
      </c>
      <c r="G39" s="39" t="n">
        <v>2003833337</v>
      </c>
      <c r="H39" s="33" t="n">
        <f aca="false">J38</f>
        <v>2186000000</v>
      </c>
      <c r="I39" s="33" t="n">
        <f aca="false">H39*N39</f>
        <v>21829031.6666667</v>
      </c>
      <c r="J39" s="33" t="n">
        <f aca="false">H39-E39</f>
        <v>2003833337</v>
      </c>
      <c r="K39" s="33" t="n">
        <f aca="false">D39-I39</f>
        <v>0</v>
      </c>
      <c r="L39" s="33" t="n">
        <f aca="false">G39-J39</f>
        <v>0</v>
      </c>
      <c r="M39" s="33" t="n">
        <f aca="false">F39</f>
        <v>203995694.666667</v>
      </c>
      <c r="N39" s="64" t="n">
        <v>0.00998583333333333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45951</v>
      </c>
      <c r="C40" s="39" t="n">
        <v>2003833337</v>
      </c>
      <c r="D40" s="39" t="n">
        <v>20116816.8423658</v>
      </c>
      <c r="E40" s="39" t="n">
        <v>0</v>
      </c>
      <c r="F40" s="39" t="n">
        <v>20116816.8423658</v>
      </c>
      <c r="G40" s="39" t="n">
        <v>2003833337</v>
      </c>
      <c r="H40" s="33" t="n">
        <f aca="false">J39</f>
        <v>2003833337</v>
      </c>
      <c r="I40" s="33" t="n">
        <f aca="false">H40*N40</f>
        <v>20116816.8423658</v>
      </c>
      <c r="J40" s="33" t="n">
        <f aca="false">H40-E40</f>
        <v>2003833337</v>
      </c>
      <c r="K40" s="33" t="n">
        <f aca="false">D40-I40</f>
        <v>0</v>
      </c>
      <c r="L40" s="33" t="n">
        <f aca="false">G40-J40</f>
        <v>0</v>
      </c>
      <c r="M40" s="33" t="n">
        <f aca="false">F40</f>
        <v>20116816.8423658</v>
      </c>
      <c r="N40" s="64" t="n">
        <v>0.0100391666666667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45982</v>
      </c>
      <c r="C41" s="39" t="n">
        <v>2003833337</v>
      </c>
      <c r="D41" s="39" t="n">
        <v>20410712.3984592</v>
      </c>
      <c r="E41" s="39" t="n">
        <v>0</v>
      </c>
      <c r="F41" s="39" t="n">
        <v>20410712.3984592</v>
      </c>
      <c r="G41" s="39" t="n">
        <v>2003833337</v>
      </c>
      <c r="H41" s="33" t="n">
        <f aca="false">J40</f>
        <v>2003833337</v>
      </c>
      <c r="I41" s="33" t="n">
        <f aca="false">H41*N41</f>
        <v>20410712.3984592</v>
      </c>
      <c r="J41" s="33" t="n">
        <f aca="false">H41-E41</f>
        <v>2003833337</v>
      </c>
      <c r="K41" s="33" t="n">
        <f aca="false">D41-I41</f>
        <v>0</v>
      </c>
      <c r="L41" s="33" t="n">
        <f aca="false">G41-J41</f>
        <v>0</v>
      </c>
      <c r="M41" s="33" t="n">
        <f aca="false">F41</f>
        <v>20410712.3984592</v>
      </c>
      <c r="N41" s="64" t="n">
        <v>0.0101858333333333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46012</v>
      </c>
      <c r="C42" s="39" t="n">
        <v>2003833337</v>
      </c>
      <c r="D42" s="39" t="n">
        <v>21041919.8996142</v>
      </c>
      <c r="E42" s="39" t="n">
        <v>182166667</v>
      </c>
      <c r="F42" s="39" t="n">
        <v>203208586.899614</v>
      </c>
      <c r="G42" s="39" t="n">
        <v>1821666670</v>
      </c>
      <c r="H42" s="33" t="n">
        <f aca="false">J41</f>
        <v>2003833337</v>
      </c>
      <c r="I42" s="33" t="n">
        <f aca="false">H42*N42</f>
        <v>21041919.8996142</v>
      </c>
      <c r="J42" s="33" t="n">
        <f aca="false">H42-E42</f>
        <v>1821666670</v>
      </c>
      <c r="K42" s="33" t="n">
        <f aca="false">D42-I42</f>
        <v>0</v>
      </c>
      <c r="L42" s="33" t="n">
        <f aca="false">G42-J42</f>
        <v>0</v>
      </c>
      <c r="M42" s="33" t="n">
        <f aca="false">F42</f>
        <v>203208586.899614</v>
      </c>
      <c r="N42" s="64" t="n">
        <v>0.0105008333333333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46043</v>
      </c>
      <c r="C43" s="39" t="n">
        <v>1821666670</v>
      </c>
      <c r="D43" s="39" t="n">
        <v>19408340.3132917</v>
      </c>
      <c r="E43" s="39" t="n">
        <v>0</v>
      </c>
      <c r="F43" s="39" t="n">
        <v>19408340.3132917</v>
      </c>
      <c r="G43" s="39" t="n">
        <v>1821666670</v>
      </c>
      <c r="H43" s="33" t="n">
        <f aca="false">J42</f>
        <v>1821666670</v>
      </c>
      <c r="I43" s="33" t="n">
        <f aca="false">H43*N43</f>
        <v>19408340.3132917</v>
      </c>
      <c r="J43" s="33" t="n">
        <f aca="false">H43-E43</f>
        <v>1821666670</v>
      </c>
      <c r="K43" s="33" t="n">
        <f aca="false">D43-I43</f>
        <v>0</v>
      </c>
      <c r="L43" s="33" t="n">
        <f aca="false">G43-J43</f>
        <v>0</v>
      </c>
      <c r="M43" s="33" t="n">
        <f aca="false">F43</f>
        <v>19408340.3132917</v>
      </c>
      <c r="N43" s="64" t="n">
        <v>0.0106541666666667</v>
      </c>
      <c r="O43" s="48" t="n">
        <f aca="false">IF(AND(B43&gt;=DATE(2026,1,1),B43&lt;=Resumen!$C$5),1,0)</f>
        <v>1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46074</v>
      </c>
      <c r="C44" s="39" t="n">
        <v>1821666670</v>
      </c>
      <c r="D44" s="39" t="n">
        <v>20877818.0937583</v>
      </c>
      <c r="E44" s="39" t="n">
        <v>0</v>
      </c>
      <c r="F44" s="39" t="n">
        <v>20877818.0937583</v>
      </c>
      <c r="G44" s="39" t="n">
        <v>1821666670</v>
      </c>
      <c r="H44" s="33" t="n">
        <f aca="false">J43</f>
        <v>1821666670</v>
      </c>
      <c r="I44" s="33" t="n">
        <f aca="false">H44*N44</f>
        <v>20877818.0937583</v>
      </c>
      <c r="J44" s="33" t="n">
        <f aca="false">H44-E44</f>
        <v>1821666670</v>
      </c>
      <c r="K44" s="33" t="n">
        <f aca="false">D44-I44</f>
        <v>0</v>
      </c>
      <c r="L44" s="33" t="n">
        <f aca="false">G44-J44</f>
        <v>0</v>
      </c>
      <c r="M44" s="33" t="n">
        <f aca="false">F44</f>
        <v>20877818.0937583</v>
      </c>
      <c r="N44" s="64" t="n">
        <v>0.0114608333333333</v>
      </c>
      <c r="O44" s="48" t="n">
        <f aca="false">IF(AND(B44&gt;=DATE(2026,1,1),B44&lt;=Resumen!$C$5),1,0)</f>
        <v>1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46102</v>
      </c>
      <c r="C45" s="39" t="n">
        <v>1821666670</v>
      </c>
      <c r="D45" s="39" t="n">
        <v>21591304.206175</v>
      </c>
      <c r="E45" s="39" t="n">
        <v>182166667</v>
      </c>
      <c r="F45" s="39" t="n">
        <v>203757971.206175</v>
      </c>
      <c r="G45" s="39" t="n">
        <v>1639500003</v>
      </c>
      <c r="H45" s="33" t="n">
        <f aca="false">J44</f>
        <v>1821666670</v>
      </c>
      <c r="I45" s="33" t="n">
        <f aca="false">H45*N45</f>
        <v>21591304.206175</v>
      </c>
      <c r="J45" s="33" t="n">
        <f aca="false">H45-E45</f>
        <v>1639500003</v>
      </c>
      <c r="K45" s="33" t="n">
        <f aca="false">D45-I45</f>
        <v>0</v>
      </c>
      <c r="L45" s="33" t="n">
        <f aca="false">G45-J45</f>
        <v>0</v>
      </c>
      <c r="M45" s="33" t="n">
        <f aca="false">F45</f>
        <v>203757971.206175</v>
      </c>
      <c r="N45" s="64" t="n">
        <v>0.0118525</v>
      </c>
      <c r="O45" s="48" t="n">
        <f aca="false">IF(AND(B45&gt;=DATE(2026,1,1),B45&lt;=Resumen!$C$5),1,0)</f>
        <v>1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46133</v>
      </c>
      <c r="C46" s="39" t="n">
        <v>1639500003</v>
      </c>
      <c r="D46" s="39" t="n">
        <v>20011463.7866175</v>
      </c>
      <c r="E46" s="39" t="n">
        <v>0</v>
      </c>
      <c r="F46" s="39" t="n">
        <v>20011463.7866175</v>
      </c>
      <c r="G46" s="39" t="n">
        <v>1639500003</v>
      </c>
      <c r="H46" s="33" t="n">
        <f aca="false">J45</f>
        <v>1639500003</v>
      </c>
      <c r="I46" s="33" t="n">
        <f aca="false">H46*N46</f>
        <v>20011463.7866175</v>
      </c>
      <c r="J46" s="33" t="n">
        <f aca="false">H46-E46</f>
        <v>1639500003</v>
      </c>
      <c r="K46" s="33" t="n">
        <f aca="false">D46-I46</f>
        <v>0</v>
      </c>
      <c r="L46" s="33" t="n">
        <f aca="false">G46-J46</f>
        <v>0</v>
      </c>
      <c r="M46" s="33" t="n">
        <f aca="false">F46</f>
        <v>20011463.7866175</v>
      </c>
      <c r="N46" s="64" t="n">
        <v>0.0122058333333333</v>
      </c>
      <c r="O46" s="48" t="n">
        <f aca="false">IF(AND(B46&gt;=DATE(2026,1,1),B46&lt;=Resumen!$C$5),1,0)</f>
        <v>1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46163</v>
      </c>
      <c r="C47" s="39" t="n">
        <v>1639500003</v>
      </c>
      <c r="D47" s="39" t="n">
        <v>20011463.7866175</v>
      </c>
      <c r="E47" s="39" t="n">
        <v>0</v>
      </c>
      <c r="F47" s="39" t="n">
        <v>20011463.7866175</v>
      </c>
      <c r="G47" s="39" t="n">
        <v>1639500003</v>
      </c>
      <c r="H47" s="33" t="n">
        <f aca="false">J46</f>
        <v>1639500003</v>
      </c>
      <c r="I47" s="33" t="n">
        <f aca="false">H47*N47</f>
        <v>20011463.7866175</v>
      </c>
      <c r="J47" s="33" t="n">
        <f aca="false">H47-E47</f>
        <v>1639500003</v>
      </c>
      <c r="K47" s="33" t="n">
        <f aca="false">D47-I47</f>
        <v>0</v>
      </c>
      <c r="L47" s="33" t="n">
        <f aca="false">G47-J47</f>
        <v>0</v>
      </c>
      <c r="M47" s="33" t="n">
        <f aca="false">F47</f>
        <v>20011463.7866175</v>
      </c>
      <c r="N47" s="64" t="n">
        <v>0.0122058333333333</v>
      </c>
      <c r="O47" s="48" t="n">
        <f aca="false">IF(AND(B47&gt;=DATE(2026,1,1),B47&lt;=Resumen!$C$5),1,0)</f>
        <v>1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46194</v>
      </c>
      <c r="C48" s="39" t="n">
        <v>1639500003</v>
      </c>
      <c r="D48" s="39" t="n">
        <v>20053817.536695</v>
      </c>
      <c r="E48" s="39" t="n">
        <v>182166667</v>
      </c>
      <c r="F48" s="39" t="n">
        <v>202220484.536695</v>
      </c>
      <c r="G48" s="39" t="n">
        <v>1457333336</v>
      </c>
      <c r="H48" s="33" t="n">
        <f aca="false">J47</f>
        <v>1639500003</v>
      </c>
      <c r="I48" s="33" t="n">
        <f aca="false">H48*N48</f>
        <v>20053817.536695</v>
      </c>
      <c r="J48" s="33" t="n">
        <f aca="false">H48-E48</f>
        <v>1457333336</v>
      </c>
      <c r="K48" s="33" t="n">
        <f aca="false">D48-I48</f>
        <v>0</v>
      </c>
      <c r="L48" s="33" t="n">
        <f aca="false">G48-J48</f>
        <v>0</v>
      </c>
      <c r="M48" s="33" t="n">
        <f aca="false">F48</f>
        <v>202220484.536695</v>
      </c>
      <c r="N48" s="64" t="n">
        <v>0.0122316666666667</v>
      </c>
      <c r="O48" s="48" t="n">
        <f aca="false">IF(AND(B48&gt;=DATE(2026,1,1),B48&lt;=Resumen!$C$5),1,0)</f>
        <v>1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46224</v>
      </c>
      <c r="C49" s="39" t="n">
        <v>1457333336</v>
      </c>
      <c r="D49" s="39" t="n">
        <v>18177804.4777067</v>
      </c>
      <c r="E49" s="39" t="n">
        <v>0</v>
      </c>
      <c r="F49" s="39" t="n">
        <v>18177804.4777067</v>
      </c>
      <c r="G49" s="39" t="n">
        <v>1457333336</v>
      </c>
      <c r="H49" s="33" t="n">
        <f aca="false">J48</f>
        <v>1457333336</v>
      </c>
      <c r="I49" s="33" t="n">
        <f aca="false">H49*N49</f>
        <v>18177804.4777067</v>
      </c>
      <c r="J49" s="33" t="n">
        <f aca="false">H49-E49</f>
        <v>1457333336</v>
      </c>
      <c r="K49" s="33" t="n">
        <f aca="false">D49-I49</f>
        <v>0</v>
      </c>
      <c r="L49" s="33" t="n">
        <f aca="false">G49-J49</f>
        <v>0</v>
      </c>
      <c r="M49" s="33" t="n">
        <f aca="false">F49</f>
        <v>18177804.4777067</v>
      </c>
      <c r="N49" s="64" t="n">
        <v>0.0124733333333333</v>
      </c>
      <c r="O49" s="48" t="n">
        <f aca="false">IF(AND(B49&gt;=DATE(2026,1,1),B49&lt;=Resumen!$C$5),1,0)</f>
        <v>1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46255</v>
      </c>
      <c r="C50" s="39" t="n">
        <v>1457333336</v>
      </c>
      <c r="D50" s="39" t="n">
        <v>18177804.4777067</v>
      </c>
      <c r="E50" s="39" t="n">
        <v>0</v>
      </c>
      <c r="F50" s="39" t="n">
        <v>18177804.4777067</v>
      </c>
      <c r="G50" s="39" t="n">
        <v>1457333336</v>
      </c>
      <c r="H50" s="33" t="n">
        <f aca="false">J49</f>
        <v>1457333336</v>
      </c>
      <c r="I50" s="33" t="n">
        <f aca="false">H50*N50</f>
        <v>18177804.4777067</v>
      </c>
      <c r="J50" s="33" t="n">
        <f aca="false">H50-E50</f>
        <v>1457333336</v>
      </c>
      <c r="K50" s="33" t="n">
        <f aca="false">D50-I50</f>
        <v>0</v>
      </c>
      <c r="L50" s="33" t="n">
        <f aca="false">G50-J50</f>
        <v>0</v>
      </c>
      <c r="M50" s="33" t="n">
        <f aca="false">F50</f>
        <v>18177804.4777067</v>
      </c>
      <c r="N50" s="64" t="n">
        <v>0.0124733333333333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46286</v>
      </c>
      <c r="C51" s="39" t="n">
        <v>1457333336</v>
      </c>
      <c r="D51" s="39" t="n">
        <v>18177804.4777067</v>
      </c>
      <c r="E51" s="39" t="n">
        <v>182166667</v>
      </c>
      <c r="F51" s="39" t="n">
        <v>200344471.477707</v>
      </c>
      <c r="G51" s="39" t="n">
        <v>1275166669</v>
      </c>
      <c r="H51" s="33" t="n">
        <f aca="false">J50</f>
        <v>1457333336</v>
      </c>
      <c r="I51" s="33" t="n">
        <f aca="false">H51*N51</f>
        <v>18177804.4777067</v>
      </c>
      <c r="J51" s="33" t="n">
        <f aca="false">H51-E51</f>
        <v>1275166669</v>
      </c>
      <c r="K51" s="33" t="n">
        <f aca="false">D51-I51</f>
        <v>0</v>
      </c>
      <c r="L51" s="33" t="n">
        <f aca="false">G51-J51</f>
        <v>0</v>
      </c>
      <c r="M51" s="33" t="n">
        <f aca="false">F51</f>
        <v>200344471.477707</v>
      </c>
      <c r="N51" s="64" t="n">
        <v>0.0124733333333333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46316</v>
      </c>
      <c r="C52" s="39" t="n">
        <v>1275166669</v>
      </c>
      <c r="D52" s="39" t="n">
        <v>15905578.9179933</v>
      </c>
      <c r="E52" s="39" t="n">
        <v>0</v>
      </c>
      <c r="F52" s="39" t="n">
        <v>15905578.9179933</v>
      </c>
      <c r="G52" s="39" t="n">
        <v>1275166669</v>
      </c>
      <c r="H52" s="33" t="n">
        <f aca="false">J51</f>
        <v>1275166669</v>
      </c>
      <c r="I52" s="33" t="n">
        <f aca="false">H52*N52</f>
        <v>15905578.9179933</v>
      </c>
      <c r="J52" s="33" t="n">
        <f aca="false">H52-E52</f>
        <v>1275166669</v>
      </c>
      <c r="K52" s="33" t="n">
        <f aca="false">D52-I52</f>
        <v>0</v>
      </c>
      <c r="L52" s="33" t="n">
        <f aca="false">G52-J52</f>
        <v>0</v>
      </c>
      <c r="M52" s="33" t="n">
        <f aca="false">F52</f>
        <v>15905578.9179933</v>
      </c>
      <c r="N52" s="64" t="n">
        <v>0.0124733333333333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46347</v>
      </c>
      <c r="C53" s="39" t="n">
        <v>1275166669</v>
      </c>
      <c r="D53" s="39" t="n">
        <v>15905578.9179933</v>
      </c>
      <c r="E53" s="39" t="n">
        <v>0</v>
      </c>
      <c r="F53" s="39" t="n">
        <v>15905578.9179933</v>
      </c>
      <c r="G53" s="39" t="n">
        <v>1275166669</v>
      </c>
      <c r="H53" s="33" t="n">
        <f aca="false">J52</f>
        <v>1275166669</v>
      </c>
      <c r="I53" s="33" t="n">
        <f aca="false">H53*N53</f>
        <v>15905578.9179933</v>
      </c>
      <c r="J53" s="33" t="n">
        <f aca="false">H53-E53</f>
        <v>1275166669</v>
      </c>
      <c r="K53" s="33" t="n">
        <f aca="false">D53-I53</f>
        <v>0</v>
      </c>
      <c r="L53" s="33" t="n">
        <f aca="false">G53-J53</f>
        <v>0</v>
      </c>
      <c r="M53" s="33" t="n">
        <f aca="false">F53</f>
        <v>15905578.9179933</v>
      </c>
      <c r="N53" s="64" t="n">
        <v>0.0124733333333333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1</v>
      </c>
    </row>
    <row r="54" customFormat="false" ht="15" hidden="false" customHeight="false" outlineLevel="0" collapsed="false">
      <c r="A54" s="38" t="n">
        <v>42</v>
      </c>
      <c r="B54" s="27" t="n">
        <v>46377</v>
      </c>
      <c r="C54" s="39" t="n">
        <v>1275166669</v>
      </c>
      <c r="D54" s="39" t="n">
        <v>15905578.9179933</v>
      </c>
      <c r="E54" s="39" t="n">
        <v>182166667</v>
      </c>
      <c r="F54" s="39" t="n">
        <v>198072245.917993</v>
      </c>
      <c r="G54" s="39" t="n">
        <v>1093000002</v>
      </c>
      <c r="H54" s="33" t="n">
        <f aca="false">J53</f>
        <v>1275166669</v>
      </c>
      <c r="I54" s="33" t="n">
        <f aca="false">H54*N54</f>
        <v>15905578.9179933</v>
      </c>
      <c r="J54" s="33" t="n">
        <f aca="false">H54-E54</f>
        <v>1093000002</v>
      </c>
      <c r="K54" s="33" t="n">
        <f aca="false">D54-I54</f>
        <v>0</v>
      </c>
      <c r="L54" s="33" t="n">
        <f aca="false">G54-J54</f>
        <v>0</v>
      </c>
      <c r="M54" s="33" t="n">
        <f aca="false">F54</f>
        <v>198072245.917993</v>
      </c>
      <c r="N54" s="64" t="n">
        <v>0.0124733333333333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1</v>
      </c>
    </row>
    <row r="55" customFormat="false" ht="15" hidden="false" customHeight="false" outlineLevel="0" collapsed="false">
      <c r="A55" s="38" t="n">
        <v>43</v>
      </c>
      <c r="B55" s="27" t="n">
        <v>46408</v>
      </c>
      <c r="C55" s="39" t="n">
        <v>1093000002</v>
      </c>
      <c r="D55" s="39" t="n">
        <v>13633353.35828</v>
      </c>
      <c r="E55" s="39" t="n">
        <v>0</v>
      </c>
      <c r="F55" s="39" t="n">
        <v>13633353.35828</v>
      </c>
      <c r="G55" s="39" t="n">
        <v>1093000002</v>
      </c>
      <c r="H55" s="33" t="n">
        <f aca="false">J54</f>
        <v>1093000002</v>
      </c>
      <c r="I55" s="33" t="n">
        <f aca="false">H55*N55</f>
        <v>13633353.35828</v>
      </c>
      <c r="J55" s="33" t="n">
        <f aca="false">H55-E55</f>
        <v>1093000002</v>
      </c>
      <c r="K55" s="33" t="n">
        <f aca="false">D55-I55</f>
        <v>0</v>
      </c>
      <c r="L55" s="33" t="n">
        <f aca="false">G55-J55</f>
        <v>0</v>
      </c>
      <c r="M55" s="33" t="n">
        <f aca="false">F55</f>
        <v>13633353.35828</v>
      </c>
      <c r="N55" s="64" t="n">
        <v>0.0124733333333333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1</v>
      </c>
    </row>
    <row r="56" customFormat="false" ht="15" hidden="false" customHeight="false" outlineLevel="0" collapsed="false">
      <c r="A56" s="38" t="n">
        <v>44</v>
      </c>
      <c r="B56" s="27" t="n">
        <v>46439</v>
      </c>
      <c r="C56" s="39" t="n">
        <v>1093000002</v>
      </c>
      <c r="D56" s="39" t="n">
        <v>13633353.35828</v>
      </c>
      <c r="E56" s="39" t="n">
        <v>0</v>
      </c>
      <c r="F56" s="39" t="n">
        <v>13633353.35828</v>
      </c>
      <c r="G56" s="39" t="n">
        <v>1093000002</v>
      </c>
      <c r="H56" s="33" t="n">
        <f aca="false">J55</f>
        <v>1093000002</v>
      </c>
      <c r="I56" s="33" t="n">
        <f aca="false">H56*N56</f>
        <v>13633353.35828</v>
      </c>
      <c r="J56" s="33" t="n">
        <f aca="false">H56-E56</f>
        <v>1093000002</v>
      </c>
      <c r="K56" s="33" t="n">
        <f aca="false">D56-I56</f>
        <v>0</v>
      </c>
      <c r="L56" s="33" t="n">
        <f aca="false">G56-J56</f>
        <v>0</v>
      </c>
      <c r="M56" s="33" t="n">
        <f aca="false">F56</f>
        <v>13633353.35828</v>
      </c>
      <c r="N56" s="64" t="n">
        <v>0.0124733333333333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1</v>
      </c>
    </row>
    <row r="57" customFormat="false" ht="15" hidden="false" customHeight="false" outlineLevel="0" collapsed="false">
      <c r="A57" s="38" t="n">
        <v>45</v>
      </c>
      <c r="B57" s="27" t="n">
        <v>46467</v>
      </c>
      <c r="C57" s="39" t="n">
        <v>1093000002</v>
      </c>
      <c r="D57" s="39" t="n">
        <v>13633353.35828</v>
      </c>
      <c r="E57" s="39" t="n">
        <v>182166667</v>
      </c>
      <c r="F57" s="39" t="n">
        <v>195800020.35828</v>
      </c>
      <c r="G57" s="39" t="n">
        <v>910833335</v>
      </c>
      <c r="H57" s="33" t="n">
        <f aca="false">J56</f>
        <v>1093000002</v>
      </c>
      <c r="I57" s="33" t="n">
        <f aca="false">H57*N57</f>
        <v>13633353.35828</v>
      </c>
      <c r="J57" s="33" t="n">
        <f aca="false">H57-E57</f>
        <v>910833335</v>
      </c>
      <c r="K57" s="33" t="n">
        <f aca="false">D57-I57</f>
        <v>0</v>
      </c>
      <c r="L57" s="33" t="n">
        <f aca="false">G57-J57</f>
        <v>0</v>
      </c>
      <c r="M57" s="33" t="n">
        <f aca="false">F57</f>
        <v>195800020.35828</v>
      </c>
      <c r="N57" s="64" t="n">
        <v>0.0124733333333333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1</v>
      </c>
    </row>
    <row r="58" customFormat="false" ht="15" hidden="false" customHeight="false" outlineLevel="0" collapsed="false">
      <c r="A58" s="38" t="n">
        <v>46</v>
      </c>
      <c r="B58" s="27" t="n">
        <v>46498</v>
      </c>
      <c r="C58" s="39" t="n">
        <v>910833335</v>
      </c>
      <c r="D58" s="39" t="n">
        <v>11361127.7985667</v>
      </c>
      <c r="E58" s="39" t="n">
        <v>0</v>
      </c>
      <c r="F58" s="39" t="n">
        <v>11361127.7985667</v>
      </c>
      <c r="G58" s="39" t="n">
        <v>910833335</v>
      </c>
      <c r="H58" s="33" t="n">
        <f aca="false">J57</f>
        <v>910833335</v>
      </c>
      <c r="I58" s="33" t="n">
        <f aca="false">H58*N58</f>
        <v>11361127.7985667</v>
      </c>
      <c r="J58" s="33" t="n">
        <f aca="false">H58-E58</f>
        <v>910833335</v>
      </c>
      <c r="K58" s="33" t="n">
        <f aca="false">D58-I58</f>
        <v>0</v>
      </c>
      <c r="L58" s="33" t="n">
        <f aca="false">G58-J58</f>
        <v>0</v>
      </c>
      <c r="M58" s="33" t="n">
        <f aca="false">F58</f>
        <v>11361127.7985667</v>
      </c>
      <c r="N58" s="64" t="n">
        <v>0.0124733333333333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1</v>
      </c>
    </row>
    <row r="59" customFormat="false" ht="15" hidden="false" customHeight="false" outlineLevel="0" collapsed="false">
      <c r="A59" s="38" t="n">
        <v>47</v>
      </c>
      <c r="B59" s="27" t="n">
        <v>46528</v>
      </c>
      <c r="C59" s="39" t="n">
        <v>910833335</v>
      </c>
      <c r="D59" s="39" t="n">
        <v>11361127.7985667</v>
      </c>
      <c r="E59" s="39" t="n">
        <v>0</v>
      </c>
      <c r="F59" s="39" t="n">
        <v>11361127.7985667</v>
      </c>
      <c r="G59" s="39" t="n">
        <v>910833335</v>
      </c>
      <c r="H59" s="33" t="n">
        <f aca="false">J58</f>
        <v>910833335</v>
      </c>
      <c r="I59" s="33" t="n">
        <f aca="false">H59*N59</f>
        <v>11361127.7985667</v>
      </c>
      <c r="J59" s="33" t="n">
        <f aca="false">H59-E59</f>
        <v>910833335</v>
      </c>
      <c r="K59" s="33" t="n">
        <f aca="false">D59-I59</f>
        <v>0</v>
      </c>
      <c r="L59" s="33" t="n">
        <f aca="false">G59-J59</f>
        <v>0</v>
      </c>
      <c r="M59" s="33" t="n">
        <f aca="false">F59</f>
        <v>11361127.7985667</v>
      </c>
      <c r="N59" s="64" t="n">
        <v>0.0124733333333333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1</v>
      </c>
    </row>
    <row r="60" customFormat="false" ht="15" hidden="false" customHeight="false" outlineLevel="0" collapsed="false">
      <c r="A60" s="38" t="n">
        <v>48</v>
      </c>
      <c r="B60" s="27" t="n">
        <v>46559</v>
      </c>
      <c r="C60" s="39" t="n">
        <v>910833335</v>
      </c>
      <c r="D60" s="39" t="n">
        <v>11361127.7985667</v>
      </c>
      <c r="E60" s="39" t="n">
        <v>182166667</v>
      </c>
      <c r="F60" s="39" t="n">
        <v>193527794.798567</v>
      </c>
      <c r="G60" s="39" t="n">
        <v>728666668</v>
      </c>
      <c r="H60" s="33" t="n">
        <f aca="false">J59</f>
        <v>910833335</v>
      </c>
      <c r="I60" s="33" t="n">
        <f aca="false">H60*N60</f>
        <v>11361127.7985667</v>
      </c>
      <c r="J60" s="33" t="n">
        <f aca="false">H60-E60</f>
        <v>728666668</v>
      </c>
      <c r="K60" s="33" t="n">
        <f aca="false">D60-I60</f>
        <v>0</v>
      </c>
      <c r="L60" s="33" t="n">
        <f aca="false">G60-J60</f>
        <v>0</v>
      </c>
      <c r="M60" s="33" t="n">
        <f aca="false">F60</f>
        <v>193527794.798567</v>
      </c>
      <c r="N60" s="64" t="n">
        <v>0.0124733333333333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1</v>
      </c>
    </row>
    <row r="61" customFormat="false" ht="15" hidden="false" customHeight="false" outlineLevel="0" collapsed="false">
      <c r="A61" s="38" t="n">
        <v>49</v>
      </c>
      <c r="B61" s="27" t="n">
        <v>46589</v>
      </c>
      <c r="C61" s="39" t="n">
        <v>728666668</v>
      </c>
      <c r="D61" s="39" t="n">
        <v>9088902.23885333</v>
      </c>
      <c r="E61" s="39" t="n">
        <v>0</v>
      </c>
      <c r="F61" s="39" t="n">
        <v>9088902.23885333</v>
      </c>
      <c r="G61" s="39" t="n">
        <v>728666668</v>
      </c>
      <c r="H61" s="33" t="n">
        <f aca="false">J60</f>
        <v>728666668</v>
      </c>
      <c r="I61" s="33" t="n">
        <f aca="false">H61*N61</f>
        <v>9088902.23885333</v>
      </c>
      <c r="J61" s="33" t="n">
        <f aca="false">H61-E61</f>
        <v>728666668</v>
      </c>
      <c r="K61" s="33" t="n">
        <f aca="false">D61-I61</f>
        <v>0</v>
      </c>
      <c r="L61" s="33" t="n">
        <f aca="false">G61-J61</f>
        <v>0</v>
      </c>
      <c r="M61" s="33" t="n">
        <f aca="false">F61</f>
        <v>9088902.23885333</v>
      </c>
      <c r="N61" s="64" t="n">
        <v>0.0124733333333333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1</v>
      </c>
    </row>
    <row r="62" customFormat="false" ht="15" hidden="false" customHeight="false" outlineLevel="0" collapsed="false">
      <c r="A62" s="38" t="n">
        <v>50</v>
      </c>
      <c r="B62" s="27" t="n">
        <v>46620</v>
      </c>
      <c r="C62" s="39" t="n">
        <v>728666668</v>
      </c>
      <c r="D62" s="39" t="n">
        <v>9088902.23885333</v>
      </c>
      <c r="E62" s="39" t="n">
        <v>0</v>
      </c>
      <c r="F62" s="39" t="n">
        <v>9088902.23885333</v>
      </c>
      <c r="G62" s="39" t="n">
        <v>728666668</v>
      </c>
      <c r="H62" s="33" t="n">
        <f aca="false">J61</f>
        <v>728666668</v>
      </c>
      <c r="I62" s="33" t="n">
        <f aca="false">H62*N62</f>
        <v>9088902.23885333</v>
      </c>
      <c r="J62" s="33" t="n">
        <f aca="false">H62-E62</f>
        <v>728666668</v>
      </c>
      <c r="K62" s="33" t="n">
        <f aca="false">D62-I62</f>
        <v>0</v>
      </c>
      <c r="L62" s="33" t="n">
        <f aca="false">G62-J62</f>
        <v>0</v>
      </c>
      <c r="M62" s="33" t="n">
        <f aca="false">F62</f>
        <v>9088902.23885333</v>
      </c>
      <c r="N62" s="64" t="n">
        <v>0.0124733333333333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46651</v>
      </c>
      <c r="C63" s="39" t="n">
        <v>728666668</v>
      </c>
      <c r="D63" s="39" t="n">
        <v>9088902.23885333</v>
      </c>
      <c r="E63" s="39" t="n">
        <v>182166667</v>
      </c>
      <c r="F63" s="39" t="n">
        <v>191255569.238853</v>
      </c>
      <c r="G63" s="39" t="n">
        <v>546500001</v>
      </c>
      <c r="H63" s="33" t="n">
        <f aca="false">J62</f>
        <v>728666668</v>
      </c>
      <c r="I63" s="33" t="n">
        <f aca="false">H63*N63</f>
        <v>9088902.23885333</v>
      </c>
      <c r="J63" s="33" t="n">
        <f aca="false">H63-E63</f>
        <v>546500001</v>
      </c>
      <c r="K63" s="33" t="n">
        <f aca="false">D63-I63</f>
        <v>0</v>
      </c>
      <c r="L63" s="33" t="n">
        <f aca="false">G63-J63</f>
        <v>0</v>
      </c>
      <c r="M63" s="33" t="n">
        <f aca="false">F63</f>
        <v>191255569.238853</v>
      </c>
      <c r="N63" s="64" t="n">
        <v>0.0124733333333333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46681</v>
      </c>
      <c r="C64" s="39" t="n">
        <v>546500001</v>
      </c>
      <c r="D64" s="39" t="n">
        <v>6816676.67914</v>
      </c>
      <c r="E64" s="39" t="n">
        <v>0</v>
      </c>
      <c r="F64" s="39" t="n">
        <v>6816676.67914</v>
      </c>
      <c r="G64" s="39" t="n">
        <v>546500001</v>
      </c>
      <c r="H64" s="33" t="n">
        <f aca="false">J63</f>
        <v>546500001</v>
      </c>
      <c r="I64" s="33" t="n">
        <f aca="false">H64*N64</f>
        <v>6816676.67914</v>
      </c>
      <c r="J64" s="33" t="n">
        <f aca="false">H64-E64</f>
        <v>546500001</v>
      </c>
      <c r="K64" s="33" t="n">
        <f aca="false">D64-I64</f>
        <v>0</v>
      </c>
      <c r="L64" s="33" t="n">
        <f aca="false">G64-J64</f>
        <v>0</v>
      </c>
      <c r="M64" s="33" t="n">
        <f aca="false">F64</f>
        <v>6816676.67914</v>
      </c>
      <c r="N64" s="64" t="n">
        <v>0.0124733333333333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46712</v>
      </c>
      <c r="C65" s="39" t="n">
        <v>546500001</v>
      </c>
      <c r="D65" s="39" t="n">
        <v>6816676.67914</v>
      </c>
      <c r="E65" s="39" t="n">
        <v>0</v>
      </c>
      <c r="F65" s="39" t="n">
        <v>6816676.67914</v>
      </c>
      <c r="G65" s="39" t="n">
        <v>546500001</v>
      </c>
      <c r="H65" s="33" t="n">
        <f aca="false">J64</f>
        <v>546500001</v>
      </c>
      <c r="I65" s="33" t="n">
        <f aca="false">H65*N65</f>
        <v>6816676.67914</v>
      </c>
      <c r="J65" s="33" t="n">
        <f aca="false">H65-E65</f>
        <v>546500001</v>
      </c>
      <c r="K65" s="33" t="n">
        <f aca="false">D65-I65</f>
        <v>0</v>
      </c>
      <c r="L65" s="33" t="n">
        <f aca="false">G65-J65</f>
        <v>0</v>
      </c>
      <c r="M65" s="33" t="n">
        <f aca="false">F65</f>
        <v>6816676.67914</v>
      </c>
      <c r="N65" s="64" t="n">
        <v>0.0124733333333333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46742</v>
      </c>
      <c r="C66" s="39" t="n">
        <v>546500001</v>
      </c>
      <c r="D66" s="39" t="n">
        <v>6816676.67914</v>
      </c>
      <c r="E66" s="39" t="n">
        <v>182166667</v>
      </c>
      <c r="F66" s="39" t="n">
        <v>188983343.67914</v>
      </c>
      <c r="G66" s="39" t="n">
        <v>364333334</v>
      </c>
      <c r="H66" s="33" t="n">
        <f aca="false">J65</f>
        <v>546500001</v>
      </c>
      <c r="I66" s="33" t="n">
        <f aca="false">H66*N66</f>
        <v>6816676.67914</v>
      </c>
      <c r="J66" s="33" t="n">
        <f aca="false">H66-E66</f>
        <v>364333334</v>
      </c>
      <c r="K66" s="33" t="n">
        <f aca="false">D66-I66</f>
        <v>0</v>
      </c>
      <c r="L66" s="33" t="n">
        <f aca="false">G66-J66</f>
        <v>0</v>
      </c>
      <c r="M66" s="33" t="n">
        <f aca="false">F66</f>
        <v>188983343.67914</v>
      </c>
      <c r="N66" s="64" t="n">
        <v>0.0124733333333333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46773</v>
      </c>
      <c r="C67" s="39" t="n">
        <v>364333334</v>
      </c>
      <c r="D67" s="39" t="n">
        <v>4544451.11942667</v>
      </c>
      <c r="E67" s="39" t="n">
        <v>0</v>
      </c>
      <c r="F67" s="39" t="n">
        <v>4544451.11942667</v>
      </c>
      <c r="G67" s="39" t="n">
        <v>364333334</v>
      </c>
      <c r="H67" s="33" t="n">
        <f aca="false">J66</f>
        <v>364333334</v>
      </c>
      <c r="I67" s="33" t="n">
        <f aca="false">H67*N67</f>
        <v>4544451.11942667</v>
      </c>
      <c r="J67" s="33" t="n">
        <f aca="false">H67-E67</f>
        <v>364333334</v>
      </c>
      <c r="K67" s="33" t="n">
        <f aca="false">D67-I67</f>
        <v>0</v>
      </c>
      <c r="L67" s="33" t="n">
        <f aca="false">G67-J67</f>
        <v>0</v>
      </c>
      <c r="M67" s="33" t="n">
        <f aca="false">F67</f>
        <v>4544451.11942667</v>
      </c>
      <c r="N67" s="64" t="n">
        <v>0.0124733333333333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46804</v>
      </c>
      <c r="C68" s="39" t="n">
        <v>364333334</v>
      </c>
      <c r="D68" s="39" t="n">
        <v>4544451.11942667</v>
      </c>
      <c r="E68" s="39" t="n">
        <v>0</v>
      </c>
      <c r="F68" s="39" t="n">
        <v>4544451.11942667</v>
      </c>
      <c r="G68" s="39" t="n">
        <v>364333334</v>
      </c>
      <c r="H68" s="33" t="n">
        <f aca="false">J67</f>
        <v>364333334</v>
      </c>
      <c r="I68" s="33" t="n">
        <f aca="false">H68*N68</f>
        <v>4544451.11942667</v>
      </c>
      <c r="J68" s="33" t="n">
        <f aca="false">H68-E68</f>
        <v>364333334</v>
      </c>
      <c r="K68" s="33" t="n">
        <f aca="false">D68-I68</f>
        <v>0</v>
      </c>
      <c r="L68" s="33" t="n">
        <f aca="false">G68-J68</f>
        <v>0</v>
      </c>
      <c r="M68" s="33" t="n">
        <f aca="false">F68</f>
        <v>4544451.11942667</v>
      </c>
      <c r="N68" s="64" t="n">
        <v>0.0124733333333333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46833</v>
      </c>
      <c r="C69" s="39" t="n">
        <v>364333334</v>
      </c>
      <c r="D69" s="39" t="n">
        <v>4544451.11942667</v>
      </c>
      <c r="E69" s="39" t="n">
        <v>182166667</v>
      </c>
      <c r="F69" s="39" t="n">
        <v>186711118.119427</v>
      </c>
      <c r="G69" s="39" t="n">
        <v>182166667</v>
      </c>
      <c r="H69" s="33" t="n">
        <f aca="false">J68</f>
        <v>364333334</v>
      </c>
      <c r="I69" s="33" t="n">
        <f aca="false">H69*N69</f>
        <v>4544451.11942667</v>
      </c>
      <c r="J69" s="33" t="n">
        <f aca="false">H69-E69</f>
        <v>182166667</v>
      </c>
      <c r="K69" s="33" t="n">
        <f aca="false">D69-I69</f>
        <v>0</v>
      </c>
      <c r="L69" s="33" t="n">
        <f aca="false">G69-J69</f>
        <v>0</v>
      </c>
      <c r="M69" s="33" t="n">
        <f aca="false">F69</f>
        <v>186711118.119427</v>
      </c>
      <c r="N69" s="64" t="n">
        <v>0.0124733333333333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46864</v>
      </c>
      <c r="C70" s="39" t="n">
        <v>182166667</v>
      </c>
      <c r="D70" s="39" t="n">
        <v>2272225.55971333</v>
      </c>
      <c r="E70" s="39" t="n">
        <v>0</v>
      </c>
      <c r="F70" s="39" t="n">
        <v>2272225.55971333</v>
      </c>
      <c r="G70" s="39" t="n">
        <v>182166667</v>
      </c>
      <c r="H70" s="33" t="n">
        <f aca="false">J69</f>
        <v>182166667</v>
      </c>
      <c r="I70" s="33" t="n">
        <f aca="false">H70*N70</f>
        <v>2272225.55971333</v>
      </c>
      <c r="J70" s="33" t="n">
        <f aca="false">H70-E70</f>
        <v>182166667</v>
      </c>
      <c r="K70" s="33" t="n">
        <f aca="false">D70-I70</f>
        <v>0</v>
      </c>
      <c r="L70" s="33" t="n">
        <f aca="false">G70-J70</f>
        <v>0</v>
      </c>
      <c r="M70" s="33" t="n">
        <f aca="false">F70</f>
        <v>2272225.55971333</v>
      </c>
      <c r="N70" s="64" t="n">
        <v>0.0124733333333333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46894</v>
      </c>
      <c r="C71" s="39" t="n">
        <v>182166667</v>
      </c>
      <c r="D71" s="39" t="n">
        <v>2272225.55971333</v>
      </c>
      <c r="E71" s="39" t="n">
        <v>0</v>
      </c>
      <c r="F71" s="39" t="n">
        <v>2272225.55971333</v>
      </c>
      <c r="G71" s="39" t="n">
        <v>182166667</v>
      </c>
      <c r="H71" s="33" t="n">
        <f aca="false">J70</f>
        <v>182166667</v>
      </c>
      <c r="I71" s="33" t="n">
        <f aca="false">H71*N71</f>
        <v>2272225.55971333</v>
      </c>
      <c r="J71" s="33" t="n">
        <f aca="false">H71-E71</f>
        <v>182166667</v>
      </c>
      <c r="K71" s="33" t="n">
        <f aca="false">D71-I71</f>
        <v>0</v>
      </c>
      <c r="L71" s="33" t="n">
        <f aca="false">G71-J71</f>
        <v>0</v>
      </c>
      <c r="M71" s="33" t="n">
        <f aca="false">F71</f>
        <v>2272225.55971333</v>
      </c>
      <c r="N71" s="64" t="n">
        <v>0.0124733333333333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46925</v>
      </c>
      <c r="C72" s="39" t="n">
        <v>182166667</v>
      </c>
      <c r="D72" s="39" t="n">
        <v>2272225.55971333</v>
      </c>
      <c r="E72" s="39" t="n">
        <v>182166663</v>
      </c>
      <c r="F72" s="39" t="n">
        <v>184438888.559713</v>
      </c>
      <c r="G72" s="39" t="n">
        <v>4</v>
      </c>
      <c r="H72" s="33" t="n">
        <f aca="false">J71</f>
        <v>182166667</v>
      </c>
      <c r="I72" s="33" t="n">
        <f aca="false">H72*N72</f>
        <v>2272225.55971333</v>
      </c>
      <c r="J72" s="33" t="n">
        <f aca="false">H72-E72</f>
        <v>4</v>
      </c>
      <c r="K72" s="33" t="n">
        <f aca="false">D72-I72</f>
        <v>0</v>
      </c>
      <c r="L72" s="33" t="n">
        <f aca="false">G72-J72</f>
        <v>0</v>
      </c>
      <c r="M72" s="33" t="n">
        <f aca="false">F72</f>
        <v>184438888.559713</v>
      </c>
      <c r="N72" s="64" t="n">
        <v>0.0124733333333333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1806</v>
      </c>
    </row>
    <row r="2" customFormat="false" ht="15" hidden="false" customHeight="false" outlineLevel="0" collapsed="false">
      <c r="A2" s="24" t="s">
        <v>1807</v>
      </c>
    </row>
    <row r="3" customFormat="false" ht="15" hidden="false" customHeight="false" outlineLevel="0" collapsed="false">
      <c r="A3" s="34" t="s">
        <v>1748</v>
      </c>
      <c r="C3" s="38" t="s">
        <v>1808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2500000000</v>
      </c>
      <c r="F4" s="26" t="s">
        <v>1752</v>
      </c>
      <c r="I4" s="57" t="n">
        <f aca="false">_xlfn.MAXIFS($B$12:$B$72,$B$12:$B$72,"&lt;="&amp;Resumen!$C$5)</f>
        <v>46224</v>
      </c>
    </row>
    <row r="5" customFormat="false" ht="15" hidden="false" customHeight="false" outlineLevel="0" collapsed="false">
      <c r="A5" s="34" t="s">
        <v>1753</v>
      </c>
      <c r="C5" s="27" t="n">
        <v>45163</v>
      </c>
      <c r="F5" s="26" t="s">
        <v>1754</v>
      </c>
      <c r="I5" s="58" t="n">
        <f aca="false">SUMIFS($G$12:$G$72,$B$12:$B$72,I4)</f>
        <v>1125000000</v>
      </c>
    </row>
    <row r="6" customFormat="false" ht="15" hidden="false" customHeight="false" outlineLevel="0" collapsed="false">
      <c r="A6" s="34" t="s">
        <v>1755</v>
      </c>
      <c r="C6" s="38" t="s">
        <v>1809</v>
      </c>
      <c r="F6" s="26" t="s">
        <v>1757</v>
      </c>
      <c r="I6" s="33" t="n">
        <f aca="false">SUMIFS($J$12:$J$72,$B$12:$B$72,I4)</f>
        <v>1125000000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SUMIFS($D$12:$D$72,$O$12:$O$72,1)</f>
        <v>108575000</v>
      </c>
    </row>
    <row r="8" customFormat="false" ht="15" hidden="false" customHeight="false" outlineLevel="0" collapsed="false">
      <c r="A8" s="34" t="s">
        <v>1760</v>
      </c>
      <c r="C8" s="65" t="n">
        <f aca="false">IFERROR(IRR($M$12:$M$72),"N/A")</f>
        <v>0.0128176454362254</v>
      </c>
      <c r="F8" s="26" t="s">
        <v>1761</v>
      </c>
      <c r="I8" s="33" t="n">
        <f aca="false">SUMIFS($E$12:$E$72,$P$12:$P$72,1)</f>
        <v>500000000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0.165131942793725</v>
      </c>
      <c r="F9" s="26" t="s">
        <v>1763</v>
      </c>
      <c r="I9" s="33" t="n">
        <f aca="false">SUMPRODUCT(MAX(ABS($L$12:$L$72)))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45159</v>
      </c>
      <c r="C12" s="39" t="n">
        <v>2500000000</v>
      </c>
      <c r="D12" s="39" t="n">
        <v>0</v>
      </c>
      <c r="E12" s="39" t="n">
        <v>0</v>
      </c>
      <c r="F12" s="39" t="n">
        <v>0</v>
      </c>
      <c r="G12" s="39" t="n">
        <v>2500000000</v>
      </c>
      <c r="H12" s="33" t="n">
        <f aca="false">C12</f>
        <v>2500000000</v>
      </c>
      <c r="I12" s="33" t="n">
        <f aca="false">H12*N12</f>
        <v>37195833.3333333</v>
      </c>
      <c r="J12" s="33" t="n">
        <f aca="false">H12-E12</f>
        <v>2500000000</v>
      </c>
      <c r="K12" s="33" t="n">
        <f aca="false">D12-I12</f>
        <v>-37195833.3333333</v>
      </c>
      <c r="L12" s="33" t="n">
        <f aca="false">G12-J12</f>
        <v>0</v>
      </c>
      <c r="M12" s="33" t="n">
        <f aca="false">-$C$4</f>
        <v>-2500000000</v>
      </c>
      <c r="N12" s="64" t="n">
        <v>0.0148783333333333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45190</v>
      </c>
      <c r="C13" s="39" t="n">
        <v>2500000000</v>
      </c>
      <c r="D13" s="39" t="n">
        <v>36900000</v>
      </c>
      <c r="E13" s="39" t="n">
        <v>0</v>
      </c>
      <c r="F13" s="39" t="n">
        <v>36900000</v>
      </c>
      <c r="G13" s="39" t="n">
        <v>2500000000</v>
      </c>
      <c r="H13" s="33" t="n">
        <f aca="false">J12</f>
        <v>2500000000</v>
      </c>
      <c r="I13" s="33" t="n">
        <f aca="false">H13*N13</f>
        <v>36900000</v>
      </c>
      <c r="J13" s="33" t="n">
        <f aca="false">H13-E13</f>
        <v>2500000000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36900000</v>
      </c>
      <c r="N13" s="64" t="n">
        <v>0.01476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45220</v>
      </c>
      <c r="C14" s="39" t="n">
        <v>2500000000</v>
      </c>
      <c r="D14" s="39" t="n">
        <v>36897916.6666667</v>
      </c>
      <c r="E14" s="39" t="n">
        <v>0</v>
      </c>
      <c r="F14" s="39" t="n">
        <v>36897916.6666667</v>
      </c>
      <c r="G14" s="39" t="n">
        <v>2500000000</v>
      </c>
      <c r="H14" s="33" t="n">
        <f aca="false">J13</f>
        <v>2500000000</v>
      </c>
      <c r="I14" s="33" t="n">
        <f aca="false">H14*N14</f>
        <v>36897916.6666667</v>
      </c>
      <c r="J14" s="33" t="n">
        <f aca="false">H14-E14</f>
        <v>2500000000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36897916.6666667</v>
      </c>
      <c r="N14" s="64" t="n">
        <v>0.0147591666666667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45251</v>
      </c>
      <c r="C15" s="39" t="n">
        <v>2500000000</v>
      </c>
      <c r="D15" s="39" t="n">
        <v>35241666.6666667</v>
      </c>
      <c r="E15" s="39" t="n">
        <v>125000000</v>
      </c>
      <c r="F15" s="39" t="n">
        <v>160241666.666667</v>
      </c>
      <c r="G15" s="39" t="n">
        <v>2375000000</v>
      </c>
      <c r="H15" s="33" t="n">
        <f aca="false">J14</f>
        <v>2500000000</v>
      </c>
      <c r="I15" s="33" t="n">
        <f aca="false">H15*N15</f>
        <v>35241666.6666667</v>
      </c>
      <c r="J15" s="33" t="n">
        <f aca="false">H15-E15</f>
        <v>2375000000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160241666.666667</v>
      </c>
      <c r="N15" s="64" t="n">
        <v>0.0140966666666667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45281</v>
      </c>
      <c r="C16" s="39" t="n">
        <v>2375000000</v>
      </c>
      <c r="D16" s="39" t="n">
        <v>33465729.1666667</v>
      </c>
      <c r="E16" s="39" t="n">
        <v>0</v>
      </c>
      <c r="F16" s="39" t="n">
        <v>33465729.1666667</v>
      </c>
      <c r="G16" s="39" t="n">
        <v>2375000000</v>
      </c>
      <c r="H16" s="33" t="n">
        <f aca="false">J15</f>
        <v>2375000000</v>
      </c>
      <c r="I16" s="33" t="n">
        <f aca="false">H16*N16</f>
        <v>33465729.1666667</v>
      </c>
      <c r="J16" s="33" t="n">
        <f aca="false">H16-E16</f>
        <v>2375000000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33465729.1666667</v>
      </c>
      <c r="N16" s="64" t="n">
        <v>0.0140908333333333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45312</v>
      </c>
      <c r="C17" s="39" t="n">
        <v>2375000000</v>
      </c>
      <c r="D17" s="39" t="n">
        <v>33149062.5</v>
      </c>
      <c r="E17" s="39" t="n">
        <v>0</v>
      </c>
      <c r="F17" s="39" t="n">
        <v>33149062.5</v>
      </c>
      <c r="G17" s="39" t="n">
        <v>2375000000</v>
      </c>
      <c r="H17" s="33" t="n">
        <f aca="false">J16</f>
        <v>2375000000</v>
      </c>
      <c r="I17" s="33" t="n">
        <f aca="false">H17*N17</f>
        <v>33149062.5</v>
      </c>
      <c r="J17" s="33" t="n">
        <f aca="false">H17-E17</f>
        <v>2375000000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33149062.5</v>
      </c>
      <c r="N17" s="64" t="n">
        <v>0.0139575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45343</v>
      </c>
      <c r="C18" s="39" t="n">
        <v>2375000000</v>
      </c>
      <c r="D18" s="39" t="n">
        <v>32854166.6666667</v>
      </c>
      <c r="E18" s="39" t="n">
        <v>125000000</v>
      </c>
      <c r="F18" s="39" t="n">
        <v>157854166.666667</v>
      </c>
      <c r="G18" s="39" t="n">
        <v>2250000000</v>
      </c>
      <c r="H18" s="33" t="n">
        <f aca="false">J17</f>
        <v>2375000000</v>
      </c>
      <c r="I18" s="33" t="n">
        <f aca="false">H18*N18</f>
        <v>32854166.6666667</v>
      </c>
      <c r="J18" s="33" t="n">
        <f aca="false">H18-E18</f>
        <v>2250000000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157854166.666667</v>
      </c>
      <c r="N18" s="64" t="n">
        <v>0.0138333333333333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45372</v>
      </c>
      <c r="C19" s="39" t="n">
        <v>2250000000</v>
      </c>
      <c r="D19" s="39" t="n">
        <v>30723750</v>
      </c>
      <c r="E19" s="39" t="n">
        <v>0</v>
      </c>
      <c r="F19" s="39" t="n">
        <v>30723750</v>
      </c>
      <c r="G19" s="39" t="n">
        <v>2250000000</v>
      </c>
      <c r="H19" s="33" t="n">
        <f aca="false">J18</f>
        <v>2250000000</v>
      </c>
      <c r="I19" s="33" t="n">
        <f aca="false">H19*N19</f>
        <v>30723750</v>
      </c>
      <c r="J19" s="33" t="n">
        <f aca="false">H19-E19</f>
        <v>2250000000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30723750</v>
      </c>
      <c r="N19" s="64" t="n">
        <v>0.013655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45403</v>
      </c>
      <c r="C20" s="39" t="n">
        <v>2250000000</v>
      </c>
      <c r="D20" s="39" t="n">
        <v>31548750</v>
      </c>
      <c r="E20" s="39" t="n">
        <v>0</v>
      </c>
      <c r="F20" s="39" t="n">
        <v>31548750</v>
      </c>
      <c r="G20" s="39" t="n">
        <v>2250000000</v>
      </c>
      <c r="H20" s="33" t="n">
        <f aca="false">J19</f>
        <v>2250000000</v>
      </c>
      <c r="I20" s="33" t="n">
        <f aca="false">H20*N20</f>
        <v>31548750</v>
      </c>
      <c r="J20" s="33" t="n">
        <f aca="false">H20-E20</f>
        <v>2250000000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31548750</v>
      </c>
      <c r="N20" s="64" t="n">
        <v>0.0140216666666667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45433</v>
      </c>
      <c r="C21" s="39" t="n">
        <v>2250000000</v>
      </c>
      <c r="D21" s="39" t="n">
        <v>29643750</v>
      </c>
      <c r="E21" s="39" t="n">
        <v>125000000</v>
      </c>
      <c r="F21" s="39" t="n">
        <v>154643750</v>
      </c>
      <c r="G21" s="39" t="n">
        <v>2125000000</v>
      </c>
      <c r="H21" s="33" t="n">
        <f aca="false">J20</f>
        <v>2250000000</v>
      </c>
      <c r="I21" s="33" t="n">
        <f aca="false">H21*N21</f>
        <v>29643750</v>
      </c>
      <c r="J21" s="33" t="n">
        <f aca="false">H21-E21</f>
        <v>2125000000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154643750</v>
      </c>
      <c r="N21" s="64" t="n">
        <v>0.013175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45464</v>
      </c>
      <c r="C22" s="39" t="n">
        <v>2125000000</v>
      </c>
      <c r="D22" s="39" t="n">
        <v>28616666.6666667</v>
      </c>
      <c r="E22" s="39" t="n">
        <v>0</v>
      </c>
      <c r="F22" s="39" t="n">
        <v>28616666.6666667</v>
      </c>
      <c r="G22" s="39" t="n">
        <v>2125000000</v>
      </c>
      <c r="H22" s="33" t="n">
        <f aca="false">J21</f>
        <v>2125000000</v>
      </c>
      <c r="I22" s="33" t="n">
        <f aca="false">H22*N22</f>
        <v>28616666.6666667</v>
      </c>
      <c r="J22" s="33" t="n">
        <f aca="false">H22-E22</f>
        <v>2125000000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28616666.6666667</v>
      </c>
      <c r="N22" s="64" t="n">
        <v>0.0134666666666667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45494</v>
      </c>
      <c r="C23" s="39" t="n">
        <v>2125000000</v>
      </c>
      <c r="D23" s="39" t="n">
        <v>27920729.1666667</v>
      </c>
      <c r="E23" s="39" t="n">
        <v>0</v>
      </c>
      <c r="F23" s="39" t="n">
        <v>27920729.1666667</v>
      </c>
      <c r="G23" s="39" t="n">
        <v>2125000000</v>
      </c>
      <c r="H23" s="33" t="n">
        <f aca="false">J22</f>
        <v>2125000000</v>
      </c>
      <c r="I23" s="33" t="n">
        <f aca="false">H23*N23</f>
        <v>27920729.1666667</v>
      </c>
      <c r="J23" s="33" t="n">
        <f aca="false">H23-E23</f>
        <v>2125000000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27920729.1666667</v>
      </c>
      <c r="N23" s="64" t="n">
        <v>0.0131391666666667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45525</v>
      </c>
      <c r="C24" s="39" t="n">
        <v>2125000000</v>
      </c>
      <c r="D24" s="39" t="n">
        <v>26314583.3333333</v>
      </c>
      <c r="E24" s="39" t="n">
        <v>125000000</v>
      </c>
      <c r="F24" s="39" t="n">
        <v>151314583.333333</v>
      </c>
      <c r="G24" s="39" t="n">
        <v>2000000000</v>
      </c>
      <c r="H24" s="33" t="n">
        <f aca="false">J23</f>
        <v>2125000000</v>
      </c>
      <c r="I24" s="33" t="n">
        <f aca="false">H24*N24</f>
        <v>26314583.3333333</v>
      </c>
      <c r="J24" s="33" t="n">
        <f aca="false">H24-E24</f>
        <v>2000000000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151314583.333333</v>
      </c>
      <c r="N24" s="64" t="n">
        <v>0.0123833333333333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45556</v>
      </c>
      <c r="C25" s="39" t="n">
        <v>2000000000</v>
      </c>
      <c r="D25" s="39" t="n">
        <v>24733333.3333333</v>
      </c>
      <c r="E25" s="39" t="n">
        <v>0</v>
      </c>
      <c r="F25" s="39" t="n">
        <v>24733333.3333333</v>
      </c>
      <c r="G25" s="39" t="n">
        <v>2000000000</v>
      </c>
      <c r="H25" s="33" t="n">
        <f aca="false">J24</f>
        <v>2000000000</v>
      </c>
      <c r="I25" s="33" t="n">
        <f aca="false">H25*N25</f>
        <v>24733333.3333333</v>
      </c>
      <c r="J25" s="33" t="n">
        <f aca="false">H25-E25</f>
        <v>2000000000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24733333.3333333</v>
      </c>
      <c r="N25" s="64" t="n">
        <v>0.0123666666666667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45586</v>
      </c>
      <c r="C26" s="39" t="n">
        <v>2000000000</v>
      </c>
      <c r="D26" s="39" t="n">
        <v>24631666.6666667</v>
      </c>
      <c r="E26" s="39" t="n">
        <v>0</v>
      </c>
      <c r="F26" s="39" t="n">
        <v>24631666.6666667</v>
      </c>
      <c r="G26" s="39" t="n">
        <v>2000000000</v>
      </c>
      <c r="H26" s="33" t="n">
        <f aca="false">J25</f>
        <v>2000000000</v>
      </c>
      <c r="I26" s="33" t="n">
        <f aca="false">H26*N26</f>
        <v>24631666.6666667</v>
      </c>
      <c r="J26" s="33" t="n">
        <f aca="false">H26-E26</f>
        <v>2000000000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24631666.6666667</v>
      </c>
      <c r="N26" s="64" t="n">
        <v>0.0123158333333333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45617</v>
      </c>
      <c r="C27" s="39" t="n">
        <v>2000000000</v>
      </c>
      <c r="D27" s="39" t="n">
        <v>23141666.6666667</v>
      </c>
      <c r="E27" s="39" t="n">
        <v>125000000</v>
      </c>
      <c r="F27" s="39" t="n">
        <v>148141666.666667</v>
      </c>
      <c r="G27" s="39" t="n">
        <v>1875000000</v>
      </c>
      <c r="H27" s="33" t="n">
        <f aca="false">J26</f>
        <v>2000000000</v>
      </c>
      <c r="I27" s="33" t="n">
        <f aca="false">H27*N27</f>
        <v>23141666.6666667</v>
      </c>
      <c r="J27" s="33" t="n">
        <f aca="false">H27-E27</f>
        <v>1875000000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148141666.666667</v>
      </c>
      <c r="N27" s="64" t="n">
        <v>0.0115708333333333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45647</v>
      </c>
      <c r="C28" s="39" t="n">
        <v>1875000000</v>
      </c>
      <c r="D28" s="39" t="n">
        <v>21257812.5</v>
      </c>
      <c r="E28" s="39" t="n">
        <v>0</v>
      </c>
      <c r="F28" s="39" t="n">
        <v>21257812.5</v>
      </c>
      <c r="G28" s="39" t="n">
        <v>1875000000</v>
      </c>
      <c r="H28" s="33" t="n">
        <f aca="false">J27</f>
        <v>1875000000</v>
      </c>
      <c r="I28" s="33" t="n">
        <f aca="false">H28*N28</f>
        <v>21257812.5</v>
      </c>
      <c r="J28" s="33" t="n">
        <f aca="false">H28-E28</f>
        <v>1875000000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21257812.5</v>
      </c>
      <c r="N28" s="64" t="n">
        <v>0.0113375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45678</v>
      </c>
      <c r="C29" s="39" t="n">
        <v>1875000000</v>
      </c>
      <c r="D29" s="39" t="n">
        <v>20973437.5</v>
      </c>
      <c r="E29" s="39" t="n">
        <v>0</v>
      </c>
      <c r="F29" s="39" t="n">
        <v>20973437.5</v>
      </c>
      <c r="G29" s="39" t="n">
        <v>1875000000</v>
      </c>
      <c r="H29" s="33" t="n">
        <f aca="false">J28</f>
        <v>1875000000</v>
      </c>
      <c r="I29" s="33" t="n">
        <f aca="false">H29*N29</f>
        <v>20973437.5</v>
      </c>
      <c r="J29" s="33" t="n">
        <f aca="false">H29-E29</f>
        <v>1875000000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20973437.5</v>
      </c>
      <c r="N29" s="64" t="n">
        <v>0.0111858333333333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45709</v>
      </c>
      <c r="C30" s="39" t="n">
        <v>1875000000</v>
      </c>
      <c r="D30" s="39" t="n">
        <v>21182812.5</v>
      </c>
      <c r="E30" s="39" t="n">
        <v>125000000</v>
      </c>
      <c r="F30" s="39" t="n">
        <v>146182812.5</v>
      </c>
      <c r="G30" s="39" t="n">
        <v>1750000000</v>
      </c>
      <c r="H30" s="33" t="n">
        <f aca="false">J29</f>
        <v>1875000000</v>
      </c>
      <c r="I30" s="33" t="n">
        <f aca="false">H30*N30</f>
        <v>21182812.5</v>
      </c>
      <c r="J30" s="33" t="n">
        <f aca="false">H30-E30</f>
        <v>1750000000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146182812.5</v>
      </c>
      <c r="N30" s="64" t="n">
        <v>0.0112975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45737</v>
      </c>
      <c r="C31" s="39" t="n">
        <v>1750000000</v>
      </c>
      <c r="D31" s="39" t="n">
        <v>19553333.3333333</v>
      </c>
      <c r="E31" s="39" t="n">
        <v>0</v>
      </c>
      <c r="F31" s="39" t="n">
        <v>19553333.3333333</v>
      </c>
      <c r="G31" s="39" t="n">
        <v>1750000000</v>
      </c>
      <c r="H31" s="33" t="n">
        <f aca="false">J30</f>
        <v>1750000000</v>
      </c>
      <c r="I31" s="33" t="n">
        <f aca="false">H31*N31</f>
        <v>19553333.3333333</v>
      </c>
      <c r="J31" s="33" t="n">
        <f aca="false">H31-E31</f>
        <v>1750000000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19553333.3333333</v>
      </c>
      <c r="N31" s="64" t="n">
        <v>0.0111733333333333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45768</v>
      </c>
      <c r="C32" s="39" t="n">
        <v>1750000000</v>
      </c>
      <c r="D32" s="39" t="n">
        <v>19626250</v>
      </c>
      <c r="E32" s="39" t="n">
        <v>0</v>
      </c>
      <c r="F32" s="39" t="n">
        <v>19626250</v>
      </c>
      <c r="G32" s="39" t="n">
        <v>1750000000</v>
      </c>
      <c r="H32" s="33" t="n">
        <f aca="false">J31</f>
        <v>1750000000</v>
      </c>
      <c r="I32" s="33" t="n">
        <f aca="false">H32*N32</f>
        <v>19626250</v>
      </c>
      <c r="J32" s="33" t="n">
        <f aca="false">H32-E32</f>
        <v>1750000000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19626250</v>
      </c>
      <c r="N32" s="64" t="n">
        <v>0.011215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45798</v>
      </c>
      <c r="C33" s="39" t="n">
        <v>1750000000</v>
      </c>
      <c r="D33" s="39" t="n">
        <v>19672916.6666667</v>
      </c>
      <c r="E33" s="39" t="n">
        <v>125000000</v>
      </c>
      <c r="F33" s="39" t="n">
        <v>144672916.666667</v>
      </c>
      <c r="G33" s="39" t="n">
        <v>1625000000</v>
      </c>
      <c r="H33" s="33" t="n">
        <f aca="false">J32</f>
        <v>1750000000</v>
      </c>
      <c r="I33" s="33" t="n">
        <f aca="false">H33*N33</f>
        <v>19672916.6666667</v>
      </c>
      <c r="J33" s="33" t="n">
        <f aca="false">H33-E33</f>
        <v>1625000000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144672916.666667</v>
      </c>
      <c r="N33" s="64" t="n">
        <v>0.0112416666666667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45829</v>
      </c>
      <c r="C34" s="39" t="n">
        <v>1625000000</v>
      </c>
      <c r="D34" s="39" t="n">
        <v>18355729.1666667</v>
      </c>
      <c r="E34" s="39" t="n">
        <v>0</v>
      </c>
      <c r="F34" s="39" t="n">
        <v>18355729.1666667</v>
      </c>
      <c r="G34" s="39" t="n">
        <v>1625000000</v>
      </c>
      <c r="H34" s="33" t="n">
        <f aca="false">J33</f>
        <v>1625000000</v>
      </c>
      <c r="I34" s="33" t="n">
        <f aca="false">H34*N34</f>
        <v>18355729.1666667</v>
      </c>
      <c r="J34" s="33" t="n">
        <f aca="false">H34-E34</f>
        <v>1625000000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18355729.1666667</v>
      </c>
      <c r="N34" s="64" t="n">
        <v>0.0112958333333333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45859</v>
      </c>
      <c r="C35" s="39" t="n">
        <v>1625000000</v>
      </c>
      <c r="D35" s="39" t="n">
        <v>18033437.5</v>
      </c>
      <c r="E35" s="39" t="n">
        <v>0</v>
      </c>
      <c r="F35" s="39" t="n">
        <v>18033437.5</v>
      </c>
      <c r="G35" s="39" t="n">
        <v>1625000000</v>
      </c>
      <c r="H35" s="33" t="n">
        <f aca="false">J34</f>
        <v>1625000000</v>
      </c>
      <c r="I35" s="33" t="n">
        <f aca="false">H35*N35</f>
        <v>18033437.5</v>
      </c>
      <c r="J35" s="33" t="n">
        <f aca="false">H35-E35</f>
        <v>1625000000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18033437.5</v>
      </c>
      <c r="N35" s="64" t="n">
        <v>0.0110975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45890</v>
      </c>
      <c r="C36" s="39" t="n">
        <v>1625000000</v>
      </c>
      <c r="D36" s="39" t="n">
        <v>18002291.6666667</v>
      </c>
      <c r="E36" s="39" t="n">
        <v>125000000</v>
      </c>
      <c r="F36" s="39" t="n">
        <v>143002291.666667</v>
      </c>
      <c r="G36" s="39" t="n">
        <v>1500000000</v>
      </c>
      <c r="H36" s="33" t="n">
        <f aca="false">J35</f>
        <v>1625000000</v>
      </c>
      <c r="I36" s="33" t="n">
        <f aca="false">H36*N36</f>
        <v>18002291.6666667</v>
      </c>
      <c r="J36" s="33" t="n">
        <f aca="false">H36-E36</f>
        <v>1500000000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143002291.666667</v>
      </c>
      <c r="N36" s="64" t="n">
        <v>0.0110783333333333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45921</v>
      </c>
      <c r="C37" s="39" t="n">
        <v>1500000000</v>
      </c>
      <c r="D37" s="39" t="n">
        <v>16517500</v>
      </c>
      <c r="E37" s="39" t="n">
        <v>0</v>
      </c>
      <c r="F37" s="39" t="n">
        <v>16517500</v>
      </c>
      <c r="G37" s="39" t="n">
        <v>1500000000</v>
      </c>
      <c r="H37" s="33" t="n">
        <f aca="false">J36</f>
        <v>1500000000</v>
      </c>
      <c r="I37" s="33" t="n">
        <f aca="false">H37*N37</f>
        <v>16517500</v>
      </c>
      <c r="J37" s="33" t="n">
        <f aca="false">H37-E37</f>
        <v>1500000000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16517500</v>
      </c>
      <c r="N37" s="64" t="n">
        <v>0.0110116666666667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45951</v>
      </c>
      <c r="C38" s="39" t="n">
        <v>1500000000</v>
      </c>
      <c r="D38" s="39" t="n">
        <v>16698750</v>
      </c>
      <c r="E38" s="39" t="n">
        <v>0</v>
      </c>
      <c r="F38" s="39" t="n">
        <v>16698750</v>
      </c>
      <c r="G38" s="39" t="n">
        <v>1500000000</v>
      </c>
      <c r="H38" s="33" t="n">
        <f aca="false">J37</f>
        <v>1500000000</v>
      </c>
      <c r="I38" s="33" t="n">
        <f aca="false">H38*N38</f>
        <v>16698750</v>
      </c>
      <c r="J38" s="33" t="n">
        <f aca="false">H38-E38</f>
        <v>1500000000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16698750</v>
      </c>
      <c r="N38" s="64" t="n">
        <v>0.0111325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45982</v>
      </c>
      <c r="C39" s="39" t="n">
        <v>1500000000</v>
      </c>
      <c r="D39" s="39" t="n">
        <v>16728750</v>
      </c>
      <c r="E39" s="39" t="n">
        <v>125000000</v>
      </c>
      <c r="F39" s="39" t="n">
        <v>141728750</v>
      </c>
      <c r="G39" s="39" t="n">
        <v>1375000000</v>
      </c>
      <c r="H39" s="33" t="n">
        <f aca="false">J38</f>
        <v>1500000000</v>
      </c>
      <c r="I39" s="33" t="n">
        <f aca="false">H39*N39</f>
        <v>16728750</v>
      </c>
      <c r="J39" s="33" t="n">
        <f aca="false">H39-E39</f>
        <v>1375000000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141728750</v>
      </c>
      <c r="N39" s="64" t="n">
        <v>0.0111525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46012</v>
      </c>
      <c r="C40" s="39" t="n">
        <v>1375000000</v>
      </c>
      <c r="D40" s="39" t="n">
        <v>15408020.8333333</v>
      </c>
      <c r="E40" s="39" t="n">
        <v>0</v>
      </c>
      <c r="F40" s="39" t="n">
        <v>15408020.8333333</v>
      </c>
      <c r="G40" s="39" t="n">
        <v>1375000000</v>
      </c>
      <c r="H40" s="33" t="n">
        <f aca="false">J39</f>
        <v>1375000000</v>
      </c>
      <c r="I40" s="33" t="n">
        <f aca="false">H40*N40</f>
        <v>15408020.8333333</v>
      </c>
      <c r="J40" s="33" t="n">
        <f aca="false">H40-E40</f>
        <v>1375000000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15408020.8333333</v>
      </c>
      <c r="N40" s="64" t="n">
        <v>0.0112058333333333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46043</v>
      </c>
      <c r="C41" s="39" t="n">
        <v>1375000000</v>
      </c>
      <c r="D41" s="39" t="n">
        <v>15609687.5</v>
      </c>
      <c r="E41" s="39" t="n">
        <v>0</v>
      </c>
      <c r="F41" s="39" t="n">
        <v>15609687.5</v>
      </c>
      <c r="G41" s="39" t="n">
        <v>1375000000</v>
      </c>
      <c r="H41" s="33" t="n">
        <f aca="false">J40</f>
        <v>1375000000</v>
      </c>
      <c r="I41" s="33" t="n">
        <f aca="false">H41*N41</f>
        <v>15609687.5</v>
      </c>
      <c r="J41" s="33" t="n">
        <f aca="false">H41-E41</f>
        <v>1375000000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15609687.5</v>
      </c>
      <c r="N41" s="64" t="n">
        <v>0.0113525</v>
      </c>
      <c r="O41" s="48" t="n">
        <f aca="false">IF(AND(B41&gt;=DATE(2026,1,1),B41&lt;=Resumen!$C$5),1,0)</f>
        <v>1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46074</v>
      </c>
      <c r="C42" s="39" t="n">
        <v>1375000000</v>
      </c>
      <c r="D42" s="39" t="n">
        <v>16042812.5</v>
      </c>
      <c r="E42" s="39" t="n">
        <v>125000000</v>
      </c>
      <c r="F42" s="39" t="n">
        <v>141042812.5</v>
      </c>
      <c r="G42" s="39" t="n">
        <v>1250000000</v>
      </c>
      <c r="H42" s="33" t="n">
        <f aca="false">J41</f>
        <v>1375000000</v>
      </c>
      <c r="I42" s="33" t="n">
        <f aca="false">H42*N42</f>
        <v>16042812.5</v>
      </c>
      <c r="J42" s="33" t="n">
        <f aca="false">H42-E42</f>
        <v>1250000000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141042812.5</v>
      </c>
      <c r="N42" s="64" t="n">
        <v>0.0116675</v>
      </c>
      <c r="O42" s="48" t="n">
        <f aca="false">IF(AND(B42&gt;=DATE(2026,1,1),B42&lt;=Resumen!$C$5),1,0)</f>
        <v>1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46102</v>
      </c>
      <c r="C43" s="39" t="n">
        <v>1250000000</v>
      </c>
      <c r="D43" s="39" t="n">
        <v>14776041.6666667</v>
      </c>
      <c r="E43" s="39" t="n">
        <v>0</v>
      </c>
      <c r="F43" s="39" t="n">
        <v>14776041.6666667</v>
      </c>
      <c r="G43" s="39" t="n">
        <v>1250000000</v>
      </c>
      <c r="H43" s="33" t="n">
        <f aca="false">J42</f>
        <v>1250000000</v>
      </c>
      <c r="I43" s="33" t="n">
        <f aca="false">H43*N43</f>
        <v>14776041.6666667</v>
      </c>
      <c r="J43" s="33" t="n">
        <f aca="false">H43-E43</f>
        <v>1250000000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14776041.6666667</v>
      </c>
      <c r="N43" s="64" t="n">
        <v>0.0118208333333333</v>
      </c>
      <c r="O43" s="48" t="n">
        <f aca="false">IF(AND(B43&gt;=DATE(2026,1,1),B43&lt;=Resumen!$C$5),1,0)</f>
        <v>1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46133</v>
      </c>
      <c r="C44" s="39" t="n">
        <v>1250000000</v>
      </c>
      <c r="D44" s="39" t="n">
        <v>15784375</v>
      </c>
      <c r="E44" s="39" t="n">
        <v>0</v>
      </c>
      <c r="F44" s="39" t="n">
        <v>15784375</v>
      </c>
      <c r="G44" s="39" t="n">
        <v>1250000000</v>
      </c>
      <c r="H44" s="33" t="n">
        <f aca="false">J43</f>
        <v>1250000000</v>
      </c>
      <c r="I44" s="33" t="n">
        <f aca="false">H44*N44</f>
        <v>15784375</v>
      </c>
      <c r="J44" s="33" t="n">
        <f aca="false">H44-E44</f>
        <v>1250000000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15784375</v>
      </c>
      <c r="N44" s="64" t="n">
        <v>0.0126275</v>
      </c>
      <c r="O44" s="48" t="n">
        <f aca="false">IF(AND(B44&gt;=DATE(2026,1,1),B44&lt;=Resumen!$C$5),1,0)</f>
        <v>1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46163</v>
      </c>
      <c r="C45" s="39" t="n">
        <v>1250000000</v>
      </c>
      <c r="D45" s="39" t="n">
        <v>16273958.3333333</v>
      </c>
      <c r="E45" s="39" t="n">
        <v>125000000</v>
      </c>
      <c r="F45" s="39" t="n">
        <v>141273958.333333</v>
      </c>
      <c r="G45" s="39" t="n">
        <v>1125000000</v>
      </c>
      <c r="H45" s="33" t="n">
        <f aca="false">J44</f>
        <v>1250000000</v>
      </c>
      <c r="I45" s="33" t="n">
        <f aca="false">H45*N45</f>
        <v>16273958.3333333</v>
      </c>
      <c r="J45" s="33" t="n">
        <f aca="false">H45-E45</f>
        <v>1125000000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141273958.333333</v>
      </c>
      <c r="N45" s="64" t="n">
        <v>0.0130191666666667</v>
      </c>
      <c r="O45" s="48" t="n">
        <f aca="false">IF(AND(B45&gt;=DATE(2026,1,1),B45&lt;=Resumen!$C$5),1,0)</f>
        <v>1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46194</v>
      </c>
      <c r="C46" s="39" t="n">
        <v>1125000000</v>
      </c>
      <c r="D46" s="39" t="n">
        <v>15044062.5</v>
      </c>
      <c r="E46" s="39" t="n">
        <v>0</v>
      </c>
      <c r="F46" s="39" t="n">
        <v>15044062.5</v>
      </c>
      <c r="G46" s="39" t="n">
        <v>1125000000</v>
      </c>
      <c r="H46" s="33" t="n">
        <f aca="false">J45</f>
        <v>1125000000</v>
      </c>
      <c r="I46" s="33" t="n">
        <f aca="false">H46*N46</f>
        <v>15044062.5</v>
      </c>
      <c r="J46" s="33" t="n">
        <f aca="false">H46-E46</f>
        <v>1125000000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15044062.5</v>
      </c>
      <c r="N46" s="64" t="n">
        <v>0.0133725</v>
      </c>
      <c r="O46" s="48" t="n">
        <f aca="false">IF(AND(B46&gt;=DATE(2026,1,1),B46&lt;=Resumen!$C$5),1,0)</f>
        <v>1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46224</v>
      </c>
      <c r="C47" s="39" t="n">
        <v>1125000000</v>
      </c>
      <c r="D47" s="39" t="n">
        <v>15044062.5</v>
      </c>
      <c r="E47" s="39" t="n">
        <v>0</v>
      </c>
      <c r="F47" s="39" t="n">
        <v>15044062.5</v>
      </c>
      <c r="G47" s="39" t="n">
        <v>1125000000</v>
      </c>
      <c r="H47" s="33" t="n">
        <f aca="false">J46</f>
        <v>1125000000</v>
      </c>
      <c r="I47" s="33" t="n">
        <f aca="false">H47*N47</f>
        <v>15044062.5</v>
      </c>
      <c r="J47" s="33" t="n">
        <f aca="false">H47-E47</f>
        <v>1125000000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15044062.5</v>
      </c>
      <c r="N47" s="64" t="n">
        <v>0.0133725</v>
      </c>
      <c r="O47" s="48" t="n">
        <f aca="false">IF(AND(B47&gt;=DATE(2026,1,1),B47&lt;=Resumen!$C$5),1,0)</f>
        <v>1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46255</v>
      </c>
      <c r="C48" s="39" t="n">
        <v>1125000000</v>
      </c>
      <c r="D48" s="39" t="n">
        <v>15073125</v>
      </c>
      <c r="E48" s="39" t="n">
        <v>125000000</v>
      </c>
      <c r="F48" s="39" t="n">
        <v>140073125</v>
      </c>
      <c r="G48" s="39" t="n">
        <v>1000000000</v>
      </c>
      <c r="H48" s="33" t="n">
        <f aca="false">J47</f>
        <v>1125000000</v>
      </c>
      <c r="I48" s="33" t="n">
        <f aca="false">H48*N48</f>
        <v>15073125</v>
      </c>
      <c r="J48" s="33" t="n">
        <f aca="false">H48-E48</f>
        <v>1000000000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140073125</v>
      </c>
      <c r="N48" s="64" t="n">
        <v>0.0133983333333333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1</v>
      </c>
    </row>
    <row r="49" customFormat="false" ht="15" hidden="false" customHeight="false" outlineLevel="0" collapsed="false">
      <c r="A49" s="38" t="n">
        <v>37</v>
      </c>
      <c r="B49" s="27" t="n">
        <v>46286</v>
      </c>
      <c r="C49" s="39" t="n">
        <v>1000000000</v>
      </c>
      <c r="D49" s="39" t="n">
        <v>13640000</v>
      </c>
      <c r="E49" s="39" t="n">
        <v>0</v>
      </c>
      <c r="F49" s="39" t="n">
        <v>13640000</v>
      </c>
      <c r="G49" s="39" t="n">
        <v>1000000000</v>
      </c>
      <c r="H49" s="33" t="n">
        <f aca="false">J48</f>
        <v>1000000000</v>
      </c>
      <c r="I49" s="33" t="n">
        <f aca="false">H49*N49</f>
        <v>13640000</v>
      </c>
      <c r="J49" s="33" t="n">
        <f aca="false">H49-E49</f>
        <v>1000000000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13640000</v>
      </c>
      <c r="N49" s="64" t="n">
        <v>0.01364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1</v>
      </c>
    </row>
    <row r="50" customFormat="false" ht="15" hidden="false" customHeight="false" outlineLevel="0" collapsed="false">
      <c r="A50" s="38" t="n">
        <v>38</v>
      </c>
      <c r="B50" s="27" t="n">
        <v>46316</v>
      </c>
      <c r="C50" s="39" t="n">
        <v>1000000000</v>
      </c>
      <c r="D50" s="39" t="n">
        <v>13640000</v>
      </c>
      <c r="E50" s="39" t="n">
        <v>0</v>
      </c>
      <c r="F50" s="39" t="n">
        <v>13640000</v>
      </c>
      <c r="G50" s="39" t="n">
        <v>1000000000</v>
      </c>
      <c r="H50" s="33" t="n">
        <f aca="false">J49</f>
        <v>1000000000</v>
      </c>
      <c r="I50" s="33" t="n">
        <f aca="false">H50*N50</f>
        <v>13640000</v>
      </c>
      <c r="J50" s="33" t="n">
        <f aca="false">H50-E50</f>
        <v>1000000000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13640000</v>
      </c>
      <c r="N50" s="64" t="n">
        <v>0.01364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46347</v>
      </c>
      <c r="C51" s="39" t="n">
        <v>1000000000</v>
      </c>
      <c r="D51" s="39" t="n">
        <v>13640000</v>
      </c>
      <c r="E51" s="39" t="n">
        <v>125000000</v>
      </c>
      <c r="F51" s="39" t="n">
        <v>138640000</v>
      </c>
      <c r="G51" s="39" t="n">
        <v>875000000</v>
      </c>
      <c r="H51" s="33" t="n">
        <f aca="false">J50</f>
        <v>1000000000</v>
      </c>
      <c r="I51" s="33" t="n">
        <f aca="false">H51*N51</f>
        <v>13640000</v>
      </c>
      <c r="J51" s="33" t="n">
        <f aca="false">H51-E51</f>
        <v>875000000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138640000</v>
      </c>
      <c r="N51" s="64" t="n">
        <v>0.01364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46377</v>
      </c>
      <c r="C52" s="39" t="n">
        <v>875000000</v>
      </c>
      <c r="D52" s="39" t="n">
        <v>11935000</v>
      </c>
      <c r="E52" s="39" t="n">
        <v>0</v>
      </c>
      <c r="F52" s="39" t="n">
        <v>11935000</v>
      </c>
      <c r="G52" s="39" t="n">
        <v>875000000</v>
      </c>
      <c r="H52" s="33" t="n">
        <f aca="false">J51</f>
        <v>875000000</v>
      </c>
      <c r="I52" s="33" t="n">
        <f aca="false">H52*N52</f>
        <v>11935000</v>
      </c>
      <c r="J52" s="33" t="n">
        <f aca="false">H52-E52</f>
        <v>875000000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11935000</v>
      </c>
      <c r="N52" s="64" t="n">
        <v>0.01364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46408</v>
      </c>
      <c r="C53" s="39" t="n">
        <v>875000000</v>
      </c>
      <c r="D53" s="39" t="n">
        <v>11935000</v>
      </c>
      <c r="E53" s="39" t="n">
        <v>0</v>
      </c>
      <c r="F53" s="39" t="n">
        <v>11935000</v>
      </c>
      <c r="G53" s="39" t="n">
        <v>875000000</v>
      </c>
      <c r="H53" s="33" t="n">
        <f aca="false">J52</f>
        <v>875000000</v>
      </c>
      <c r="I53" s="33" t="n">
        <f aca="false">H53*N53</f>
        <v>11935000</v>
      </c>
      <c r="J53" s="33" t="n">
        <f aca="false">H53-E53</f>
        <v>875000000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11935000</v>
      </c>
      <c r="N53" s="64" t="n">
        <v>0.01364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1</v>
      </c>
    </row>
    <row r="54" customFormat="false" ht="15" hidden="false" customHeight="false" outlineLevel="0" collapsed="false">
      <c r="A54" s="38" t="n">
        <v>42</v>
      </c>
      <c r="B54" s="27" t="n">
        <v>46439</v>
      </c>
      <c r="C54" s="39" t="n">
        <v>875000000</v>
      </c>
      <c r="D54" s="39" t="n">
        <v>11935000</v>
      </c>
      <c r="E54" s="39" t="n">
        <v>125000000</v>
      </c>
      <c r="F54" s="39" t="n">
        <v>136935000</v>
      </c>
      <c r="G54" s="39" t="n">
        <v>750000000</v>
      </c>
      <c r="H54" s="33" t="n">
        <f aca="false">J53</f>
        <v>875000000</v>
      </c>
      <c r="I54" s="33" t="n">
        <f aca="false">H54*N54</f>
        <v>11935000</v>
      </c>
      <c r="J54" s="33" t="n">
        <f aca="false">H54-E54</f>
        <v>750000000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136935000</v>
      </c>
      <c r="N54" s="64" t="n">
        <v>0.01364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1</v>
      </c>
    </row>
    <row r="55" customFormat="false" ht="15" hidden="false" customHeight="false" outlineLevel="0" collapsed="false">
      <c r="A55" s="38" t="n">
        <v>43</v>
      </c>
      <c r="B55" s="27" t="n">
        <v>46467</v>
      </c>
      <c r="C55" s="39" t="n">
        <v>750000000</v>
      </c>
      <c r="D55" s="39" t="n">
        <v>10230000</v>
      </c>
      <c r="E55" s="39" t="n">
        <v>0</v>
      </c>
      <c r="F55" s="39" t="n">
        <v>10230000</v>
      </c>
      <c r="G55" s="39" t="n">
        <v>750000000</v>
      </c>
      <c r="H55" s="33" t="n">
        <f aca="false">J54</f>
        <v>750000000</v>
      </c>
      <c r="I55" s="33" t="n">
        <f aca="false">H55*N55</f>
        <v>10230000</v>
      </c>
      <c r="J55" s="33" t="n">
        <f aca="false">H55-E55</f>
        <v>750000000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10230000</v>
      </c>
      <c r="N55" s="64" t="n">
        <v>0.01364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1</v>
      </c>
    </row>
    <row r="56" customFormat="false" ht="15" hidden="false" customHeight="false" outlineLevel="0" collapsed="false">
      <c r="A56" s="38" t="n">
        <v>44</v>
      </c>
      <c r="B56" s="27" t="n">
        <v>46498</v>
      </c>
      <c r="C56" s="39" t="n">
        <v>750000000</v>
      </c>
      <c r="D56" s="39" t="n">
        <v>10230000</v>
      </c>
      <c r="E56" s="39" t="n">
        <v>0</v>
      </c>
      <c r="F56" s="39" t="n">
        <v>10230000</v>
      </c>
      <c r="G56" s="39" t="n">
        <v>750000000</v>
      </c>
      <c r="H56" s="33" t="n">
        <f aca="false">J55</f>
        <v>750000000</v>
      </c>
      <c r="I56" s="33" t="n">
        <f aca="false">H56*N56</f>
        <v>10230000</v>
      </c>
      <c r="J56" s="33" t="n">
        <f aca="false">H56-E56</f>
        <v>750000000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10230000</v>
      </c>
      <c r="N56" s="64" t="n">
        <v>0.01364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1</v>
      </c>
    </row>
    <row r="57" customFormat="false" ht="15" hidden="false" customHeight="false" outlineLevel="0" collapsed="false">
      <c r="A57" s="38" t="n">
        <v>45</v>
      </c>
      <c r="B57" s="27" t="n">
        <v>46528</v>
      </c>
      <c r="C57" s="39" t="n">
        <v>750000000</v>
      </c>
      <c r="D57" s="39" t="n">
        <v>10230000</v>
      </c>
      <c r="E57" s="39" t="n">
        <v>125000000</v>
      </c>
      <c r="F57" s="39" t="n">
        <v>135230000</v>
      </c>
      <c r="G57" s="39" t="n">
        <v>625000000</v>
      </c>
      <c r="H57" s="33" t="n">
        <f aca="false">J56</f>
        <v>750000000</v>
      </c>
      <c r="I57" s="33" t="n">
        <f aca="false">H57*N57</f>
        <v>10230000</v>
      </c>
      <c r="J57" s="33" t="n">
        <f aca="false">H57-E57</f>
        <v>625000000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135230000</v>
      </c>
      <c r="N57" s="64" t="n">
        <v>0.01364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1</v>
      </c>
    </row>
    <row r="58" customFormat="false" ht="15" hidden="false" customHeight="false" outlineLevel="0" collapsed="false">
      <c r="A58" s="38" t="n">
        <v>46</v>
      </c>
      <c r="B58" s="27" t="n">
        <v>46559</v>
      </c>
      <c r="C58" s="39" t="n">
        <v>625000000</v>
      </c>
      <c r="D58" s="39" t="n">
        <v>8525000</v>
      </c>
      <c r="E58" s="39" t="n">
        <v>0</v>
      </c>
      <c r="F58" s="39" t="n">
        <v>8525000</v>
      </c>
      <c r="G58" s="39" t="n">
        <v>625000000</v>
      </c>
      <c r="H58" s="33" t="n">
        <f aca="false">J57</f>
        <v>625000000</v>
      </c>
      <c r="I58" s="33" t="n">
        <f aca="false">H58*N58</f>
        <v>8525000</v>
      </c>
      <c r="J58" s="33" t="n">
        <f aca="false">H58-E58</f>
        <v>625000000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8525000</v>
      </c>
      <c r="N58" s="64" t="n">
        <v>0.01364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1</v>
      </c>
    </row>
    <row r="59" customFormat="false" ht="15" hidden="false" customHeight="false" outlineLevel="0" collapsed="false">
      <c r="A59" s="38" t="n">
        <v>47</v>
      </c>
      <c r="B59" s="27" t="n">
        <v>46589</v>
      </c>
      <c r="C59" s="39" t="n">
        <v>625000000</v>
      </c>
      <c r="D59" s="39" t="n">
        <v>8525000</v>
      </c>
      <c r="E59" s="39" t="n">
        <v>0</v>
      </c>
      <c r="F59" s="39" t="n">
        <v>8525000</v>
      </c>
      <c r="G59" s="39" t="n">
        <v>625000000</v>
      </c>
      <c r="H59" s="33" t="n">
        <f aca="false">J58</f>
        <v>625000000</v>
      </c>
      <c r="I59" s="33" t="n">
        <f aca="false">H59*N59</f>
        <v>8525000</v>
      </c>
      <c r="J59" s="33" t="n">
        <f aca="false">H59-E59</f>
        <v>625000000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8525000</v>
      </c>
      <c r="N59" s="64" t="n">
        <v>0.01364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1</v>
      </c>
    </row>
    <row r="60" customFormat="false" ht="15" hidden="false" customHeight="false" outlineLevel="0" collapsed="false">
      <c r="A60" s="38" t="n">
        <v>48</v>
      </c>
      <c r="B60" s="27" t="n">
        <v>46620</v>
      </c>
      <c r="C60" s="39" t="n">
        <v>625000000</v>
      </c>
      <c r="D60" s="39" t="n">
        <v>8525000</v>
      </c>
      <c r="E60" s="39" t="n">
        <v>125000000</v>
      </c>
      <c r="F60" s="39" t="n">
        <v>133525000</v>
      </c>
      <c r="G60" s="39" t="n">
        <v>500000000</v>
      </c>
      <c r="H60" s="33" t="n">
        <f aca="false">J59</f>
        <v>625000000</v>
      </c>
      <c r="I60" s="33" t="n">
        <f aca="false">H60*N60</f>
        <v>8525000</v>
      </c>
      <c r="J60" s="33" t="n">
        <f aca="false">H60-E60</f>
        <v>500000000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133525000</v>
      </c>
      <c r="N60" s="64" t="n">
        <v>0.01364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46651</v>
      </c>
      <c r="C61" s="39" t="n">
        <v>500000000</v>
      </c>
      <c r="D61" s="39" t="n">
        <v>6820000</v>
      </c>
      <c r="E61" s="39" t="n">
        <v>0</v>
      </c>
      <c r="F61" s="39" t="n">
        <v>6820000</v>
      </c>
      <c r="G61" s="39" t="n">
        <v>500000000</v>
      </c>
      <c r="H61" s="33" t="n">
        <f aca="false">J60</f>
        <v>500000000</v>
      </c>
      <c r="I61" s="33" t="n">
        <f aca="false">H61*N61</f>
        <v>6820000</v>
      </c>
      <c r="J61" s="33" t="n">
        <f aca="false">H61-E61</f>
        <v>500000000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6820000</v>
      </c>
      <c r="N61" s="64" t="n">
        <v>0.01364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46681</v>
      </c>
      <c r="C62" s="39" t="n">
        <v>500000000</v>
      </c>
      <c r="D62" s="39" t="n">
        <v>6820000</v>
      </c>
      <c r="E62" s="39" t="n">
        <v>0</v>
      </c>
      <c r="F62" s="39" t="n">
        <v>6820000</v>
      </c>
      <c r="G62" s="39" t="n">
        <v>500000000</v>
      </c>
      <c r="H62" s="33" t="n">
        <f aca="false">J61</f>
        <v>500000000</v>
      </c>
      <c r="I62" s="33" t="n">
        <f aca="false">H62*N62</f>
        <v>6820000</v>
      </c>
      <c r="J62" s="33" t="n">
        <f aca="false">H62-E62</f>
        <v>500000000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6820000</v>
      </c>
      <c r="N62" s="64" t="n">
        <v>0.01364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46712</v>
      </c>
      <c r="C63" s="39" t="n">
        <v>500000000</v>
      </c>
      <c r="D63" s="39" t="n">
        <v>6820000</v>
      </c>
      <c r="E63" s="39" t="n">
        <v>125000000</v>
      </c>
      <c r="F63" s="39" t="n">
        <v>131820000</v>
      </c>
      <c r="G63" s="39" t="n">
        <v>375000000</v>
      </c>
      <c r="H63" s="33" t="n">
        <f aca="false">J62</f>
        <v>500000000</v>
      </c>
      <c r="I63" s="33" t="n">
        <f aca="false">H63*N63</f>
        <v>6820000</v>
      </c>
      <c r="J63" s="33" t="n">
        <f aca="false">H63-E63</f>
        <v>375000000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131820000</v>
      </c>
      <c r="N63" s="64" t="n">
        <v>0.01364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46742</v>
      </c>
      <c r="C64" s="39" t="n">
        <v>375000000</v>
      </c>
      <c r="D64" s="39" t="n">
        <v>5115000</v>
      </c>
      <c r="E64" s="39" t="n">
        <v>0</v>
      </c>
      <c r="F64" s="39" t="n">
        <v>5115000</v>
      </c>
      <c r="G64" s="39" t="n">
        <v>375000000</v>
      </c>
      <c r="H64" s="33" t="n">
        <f aca="false">J63</f>
        <v>375000000</v>
      </c>
      <c r="I64" s="33" t="n">
        <f aca="false">H64*N64</f>
        <v>5115000</v>
      </c>
      <c r="J64" s="33" t="n">
        <f aca="false">H64-E64</f>
        <v>375000000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5115000</v>
      </c>
      <c r="N64" s="64" t="n">
        <v>0.01364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46773</v>
      </c>
      <c r="C65" s="39" t="n">
        <v>375000000</v>
      </c>
      <c r="D65" s="39" t="n">
        <v>5115000</v>
      </c>
      <c r="E65" s="39" t="n">
        <v>0</v>
      </c>
      <c r="F65" s="39" t="n">
        <v>5115000</v>
      </c>
      <c r="G65" s="39" t="n">
        <v>375000000</v>
      </c>
      <c r="H65" s="33" t="n">
        <f aca="false">J64</f>
        <v>375000000</v>
      </c>
      <c r="I65" s="33" t="n">
        <f aca="false">H65*N65</f>
        <v>5115000</v>
      </c>
      <c r="J65" s="33" t="n">
        <f aca="false">H65-E65</f>
        <v>375000000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5115000</v>
      </c>
      <c r="N65" s="64" t="n">
        <v>0.01364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46804</v>
      </c>
      <c r="C66" s="39" t="n">
        <v>375000000</v>
      </c>
      <c r="D66" s="39" t="n">
        <v>5115000</v>
      </c>
      <c r="E66" s="39" t="n">
        <v>125000000</v>
      </c>
      <c r="F66" s="39" t="n">
        <v>130115000</v>
      </c>
      <c r="G66" s="39" t="n">
        <v>250000000</v>
      </c>
      <c r="H66" s="33" t="n">
        <f aca="false">J65</f>
        <v>375000000</v>
      </c>
      <c r="I66" s="33" t="n">
        <f aca="false">H66*N66</f>
        <v>5115000</v>
      </c>
      <c r="J66" s="33" t="n">
        <f aca="false">H66-E66</f>
        <v>250000000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130115000</v>
      </c>
      <c r="N66" s="64" t="n">
        <v>0.01364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46833</v>
      </c>
      <c r="C67" s="39" t="n">
        <v>250000000</v>
      </c>
      <c r="D67" s="39" t="n">
        <v>3410000</v>
      </c>
      <c r="E67" s="39" t="n">
        <v>0</v>
      </c>
      <c r="F67" s="39" t="n">
        <v>3410000</v>
      </c>
      <c r="G67" s="39" t="n">
        <v>250000000</v>
      </c>
      <c r="H67" s="33" t="n">
        <f aca="false">J66</f>
        <v>250000000</v>
      </c>
      <c r="I67" s="33" t="n">
        <f aca="false">H67*N67</f>
        <v>3410000</v>
      </c>
      <c r="J67" s="33" t="n">
        <f aca="false">H67-E67</f>
        <v>250000000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3410000</v>
      </c>
      <c r="N67" s="64" t="n">
        <v>0.01364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46864</v>
      </c>
      <c r="C68" s="39" t="n">
        <v>250000000</v>
      </c>
      <c r="D68" s="39" t="n">
        <v>3410000</v>
      </c>
      <c r="E68" s="39" t="n">
        <v>0</v>
      </c>
      <c r="F68" s="39" t="n">
        <v>3410000</v>
      </c>
      <c r="G68" s="39" t="n">
        <v>250000000</v>
      </c>
      <c r="H68" s="33" t="n">
        <f aca="false">J67</f>
        <v>250000000</v>
      </c>
      <c r="I68" s="33" t="n">
        <f aca="false">H68*N68</f>
        <v>3410000</v>
      </c>
      <c r="J68" s="33" t="n">
        <f aca="false">H68-E68</f>
        <v>250000000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3410000</v>
      </c>
      <c r="N68" s="64" t="n">
        <v>0.01364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46894</v>
      </c>
      <c r="C69" s="39" t="n">
        <v>250000000</v>
      </c>
      <c r="D69" s="39" t="n">
        <v>3410000</v>
      </c>
      <c r="E69" s="39" t="n">
        <v>125000000</v>
      </c>
      <c r="F69" s="39" t="n">
        <v>128410000</v>
      </c>
      <c r="G69" s="39" t="n">
        <v>125000000</v>
      </c>
      <c r="H69" s="33" t="n">
        <f aca="false">J68</f>
        <v>250000000</v>
      </c>
      <c r="I69" s="33" t="n">
        <f aca="false">H69*N69</f>
        <v>3410000</v>
      </c>
      <c r="J69" s="33" t="n">
        <f aca="false">H69-E69</f>
        <v>125000000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128410000</v>
      </c>
      <c r="N69" s="64" t="n">
        <v>0.01364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46925</v>
      </c>
      <c r="C70" s="39" t="n">
        <v>125000000</v>
      </c>
      <c r="D70" s="39" t="n">
        <v>1705000</v>
      </c>
      <c r="E70" s="39" t="n">
        <v>0</v>
      </c>
      <c r="F70" s="39" t="n">
        <v>1705000</v>
      </c>
      <c r="G70" s="39" t="n">
        <v>125000000</v>
      </c>
      <c r="H70" s="33" t="n">
        <f aca="false">J69</f>
        <v>125000000</v>
      </c>
      <c r="I70" s="33" t="n">
        <f aca="false">H70*N70</f>
        <v>1705000</v>
      </c>
      <c r="J70" s="33" t="n">
        <f aca="false">H70-E70</f>
        <v>125000000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1705000</v>
      </c>
      <c r="N70" s="64" t="n">
        <v>0.01364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46955</v>
      </c>
      <c r="C71" s="39" t="n">
        <v>125000000</v>
      </c>
      <c r="D71" s="39" t="n">
        <v>1705000</v>
      </c>
      <c r="E71" s="39" t="n">
        <v>0</v>
      </c>
      <c r="F71" s="39" t="n">
        <v>1705000</v>
      </c>
      <c r="G71" s="39" t="n">
        <v>125000000</v>
      </c>
      <c r="H71" s="33" t="n">
        <f aca="false">J70</f>
        <v>125000000</v>
      </c>
      <c r="I71" s="33" t="n">
        <f aca="false">H71*N71</f>
        <v>1705000</v>
      </c>
      <c r="J71" s="33" t="n">
        <f aca="false">H71-E71</f>
        <v>125000000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1705000</v>
      </c>
      <c r="N71" s="64" t="n">
        <v>0.01364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46986</v>
      </c>
      <c r="C72" s="39" t="n">
        <v>125000000</v>
      </c>
      <c r="D72" s="39" t="n">
        <v>1705000</v>
      </c>
      <c r="E72" s="39" t="n">
        <v>125000000</v>
      </c>
      <c r="F72" s="39" t="n">
        <v>126705000</v>
      </c>
      <c r="G72" s="39" t="n">
        <v>0</v>
      </c>
      <c r="H72" s="33" t="n">
        <f aca="false">J71</f>
        <v>125000000</v>
      </c>
      <c r="I72" s="33" t="n">
        <f aca="false">H72*N72</f>
        <v>1705000</v>
      </c>
      <c r="J72" s="33" t="n">
        <f aca="false">H72-E72</f>
        <v>0</v>
      </c>
      <c r="K72" s="33" t="n">
        <f aca="false">D72-I72</f>
        <v>0</v>
      </c>
      <c r="L72" s="33" t="n">
        <f aca="false">G72-J72</f>
        <v>0</v>
      </c>
      <c r="M72" s="33" t="n">
        <f aca="false">F72</f>
        <v>126705000</v>
      </c>
      <c r="N72" s="64" t="n">
        <v>0.01364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1810</v>
      </c>
    </row>
    <row r="2" customFormat="false" ht="15" hidden="false" customHeight="false" outlineLevel="0" collapsed="false">
      <c r="A2" s="24" t="s">
        <v>1811</v>
      </c>
    </row>
    <row r="3" customFormat="false" ht="15" hidden="false" customHeight="false" outlineLevel="0" collapsed="false">
      <c r="A3" s="34" t="s">
        <v>1748</v>
      </c>
      <c r="C3" s="38" t="s">
        <v>1812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10000000000</v>
      </c>
      <c r="F4" s="26" t="s">
        <v>1752</v>
      </c>
      <c r="I4" s="57" t="n">
        <f aca="false">_xlfn.MAXIFS($B$12:$B$18,$B$12:$B$18,"&lt;="&amp;Resumen!$C$5)</f>
        <v>46217</v>
      </c>
    </row>
    <row r="5" customFormat="false" ht="15" hidden="false" customHeight="false" outlineLevel="0" collapsed="false">
      <c r="A5" s="34" t="s">
        <v>1753</v>
      </c>
      <c r="C5" s="27" t="n">
        <v>46036</v>
      </c>
      <c r="F5" s="26" t="s">
        <v>1754</v>
      </c>
      <c r="I5" s="58" t="n">
        <f aca="false">SUMIFS($G$12:$G$18,$B$12:$B$18,I4)</f>
        <v>0</v>
      </c>
    </row>
    <row r="6" customFormat="false" ht="15" hidden="false" customHeight="false" outlineLevel="0" collapsed="false">
      <c r="A6" s="34" t="s">
        <v>1755</v>
      </c>
      <c r="C6" s="38" t="s">
        <v>1813</v>
      </c>
      <c r="F6" s="26" t="s">
        <v>1757</v>
      </c>
      <c r="I6" s="33" t="n">
        <f aca="false">SUMIFS($J$12:$J$18,$B$12:$B$18,I4)</f>
        <v>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SUMIFS($D$12:$D$18,$O$12:$O$18,1)</f>
        <v>604300000</v>
      </c>
    </row>
    <row r="8" customFormat="false" ht="15" hidden="false" customHeight="false" outlineLevel="0" collapsed="false">
      <c r="A8" s="34" t="s">
        <v>1760</v>
      </c>
      <c r="C8" s="65" t="n">
        <f aca="false">IFERROR(IRR($M$12:$M$18),"N/A")</f>
        <v>0.0100664804548056</v>
      </c>
      <c r="F8" s="26" t="s">
        <v>1761</v>
      </c>
      <c r="I8" s="33" t="n">
        <f aca="false">SUMIFS($E$12:$E$18,$P$12:$P$18,1)</f>
        <v>0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0.127715394086772</v>
      </c>
      <c r="F9" s="26" t="s">
        <v>1763</v>
      </c>
      <c r="I9" s="33" t="n">
        <f aca="false">SUMPRODUCT(MAX(ABS($L$12:$L$18)))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46036</v>
      </c>
      <c r="C12" s="39" t="n">
        <v>10000000000</v>
      </c>
      <c r="D12" s="39" t="n">
        <v>0</v>
      </c>
      <c r="E12" s="39" t="n">
        <v>0</v>
      </c>
      <c r="F12" s="39" t="n">
        <v>0</v>
      </c>
      <c r="G12" s="39" t="n">
        <v>10000000000</v>
      </c>
      <c r="H12" s="33" t="n">
        <f aca="false">C12</f>
        <v>10000000000</v>
      </c>
      <c r="I12" s="33" t="n">
        <f aca="false">H12*N12</f>
        <v>86541666.6666667</v>
      </c>
      <c r="J12" s="33" t="n">
        <f aca="false">H12-E12</f>
        <v>10000000000</v>
      </c>
      <c r="K12" s="33" t="n">
        <f aca="false">D12-I12</f>
        <v>-86541666.6666667</v>
      </c>
      <c r="L12" s="33" t="n">
        <f aca="false">G12-J12</f>
        <v>0</v>
      </c>
      <c r="M12" s="33" t="n">
        <f aca="false">-$C$4</f>
        <v>-10000000000</v>
      </c>
      <c r="N12" s="64" t="n">
        <v>0.00865416666666667</v>
      </c>
      <c r="O12" s="48" t="n">
        <f aca="false">IF(AND(B12&gt;=DATE(2026,1,1),B12&lt;=Resumen!$C$5),1,0)</f>
        <v>1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46067</v>
      </c>
      <c r="C13" s="39" t="n">
        <v>10000000000</v>
      </c>
      <c r="D13" s="39" t="n">
        <v>94608333.3333333</v>
      </c>
      <c r="E13" s="39" t="n">
        <v>0</v>
      </c>
      <c r="F13" s="39" t="n">
        <v>94608333.3333333</v>
      </c>
      <c r="G13" s="39" t="n">
        <v>10000000000</v>
      </c>
      <c r="H13" s="33" t="n">
        <f aca="false">J12</f>
        <v>10000000000</v>
      </c>
      <c r="I13" s="33" t="n">
        <f aca="false">H13*N13</f>
        <v>94608333.3333333</v>
      </c>
      <c r="J13" s="33" t="n">
        <f aca="false">H13-E13</f>
        <v>10000000000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94608333.3333333</v>
      </c>
      <c r="N13" s="64" t="n">
        <v>0.00946083333333333</v>
      </c>
      <c r="O13" s="48" t="n">
        <f aca="false">IF(AND(B13&gt;=DATE(2026,1,1),B13&lt;=Resumen!$C$5),1,0)</f>
        <v>1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46095</v>
      </c>
      <c r="C14" s="39" t="n">
        <v>10000000000</v>
      </c>
      <c r="D14" s="39" t="n">
        <v>98525000</v>
      </c>
      <c r="E14" s="39" t="n">
        <v>0</v>
      </c>
      <c r="F14" s="39" t="n">
        <v>98525000</v>
      </c>
      <c r="G14" s="39" t="n">
        <v>10000000000</v>
      </c>
      <c r="H14" s="33" t="n">
        <f aca="false">J13</f>
        <v>10000000000</v>
      </c>
      <c r="I14" s="33" t="n">
        <f aca="false">H14*N14</f>
        <v>98525000</v>
      </c>
      <c r="J14" s="33" t="n">
        <f aca="false">H14-E14</f>
        <v>10000000000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98525000</v>
      </c>
      <c r="N14" s="64" t="n">
        <v>0.0098525</v>
      </c>
      <c r="O14" s="48" t="n">
        <f aca="false">IF(AND(B14&gt;=DATE(2026,1,1),B14&lt;=Resumen!$C$5),1,0)</f>
        <v>1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46126</v>
      </c>
      <c r="C15" s="39" t="n">
        <v>10000000000</v>
      </c>
      <c r="D15" s="39" t="n">
        <v>102058333.333333</v>
      </c>
      <c r="E15" s="39" t="n">
        <v>0</v>
      </c>
      <c r="F15" s="39" t="n">
        <v>102058333.333333</v>
      </c>
      <c r="G15" s="39" t="n">
        <v>10000000000</v>
      </c>
      <c r="H15" s="33" t="n">
        <f aca="false">J14</f>
        <v>10000000000</v>
      </c>
      <c r="I15" s="33" t="n">
        <f aca="false">H15*N15</f>
        <v>102058333.333333</v>
      </c>
      <c r="J15" s="33" t="n">
        <f aca="false">H15-E15</f>
        <v>10000000000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102058333.333333</v>
      </c>
      <c r="N15" s="64" t="n">
        <v>0.0102058333333333</v>
      </c>
      <c r="O15" s="48" t="n">
        <f aca="false">IF(AND(B15&gt;=DATE(2026,1,1),B15&lt;=Resumen!$C$5),1,0)</f>
        <v>1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46156</v>
      </c>
      <c r="C16" s="39" t="n">
        <v>10000000000</v>
      </c>
      <c r="D16" s="39" t="n">
        <v>102058333.333333</v>
      </c>
      <c r="E16" s="39" t="n">
        <v>0</v>
      </c>
      <c r="F16" s="39" t="n">
        <v>102058333.333333</v>
      </c>
      <c r="G16" s="39" t="n">
        <v>10000000000</v>
      </c>
      <c r="H16" s="33" t="n">
        <f aca="false">J15</f>
        <v>10000000000</v>
      </c>
      <c r="I16" s="33" t="n">
        <f aca="false">H16*N16</f>
        <v>102058333.333333</v>
      </c>
      <c r="J16" s="33" t="n">
        <f aca="false">H16-E16</f>
        <v>10000000000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102058333.333333</v>
      </c>
      <c r="N16" s="64" t="n">
        <v>0.0102058333333333</v>
      </c>
      <c r="O16" s="48" t="n">
        <f aca="false">IF(AND(B16&gt;=DATE(2026,1,1),B16&lt;=Resumen!$C$5),1,0)</f>
        <v>1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46187</v>
      </c>
      <c r="C17" s="39" t="n">
        <v>10000000000</v>
      </c>
      <c r="D17" s="39" t="n">
        <v>102316666.666667</v>
      </c>
      <c r="E17" s="39" t="n">
        <v>0</v>
      </c>
      <c r="F17" s="39" t="n">
        <v>102316666.666667</v>
      </c>
      <c r="G17" s="39" t="n">
        <v>10000000000</v>
      </c>
      <c r="H17" s="33" t="n">
        <f aca="false">J16</f>
        <v>10000000000</v>
      </c>
      <c r="I17" s="33" t="n">
        <f aca="false">H17*N17</f>
        <v>102316666.666667</v>
      </c>
      <c r="J17" s="33" t="n">
        <f aca="false">H17-E17</f>
        <v>10000000000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102316666.666667</v>
      </c>
      <c r="N17" s="64" t="n">
        <v>0.0102316666666667</v>
      </c>
      <c r="O17" s="48" t="n">
        <f aca="false">IF(AND(B17&gt;=DATE(2026,1,1),B17&lt;=Resumen!$C$5),1,0)</f>
        <v>1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46217</v>
      </c>
      <c r="C18" s="39" t="n">
        <v>10000000000</v>
      </c>
      <c r="D18" s="39" t="n">
        <v>104733333.333333</v>
      </c>
      <c r="E18" s="39" t="n">
        <v>10000000000</v>
      </c>
      <c r="F18" s="39" t="n">
        <v>10104733333.3333</v>
      </c>
      <c r="G18" s="39" t="n">
        <v>0</v>
      </c>
      <c r="H18" s="33" t="n">
        <f aca="false">J17</f>
        <v>10000000000</v>
      </c>
      <c r="I18" s="33" t="n">
        <f aca="false">H18*N18</f>
        <v>104733333.333333</v>
      </c>
      <c r="J18" s="33" t="n">
        <f aca="false">H18-E18</f>
        <v>0</v>
      </c>
      <c r="K18" s="33" t="n">
        <f aca="false">D18-I18</f>
        <v>0</v>
      </c>
      <c r="L18" s="33" t="n">
        <f aca="false">G18-J18</f>
        <v>0</v>
      </c>
      <c r="M18" s="33" t="n">
        <f aca="false">F18</f>
        <v>10104733333.3333</v>
      </c>
      <c r="N18" s="64" t="n">
        <v>0.0104733333333333</v>
      </c>
      <c r="O18" s="48" t="n">
        <f aca="false">IF(AND(B18&gt;=DATE(2026,1,1),B18&lt;=Resumen!$C$5),1,0)</f>
        <v>1</v>
      </c>
      <c r="P18" s="48" t="n">
        <f aca="false">IF(AND(B18&gt;Resumen!$C$5,B18&lt;=DATE(2027,7,31)),1,0)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1814</v>
      </c>
    </row>
    <row r="2" customFormat="false" ht="15" hidden="false" customHeight="false" outlineLevel="0" collapsed="false">
      <c r="A2" s="24" t="s">
        <v>1815</v>
      </c>
    </row>
    <row r="3" customFormat="false" ht="15" hidden="false" customHeight="false" outlineLevel="0" collapsed="false">
      <c r="A3" s="34" t="s">
        <v>1748</v>
      </c>
      <c r="C3" s="38" t="s">
        <v>1816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10000000000</v>
      </c>
      <c r="F4" s="26" t="s">
        <v>1752</v>
      </c>
      <c r="I4" s="57" t="n">
        <f aca="false">_xlfn.MAXIFS($B$12:$B$18,$B$12:$B$18,"&lt;="&amp;Resumen!$C$5)</f>
        <v>46225</v>
      </c>
    </row>
    <row r="5" customFormat="false" ht="15" hidden="false" customHeight="false" outlineLevel="0" collapsed="false">
      <c r="A5" s="34" t="s">
        <v>1753</v>
      </c>
      <c r="C5" s="27" t="n">
        <v>46225</v>
      </c>
      <c r="F5" s="26" t="s">
        <v>1754</v>
      </c>
      <c r="I5" s="58" t="n">
        <f aca="false">SUMIFS($G$12:$G$18,$B$12:$B$18,I4)</f>
        <v>10000000000</v>
      </c>
    </row>
    <row r="6" customFormat="false" ht="15" hidden="false" customHeight="false" outlineLevel="0" collapsed="false">
      <c r="A6" s="34" t="s">
        <v>1755</v>
      </c>
      <c r="C6" s="38" t="s">
        <v>1813</v>
      </c>
      <c r="F6" s="26" t="s">
        <v>1757</v>
      </c>
      <c r="I6" s="33" t="n">
        <f aca="false">SUMIFS($J$12:$J$18,$B$12:$B$18,I4)</f>
        <v>10000000000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SUMIFS($D$12:$D$18,$O$12:$O$18,1)</f>
        <v>604300000</v>
      </c>
    </row>
    <row r="8" customFormat="false" ht="15" hidden="false" customHeight="false" outlineLevel="0" collapsed="false">
      <c r="A8" s="34" t="s">
        <v>1760</v>
      </c>
      <c r="C8" s="65" t="n">
        <f aca="false">IFERROR(IRR($M$12:$M$18),"N/A")</f>
        <v>0.0100664804548056</v>
      </c>
      <c r="F8" s="26" t="s">
        <v>1761</v>
      </c>
      <c r="I8" s="33" t="n">
        <f aca="false">SUMIFS($E$12:$E$18,$P$12:$P$18,1)</f>
        <v>0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0.127715394086772</v>
      </c>
      <c r="F9" s="26" t="s">
        <v>1763</v>
      </c>
      <c r="I9" s="33" t="n">
        <f aca="false">SUMPRODUCT(MAX(ABS($L$12:$L$18)))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46225</v>
      </c>
      <c r="C12" s="39" t="n">
        <v>10000000000</v>
      </c>
      <c r="D12" s="39" t="n">
        <v>0</v>
      </c>
      <c r="E12" s="39" t="n">
        <v>0</v>
      </c>
      <c r="F12" s="39" t="n">
        <v>0</v>
      </c>
      <c r="G12" s="39" t="n">
        <v>10000000000</v>
      </c>
      <c r="H12" s="33" t="n">
        <f aca="false">C12</f>
        <v>10000000000</v>
      </c>
      <c r="I12" s="33" t="n">
        <f aca="false">H12*N12</f>
        <v>86541666.6666667</v>
      </c>
      <c r="J12" s="33" t="n">
        <f aca="false">H12-E12</f>
        <v>10000000000</v>
      </c>
      <c r="K12" s="33" t="n">
        <f aca="false">D12-I12</f>
        <v>-86541666.6666667</v>
      </c>
      <c r="L12" s="33" t="n">
        <f aca="false">G12-J12</f>
        <v>0</v>
      </c>
      <c r="M12" s="33" t="n">
        <f aca="false">-$C$4</f>
        <v>-10000000000</v>
      </c>
      <c r="N12" s="64" t="n">
        <v>0.00865416666666667</v>
      </c>
      <c r="O12" s="48" t="n">
        <f aca="false">IF(AND(B12&gt;=DATE(2026,1,1),B12&lt;=Resumen!$C$5),1,0)</f>
        <v>1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46067</v>
      </c>
      <c r="C13" s="39" t="n">
        <v>10000000000</v>
      </c>
      <c r="D13" s="39" t="n">
        <v>94608333.3333333</v>
      </c>
      <c r="E13" s="39" t="n">
        <v>0</v>
      </c>
      <c r="F13" s="39" t="n">
        <v>94608333.3333333</v>
      </c>
      <c r="G13" s="39" t="n">
        <v>10000000000</v>
      </c>
      <c r="H13" s="33" t="n">
        <f aca="false">J12</f>
        <v>10000000000</v>
      </c>
      <c r="I13" s="33" t="n">
        <f aca="false">H13*N13</f>
        <v>94608333.3333333</v>
      </c>
      <c r="J13" s="33" t="n">
        <f aca="false">H13-E13</f>
        <v>10000000000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94608333.3333333</v>
      </c>
      <c r="N13" s="64" t="n">
        <v>0.00946083333333333</v>
      </c>
      <c r="O13" s="48" t="n">
        <f aca="false">IF(AND(B13&gt;=DATE(2026,1,1),B13&lt;=Resumen!$C$5),1,0)</f>
        <v>1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46095</v>
      </c>
      <c r="C14" s="39" t="n">
        <v>10000000000</v>
      </c>
      <c r="D14" s="39" t="n">
        <v>98525000</v>
      </c>
      <c r="E14" s="39" t="n">
        <v>0</v>
      </c>
      <c r="F14" s="39" t="n">
        <v>98525000</v>
      </c>
      <c r="G14" s="39" t="n">
        <v>10000000000</v>
      </c>
      <c r="H14" s="33" t="n">
        <f aca="false">J13</f>
        <v>10000000000</v>
      </c>
      <c r="I14" s="33" t="n">
        <f aca="false">H14*N14</f>
        <v>98525000</v>
      </c>
      <c r="J14" s="33" t="n">
        <f aca="false">H14-E14</f>
        <v>10000000000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98525000</v>
      </c>
      <c r="N14" s="64" t="n">
        <v>0.0098525</v>
      </c>
      <c r="O14" s="48" t="n">
        <f aca="false">IF(AND(B14&gt;=DATE(2026,1,1),B14&lt;=Resumen!$C$5),1,0)</f>
        <v>1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46126</v>
      </c>
      <c r="C15" s="39" t="n">
        <v>10000000000</v>
      </c>
      <c r="D15" s="39" t="n">
        <v>102058333.333333</v>
      </c>
      <c r="E15" s="39" t="n">
        <v>0</v>
      </c>
      <c r="F15" s="39" t="n">
        <v>102058333.333333</v>
      </c>
      <c r="G15" s="39" t="n">
        <v>10000000000</v>
      </c>
      <c r="H15" s="33" t="n">
        <f aca="false">J14</f>
        <v>10000000000</v>
      </c>
      <c r="I15" s="33" t="n">
        <f aca="false">H15*N15</f>
        <v>102058333.333333</v>
      </c>
      <c r="J15" s="33" t="n">
        <f aca="false">H15-E15</f>
        <v>10000000000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102058333.333333</v>
      </c>
      <c r="N15" s="64" t="n">
        <v>0.0102058333333333</v>
      </c>
      <c r="O15" s="48" t="n">
        <f aca="false">IF(AND(B15&gt;=DATE(2026,1,1),B15&lt;=Resumen!$C$5),1,0)</f>
        <v>1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46156</v>
      </c>
      <c r="C16" s="39" t="n">
        <v>10000000000</v>
      </c>
      <c r="D16" s="39" t="n">
        <v>102058333.333333</v>
      </c>
      <c r="E16" s="39" t="n">
        <v>0</v>
      </c>
      <c r="F16" s="39" t="n">
        <v>102058333.333333</v>
      </c>
      <c r="G16" s="39" t="n">
        <v>10000000000</v>
      </c>
      <c r="H16" s="33" t="n">
        <f aca="false">J15</f>
        <v>10000000000</v>
      </c>
      <c r="I16" s="33" t="n">
        <f aca="false">H16*N16</f>
        <v>102058333.333333</v>
      </c>
      <c r="J16" s="33" t="n">
        <f aca="false">H16-E16</f>
        <v>10000000000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102058333.333333</v>
      </c>
      <c r="N16" s="64" t="n">
        <v>0.0102058333333333</v>
      </c>
      <c r="O16" s="48" t="n">
        <f aca="false">IF(AND(B16&gt;=DATE(2026,1,1),B16&lt;=Resumen!$C$5),1,0)</f>
        <v>1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46187</v>
      </c>
      <c r="C17" s="39" t="n">
        <v>10000000000</v>
      </c>
      <c r="D17" s="39" t="n">
        <v>102316666.666667</v>
      </c>
      <c r="E17" s="39" t="n">
        <v>0</v>
      </c>
      <c r="F17" s="39" t="n">
        <v>102316666.666667</v>
      </c>
      <c r="G17" s="39" t="n">
        <v>10000000000</v>
      </c>
      <c r="H17" s="33" t="n">
        <f aca="false">J16</f>
        <v>10000000000</v>
      </c>
      <c r="I17" s="33" t="n">
        <f aca="false">H17*N17</f>
        <v>102316666.666667</v>
      </c>
      <c r="J17" s="33" t="n">
        <f aca="false">H17-E17</f>
        <v>10000000000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102316666.666667</v>
      </c>
      <c r="N17" s="64" t="n">
        <v>0.0102316666666667</v>
      </c>
      <c r="O17" s="48" t="n">
        <f aca="false">IF(AND(B17&gt;=DATE(2026,1,1),B17&lt;=Resumen!$C$5),1,0)</f>
        <v>1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46217</v>
      </c>
      <c r="C18" s="39" t="n">
        <v>10000000000</v>
      </c>
      <c r="D18" s="39" t="n">
        <v>104733333.333333</v>
      </c>
      <c r="E18" s="39" t="n">
        <v>10000000000</v>
      </c>
      <c r="F18" s="39" t="n">
        <v>10104733333.3333</v>
      </c>
      <c r="G18" s="39" t="n">
        <v>0</v>
      </c>
      <c r="H18" s="33" t="n">
        <f aca="false">J17</f>
        <v>10000000000</v>
      </c>
      <c r="I18" s="33" t="n">
        <f aca="false">H18*N18</f>
        <v>104733333.333333</v>
      </c>
      <c r="J18" s="33" t="n">
        <f aca="false">H18-E18</f>
        <v>0</v>
      </c>
      <c r="K18" s="33" t="n">
        <f aca="false">D18-I18</f>
        <v>0</v>
      </c>
      <c r="L18" s="33" t="n">
        <f aca="false">G18-J18</f>
        <v>0</v>
      </c>
      <c r="M18" s="33" t="n">
        <f aca="false">F18</f>
        <v>10104733333.3333</v>
      </c>
      <c r="N18" s="64" t="n">
        <v>0.0104733333333333</v>
      </c>
      <c r="O18" s="48" t="n">
        <f aca="false">IF(AND(B18&gt;=DATE(2026,1,1),B18&lt;=Resumen!$C$5),1,0)</f>
        <v>1</v>
      </c>
      <c r="P18" s="48" t="n">
        <f aca="false">IF(AND(B18&gt;Resumen!$C$5,B18&lt;=DATE(2027,7,31)),1,0)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1817</v>
      </c>
    </row>
    <row r="2" customFormat="false" ht="15" hidden="false" customHeight="false" outlineLevel="0" collapsed="false">
      <c r="A2" s="24" t="s">
        <v>1818</v>
      </c>
    </row>
    <row r="3" customFormat="false" ht="15" hidden="false" customHeight="false" outlineLevel="0" collapsed="false">
      <c r="A3" s="34" t="s">
        <v>1748</v>
      </c>
      <c r="C3" s="38" t="s">
        <v>1819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569902000</v>
      </c>
      <c r="F4" s="26" t="s">
        <v>1752</v>
      </c>
      <c r="I4" s="57" t="n">
        <f aca="false">_xlfn.MAXIFS($B$12:$B$40,$B$12:$B$40,"&lt;="&amp;Resumen!$C$5)</f>
        <v>46223</v>
      </c>
    </row>
    <row r="5" customFormat="false" ht="15" hidden="false" customHeight="false" outlineLevel="0" collapsed="false">
      <c r="A5" s="34" t="s">
        <v>1753</v>
      </c>
      <c r="C5" s="27" t="n">
        <v>44946</v>
      </c>
      <c r="F5" s="26" t="s">
        <v>1754</v>
      </c>
      <c r="I5" s="58" t="n">
        <f aca="false">SUMIFS($G$12:$G$40,$B$12:$B$40,I4)</f>
        <v>381845387.419314</v>
      </c>
    </row>
    <row r="6" customFormat="false" ht="15" hidden="false" customHeight="false" outlineLevel="0" collapsed="false">
      <c r="A6" s="34" t="s">
        <v>1755</v>
      </c>
      <c r="C6" s="38" t="s">
        <v>1820</v>
      </c>
      <c r="F6" s="26" t="s">
        <v>1757</v>
      </c>
      <c r="I6" s="33" t="n">
        <f aca="false">SUMIFS($J$12:$J$40,$B$12:$B$40,I4)</f>
        <v>381845387.419314</v>
      </c>
    </row>
    <row r="7" customFormat="false" ht="15" hidden="false" customHeight="false" outlineLevel="0" collapsed="false">
      <c r="A7" s="34" t="s">
        <v>1758</v>
      </c>
      <c r="C7" s="64" t="n">
        <v>0.036189195577476</v>
      </c>
      <c r="F7" s="26" t="s">
        <v>1759</v>
      </c>
      <c r="I7" s="33" t="n">
        <f aca="false">SUMIFS($D$12:$D$40,$O$12:$O$40,1)</f>
        <v>45776937.4665054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0.0361891955774748</v>
      </c>
      <c r="F8" s="26" t="s">
        <v>1761</v>
      </c>
      <c r="I8" s="33" t="n">
        <f aca="false">SUMIFS($E$12:$E$40,$P$12:$P$40,1)</f>
        <v>89122277.0882225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0.152806026633057</v>
      </c>
      <c r="F9" s="26" t="s">
        <v>1763</v>
      </c>
      <c r="I9" s="33" t="n">
        <f aca="false">SUMPRODUCT(MAX(ABS($L$12:$L$40)))</f>
        <v>4.4703483581543E-008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44946</v>
      </c>
      <c r="C12" s="39"/>
      <c r="D12" s="39" t="n">
        <v>0</v>
      </c>
      <c r="E12" s="39" t="n">
        <v>0</v>
      </c>
      <c r="F12" s="39" t="n">
        <v>0</v>
      </c>
      <c r="G12" s="39" t="n">
        <v>569902000</v>
      </c>
      <c r="H12" s="33" t="n">
        <f aca="false">G12</f>
        <v>569902000</v>
      </c>
      <c r="I12" s="33" t="n">
        <v>0</v>
      </c>
      <c r="J12" s="33" t="n">
        <f aca="false">H12</f>
        <v>569902000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-569902000</v>
      </c>
      <c r="N12" s="65" t="n">
        <f aca="false">$C$7</f>
        <v>0.036189195577476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45036</v>
      </c>
      <c r="C13" s="39" t="n">
        <v>569902000</v>
      </c>
      <c r="D13" s="39" t="n">
        <v>20624294.9379947</v>
      </c>
      <c r="E13" s="39" t="n">
        <v>3212901.10185731</v>
      </c>
      <c r="F13" s="39" t="n">
        <v>23837196.039852</v>
      </c>
      <c r="G13" s="39" t="n">
        <v>566689098.898143</v>
      </c>
      <c r="H13" s="33" t="n">
        <f aca="false">J12</f>
        <v>569902000</v>
      </c>
      <c r="I13" s="33" t="n">
        <f aca="false">H13*N13</f>
        <v>20624294.9379947</v>
      </c>
      <c r="J13" s="33" t="n">
        <f aca="false">H13+I13-F13</f>
        <v>566689098.898143</v>
      </c>
      <c r="K13" s="33" t="n">
        <f aca="false">D13-I13</f>
        <v>0</v>
      </c>
      <c r="L13" s="33" t="n">
        <f aca="false">G13-J13</f>
        <v>0</v>
      </c>
      <c r="M13" s="33" t="n">
        <f aca="false">F13</f>
        <v>23837196.039852</v>
      </c>
      <c r="N13" s="65" t="n">
        <f aca="false">$C$7</f>
        <v>0.036189195577476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45127</v>
      </c>
      <c r="C14" s="39" t="n">
        <v>566689098.898143</v>
      </c>
      <c r="D14" s="39" t="n">
        <v>20508022.6316485</v>
      </c>
      <c r="E14" s="39" t="n">
        <v>3329173.40820348</v>
      </c>
      <c r="F14" s="39" t="n">
        <v>23837196.039852</v>
      </c>
      <c r="G14" s="39" t="n">
        <v>563359925.489939</v>
      </c>
      <c r="H14" s="33" t="n">
        <f aca="false">J13</f>
        <v>566689098.898143</v>
      </c>
      <c r="I14" s="33" t="n">
        <f aca="false">H14*N14</f>
        <v>20508022.6316485</v>
      </c>
      <c r="J14" s="33" t="n">
        <f aca="false">H14+I14-F14</f>
        <v>563359925.489939</v>
      </c>
      <c r="K14" s="33" t="n">
        <f aca="false">D14-I14</f>
        <v>0</v>
      </c>
      <c r="L14" s="33" t="n">
        <f aca="false">G14-J14</f>
        <v>0</v>
      </c>
      <c r="M14" s="33" t="n">
        <f aca="false">F14</f>
        <v>23837196.039852</v>
      </c>
      <c r="N14" s="65" t="n">
        <f aca="false">$C$7</f>
        <v>0.036189195577476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45219</v>
      </c>
      <c r="C15" s="39" t="n">
        <v>563359925.489939</v>
      </c>
      <c r="D15" s="39" t="n">
        <v>20387542.5240677</v>
      </c>
      <c r="E15" s="39" t="n">
        <v>3449653.51578426</v>
      </c>
      <c r="F15" s="39" t="n">
        <v>23837196.039852</v>
      </c>
      <c r="G15" s="39" t="n">
        <v>559910271.974155</v>
      </c>
      <c r="H15" s="33" t="n">
        <f aca="false">J14</f>
        <v>563359925.489939</v>
      </c>
      <c r="I15" s="33" t="n">
        <f aca="false">H15*N15</f>
        <v>20387542.5240677</v>
      </c>
      <c r="J15" s="33" t="n">
        <f aca="false">H15+I15-F15</f>
        <v>559910271.974155</v>
      </c>
      <c r="K15" s="33" t="n">
        <f aca="false">D15-I15</f>
        <v>0</v>
      </c>
      <c r="L15" s="33" t="n">
        <f aca="false">G15-J15</f>
        <v>0</v>
      </c>
      <c r="M15" s="33" t="n">
        <f aca="false">F15</f>
        <v>23837196.039852</v>
      </c>
      <c r="N15" s="65" t="n">
        <f aca="false">$C$7</f>
        <v>0.036189195577476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45311</v>
      </c>
      <c r="C16" s="39" t="n">
        <v>559910271.974155</v>
      </c>
      <c r="D16" s="39" t="n">
        <v>20262702.3383105</v>
      </c>
      <c r="E16" s="39" t="n">
        <v>3574493.70154154</v>
      </c>
      <c r="F16" s="39" t="n">
        <v>23837196.039852</v>
      </c>
      <c r="G16" s="39" t="n">
        <v>556335778.272613</v>
      </c>
      <c r="H16" s="33" t="n">
        <f aca="false">J15</f>
        <v>559910271.974155</v>
      </c>
      <c r="I16" s="33" t="n">
        <f aca="false">H16*N16</f>
        <v>20262702.3383105</v>
      </c>
      <c r="J16" s="33" t="n">
        <f aca="false">H16+I16-F16</f>
        <v>556335778.272613</v>
      </c>
      <c r="K16" s="33" t="n">
        <f aca="false">D16-I16</f>
        <v>0</v>
      </c>
      <c r="L16" s="33" t="n">
        <f aca="false">G16-J16</f>
        <v>0</v>
      </c>
      <c r="M16" s="33" t="n">
        <f aca="false">F16</f>
        <v>23837196.039852</v>
      </c>
      <c r="N16" s="65" t="n">
        <f aca="false">$C$7</f>
        <v>0.036189195577476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45402</v>
      </c>
      <c r="C17" s="39" t="n">
        <v>556335778.272613</v>
      </c>
      <c r="D17" s="39" t="n">
        <v>20133344.2866549</v>
      </c>
      <c r="E17" s="39" t="n">
        <v>14792246.1572117</v>
      </c>
      <c r="F17" s="39" t="n">
        <v>34925590.4438666</v>
      </c>
      <c r="G17" s="39" t="n">
        <v>541543532.115402</v>
      </c>
      <c r="H17" s="33" t="n">
        <f aca="false">J16</f>
        <v>556335778.272613</v>
      </c>
      <c r="I17" s="33" t="n">
        <f aca="false">H17*N17</f>
        <v>20133344.2866549</v>
      </c>
      <c r="J17" s="33" t="n">
        <f aca="false">H17+I17-F17</f>
        <v>541543532.115402</v>
      </c>
      <c r="K17" s="33" t="n">
        <f aca="false">D17-I17</f>
        <v>0</v>
      </c>
      <c r="L17" s="33" t="n">
        <f aca="false">G17-J17</f>
        <v>0</v>
      </c>
      <c r="M17" s="33" t="n">
        <f aca="false">F17</f>
        <v>34925590.4438666</v>
      </c>
      <c r="N17" s="65" t="n">
        <f aca="false">$C$7</f>
        <v>0.036189195577476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45493</v>
      </c>
      <c r="C18" s="39" t="n">
        <v>541543532.115402</v>
      </c>
      <c r="D18" s="39" t="n">
        <v>19598024.7974414</v>
      </c>
      <c r="E18" s="39" t="n">
        <v>15327565.6464252</v>
      </c>
      <c r="F18" s="39" t="n">
        <v>34925590.4438666</v>
      </c>
      <c r="G18" s="39" t="n">
        <v>526215966.468977</v>
      </c>
      <c r="H18" s="33" t="n">
        <f aca="false">J17</f>
        <v>541543532.115402</v>
      </c>
      <c r="I18" s="33" t="n">
        <f aca="false">H18*N18</f>
        <v>19598024.7974414</v>
      </c>
      <c r="J18" s="33" t="n">
        <f aca="false">H18+I18-F18</f>
        <v>526215966.468977</v>
      </c>
      <c r="K18" s="33" t="n">
        <f aca="false">D18-I18</f>
        <v>0</v>
      </c>
      <c r="L18" s="33" t="n">
        <f aca="false">G18-J18</f>
        <v>0</v>
      </c>
      <c r="M18" s="33" t="n">
        <f aca="false">F18</f>
        <v>34925590.4438666</v>
      </c>
      <c r="N18" s="65" t="n">
        <f aca="false">$C$7</f>
        <v>0.036189195577476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45585</v>
      </c>
      <c r="C19" s="39" t="n">
        <v>526215966.468977</v>
      </c>
      <c r="D19" s="39" t="n">
        <v>19043332.5265364</v>
      </c>
      <c r="E19" s="39" t="n">
        <v>15882257.9173303</v>
      </c>
      <c r="F19" s="39" t="n">
        <v>34925590.4438666</v>
      </c>
      <c r="G19" s="39" t="n">
        <v>510333708.551646</v>
      </c>
      <c r="H19" s="33" t="n">
        <f aca="false">J18</f>
        <v>526215966.468977</v>
      </c>
      <c r="I19" s="33" t="n">
        <f aca="false">H19*N19</f>
        <v>19043332.5265364</v>
      </c>
      <c r="J19" s="33" t="n">
        <f aca="false">H19+I19-F19</f>
        <v>510333708.551646</v>
      </c>
      <c r="K19" s="33" t="n">
        <f aca="false">D19-I19</f>
        <v>0</v>
      </c>
      <c r="L19" s="33" t="n">
        <f aca="false">G19-J19</f>
        <v>0</v>
      </c>
      <c r="M19" s="33" t="n">
        <f aca="false">F19</f>
        <v>34925590.4438666</v>
      </c>
      <c r="N19" s="65" t="n">
        <f aca="false">$C$7</f>
        <v>0.036189195577476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45677</v>
      </c>
      <c r="C20" s="39" t="n">
        <v>510333708.551646</v>
      </c>
      <c r="D20" s="39" t="n">
        <v>18468566.3885542</v>
      </c>
      <c r="E20" s="39" t="n">
        <v>16457024.0553125</v>
      </c>
      <c r="F20" s="39" t="n">
        <v>34925590.4438667</v>
      </c>
      <c r="G20" s="39" t="n">
        <v>493876684.496334</v>
      </c>
      <c r="H20" s="33" t="n">
        <f aca="false">J19</f>
        <v>510333708.551646</v>
      </c>
      <c r="I20" s="33" t="n">
        <f aca="false">H20*N20</f>
        <v>18468566.3885542</v>
      </c>
      <c r="J20" s="33" t="n">
        <f aca="false">H20+I20-F20</f>
        <v>493876684.496334</v>
      </c>
      <c r="K20" s="33" t="n">
        <f aca="false">D20-I20</f>
        <v>0</v>
      </c>
      <c r="L20" s="33" t="n">
        <f aca="false">G20-J20</f>
        <v>0</v>
      </c>
      <c r="M20" s="33" t="n">
        <f aca="false">F20</f>
        <v>34925590.4438667</v>
      </c>
      <c r="N20" s="65" t="n">
        <f aca="false">$C$7</f>
        <v>0.036189195577476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45767</v>
      </c>
      <c r="C21" s="39" t="n">
        <v>493876684.496334</v>
      </c>
      <c r="D21" s="39" t="n">
        <v>17872999.9263932</v>
      </c>
      <c r="E21" s="39" t="n">
        <v>17052590.5174735</v>
      </c>
      <c r="F21" s="39" t="n">
        <v>34925590.4438667</v>
      </c>
      <c r="G21" s="39" t="n">
        <v>476824093.97886</v>
      </c>
      <c r="H21" s="33" t="n">
        <f aca="false">J20</f>
        <v>493876684.496334</v>
      </c>
      <c r="I21" s="33" t="n">
        <f aca="false">H21*N21</f>
        <v>17872999.9263932</v>
      </c>
      <c r="J21" s="33" t="n">
        <f aca="false">H21+I21-F21</f>
        <v>476824093.97886</v>
      </c>
      <c r="K21" s="33" t="n">
        <f aca="false">D21-I21</f>
        <v>0</v>
      </c>
      <c r="L21" s="33" t="n">
        <f aca="false">G21-J21</f>
        <v>0</v>
      </c>
      <c r="M21" s="33" t="n">
        <f aca="false">F21</f>
        <v>34925590.4438667</v>
      </c>
      <c r="N21" s="65" t="n">
        <f aca="false">$C$7</f>
        <v>0.036189195577476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45858</v>
      </c>
      <c r="C22" s="39" t="n">
        <v>476824093.97886</v>
      </c>
      <c r="D22" s="39" t="n">
        <v>17255880.3930538</v>
      </c>
      <c r="E22" s="39" t="n">
        <v>17669710.0508129</v>
      </c>
      <c r="F22" s="39" t="n">
        <v>34925590.4438667</v>
      </c>
      <c r="G22" s="39" t="n">
        <v>459154383.928047</v>
      </c>
      <c r="H22" s="33" t="n">
        <f aca="false">J21</f>
        <v>476824093.97886</v>
      </c>
      <c r="I22" s="33" t="n">
        <f aca="false">H22*N22</f>
        <v>17255880.3930538</v>
      </c>
      <c r="J22" s="33" t="n">
        <f aca="false">H22+I22-F22</f>
        <v>459154383.928048</v>
      </c>
      <c r="K22" s="33" t="n">
        <f aca="false">D22-I22</f>
        <v>0</v>
      </c>
      <c r="L22" s="33" t="n">
        <f aca="false">G22-J22</f>
        <v>0</v>
      </c>
      <c r="M22" s="33" t="n">
        <f aca="false">F22</f>
        <v>34925590.4438667</v>
      </c>
      <c r="N22" s="65" t="n">
        <f aca="false">$C$7</f>
        <v>0.036189195577476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45950</v>
      </c>
      <c r="C23" s="39" t="n">
        <v>459154383.928047</v>
      </c>
      <c r="D23" s="39" t="n">
        <v>16616427.8002276</v>
      </c>
      <c r="E23" s="39" t="n">
        <v>18309162.643639</v>
      </c>
      <c r="F23" s="39" t="n">
        <v>34925590.4438667</v>
      </c>
      <c r="G23" s="39" t="n">
        <v>440845221.284408</v>
      </c>
      <c r="H23" s="33" t="n">
        <f aca="false">J22</f>
        <v>459154383.928048</v>
      </c>
      <c r="I23" s="33" t="n">
        <f aca="false">H23*N23</f>
        <v>16616427.8002276</v>
      </c>
      <c r="J23" s="33" t="n">
        <f aca="false">H23+I23-F23</f>
        <v>440845221.284408</v>
      </c>
      <c r="K23" s="33" t="n">
        <f aca="false">D23-I23</f>
        <v>0</v>
      </c>
      <c r="L23" s="33" t="n">
        <f aca="false">G23-J23</f>
        <v>0</v>
      </c>
      <c r="M23" s="33" t="n">
        <f aca="false">F23</f>
        <v>34925590.4438667</v>
      </c>
      <c r="N23" s="65" t="n">
        <f aca="false">$C$7</f>
        <v>0.036189195577476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46042</v>
      </c>
      <c r="C24" s="39" t="n">
        <v>440845221.284408</v>
      </c>
      <c r="D24" s="39" t="n">
        <v>15953833.9324572</v>
      </c>
      <c r="E24" s="39" t="n">
        <v>18971756.5114095</v>
      </c>
      <c r="F24" s="39" t="n">
        <v>34925590.4438667</v>
      </c>
      <c r="G24" s="39" t="n">
        <v>421873464.772999</v>
      </c>
      <c r="H24" s="33" t="n">
        <f aca="false">J23</f>
        <v>440845221.284408</v>
      </c>
      <c r="I24" s="33" t="n">
        <f aca="false">H24*N24</f>
        <v>15953833.9324572</v>
      </c>
      <c r="J24" s="33" t="n">
        <f aca="false">H24+I24-F24</f>
        <v>421873464.772999</v>
      </c>
      <c r="K24" s="33" t="n">
        <f aca="false">D24-I24</f>
        <v>0</v>
      </c>
      <c r="L24" s="33" t="n">
        <f aca="false">G24-J24</f>
        <v>0</v>
      </c>
      <c r="M24" s="33" t="n">
        <f aca="false">F24</f>
        <v>34925590.4438667</v>
      </c>
      <c r="N24" s="65" t="n">
        <f aca="false">$C$7</f>
        <v>0.036189195577476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46132</v>
      </c>
      <c r="C25" s="39" t="n">
        <v>421873464.772999</v>
      </c>
      <c r="D25" s="39" t="n">
        <v>15267261.3256175</v>
      </c>
      <c r="E25" s="39" t="n">
        <v>19658329.1182492</v>
      </c>
      <c r="F25" s="39" t="n">
        <v>34925590.4438667</v>
      </c>
      <c r="G25" s="39" t="n">
        <v>402215135.65475</v>
      </c>
      <c r="H25" s="33" t="n">
        <f aca="false">J24</f>
        <v>421873464.772999</v>
      </c>
      <c r="I25" s="33" t="n">
        <f aca="false">H25*N25</f>
        <v>15267261.3256175</v>
      </c>
      <c r="J25" s="33" t="n">
        <f aca="false">H25+I25-F25</f>
        <v>402215135.65475</v>
      </c>
      <c r="K25" s="33" t="n">
        <f aca="false">D25-I25</f>
        <v>0</v>
      </c>
      <c r="L25" s="33" t="n">
        <f aca="false">G25-J25</f>
        <v>0</v>
      </c>
      <c r="M25" s="33" t="n">
        <f aca="false">F25</f>
        <v>34925590.4438667</v>
      </c>
      <c r="N25" s="65" t="n">
        <f aca="false">$C$7</f>
        <v>0.036189195577476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46223</v>
      </c>
      <c r="C26" s="39" t="n">
        <v>402215135.65475</v>
      </c>
      <c r="D26" s="39" t="n">
        <v>14555842.2084308</v>
      </c>
      <c r="E26" s="39" t="n">
        <v>20369748.2354359</v>
      </c>
      <c r="F26" s="39" t="n">
        <v>34925590.4438667</v>
      </c>
      <c r="G26" s="39" t="n">
        <v>381845387.419314</v>
      </c>
      <c r="H26" s="33" t="n">
        <f aca="false">J25</f>
        <v>402215135.65475</v>
      </c>
      <c r="I26" s="33" t="n">
        <f aca="false">H26*N26</f>
        <v>14555842.2084308</v>
      </c>
      <c r="J26" s="33" t="n">
        <f aca="false">H26+I26-F26</f>
        <v>381845387.419314</v>
      </c>
      <c r="K26" s="33" t="n">
        <f aca="false">D26-I26</f>
        <v>0</v>
      </c>
      <c r="L26" s="33" t="n">
        <f aca="false">G26-J26</f>
        <v>0</v>
      </c>
      <c r="M26" s="33" t="n">
        <f aca="false">F26</f>
        <v>34925590.4438667</v>
      </c>
      <c r="N26" s="65" t="n">
        <f aca="false">$C$7</f>
        <v>0.036189195577476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46315</v>
      </c>
      <c r="C27" s="39" t="n">
        <v>381845387.419314</v>
      </c>
      <c r="D27" s="39" t="n">
        <v>13818677.4056747</v>
      </c>
      <c r="E27" s="39" t="n">
        <v>21106913.038192</v>
      </c>
      <c r="F27" s="39" t="n">
        <v>34925590.4438667</v>
      </c>
      <c r="G27" s="39" t="n">
        <v>360738474.381122</v>
      </c>
      <c r="H27" s="33" t="n">
        <f aca="false">J26</f>
        <v>381845387.419314</v>
      </c>
      <c r="I27" s="33" t="n">
        <f aca="false">H27*N27</f>
        <v>13818677.4056747</v>
      </c>
      <c r="J27" s="33" t="n">
        <f aca="false">H27+I27-F27</f>
        <v>360738474.381122</v>
      </c>
      <c r="K27" s="33" t="n">
        <f aca="false">D27-I27</f>
        <v>0</v>
      </c>
      <c r="L27" s="33" t="n">
        <f aca="false">G27-J27</f>
        <v>0</v>
      </c>
      <c r="M27" s="33" t="n">
        <f aca="false">F27</f>
        <v>34925590.4438667</v>
      </c>
      <c r="N27" s="65" t="n">
        <f aca="false">$C$7</f>
        <v>0.036189195577476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46407</v>
      </c>
      <c r="C28" s="39" t="n">
        <v>360738474.381122</v>
      </c>
      <c r="D28" s="39" t="n">
        <v>13054835.2016987</v>
      </c>
      <c r="E28" s="39" t="n">
        <v>21870755.242168</v>
      </c>
      <c r="F28" s="39" t="n">
        <v>34925590.4438667</v>
      </c>
      <c r="G28" s="39" t="n">
        <v>338867719.138954</v>
      </c>
      <c r="H28" s="33" t="n">
        <f aca="false">J27</f>
        <v>360738474.381122</v>
      </c>
      <c r="I28" s="33" t="n">
        <f aca="false">H28*N28</f>
        <v>13054835.2016987</v>
      </c>
      <c r="J28" s="33" t="n">
        <f aca="false">H28+I28-F28</f>
        <v>338867719.138954</v>
      </c>
      <c r="K28" s="33" t="n">
        <f aca="false">D28-I28</f>
        <v>0</v>
      </c>
      <c r="L28" s="33" t="n">
        <f aca="false">G28-J28</f>
        <v>0</v>
      </c>
      <c r="M28" s="33" t="n">
        <f aca="false">F28</f>
        <v>34925590.4438667</v>
      </c>
      <c r="N28" s="65" t="n">
        <f aca="false">$C$7</f>
        <v>0.036189195577476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46497</v>
      </c>
      <c r="C29" s="39" t="n">
        <v>338867719.138954</v>
      </c>
      <c r="D29" s="39" t="n">
        <v>12263350.1628128</v>
      </c>
      <c r="E29" s="39" t="n">
        <v>22662240.2810538</v>
      </c>
      <c r="F29" s="39" t="n">
        <v>34925590.4438667</v>
      </c>
      <c r="G29" s="39" t="n">
        <v>316205478.8579</v>
      </c>
      <c r="H29" s="33" t="n">
        <f aca="false">J28</f>
        <v>338867719.138954</v>
      </c>
      <c r="I29" s="33" t="n">
        <f aca="false">H29*N29</f>
        <v>12263350.1628128</v>
      </c>
      <c r="J29" s="33" t="n">
        <f aca="false">H29+I29-F29</f>
        <v>316205478.8579</v>
      </c>
      <c r="K29" s="33" t="n">
        <f aca="false">D29-I29</f>
        <v>0</v>
      </c>
      <c r="L29" s="33" t="n">
        <f aca="false">G29-J29</f>
        <v>0</v>
      </c>
      <c r="M29" s="33" t="n">
        <f aca="false">F29</f>
        <v>34925590.4438667</v>
      </c>
      <c r="N29" s="65" t="n">
        <f aca="false">$C$7</f>
        <v>0.036189195577476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46588</v>
      </c>
      <c r="C30" s="39" t="n">
        <v>316205478.8579</v>
      </c>
      <c r="D30" s="39" t="n">
        <v>11443221.917058</v>
      </c>
      <c r="E30" s="39" t="n">
        <v>23482368.5268087</v>
      </c>
      <c r="F30" s="39" t="n">
        <v>34925590.4438667</v>
      </c>
      <c r="G30" s="39" t="n">
        <v>292723110.331091</v>
      </c>
      <c r="H30" s="33" t="n">
        <f aca="false">J29</f>
        <v>316205478.8579</v>
      </c>
      <c r="I30" s="33" t="n">
        <f aca="false">H30*N30</f>
        <v>11443221.917058</v>
      </c>
      <c r="J30" s="33" t="n">
        <f aca="false">H30+I30-F30</f>
        <v>292723110.331091</v>
      </c>
      <c r="K30" s="33" t="n">
        <f aca="false">D30-I30</f>
        <v>0</v>
      </c>
      <c r="L30" s="33" t="n">
        <f aca="false">G30-J30</f>
        <v>0</v>
      </c>
      <c r="M30" s="33" t="n">
        <f aca="false">F30</f>
        <v>34925590.4438667</v>
      </c>
      <c r="N30" s="65" t="n">
        <f aca="false">$C$7</f>
        <v>0.036189195577476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46680</v>
      </c>
      <c r="C31" s="39" t="n">
        <v>292723110.331091</v>
      </c>
      <c r="D31" s="39" t="n">
        <v>10593413.889819</v>
      </c>
      <c r="E31" s="39" t="n">
        <v>24332176.5540477</v>
      </c>
      <c r="F31" s="39" t="n">
        <v>34925590.4438667</v>
      </c>
      <c r="G31" s="39" t="n">
        <v>268390933.777044</v>
      </c>
      <c r="H31" s="33" t="n">
        <f aca="false">J30</f>
        <v>292723110.331091</v>
      </c>
      <c r="I31" s="33" t="n">
        <f aca="false">H31*N31</f>
        <v>10593413.889819</v>
      </c>
      <c r="J31" s="33" t="n">
        <f aca="false">H31+I31-F31</f>
        <v>268390933.777044</v>
      </c>
      <c r="K31" s="33" t="n">
        <f aca="false">D31-I31</f>
        <v>0</v>
      </c>
      <c r="L31" s="33" t="n">
        <f aca="false">G31-J31</f>
        <v>0</v>
      </c>
      <c r="M31" s="33" t="n">
        <f aca="false">F31</f>
        <v>34925590.4438667</v>
      </c>
      <c r="N31" s="65" t="n">
        <f aca="false">$C$7</f>
        <v>0.036189195577476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46772</v>
      </c>
      <c r="C32" s="39" t="n">
        <v>268390933.777044</v>
      </c>
      <c r="D32" s="39" t="n">
        <v>9712851.99367885</v>
      </c>
      <c r="E32" s="39" t="n">
        <v>25212738.4501878</v>
      </c>
      <c r="F32" s="39" t="n">
        <v>34925590.4438667</v>
      </c>
      <c r="G32" s="39" t="n">
        <v>243178195.326856</v>
      </c>
      <c r="H32" s="33" t="n">
        <f aca="false">J31</f>
        <v>268390933.777044</v>
      </c>
      <c r="I32" s="33" t="n">
        <f aca="false">H32*N32</f>
        <v>9712851.99367885</v>
      </c>
      <c r="J32" s="33" t="n">
        <f aca="false">H32+I32-F32</f>
        <v>243178195.326856</v>
      </c>
      <c r="K32" s="33" t="n">
        <f aca="false">D32-I32</f>
        <v>0</v>
      </c>
      <c r="L32" s="33" t="n">
        <f aca="false">G32-J32</f>
        <v>0</v>
      </c>
      <c r="M32" s="33" t="n">
        <f aca="false">F32</f>
        <v>34925590.4438667</v>
      </c>
      <c r="N32" s="65" t="n">
        <f aca="false">$C$7</f>
        <v>0.036189195577476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46863</v>
      </c>
      <c r="C33" s="39" t="n">
        <v>243178195.326856</v>
      </c>
      <c r="D33" s="39" t="n">
        <v>8800423.27086125</v>
      </c>
      <c r="E33" s="39" t="n">
        <v>26125167.1730054</v>
      </c>
      <c r="F33" s="39" t="n">
        <v>34925590.4438667</v>
      </c>
      <c r="G33" s="39" t="n">
        <v>217053028.15385</v>
      </c>
      <c r="H33" s="33" t="n">
        <f aca="false">J32</f>
        <v>243178195.326856</v>
      </c>
      <c r="I33" s="33" t="n">
        <f aca="false">H33*N33</f>
        <v>8800423.27086125</v>
      </c>
      <c r="J33" s="33" t="n">
        <f aca="false">H33+I33-F33</f>
        <v>217053028.15385</v>
      </c>
      <c r="K33" s="33" t="n">
        <f aca="false">D33-I33</f>
        <v>0</v>
      </c>
      <c r="L33" s="33" t="n">
        <f aca="false">G33-J33</f>
        <v>0</v>
      </c>
      <c r="M33" s="33" t="n">
        <f aca="false">F33</f>
        <v>34925590.4438667</v>
      </c>
      <c r="N33" s="65" t="n">
        <f aca="false">$C$7</f>
        <v>0.036189195577476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46954</v>
      </c>
      <c r="C34" s="39" t="n">
        <v>217053028.15385</v>
      </c>
      <c r="D34" s="39" t="n">
        <v>7854974.4865431</v>
      </c>
      <c r="E34" s="39" t="n">
        <v>27070615.9573236</v>
      </c>
      <c r="F34" s="39" t="n">
        <v>34925590.4438667</v>
      </c>
      <c r="G34" s="39" t="n">
        <v>189982412.196527</v>
      </c>
      <c r="H34" s="33" t="n">
        <f aca="false">J33</f>
        <v>217053028.15385</v>
      </c>
      <c r="I34" s="33" t="n">
        <f aca="false">H34*N34</f>
        <v>7854974.4865431</v>
      </c>
      <c r="J34" s="33" t="n">
        <f aca="false">H34+I34-F34</f>
        <v>189982412.196527</v>
      </c>
      <c r="K34" s="33" t="n">
        <f aca="false">D34-I34</f>
        <v>0</v>
      </c>
      <c r="L34" s="33" t="n">
        <f aca="false">G34-J34</f>
        <v>0</v>
      </c>
      <c r="M34" s="33" t="n">
        <f aca="false">F34</f>
        <v>34925590.4438667</v>
      </c>
      <c r="N34" s="65" t="n">
        <f aca="false">$C$7</f>
        <v>0.036189195577476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47046</v>
      </c>
      <c r="C35" s="39" t="n">
        <v>189982412.196527</v>
      </c>
      <c r="D35" s="39" t="n">
        <v>6875310.67126077</v>
      </c>
      <c r="E35" s="39" t="n">
        <v>28050279.7726059</v>
      </c>
      <c r="F35" s="39" t="n">
        <v>34925590.4438667</v>
      </c>
      <c r="G35" s="39" t="n">
        <v>161932132.423921</v>
      </c>
      <c r="H35" s="33" t="n">
        <f aca="false">J34</f>
        <v>189982412.196527</v>
      </c>
      <c r="I35" s="33" t="n">
        <f aca="false">H35*N35</f>
        <v>6875310.67126078</v>
      </c>
      <c r="J35" s="33" t="n">
        <f aca="false">H35+I35-F35</f>
        <v>161932132.423921</v>
      </c>
      <c r="K35" s="33" t="n">
        <f aca="false">D35-I35</f>
        <v>0</v>
      </c>
      <c r="L35" s="33" t="n">
        <f aca="false">G35-J35</f>
        <v>0</v>
      </c>
      <c r="M35" s="33" t="n">
        <f aca="false">F35</f>
        <v>34925590.4438667</v>
      </c>
      <c r="N35" s="65" t="n">
        <f aca="false">$C$7</f>
        <v>0.036189195577476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47138</v>
      </c>
      <c r="C36" s="39" t="n">
        <v>161932132.423921</v>
      </c>
      <c r="D36" s="39" t="n">
        <v>5860193.61056702</v>
      </c>
      <c r="E36" s="39" t="n">
        <v>29065396.8332996</v>
      </c>
      <c r="F36" s="39" t="n">
        <v>34925590.4438667</v>
      </c>
      <c r="G36" s="39" t="n">
        <v>132866735.590621</v>
      </c>
      <c r="H36" s="33" t="n">
        <f aca="false">J35</f>
        <v>161932132.423921</v>
      </c>
      <c r="I36" s="33" t="n">
        <f aca="false">H36*N36</f>
        <v>5860193.61056702</v>
      </c>
      <c r="J36" s="33" t="n">
        <f aca="false">H36+I36-F36</f>
        <v>132866735.590621</v>
      </c>
      <c r="K36" s="33" t="n">
        <f aca="false">D36-I36</f>
        <v>0</v>
      </c>
      <c r="L36" s="33" t="n">
        <f aca="false">G36-J36</f>
        <v>0</v>
      </c>
      <c r="M36" s="33" t="n">
        <f aca="false">F36</f>
        <v>34925590.4438667</v>
      </c>
      <c r="N36" s="65" t="n">
        <f aca="false">$C$7</f>
        <v>0.036189195577476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47228</v>
      </c>
      <c r="C37" s="39" t="n">
        <v>132866735.590621</v>
      </c>
      <c r="D37" s="39" t="n">
        <v>4808340.28002979</v>
      </c>
      <c r="E37" s="39" t="n">
        <v>30117250.1638369</v>
      </c>
      <c r="F37" s="39" t="n">
        <v>34925590.4438667</v>
      </c>
      <c r="G37" s="39" t="n">
        <v>102749485.426784</v>
      </c>
      <c r="H37" s="33" t="n">
        <f aca="false">J36</f>
        <v>132866735.590621</v>
      </c>
      <c r="I37" s="33" t="n">
        <f aca="false">H37*N37</f>
        <v>4808340.28002979</v>
      </c>
      <c r="J37" s="33" t="n">
        <f aca="false">H37+I37-F37</f>
        <v>102749485.426784</v>
      </c>
      <c r="K37" s="33" t="n">
        <f aca="false">D37-I37</f>
        <v>0</v>
      </c>
      <c r="L37" s="33" t="n">
        <f aca="false">G37-J37</f>
        <v>0</v>
      </c>
      <c r="M37" s="33" t="n">
        <f aca="false">F37</f>
        <v>34925590.4438667</v>
      </c>
      <c r="N37" s="65" t="n">
        <f aca="false">$C$7</f>
        <v>0.036189195577476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47319</v>
      </c>
      <c r="C38" s="39" t="n">
        <v>102749485.426784</v>
      </c>
      <c r="D38" s="39" t="n">
        <v>3718421.22359492</v>
      </c>
      <c r="E38" s="39" t="n">
        <v>31207169.2202718</v>
      </c>
      <c r="F38" s="39" t="n">
        <v>34925590.4438667</v>
      </c>
      <c r="G38" s="39" t="n">
        <v>71542316.2065126</v>
      </c>
      <c r="H38" s="33" t="n">
        <f aca="false">J37</f>
        <v>102749485.426784</v>
      </c>
      <c r="I38" s="33" t="n">
        <f aca="false">H38*N38</f>
        <v>3718421.22359492</v>
      </c>
      <c r="J38" s="33" t="n">
        <f aca="false">H38+I38-F38</f>
        <v>71542316.2065126</v>
      </c>
      <c r="K38" s="33" t="n">
        <f aca="false">D38-I38</f>
        <v>0</v>
      </c>
      <c r="L38" s="33" t="n">
        <f aca="false">G38-J38</f>
        <v>0</v>
      </c>
      <c r="M38" s="33" t="n">
        <f aca="false">F38</f>
        <v>34925590.4438667</v>
      </c>
      <c r="N38" s="65" t="n">
        <f aca="false">$C$7</f>
        <v>0.036189195577476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47411</v>
      </c>
      <c r="C39" s="39" t="n">
        <v>71542316.2065126</v>
      </c>
      <c r="D39" s="39" t="n">
        <v>2589058.87326312</v>
      </c>
      <c r="E39" s="39" t="n">
        <v>32336531.5706036</v>
      </c>
      <c r="F39" s="39" t="n">
        <v>34925590.4438667</v>
      </c>
      <c r="G39" s="39" t="n">
        <v>39205784.635909</v>
      </c>
      <c r="H39" s="33" t="n">
        <f aca="false">J38</f>
        <v>71542316.2065126</v>
      </c>
      <c r="I39" s="33" t="n">
        <f aca="false">H39*N39</f>
        <v>2589058.87326312</v>
      </c>
      <c r="J39" s="33" t="n">
        <f aca="false">H39+I39-F39</f>
        <v>39205784.6359091</v>
      </c>
      <c r="K39" s="33" t="n">
        <f aca="false">D39-I39</f>
        <v>0</v>
      </c>
      <c r="L39" s="33" t="n">
        <f aca="false">G39-J39</f>
        <v>0</v>
      </c>
      <c r="M39" s="33" t="n">
        <f aca="false">F39</f>
        <v>34925590.4438667</v>
      </c>
      <c r="N39" s="65" t="n">
        <f aca="false">$C$7</f>
        <v>0.036189195577476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47503</v>
      </c>
      <c r="C40" s="39" t="n">
        <v>39205784.635909</v>
      </c>
      <c r="D40" s="39" t="n">
        <v>1418825.80795732</v>
      </c>
      <c r="E40" s="39" t="n">
        <v>39205784.6359094</v>
      </c>
      <c r="F40" s="39" t="n">
        <v>40624610.4438667</v>
      </c>
      <c r="G40" s="39" t="n">
        <v>-3.20374965667725E-007</v>
      </c>
      <c r="H40" s="33" t="n">
        <f aca="false">J39</f>
        <v>39205784.6359091</v>
      </c>
      <c r="I40" s="33" t="n">
        <f aca="false">H40*N40</f>
        <v>1418825.80795732</v>
      </c>
      <c r="J40" s="33" t="n">
        <f aca="false">H40+I40-F40</f>
        <v>-2.75671482086182E-007</v>
      </c>
      <c r="K40" s="33" t="n">
        <f aca="false">D40-I40</f>
        <v>0</v>
      </c>
      <c r="L40" s="33" t="n">
        <f aca="false">G40-J40</f>
        <v>-4.4703483581543E-008</v>
      </c>
      <c r="M40" s="33" t="n">
        <f aca="false">F40</f>
        <v>40624610.4438667</v>
      </c>
      <c r="N40" s="65" t="n">
        <f aca="false">$C$7</f>
        <v>0.036189195577476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1821</v>
      </c>
    </row>
    <row r="2" customFormat="false" ht="15" hidden="false" customHeight="false" outlineLevel="0" collapsed="false">
      <c r="A2" s="24" t="s">
        <v>1822</v>
      </c>
    </row>
    <row r="3" customFormat="false" ht="15" hidden="false" customHeight="false" outlineLevel="0" collapsed="false">
      <c r="A3" s="34" t="s">
        <v>1748</v>
      </c>
      <c r="C3" s="38" t="s">
        <v>1823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569902000</v>
      </c>
      <c r="F4" s="26" t="s">
        <v>1752</v>
      </c>
      <c r="I4" s="57" t="n">
        <f aca="false">_xlfn.MAXIFS($B$12:$B$40,$B$12:$B$40,"&lt;="&amp;Resumen!$C$5)</f>
        <v>46226</v>
      </c>
    </row>
    <row r="5" customFormat="false" ht="15" hidden="false" customHeight="false" outlineLevel="0" collapsed="false">
      <c r="A5" s="34" t="s">
        <v>1753</v>
      </c>
      <c r="C5" s="27" t="n">
        <v>44949</v>
      </c>
      <c r="F5" s="26" t="s">
        <v>1754</v>
      </c>
      <c r="I5" s="58" t="n">
        <f aca="false">SUMIFS($G$12:$G$40,$B$12:$B$40,I4)</f>
        <v>381845387.419314</v>
      </c>
    </row>
    <row r="6" customFormat="false" ht="15" hidden="false" customHeight="false" outlineLevel="0" collapsed="false">
      <c r="A6" s="34" t="s">
        <v>1755</v>
      </c>
      <c r="C6" s="38" t="s">
        <v>1820</v>
      </c>
      <c r="F6" s="26" t="s">
        <v>1757</v>
      </c>
      <c r="I6" s="33" t="n">
        <f aca="false">SUMIFS($J$12:$J$40,$B$12:$B$40,I4)</f>
        <v>381845387.419314</v>
      </c>
    </row>
    <row r="7" customFormat="false" ht="15" hidden="false" customHeight="false" outlineLevel="0" collapsed="false">
      <c r="A7" s="34" t="s">
        <v>1758</v>
      </c>
      <c r="C7" s="64" t="n">
        <v>0.036189195577476</v>
      </c>
      <c r="F7" s="26" t="s">
        <v>1759</v>
      </c>
      <c r="I7" s="33" t="n">
        <f aca="false">SUMIFS($D$12:$D$40,$O$12:$O$40,1)</f>
        <v>45776937.4665054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0.0361891955774748</v>
      </c>
      <c r="F8" s="26" t="s">
        <v>1761</v>
      </c>
      <c r="I8" s="33" t="n">
        <f aca="false">SUMIFS($E$12:$E$40,$P$12:$P$40,1)</f>
        <v>89122277.0882225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0.152806026633057</v>
      </c>
      <c r="F9" s="26" t="s">
        <v>1763</v>
      </c>
      <c r="I9" s="33" t="n">
        <f aca="false">SUMPRODUCT(MAX(ABS($L$12:$L$40)))</f>
        <v>4.4703483581543E-008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44949</v>
      </c>
      <c r="C12" s="39"/>
      <c r="D12" s="39" t="n">
        <v>0</v>
      </c>
      <c r="E12" s="39" t="n">
        <v>0</v>
      </c>
      <c r="F12" s="39" t="n">
        <v>0</v>
      </c>
      <c r="G12" s="39" t="n">
        <v>569902000</v>
      </c>
      <c r="H12" s="33" t="n">
        <f aca="false">G12</f>
        <v>569902000</v>
      </c>
      <c r="I12" s="33" t="n">
        <v>0</v>
      </c>
      <c r="J12" s="33" t="n">
        <f aca="false">H12</f>
        <v>569902000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-569902000</v>
      </c>
      <c r="N12" s="65" t="n">
        <f aca="false">$C$7</f>
        <v>0.036189195577476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45039</v>
      </c>
      <c r="C13" s="39" t="n">
        <v>569902000</v>
      </c>
      <c r="D13" s="39" t="n">
        <v>20624294.9379947</v>
      </c>
      <c r="E13" s="39" t="n">
        <v>3212901.10185731</v>
      </c>
      <c r="F13" s="39" t="n">
        <v>23837196.039852</v>
      </c>
      <c r="G13" s="39" t="n">
        <v>566689098.898143</v>
      </c>
      <c r="H13" s="33" t="n">
        <f aca="false">J12</f>
        <v>569902000</v>
      </c>
      <c r="I13" s="33" t="n">
        <f aca="false">H13*N13</f>
        <v>20624294.9379947</v>
      </c>
      <c r="J13" s="33" t="n">
        <f aca="false">H13+I13-F13</f>
        <v>566689098.898143</v>
      </c>
      <c r="K13" s="33" t="n">
        <f aca="false">D13-I13</f>
        <v>0</v>
      </c>
      <c r="L13" s="33" t="n">
        <f aca="false">G13-J13</f>
        <v>0</v>
      </c>
      <c r="M13" s="33" t="n">
        <f aca="false">F13</f>
        <v>23837196.039852</v>
      </c>
      <c r="N13" s="65" t="n">
        <f aca="false">$C$7</f>
        <v>0.036189195577476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45130</v>
      </c>
      <c r="C14" s="39" t="n">
        <v>566689098.898143</v>
      </c>
      <c r="D14" s="39" t="n">
        <v>20508022.6316485</v>
      </c>
      <c r="E14" s="39" t="n">
        <v>3329173.40820348</v>
      </c>
      <c r="F14" s="39" t="n">
        <v>23837196.039852</v>
      </c>
      <c r="G14" s="39" t="n">
        <v>563359925.489939</v>
      </c>
      <c r="H14" s="33" t="n">
        <f aca="false">J13</f>
        <v>566689098.898143</v>
      </c>
      <c r="I14" s="33" t="n">
        <f aca="false">H14*N14</f>
        <v>20508022.6316485</v>
      </c>
      <c r="J14" s="33" t="n">
        <f aca="false">H14+I14-F14</f>
        <v>563359925.489939</v>
      </c>
      <c r="K14" s="33" t="n">
        <f aca="false">D14-I14</f>
        <v>0</v>
      </c>
      <c r="L14" s="33" t="n">
        <f aca="false">G14-J14</f>
        <v>0</v>
      </c>
      <c r="M14" s="33" t="n">
        <f aca="false">F14</f>
        <v>23837196.039852</v>
      </c>
      <c r="N14" s="65" t="n">
        <f aca="false">$C$7</f>
        <v>0.036189195577476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45222</v>
      </c>
      <c r="C15" s="39" t="n">
        <v>563359925.489939</v>
      </c>
      <c r="D15" s="39" t="n">
        <v>20387542.5240677</v>
      </c>
      <c r="E15" s="39" t="n">
        <v>3449653.51578426</v>
      </c>
      <c r="F15" s="39" t="n">
        <v>23837196.039852</v>
      </c>
      <c r="G15" s="39" t="n">
        <v>559910271.974155</v>
      </c>
      <c r="H15" s="33" t="n">
        <f aca="false">J14</f>
        <v>563359925.489939</v>
      </c>
      <c r="I15" s="33" t="n">
        <f aca="false">H15*N15</f>
        <v>20387542.5240677</v>
      </c>
      <c r="J15" s="33" t="n">
        <f aca="false">H15+I15-F15</f>
        <v>559910271.974155</v>
      </c>
      <c r="K15" s="33" t="n">
        <f aca="false">D15-I15</f>
        <v>0</v>
      </c>
      <c r="L15" s="33" t="n">
        <f aca="false">G15-J15</f>
        <v>0</v>
      </c>
      <c r="M15" s="33" t="n">
        <f aca="false">F15</f>
        <v>23837196.039852</v>
      </c>
      <c r="N15" s="65" t="n">
        <f aca="false">$C$7</f>
        <v>0.036189195577476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45314</v>
      </c>
      <c r="C16" s="39" t="n">
        <v>559910271.974155</v>
      </c>
      <c r="D16" s="39" t="n">
        <v>20262702.3383105</v>
      </c>
      <c r="E16" s="39" t="n">
        <v>3574493.70154154</v>
      </c>
      <c r="F16" s="39" t="n">
        <v>23837196.039852</v>
      </c>
      <c r="G16" s="39" t="n">
        <v>556335778.272613</v>
      </c>
      <c r="H16" s="33" t="n">
        <f aca="false">J15</f>
        <v>559910271.974155</v>
      </c>
      <c r="I16" s="33" t="n">
        <f aca="false">H16*N16</f>
        <v>20262702.3383105</v>
      </c>
      <c r="J16" s="33" t="n">
        <f aca="false">H16+I16-F16</f>
        <v>556335778.272613</v>
      </c>
      <c r="K16" s="33" t="n">
        <f aca="false">D16-I16</f>
        <v>0</v>
      </c>
      <c r="L16" s="33" t="n">
        <f aca="false">G16-J16</f>
        <v>0</v>
      </c>
      <c r="M16" s="33" t="n">
        <f aca="false">F16</f>
        <v>23837196.039852</v>
      </c>
      <c r="N16" s="65" t="n">
        <f aca="false">$C$7</f>
        <v>0.036189195577476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45405</v>
      </c>
      <c r="C17" s="39" t="n">
        <v>556335778.272613</v>
      </c>
      <c r="D17" s="39" t="n">
        <v>20133344.2866549</v>
      </c>
      <c r="E17" s="39" t="n">
        <v>14792246.1572117</v>
      </c>
      <c r="F17" s="39" t="n">
        <v>34925590.4438666</v>
      </c>
      <c r="G17" s="39" t="n">
        <v>541543532.115402</v>
      </c>
      <c r="H17" s="33" t="n">
        <f aca="false">J16</f>
        <v>556335778.272613</v>
      </c>
      <c r="I17" s="33" t="n">
        <f aca="false">H17*N17</f>
        <v>20133344.2866549</v>
      </c>
      <c r="J17" s="33" t="n">
        <f aca="false">H17+I17-F17</f>
        <v>541543532.115402</v>
      </c>
      <c r="K17" s="33" t="n">
        <f aca="false">D17-I17</f>
        <v>0</v>
      </c>
      <c r="L17" s="33" t="n">
        <f aca="false">G17-J17</f>
        <v>0</v>
      </c>
      <c r="M17" s="33" t="n">
        <f aca="false">F17</f>
        <v>34925590.4438666</v>
      </c>
      <c r="N17" s="65" t="n">
        <f aca="false">$C$7</f>
        <v>0.036189195577476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45496</v>
      </c>
      <c r="C18" s="39" t="n">
        <v>541543532.115402</v>
      </c>
      <c r="D18" s="39" t="n">
        <v>19598024.7974414</v>
      </c>
      <c r="E18" s="39" t="n">
        <v>15327565.6464252</v>
      </c>
      <c r="F18" s="39" t="n">
        <v>34925590.4438666</v>
      </c>
      <c r="G18" s="39" t="n">
        <v>526215966.468977</v>
      </c>
      <c r="H18" s="33" t="n">
        <f aca="false">J17</f>
        <v>541543532.115402</v>
      </c>
      <c r="I18" s="33" t="n">
        <f aca="false">H18*N18</f>
        <v>19598024.7974414</v>
      </c>
      <c r="J18" s="33" t="n">
        <f aca="false">H18+I18-F18</f>
        <v>526215966.468977</v>
      </c>
      <c r="K18" s="33" t="n">
        <f aca="false">D18-I18</f>
        <v>0</v>
      </c>
      <c r="L18" s="33" t="n">
        <f aca="false">G18-J18</f>
        <v>0</v>
      </c>
      <c r="M18" s="33" t="n">
        <f aca="false">F18</f>
        <v>34925590.4438666</v>
      </c>
      <c r="N18" s="65" t="n">
        <f aca="false">$C$7</f>
        <v>0.036189195577476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45588</v>
      </c>
      <c r="C19" s="39" t="n">
        <v>526215966.468977</v>
      </c>
      <c r="D19" s="39" t="n">
        <v>19043332.5265364</v>
      </c>
      <c r="E19" s="39" t="n">
        <v>15882257.9173303</v>
      </c>
      <c r="F19" s="39" t="n">
        <v>34925590.4438666</v>
      </c>
      <c r="G19" s="39" t="n">
        <v>510333708.551646</v>
      </c>
      <c r="H19" s="33" t="n">
        <f aca="false">J18</f>
        <v>526215966.468977</v>
      </c>
      <c r="I19" s="33" t="n">
        <f aca="false">H19*N19</f>
        <v>19043332.5265364</v>
      </c>
      <c r="J19" s="33" t="n">
        <f aca="false">H19+I19-F19</f>
        <v>510333708.551646</v>
      </c>
      <c r="K19" s="33" t="n">
        <f aca="false">D19-I19</f>
        <v>0</v>
      </c>
      <c r="L19" s="33" t="n">
        <f aca="false">G19-J19</f>
        <v>0</v>
      </c>
      <c r="M19" s="33" t="n">
        <f aca="false">F19</f>
        <v>34925590.4438666</v>
      </c>
      <c r="N19" s="65" t="n">
        <f aca="false">$C$7</f>
        <v>0.036189195577476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45680</v>
      </c>
      <c r="C20" s="39" t="n">
        <v>510333708.551646</v>
      </c>
      <c r="D20" s="39" t="n">
        <v>18468566.3885542</v>
      </c>
      <c r="E20" s="39" t="n">
        <v>16457024.0553125</v>
      </c>
      <c r="F20" s="39" t="n">
        <v>34925590.4438667</v>
      </c>
      <c r="G20" s="39" t="n">
        <v>493876684.496334</v>
      </c>
      <c r="H20" s="33" t="n">
        <f aca="false">J19</f>
        <v>510333708.551646</v>
      </c>
      <c r="I20" s="33" t="n">
        <f aca="false">H20*N20</f>
        <v>18468566.3885542</v>
      </c>
      <c r="J20" s="33" t="n">
        <f aca="false">H20+I20-F20</f>
        <v>493876684.496334</v>
      </c>
      <c r="K20" s="33" t="n">
        <f aca="false">D20-I20</f>
        <v>0</v>
      </c>
      <c r="L20" s="33" t="n">
        <f aca="false">G20-J20</f>
        <v>0</v>
      </c>
      <c r="M20" s="33" t="n">
        <f aca="false">F20</f>
        <v>34925590.4438667</v>
      </c>
      <c r="N20" s="65" t="n">
        <f aca="false">$C$7</f>
        <v>0.036189195577476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45770</v>
      </c>
      <c r="C21" s="39" t="n">
        <v>493876684.496334</v>
      </c>
      <c r="D21" s="39" t="n">
        <v>17872999.9263932</v>
      </c>
      <c r="E21" s="39" t="n">
        <v>17052590.5174735</v>
      </c>
      <c r="F21" s="39" t="n">
        <v>34925590.4438667</v>
      </c>
      <c r="G21" s="39" t="n">
        <v>476824093.97886</v>
      </c>
      <c r="H21" s="33" t="n">
        <f aca="false">J20</f>
        <v>493876684.496334</v>
      </c>
      <c r="I21" s="33" t="n">
        <f aca="false">H21*N21</f>
        <v>17872999.9263932</v>
      </c>
      <c r="J21" s="33" t="n">
        <f aca="false">H21+I21-F21</f>
        <v>476824093.97886</v>
      </c>
      <c r="K21" s="33" t="n">
        <f aca="false">D21-I21</f>
        <v>0</v>
      </c>
      <c r="L21" s="33" t="n">
        <f aca="false">G21-J21</f>
        <v>0</v>
      </c>
      <c r="M21" s="33" t="n">
        <f aca="false">F21</f>
        <v>34925590.4438667</v>
      </c>
      <c r="N21" s="65" t="n">
        <f aca="false">$C$7</f>
        <v>0.036189195577476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45861</v>
      </c>
      <c r="C22" s="39" t="n">
        <v>476824093.97886</v>
      </c>
      <c r="D22" s="39" t="n">
        <v>17255880.3930538</v>
      </c>
      <c r="E22" s="39" t="n">
        <v>17669710.0508129</v>
      </c>
      <c r="F22" s="39" t="n">
        <v>34925590.4438667</v>
      </c>
      <c r="G22" s="39" t="n">
        <v>459154383.928047</v>
      </c>
      <c r="H22" s="33" t="n">
        <f aca="false">J21</f>
        <v>476824093.97886</v>
      </c>
      <c r="I22" s="33" t="n">
        <f aca="false">H22*N22</f>
        <v>17255880.3930538</v>
      </c>
      <c r="J22" s="33" t="n">
        <f aca="false">H22+I22-F22</f>
        <v>459154383.928048</v>
      </c>
      <c r="K22" s="33" t="n">
        <f aca="false">D22-I22</f>
        <v>0</v>
      </c>
      <c r="L22" s="33" t="n">
        <f aca="false">G22-J22</f>
        <v>0</v>
      </c>
      <c r="M22" s="33" t="n">
        <f aca="false">F22</f>
        <v>34925590.4438667</v>
      </c>
      <c r="N22" s="65" t="n">
        <f aca="false">$C$7</f>
        <v>0.036189195577476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45953</v>
      </c>
      <c r="C23" s="39" t="n">
        <v>459154383.928047</v>
      </c>
      <c r="D23" s="39" t="n">
        <v>16616427.8002276</v>
      </c>
      <c r="E23" s="39" t="n">
        <v>18309162.643639</v>
      </c>
      <c r="F23" s="39" t="n">
        <v>34925590.4438667</v>
      </c>
      <c r="G23" s="39" t="n">
        <v>440845221.284408</v>
      </c>
      <c r="H23" s="33" t="n">
        <f aca="false">J22</f>
        <v>459154383.928048</v>
      </c>
      <c r="I23" s="33" t="n">
        <f aca="false">H23*N23</f>
        <v>16616427.8002276</v>
      </c>
      <c r="J23" s="33" t="n">
        <f aca="false">H23+I23-F23</f>
        <v>440845221.284408</v>
      </c>
      <c r="K23" s="33" t="n">
        <f aca="false">D23-I23</f>
        <v>0</v>
      </c>
      <c r="L23" s="33" t="n">
        <f aca="false">G23-J23</f>
        <v>0</v>
      </c>
      <c r="M23" s="33" t="n">
        <f aca="false">F23</f>
        <v>34925590.4438667</v>
      </c>
      <c r="N23" s="65" t="n">
        <f aca="false">$C$7</f>
        <v>0.036189195577476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46045</v>
      </c>
      <c r="C24" s="39" t="n">
        <v>440845221.284408</v>
      </c>
      <c r="D24" s="39" t="n">
        <v>15953833.9324572</v>
      </c>
      <c r="E24" s="39" t="n">
        <v>18971756.5114095</v>
      </c>
      <c r="F24" s="39" t="n">
        <v>34925590.4438667</v>
      </c>
      <c r="G24" s="39" t="n">
        <v>421873464.772999</v>
      </c>
      <c r="H24" s="33" t="n">
        <f aca="false">J23</f>
        <v>440845221.284408</v>
      </c>
      <c r="I24" s="33" t="n">
        <f aca="false">H24*N24</f>
        <v>15953833.9324572</v>
      </c>
      <c r="J24" s="33" t="n">
        <f aca="false">H24+I24-F24</f>
        <v>421873464.772999</v>
      </c>
      <c r="K24" s="33" t="n">
        <f aca="false">D24-I24</f>
        <v>0</v>
      </c>
      <c r="L24" s="33" t="n">
        <f aca="false">G24-J24</f>
        <v>0</v>
      </c>
      <c r="M24" s="33" t="n">
        <f aca="false">F24</f>
        <v>34925590.4438667</v>
      </c>
      <c r="N24" s="65" t="n">
        <f aca="false">$C$7</f>
        <v>0.036189195577476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46135</v>
      </c>
      <c r="C25" s="39" t="n">
        <v>421873464.772999</v>
      </c>
      <c r="D25" s="39" t="n">
        <v>15267261.3256175</v>
      </c>
      <c r="E25" s="39" t="n">
        <v>19658329.1182492</v>
      </c>
      <c r="F25" s="39" t="n">
        <v>34925590.4438667</v>
      </c>
      <c r="G25" s="39" t="n">
        <v>402215135.65475</v>
      </c>
      <c r="H25" s="33" t="n">
        <f aca="false">J24</f>
        <v>421873464.772999</v>
      </c>
      <c r="I25" s="33" t="n">
        <f aca="false">H25*N25</f>
        <v>15267261.3256175</v>
      </c>
      <c r="J25" s="33" t="n">
        <f aca="false">H25+I25-F25</f>
        <v>402215135.65475</v>
      </c>
      <c r="K25" s="33" t="n">
        <f aca="false">D25-I25</f>
        <v>0</v>
      </c>
      <c r="L25" s="33" t="n">
        <f aca="false">G25-J25</f>
        <v>0</v>
      </c>
      <c r="M25" s="33" t="n">
        <f aca="false">F25</f>
        <v>34925590.4438667</v>
      </c>
      <c r="N25" s="65" t="n">
        <f aca="false">$C$7</f>
        <v>0.036189195577476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46226</v>
      </c>
      <c r="C26" s="39" t="n">
        <v>402215135.65475</v>
      </c>
      <c r="D26" s="39" t="n">
        <v>14555842.2084308</v>
      </c>
      <c r="E26" s="39" t="n">
        <v>20369748.2354359</v>
      </c>
      <c r="F26" s="39" t="n">
        <v>34925590.4438667</v>
      </c>
      <c r="G26" s="39" t="n">
        <v>381845387.419314</v>
      </c>
      <c r="H26" s="33" t="n">
        <f aca="false">J25</f>
        <v>402215135.65475</v>
      </c>
      <c r="I26" s="33" t="n">
        <f aca="false">H26*N26</f>
        <v>14555842.2084308</v>
      </c>
      <c r="J26" s="33" t="n">
        <f aca="false">H26+I26-F26</f>
        <v>381845387.419314</v>
      </c>
      <c r="K26" s="33" t="n">
        <f aca="false">D26-I26</f>
        <v>0</v>
      </c>
      <c r="L26" s="33" t="n">
        <f aca="false">G26-J26</f>
        <v>0</v>
      </c>
      <c r="M26" s="33" t="n">
        <f aca="false">F26</f>
        <v>34925590.4438667</v>
      </c>
      <c r="N26" s="65" t="n">
        <f aca="false">$C$7</f>
        <v>0.036189195577476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46318</v>
      </c>
      <c r="C27" s="39" t="n">
        <v>381845387.419314</v>
      </c>
      <c r="D27" s="39" t="n">
        <v>13818677.4056747</v>
      </c>
      <c r="E27" s="39" t="n">
        <v>21106913.038192</v>
      </c>
      <c r="F27" s="39" t="n">
        <v>34925590.4438667</v>
      </c>
      <c r="G27" s="39" t="n">
        <v>360738474.381122</v>
      </c>
      <c r="H27" s="33" t="n">
        <f aca="false">J26</f>
        <v>381845387.419314</v>
      </c>
      <c r="I27" s="33" t="n">
        <f aca="false">H27*N27</f>
        <v>13818677.4056747</v>
      </c>
      <c r="J27" s="33" t="n">
        <f aca="false">H27+I27-F27</f>
        <v>360738474.381122</v>
      </c>
      <c r="K27" s="33" t="n">
        <f aca="false">D27-I27</f>
        <v>0</v>
      </c>
      <c r="L27" s="33" t="n">
        <f aca="false">G27-J27</f>
        <v>0</v>
      </c>
      <c r="M27" s="33" t="n">
        <f aca="false">F27</f>
        <v>34925590.4438667</v>
      </c>
      <c r="N27" s="65" t="n">
        <f aca="false">$C$7</f>
        <v>0.036189195577476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46410</v>
      </c>
      <c r="C28" s="39" t="n">
        <v>360738474.381122</v>
      </c>
      <c r="D28" s="39" t="n">
        <v>13054835.2016987</v>
      </c>
      <c r="E28" s="39" t="n">
        <v>21870755.242168</v>
      </c>
      <c r="F28" s="39" t="n">
        <v>34925590.4438667</v>
      </c>
      <c r="G28" s="39" t="n">
        <v>338867719.138954</v>
      </c>
      <c r="H28" s="33" t="n">
        <f aca="false">J27</f>
        <v>360738474.381122</v>
      </c>
      <c r="I28" s="33" t="n">
        <f aca="false">H28*N28</f>
        <v>13054835.2016987</v>
      </c>
      <c r="J28" s="33" t="n">
        <f aca="false">H28+I28-F28</f>
        <v>338867719.138954</v>
      </c>
      <c r="K28" s="33" t="n">
        <f aca="false">D28-I28</f>
        <v>0</v>
      </c>
      <c r="L28" s="33" t="n">
        <f aca="false">G28-J28</f>
        <v>0</v>
      </c>
      <c r="M28" s="33" t="n">
        <f aca="false">F28</f>
        <v>34925590.4438667</v>
      </c>
      <c r="N28" s="65" t="n">
        <f aca="false">$C$7</f>
        <v>0.036189195577476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46500</v>
      </c>
      <c r="C29" s="39" t="n">
        <v>338867719.138954</v>
      </c>
      <c r="D29" s="39" t="n">
        <v>12263350.1628128</v>
      </c>
      <c r="E29" s="39" t="n">
        <v>22662240.2810538</v>
      </c>
      <c r="F29" s="39" t="n">
        <v>34925590.4438667</v>
      </c>
      <c r="G29" s="39" t="n">
        <v>316205478.8579</v>
      </c>
      <c r="H29" s="33" t="n">
        <f aca="false">J28</f>
        <v>338867719.138954</v>
      </c>
      <c r="I29" s="33" t="n">
        <f aca="false">H29*N29</f>
        <v>12263350.1628128</v>
      </c>
      <c r="J29" s="33" t="n">
        <f aca="false">H29+I29-F29</f>
        <v>316205478.8579</v>
      </c>
      <c r="K29" s="33" t="n">
        <f aca="false">D29-I29</f>
        <v>0</v>
      </c>
      <c r="L29" s="33" t="n">
        <f aca="false">G29-J29</f>
        <v>0</v>
      </c>
      <c r="M29" s="33" t="n">
        <f aca="false">F29</f>
        <v>34925590.4438667</v>
      </c>
      <c r="N29" s="65" t="n">
        <f aca="false">$C$7</f>
        <v>0.036189195577476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46591</v>
      </c>
      <c r="C30" s="39" t="n">
        <v>316205478.8579</v>
      </c>
      <c r="D30" s="39" t="n">
        <v>11443221.917058</v>
      </c>
      <c r="E30" s="39" t="n">
        <v>23482368.5268087</v>
      </c>
      <c r="F30" s="39" t="n">
        <v>34925590.4438667</v>
      </c>
      <c r="G30" s="39" t="n">
        <v>292723110.331091</v>
      </c>
      <c r="H30" s="33" t="n">
        <f aca="false">J29</f>
        <v>316205478.8579</v>
      </c>
      <c r="I30" s="33" t="n">
        <f aca="false">H30*N30</f>
        <v>11443221.917058</v>
      </c>
      <c r="J30" s="33" t="n">
        <f aca="false">H30+I30-F30</f>
        <v>292723110.331091</v>
      </c>
      <c r="K30" s="33" t="n">
        <f aca="false">D30-I30</f>
        <v>0</v>
      </c>
      <c r="L30" s="33" t="n">
        <f aca="false">G30-J30</f>
        <v>0</v>
      </c>
      <c r="M30" s="33" t="n">
        <f aca="false">F30</f>
        <v>34925590.4438667</v>
      </c>
      <c r="N30" s="65" t="n">
        <f aca="false">$C$7</f>
        <v>0.036189195577476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46683</v>
      </c>
      <c r="C31" s="39" t="n">
        <v>292723110.331091</v>
      </c>
      <c r="D31" s="39" t="n">
        <v>10593413.889819</v>
      </c>
      <c r="E31" s="39" t="n">
        <v>24332176.5540477</v>
      </c>
      <c r="F31" s="39" t="n">
        <v>34925590.4438667</v>
      </c>
      <c r="G31" s="39" t="n">
        <v>268390933.777044</v>
      </c>
      <c r="H31" s="33" t="n">
        <f aca="false">J30</f>
        <v>292723110.331091</v>
      </c>
      <c r="I31" s="33" t="n">
        <f aca="false">H31*N31</f>
        <v>10593413.889819</v>
      </c>
      <c r="J31" s="33" t="n">
        <f aca="false">H31+I31-F31</f>
        <v>268390933.777044</v>
      </c>
      <c r="K31" s="33" t="n">
        <f aca="false">D31-I31</f>
        <v>0</v>
      </c>
      <c r="L31" s="33" t="n">
        <f aca="false">G31-J31</f>
        <v>0</v>
      </c>
      <c r="M31" s="33" t="n">
        <f aca="false">F31</f>
        <v>34925590.4438667</v>
      </c>
      <c r="N31" s="65" t="n">
        <f aca="false">$C$7</f>
        <v>0.036189195577476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46775</v>
      </c>
      <c r="C32" s="39" t="n">
        <v>268390933.777044</v>
      </c>
      <c r="D32" s="39" t="n">
        <v>9712851.99367885</v>
      </c>
      <c r="E32" s="39" t="n">
        <v>25212738.4501878</v>
      </c>
      <c r="F32" s="39" t="n">
        <v>34925590.4438667</v>
      </c>
      <c r="G32" s="39" t="n">
        <v>243178195.326856</v>
      </c>
      <c r="H32" s="33" t="n">
        <f aca="false">J31</f>
        <v>268390933.777044</v>
      </c>
      <c r="I32" s="33" t="n">
        <f aca="false">H32*N32</f>
        <v>9712851.99367885</v>
      </c>
      <c r="J32" s="33" t="n">
        <f aca="false">H32+I32-F32</f>
        <v>243178195.326856</v>
      </c>
      <c r="K32" s="33" t="n">
        <f aca="false">D32-I32</f>
        <v>0</v>
      </c>
      <c r="L32" s="33" t="n">
        <f aca="false">G32-J32</f>
        <v>0</v>
      </c>
      <c r="M32" s="33" t="n">
        <f aca="false">F32</f>
        <v>34925590.4438667</v>
      </c>
      <c r="N32" s="65" t="n">
        <f aca="false">$C$7</f>
        <v>0.036189195577476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46866</v>
      </c>
      <c r="C33" s="39" t="n">
        <v>243178195.326856</v>
      </c>
      <c r="D33" s="39" t="n">
        <v>8800423.27086125</v>
      </c>
      <c r="E33" s="39" t="n">
        <v>26125167.1730054</v>
      </c>
      <c r="F33" s="39" t="n">
        <v>34925590.4438667</v>
      </c>
      <c r="G33" s="39" t="n">
        <v>217053028.15385</v>
      </c>
      <c r="H33" s="33" t="n">
        <f aca="false">J32</f>
        <v>243178195.326856</v>
      </c>
      <c r="I33" s="33" t="n">
        <f aca="false">H33*N33</f>
        <v>8800423.27086125</v>
      </c>
      <c r="J33" s="33" t="n">
        <f aca="false">H33+I33-F33</f>
        <v>217053028.15385</v>
      </c>
      <c r="K33" s="33" t="n">
        <f aca="false">D33-I33</f>
        <v>0</v>
      </c>
      <c r="L33" s="33" t="n">
        <f aca="false">G33-J33</f>
        <v>0</v>
      </c>
      <c r="M33" s="33" t="n">
        <f aca="false">F33</f>
        <v>34925590.4438667</v>
      </c>
      <c r="N33" s="65" t="n">
        <f aca="false">$C$7</f>
        <v>0.036189195577476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46957</v>
      </c>
      <c r="C34" s="39" t="n">
        <v>217053028.15385</v>
      </c>
      <c r="D34" s="39" t="n">
        <v>7854974.4865431</v>
      </c>
      <c r="E34" s="39" t="n">
        <v>27070615.9573236</v>
      </c>
      <c r="F34" s="39" t="n">
        <v>34925590.4438667</v>
      </c>
      <c r="G34" s="39" t="n">
        <v>189982412.196527</v>
      </c>
      <c r="H34" s="33" t="n">
        <f aca="false">J33</f>
        <v>217053028.15385</v>
      </c>
      <c r="I34" s="33" t="n">
        <f aca="false">H34*N34</f>
        <v>7854974.4865431</v>
      </c>
      <c r="J34" s="33" t="n">
        <f aca="false">H34+I34-F34</f>
        <v>189982412.196527</v>
      </c>
      <c r="K34" s="33" t="n">
        <f aca="false">D34-I34</f>
        <v>0</v>
      </c>
      <c r="L34" s="33" t="n">
        <f aca="false">G34-J34</f>
        <v>0</v>
      </c>
      <c r="M34" s="33" t="n">
        <f aca="false">F34</f>
        <v>34925590.4438667</v>
      </c>
      <c r="N34" s="65" t="n">
        <f aca="false">$C$7</f>
        <v>0.036189195577476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47049</v>
      </c>
      <c r="C35" s="39" t="n">
        <v>189982412.196527</v>
      </c>
      <c r="D35" s="39" t="n">
        <v>6875310.67126077</v>
      </c>
      <c r="E35" s="39" t="n">
        <v>28050279.7726059</v>
      </c>
      <c r="F35" s="39" t="n">
        <v>34925590.4438667</v>
      </c>
      <c r="G35" s="39" t="n">
        <v>161932132.423921</v>
      </c>
      <c r="H35" s="33" t="n">
        <f aca="false">J34</f>
        <v>189982412.196527</v>
      </c>
      <c r="I35" s="33" t="n">
        <f aca="false">H35*N35</f>
        <v>6875310.67126078</v>
      </c>
      <c r="J35" s="33" t="n">
        <f aca="false">H35+I35-F35</f>
        <v>161932132.423921</v>
      </c>
      <c r="K35" s="33" t="n">
        <f aca="false">D35-I35</f>
        <v>0</v>
      </c>
      <c r="L35" s="33" t="n">
        <f aca="false">G35-J35</f>
        <v>0</v>
      </c>
      <c r="M35" s="33" t="n">
        <f aca="false">F35</f>
        <v>34925590.4438667</v>
      </c>
      <c r="N35" s="65" t="n">
        <f aca="false">$C$7</f>
        <v>0.036189195577476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47141</v>
      </c>
      <c r="C36" s="39" t="n">
        <v>161932132.423921</v>
      </c>
      <c r="D36" s="39" t="n">
        <v>5860193.61056702</v>
      </c>
      <c r="E36" s="39" t="n">
        <v>29065396.8332996</v>
      </c>
      <c r="F36" s="39" t="n">
        <v>34925590.4438667</v>
      </c>
      <c r="G36" s="39" t="n">
        <v>132866735.590621</v>
      </c>
      <c r="H36" s="33" t="n">
        <f aca="false">J35</f>
        <v>161932132.423921</v>
      </c>
      <c r="I36" s="33" t="n">
        <f aca="false">H36*N36</f>
        <v>5860193.61056702</v>
      </c>
      <c r="J36" s="33" t="n">
        <f aca="false">H36+I36-F36</f>
        <v>132866735.590621</v>
      </c>
      <c r="K36" s="33" t="n">
        <f aca="false">D36-I36</f>
        <v>0</v>
      </c>
      <c r="L36" s="33" t="n">
        <f aca="false">G36-J36</f>
        <v>0</v>
      </c>
      <c r="M36" s="33" t="n">
        <f aca="false">F36</f>
        <v>34925590.4438667</v>
      </c>
      <c r="N36" s="65" t="n">
        <f aca="false">$C$7</f>
        <v>0.036189195577476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47231</v>
      </c>
      <c r="C37" s="39" t="n">
        <v>132866735.590621</v>
      </c>
      <c r="D37" s="39" t="n">
        <v>4808340.28002979</v>
      </c>
      <c r="E37" s="39" t="n">
        <v>30117250.1638369</v>
      </c>
      <c r="F37" s="39" t="n">
        <v>34925590.4438667</v>
      </c>
      <c r="G37" s="39" t="n">
        <v>102749485.426784</v>
      </c>
      <c r="H37" s="33" t="n">
        <f aca="false">J36</f>
        <v>132866735.590621</v>
      </c>
      <c r="I37" s="33" t="n">
        <f aca="false">H37*N37</f>
        <v>4808340.28002979</v>
      </c>
      <c r="J37" s="33" t="n">
        <f aca="false">H37+I37-F37</f>
        <v>102749485.426784</v>
      </c>
      <c r="K37" s="33" t="n">
        <f aca="false">D37-I37</f>
        <v>0</v>
      </c>
      <c r="L37" s="33" t="n">
        <f aca="false">G37-J37</f>
        <v>0</v>
      </c>
      <c r="M37" s="33" t="n">
        <f aca="false">F37</f>
        <v>34925590.4438667</v>
      </c>
      <c r="N37" s="65" t="n">
        <f aca="false">$C$7</f>
        <v>0.036189195577476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47322</v>
      </c>
      <c r="C38" s="39" t="n">
        <v>102749485.426784</v>
      </c>
      <c r="D38" s="39" t="n">
        <v>3718421.22359492</v>
      </c>
      <c r="E38" s="39" t="n">
        <v>31207169.2202718</v>
      </c>
      <c r="F38" s="39" t="n">
        <v>34925590.4438667</v>
      </c>
      <c r="G38" s="39" t="n">
        <v>71542316.2065126</v>
      </c>
      <c r="H38" s="33" t="n">
        <f aca="false">J37</f>
        <v>102749485.426784</v>
      </c>
      <c r="I38" s="33" t="n">
        <f aca="false">H38*N38</f>
        <v>3718421.22359492</v>
      </c>
      <c r="J38" s="33" t="n">
        <f aca="false">H38+I38-F38</f>
        <v>71542316.2065126</v>
      </c>
      <c r="K38" s="33" t="n">
        <f aca="false">D38-I38</f>
        <v>0</v>
      </c>
      <c r="L38" s="33" t="n">
        <f aca="false">G38-J38</f>
        <v>0</v>
      </c>
      <c r="M38" s="33" t="n">
        <f aca="false">F38</f>
        <v>34925590.4438667</v>
      </c>
      <c r="N38" s="65" t="n">
        <f aca="false">$C$7</f>
        <v>0.036189195577476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47414</v>
      </c>
      <c r="C39" s="39" t="n">
        <v>71542316.2065126</v>
      </c>
      <c r="D39" s="39" t="n">
        <v>2589058.87326312</v>
      </c>
      <c r="E39" s="39" t="n">
        <v>32336531.5706036</v>
      </c>
      <c r="F39" s="39" t="n">
        <v>34925590.4438667</v>
      </c>
      <c r="G39" s="39" t="n">
        <v>39205784.635909</v>
      </c>
      <c r="H39" s="33" t="n">
        <f aca="false">J38</f>
        <v>71542316.2065126</v>
      </c>
      <c r="I39" s="33" t="n">
        <f aca="false">H39*N39</f>
        <v>2589058.87326312</v>
      </c>
      <c r="J39" s="33" t="n">
        <f aca="false">H39+I39-F39</f>
        <v>39205784.6359091</v>
      </c>
      <c r="K39" s="33" t="n">
        <f aca="false">D39-I39</f>
        <v>0</v>
      </c>
      <c r="L39" s="33" t="n">
        <f aca="false">G39-J39</f>
        <v>0</v>
      </c>
      <c r="M39" s="33" t="n">
        <f aca="false">F39</f>
        <v>34925590.4438667</v>
      </c>
      <c r="N39" s="65" t="n">
        <f aca="false">$C$7</f>
        <v>0.036189195577476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47506</v>
      </c>
      <c r="C40" s="39" t="n">
        <v>39205784.635909</v>
      </c>
      <c r="D40" s="39" t="n">
        <v>1418825.80795732</v>
      </c>
      <c r="E40" s="39" t="n">
        <v>39205784.6359094</v>
      </c>
      <c r="F40" s="39" t="n">
        <v>40624610.4438667</v>
      </c>
      <c r="G40" s="39" t="n">
        <v>-3.20374965667725E-007</v>
      </c>
      <c r="H40" s="33" t="n">
        <f aca="false">J39</f>
        <v>39205784.6359091</v>
      </c>
      <c r="I40" s="33" t="n">
        <f aca="false">H40*N40</f>
        <v>1418825.80795732</v>
      </c>
      <c r="J40" s="33" t="n">
        <f aca="false">H40+I40-F40</f>
        <v>-2.75671482086182E-007</v>
      </c>
      <c r="K40" s="33" t="n">
        <f aca="false">D40-I40</f>
        <v>0</v>
      </c>
      <c r="L40" s="33" t="n">
        <f aca="false">G40-J40</f>
        <v>-4.4703483581543E-008</v>
      </c>
      <c r="M40" s="33" t="n">
        <f aca="false">F40</f>
        <v>40624610.4438667</v>
      </c>
      <c r="N40" s="65" t="n">
        <f aca="false">$C$7</f>
        <v>0.036189195577476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1824</v>
      </c>
    </row>
    <row r="2" customFormat="false" ht="15" hidden="false" customHeight="false" outlineLevel="0" collapsed="false">
      <c r="A2" s="24" t="s">
        <v>1825</v>
      </c>
    </row>
    <row r="3" customFormat="false" ht="15" hidden="false" customHeight="false" outlineLevel="0" collapsed="false">
      <c r="A3" s="34" t="s">
        <v>1748</v>
      </c>
      <c r="C3" s="38" t="s">
        <v>1826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569902000</v>
      </c>
      <c r="F4" s="26" t="s">
        <v>1752</v>
      </c>
      <c r="I4" s="57" t="n">
        <f aca="false">_xlfn.MAXIFS($B$12:$B$40,$B$12:$B$40,"&lt;="&amp;Resumen!$C$5)</f>
        <v>46230</v>
      </c>
    </row>
    <row r="5" customFormat="false" ht="15" hidden="false" customHeight="false" outlineLevel="0" collapsed="false">
      <c r="A5" s="34" t="s">
        <v>1753</v>
      </c>
      <c r="C5" s="27" t="n">
        <v>44404</v>
      </c>
      <c r="F5" s="26" t="s">
        <v>1754</v>
      </c>
      <c r="I5" s="58" t="n">
        <f aca="false">SUMIFS($G$12:$G$40,$B$12:$B$40,I4)</f>
        <v>196720178.445431</v>
      </c>
    </row>
    <row r="6" customFormat="false" ht="15" hidden="false" customHeight="false" outlineLevel="0" collapsed="false">
      <c r="A6" s="34" t="s">
        <v>1755</v>
      </c>
      <c r="C6" s="38" t="s">
        <v>1820</v>
      </c>
      <c r="F6" s="26" t="s">
        <v>1757</v>
      </c>
      <c r="I6" s="33" t="n">
        <f aca="false">SUMIFS($J$12:$J$40,$B$12:$B$40,I4)</f>
        <v>196720178.445431</v>
      </c>
    </row>
    <row r="7" customFormat="false" ht="15" hidden="false" customHeight="false" outlineLevel="0" collapsed="false">
      <c r="A7" s="34" t="s">
        <v>1758</v>
      </c>
      <c r="C7" s="64" t="n">
        <v>0.00593563846513545</v>
      </c>
      <c r="F7" s="26" t="s">
        <v>1759</v>
      </c>
      <c r="I7" s="33" t="n">
        <f aca="false">SUMIFS($D$12:$D$40,$O$12:$O$40,1)</f>
        <v>4327677.93876348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0.00593563846513572</v>
      </c>
      <c r="F8" s="26" t="s">
        <v>1761</v>
      </c>
      <c r="I8" s="33" t="n">
        <f aca="false">SUMIFS($E$12:$E$40,$P$12:$P$40,1)</f>
        <v>94380151.2290461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0.0239547824187594</v>
      </c>
      <c r="F9" s="26" t="s">
        <v>1763</v>
      </c>
      <c r="I9" s="33" t="n">
        <f aca="false">SUMPRODUCT(MAX(ABS($L$12:$L$40)))</f>
        <v>4.47034835815425E-008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44404</v>
      </c>
      <c r="C12" s="39"/>
      <c r="D12" s="39" t="n">
        <v>0</v>
      </c>
      <c r="E12" s="39" t="n">
        <v>0</v>
      </c>
      <c r="F12" s="39" t="n">
        <v>0</v>
      </c>
      <c r="G12" s="39" t="n">
        <v>569902000</v>
      </c>
      <c r="H12" s="33" t="n">
        <f aca="false">G12</f>
        <v>569902000</v>
      </c>
      <c r="I12" s="33" t="n">
        <v>0</v>
      </c>
      <c r="J12" s="33" t="n">
        <f aca="false">H12</f>
        <v>569902000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-569902000</v>
      </c>
      <c r="N12" s="65" t="n">
        <f aca="false">$C$7</f>
        <v>0.00593563846513545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44496</v>
      </c>
      <c r="C13" s="39" t="n">
        <v>569902000</v>
      </c>
      <c r="D13" s="39" t="n">
        <v>3382732.23255762</v>
      </c>
      <c r="E13" s="39" t="n">
        <v>4269421.15348077</v>
      </c>
      <c r="F13" s="39" t="n">
        <v>7652153.38603839</v>
      </c>
      <c r="G13" s="39" t="n">
        <v>565632578.846519</v>
      </c>
      <c r="H13" s="33" t="n">
        <f aca="false">J12</f>
        <v>569902000</v>
      </c>
      <c r="I13" s="33" t="n">
        <f aca="false">H13*N13</f>
        <v>3382732.23255762</v>
      </c>
      <c r="J13" s="33" t="n">
        <f aca="false">H13+I13-F13</f>
        <v>565632578.846519</v>
      </c>
      <c r="K13" s="33" t="n">
        <f aca="false">D13-I13</f>
        <v>0</v>
      </c>
      <c r="L13" s="33" t="n">
        <f aca="false">G13-J13</f>
        <v>0</v>
      </c>
      <c r="M13" s="33" t="n">
        <f aca="false">F13</f>
        <v>7652153.38603839</v>
      </c>
      <c r="N13" s="65" t="n">
        <f aca="false">$C$7</f>
        <v>0.00593563846513545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44588</v>
      </c>
      <c r="C14" s="39" t="n">
        <v>565632578.846519</v>
      </c>
      <c r="D14" s="39" t="n">
        <v>3357390.49213516</v>
      </c>
      <c r="E14" s="39" t="n">
        <v>4294762.89390326</v>
      </c>
      <c r="F14" s="39" t="n">
        <v>7652153.38603842</v>
      </c>
      <c r="G14" s="39" t="n">
        <v>561337815.952616</v>
      </c>
      <c r="H14" s="33" t="n">
        <f aca="false">J13</f>
        <v>565632578.846519</v>
      </c>
      <c r="I14" s="33" t="n">
        <f aca="false">H14*N14</f>
        <v>3357390.49213516</v>
      </c>
      <c r="J14" s="33" t="n">
        <f aca="false">H14+I14-F14</f>
        <v>561337815.952616</v>
      </c>
      <c r="K14" s="33" t="n">
        <f aca="false">D14-I14</f>
        <v>0</v>
      </c>
      <c r="L14" s="33" t="n">
        <f aca="false">G14-J14</f>
        <v>0</v>
      </c>
      <c r="M14" s="33" t="n">
        <f aca="false">F14</f>
        <v>7652153.38603842</v>
      </c>
      <c r="N14" s="65" t="n">
        <f aca="false">$C$7</f>
        <v>0.00593563846513545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44678</v>
      </c>
      <c r="C15" s="39" t="n">
        <v>561337815.952616</v>
      </c>
      <c r="D15" s="39" t="n">
        <v>3331898.33230347</v>
      </c>
      <c r="E15" s="39" t="n">
        <v>4320255.0537349</v>
      </c>
      <c r="F15" s="39" t="n">
        <v>7652153.38603837</v>
      </c>
      <c r="G15" s="39" t="n">
        <v>557017560.898881</v>
      </c>
      <c r="H15" s="33" t="n">
        <f aca="false">J14</f>
        <v>561337815.952616</v>
      </c>
      <c r="I15" s="33" t="n">
        <f aca="false">H15*N15</f>
        <v>3331898.33230347</v>
      </c>
      <c r="J15" s="33" t="n">
        <f aca="false">H15+I15-F15</f>
        <v>557017560.898881</v>
      </c>
      <c r="K15" s="33" t="n">
        <f aca="false">D15-I15</f>
        <v>0</v>
      </c>
      <c r="L15" s="33" t="n">
        <f aca="false">G15-J15</f>
        <v>0</v>
      </c>
      <c r="M15" s="33" t="n">
        <f aca="false">F15</f>
        <v>7652153.38603837</v>
      </c>
      <c r="N15" s="65" t="n">
        <f aca="false">$C$7</f>
        <v>0.00593563846513545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44769</v>
      </c>
      <c r="C16" s="39" t="n">
        <v>557017560.898881</v>
      </c>
      <c r="D16" s="39" t="n">
        <v>3306254.86022733</v>
      </c>
      <c r="E16" s="39" t="n">
        <v>4345898.52581108</v>
      </c>
      <c r="F16" s="39" t="n">
        <v>7652153.3860384</v>
      </c>
      <c r="G16" s="39" t="n">
        <v>552671662.37307</v>
      </c>
      <c r="H16" s="33" t="n">
        <f aca="false">J15</f>
        <v>557017560.898881</v>
      </c>
      <c r="I16" s="33" t="n">
        <f aca="false">H16*N16</f>
        <v>3306254.86022733</v>
      </c>
      <c r="J16" s="33" t="n">
        <f aca="false">H16+I16-F16</f>
        <v>552671662.37307</v>
      </c>
      <c r="K16" s="33" t="n">
        <f aca="false">D16-I16</f>
        <v>0</v>
      </c>
      <c r="L16" s="33" t="n">
        <f aca="false">G16-J16</f>
        <v>0</v>
      </c>
      <c r="M16" s="33" t="n">
        <f aca="false">F16</f>
        <v>7652153.3860384</v>
      </c>
      <c r="N16" s="65" t="n">
        <f aca="false">$C$7</f>
        <v>0.00593563846513545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44861</v>
      </c>
      <c r="C17" s="39" t="n">
        <v>552671662.37307</v>
      </c>
      <c r="D17" s="39" t="n">
        <v>3280459.17777195</v>
      </c>
      <c r="E17" s="39" t="n">
        <v>21273197.1041788</v>
      </c>
      <c r="F17" s="39" t="n">
        <v>24553656.2819507</v>
      </c>
      <c r="G17" s="39" t="n">
        <v>531398465.268891</v>
      </c>
      <c r="H17" s="33" t="n">
        <f aca="false">J16</f>
        <v>552671662.37307</v>
      </c>
      <c r="I17" s="33" t="n">
        <f aca="false">H17*N17</f>
        <v>3280459.17777195</v>
      </c>
      <c r="J17" s="33" t="n">
        <f aca="false">H17+I17-F17</f>
        <v>531398465.268891</v>
      </c>
      <c r="K17" s="33" t="n">
        <f aca="false">D17-I17</f>
        <v>0</v>
      </c>
      <c r="L17" s="33" t="n">
        <f aca="false">G17-J17</f>
        <v>0</v>
      </c>
      <c r="M17" s="33" t="n">
        <f aca="false">F17</f>
        <v>24553656.2819507</v>
      </c>
      <c r="N17" s="65" t="n">
        <f aca="false">$C$7</f>
        <v>0.00593563846513545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44953</v>
      </c>
      <c r="C18" s="39" t="n">
        <v>531398465.268891</v>
      </c>
      <c r="D18" s="39" t="n">
        <v>3154189.17076398</v>
      </c>
      <c r="E18" s="39" t="n">
        <v>21399467.1111867</v>
      </c>
      <c r="F18" s="39" t="n">
        <v>24553656.2819507</v>
      </c>
      <c r="G18" s="39" t="n">
        <v>509998998.157705</v>
      </c>
      <c r="H18" s="33" t="n">
        <f aca="false">J17</f>
        <v>531398465.268891</v>
      </c>
      <c r="I18" s="33" t="n">
        <f aca="false">H18*N18</f>
        <v>3154189.17076398</v>
      </c>
      <c r="J18" s="33" t="n">
        <f aca="false">H18+I18-F18</f>
        <v>509998998.157705</v>
      </c>
      <c r="K18" s="33" t="n">
        <f aca="false">D18-I18</f>
        <v>0</v>
      </c>
      <c r="L18" s="33" t="n">
        <f aca="false">G18-J18</f>
        <v>0</v>
      </c>
      <c r="M18" s="33" t="n">
        <f aca="false">F18</f>
        <v>24553656.2819507</v>
      </c>
      <c r="N18" s="65" t="n">
        <f aca="false">$C$7</f>
        <v>0.00593563846513545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45043</v>
      </c>
      <c r="C19" s="39" t="n">
        <v>509998998.157705</v>
      </c>
      <c r="D19" s="39" t="n">
        <v>3027169.67064542</v>
      </c>
      <c r="E19" s="39" t="n">
        <v>21526486.6113053</v>
      </c>
      <c r="F19" s="39" t="n">
        <v>24553656.2819507</v>
      </c>
      <c r="G19" s="39" t="n">
        <v>488472511.546399</v>
      </c>
      <c r="H19" s="33" t="n">
        <f aca="false">J18</f>
        <v>509998998.157705</v>
      </c>
      <c r="I19" s="33" t="n">
        <f aca="false">H19*N19</f>
        <v>3027169.67064542</v>
      </c>
      <c r="J19" s="33" t="n">
        <f aca="false">H19+I19-F19</f>
        <v>488472511.546399</v>
      </c>
      <c r="K19" s="33" t="n">
        <f aca="false">D19-I19</f>
        <v>0</v>
      </c>
      <c r="L19" s="33" t="n">
        <f aca="false">G19-J19</f>
        <v>0</v>
      </c>
      <c r="M19" s="33" t="n">
        <f aca="false">F19</f>
        <v>24553656.2819507</v>
      </c>
      <c r="N19" s="65" t="n">
        <f aca="false">$C$7</f>
        <v>0.00593563846513545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45134</v>
      </c>
      <c r="C20" s="39" t="n">
        <v>488472511.546399</v>
      </c>
      <c r="D20" s="39" t="n">
        <v>2899396.22869613</v>
      </c>
      <c r="E20" s="39" t="n">
        <v>21654260.0532546</v>
      </c>
      <c r="F20" s="39" t="n">
        <v>24553656.2819507</v>
      </c>
      <c r="G20" s="39" t="n">
        <v>466818251.493145</v>
      </c>
      <c r="H20" s="33" t="n">
        <f aca="false">J19</f>
        <v>488472511.546399</v>
      </c>
      <c r="I20" s="33" t="n">
        <f aca="false">H20*N20</f>
        <v>2899396.22869613</v>
      </c>
      <c r="J20" s="33" t="n">
        <f aca="false">H20+I20-F20</f>
        <v>466818251.493145</v>
      </c>
      <c r="K20" s="33" t="n">
        <f aca="false">D20-I20</f>
        <v>0</v>
      </c>
      <c r="L20" s="33" t="n">
        <f aca="false">G20-J20</f>
        <v>0</v>
      </c>
      <c r="M20" s="33" t="n">
        <f aca="false">F20</f>
        <v>24553656.2819507</v>
      </c>
      <c r="N20" s="65" t="n">
        <f aca="false">$C$7</f>
        <v>0.00593563846513545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45226</v>
      </c>
      <c r="C21" s="39" t="n">
        <v>466818251.493145</v>
      </c>
      <c r="D21" s="39" t="n">
        <v>2770864.36978998</v>
      </c>
      <c r="E21" s="39" t="n">
        <v>21782791.9121608</v>
      </c>
      <c r="F21" s="39" t="n">
        <v>24553656.2819507</v>
      </c>
      <c r="G21" s="39" t="n">
        <v>445035459.580984</v>
      </c>
      <c r="H21" s="33" t="n">
        <f aca="false">J20</f>
        <v>466818251.493145</v>
      </c>
      <c r="I21" s="33" t="n">
        <f aca="false">H21*N21</f>
        <v>2770864.36978998</v>
      </c>
      <c r="J21" s="33" t="n">
        <f aca="false">H21+I21-F21</f>
        <v>445035459.580984</v>
      </c>
      <c r="K21" s="33" t="n">
        <f aca="false">D21-I21</f>
        <v>0</v>
      </c>
      <c r="L21" s="33" t="n">
        <f aca="false">G21-J21</f>
        <v>0</v>
      </c>
      <c r="M21" s="33" t="n">
        <f aca="false">F21</f>
        <v>24553656.2819507</v>
      </c>
      <c r="N21" s="65" t="n">
        <f aca="false">$C$7</f>
        <v>0.00593563846513545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45318</v>
      </c>
      <c r="C22" s="39" t="n">
        <v>445035459.580984</v>
      </c>
      <c r="D22" s="39" t="n">
        <v>2641569.59223812</v>
      </c>
      <c r="E22" s="39" t="n">
        <v>21912086.6897126</v>
      </c>
      <c r="F22" s="39" t="n">
        <v>24553656.2819507</v>
      </c>
      <c r="G22" s="39" t="n">
        <v>423123372.891271</v>
      </c>
      <c r="H22" s="33" t="n">
        <f aca="false">J21</f>
        <v>445035459.580984</v>
      </c>
      <c r="I22" s="33" t="n">
        <f aca="false">H22*N22</f>
        <v>2641569.59223812</v>
      </c>
      <c r="J22" s="33" t="n">
        <f aca="false">H22+I22-F22</f>
        <v>423123372.891271</v>
      </c>
      <c r="K22" s="33" t="n">
        <f aca="false">D22-I22</f>
        <v>0</v>
      </c>
      <c r="L22" s="33" t="n">
        <f aca="false">G22-J22</f>
        <v>0</v>
      </c>
      <c r="M22" s="33" t="n">
        <f aca="false">F22</f>
        <v>24553656.2819507</v>
      </c>
      <c r="N22" s="65" t="n">
        <f aca="false">$C$7</f>
        <v>0.00593563846513545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45409</v>
      </c>
      <c r="C23" s="39" t="n">
        <v>423123372.891271</v>
      </c>
      <c r="D23" s="39" t="n">
        <v>2511507.36763128</v>
      </c>
      <c r="E23" s="39" t="n">
        <v>22042148.9143195</v>
      </c>
      <c r="F23" s="39" t="n">
        <v>24553656.2819507</v>
      </c>
      <c r="G23" s="39" t="n">
        <v>401081223.976952</v>
      </c>
      <c r="H23" s="33" t="n">
        <f aca="false">J22</f>
        <v>423123372.891271</v>
      </c>
      <c r="I23" s="33" t="n">
        <f aca="false">H23*N23</f>
        <v>2511507.36763128</v>
      </c>
      <c r="J23" s="33" t="n">
        <f aca="false">H23+I23-F23</f>
        <v>401081223.976952</v>
      </c>
      <c r="K23" s="33" t="n">
        <f aca="false">D23-I23</f>
        <v>0</v>
      </c>
      <c r="L23" s="33" t="n">
        <f aca="false">G23-J23</f>
        <v>0</v>
      </c>
      <c r="M23" s="33" t="n">
        <f aca="false">F23</f>
        <v>24553656.2819507</v>
      </c>
      <c r="N23" s="65" t="n">
        <f aca="false">$C$7</f>
        <v>0.00593563846513545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45500</v>
      </c>
      <c r="C24" s="39" t="n">
        <v>401081223.976952</v>
      </c>
      <c r="D24" s="39" t="n">
        <v>2380673.1406812</v>
      </c>
      <c r="E24" s="39" t="n">
        <v>22172983.1412695</v>
      </c>
      <c r="F24" s="39" t="n">
        <v>24553656.2819507</v>
      </c>
      <c r="G24" s="39" t="n">
        <v>378908240.835682</v>
      </c>
      <c r="H24" s="33" t="n">
        <f aca="false">J23</f>
        <v>401081223.976952</v>
      </c>
      <c r="I24" s="33" t="n">
        <f aca="false">H24*N24</f>
        <v>2380673.1406812</v>
      </c>
      <c r="J24" s="33" t="n">
        <f aca="false">H24+I24-F24</f>
        <v>378908240.835682</v>
      </c>
      <c r="K24" s="33" t="n">
        <f aca="false">D24-I24</f>
        <v>0</v>
      </c>
      <c r="L24" s="33" t="n">
        <f aca="false">G24-J24</f>
        <v>0</v>
      </c>
      <c r="M24" s="33" t="n">
        <f aca="false">F24</f>
        <v>24553656.2819507</v>
      </c>
      <c r="N24" s="65" t="n">
        <f aca="false">$C$7</f>
        <v>0.00593563846513545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45592</v>
      </c>
      <c r="C25" s="39" t="n">
        <v>378908240.835682</v>
      </c>
      <c r="D25" s="39" t="n">
        <v>2249062.32906108</v>
      </c>
      <c r="E25" s="39" t="n">
        <v>22304593.9528896</v>
      </c>
      <c r="F25" s="39" t="n">
        <v>24553656.2819507</v>
      </c>
      <c r="G25" s="39" t="n">
        <v>356603646.882793</v>
      </c>
      <c r="H25" s="33" t="n">
        <f aca="false">J24</f>
        <v>378908240.835682</v>
      </c>
      <c r="I25" s="33" t="n">
        <f aca="false">H25*N25</f>
        <v>2249062.32906108</v>
      </c>
      <c r="J25" s="33" t="n">
        <f aca="false">H25+I25-F25</f>
        <v>356603646.882793</v>
      </c>
      <c r="K25" s="33" t="n">
        <f aca="false">D25-I25</f>
        <v>0</v>
      </c>
      <c r="L25" s="33" t="n">
        <f aca="false">G25-J25</f>
        <v>0</v>
      </c>
      <c r="M25" s="33" t="n">
        <f aca="false">F25</f>
        <v>24553656.2819507</v>
      </c>
      <c r="N25" s="65" t="n">
        <f aca="false">$C$7</f>
        <v>0.00593563846513545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45684</v>
      </c>
      <c r="C26" s="39" t="n">
        <v>356603646.882793</v>
      </c>
      <c r="D26" s="39" t="n">
        <v>2116670.32324508</v>
      </c>
      <c r="E26" s="39" t="n">
        <v>22436985.9587056</v>
      </c>
      <c r="F26" s="39" t="n">
        <v>24553656.2819507</v>
      </c>
      <c r="G26" s="39" t="n">
        <v>334166660.924087</v>
      </c>
      <c r="H26" s="33" t="n">
        <f aca="false">J25</f>
        <v>356603646.882793</v>
      </c>
      <c r="I26" s="33" t="n">
        <f aca="false">H26*N26</f>
        <v>2116670.32324508</v>
      </c>
      <c r="J26" s="33" t="n">
        <f aca="false">H26+I26-F26</f>
        <v>334166660.924087</v>
      </c>
      <c r="K26" s="33" t="n">
        <f aca="false">D26-I26</f>
        <v>0</v>
      </c>
      <c r="L26" s="33" t="n">
        <f aca="false">G26-J26</f>
        <v>0</v>
      </c>
      <c r="M26" s="33" t="n">
        <f aca="false">F26</f>
        <v>24553656.2819507</v>
      </c>
      <c r="N26" s="65" t="n">
        <f aca="false">$C$7</f>
        <v>0.00593563846513545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45774</v>
      </c>
      <c r="C27" s="39" t="n">
        <v>334166660.924087</v>
      </c>
      <c r="D27" s="39" t="n">
        <v>1983492.48634689</v>
      </c>
      <c r="E27" s="39" t="n">
        <v>22570163.7956038</v>
      </c>
      <c r="F27" s="39" t="n">
        <v>24553656.2819507</v>
      </c>
      <c r="G27" s="39" t="n">
        <v>311596497.128483</v>
      </c>
      <c r="H27" s="33" t="n">
        <f aca="false">J26</f>
        <v>334166660.924087</v>
      </c>
      <c r="I27" s="33" t="n">
        <f aca="false">H27*N27</f>
        <v>1983492.48634689</v>
      </c>
      <c r="J27" s="33" t="n">
        <f aca="false">H27+I27-F27</f>
        <v>311596497.128483</v>
      </c>
      <c r="K27" s="33" t="n">
        <f aca="false">D27-I27</f>
        <v>0</v>
      </c>
      <c r="L27" s="33" t="n">
        <f aca="false">G27-J27</f>
        <v>0</v>
      </c>
      <c r="M27" s="33" t="n">
        <f aca="false">F27</f>
        <v>24553656.2819507</v>
      </c>
      <c r="N27" s="65" t="n">
        <f aca="false">$C$7</f>
        <v>0.00593563846513545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45865</v>
      </c>
      <c r="C28" s="39" t="n">
        <v>311596497.128483</v>
      </c>
      <c r="D28" s="39" t="n">
        <v>1849524.15395729</v>
      </c>
      <c r="E28" s="39" t="n">
        <v>22704132.1279934</v>
      </c>
      <c r="F28" s="39" t="n">
        <v>24553656.2819507</v>
      </c>
      <c r="G28" s="39" t="n">
        <v>288892365.00049</v>
      </c>
      <c r="H28" s="33" t="n">
        <f aca="false">J27</f>
        <v>311596497.128483</v>
      </c>
      <c r="I28" s="33" t="n">
        <f aca="false">H28*N28</f>
        <v>1849524.15395729</v>
      </c>
      <c r="J28" s="33" t="n">
        <f aca="false">H28+I28-F28</f>
        <v>288892365.00049</v>
      </c>
      <c r="K28" s="33" t="n">
        <f aca="false">D28-I28</f>
        <v>0</v>
      </c>
      <c r="L28" s="33" t="n">
        <f aca="false">G28-J28</f>
        <v>0</v>
      </c>
      <c r="M28" s="33" t="n">
        <f aca="false">F28</f>
        <v>24553656.2819507</v>
      </c>
      <c r="N28" s="65" t="n">
        <f aca="false">$C$7</f>
        <v>0.00593563846513545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45957</v>
      </c>
      <c r="C29" s="39" t="n">
        <v>288892365.00049</v>
      </c>
      <c r="D29" s="39" t="n">
        <v>1714760.63398086</v>
      </c>
      <c r="E29" s="39" t="n">
        <v>22838895.6479698</v>
      </c>
      <c r="F29" s="39" t="n">
        <v>24553656.2819507</v>
      </c>
      <c r="G29" s="39" t="n">
        <v>266053469.35252</v>
      </c>
      <c r="H29" s="33" t="n">
        <f aca="false">J28</f>
        <v>288892365.00049</v>
      </c>
      <c r="I29" s="33" t="n">
        <f aca="false">H29*N29</f>
        <v>1714760.63398086</v>
      </c>
      <c r="J29" s="33" t="n">
        <f aca="false">H29+I29-F29</f>
        <v>266053469.35252</v>
      </c>
      <c r="K29" s="33" t="n">
        <f aca="false">D29-I29</f>
        <v>0</v>
      </c>
      <c r="L29" s="33" t="n">
        <f aca="false">G29-J29</f>
        <v>0</v>
      </c>
      <c r="M29" s="33" t="n">
        <f aca="false">F29</f>
        <v>24553656.2819507</v>
      </c>
      <c r="N29" s="65" t="n">
        <f aca="false">$C$7</f>
        <v>0.00593563846513545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46049</v>
      </c>
      <c r="C30" s="39" t="n">
        <v>266053469.35252</v>
      </c>
      <c r="D30" s="39" t="n">
        <v>1579197.20647155</v>
      </c>
      <c r="E30" s="39" t="n">
        <v>22974459.0754791</v>
      </c>
      <c r="F30" s="39" t="n">
        <v>24553656.2819507</v>
      </c>
      <c r="G30" s="39" t="n">
        <v>243079010.277041</v>
      </c>
      <c r="H30" s="33" t="n">
        <f aca="false">J29</f>
        <v>266053469.35252</v>
      </c>
      <c r="I30" s="33" t="n">
        <f aca="false">H30*N30</f>
        <v>1579197.20647155</v>
      </c>
      <c r="J30" s="33" t="n">
        <f aca="false">H30+I30-F30</f>
        <v>243079010.277041</v>
      </c>
      <c r="K30" s="33" t="n">
        <f aca="false">D30-I30</f>
        <v>0</v>
      </c>
      <c r="L30" s="33" t="n">
        <f aca="false">G30-J30</f>
        <v>0</v>
      </c>
      <c r="M30" s="33" t="n">
        <f aca="false">F30</f>
        <v>24553656.2819507</v>
      </c>
      <c r="N30" s="65" t="n">
        <f aca="false">$C$7</f>
        <v>0.00593563846513545</v>
      </c>
      <c r="O30" s="48" t="n">
        <f aca="false">IF(AND(B30&gt;=DATE(2026,1,1),B30&lt;=Resumen!$C$5),1,0)</f>
        <v>1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46139</v>
      </c>
      <c r="C31" s="39" t="n">
        <v>243079010.277041</v>
      </c>
      <c r="D31" s="39" t="n">
        <v>1442829.12346746</v>
      </c>
      <c r="E31" s="39" t="n">
        <v>23110827.1584832</v>
      </c>
      <c r="F31" s="39" t="n">
        <v>24553656.2819507</v>
      </c>
      <c r="G31" s="39" t="n">
        <v>219968183.118558</v>
      </c>
      <c r="H31" s="33" t="n">
        <f aca="false">J30</f>
        <v>243079010.277041</v>
      </c>
      <c r="I31" s="33" t="n">
        <f aca="false">H31*N31</f>
        <v>1442829.12346746</v>
      </c>
      <c r="J31" s="33" t="n">
        <f aca="false">H31+I31-F31</f>
        <v>219968183.118558</v>
      </c>
      <c r="K31" s="33" t="n">
        <f aca="false">D31-I31</f>
        <v>0</v>
      </c>
      <c r="L31" s="33" t="n">
        <f aca="false">G31-J31</f>
        <v>0</v>
      </c>
      <c r="M31" s="33" t="n">
        <f aca="false">F31</f>
        <v>24553656.2819507</v>
      </c>
      <c r="N31" s="65" t="n">
        <f aca="false">$C$7</f>
        <v>0.00593563846513545</v>
      </c>
      <c r="O31" s="48" t="n">
        <f aca="false">IF(AND(B31&gt;=DATE(2026,1,1),B31&lt;=Resumen!$C$5),1,0)</f>
        <v>1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46230</v>
      </c>
      <c r="C32" s="39" t="n">
        <v>219968183.118558</v>
      </c>
      <c r="D32" s="39" t="n">
        <v>1305651.60882447</v>
      </c>
      <c r="E32" s="39" t="n">
        <v>23248004.6731262</v>
      </c>
      <c r="F32" s="39" t="n">
        <v>24553656.2819507</v>
      </c>
      <c r="G32" s="39" t="n">
        <v>196720178.445431</v>
      </c>
      <c r="H32" s="33" t="n">
        <f aca="false">J31</f>
        <v>219968183.118558</v>
      </c>
      <c r="I32" s="33" t="n">
        <f aca="false">H32*N32</f>
        <v>1305651.60882447</v>
      </c>
      <c r="J32" s="33" t="n">
        <f aca="false">H32+I32-F32</f>
        <v>196720178.445431</v>
      </c>
      <c r="K32" s="33" t="n">
        <f aca="false">D32-I32</f>
        <v>0</v>
      </c>
      <c r="L32" s="33" t="n">
        <f aca="false">G32-J32</f>
        <v>0</v>
      </c>
      <c r="M32" s="33" t="n">
        <f aca="false">F32</f>
        <v>24553656.2819507</v>
      </c>
      <c r="N32" s="65" t="n">
        <f aca="false">$C$7</f>
        <v>0.00593563846513545</v>
      </c>
      <c r="O32" s="48" t="n">
        <f aca="false">IF(AND(B32&gt;=DATE(2026,1,1),B32&lt;=Resumen!$C$5),1,0)</f>
        <v>1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46322</v>
      </c>
      <c r="C33" s="39" t="n">
        <v>196720178.445431</v>
      </c>
      <c r="D33" s="39" t="n">
        <v>1167659.85804901</v>
      </c>
      <c r="E33" s="39" t="n">
        <v>23385996.4239017</v>
      </c>
      <c r="F33" s="39" t="n">
        <v>24553656.2819507</v>
      </c>
      <c r="G33" s="39" t="n">
        <v>173334182.02153</v>
      </c>
      <c r="H33" s="33" t="n">
        <f aca="false">J32</f>
        <v>196720178.445431</v>
      </c>
      <c r="I33" s="33" t="n">
        <f aca="false">H33*N33</f>
        <v>1167659.85804901</v>
      </c>
      <c r="J33" s="33" t="n">
        <f aca="false">H33+I33-F33</f>
        <v>173334182.02153</v>
      </c>
      <c r="K33" s="33" t="n">
        <f aca="false">D33-I33</f>
        <v>0</v>
      </c>
      <c r="L33" s="33" t="n">
        <f aca="false">G33-J33</f>
        <v>0</v>
      </c>
      <c r="M33" s="33" t="n">
        <f aca="false">F33</f>
        <v>24553656.2819507</v>
      </c>
      <c r="N33" s="65" t="n">
        <f aca="false">$C$7</f>
        <v>0.00593563846513545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1</v>
      </c>
    </row>
    <row r="34" customFormat="false" ht="15" hidden="false" customHeight="false" outlineLevel="0" collapsed="false">
      <c r="A34" s="38" t="n">
        <v>22</v>
      </c>
      <c r="B34" s="27" t="n">
        <v>46414</v>
      </c>
      <c r="C34" s="39" t="n">
        <v>173334182.02153</v>
      </c>
      <c r="D34" s="39" t="n">
        <v>1028849.03812978</v>
      </c>
      <c r="E34" s="39" t="n">
        <v>23524807.2438209</v>
      </c>
      <c r="F34" s="39" t="n">
        <v>24553656.2819507</v>
      </c>
      <c r="G34" s="39" t="n">
        <v>149809374.777709</v>
      </c>
      <c r="H34" s="33" t="n">
        <f aca="false">J33</f>
        <v>173334182.02153</v>
      </c>
      <c r="I34" s="33" t="n">
        <f aca="false">H34*N34</f>
        <v>1028849.03812978</v>
      </c>
      <c r="J34" s="33" t="n">
        <f aca="false">H34+I34-F34</f>
        <v>149809374.777709</v>
      </c>
      <c r="K34" s="33" t="n">
        <f aca="false">D34-I34</f>
        <v>0</v>
      </c>
      <c r="L34" s="33" t="n">
        <f aca="false">G34-J34</f>
        <v>0</v>
      </c>
      <c r="M34" s="33" t="n">
        <f aca="false">F34</f>
        <v>24553656.2819507</v>
      </c>
      <c r="N34" s="65" t="n">
        <f aca="false">$C$7</f>
        <v>0.00593563846513545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1</v>
      </c>
    </row>
    <row r="35" customFormat="false" ht="15" hidden="false" customHeight="false" outlineLevel="0" collapsed="false">
      <c r="A35" s="38" t="n">
        <v>23</v>
      </c>
      <c r="B35" s="27" t="n">
        <v>46504</v>
      </c>
      <c r="C35" s="39" t="n">
        <v>149809374.777709</v>
      </c>
      <c r="D35" s="39" t="n">
        <v>889214.287368461</v>
      </c>
      <c r="E35" s="39" t="n">
        <v>23664441.9945822</v>
      </c>
      <c r="F35" s="39" t="n">
        <v>24553656.2819507</v>
      </c>
      <c r="G35" s="39" t="n">
        <v>126144932.783127</v>
      </c>
      <c r="H35" s="33" t="n">
        <f aca="false">J34</f>
        <v>149809374.777709</v>
      </c>
      <c r="I35" s="33" t="n">
        <f aca="false">H35*N35</f>
        <v>889214.287368461</v>
      </c>
      <c r="J35" s="33" t="n">
        <f aca="false">H35+I35-F35</f>
        <v>126144932.783127</v>
      </c>
      <c r="K35" s="33" t="n">
        <f aca="false">D35-I35</f>
        <v>0</v>
      </c>
      <c r="L35" s="33" t="n">
        <f aca="false">G35-J35</f>
        <v>0</v>
      </c>
      <c r="M35" s="33" t="n">
        <f aca="false">F35</f>
        <v>24553656.2819507</v>
      </c>
      <c r="N35" s="65" t="n">
        <f aca="false">$C$7</f>
        <v>0.00593563846513545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1</v>
      </c>
    </row>
    <row r="36" customFormat="false" ht="15" hidden="false" customHeight="false" outlineLevel="0" collapsed="false">
      <c r="A36" s="38" t="n">
        <v>24</v>
      </c>
      <c r="B36" s="27" t="n">
        <v>46595</v>
      </c>
      <c r="C36" s="39" t="n">
        <v>126144932.783127</v>
      </c>
      <c r="D36" s="39" t="n">
        <v>748750.715209452</v>
      </c>
      <c r="E36" s="39" t="n">
        <v>23804905.5667412</v>
      </c>
      <c r="F36" s="39" t="n">
        <v>24553656.2819507</v>
      </c>
      <c r="G36" s="39" t="n">
        <v>102340027.216385</v>
      </c>
      <c r="H36" s="33" t="n">
        <f aca="false">J35</f>
        <v>126144932.783127</v>
      </c>
      <c r="I36" s="33" t="n">
        <f aca="false">H36*N36</f>
        <v>748750.715209452</v>
      </c>
      <c r="J36" s="33" t="n">
        <f aca="false">H36+I36-F36</f>
        <v>102340027.216385</v>
      </c>
      <c r="K36" s="33" t="n">
        <f aca="false">D36-I36</f>
        <v>0</v>
      </c>
      <c r="L36" s="33" t="n">
        <f aca="false">G36-J36</f>
        <v>0</v>
      </c>
      <c r="M36" s="33" t="n">
        <f aca="false">F36</f>
        <v>24553656.2819507</v>
      </c>
      <c r="N36" s="65" t="n">
        <f aca="false">$C$7</f>
        <v>0.00593563846513545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1</v>
      </c>
    </row>
    <row r="37" customFormat="false" ht="15" hidden="false" customHeight="false" outlineLevel="0" collapsed="false">
      <c r="A37" s="38" t="n">
        <v>25</v>
      </c>
      <c r="B37" s="27" t="n">
        <v>46687</v>
      </c>
      <c r="C37" s="39" t="n">
        <v>102340027.216385</v>
      </c>
      <c r="D37" s="39" t="n">
        <v>607453.402068586</v>
      </c>
      <c r="E37" s="39" t="n">
        <v>23946202.8798821</v>
      </c>
      <c r="F37" s="39" t="n">
        <v>24553656.2819507</v>
      </c>
      <c r="G37" s="39" t="n">
        <v>78393824.3365033</v>
      </c>
      <c r="H37" s="33" t="n">
        <f aca="false">J36</f>
        <v>102340027.216385</v>
      </c>
      <c r="I37" s="33" t="n">
        <f aca="false">H37*N37</f>
        <v>607453.402068586</v>
      </c>
      <c r="J37" s="33" t="n">
        <f aca="false">H37+I37-F37</f>
        <v>78393824.3365033</v>
      </c>
      <c r="K37" s="33" t="n">
        <f aca="false">D37-I37</f>
        <v>0</v>
      </c>
      <c r="L37" s="33" t="n">
        <f aca="false">G37-J37</f>
        <v>0</v>
      </c>
      <c r="M37" s="33" t="n">
        <f aca="false">F37</f>
        <v>24553656.2819507</v>
      </c>
      <c r="N37" s="65" t="n">
        <f aca="false">$C$7</f>
        <v>0.00593563846513545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46779</v>
      </c>
      <c r="C38" s="39" t="n">
        <v>78393824.3365033</v>
      </c>
      <c r="D38" s="39" t="n">
        <v>465317.399160821</v>
      </c>
      <c r="E38" s="39" t="n">
        <v>24088338.8827899</v>
      </c>
      <c r="F38" s="39" t="n">
        <v>24553656.2819507</v>
      </c>
      <c r="G38" s="39" t="n">
        <v>54305485.4537134</v>
      </c>
      <c r="H38" s="33" t="n">
        <f aca="false">J37</f>
        <v>78393824.3365033</v>
      </c>
      <c r="I38" s="33" t="n">
        <f aca="false">H38*N38</f>
        <v>465317.39916082</v>
      </c>
      <c r="J38" s="33" t="n">
        <f aca="false">H38+I38-F38</f>
        <v>54305485.4537134</v>
      </c>
      <c r="K38" s="33" t="n">
        <f aca="false">D38-I38</f>
        <v>0</v>
      </c>
      <c r="L38" s="33" t="n">
        <f aca="false">G38-J38</f>
        <v>0</v>
      </c>
      <c r="M38" s="33" t="n">
        <f aca="false">F38</f>
        <v>24553656.2819507</v>
      </c>
      <c r="N38" s="65" t="n">
        <f aca="false">$C$7</f>
        <v>0.00593563846513545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46870</v>
      </c>
      <c r="C39" s="39" t="n">
        <v>54305485.4537134</v>
      </c>
      <c r="D39" s="39" t="n">
        <v>322337.728326915</v>
      </c>
      <c r="E39" s="39" t="n">
        <v>24231318.5536238</v>
      </c>
      <c r="F39" s="39" t="n">
        <v>24553656.2819507</v>
      </c>
      <c r="G39" s="39" t="n">
        <v>30074166.9000897</v>
      </c>
      <c r="H39" s="33" t="n">
        <f aca="false">J38</f>
        <v>54305485.4537134</v>
      </c>
      <c r="I39" s="33" t="n">
        <f aca="false">H39*N39</f>
        <v>322337.728326915</v>
      </c>
      <c r="J39" s="33" t="n">
        <f aca="false">H39+I39-F39</f>
        <v>30074166.9000896</v>
      </c>
      <c r="K39" s="33" t="n">
        <f aca="false">D39-I39</f>
        <v>0</v>
      </c>
      <c r="L39" s="33" t="n">
        <f aca="false">G39-J39</f>
        <v>0</v>
      </c>
      <c r="M39" s="33" t="n">
        <f aca="false">F39</f>
        <v>24553656.2819507</v>
      </c>
      <c r="N39" s="65" t="n">
        <f aca="false">$C$7</f>
        <v>0.00593563846513545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46961</v>
      </c>
      <c r="C40" s="39" t="n">
        <v>30074166.9000897</v>
      </c>
      <c r="D40" s="39" t="n">
        <v>178509.381859076</v>
      </c>
      <c r="E40" s="39" t="n">
        <v>30074166.9000916</v>
      </c>
      <c r="F40" s="39" t="n">
        <v>30252676.2819507</v>
      </c>
      <c r="G40" s="39" t="n">
        <v>-1.96322798728943E-006</v>
      </c>
      <c r="H40" s="33" t="n">
        <f aca="false">J39</f>
        <v>30074166.9000896</v>
      </c>
      <c r="I40" s="33" t="n">
        <f aca="false">H40*N40</f>
        <v>178509.381859075</v>
      </c>
      <c r="J40" s="33" t="n">
        <f aca="false">H40+I40-F40</f>
        <v>-2.00793147087097E-006</v>
      </c>
      <c r="K40" s="33" t="n">
        <f aca="false">D40-I40</f>
        <v>0</v>
      </c>
      <c r="L40" s="33" t="n">
        <f aca="false">G40-J40</f>
        <v>4.47034835815425E-008</v>
      </c>
      <c r="M40" s="33" t="n">
        <f aca="false">F40</f>
        <v>30252676.2819507</v>
      </c>
      <c r="N40" s="65" t="n">
        <f aca="false">$C$7</f>
        <v>0.00593563846513545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1827</v>
      </c>
    </row>
    <row r="2" customFormat="false" ht="15" hidden="false" customHeight="false" outlineLevel="0" collapsed="false">
      <c r="A2" s="24" t="s">
        <v>1828</v>
      </c>
    </row>
    <row r="3" customFormat="false" ht="15" hidden="false" customHeight="false" outlineLevel="0" collapsed="false">
      <c r="A3" s="34" t="s">
        <v>1748</v>
      </c>
      <c r="C3" s="38" t="s">
        <v>1829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569902000</v>
      </c>
      <c r="F4" s="26" t="s">
        <v>1752</v>
      </c>
      <c r="I4" s="57" t="n">
        <f aca="false">_xlfn.MAXIFS($B$12:$B$40,$B$12:$B$40,"&lt;="&amp;Resumen!$C$5)</f>
        <v>46230</v>
      </c>
    </row>
    <row r="5" customFormat="false" ht="15" hidden="false" customHeight="false" outlineLevel="0" collapsed="false">
      <c r="A5" s="34" t="s">
        <v>1753</v>
      </c>
      <c r="C5" s="27" t="n">
        <v>44404</v>
      </c>
      <c r="F5" s="26" t="s">
        <v>1754</v>
      </c>
      <c r="I5" s="58" t="n">
        <f aca="false">SUMIFS($G$12:$G$40,$B$12:$B$40,I4)</f>
        <v>196720178.445431</v>
      </c>
    </row>
    <row r="6" customFormat="false" ht="15" hidden="false" customHeight="false" outlineLevel="0" collapsed="false">
      <c r="A6" s="34" t="s">
        <v>1755</v>
      </c>
      <c r="C6" s="38" t="s">
        <v>1820</v>
      </c>
      <c r="F6" s="26" t="s">
        <v>1757</v>
      </c>
      <c r="I6" s="33" t="n">
        <f aca="false">SUMIFS($J$12:$J$40,$B$12:$B$40,I4)</f>
        <v>196720178.445431</v>
      </c>
    </row>
    <row r="7" customFormat="false" ht="15" hidden="false" customHeight="false" outlineLevel="0" collapsed="false">
      <c r="A7" s="34" t="s">
        <v>1758</v>
      </c>
      <c r="C7" s="64" t="n">
        <v>0.00593563846513545</v>
      </c>
      <c r="F7" s="26" t="s">
        <v>1759</v>
      </c>
      <c r="I7" s="33" t="n">
        <f aca="false">SUMIFS($D$12:$D$40,$O$12:$O$40,1)</f>
        <v>4327677.93876348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0.00593563846513572</v>
      </c>
      <c r="F8" s="26" t="s">
        <v>1761</v>
      </c>
      <c r="I8" s="33" t="n">
        <f aca="false">SUMIFS($E$12:$E$40,$P$12:$P$40,1)</f>
        <v>94380151.2290461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0.0239547824187594</v>
      </c>
      <c r="F9" s="26" t="s">
        <v>1763</v>
      </c>
      <c r="I9" s="33" t="n">
        <f aca="false">SUMPRODUCT(MAX(ABS($L$12:$L$40)))</f>
        <v>4.47034835815425E-008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44404</v>
      </c>
      <c r="C12" s="39"/>
      <c r="D12" s="39" t="n">
        <v>0</v>
      </c>
      <c r="E12" s="39" t="n">
        <v>0</v>
      </c>
      <c r="F12" s="39" t="n">
        <v>0</v>
      </c>
      <c r="G12" s="39" t="n">
        <v>569902000</v>
      </c>
      <c r="H12" s="33" t="n">
        <f aca="false">G12</f>
        <v>569902000</v>
      </c>
      <c r="I12" s="33" t="n">
        <v>0</v>
      </c>
      <c r="J12" s="33" t="n">
        <f aca="false">H12</f>
        <v>569902000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-569902000</v>
      </c>
      <c r="N12" s="65" t="n">
        <f aca="false">$C$7</f>
        <v>0.00593563846513545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44496</v>
      </c>
      <c r="C13" s="39" t="n">
        <v>569902000</v>
      </c>
      <c r="D13" s="39" t="n">
        <v>3382732.23255762</v>
      </c>
      <c r="E13" s="39" t="n">
        <v>4269421.15348077</v>
      </c>
      <c r="F13" s="39" t="n">
        <v>7652153.38603839</v>
      </c>
      <c r="G13" s="39" t="n">
        <v>565632578.846519</v>
      </c>
      <c r="H13" s="33" t="n">
        <f aca="false">J12</f>
        <v>569902000</v>
      </c>
      <c r="I13" s="33" t="n">
        <f aca="false">H13*N13</f>
        <v>3382732.23255762</v>
      </c>
      <c r="J13" s="33" t="n">
        <f aca="false">H13+I13-F13</f>
        <v>565632578.846519</v>
      </c>
      <c r="K13" s="33" t="n">
        <f aca="false">D13-I13</f>
        <v>0</v>
      </c>
      <c r="L13" s="33" t="n">
        <f aca="false">G13-J13</f>
        <v>0</v>
      </c>
      <c r="M13" s="33" t="n">
        <f aca="false">F13</f>
        <v>7652153.38603839</v>
      </c>
      <c r="N13" s="65" t="n">
        <f aca="false">$C$7</f>
        <v>0.00593563846513545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44588</v>
      </c>
      <c r="C14" s="39" t="n">
        <v>565632578.846519</v>
      </c>
      <c r="D14" s="39" t="n">
        <v>3357390.49213516</v>
      </c>
      <c r="E14" s="39" t="n">
        <v>4294762.89390326</v>
      </c>
      <c r="F14" s="39" t="n">
        <v>7652153.38603842</v>
      </c>
      <c r="G14" s="39" t="n">
        <v>561337815.952616</v>
      </c>
      <c r="H14" s="33" t="n">
        <f aca="false">J13</f>
        <v>565632578.846519</v>
      </c>
      <c r="I14" s="33" t="n">
        <f aca="false">H14*N14</f>
        <v>3357390.49213516</v>
      </c>
      <c r="J14" s="33" t="n">
        <f aca="false">H14+I14-F14</f>
        <v>561337815.952616</v>
      </c>
      <c r="K14" s="33" t="n">
        <f aca="false">D14-I14</f>
        <v>0</v>
      </c>
      <c r="L14" s="33" t="n">
        <f aca="false">G14-J14</f>
        <v>0</v>
      </c>
      <c r="M14" s="33" t="n">
        <f aca="false">F14</f>
        <v>7652153.38603842</v>
      </c>
      <c r="N14" s="65" t="n">
        <f aca="false">$C$7</f>
        <v>0.00593563846513545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44678</v>
      </c>
      <c r="C15" s="39" t="n">
        <v>561337815.952616</v>
      </c>
      <c r="D15" s="39" t="n">
        <v>3331898.33230347</v>
      </c>
      <c r="E15" s="39" t="n">
        <v>4320255.0537349</v>
      </c>
      <c r="F15" s="39" t="n">
        <v>7652153.38603837</v>
      </c>
      <c r="G15" s="39" t="n">
        <v>557017560.898881</v>
      </c>
      <c r="H15" s="33" t="n">
        <f aca="false">J14</f>
        <v>561337815.952616</v>
      </c>
      <c r="I15" s="33" t="n">
        <f aca="false">H15*N15</f>
        <v>3331898.33230347</v>
      </c>
      <c r="J15" s="33" t="n">
        <f aca="false">H15+I15-F15</f>
        <v>557017560.898881</v>
      </c>
      <c r="K15" s="33" t="n">
        <f aca="false">D15-I15</f>
        <v>0</v>
      </c>
      <c r="L15" s="33" t="n">
        <f aca="false">G15-J15</f>
        <v>0</v>
      </c>
      <c r="M15" s="33" t="n">
        <f aca="false">F15</f>
        <v>7652153.38603837</v>
      </c>
      <c r="N15" s="65" t="n">
        <f aca="false">$C$7</f>
        <v>0.00593563846513545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44769</v>
      </c>
      <c r="C16" s="39" t="n">
        <v>557017560.898881</v>
      </c>
      <c r="D16" s="39" t="n">
        <v>3306254.86022733</v>
      </c>
      <c r="E16" s="39" t="n">
        <v>4345898.52581108</v>
      </c>
      <c r="F16" s="39" t="n">
        <v>7652153.3860384</v>
      </c>
      <c r="G16" s="39" t="n">
        <v>552671662.37307</v>
      </c>
      <c r="H16" s="33" t="n">
        <f aca="false">J15</f>
        <v>557017560.898881</v>
      </c>
      <c r="I16" s="33" t="n">
        <f aca="false">H16*N16</f>
        <v>3306254.86022733</v>
      </c>
      <c r="J16" s="33" t="n">
        <f aca="false">H16+I16-F16</f>
        <v>552671662.37307</v>
      </c>
      <c r="K16" s="33" t="n">
        <f aca="false">D16-I16</f>
        <v>0</v>
      </c>
      <c r="L16" s="33" t="n">
        <f aca="false">G16-J16</f>
        <v>0</v>
      </c>
      <c r="M16" s="33" t="n">
        <f aca="false">F16</f>
        <v>7652153.3860384</v>
      </c>
      <c r="N16" s="65" t="n">
        <f aca="false">$C$7</f>
        <v>0.00593563846513545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44861</v>
      </c>
      <c r="C17" s="39" t="n">
        <v>552671662.37307</v>
      </c>
      <c r="D17" s="39" t="n">
        <v>3280459.17777195</v>
      </c>
      <c r="E17" s="39" t="n">
        <v>21273197.1041788</v>
      </c>
      <c r="F17" s="39" t="n">
        <v>24553656.2819507</v>
      </c>
      <c r="G17" s="39" t="n">
        <v>531398465.268891</v>
      </c>
      <c r="H17" s="33" t="n">
        <f aca="false">J16</f>
        <v>552671662.37307</v>
      </c>
      <c r="I17" s="33" t="n">
        <f aca="false">H17*N17</f>
        <v>3280459.17777195</v>
      </c>
      <c r="J17" s="33" t="n">
        <f aca="false">H17+I17-F17</f>
        <v>531398465.268891</v>
      </c>
      <c r="K17" s="33" t="n">
        <f aca="false">D17-I17</f>
        <v>0</v>
      </c>
      <c r="L17" s="33" t="n">
        <f aca="false">G17-J17</f>
        <v>0</v>
      </c>
      <c r="M17" s="33" t="n">
        <f aca="false">F17</f>
        <v>24553656.2819507</v>
      </c>
      <c r="N17" s="65" t="n">
        <f aca="false">$C$7</f>
        <v>0.00593563846513545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44953</v>
      </c>
      <c r="C18" s="39" t="n">
        <v>531398465.268891</v>
      </c>
      <c r="D18" s="39" t="n">
        <v>3154189.17076398</v>
      </c>
      <c r="E18" s="39" t="n">
        <v>21399467.1111867</v>
      </c>
      <c r="F18" s="39" t="n">
        <v>24553656.2819507</v>
      </c>
      <c r="G18" s="39" t="n">
        <v>509998998.157705</v>
      </c>
      <c r="H18" s="33" t="n">
        <f aca="false">J17</f>
        <v>531398465.268891</v>
      </c>
      <c r="I18" s="33" t="n">
        <f aca="false">H18*N18</f>
        <v>3154189.17076398</v>
      </c>
      <c r="J18" s="33" t="n">
        <f aca="false">H18+I18-F18</f>
        <v>509998998.157705</v>
      </c>
      <c r="K18" s="33" t="n">
        <f aca="false">D18-I18</f>
        <v>0</v>
      </c>
      <c r="L18" s="33" t="n">
        <f aca="false">G18-J18</f>
        <v>0</v>
      </c>
      <c r="M18" s="33" t="n">
        <f aca="false">F18</f>
        <v>24553656.2819507</v>
      </c>
      <c r="N18" s="65" t="n">
        <f aca="false">$C$7</f>
        <v>0.00593563846513545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45043</v>
      </c>
      <c r="C19" s="39" t="n">
        <v>509998998.157705</v>
      </c>
      <c r="D19" s="39" t="n">
        <v>3027169.67064542</v>
      </c>
      <c r="E19" s="39" t="n">
        <v>21526486.6113053</v>
      </c>
      <c r="F19" s="39" t="n">
        <v>24553656.2819507</v>
      </c>
      <c r="G19" s="39" t="n">
        <v>488472511.546399</v>
      </c>
      <c r="H19" s="33" t="n">
        <f aca="false">J18</f>
        <v>509998998.157705</v>
      </c>
      <c r="I19" s="33" t="n">
        <f aca="false">H19*N19</f>
        <v>3027169.67064542</v>
      </c>
      <c r="J19" s="33" t="n">
        <f aca="false">H19+I19-F19</f>
        <v>488472511.546399</v>
      </c>
      <c r="K19" s="33" t="n">
        <f aca="false">D19-I19</f>
        <v>0</v>
      </c>
      <c r="L19" s="33" t="n">
        <f aca="false">G19-J19</f>
        <v>0</v>
      </c>
      <c r="M19" s="33" t="n">
        <f aca="false">F19</f>
        <v>24553656.2819507</v>
      </c>
      <c r="N19" s="65" t="n">
        <f aca="false">$C$7</f>
        <v>0.00593563846513545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45134</v>
      </c>
      <c r="C20" s="39" t="n">
        <v>488472511.546399</v>
      </c>
      <c r="D20" s="39" t="n">
        <v>2899396.22869613</v>
      </c>
      <c r="E20" s="39" t="n">
        <v>21654260.0532546</v>
      </c>
      <c r="F20" s="39" t="n">
        <v>24553656.2819507</v>
      </c>
      <c r="G20" s="39" t="n">
        <v>466818251.493145</v>
      </c>
      <c r="H20" s="33" t="n">
        <f aca="false">J19</f>
        <v>488472511.546399</v>
      </c>
      <c r="I20" s="33" t="n">
        <f aca="false">H20*N20</f>
        <v>2899396.22869613</v>
      </c>
      <c r="J20" s="33" t="n">
        <f aca="false">H20+I20-F20</f>
        <v>466818251.493145</v>
      </c>
      <c r="K20" s="33" t="n">
        <f aca="false">D20-I20</f>
        <v>0</v>
      </c>
      <c r="L20" s="33" t="n">
        <f aca="false">G20-J20</f>
        <v>0</v>
      </c>
      <c r="M20" s="33" t="n">
        <f aca="false">F20</f>
        <v>24553656.2819507</v>
      </c>
      <c r="N20" s="65" t="n">
        <f aca="false">$C$7</f>
        <v>0.00593563846513545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45226</v>
      </c>
      <c r="C21" s="39" t="n">
        <v>466818251.493145</v>
      </c>
      <c r="D21" s="39" t="n">
        <v>2770864.36978998</v>
      </c>
      <c r="E21" s="39" t="n">
        <v>21782791.9121608</v>
      </c>
      <c r="F21" s="39" t="n">
        <v>24553656.2819507</v>
      </c>
      <c r="G21" s="39" t="n">
        <v>445035459.580984</v>
      </c>
      <c r="H21" s="33" t="n">
        <f aca="false">J20</f>
        <v>466818251.493145</v>
      </c>
      <c r="I21" s="33" t="n">
        <f aca="false">H21*N21</f>
        <v>2770864.36978998</v>
      </c>
      <c r="J21" s="33" t="n">
        <f aca="false">H21+I21-F21</f>
        <v>445035459.580984</v>
      </c>
      <c r="K21" s="33" t="n">
        <f aca="false">D21-I21</f>
        <v>0</v>
      </c>
      <c r="L21" s="33" t="n">
        <f aca="false">G21-J21</f>
        <v>0</v>
      </c>
      <c r="M21" s="33" t="n">
        <f aca="false">F21</f>
        <v>24553656.2819507</v>
      </c>
      <c r="N21" s="65" t="n">
        <f aca="false">$C$7</f>
        <v>0.00593563846513545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45318</v>
      </c>
      <c r="C22" s="39" t="n">
        <v>445035459.580984</v>
      </c>
      <c r="D22" s="39" t="n">
        <v>2641569.59223812</v>
      </c>
      <c r="E22" s="39" t="n">
        <v>21912086.6897126</v>
      </c>
      <c r="F22" s="39" t="n">
        <v>24553656.2819507</v>
      </c>
      <c r="G22" s="39" t="n">
        <v>423123372.891271</v>
      </c>
      <c r="H22" s="33" t="n">
        <f aca="false">J21</f>
        <v>445035459.580984</v>
      </c>
      <c r="I22" s="33" t="n">
        <f aca="false">H22*N22</f>
        <v>2641569.59223812</v>
      </c>
      <c r="J22" s="33" t="n">
        <f aca="false">H22+I22-F22</f>
        <v>423123372.891271</v>
      </c>
      <c r="K22" s="33" t="n">
        <f aca="false">D22-I22</f>
        <v>0</v>
      </c>
      <c r="L22" s="33" t="n">
        <f aca="false">G22-J22</f>
        <v>0</v>
      </c>
      <c r="M22" s="33" t="n">
        <f aca="false">F22</f>
        <v>24553656.2819507</v>
      </c>
      <c r="N22" s="65" t="n">
        <f aca="false">$C$7</f>
        <v>0.00593563846513545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45409</v>
      </c>
      <c r="C23" s="39" t="n">
        <v>423123372.891271</v>
      </c>
      <c r="D23" s="39" t="n">
        <v>2511507.36763128</v>
      </c>
      <c r="E23" s="39" t="n">
        <v>22042148.9143195</v>
      </c>
      <c r="F23" s="39" t="n">
        <v>24553656.2819507</v>
      </c>
      <c r="G23" s="39" t="n">
        <v>401081223.976952</v>
      </c>
      <c r="H23" s="33" t="n">
        <f aca="false">J22</f>
        <v>423123372.891271</v>
      </c>
      <c r="I23" s="33" t="n">
        <f aca="false">H23*N23</f>
        <v>2511507.36763128</v>
      </c>
      <c r="J23" s="33" t="n">
        <f aca="false">H23+I23-F23</f>
        <v>401081223.976952</v>
      </c>
      <c r="K23" s="33" t="n">
        <f aca="false">D23-I23</f>
        <v>0</v>
      </c>
      <c r="L23" s="33" t="n">
        <f aca="false">G23-J23</f>
        <v>0</v>
      </c>
      <c r="M23" s="33" t="n">
        <f aca="false">F23</f>
        <v>24553656.2819507</v>
      </c>
      <c r="N23" s="65" t="n">
        <f aca="false">$C$7</f>
        <v>0.00593563846513545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45500</v>
      </c>
      <c r="C24" s="39" t="n">
        <v>401081223.976952</v>
      </c>
      <c r="D24" s="39" t="n">
        <v>2380673.1406812</v>
      </c>
      <c r="E24" s="39" t="n">
        <v>22172983.1412695</v>
      </c>
      <c r="F24" s="39" t="n">
        <v>24553656.2819507</v>
      </c>
      <c r="G24" s="39" t="n">
        <v>378908240.835682</v>
      </c>
      <c r="H24" s="33" t="n">
        <f aca="false">J23</f>
        <v>401081223.976952</v>
      </c>
      <c r="I24" s="33" t="n">
        <f aca="false">H24*N24</f>
        <v>2380673.1406812</v>
      </c>
      <c r="J24" s="33" t="n">
        <f aca="false">H24+I24-F24</f>
        <v>378908240.835682</v>
      </c>
      <c r="K24" s="33" t="n">
        <f aca="false">D24-I24</f>
        <v>0</v>
      </c>
      <c r="L24" s="33" t="n">
        <f aca="false">G24-J24</f>
        <v>0</v>
      </c>
      <c r="M24" s="33" t="n">
        <f aca="false">F24</f>
        <v>24553656.2819507</v>
      </c>
      <c r="N24" s="65" t="n">
        <f aca="false">$C$7</f>
        <v>0.00593563846513545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45592</v>
      </c>
      <c r="C25" s="39" t="n">
        <v>378908240.835682</v>
      </c>
      <c r="D25" s="39" t="n">
        <v>2249062.32906108</v>
      </c>
      <c r="E25" s="39" t="n">
        <v>22304593.9528896</v>
      </c>
      <c r="F25" s="39" t="n">
        <v>24553656.2819507</v>
      </c>
      <c r="G25" s="39" t="n">
        <v>356603646.882793</v>
      </c>
      <c r="H25" s="33" t="n">
        <f aca="false">J24</f>
        <v>378908240.835682</v>
      </c>
      <c r="I25" s="33" t="n">
        <f aca="false">H25*N25</f>
        <v>2249062.32906108</v>
      </c>
      <c r="J25" s="33" t="n">
        <f aca="false">H25+I25-F25</f>
        <v>356603646.882793</v>
      </c>
      <c r="K25" s="33" t="n">
        <f aca="false">D25-I25</f>
        <v>0</v>
      </c>
      <c r="L25" s="33" t="n">
        <f aca="false">G25-J25</f>
        <v>0</v>
      </c>
      <c r="M25" s="33" t="n">
        <f aca="false">F25</f>
        <v>24553656.2819507</v>
      </c>
      <c r="N25" s="65" t="n">
        <f aca="false">$C$7</f>
        <v>0.00593563846513545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45684</v>
      </c>
      <c r="C26" s="39" t="n">
        <v>356603646.882793</v>
      </c>
      <c r="D26" s="39" t="n">
        <v>2116670.32324508</v>
      </c>
      <c r="E26" s="39" t="n">
        <v>22436985.9587056</v>
      </c>
      <c r="F26" s="39" t="n">
        <v>24553656.2819507</v>
      </c>
      <c r="G26" s="39" t="n">
        <v>334166660.924087</v>
      </c>
      <c r="H26" s="33" t="n">
        <f aca="false">J25</f>
        <v>356603646.882793</v>
      </c>
      <c r="I26" s="33" t="n">
        <f aca="false">H26*N26</f>
        <v>2116670.32324508</v>
      </c>
      <c r="J26" s="33" t="n">
        <f aca="false">H26+I26-F26</f>
        <v>334166660.924087</v>
      </c>
      <c r="K26" s="33" t="n">
        <f aca="false">D26-I26</f>
        <v>0</v>
      </c>
      <c r="L26" s="33" t="n">
        <f aca="false">G26-J26</f>
        <v>0</v>
      </c>
      <c r="M26" s="33" t="n">
        <f aca="false">F26</f>
        <v>24553656.2819507</v>
      </c>
      <c r="N26" s="65" t="n">
        <f aca="false">$C$7</f>
        <v>0.00593563846513545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45774</v>
      </c>
      <c r="C27" s="39" t="n">
        <v>334166660.924087</v>
      </c>
      <c r="D27" s="39" t="n">
        <v>1983492.48634689</v>
      </c>
      <c r="E27" s="39" t="n">
        <v>22570163.7956038</v>
      </c>
      <c r="F27" s="39" t="n">
        <v>24553656.2819507</v>
      </c>
      <c r="G27" s="39" t="n">
        <v>311596497.128483</v>
      </c>
      <c r="H27" s="33" t="n">
        <f aca="false">J26</f>
        <v>334166660.924087</v>
      </c>
      <c r="I27" s="33" t="n">
        <f aca="false">H27*N27</f>
        <v>1983492.48634689</v>
      </c>
      <c r="J27" s="33" t="n">
        <f aca="false">H27+I27-F27</f>
        <v>311596497.128483</v>
      </c>
      <c r="K27" s="33" t="n">
        <f aca="false">D27-I27</f>
        <v>0</v>
      </c>
      <c r="L27" s="33" t="n">
        <f aca="false">G27-J27</f>
        <v>0</v>
      </c>
      <c r="M27" s="33" t="n">
        <f aca="false">F27</f>
        <v>24553656.2819507</v>
      </c>
      <c r="N27" s="65" t="n">
        <f aca="false">$C$7</f>
        <v>0.00593563846513545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45865</v>
      </c>
      <c r="C28" s="39" t="n">
        <v>311596497.128483</v>
      </c>
      <c r="D28" s="39" t="n">
        <v>1849524.15395729</v>
      </c>
      <c r="E28" s="39" t="n">
        <v>22704132.1279934</v>
      </c>
      <c r="F28" s="39" t="n">
        <v>24553656.2819507</v>
      </c>
      <c r="G28" s="39" t="n">
        <v>288892365.00049</v>
      </c>
      <c r="H28" s="33" t="n">
        <f aca="false">J27</f>
        <v>311596497.128483</v>
      </c>
      <c r="I28" s="33" t="n">
        <f aca="false">H28*N28</f>
        <v>1849524.15395729</v>
      </c>
      <c r="J28" s="33" t="n">
        <f aca="false">H28+I28-F28</f>
        <v>288892365.00049</v>
      </c>
      <c r="K28" s="33" t="n">
        <f aca="false">D28-I28</f>
        <v>0</v>
      </c>
      <c r="L28" s="33" t="n">
        <f aca="false">G28-J28</f>
        <v>0</v>
      </c>
      <c r="M28" s="33" t="n">
        <f aca="false">F28</f>
        <v>24553656.2819507</v>
      </c>
      <c r="N28" s="65" t="n">
        <f aca="false">$C$7</f>
        <v>0.00593563846513545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45957</v>
      </c>
      <c r="C29" s="39" t="n">
        <v>288892365.00049</v>
      </c>
      <c r="D29" s="39" t="n">
        <v>1714760.63398086</v>
      </c>
      <c r="E29" s="39" t="n">
        <v>22838895.6479698</v>
      </c>
      <c r="F29" s="39" t="n">
        <v>24553656.2819507</v>
      </c>
      <c r="G29" s="39" t="n">
        <v>266053469.35252</v>
      </c>
      <c r="H29" s="33" t="n">
        <f aca="false">J28</f>
        <v>288892365.00049</v>
      </c>
      <c r="I29" s="33" t="n">
        <f aca="false">H29*N29</f>
        <v>1714760.63398086</v>
      </c>
      <c r="J29" s="33" t="n">
        <f aca="false">H29+I29-F29</f>
        <v>266053469.35252</v>
      </c>
      <c r="K29" s="33" t="n">
        <f aca="false">D29-I29</f>
        <v>0</v>
      </c>
      <c r="L29" s="33" t="n">
        <f aca="false">G29-J29</f>
        <v>0</v>
      </c>
      <c r="M29" s="33" t="n">
        <f aca="false">F29</f>
        <v>24553656.2819507</v>
      </c>
      <c r="N29" s="65" t="n">
        <f aca="false">$C$7</f>
        <v>0.00593563846513545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46049</v>
      </c>
      <c r="C30" s="39" t="n">
        <v>266053469.35252</v>
      </c>
      <c r="D30" s="39" t="n">
        <v>1579197.20647155</v>
      </c>
      <c r="E30" s="39" t="n">
        <v>22974459.0754791</v>
      </c>
      <c r="F30" s="39" t="n">
        <v>24553656.2819507</v>
      </c>
      <c r="G30" s="39" t="n">
        <v>243079010.277041</v>
      </c>
      <c r="H30" s="33" t="n">
        <f aca="false">J29</f>
        <v>266053469.35252</v>
      </c>
      <c r="I30" s="33" t="n">
        <f aca="false">H30*N30</f>
        <v>1579197.20647155</v>
      </c>
      <c r="J30" s="33" t="n">
        <f aca="false">H30+I30-F30</f>
        <v>243079010.277041</v>
      </c>
      <c r="K30" s="33" t="n">
        <f aca="false">D30-I30</f>
        <v>0</v>
      </c>
      <c r="L30" s="33" t="n">
        <f aca="false">G30-J30</f>
        <v>0</v>
      </c>
      <c r="M30" s="33" t="n">
        <f aca="false">F30</f>
        <v>24553656.2819507</v>
      </c>
      <c r="N30" s="65" t="n">
        <f aca="false">$C$7</f>
        <v>0.00593563846513545</v>
      </c>
      <c r="O30" s="48" t="n">
        <f aca="false">IF(AND(B30&gt;=DATE(2026,1,1),B30&lt;=Resumen!$C$5),1,0)</f>
        <v>1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46139</v>
      </c>
      <c r="C31" s="39" t="n">
        <v>243079010.277041</v>
      </c>
      <c r="D31" s="39" t="n">
        <v>1442829.12346746</v>
      </c>
      <c r="E31" s="39" t="n">
        <v>23110827.1584832</v>
      </c>
      <c r="F31" s="39" t="n">
        <v>24553656.2819507</v>
      </c>
      <c r="G31" s="39" t="n">
        <v>219968183.118558</v>
      </c>
      <c r="H31" s="33" t="n">
        <f aca="false">J30</f>
        <v>243079010.277041</v>
      </c>
      <c r="I31" s="33" t="n">
        <f aca="false">H31*N31</f>
        <v>1442829.12346746</v>
      </c>
      <c r="J31" s="33" t="n">
        <f aca="false">H31+I31-F31</f>
        <v>219968183.118558</v>
      </c>
      <c r="K31" s="33" t="n">
        <f aca="false">D31-I31</f>
        <v>0</v>
      </c>
      <c r="L31" s="33" t="n">
        <f aca="false">G31-J31</f>
        <v>0</v>
      </c>
      <c r="M31" s="33" t="n">
        <f aca="false">F31</f>
        <v>24553656.2819507</v>
      </c>
      <c r="N31" s="65" t="n">
        <f aca="false">$C$7</f>
        <v>0.00593563846513545</v>
      </c>
      <c r="O31" s="48" t="n">
        <f aca="false">IF(AND(B31&gt;=DATE(2026,1,1),B31&lt;=Resumen!$C$5),1,0)</f>
        <v>1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46230</v>
      </c>
      <c r="C32" s="39" t="n">
        <v>219968183.118558</v>
      </c>
      <c r="D32" s="39" t="n">
        <v>1305651.60882447</v>
      </c>
      <c r="E32" s="39" t="n">
        <v>23248004.6731262</v>
      </c>
      <c r="F32" s="39" t="n">
        <v>24553656.2819507</v>
      </c>
      <c r="G32" s="39" t="n">
        <v>196720178.445431</v>
      </c>
      <c r="H32" s="33" t="n">
        <f aca="false">J31</f>
        <v>219968183.118558</v>
      </c>
      <c r="I32" s="33" t="n">
        <f aca="false">H32*N32</f>
        <v>1305651.60882447</v>
      </c>
      <c r="J32" s="33" t="n">
        <f aca="false">H32+I32-F32</f>
        <v>196720178.445431</v>
      </c>
      <c r="K32" s="33" t="n">
        <f aca="false">D32-I32</f>
        <v>0</v>
      </c>
      <c r="L32" s="33" t="n">
        <f aca="false">G32-J32</f>
        <v>0</v>
      </c>
      <c r="M32" s="33" t="n">
        <f aca="false">F32</f>
        <v>24553656.2819507</v>
      </c>
      <c r="N32" s="65" t="n">
        <f aca="false">$C$7</f>
        <v>0.00593563846513545</v>
      </c>
      <c r="O32" s="48" t="n">
        <f aca="false">IF(AND(B32&gt;=DATE(2026,1,1),B32&lt;=Resumen!$C$5),1,0)</f>
        <v>1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46322</v>
      </c>
      <c r="C33" s="39" t="n">
        <v>196720178.445431</v>
      </c>
      <c r="D33" s="39" t="n">
        <v>1167659.85804901</v>
      </c>
      <c r="E33" s="39" t="n">
        <v>23385996.4239017</v>
      </c>
      <c r="F33" s="39" t="n">
        <v>24553656.2819507</v>
      </c>
      <c r="G33" s="39" t="n">
        <v>173334182.02153</v>
      </c>
      <c r="H33" s="33" t="n">
        <f aca="false">J32</f>
        <v>196720178.445431</v>
      </c>
      <c r="I33" s="33" t="n">
        <f aca="false">H33*N33</f>
        <v>1167659.85804901</v>
      </c>
      <c r="J33" s="33" t="n">
        <f aca="false">H33+I33-F33</f>
        <v>173334182.02153</v>
      </c>
      <c r="K33" s="33" t="n">
        <f aca="false">D33-I33</f>
        <v>0</v>
      </c>
      <c r="L33" s="33" t="n">
        <f aca="false">G33-J33</f>
        <v>0</v>
      </c>
      <c r="M33" s="33" t="n">
        <f aca="false">F33</f>
        <v>24553656.2819507</v>
      </c>
      <c r="N33" s="65" t="n">
        <f aca="false">$C$7</f>
        <v>0.00593563846513545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1</v>
      </c>
    </row>
    <row r="34" customFormat="false" ht="15" hidden="false" customHeight="false" outlineLevel="0" collapsed="false">
      <c r="A34" s="38" t="n">
        <v>22</v>
      </c>
      <c r="B34" s="27" t="n">
        <v>46414</v>
      </c>
      <c r="C34" s="39" t="n">
        <v>173334182.02153</v>
      </c>
      <c r="D34" s="39" t="n">
        <v>1028849.03812978</v>
      </c>
      <c r="E34" s="39" t="n">
        <v>23524807.2438209</v>
      </c>
      <c r="F34" s="39" t="n">
        <v>24553656.2819507</v>
      </c>
      <c r="G34" s="39" t="n">
        <v>149809374.777709</v>
      </c>
      <c r="H34" s="33" t="n">
        <f aca="false">J33</f>
        <v>173334182.02153</v>
      </c>
      <c r="I34" s="33" t="n">
        <f aca="false">H34*N34</f>
        <v>1028849.03812978</v>
      </c>
      <c r="J34" s="33" t="n">
        <f aca="false">H34+I34-F34</f>
        <v>149809374.777709</v>
      </c>
      <c r="K34" s="33" t="n">
        <f aca="false">D34-I34</f>
        <v>0</v>
      </c>
      <c r="L34" s="33" t="n">
        <f aca="false">G34-J34</f>
        <v>0</v>
      </c>
      <c r="M34" s="33" t="n">
        <f aca="false">F34</f>
        <v>24553656.2819507</v>
      </c>
      <c r="N34" s="65" t="n">
        <f aca="false">$C$7</f>
        <v>0.00593563846513545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1</v>
      </c>
    </row>
    <row r="35" customFormat="false" ht="15" hidden="false" customHeight="false" outlineLevel="0" collapsed="false">
      <c r="A35" s="38" t="n">
        <v>23</v>
      </c>
      <c r="B35" s="27" t="n">
        <v>46504</v>
      </c>
      <c r="C35" s="39" t="n">
        <v>149809374.777709</v>
      </c>
      <c r="D35" s="39" t="n">
        <v>889214.287368461</v>
      </c>
      <c r="E35" s="39" t="n">
        <v>23664441.9945822</v>
      </c>
      <c r="F35" s="39" t="n">
        <v>24553656.2819507</v>
      </c>
      <c r="G35" s="39" t="n">
        <v>126144932.783127</v>
      </c>
      <c r="H35" s="33" t="n">
        <f aca="false">J34</f>
        <v>149809374.777709</v>
      </c>
      <c r="I35" s="33" t="n">
        <f aca="false">H35*N35</f>
        <v>889214.287368461</v>
      </c>
      <c r="J35" s="33" t="n">
        <f aca="false">H35+I35-F35</f>
        <v>126144932.783127</v>
      </c>
      <c r="K35" s="33" t="n">
        <f aca="false">D35-I35</f>
        <v>0</v>
      </c>
      <c r="L35" s="33" t="n">
        <f aca="false">G35-J35</f>
        <v>0</v>
      </c>
      <c r="M35" s="33" t="n">
        <f aca="false">F35</f>
        <v>24553656.2819507</v>
      </c>
      <c r="N35" s="65" t="n">
        <f aca="false">$C$7</f>
        <v>0.00593563846513545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1</v>
      </c>
    </row>
    <row r="36" customFormat="false" ht="15" hidden="false" customHeight="false" outlineLevel="0" collapsed="false">
      <c r="A36" s="38" t="n">
        <v>24</v>
      </c>
      <c r="B36" s="27" t="n">
        <v>46595</v>
      </c>
      <c r="C36" s="39" t="n">
        <v>126144932.783127</v>
      </c>
      <c r="D36" s="39" t="n">
        <v>748750.715209452</v>
      </c>
      <c r="E36" s="39" t="n">
        <v>23804905.5667412</v>
      </c>
      <c r="F36" s="39" t="n">
        <v>24553656.2819507</v>
      </c>
      <c r="G36" s="39" t="n">
        <v>102340027.216385</v>
      </c>
      <c r="H36" s="33" t="n">
        <f aca="false">J35</f>
        <v>126144932.783127</v>
      </c>
      <c r="I36" s="33" t="n">
        <f aca="false">H36*N36</f>
        <v>748750.715209452</v>
      </c>
      <c r="J36" s="33" t="n">
        <f aca="false">H36+I36-F36</f>
        <v>102340027.216385</v>
      </c>
      <c r="K36" s="33" t="n">
        <f aca="false">D36-I36</f>
        <v>0</v>
      </c>
      <c r="L36" s="33" t="n">
        <f aca="false">G36-J36</f>
        <v>0</v>
      </c>
      <c r="M36" s="33" t="n">
        <f aca="false">F36</f>
        <v>24553656.2819507</v>
      </c>
      <c r="N36" s="65" t="n">
        <f aca="false">$C$7</f>
        <v>0.00593563846513545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1</v>
      </c>
    </row>
    <row r="37" customFormat="false" ht="15" hidden="false" customHeight="false" outlineLevel="0" collapsed="false">
      <c r="A37" s="38" t="n">
        <v>25</v>
      </c>
      <c r="B37" s="27" t="n">
        <v>46687</v>
      </c>
      <c r="C37" s="39" t="n">
        <v>102340027.216385</v>
      </c>
      <c r="D37" s="39" t="n">
        <v>607453.402068586</v>
      </c>
      <c r="E37" s="39" t="n">
        <v>23946202.8798821</v>
      </c>
      <c r="F37" s="39" t="n">
        <v>24553656.2819507</v>
      </c>
      <c r="G37" s="39" t="n">
        <v>78393824.3365033</v>
      </c>
      <c r="H37" s="33" t="n">
        <f aca="false">J36</f>
        <v>102340027.216385</v>
      </c>
      <c r="I37" s="33" t="n">
        <f aca="false">H37*N37</f>
        <v>607453.402068586</v>
      </c>
      <c r="J37" s="33" t="n">
        <f aca="false">H37+I37-F37</f>
        <v>78393824.3365033</v>
      </c>
      <c r="K37" s="33" t="n">
        <f aca="false">D37-I37</f>
        <v>0</v>
      </c>
      <c r="L37" s="33" t="n">
        <f aca="false">G37-J37</f>
        <v>0</v>
      </c>
      <c r="M37" s="33" t="n">
        <f aca="false">F37</f>
        <v>24553656.2819507</v>
      </c>
      <c r="N37" s="65" t="n">
        <f aca="false">$C$7</f>
        <v>0.00593563846513545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46779</v>
      </c>
      <c r="C38" s="39" t="n">
        <v>78393824.3365033</v>
      </c>
      <c r="D38" s="39" t="n">
        <v>465317.399160821</v>
      </c>
      <c r="E38" s="39" t="n">
        <v>24088338.8827899</v>
      </c>
      <c r="F38" s="39" t="n">
        <v>24553656.2819507</v>
      </c>
      <c r="G38" s="39" t="n">
        <v>54305485.4537134</v>
      </c>
      <c r="H38" s="33" t="n">
        <f aca="false">J37</f>
        <v>78393824.3365033</v>
      </c>
      <c r="I38" s="33" t="n">
        <f aca="false">H38*N38</f>
        <v>465317.39916082</v>
      </c>
      <c r="J38" s="33" t="n">
        <f aca="false">H38+I38-F38</f>
        <v>54305485.4537134</v>
      </c>
      <c r="K38" s="33" t="n">
        <f aca="false">D38-I38</f>
        <v>0</v>
      </c>
      <c r="L38" s="33" t="n">
        <f aca="false">G38-J38</f>
        <v>0</v>
      </c>
      <c r="M38" s="33" t="n">
        <f aca="false">F38</f>
        <v>24553656.2819507</v>
      </c>
      <c r="N38" s="65" t="n">
        <f aca="false">$C$7</f>
        <v>0.00593563846513545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46870</v>
      </c>
      <c r="C39" s="39" t="n">
        <v>54305485.4537134</v>
      </c>
      <c r="D39" s="39" t="n">
        <v>322337.728326915</v>
      </c>
      <c r="E39" s="39" t="n">
        <v>24231318.5536238</v>
      </c>
      <c r="F39" s="39" t="n">
        <v>24553656.2819507</v>
      </c>
      <c r="G39" s="39" t="n">
        <v>30074166.9000897</v>
      </c>
      <c r="H39" s="33" t="n">
        <f aca="false">J38</f>
        <v>54305485.4537134</v>
      </c>
      <c r="I39" s="33" t="n">
        <f aca="false">H39*N39</f>
        <v>322337.728326915</v>
      </c>
      <c r="J39" s="33" t="n">
        <f aca="false">H39+I39-F39</f>
        <v>30074166.9000896</v>
      </c>
      <c r="K39" s="33" t="n">
        <f aca="false">D39-I39</f>
        <v>0</v>
      </c>
      <c r="L39" s="33" t="n">
        <f aca="false">G39-J39</f>
        <v>0</v>
      </c>
      <c r="M39" s="33" t="n">
        <f aca="false">F39</f>
        <v>24553656.2819507</v>
      </c>
      <c r="N39" s="65" t="n">
        <f aca="false">$C$7</f>
        <v>0.00593563846513545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46961</v>
      </c>
      <c r="C40" s="39" t="n">
        <v>30074166.9000897</v>
      </c>
      <c r="D40" s="39" t="n">
        <v>178509.381859076</v>
      </c>
      <c r="E40" s="39" t="n">
        <v>30074166.9000916</v>
      </c>
      <c r="F40" s="39" t="n">
        <v>30252676.2819507</v>
      </c>
      <c r="G40" s="39" t="n">
        <v>-1.96322798728943E-006</v>
      </c>
      <c r="H40" s="33" t="n">
        <f aca="false">J39</f>
        <v>30074166.9000896</v>
      </c>
      <c r="I40" s="33" t="n">
        <f aca="false">H40*N40</f>
        <v>178509.381859075</v>
      </c>
      <c r="J40" s="33" t="n">
        <f aca="false">H40+I40-F40</f>
        <v>-2.00793147087097E-006</v>
      </c>
      <c r="K40" s="33" t="n">
        <f aca="false">D40-I40</f>
        <v>0</v>
      </c>
      <c r="L40" s="33" t="n">
        <f aca="false">G40-J40</f>
        <v>4.47034835815425E-008</v>
      </c>
      <c r="M40" s="33" t="n">
        <f aca="false">F40</f>
        <v>30252676.2819507</v>
      </c>
      <c r="N40" s="65" t="n">
        <f aca="false">$C$7</f>
        <v>0.00593563846513545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1830</v>
      </c>
    </row>
    <row r="2" customFormat="false" ht="15" hidden="false" customHeight="false" outlineLevel="0" collapsed="false">
      <c r="A2" s="24" t="s">
        <v>1831</v>
      </c>
    </row>
    <row r="3" customFormat="false" ht="15" hidden="false" customHeight="false" outlineLevel="0" collapsed="false">
      <c r="A3" s="34" t="s">
        <v>1748</v>
      </c>
      <c r="C3" s="38" t="s">
        <v>1832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569902000</v>
      </c>
      <c r="F4" s="26" t="s">
        <v>1752</v>
      </c>
      <c r="I4" s="57" t="n">
        <f aca="false">_xlfn.MAXIFS($B$12:$B$40,$B$12:$B$40,"&lt;="&amp;Resumen!$C$5)</f>
        <v>46226</v>
      </c>
    </row>
    <row r="5" customFormat="false" ht="15" hidden="false" customHeight="false" outlineLevel="0" collapsed="false">
      <c r="A5" s="34" t="s">
        <v>1753</v>
      </c>
      <c r="C5" s="27" t="n">
        <v>44949</v>
      </c>
      <c r="F5" s="26" t="s">
        <v>1754</v>
      </c>
      <c r="I5" s="58" t="n">
        <f aca="false">SUMIFS($G$12:$G$40,$B$12:$B$40,I4)</f>
        <v>382649239.487494</v>
      </c>
    </row>
    <row r="6" customFormat="false" ht="15" hidden="false" customHeight="false" outlineLevel="0" collapsed="false">
      <c r="A6" s="34" t="s">
        <v>1755</v>
      </c>
      <c r="C6" s="38" t="s">
        <v>1820</v>
      </c>
      <c r="F6" s="26" t="s">
        <v>1757</v>
      </c>
      <c r="I6" s="33" t="n">
        <f aca="false">SUMIFS($J$12:$J$40,$B$12:$B$40,I4)</f>
        <v>382649239.487494</v>
      </c>
    </row>
    <row r="7" customFormat="false" ht="15" hidden="false" customHeight="false" outlineLevel="0" collapsed="false">
      <c r="A7" s="34" t="s">
        <v>1758</v>
      </c>
      <c r="C7" s="64" t="n">
        <v>0.0367281325015472</v>
      </c>
      <c r="F7" s="26" t="s">
        <v>1759</v>
      </c>
      <c r="I7" s="33" t="n">
        <f aca="false">SUMIFS($D$12:$D$40,$O$12:$O$40,1)</f>
        <v>46536704.8980723</v>
      </c>
    </row>
    <row r="8" customFormat="false" ht="15" hidden="false" customHeight="false" outlineLevel="0" collapsed="false">
      <c r="A8" s="34" t="s">
        <v>1760</v>
      </c>
      <c r="C8" s="65" t="n">
        <f aca="false">IFERROR(IRR($M$12:$M$40),"N/A")</f>
        <v>0.0367281325015467</v>
      </c>
      <c r="F8" s="26" t="s">
        <v>1761</v>
      </c>
      <c r="I8" s="33" t="n">
        <f aca="false">SUMIFS($E$12:$E$40,$P$12:$P$40,1)</f>
        <v>89056070.4283575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0.155206262487279</v>
      </c>
      <c r="F9" s="26" t="s">
        <v>1763</v>
      </c>
      <c r="I9" s="33" t="n">
        <f aca="false">SUMPRODUCT(MAX(ABS($L$12:$L$40)))</f>
        <v>1.49011611938477E-008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44949</v>
      </c>
      <c r="C12" s="39"/>
      <c r="D12" s="39" t="n">
        <v>0</v>
      </c>
      <c r="E12" s="39" t="n">
        <v>0</v>
      </c>
      <c r="F12" s="39" t="n">
        <v>0</v>
      </c>
      <c r="G12" s="39" t="n">
        <v>569902000</v>
      </c>
      <c r="H12" s="33" t="n">
        <f aca="false">G12</f>
        <v>569902000</v>
      </c>
      <c r="I12" s="33" t="n">
        <v>0</v>
      </c>
      <c r="J12" s="33" t="n">
        <f aca="false">H12</f>
        <v>569902000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-569902000</v>
      </c>
      <c r="N12" s="65" t="n">
        <f aca="false">$C$7</f>
        <v>0.0367281325015472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45039</v>
      </c>
      <c r="C13" s="39" t="n">
        <v>569902000</v>
      </c>
      <c r="D13" s="39" t="n">
        <v>20931436.1688967</v>
      </c>
      <c r="E13" s="39" t="n">
        <v>3195336.62951076</v>
      </c>
      <c r="F13" s="39" t="n">
        <v>24126772.7984075</v>
      </c>
      <c r="G13" s="39" t="n">
        <v>566706663.370489</v>
      </c>
      <c r="H13" s="33" t="n">
        <f aca="false">J12</f>
        <v>569902000</v>
      </c>
      <c r="I13" s="33" t="n">
        <f aca="false">H13*N13</f>
        <v>20931436.1688967</v>
      </c>
      <c r="J13" s="33" t="n">
        <f aca="false">H13+I13-F13</f>
        <v>566706663.370489</v>
      </c>
      <c r="K13" s="33" t="n">
        <f aca="false">D13-I13</f>
        <v>0</v>
      </c>
      <c r="L13" s="33" t="n">
        <f aca="false">G13-J13</f>
        <v>0</v>
      </c>
      <c r="M13" s="33" t="n">
        <f aca="false">F13</f>
        <v>24126772.7984075</v>
      </c>
      <c r="N13" s="65" t="n">
        <f aca="false">$C$7</f>
        <v>0.0367281325015472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45130</v>
      </c>
      <c r="C14" s="39" t="n">
        <v>566706663.370489</v>
      </c>
      <c r="D14" s="39" t="n">
        <v>20814077.421781</v>
      </c>
      <c r="E14" s="39" t="n">
        <v>3312695.37662637</v>
      </c>
      <c r="F14" s="39" t="n">
        <v>24126772.7984074</v>
      </c>
      <c r="G14" s="39" t="n">
        <v>563393967.993863</v>
      </c>
      <c r="H14" s="33" t="n">
        <f aca="false">J13</f>
        <v>566706663.370489</v>
      </c>
      <c r="I14" s="33" t="n">
        <f aca="false">H14*N14</f>
        <v>20814077.421781</v>
      </c>
      <c r="J14" s="33" t="n">
        <f aca="false">H14+I14-F14</f>
        <v>563393967.993863</v>
      </c>
      <c r="K14" s="33" t="n">
        <f aca="false">D14-I14</f>
        <v>0</v>
      </c>
      <c r="L14" s="33" t="n">
        <f aca="false">G14-J14</f>
        <v>0</v>
      </c>
      <c r="M14" s="33" t="n">
        <f aca="false">F14</f>
        <v>24126772.7984074</v>
      </c>
      <c r="N14" s="65" t="n">
        <f aca="false">$C$7</f>
        <v>0.0367281325015472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45222</v>
      </c>
      <c r="C15" s="39" t="n">
        <v>563393967.993863</v>
      </c>
      <c r="D15" s="39" t="n">
        <v>20692408.307051</v>
      </c>
      <c r="E15" s="39" t="n">
        <v>3434364.49135637</v>
      </c>
      <c r="F15" s="39" t="n">
        <v>24126772.7984074</v>
      </c>
      <c r="G15" s="39" t="n">
        <v>559959603.502507</v>
      </c>
      <c r="H15" s="33" t="n">
        <f aca="false">J14</f>
        <v>563393967.993863</v>
      </c>
      <c r="I15" s="33" t="n">
        <f aca="false">H15*N15</f>
        <v>20692408.307051</v>
      </c>
      <c r="J15" s="33" t="n">
        <f aca="false">H15+I15-F15</f>
        <v>559959603.502507</v>
      </c>
      <c r="K15" s="33" t="n">
        <f aca="false">D15-I15</f>
        <v>0</v>
      </c>
      <c r="L15" s="33" t="n">
        <f aca="false">G15-J15</f>
        <v>0</v>
      </c>
      <c r="M15" s="33" t="n">
        <f aca="false">F15</f>
        <v>24126772.7984074</v>
      </c>
      <c r="N15" s="65" t="n">
        <f aca="false">$C$7</f>
        <v>0.0367281325015472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45314</v>
      </c>
      <c r="C16" s="39" t="n">
        <v>559959603.502507</v>
      </c>
      <c r="D16" s="39" t="n">
        <v>20566270.5129539</v>
      </c>
      <c r="E16" s="39" t="n">
        <v>3560502.28545356</v>
      </c>
      <c r="F16" s="39" t="n">
        <v>24126772.7984074</v>
      </c>
      <c r="G16" s="39" t="n">
        <v>556399101.217053</v>
      </c>
      <c r="H16" s="33" t="n">
        <f aca="false">J15</f>
        <v>559959603.502507</v>
      </c>
      <c r="I16" s="33" t="n">
        <f aca="false">H16*N16</f>
        <v>20566270.5129539</v>
      </c>
      <c r="J16" s="33" t="n">
        <f aca="false">H16+I16-F16</f>
        <v>556399101.217053</v>
      </c>
      <c r="K16" s="33" t="n">
        <f aca="false">D16-I16</f>
        <v>0</v>
      </c>
      <c r="L16" s="33" t="n">
        <f aca="false">G16-J16</f>
        <v>0</v>
      </c>
      <c r="M16" s="33" t="n">
        <f aca="false">F16</f>
        <v>24126772.7984074</v>
      </c>
      <c r="N16" s="65" t="n">
        <f aca="false">$C$7</f>
        <v>0.0367281325015472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45405</v>
      </c>
      <c r="C17" s="39" t="n">
        <v>556399101.217053</v>
      </c>
      <c r="D17" s="39" t="n">
        <v>20435499.9132417</v>
      </c>
      <c r="E17" s="39" t="n">
        <v>14692790.8786392</v>
      </c>
      <c r="F17" s="39" t="n">
        <v>35128290.7918809</v>
      </c>
      <c r="G17" s="39" t="n">
        <v>541706310.338414</v>
      </c>
      <c r="H17" s="33" t="n">
        <f aca="false">J16</f>
        <v>556399101.217053</v>
      </c>
      <c r="I17" s="33" t="n">
        <f aca="false">H17*N17</f>
        <v>20435499.9132417</v>
      </c>
      <c r="J17" s="33" t="n">
        <f aca="false">H17+I17-F17</f>
        <v>541706310.338414</v>
      </c>
      <c r="K17" s="33" t="n">
        <f aca="false">D17-I17</f>
        <v>0</v>
      </c>
      <c r="L17" s="33" t="n">
        <f aca="false">G17-J17</f>
        <v>0</v>
      </c>
      <c r="M17" s="33" t="n">
        <f aca="false">F17</f>
        <v>35128290.7918809</v>
      </c>
      <c r="N17" s="65" t="n">
        <f aca="false">$C$7</f>
        <v>0.0367281325015472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45496</v>
      </c>
      <c r="C18" s="39" t="n">
        <v>541706310.338414</v>
      </c>
      <c r="D18" s="39" t="n">
        <v>19895861.1430335</v>
      </c>
      <c r="E18" s="39" t="n">
        <v>15232429.6488473</v>
      </c>
      <c r="F18" s="39" t="n">
        <v>35128290.7918808</v>
      </c>
      <c r="G18" s="39" t="n">
        <v>526473880.689566</v>
      </c>
      <c r="H18" s="33" t="n">
        <f aca="false">J17</f>
        <v>541706310.338414</v>
      </c>
      <c r="I18" s="33" t="n">
        <f aca="false">H18*N18</f>
        <v>19895861.1430335</v>
      </c>
      <c r="J18" s="33" t="n">
        <f aca="false">H18+I18-F18</f>
        <v>526473880.689566</v>
      </c>
      <c r="K18" s="33" t="n">
        <f aca="false">D18-I18</f>
        <v>0</v>
      </c>
      <c r="L18" s="33" t="n">
        <f aca="false">G18-J18</f>
        <v>0</v>
      </c>
      <c r="M18" s="33" t="n">
        <f aca="false">F18</f>
        <v>35128290.7918808</v>
      </c>
      <c r="N18" s="65" t="n">
        <f aca="false">$C$7</f>
        <v>0.0367281325015472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45588</v>
      </c>
      <c r="C19" s="39" t="n">
        <v>526473880.689566</v>
      </c>
      <c r="D19" s="39" t="n">
        <v>19336402.4485701</v>
      </c>
      <c r="E19" s="39" t="n">
        <v>15791888.3433107</v>
      </c>
      <c r="F19" s="39" t="n">
        <v>35128290.7918808</v>
      </c>
      <c r="G19" s="39" t="n">
        <v>510681992.346256</v>
      </c>
      <c r="H19" s="33" t="n">
        <f aca="false">J18</f>
        <v>526473880.689566</v>
      </c>
      <c r="I19" s="33" t="n">
        <f aca="false">H19*N19</f>
        <v>19336402.4485701</v>
      </c>
      <c r="J19" s="33" t="n">
        <f aca="false">H19+I19-F19</f>
        <v>510681992.346256</v>
      </c>
      <c r="K19" s="33" t="n">
        <f aca="false">D19-I19</f>
        <v>0</v>
      </c>
      <c r="L19" s="33" t="n">
        <f aca="false">G19-J19</f>
        <v>0</v>
      </c>
      <c r="M19" s="33" t="n">
        <f aca="false">F19</f>
        <v>35128290.7918808</v>
      </c>
      <c r="N19" s="65" t="n">
        <f aca="false">$C$7</f>
        <v>0.0367281325015472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45680</v>
      </c>
      <c r="C20" s="39" t="n">
        <v>510681992.346256</v>
      </c>
      <c r="D20" s="39" t="n">
        <v>18756395.8810474</v>
      </c>
      <c r="E20" s="39" t="n">
        <v>16371894.9108335</v>
      </c>
      <c r="F20" s="39" t="n">
        <v>35128290.7918809</v>
      </c>
      <c r="G20" s="39" t="n">
        <v>494310097.435422</v>
      </c>
      <c r="H20" s="33" t="n">
        <f aca="false">J19</f>
        <v>510681992.346256</v>
      </c>
      <c r="I20" s="33" t="n">
        <f aca="false">H20*N20</f>
        <v>18756395.8810474</v>
      </c>
      <c r="J20" s="33" t="n">
        <f aca="false">H20+I20-F20</f>
        <v>494310097.435422</v>
      </c>
      <c r="K20" s="33" t="n">
        <f aca="false">D20-I20</f>
        <v>0</v>
      </c>
      <c r="L20" s="33" t="n">
        <f aca="false">G20-J20</f>
        <v>0</v>
      </c>
      <c r="M20" s="33" t="n">
        <f aca="false">F20</f>
        <v>35128290.7918809</v>
      </c>
      <c r="N20" s="65" t="n">
        <f aca="false">$C$7</f>
        <v>0.0367281325015472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45770</v>
      </c>
      <c r="C21" s="39" t="n">
        <v>494310097.435422</v>
      </c>
      <c r="D21" s="39" t="n">
        <v>18155086.7554609</v>
      </c>
      <c r="E21" s="39" t="n">
        <v>16973204.03642</v>
      </c>
      <c r="F21" s="39" t="n">
        <v>35128290.7918809</v>
      </c>
      <c r="G21" s="39" t="n">
        <v>477336893.399002</v>
      </c>
      <c r="H21" s="33" t="n">
        <f aca="false">J20</f>
        <v>494310097.435422</v>
      </c>
      <c r="I21" s="33" t="n">
        <f aca="false">H21*N21</f>
        <v>18155086.7554609</v>
      </c>
      <c r="J21" s="33" t="n">
        <f aca="false">H21+I21-F21</f>
        <v>477336893.399002</v>
      </c>
      <c r="K21" s="33" t="n">
        <f aca="false">D21-I21</f>
        <v>0</v>
      </c>
      <c r="L21" s="33" t="n">
        <f aca="false">G21-J21</f>
        <v>0</v>
      </c>
      <c r="M21" s="33" t="n">
        <f aca="false">F21</f>
        <v>35128290.7918809</v>
      </c>
      <c r="N21" s="65" t="n">
        <f aca="false">$C$7</f>
        <v>0.0367281325015472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45861</v>
      </c>
      <c r="C22" s="39" t="n">
        <v>477336893.399002</v>
      </c>
      <c r="D22" s="39" t="n">
        <v>17531692.6686355</v>
      </c>
      <c r="E22" s="39" t="n">
        <v>17596598.1232455</v>
      </c>
      <c r="F22" s="39" t="n">
        <v>35128290.7918809</v>
      </c>
      <c r="G22" s="39" t="n">
        <v>459740295.275757</v>
      </c>
      <c r="H22" s="33" t="n">
        <f aca="false">J21</f>
        <v>477336893.399002</v>
      </c>
      <c r="I22" s="33" t="n">
        <f aca="false">H22*N22</f>
        <v>17531692.6686354</v>
      </c>
      <c r="J22" s="33" t="n">
        <f aca="false">H22+I22-F22</f>
        <v>459740295.275757</v>
      </c>
      <c r="K22" s="33" t="n">
        <f aca="false">D22-I22</f>
        <v>0</v>
      </c>
      <c r="L22" s="33" t="n">
        <f aca="false">G22-J22</f>
        <v>0</v>
      </c>
      <c r="M22" s="33" t="n">
        <f aca="false">F22</f>
        <v>35128290.7918809</v>
      </c>
      <c r="N22" s="65" t="n">
        <f aca="false">$C$7</f>
        <v>0.0367281325015472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45953</v>
      </c>
      <c r="C23" s="39" t="n">
        <v>459740295.275757</v>
      </c>
      <c r="D23" s="39" t="n">
        <v>16885402.4811884</v>
      </c>
      <c r="E23" s="39" t="n">
        <v>18242888.3106924</v>
      </c>
      <c r="F23" s="39" t="n">
        <v>35128290.7918808</v>
      </c>
      <c r="G23" s="39" t="n">
        <v>441497406.965064</v>
      </c>
      <c r="H23" s="33" t="n">
        <f aca="false">J22</f>
        <v>459740295.275757</v>
      </c>
      <c r="I23" s="33" t="n">
        <f aca="false">H23*N23</f>
        <v>16885402.4811884</v>
      </c>
      <c r="J23" s="33" t="n">
        <f aca="false">H23+I23-F23</f>
        <v>441497406.965064</v>
      </c>
      <c r="K23" s="33" t="n">
        <f aca="false">D23-I23</f>
        <v>0</v>
      </c>
      <c r="L23" s="33" t="n">
        <f aca="false">G23-J23</f>
        <v>0</v>
      </c>
      <c r="M23" s="33" t="n">
        <f aca="false">F23</f>
        <v>35128290.7918808</v>
      </c>
      <c r="N23" s="65" t="n">
        <f aca="false">$C$7</f>
        <v>0.0367281325015472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46045</v>
      </c>
      <c r="C24" s="39" t="n">
        <v>441497406.965064</v>
      </c>
      <c r="D24" s="39" t="n">
        <v>16215375.2621024</v>
      </c>
      <c r="E24" s="39" t="n">
        <v>18912915.5297785</v>
      </c>
      <c r="F24" s="39" t="n">
        <v>35128290.7918809</v>
      </c>
      <c r="G24" s="39" t="n">
        <v>422584491.435286</v>
      </c>
      <c r="H24" s="33" t="n">
        <f aca="false">J23</f>
        <v>441497406.965064</v>
      </c>
      <c r="I24" s="33" t="n">
        <f aca="false">H24*N24</f>
        <v>16215375.2621024</v>
      </c>
      <c r="J24" s="33" t="n">
        <f aca="false">H24+I24-F24</f>
        <v>422584491.435286</v>
      </c>
      <c r="K24" s="33" t="n">
        <f aca="false">D24-I24</f>
        <v>0</v>
      </c>
      <c r="L24" s="33" t="n">
        <f aca="false">G24-J24</f>
        <v>0</v>
      </c>
      <c r="M24" s="33" t="n">
        <f aca="false">F24</f>
        <v>35128290.7918809</v>
      </c>
      <c r="N24" s="65" t="n">
        <f aca="false">$C$7</f>
        <v>0.0367281325015472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46135</v>
      </c>
      <c r="C25" s="39" t="n">
        <v>422584491.435286</v>
      </c>
      <c r="D25" s="39" t="n">
        <v>15520739.1945341</v>
      </c>
      <c r="E25" s="39" t="n">
        <v>19607551.5973468</v>
      </c>
      <c r="F25" s="39" t="n">
        <v>35128290.7918809</v>
      </c>
      <c r="G25" s="39" t="n">
        <v>402976939.837939</v>
      </c>
      <c r="H25" s="33" t="n">
        <f aca="false">J24</f>
        <v>422584491.435286</v>
      </c>
      <c r="I25" s="33" t="n">
        <f aca="false">H25*N25</f>
        <v>15520739.1945341</v>
      </c>
      <c r="J25" s="33" t="n">
        <f aca="false">H25+I25-F25</f>
        <v>402976939.837939</v>
      </c>
      <c r="K25" s="33" t="n">
        <f aca="false">D25-I25</f>
        <v>0</v>
      </c>
      <c r="L25" s="33" t="n">
        <f aca="false">G25-J25</f>
        <v>0</v>
      </c>
      <c r="M25" s="33" t="n">
        <f aca="false">F25</f>
        <v>35128290.7918809</v>
      </c>
      <c r="N25" s="65" t="n">
        <f aca="false">$C$7</f>
        <v>0.0367281325015472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46226</v>
      </c>
      <c r="C26" s="39" t="n">
        <v>402976939.837939</v>
      </c>
      <c r="D26" s="39" t="n">
        <v>14800590.4414358</v>
      </c>
      <c r="E26" s="39" t="n">
        <v>20327700.350445</v>
      </c>
      <c r="F26" s="39" t="n">
        <v>35128290.7918809</v>
      </c>
      <c r="G26" s="39" t="n">
        <v>382649239.487494</v>
      </c>
      <c r="H26" s="33" t="n">
        <f aca="false">J25</f>
        <v>402976939.837939</v>
      </c>
      <c r="I26" s="33" t="n">
        <f aca="false">H26*N26</f>
        <v>14800590.4414358</v>
      </c>
      <c r="J26" s="33" t="n">
        <f aca="false">H26+I26-F26</f>
        <v>382649239.487494</v>
      </c>
      <c r="K26" s="33" t="n">
        <f aca="false">D26-I26</f>
        <v>0</v>
      </c>
      <c r="L26" s="33" t="n">
        <f aca="false">G26-J26</f>
        <v>0</v>
      </c>
      <c r="M26" s="33" t="n">
        <f aca="false">F26</f>
        <v>35128290.7918809</v>
      </c>
      <c r="N26" s="65" t="n">
        <f aca="false">$C$7</f>
        <v>0.0367281325015472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46318</v>
      </c>
      <c r="C27" s="39" t="n">
        <v>382649239.487494</v>
      </c>
      <c r="D27" s="39" t="n">
        <v>14053991.9695129</v>
      </c>
      <c r="E27" s="39" t="n">
        <v>21074298.8223679</v>
      </c>
      <c r="F27" s="39" t="n">
        <v>35128290.7918808</v>
      </c>
      <c r="G27" s="39" t="n">
        <v>361574940.665126</v>
      </c>
      <c r="H27" s="33" t="n">
        <f aca="false">J26</f>
        <v>382649239.487494</v>
      </c>
      <c r="I27" s="33" t="n">
        <f aca="false">H27*N27</f>
        <v>14053991.9695129</v>
      </c>
      <c r="J27" s="33" t="n">
        <f aca="false">H27+I27-F27</f>
        <v>361574940.665126</v>
      </c>
      <c r="K27" s="33" t="n">
        <f aca="false">D27-I27</f>
        <v>0</v>
      </c>
      <c r="L27" s="33" t="n">
        <f aca="false">G27-J27</f>
        <v>0</v>
      </c>
      <c r="M27" s="33" t="n">
        <f aca="false">F27</f>
        <v>35128290.7918808</v>
      </c>
      <c r="N27" s="65" t="n">
        <f aca="false">$C$7</f>
        <v>0.0367281325015472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46410</v>
      </c>
      <c r="C28" s="39" t="n">
        <v>361574940.665126</v>
      </c>
      <c r="D28" s="39" t="n">
        <v>13279972.3299878</v>
      </c>
      <c r="E28" s="39" t="n">
        <v>21848318.4618931</v>
      </c>
      <c r="F28" s="39" t="n">
        <v>35128290.7918809</v>
      </c>
      <c r="G28" s="39" t="n">
        <v>339726622.203233</v>
      </c>
      <c r="H28" s="33" t="n">
        <f aca="false">J27</f>
        <v>361574940.665126</v>
      </c>
      <c r="I28" s="33" t="n">
        <f aca="false">H28*N28</f>
        <v>13279972.3299878</v>
      </c>
      <c r="J28" s="33" t="n">
        <f aca="false">H28+I28-F28</f>
        <v>339726622.203233</v>
      </c>
      <c r="K28" s="33" t="n">
        <f aca="false">D28-I28</f>
        <v>0</v>
      </c>
      <c r="L28" s="33" t="n">
        <f aca="false">G28-J28</f>
        <v>0</v>
      </c>
      <c r="M28" s="33" t="n">
        <f aca="false">F28</f>
        <v>35128290.7918809</v>
      </c>
      <c r="N28" s="65" t="n">
        <f aca="false">$C$7</f>
        <v>0.0367281325015472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46500</v>
      </c>
      <c r="C29" s="39" t="n">
        <v>339726622.203233</v>
      </c>
      <c r="D29" s="39" t="n">
        <v>12477524.3945834</v>
      </c>
      <c r="E29" s="39" t="n">
        <v>22650766.3972975</v>
      </c>
      <c r="F29" s="39" t="n">
        <v>35128290.7918809</v>
      </c>
      <c r="G29" s="39" t="n">
        <v>317075855.805936</v>
      </c>
      <c r="H29" s="33" t="n">
        <f aca="false">J28</f>
        <v>339726622.203233</v>
      </c>
      <c r="I29" s="33" t="n">
        <f aca="false">H29*N29</f>
        <v>12477524.3945834</v>
      </c>
      <c r="J29" s="33" t="n">
        <f aca="false">H29+I29-F29</f>
        <v>317075855.805936</v>
      </c>
      <c r="K29" s="33" t="n">
        <f aca="false">D29-I29</f>
        <v>0</v>
      </c>
      <c r="L29" s="33" t="n">
        <f aca="false">G29-J29</f>
        <v>0</v>
      </c>
      <c r="M29" s="33" t="n">
        <f aca="false">F29</f>
        <v>35128290.7918809</v>
      </c>
      <c r="N29" s="65" t="n">
        <f aca="false">$C$7</f>
        <v>0.0367281325015472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46591</v>
      </c>
      <c r="C30" s="39" t="n">
        <v>317075855.805936</v>
      </c>
      <c r="D30" s="39" t="n">
        <v>11645604.0450819</v>
      </c>
      <c r="E30" s="39" t="n">
        <v>23482686.746799</v>
      </c>
      <c r="F30" s="39" t="n">
        <v>35128290.7918809</v>
      </c>
      <c r="G30" s="39" t="n">
        <v>293593169.059137</v>
      </c>
      <c r="H30" s="33" t="n">
        <f aca="false">J29</f>
        <v>317075855.805936</v>
      </c>
      <c r="I30" s="33" t="n">
        <f aca="false">H30*N30</f>
        <v>11645604.0450819</v>
      </c>
      <c r="J30" s="33" t="n">
        <f aca="false">H30+I30-F30</f>
        <v>293593169.059137</v>
      </c>
      <c r="K30" s="33" t="n">
        <f aca="false">D30-I30</f>
        <v>0</v>
      </c>
      <c r="L30" s="33" t="n">
        <f aca="false">G30-J30</f>
        <v>0</v>
      </c>
      <c r="M30" s="33" t="n">
        <f aca="false">F30</f>
        <v>35128290.7918809</v>
      </c>
      <c r="N30" s="65" t="n">
        <f aca="false">$C$7</f>
        <v>0.0367281325015472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46683</v>
      </c>
      <c r="C31" s="39" t="n">
        <v>293593169.059137</v>
      </c>
      <c r="D31" s="39" t="n">
        <v>10783128.8147531</v>
      </c>
      <c r="E31" s="39" t="n">
        <v>24345161.9771278</v>
      </c>
      <c r="F31" s="39" t="n">
        <v>35128290.7918809</v>
      </c>
      <c r="G31" s="39" t="n">
        <v>269248007.082009</v>
      </c>
      <c r="H31" s="33" t="n">
        <f aca="false">J30</f>
        <v>293593169.059137</v>
      </c>
      <c r="I31" s="33" t="n">
        <f aca="false">H31*N31</f>
        <v>10783128.8147531</v>
      </c>
      <c r="J31" s="33" t="n">
        <f aca="false">H31+I31-F31</f>
        <v>269248007.082009</v>
      </c>
      <c r="K31" s="33" t="n">
        <f aca="false">D31-I31</f>
        <v>0</v>
      </c>
      <c r="L31" s="33" t="n">
        <f aca="false">G31-J31</f>
        <v>0</v>
      </c>
      <c r="M31" s="33" t="n">
        <f aca="false">F31</f>
        <v>35128290.7918809</v>
      </c>
      <c r="N31" s="65" t="n">
        <f aca="false">$C$7</f>
        <v>0.0367281325015472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46775</v>
      </c>
      <c r="C32" s="39" t="n">
        <v>269248007.082009</v>
      </c>
      <c r="D32" s="39" t="n">
        <v>9888976.47988552</v>
      </c>
      <c r="E32" s="39" t="n">
        <v>25239314.3119954</v>
      </c>
      <c r="F32" s="39" t="n">
        <v>35128290.7918809</v>
      </c>
      <c r="G32" s="39" t="n">
        <v>244008692.770013</v>
      </c>
      <c r="H32" s="33" t="n">
        <f aca="false">J31</f>
        <v>269248007.082009</v>
      </c>
      <c r="I32" s="33" t="n">
        <f aca="false">H32*N32</f>
        <v>9888976.47988552</v>
      </c>
      <c r="J32" s="33" t="n">
        <f aca="false">H32+I32-F32</f>
        <v>244008692.770013</v>
      </c>
      <c r="K32" s="33" t="n">
        <f aca="false">D32-I32</f>
        <v>0</v>
      </c>
      <c r="L32" s="33" t="n">
        <f aca="false">G32-J32</f>
        <v>0</v>
      </c>
      <c r="M32" s="33" t="n">
        <f aca="false">F32</f>
        <v>35128290.7918809</v>
      </c>
      <c r="N32" s="65" t="n">
        <f aca="false">$C$7</f>
        <v>0.0367281325015472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46866</v>
      </c>
      <c r="C33" s="39" t="n">
        <v>244008692.770013</v>
      </c>
      <c r="D33" s="39" t="n">
        <v>8961983.59958636</v>
      </c>
      <c r="E33" s="39" t="n">
        <v>26166307.1922945</v>
      </c>
      <c r="F33" s="39" t="n">
        <v>35128290.7918809</v>
      </c>
      <c r="G33" s="39" t="n">
        <v>217842385.577719</v>
      </c>
      <c r="H33" s="33" t="n">
        <f aca="false">J32</f>
        <v>244008692.770013</v>
      </c>
      <c r="I33" s="33" t="n">
        <f aca="false">H33*N33</f>
        <v>8961983.59958636</v>
      </c>
      <c r="J33" s="33" t="n">
        <f aca="false">H33+I33-F33</f>
        <v>217842385.577719</v>
      </c>
      <c r="K33" s="33" t="n">
        <f aca="false">D33-I33</f>
        <v>0</v>
      </c>
      <c r="L33" s="33" t="n">
        <f aca="false">G33-J33</f>
        <v>0</v>
      </c>
      <c r="M33" s="33" t="n">
        <f aca="false">F33</f>
        <v>35128290.7918809</v>
      </c>
      <c r="N33" s="65" t="n">
        <f aca="false">$C$7</f>
        <v>0.0367281325015472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46957</v>
      </c>
      <c r="C34" s="39" t="n">
        <v>217842385.577719</v>
      </c>
      <c r="D34" s="39" t="n">
        <v>8000944.00195159</v>
      </c>
      <c r="E34" s="39" t="n">
        <v>27127346.7899293</v>
      </c>
      <c r="F34" s="39" t="n">
        <v>35128290.7918809</v>
      </c>
      <c r="G34" s="39" t="n">
        <v>190715038.78779</v>
      </c>
      <c r="H34" s="33" t="n">
        <f aca="false">J33</f>
        <v>217842385.577719</v>
      </c>
      <c r="I34" s="33" t="n">
        <f aca="false">H34*N34</f>
        <v>8000944.00195159</v>
      </c>
      <c r="J34" s="33" t="n">
        <f aca="false">H34+I34-F34</f>
        <v>190715038.78779</v>
      </c>
      <c r="K34" s="33" t="n">
        <f aca="false">D34-I34</f>
        <v>0</v>
      </c>
      <c r="L34" s="33" t="n">
        <f aca="false">G34-J34</f>
        <v>0</v>
      </c>
      <c r="M34" s="33" t="n">
        <f aca="false">F34</f>
        <v>35128290.7918809</v>
      </c>
      <c r="N34" s="65" t="n">
        <f aca="false">$C$7</f>
        <v>0.0367281325015472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47049</v>
      </c>
      <c r="C35" s="39" t="n">
        <v>190715038.78779</v>
      </c>
      <c r="D35" s="39" t="n">
        <v>7004607.21463564</v>
      </c>
      <c r="E35" s="39" t="n">
        <v>28123683.5772452</v>
      </c>
      <c r="F35" s="39" t="n">
        <v>35128290.7918809</v>
      </c>
      <c r="G35" s="39" t="n">
        <v>162591355.210544</v>
      </c>
      <c r="H35" s="33" t="n">
        <f aca="false">J34</f>
        <v>190715038.78779</v>
      </c>
      <c r="I35" s="33" t="n">
        <f aca="false">H35*N35</f>
        <v>7004607.21463564</v>
      </c>
      <c r="J35" s="33" t="n">
        <f aca="false">H35+I35-F35</f>
        <v>162591355.210544</v>
      </c>
      <c r="K35" s="33" t="n">
        <f aca="false">D35-I35</f>
        <v>0</v>
      </c>
      <c r="L35" s="33" t="n">
        <f aca="false">G35-J35</f>
        <v>0</v>
      </c>
      <c r="M35" s="33" t="n">
        <f aca="false">F35</f>
        <v>35128290.7918809</v>
      </c>
      <c r="N35" s="65" t="n">
        <f aca="false">$C$7</f>
        <v>0.0367281325015472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47141</v>
      </c>
      <c r="C36" s="39" t="n">
        <v>162591355.210544</v>
      </c>
      <c r="D36" s="39" t="n">
        <v>5971676.83777899</v>
      </c>
      <c r="E36" s="39" t="n">
        <v>29156613.9541019</v>
      </c>
      <c r="F36" s="39" t="n">
        <v>35128290.7918809</v>
      </c>
      <c r="G36" s="39" t="n">
        <v>133434741.256442</v>
      </c>
      <c r="H36" s="33" t="n">
        <f aca="false">J35</f>
        <v>162591355.210544</v>
      </c>
      <c r="I36" s="33" t="n">
        <f aca="false">H36*N36</f>
        <v>5971676.83777899</v>
      </c>
      <c r="J36" s="33" t="n">
        <f aca="false">H36+I36-F36</f>
        <v>133434741.256442</v>
      </c>
      <c r="K36" s="33" t="n">
        <f aca="false">D36-I36</f>
        <v>0</v>
      </c>
      <c r="L36" s="33" t="n">
        <f aca="false">G36-J36</f>
        <v>0</v>
      </c>
      <c r="M36" s="33" t="n">
        <f aca="false">F36</f>
        <v>35128290.7918809</v>
      </c>
      <c r="N36" s="65" t="n">
        <f aca="false">$C$7</f>
        <v>0.0367281325015472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47231</v>
      </c>
      <c r="C37" s="39" t="n">
        <v>133434741.256442</v>
      </c>
      <c r="D37" s="39" t="n">
        <v>4900808.85717628</v>
      </c>
      <c r="E37" s="39" t="n">
        <v>30227481.9347046</v>
      </c>
      <c r="F37" s="39" t="n">
        <v>35128290.7918809</v>
      </c>
      <c r="G37" s="39" t="n">
        <v>103207259.321738</v>
      </c>
      <c r="H37" s="33" t="n">
        <f aca="false">J36</f>
        <v>133434741.256442</v>
      </c>
      <c r="I37" s="33" t="n">
        <f aca="false">H37*N37</f>
        <v>4900808.85717628</v>
      </c>
      <c r="J37" s="33" t="n">
        <f aca="false">H37+I37-F37</f>
        <v>103207259.321738</v>
      </c>
      <c r="K37" s="33" t="n">
        <f aca="false">D37-I37</f>
        <v>0</v>
      </c>
      <c r="L37" s="33" t="n">
        <f aca="false">G37-J37</f>
        <v>0</v>
      </c>
      <c r="M37" s="33" t="n">
        <f aca="false">F37</f>
        <v>35128290.7918809</v>
      </c>
      <c r="N37" s="65" t="n">
        <f aca="false">$C$7</f>
        <v>0.0367281325015472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47322</v>
      </c>
      <c r="C38" s="39" t="n">
        <v>103207259.321738</v>
      </c>
      <c r="D38" s="39" t="n">
        <v>3790609.89549033</v>
      </c>
      <c r="E38" s="39" t="n">
        <v>31337680.8963906</v>
      </c>
      <c r="F38" s="39" t="n">
        <v>35128290.7918809</v>
      </c>
      <c r="G38" s="39" t="n">
        <v>71869578.4253473</v>
      </c>
      <c r="H38" s="33" t="n">
        <f aca="false">J37</f>
        <v>103207259.321738</v>
      </c>
      <c r="I38" s="33" t="n">
        <f aca="false">H38*N38</f>
        <v>3790609.89549033</v>
      </c>
      <c r="J38" s="33" t="n">
        <f aca="false">H38+I38-F38</f>
        <v>71869578.4253473</v>
      </c>
      <c r="K38" s="33" t="n">
        <f aca="false">D38-I38</f>
        <v>0</v>
      </c>
      <c r="L38" s="33" t="n">
        <f aca="false">G38-J38</f>
        <v>0</v>
      </c>
      <c r="M38" s="33" t="n">
        <f aca="false">F38</f>
        <v>35128290.7918809</v>
      </c>
      <c r="N38" s="65" t="n">
        <f aca="false">$C$7</f>
        <v>0.0367281325015472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47414</v>
      </c>
      <c r="C39" s="39" t="n">
        <v>71869578.4253473</v>
      </c>
      <c r="D39" s="39" t="n">
        <v>2639635.39923649</v>
      </c>
      <c r="E39" s="39" t="n">
        <v>32488655.3926444</v>
      </c>
      <c r="F39" s="39" t="n">
        <v>35128290.7918809</v>
      </c>
      <c r="G39" s="39" t="n">
        <v>39380923.0327029</v>
      </c>
      <c r="H39" s="33" t="n">
        <f aca="false">J38</f>
        <v>71869578.4253473</v>
      </c>
      <c r="I39" s="33" t="n">
        <f aca="false">H39*N39</f>
        <v>2639635.39923649</v>
      </c>
      <c r="J39" s="33" t="n">
        <f aca="false">H39+I39-F39</f>
        <v>39380923.0327029</v>
      </c>
      <c r="K39" s="33" t="n">
        <f aca="false">D39-I39</f>
        <v>0</v>
      </c>
      <c r="L39" s="33" t="n">
        <f aca="false">G39-J39</f>
        <v>0</v>
      </c>
      <c r="M39" s="33" t="n">
        <f aca="false">F39</f>
        <v>35128290.7918809</v>
      </c>
      <c r="N39" s="65" t="n">
        <f aca="false">$C$7</f>
        <v>0.0367281325015472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47506</v>
      </c>
      <c r="C40" s="39" t="n">
        <v>39380923.0327029</v>
      </c>
      <c r="D40" s="39" t="n">
        <v>1446387.75917834</v>
      </c>
      <c r="E40" s="39" t="n">
        <v>39380923.0327025</v>
      </c>
      <c r="F40" s="39" t="n">
        <v>40827310.7918809</v>
      </c>
      <c r="G40" s="39" t="n">
        <v>3.42726707458496E-007</v>
      </c>
      <c r="H40" s="33" t="n">
        <f aca="false">J39</f>
        <v>39380923.0327029</v>
      </c>
      <c r="I40" s="33" t="n">
        <f aca="false">H40*N40</f>
        <v>1446387.75917834</v>
      </c>
      <c r="J40" s="33" t="n">
        <f aca="false">H40+I40-F40</f>
        <v>3.27825546264648E-007</v>
      </c>
      <c r="K40" s="33" t="n">
        <f aca="false">D40-I40</f>
        <v>0</v>
      </c>
      <c r="L40" s="33" t="n">
        <f aca="false">G40-J40</f>
        <v>1.49011611938477E-008</v>
      </c>
      <c r="M40" s="33" t="n">
        <f aca="false">F40</f>
        <v>40827310.7918809</v>
      </c>
      <c r="N40" s="65" t="n">
        <f aca="false">$C$7</f>
        <v>0.0367281325015472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1833</v>
      </c>
    </row>
    <row r="2" customFormat="false" ht="15" hidden="false" customHeight="false" outlineLevel="0" collapsed="false">
      <c r="A2" s="24" t="s">
        <v>1834</v>
      </c>
    </row>
    <row r="3" customFormat="false" ht="15" hidden="false" customHeight="false" outlineLevel="0" collapsed="false">
      <c r="A3" s="34" t="s">
        <v>1748</v>
      </c>
      <c r="C3" s="38" t="s">
        <v>1835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1622075804</v>
      </c>
      <c r="F4" s="26" t="s">
        <v>1752</v>
      </c>
      <c r="I4" s="57" t="n">
        <f aca="false">_xlfn.MAXIFS($B$12:$B$36,$B$12:$B$36,"&lt;="&amp;Resumen!$C$5)</f>
        <v>46225</v>
      </c>
    </row>
    <row r="5" customFormat="false" ht="15" hidden="false" customHeight="false" outlineLevel="0" collapsed="false">
      <c r="A5" s="34" t="s">
        <v>1753</v>
      </c>
      <c r="C5" s="27" t="n">
        <v>44764</v>
      </c>
      <c r="F5" s="26" t="s">
        <v>1754</v>
      </c>
      <c r="I5" s="58" t="n">
        <f aca="false">SUMIFS($G$12:$G$36,$B$12:$B$36,I4)</f>
        <v>968620472.418459</v>
      </c>
    </row>
    <row r="6" customFormat="false" ht="15" hidden="false" customHeight="false" outlineLevel="0" collapsed="false">
      <c r="A6" s="34" t="s">
        <v>1755</v>
      </c>
      <c r="C6" s="38" t="s">
        <v>1836</v>
      </c>
      <c r="F6" s="26" t="s">
        <v>1757</v>
      </c>
      <c r="I6" s="33" t="n">
        <f aca="false">SUMIFS($J$12:$J$36,$B$12:$B$36,I4)</f>
        <v>968620472.418459</v>
      </c>
    </row>
    <row r="7" customFormat="false" ht="15" hidden="false" customHeight="false" outlineLevel="0" collapsed="false">
      <c r="A7" s="34" t="s">
        <v>1758</v>
      </c>
      <c r="C7" s="64" t="n">
        <v>0.0318904961505968</v>
      </c>
      <c r="F7" s="26" t="s">
        <v>1759</v>
      </c>
      <c r="I7" s="33" t="n">
        <f aca="false">SUMIFS($D$12:$D$36,$O$12:$O$36,1)</f>
        <v>104728442.4778</v>
      </c>
    </row>
    <row r="8" customFormat="false" ht="15" hidden="false" customHeight="false" outlineLevel="0" collapsed="false">
      <c r="A8" s="34" t="s">
        <v>1760</v>
      </c>
      <c r="C8" s="65" t="n">
        <f aca="false">IFERROR(IRR($M$12:$M$36),"N/A")</f>
        <v>0.0318904961505969</v>
      </c>
      <c r="F8" s="26" t="s">
        <v>1761</v>
      </c>
      <c r="I8" s="33" t="n">
        <f aca="false">SUMIFS($E$12:$E$36,$P$12:$P$36,1)</f>
        <v>278537651.756876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0.133794772383417</v>
      </c>
      <c r="F9" s="26" t="s">
        <v>1763</v>
      </c>
      <c r="I9" s="33" t="n">
        <f aca="false">SUMPRODUCT(MAX(ABS($L$12:$L$36)))</f>
        <v>1.9371509552002E-007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44764</v>
      </c>
      <c r="C12" s="39"/>
      <c r="D12" s="39" t="n">
        <v>0</v>
      </c>
      <c r="E12" s="39" t="n">
        <v>0</v>
      </c>
      <c r="F12" s="39" t="n">
        <v>0</v>
      </c>
      <c r="G12" s="39" t="n">
        <v>1622075804</v>
      </c>
      <c r="H12" s="33" t="n">
        <f aca="false">G12</f>
        <v>1622075804</v>
      </c>
      <c r="I12" s="33" t="n">
        <v>0</v>
      </c>
      <c r="J12" s="33" t="n">
        <f aca="false">H12</f>
        <v>1622075804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-1622075804</v>
      </c>
      <c r="N12" s="65" t="n">
        <f aca="false">$C$7</f>
        <v>0.0318904961505968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45221</v>
      </c>
      <c r="C13" s="39" t="n">
        <v>1622075804</v>
      </c>
      <c r="D13" s="39" t="n">
        <v>51728802.1834382</v>
      </c>
      <c r="E13" s="39" t="n">
        <v>45551500.7741406</v>
      </c>
      <c r="F13" s="39" t="n">
        <v>97280302.9575788</v>
      </c>
      <c r="G13" s="39" t="n">
        <v>1576524303.22586</v>
      </c>
      <c r="H13" s="33" t="n">
        <f aca="false">J12</f>
        <v>1622075804</v>
      </c>
      <c r="I13" s="33" t="n">
        <f aca="false">H13*N13</f>
        <v>51728802.1834382</v>
      </c>
      <c r="J13" s="33" t="n">
        <f aca="false">H13+I13-F13</f>
        <v>1576524303.22586</v>
      </c>
      <c r="K13" s="33" t="n">
        <f aca="false">D13-I13</f>
        <v>0</v>
      </c>
      <c r="L13" s="33" t="n">
        <f aca="false">G13-J13</f>
        <v>0</v>
      </c>
      <c r="M13" s="33" t="n">
        <f aca="false">F13</f>
        <v>97280302.9575788</v>
      </c>
      <c r="N13" s="65" t="n">
        <f aca="false">$C$7</f>
        <v>0.0318904961505968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45313</v>
      </c>
      <c r="C14" s="39" t="n">
        <v>1576524303.22586</v>
      </c>
      <c r="D14" s="39" t="n">
        <v>50276142.2233466</v>
      </c>
      <c r="E14" s="39" t="n">
        <v>47004160.7342324</v>
      </c>
      <c r="F14" s="39" t="n">
        <v>97280302.957579</v>
      </c>
      <c r="G14" s="39" t="n">
        <v>1529520142.49163</v>
      </c>
      <c r="H14" s="33" t="n">
        <f aca="false">J13</f>
        <v>1576524303.22586</v>
      </c>
      <c r="I14" s="33" t="n">
        <f aca="false">H14*N14</f>
        <v>50276142.2233466</v>
      </c>
      <c r="J14" s="33" t="n">
        <f aca="false">H14+I14-F14</f>
        <v>1529520142.49163</v>
      </c>
      <c r="K14" s="33" t="n">
        <f aca="false">D14-I14</f>
        <v>0</v>
      </c>
      <c r="L14" s="33" t="n">
        <f aca="false">G14-J14</f>
        <v>0</v>
      </c>
      <c r="M14" s="33" t="n">
        <f aca="false">F14</f>
        <v>97280302.957579</v>
      </c>
      <c r="N14" s="65" t="n">
        <f aca="false">$C$7</f>
        <v>0.0318904961505968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45404</v>
      </c>
      <c r="C15" s="39" t="n">
        <v>1529520142.49163</v>
      </c>
      <c r="D15" s="39" t="n">
        <v>48777156.2163895</v>
      </c>
      <c r="E15" s="39" t="n">
        <v>48503146.7411895</v>
      </c>
      <c r="F15" s="39" t="n">
        <v>97280302.957579</v>
      </c>
      <c r="G15" s="39" t="n">
        <v>1481016995.75044</v>
      </c>
      <c r="H15" s="33" t="n">
        <f aca="false">J14</f>
        <v>1529520142.49163</v>
      </c>
      <c r="I15" s="33" t="n">
        <f aca="false">H15*N15</f>
        <v>48777156.2163895</v>
      </c>
      <c r="J15" s="33" t="n">
        <f aca="false">H15+I15-F15</f>
        <v>1481016995.75044</v>
      </c>
      <c r="K15" s="33" t="n">
        <f aca="false">D15-I15</f>
        <v>0</v>
      </c>
      <c r="L15" s="33" t="n">
        <f aca="false">G15-J15</f>
        <v>0</v>
      </c>
      <c r="M15" s="33" t="n">
        <f aca="false">F15</f>
        <v>97280302.957579</v>
      </c>
      <c r="N15" s="65" t="n">
        <f aca="false">$C$7</f>
        <v>0.0318904961505968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45495</v>
      </c>
      <c r="C16" s="39" t="n">
        <v>1481016995.75044</v>
      </c>
      <c r="D16" s="39" t="n">
        <v>47230366.8019478</v>
      </c>
      <c r="E16" s="39" t="n">
        <v>50049936.1556311</v>
      </c>
      <c r="F16" s="39" t="n">
        <v>97280302.9575788</v>
      </c>
      <c r="G16" s="39" t="n">
        <v>1430967059.59481</v>
      </c>
      <c r="H16" s="33" t="n">
        <f aca="false">J15</f>
        <v>1481016995.75044</v>
      </c>
      <c r="I16" s="33" t="n">
        <f aca="false">H16*N16</f>
        <v>47230366.8019478</v>
      </c>
      <c r="J16" s="33" t="n">
        <f aca="false">H16+I16-F16</f>
        <v>1430967059.59481</v>
      </c>
      <c r="K16" s="33" t="n">
        <f aca="false">D16-I16</f>
        <v>0</v>
      </c>
      <c r="L16" s="33" t="n">
        <f aca="false">G16-J16</f>
        <v>0</v>
      </c>
      <c r="M16" s="33" t="n">
        <f aca="false">F16</f>
        <v>97280302.9575788</v>
      </c>
      <c r="N16" s="65" t="n">
        <f aca="false">$C$7</f>
        <v>0.0318904961505968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45587</v>
      </c>
      <c r="C17" s="39" t="n">
        <v>1430967059.59481</v>
      </c>
      <c r="D17" s="39" t="n">
        <v>45634249.505639</v>
      </c>
      <c r="E17" s="39" t="n">
        <v>51646053.4519398</v>
      </c>
      <c r="F17" s="39" t="n">
        <v>97280302.9575788</v>
      </c>
      <c r="G17" s="39" t="n">
        <v>1379321006.14287</v>
      </c>
      <c r="H17" s="33" t="n">
        <f aca="false">J16</f>
        <v>1430967059.59481</v>
      </c>
      <c r="I17" s="33" t="n">
        <f aca="false">H17*N17</f>
        <v>45634249.505639</v>
      </c>
      <c r="J17" s="33" t="n">
        <f aca="false">H17+I17-F17</f>
        <v>1379321006.14287</v>
      </c>
      <c r="K17" s="33" t="n">
        <f aca="false">D17-I17</f>
        <v>0</v>
      </c>
      <c r="L17" s="33" t="n">
        <f aca="false">G17-J17</f>
        <v>0</v>
      </c>
      <c r="M17" s="33" t="n">
        <f aca="false">F17</f>
        <v>97280302.9575788</v>
      </c>
      <c r="N17" s="65" t="n">
        <f aca="false">$C$7</f>
        <v>0.0318904961505968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45679</v>
      </c>
      <c r="C18" s="39" t="n">
        <v>1379321006.14287</v>
      </c>
      <c r="D18" s="39" t="n">
        <v>43987231.2368364</v>
      </c>
      <c r="E18" s="39" t="n">
        <v>53293071.7207425</v>
      </c>
      <c r="F18" s="39" t="n">
        <v>97280302.9575789</v>
      </c>
      <c r="G18" s="39" t="n">
        <v>1326027934.42212</v>
      </c>
      <c r="H18" s="33" t="n">
        <f aca="false">J17</f>
        <v>1379321006.14287</v>
      </c>
      <c r="I18" s="33" t="n">
        <f aca="false">H18*N18</f>
        <v>43987231.2368364</v>
      </c>
      <c r="J18" s="33" t="n">
        <f aca="false">H18+I18-F18</f>
        <v>1326027934.42212</v>
      </c>
      <c r="K18" s="33" t="n">
        <f aca="false">D18-I18</f>
        <v>0</v>
      </c>
      <c r="L18" s="33" t="n">
        <f aca="false">G18-J18</f>
        <v>0</v>
      </c>
      <c r="M18" s="33" t="n">
        <f aca="false">F18</f>
        <v>97280302.9575789</v>
      </c>
      <c r="N18" s="65" t="n">
        <f aca="false">$C$7</f>
        <v>0.0318904961505968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45769</v>
      </c>
      <c r="C19" s="39" t="n">
        <v>1326027934.42212</v>
      </c>
      <c r="D19" s="39" t="n">
        <v>42287688.7382726</v>
      </c>
      <c r="E19" s="39" t="n">
        <v>54992614.2193062</v>
      </c>
      <c r="F19" s="39" t="n">
        <v>97280302.9575788</v>
      </c>
      <c r="G19" s="39" t="n">
        <v>1271035320.20282</v>
      </c>
      <c r="H19" s="33" t="n">
        <f aca="false">J18</f>
        <v>1326027934.42212</v>
      </c>
      <c r="I19" s="33" t="n">
        <f aca="false">H19*N19</f>
        <v>42287688.7382726</v>
      </c>
      <c r="J19" s="33" t="n">
        <f aca="false">H19+I19-F19</f>
        <v>1271035320.20282</v>
      </c>
      <c r="K19" s="33" t="n">
        <f aca="false">D19-I19</f>
        <v>0</v>
      </c>
      <c r="L19" s="33" t="n">
        <f aca="false">G19-J19</f>
        <v>0</v>
      </c>
      <c r="M19" s="33" t="n">
        <f aca="false">F19</f>
        <v>97280302.9575788</v>
      </c>
      <c r="N19" s="65" t="n">
        <f aca="false">$C$7</f>
        <v>0.0318904961505968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45860</v>
      </c>
      <c r="C20" s="39" t="n">
        <v>1271035320.20282</v>
      </c>
      <c r="D20" s="39" t="n">
        <v>40533946.9862005</v>
      </c>
      <c r="E20" s="39" t="n">
        <v>56746355.9713783</v>
      </c>
      <c r="F20" s="39" t="n">
        <v>97280302.9575789</v>
      </c>
      <c r="G20" s="39" t="n">
        <v>1214288964.23144</v>
      </c>
      <c r="H20" s="33" t="n">
        <f aca="false">J19</f>
        <v>1271035320.20282</v>
      </c>
      <c r="I20" s="33" t="n">
        <f aca="false">H20*N20</f>
        <v>40533946.9862005</v>
      </c>
      <c r="J20" s="33" t="n">
        <f aca="false">H20+I20-F20</f>
        <v>1214288964.23144</v>
      </c>
      <c r="K20" s="33" t="n">
        <f aca="false">D20-I20</f>
        <v>0</v>
      </c>
      <c r="L20" s="33" t="n">
        <f aca="false">G20-J20</f>
        <v>0</v>
      </c>
      <c r="M20" s="33" t="n">
        <f aca="false">F20</f>
        <v>97280302.9575789</v>
      </c>
      <c r="N20" s="65" t="n">
        <f aca="false">$C$7</f>
        <v>0.0318904961505968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45952</v>
      </c>
      <c r="C21" s="39" t="n">
        <v>1214288964.23144</v>
      </c>
      <c r="D21" s="39" t="n">
        <v>38724277.5395349</v>
      </c>
      <c r="E21" s="39" t="n">
        <v>58556025.4180441</v>
      </c>
      <c r="F21" s="39" t="n">
        <v>97280302.957579</v>
      </c>
      <c r="G21" s="39" t="n">
        <v>1155732938.8134</v>
      </c>
      <c r="H21" s="33" t="n">
        <f aca="false">J20</f>
        <v>1214288964.23144</v>
      </c>
      <c r="I21" s="33" t="n">
        <f aca="false">H21*N21</f>
        <v>38724277.5395349</v>
      </c>
      <c r="J21" s="33" t="n">
        <f aca="false">H21+I21-F21</f>
        <v>1155732938.8134</v>
      </c>
      <c r="K21" s="33" t="n">
        <f aca="false">D21-I21</f>
        <v>0</v>
      </c>
      <c r="L21" s="33" t="n">
        <f aca="false">G21-J21</f>
        <v>0</v>
      </c>
      <c r="M21" s="33" t="n">
        <f aca="false">F21</f>
        <v>97280302.957579</v>
      </c>
      <c r="N21" s="65" t="n">
        <f aca="false">$C$7</f>
        <v>0.0318904961505968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46044</v>
      </c>
      <c r="C22" s="39" t="n">
        <v>1155732938.8134</v>
      </c>
      <c r="D22" s="39" t="n">
        <v>36856896.8363465</v>
      </c>
      <c r="E22" s="39" t="n">
        <v>60423406.1212323</v>
      </c>
      <c r="F22" s="39" t="n">
        <v>97280302.9575788</v>
      </c>
      <c r="G22" s="39" t="n">
        <v>1095309532.69216</v>
      </c>
      <c r="H22" s="33" t="n">
        <f aca="false">J21</f>
        <v>1155732938.8134</v>
      </c>
      <c r="I22" s="33" t="n">
        <f aca="false">H22*N22</f>
        <v>36856896.8363465</v>
      </c>
      <c r="J22" s="33" t="n">
        <f aca="false">H22+I22-F22</f>
        <v>1095309532.69216</v>
      </c>
      <c r="K22" s="33" t="n">
        <f aca="false">D22-I22</f>
        <v>0</v>
      </c>
      <c r="L22" s="33" t="n">
        <f aca="false">G22-J22</f>
        <v>0</v>
      </c>
      <c r="M22" s="33" t="n">
        <f aca="false">F22</f>
        <v>97280302.9575788</v>
      </c>
      <c r="N22" s="65" t="n">
        <f aca="false">$C$7</f>
        <v>0.0318904961505968</v>
      </c>
      <c r="O22" s="48" t="n">
        <f aca="false">IF(AND(B22&gt;=DATE(2026,1,1),B22&lt;=Resumen!$C$5),1,0)</f>
        <v>1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46134</v>
      </c>
      <c r="C23" s="39" t="n">
        <v>1095309532.69216</v>
      </c>
      <c r="D23" s="39" t="n">
        <v>34929964.4360314</v>
      </c>
      <c r="E23" s="39" t="n">
        <v>62350338.5215474</v>
      </c>
      <c r="F23" s="39" t="n">
        <v>97280302.9575789</v>
      </c>
      <c r="G23" s="39" t="n">
        <v>1032959194.17062</v>
      </c>
      <c r="H23" s="33" t="n">
        <f aca="false">J22</f>
        <v>1095309532.69216</v>
      </c>
      <c r="I23" s="33" t="n">
        <f aca="false">H23*N23</f>
        <v>34929964.4360314</v>
      </c>
      <c r="J23" s="33" t="n">
        <f aca="false">H23+I23-F23</f>
        <v>1032959194.17062</v>
      </c>
      <c r="K23" s="33" t="n">
        <f aca="false">D23-I23</f>
        <v>0</v>
      </c>
      <c r="L23" s="33" t="n">
        <f aca="false">G23-J23</f>
        <v>0</v>
      </c>
      <c r="M23" s="33" t="n">
        <f aca="false">F23</f>
        <v>97280302.9575789</v>
      </c>
      <c r="N23" s="65" t="n">
        <f aca="false">$C$7</f>
        <v>0.0318904961505968</v>
      </c>
      <c r="O23" s="48" t="n">
        <f aca="false">IF(AND(B23&gt;=DATE(2026,1,1),B23&lt;=Resumen!$C$5),1,0)</f>
        <v>1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46225</v>
      </c>
      <c r="C24" s="39" t="n">
        <v>1032959194.17062</v>
      </c>
      <c r="D24" s="39" t="n">
        <v>32941581.2054216</v>
      </c>
      <c r="E24" s="39" t="n">
        <v>64338721.7521572</v>
      </c>
      <c r="F24" s="39" t="n">
        <v>97280302.9575788</v>
      </c>
      <c r="G24" s="39" t="n">
        <v>968620472.418459</v>
      </c>
      <c r="H24" s="33" t="n">
        <f aca="false">J23</f>
        <v>1032959194.17062</v>
      </c>
      <c r="I24" s="33" t="n">
        <f aca="false">H24*N24</f>
        <v>32941581.2054216</v>
      </c>
      <c r="J24" s="33" t="n">
        <f aca="false">H24+I24-F24</f>
        <v>968620472.418459</v>
      </c>
      <c r="K24" s="33" t="n">
        <f aca="false">D24-I24</f>
        <v>0</v>
      </c>
      <c r="L24" s="33" t="n">
        <f aca="false">G24-J24</f>
        <v>0</v>
      </c>
      <c r="M24" s="33" t="n">
        <f aca="false">F24</f>
        <v>97280302.9575788</v>
      </c>
      <c r="N24" s="65" t="n">
        <f aca="false">$C$7</f>
        <v>0.0318904961505968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46317</v>
      </c>
      <c r="C25" s="39" t="n">
        <v>968620472.418459</v>
      </c>
      <c r="D25" s="39" t="n">
        <v>30889787.4470501</v>
      </c>
      <c r="E25" s="39" t="n">
        <v>66390515.5105287</v>
      </c>
      <c r="F25" s="39" t="n">
        <v>97280302.9575788</v>
      </c>
      <c r="G25" s="39" t="n">
        <v>902229956.90793</v>
      </c>
      <c r="H25" s="33" t="n">
        <f aca="false">J24</f>
        <v>968620472.418459</v>
      </c>
      <c r="I25" s="33" t="n">
        <f aca="false">H25*N25</f>
        <v>30889787.4470501</v>
      </c>
      <c r="J25" s="33" t="n">
        <f aca="false">H25+I25-F25</f>
        <v>902229956.90793</v>
      </c>
      <c r="K25" s="33" t="n">
        <f aca="false">D25-I25</f>
        <v>0</v>
      </c>
      <c r="L25" s="33" t="n">
        <f aca="false">G25-J25</f>
        <v>0</v>
      </c>
      <c r="M25" s="33" t="n">
        <f aca="false">F25</f>
        <v>97280302.9575788</v>
      </c>
      <c r="N25" s="65" t="n">
        <f aca="false">$C$7</f>
        <v>0.0318904961505968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1</v>
      </c>
    </row>
    <row r="26" customFormat="false" ht="15" hidden="false" customHeight="false" outlineLevel="0" collapsed="false">
      <c r="A26" s="38" t="n">
        <v>14</v>
      </c>
      <c r="B26" s="27" t="n">
        <v>46409</v>
      </c>
      <c r="C26" s="39" t="n">
        <v>902229956.90793</v>
      </c>
      <c r="D26" s="39" t="n">
        <v>28772560.9677255</v>
      </c>
      <c r="E26" s="39" t="n">
        <v>68507741.9898533</v>
      </c>
      <c r="F26" s="39" t="n">
        <v>97280302.9575787</v>
      </c>
      <c r="G26" s="39" t="n">
        <v>833722214.918077</v>
      </c>
      <c r="H26" s="33" t="n">
        <f aca="false">J25</f>
        <v>902229956.90793</v>
      </c>
      <c r="I26" s="33" t="n">
        <f aca="false">H26*N26</f>
        <v>28772560.9677255</v>
      </c>
      <c r="J26" s="33" t="n">
        <f aca="false">H26+I26-F26</f>
        <v>833722214.918077</v>
      </c>
      <c r="K26" s="33" t="n">
        <f aca="false">D26-I26</f>
        <v>0</v>
      </c>
      <c r="L26" s="33" t="n">
        <f aca="false">G26-J26</f>
        <v>0</v>
      </c>
      <c r="M26" s="33" t="n">
        <f aca="false">F26</f>
        <v>97280302.9575787</v>
      </c>
      <c r="N26" s="65" t="n">
        <f aca="false">$C$7</f>
        <v>0.0318904961505968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1</v>
      </c>
    </row>
    <row r="27" customFormat="false" ht="15" hidden="false" customHeight="false" outlineLevel="0" collapsed="false">
      <c r="A27" s="38" t="n">
        <v>15</v>
      </c>
      <c r="B27" s="27" t="n">
        <v>46499</v>
      </c>
      <c r="C27" s="39" t="n">
        <v>833722214.918077</v>
      </c>
      <c r="D27" s="39" t="n">
        <v>26587815.085512</v>
      </c>
      <c r="E27" s="39" t="n">
        <v>70692487.8720669</v>
      </c>
      <c r="F27" s="39" t="n">
        <v>97280302.9575788</v>
      </c>
      <c r="G27" s="39" t="n">
        <v>763029727.04601</v>
      </c>
      <c r="H27" s="33" t="n">
        <f aca="false">J26</f>
        <v>833722214.918077</v>
      </c>
      <c r="I27" s="33" t="n">
        <f aca="false">H27*N27</f>
        <v>26587815.085512</v>
      </c>
      <c r="J27" s="33" t="n">
        <f aca="false">H27+I27-F27</f>
        <v>763029727.04601</v>
      </c>
      <c r="K27" s="33" t="n">
        <f aca="false">D27-I27</f>
        <v>0</v>
      </c>
      <c r="L27" s="33" t="n">
        <f aca="false">G27-J27</f>
        <v>0</v>
      </c>
      <c r="M27" s="33" t="n">
        <f aca="false">F27</f>
        <v>97280302.9575788</v>
      </c>
      <c r="N27" s="65" t="n">
        <f aca="false">$C$7</f>
        <v>0.0318904961505968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46590</v>
      </c>
      <c r="C28" s="39" t="n">
        <v>763029727.04601</v>
      </c>
      <c r="D28" s="39" t="n">
        <v>24333396.5731517</v>
      </c>
      <c r="E28" s="39" t="n">
        <v>72946906.3844271</v>
      </c>
      <c r="F28" s="39" t="n">
        <v>97280302.9575788</v>
      </c>
      <c r="G28" s="39" t="n">
        <v>690082820.661583</v>
      </c>
      <c r="H28" s="33" t="n">
        <f aca="false">J27</f>
        <v>763029727.04601</v>
      </c>
      <c r="I28" s="33" t="n">
        <f aca="false">H28*N28</f>
        <v>24333396.5731517</v>
      </c>
      <c r="J28" s="33" t="n">
        <f aca="false">H28+I28-F28</f>
        <v>690082820.661583</v>
      </c>
      <c r="K28" s="33" t="n">
        <f aca="false">D28-I28</f>
        <v>0</v>
      </c>
      <c r="L28" s="33" t="n">
        <f aca="false">G28-J28</f>
        <v>0</v>
      </c>
      <c r="M28" s="33" t="n">
        <f aca="false">F28</f>
        <v>97280302.9575788</v>
      </c>
      <c r="N28" s="65" t="n">
        <f aca="false">$C$7</f>
        <v>0.0318904961505968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46682</v>
      </c>
      <c r="C29" s="39" t="n">
        <v>690082820.661583</v>
      </c>
      <c r="D29" s="39" t="n">
        <v>22007083.5359012</v>
      </c>
      <c r="E29" s="39" t="n">
        <v>75273219.4216776</v>
      </c>
      <c r="F29" s="39" t="n">
        <v>97280302.9575788</v>
      </c>
      <c r="G29" s="39" t="n">
        <v>614809601.239905</v>
      </c>
      <c r="H29" s="33" t="n">
        <f aca="false">J28</f>
        <v>690082820.661583</v>
      </c>
      <c r="I29" s="33" t="n">
        <f aca="false">H29*N29</f>
        <v>22007083.5359012</v>
      </c>
      <c r="J29" s="33" t="n">
        <f aca="false">H29+I29-F29</f>
        <v>614809601.239905</v>
      </c>
      <c r="K29" s="33" t="n">
        <f aca="false">D29-I29</f>
        <v>0</v>
      </c>
      <c r="L29" s="33" t="n">
        <f aca="false">G29-J29</f>
        <v>0</v>
      </c>
      <c r="M29" s="33" t="n">
        <f aca="false">F29</f>
        <v>97280302.9575788</v>
      </c>
      <c r="N29" s="65" t="n">
        <f aca="false">$C$7</f>
        <v>0.0318904961505968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46774</v>
      </c>
      <c r="C30" s="39" t="n">
        <v>614809601.239905</v>
      </c>
      <c r="D30" s="39" t="n">
        <v>19606583.2216912</v>
      </c>
      <c r="E30" s="39" t="n">
        <v>77673719.7358877</v>
      </c>
      <c r="F30" s="39" t="n">
        <v>97280302.9575788</v>
      </c>
      <c r="G30" s="39" t="n">
        <v>537135881.504018</v>
      </c>
      <c r="H30" s="33" t="n">
        <f aca="false">J29</f>
        <v>614809601.239905</v>
      </c>
      <c r="I30" s="33" t="n">
        <f aca="false">H30*N30</f>
        <v>19606583.2216911</v>
      </c>
      <c r="J30" s="33" t="n">
        <f aca="false">H30+I30-F30</f>
        <v>537135881.504017</v>
      </c>
      <c r="K30" s="33" t="n">
        <f aca="false">D30-I30</f>
        <v>0</v>
      </c>
      <c r="L30" s="33" t="n">
        <f aca="false">G30-J30</f>
        <v>0</v>
      </c>
      <c r="M30" s="33" t="n">
        <f aca="false">F30</f>
        <v>97280302.9575788</v>
      </c>
      <c r="N30" s="65" t="n">
        <f aca="false">$C$7</f>
        <v>0.0318904961505968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46865</v>
      </c>
      <c r="C31" s="39" t="n">
        <v>537135881.504018</v>
      </c>
      <c r="D31" s="39" t="n">
        <v>17129529.7614513</v>
      </c>
      <c r="E31" s="39" t="n">
        <v>80150773.1961276</v>
      </c>
      <c r="F31" s="39" t="n">
        <v>97280302.9575789</v>
      </c>
      <c r="G31" s="39" t="n">
        <v>456985108.30789</v>
      </c>
      <c r="H31" s="33" t="n">
        <f aca="false">J30</f>
        <v>537135881.504017</v>
      </c>
      <c r="I31" s="33" t="n">
        <f aca="false">H31*N31</f>
        <v>17129529.7614513</v>
      </c>
      <c r="J31" s="33" t="n">
        <f aca="false">H31+I31-F31</f>
        <v>456985108.30789</v>
      </c>
      <c r="K31" s="33" t="n">
        <f aca="false">D31-I31</f>
        <v>0</v>
      </c>
      <c r="L31" s="33" t="n">
        <f aca="false">G31-J31</f>
        <v>0</v>
      </c>
      <c r="M31" s="33" t="n">
        <f aca="false">F31</f>
        <v>97280302.9575789</v>
      </c>
      <c r="N31" s="65" t="n">
        <f aca="false">$C$7</f>
        <v>0.0318904961505968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46956</v>
      </c>
      <c r="C32" s="39" t="n">
        <v>456985108.30789</v>
      </c>
      <c r="D32" s="39" t="n">
        <v>14573481.8373728</v>
      </c>
      <c r="E32" s="39" t="n">
        <v>82706821.120206</v>
      </c>
      <c r="F32" s="39" t="n">
        <v>97280302.9575788</v>
      </c>
      <c r="G32" s="39" t="n">
        <v>374278287.187684</v>
      </c>
      <c r="H32" s="33" t="n">
        <f aca="false">J31</f>
        <v>456985108.30789</v>
      </c>
      <c r="I32" s="33" t="n">
        <f aca="false">H32*N32</f>
        <v>14573481.8373728</v>
      </c>
      <c r="J32" s="33" t="n">
        <f aca="false">H32+I32-F32</f>
        <v>374278287.187684</v>
      </c>
      <c r="K32" s="33" t="n">
        <f aca="false">D32-I32</f>
        <v>0</v>
      </c>
      <c r="L32" s="33" t="n">
        <f aca="false">G32-J32</f>
        <v>0</v>
      </c>
      <c r="M32" s="33" t="n">
        <f aca="false">F32</f>
        <v>97280302.9575788</v>
      </c>
      <c r="N32" s="65" t="n">
        <f aca="false">$C$7</f>
        <v>0.0318904961505968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47048</v>
      </c>
      <c r="C33" s="39" t="n">
        <v>374278287.187684</v>
      </c>
      <c r="D33" s="39" t="n">
        <v>11935920.2768108</v>
      </c>
      <c r="E33" s="39" t="n">
        <v>85344382.680768</v>
      </c>
      <c r="F33" s="39" t="n">
        <v>97280302.9575788</v>
      </c>
      <c r="G33" s="39" t="n">
        <v>288933904.506916</v>
      </c>
      <c r="H33" s="33" t="n">
        <f aca="false">J32</f>
        <v>374278287.187684</v>
      </c>
      <c r="I33" s="33" t="n">
        <f aca="false">H33*N33</f>
        <v>11935920.2768108</v>
      </c>
      <c r="J33" s="33" t="n">
        <f aca="false">H33+I33-F33</f>
        <v>288933904.506916</v>
      </c>
      <c r="K33" s="33" t="n">
        <f aca="false">D33-I33</f>
        <v>0</v>
      </c>
      <c r="L33" s="33" t="n">
        <f aca="false">G33-J33</f>
        <v>0</v>
      </c>
      <c r="M33" s="33" t="n">
        <f aca="false">F33</f>
        <v>97280302.9575788</v>
      </c>
      <c r="N33" s="65" t="n">
        <f aca="false">$C$7</f>
        <v>0.0318904961505968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47140</v>
      </c>
      <c r="C34" s="39" t="n">
        <v>288933904.506916</v>
      </c>
      <c r="D34" s="39" t="n">
        <v>9214245.56945471</v>
      </c>
      <c r="E34" s="39" t="n">
        <v>88066057.3881241</v>
      </c>
      <c r="F34" s="39" t="n">
        <v>97280302.9575788</v>
      </c>
      <c r="G34" s="39" t="n">
        <v>200867847.118792</v>
      </c>
      <c r="H34" s="33" t="n">
        <f aca="false">J33</f>
        <v>288933904.506916</v>
      </c>
      <c r="I34" s="33" t="n">
        <f aca="false">H34*N34</f>
        <v>9214245.5694547</v>
      </c>
      <c r="J34" s="33" t="n">
        <f aca="false">H34+I34-F34</f>
        <v>200867847.118792</v>
      </c>
      <c r="K34" s="33" t="n">
        <f aca="false">D34-I34</f>
        <v>0</v>
      </c>
      <c r="L34" s="33" t="n">
        <f aca="false">G34-J34</f>
        <v>0</v>
      </c>
      <c r="M34" s="33" t="n">
        <f aca="false">F34</f>
        <v>97280302.9575788</v>
      </c>
      <c r="N34" s="65" t="n">
        <f aca="false">$C$7</f>
        <v>0.0318904961505968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47230</v>
      </c>
      <c r="C35" s="39" t="n">
        <v>200867847.118792</v>
      </c>
      <c r="D35" s="39" t="n">
        <v>6405775.3053205</v>
      </c>
      <c r="E35" s="39" t="n">
        <v>90874527.6522583</v>
      </c>
      <c r="F35" s="39" t="n">
        <v>97280302.9575788</v>
      </c>
      <c r="G35" s="39" t="n">
        <v>109993319.466533</v>
      </c>
      <c r="H35" s="33" t="n">
        <f aca="false">J34</f>
        <v>200867847.118792</v>
      </c>
      <c r="I35" s="33" t="n">
        <f aca="false">H35*N35</f>
        <v>6405775.30532049</v>
      </c>
      <c r="J35" s="33" t="n">
        <f aca="false">H35+I35-F35</f>
        <v>109993319.466533</v>
      </c>
      <c r="K35" s="33" t="n">
        <f aca="false">D35-I35</f>
        <v>0</v>
      </c>
      <c r="L35" s="33" t="n">
        <f aca="false">G35-J35</f>
        <v>0</v>
      </c>
      <c r="M35" s="33" t="n">
        <f aca="false">F35</f>
        <v>97280302.9575788</v>
      </c>
      <c r="N35" s="65" t="n">
        <f aca="false">$C$7</f>
        <v>0.0318904961505968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47321</v>
      </c>
      <c r="C36" s="39" t="n">
        <v>109993319.466533</v>
      </c>
      <c r="D36" s="39" t="n">
        <v>3507741.53103885</v>
      </c>
      <c r="E36" s="39" t="n">
        <v>109993319.46654</v>
      </c>
      <c r="F36" s="39" t="n">
        <v>113501060.997579</v>
      </c>
      <c r="G36" s="39" t="n">
        <v>-6.54160976409912E-006</v>
      </c>
      <c r="H36" s="33" t="n">
        <f aca="false">J35</f>
        <v>109993319.466533</v>
      </c>
      <c r="I36" s="33" t="n">
        <f aca="false">H36*N36</f>
        <v>3507741.53103884</v>
      </c>
      <c r="J36" s="33" t="n">
        <f aca="false">H36+I36-F36</f>
        <v>-6.73532485961914E-006</v>
      </c>
      <c r="K36" s="33" t="n">
        <f aca="false">D36-I36</f>
        <v>0</v>
      </c>
      <c r="L36" s="33" t="n">
        <f aca="false">G36-J36</f>
        <v>1.9371509552002E-007</v>
      </c>
      <c r="M36" s="33" t="n">
        <f aca="false">F36</f>
        <v>113501060.997579</v>
      </c>
      <c r="N36" s="65" t="n">
        <f aca="false">$C$7</f>
        <v>0.0318904961505968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1837</v>
      </c>
    </row>
    <row r="2" customFormat="false" ht="15" hidden="false" customHeight="false" outlineLevel="0" collapsed="false">
      <c r="A2" s="24" t="s">
        <v>1838</v>
      </c>
    </row>
    <row r="3" customFormat="false" ht="15" hidden="false" customHeight="false" outlineLevel="0" collapsed="false">
      <c r="A3" s="34" t="s">
        <v>1748</v>
      </c>
      <c r="C3" s="38" t="s">
        <v>1839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2300000000</v>
      </c>
      <c r="F4" s="26" t="s">
        <v>1752</v>
      </c>
      <c r="I4" s="57" t="n">
        <f aca="false">_xlfn.MAXIFS($B$12:$B$72,$B$12:$B$72,"&lt;="&amp;Resumen!$C$5)</f>
        <v>46220</v>
      </c>
    </row>
    <row r="5" customFormat="false" ht="15" hidden="false" customHeight="false" outlineLevel="0" collapsed="false">
      <c r="A5" s="34" t="s">
        <v>1753</v>
      </c>
      <c r="C5" s="27" t="n">
        <v>44547</v>
      </c>
      <c r="F5" s="26" t="s">
        <v>1754</v>
      </c>
      <c r="I5" s="58" t="n">
        <f aca="false">SUMIFS($G$12:$G$72,$B$12:$B$72,I4)</f>
        <v>287500000</v>
      </c>
    </row>
    <row r="6" customFormat="false" ht="15" hidden="false" customHeight="false" outlineLevel="0" collapsed="false">
      <c r="A6" s="34" t="s">
        <v>1755</v>
      </c>
      <c r="C6" s="38" t="s">
        <v>1840</v>
      </c>
      <c r="F6" s="26" t="s">
        <v>1757</v>
      </c>
      <c r="I6" s="33" t="n">
        <f aca="false">SUMIFS($J$12:$J$72,$B$12:$B$72,I4)</f>
        <v>287500000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SUMIFS($D$12:$D$72,$O$12:$O$72,1)</f>
        <v>36715666.6666667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IFERROR(IRR($M$12:$M$72),"N/A")</f>
        <v>N/A</v>
      </c>
      <c r="F8" s="26" t="s">
        <v>1761</v>
      </c>
      <c r="I8" s="33" t="n">
        <f aca="false">SUMIFS($E$12:$E$72,$P$12:$P$72,1)</f>
        <v>287500000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SUMPRODUCT(MAX(ABS($L$12:$L$72)))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44547</v>
      </c>
      <c r="C12" s="39" t="n">
        <v>2300000000</v>
      </c>
      <c r="D12" s="39" t="n">
        <v>0</v>
      </c>
      <c r="E12" s="39" t="n">
        <v>0</v>
      </c>
      <c r="F12" s="39" t="n">
        <v>0</v>
      </c>
      <c r="G12" s="39" t="n">
        <v>2300000000</v>
      </c>
      <c r="H12" s="33" t="n">
        <f aca="false">C12</f>
        <v>2300000000</v>
      </c>
      <c r="I12" s="33" t="n">
        <f aca="false">H12*N12</f>
        <v>11289166.6666667</v>
      </c>
      <c r="J12" s="33" t="n">
        <f aca="false">H12-E12</f>
        <v>2300000000</v>
      </c>
      <c r="K12" s="33" t="n">
        <f aca="false">D12-I12</f>
        <v>-11289166.6666667</v>
      </c>
      <c r="L12" s="33" t="n">
        <f aca="false">G12-J12</f>
        <v>0</v>
      </c>
      <c r="M12" s="33" t="n">
        <f aca="false">-$C$4</f>
        <v>-2300000000</v>
      </c>
      <c r="N12" s="64" t="n">
        <v>0.00490833333333333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44578</v>
      </c>
      <c r="C13" s="39" t="n">
        <v>2300000000</v>
      </c>
      <c r="D13" s="39" t="n">
        <v>12784166.6666667</v>
      </c>
      <c r="E13" s="39" t="n">
        <v>0</v>
      </c>
      <c r="F13" s="39" t="n">
        <v>12784166.6666667</v>
      </c>
      <c r="G13" s="39" t="n">
        <v>2300000000</v>
      </c>
      <c r="H13" s="33" t="n">
        <f aca="false">J12</f>
        <v>2300000000</v>
      </c>
      <c r="I13" s="33" t="n">
        <f aca="false">H13*N13</f>
        <v>12784166.6666667</v>
      </c>
      <c r="J13" s="33" t="n">
        <f aca="false">H13-E13</f>
        <v>2300000000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12784166.6666667</v>
      </c>
      <c r="N13" s="64" t="n">
        <v>0.00555833333333333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44609</v>
      </c>
      <c r="C14" s="39" t="n">
        <v>2300000000</v>
      </c>
      <c r="D14" s="39" t="n">
        <v>15914083.3333333</v>
      </c>
      <c r="E14" s="39" t="n">
        <v>0</v>
      </c>
      <c r="F14" s="39" t="n">
        <v>15914083.3333333</v>
      </c>
      <c r="G14" s="39" t="n">
        <v>2300000000</v>
      </c>
      <c r="H14" s="33" t="n">
        <f aca="false">J13</f>
        <v>2300000000</v>
      </c>
      <c r="I14" s="33" t="n">
        <f aca="false">H14*N14</f>
        <v>15914083.3333333</v>
      </c>
      <c r="J14" s="33" t="n">
        <f aca="false">H14-E14</f>
        <v>2300000000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15914083.3333333</v>
      </c>
      <c r="N14" s="64" t="n">
        <v>0.00691916666666667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44637</v>
      </c>
      <c r="C15" s="39" t="n">
        <v>2300000000</v>
      </c>
      <c r="D15" s="39" t="n">
        <v>16092333.3333333</v>
      </c>
      <c r="E15" s="39" t="n">
        <v>0</v>
      </c>
      <c r="F15" s="39" t="n">
        <v>16092333.3333333</v>
      </c>
      <c r="G15" s="39" t="n">
        <v>2300000000</v>
      </c>
      <c r="H15" s="33" t="n">
        <f aca="false">J14</f>
        <v>2300000000</v>
      </c>
      <c r="I15" s="33" t="n">
        <f aca="false">H15*N15</f>
        <v>16092333.3333333</v>
      </c>
      <c r="J15" s="33" t="n">
        <f aca="false">H15-E15</f>
        <v>2300000000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16092333.3333333</v>
      </c>
      <c r="N15" s="64" t="n">
        <v>0.00699666666666667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44668</v>
      </c>
      <c r="C16" s="39" t="n">
        <v>2300000000</v>
      </c>
      <c r="D16" s="39" t="n">
        <v>17771333.3333333</v>
      </c>
      <c r="E16" s="39" t="n">
        <v>0</v>
      </c>
      <c r="F16" s="39" t="n">
        <v>17771333.3333333</v>
      </c>
      <c r="G16" s="39" t="n">
        <v>2300000000</v>
      </c>
      <c r="H16" s="33" t="n">
        <f aca="false">J15</f>
        <v>2300000000</v>
      </c>
      <c r="I16" s="33" t="n">
        <f aca="false">H16*N16</f>
        <v>17771333.3333333</v>
      </c>
      <c r="J16" s="33" t="n">
        <f aca="false">H16-E16</f>
        <v>2300000000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17771333.3333333</v>
      </c>
      <c r="N16" s="64" t="n">
        <v>0.00772666666666667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44698</v>
      </c>
      <c r="C17" s="39" t="n">
        <v>2300000000</v>
      </c>
      <c r="D17" s="39" t="n">
        <v>18419166.6666667</v>
      </c>
      <c r="E17" s="39" t="n">
        <v>0</v>
      </c>
      <c r="F17" s="39" t="n">
        <v>18419166.6666667</v>
      </c>
      <c r="G17" s="39" t="n">
        <v>2300000000</v>
      </c>
      <c r="H17" s="33" t="n">
        <f aca="false">J16</f>
        <v>2300000000</v>
      </c>
      <c r="I17" s="33" t="n">
        <f aca="false">H17*N17</f>
        <v>18419166.6666667</v>
      </c>
      <c r="J17" s="33" t="n">
        <f aca="false">H17-E17</f>
        <v>2300000000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18419166.6666667</v>
      </c>
      <c r="N17" s="64" t="n">
        <v>0.00800833333333333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44729</v>
      </c>
      <c r="C18" s="39" t="n">
        <v>2300000000</v>
      </c>
      <c r="D18" s="39" t="n">
        <v>18419166.6666667</v>
      </c>
      <c r="E18" s="39" t="n">
        <v>0</v>
      </c>
      <c r="F18" s="39" t="n">
        <v>18419166.6666667</v>
      </c>
      <c r="G18" s="39" t="n">
        <v>2300000000</v>
      </c>
      <c r="H18" s="33" t="n">
        <f aca="false">J17</f>
        <v>2300000000</v>
      </c>
      <c r="I18" s="33" t="n">
        <f aca="false">H18*N18</f>
        <v>18419166.6666667</v>
      </c>
      <c r="J18" s="33" t="n">
        <f aca="false">H18-E18</f>
        <v>2300000000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18419166.6666667</v>
      </c>
      <c r="N18" s="64" t="n">
        <v>0.00800833333333333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44759</v>
      </c>
      <c r="C19" s="39" t="n">
        <v>2300000000</v>
      </c>
      <c r="D19" s="39" t="n">
        <v>22394333.3333333</v>
      </c>
      <c r="E19" s="39" t="n">
        <v>0</v>
      </c>
      <c r="F19" s="39" t="n">
        <v>22394333.3333333</v>
      </c>
      <c r="G19" s="39" t="n">
        <v>2300000000</v>
      </c>
      <c r="H19" s="33" t="n">
        <f aca="false">J18</f>
        <v>2300000000</v>
      </c>
      <c r="I19" s="33" t="n">
        <f aca="false">H19*N19</f>
        <v>22394333.3333333</v>
      </c>
      <c r="J19" s="33" t="n">
        <f aca="false">H19-E19</f>
        <v>2300000000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22394333.3333333</v>
      </c>
      <c r="N19" s="64" t="n">
        <v>0.00973666666666667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44790</v>
      </c>
      <c r="C20" s="39" t="n">
        <v>2300000000</v>
      </c>
      <c r="D20" s="39" t="n">
        <v>23718750</v>
      </c>
      <c r="E20" s="39" t="n">
        <v>0</v>
      </c>
      <c r="F20" s="39" t="n">
        <v>23718750</v>
      </c>
      <c r="G20" s="39" t="n">
        <v>2300000000</v>
      </c>
      <c r="H20" s="33" t="n">
        <f aca="false">J19</f>
        <v>2300000000</v>
      </c>
      <c r="I20" s="33" t="n">
        <f aca="false">H20*N20</f>
        <v>23718750</v>
      </c>
      <c r="J20" s="33" t="n">
        <f aca="false">H20-E20</f>
        <v>2300000000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23718750</v>
      </c>
      <c r="N20" s="64" t="n">
        <v>0.0103125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44821</v>
      </c>
      <c r="C21" s="39" t="n">
        <v>2300000000</v>
      </c>
      <c r="D21" s="39" t="n">
        <v>24941583.3333333</v>
      </c>
      <c r="E21" s="39" t="n">
        <v>0</v>
      </c>
      <c r="F21" s="39" t="n">
        <v>24941583.3333333</v>
      </c>
      <c r="G21" s="39" t="n">
        <v>2300000000</v>
      </c>
      <c r="H21" s="33" t="n">
        <f aca="false">J20</f>
        <v>2300000000</v>
      </c>
      <c r="I21" s="33" t="n">
        <f aca="false">H21*N21</f>
        <v>24941583.3333333</v>
      </c>
      <c r="J21" s="33" t="n">
        <f aca="false">H21-E21</f>
        <v>2300000000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24941583.3333333</v>
      </c>
      <c r="N21" s="64" t="n">
        <v>0.0108441666666667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44851</v>
      </c>
      <c r="C22" s="39" t="n">
        <v>2300000000</v>
      </c>
      <c r="D22" s="39" t="n">
        <v>26553500</v>
      </c>
      <c r="E22" s="39" t="n">
        <v>0</v>
      </c>
      <c r="F22" s="39" t="n">
        <v>26553500</v>
      </c>
      <c r="G22" s="39" t="n">
        <v>2300000000</v>
      </c>
      <c r="H22" s="33" t="n">
        <f aca="false">J21</f>
        <v>2300000000</v>
      </c>
      <c r="I22" s="33" t="n">
        <f aca="false">H22*N22</f>
        <v>26553500</v>
      </c>
      <c r="J22" s="33" t="n">
        <f aca="false">H22-E22</f>
        <v>2300000000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26553500</v>
      </c>
      <c r="N22" s="64" t="n">
        <v>0.011545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44882</v>
      </c>
      <c r="C23" s="39" t="n">
        <v>2300000000</v>
      </c>
      <c r="D23" s="39" t="n">
        <v>27067166.6666667</v>
      </c>
      <c r="E23" s="39" t="n">
        <v>0</v>
      </c>
      <c r="F23" s="39" t="n">
        <v>27067166.6666667</v>
      </c>
      <c r="G23" s="39" t="n">
        <v>2300000000</v>
      </c>
      <c r="H23" s="33" t="n">
        <f aca="false">J22</f>
        <v>2300000000</v>
      </c>
      <c r="I23" s="33" t="n">
        <f aca="false">H23*N23</f>
        <v>27067166.6666667</v>
      </c>
      <c r="J23" s="33" t="n">
        <f aca="false">H23-E23</f>
        <v>2300000000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27067166.6666667</v>
      </c>
      <c r="N23" s="64" t="n">
        <v>0.0117683333333333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44912</v>
      </c>
      <c r="C24" s="39" t="n">
        <v>2300000000</v>
      </c>
      <c r="D24" s="39" t="n">
        <v>28288083.3333333</v>
      </c>
      <c r="E24" s="39" t="n">
        <v>0</v>
      </c>
      <c r="F24" s="39" t="n">
        <v>28288083.3333333</v>
      </c>
      <c r="G24" s="39" t="n">
        <v>2300000000</v>
      </c>
      <c r="H24" s="33" t="n">
        <f aca="false">J23</f>
        <v>2300000000</v>
      </c>
      <c r="I24" s="33" t="n">
        <f aca="false">H24*N24</f>
        <v>28288083.3333333</v>
      </c>
      <c r="J24" s="33" t="n">
        <f aca="false">H24-E24</f>
        <v>2300000000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28288083.3333333</v>
      </c>
      <c r="N24" s="64" t="n">
        <v>0.0122991666666667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44943</v>
      </c>
      <c r="C25" s="39" t="n">
        <v>2300000000</v>
      </c>
      <c r="D25" s="39" t="n">
        <v>29198500</v>
      </c>
      <c r="E25" s="39" t="n">
        <v>0</v>
      </c>
      <c r="F25" s="39" t="n">
        <v>29198500</v>
      </c>
      <c r="G25" s="39" t="n">
        <v>2300000000</v>
      </c>
      <c r="H25" s="33" t="n">
        <f aca="false">J24</f>
        <v>2300000000</v>
      </c>
      <c r="I25" s="33" t="n">
        <f aca="false">H25*N25</f>
        <v>29198500</v>
      </c>
      <c r="J25" s="33" t="n">
        <f aca="false">H25-E25</f>
        <v>2300000000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29198500</v>
      </c>
      <c r="N25" s="64" t="n">
        <v>0.012695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44974</v>
      </c>
      <c r="C26" s="39" t="n">
        <v>2300000000</v>
      </c>
      <c r="D26" s="39" t="n">
        <v>29652750</v>
      </c>
      <c r="E26" s="39" t="n">
        <v>0</v>
      </c>
      <c r="F26" s="39" t="n">
        <v>29652750</v>
      </c>
      <c r="G26" s="39" t="n">
        <v>2300000000</v>
      </c>
      <c r="H26" s="33" t="n">
        <f aca="false">J25</f>
        <v>2300000000</v>
      </c>
      <c r="I26" s="33" t="n">
        <f aca="false">H26*N26</f>
        <v>29652750</v>
      </c>
      <c r="J26" s="33" t="n">
        <f aca="false">H26-E26</f>
        <v>2300000000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29652750</v>
      </c>
      <c r="N26" s="64" t="n">
        <v>0.0128925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45002</v>
      </c>
      <c r="C27" s="39" t="n">
        <v>2300000000</v>
      </c>
      <c r="D27" s="39" t="n">
        <v>29535833.3333333</v>
      </c>
      <c r="E27" s="39" t="n">
        <v>143750000</v>
      </c>
      <c r="F27" s="39" t="n">
        <v>173285833.333333</v>
      </c>
      <c r="G27" s="39" t="n">
        <v>2156250000</v>
      </c>
      <c r="H27" s="33" t="n">
        <f aca="false">J26</f>
        <v>2300000000</v>
      </c>
      <c r="I27" s="33" t="n">
        <f aca="false">H27*N27</f>
        <v>29535833.3333333</v>
      </c>
      <c r="J27" s="33" t="n">
        <f aca="false">H27-E27</f>
        <v>2156250000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173285833.333333</v>
      </c>
      <c r="N27" s="64" t="n">
        <v>0.0128416666666667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45033</v>
      </c>
      <c r="C28" s="39" t="n">
        <v>2156250000</v>
      </c>
      <c r="D28" s="39" t="n">
        <v>27941406.25</v>
      </c>
      <c r="E28" s="39" t="n">
        <v>0</v>
      </c>
      <c r="F28" s="39" t="n">
        <v>27941406.25</v>
      </c>
      <c r="G28" s="39" t="n">
        <v>2156250000</v>
      </c>
      <c r="H28" s="33" t="n">
        <f aca="false">J27</f>
        <v>2156250000</v>
      </c>
      <c r="I28" s="33" t="n">
        <f aca="false">H28*N28</f>
        <v>27941406.25</v>
      </c>
      <c r="J28" s="33" t="n">
        <f aca="false">H28-E28</f>
        <v>2156250000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27941406.25</v>
      </c>
      <c r="N28" s="64" t="n">
        <v>0.0129583333333333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45063</v>
      </c>
      <c r="C29" s="39" t="n">
        <v>2156250000</v>
      </c>
      <c r="D29" s="39" t="n">
        <v>28121093.75</v>
      </c>
      <c r="E29" s="39" t="n">
        <v>0</v>
      </c>
      <c r="F29" s="39" t="n">
        <v>28121093.75</v>
      </c>
      <c r="G29" s="39" t="n">
        <v>2156250000</v>
      </c>
      <c r="H29" s="33" t="n">
        <f aca="false">J28</f>
        <v>2156250000</v>
      </c>
      <c r="I29" s="33" t="n">
        <f aca="false">H29*N29</f>
        <v>28121093.75</v>
      </c>
      <c r="J29" s="33" t="n">
        <f aca="false">H29-E29</f>
        <v>2156250000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28121093.75</v>
      </c>
      <c r="N29" s="64" t="n">
        <v>0.0130416666666667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45094</v>
      </c>
      <c r="C30" s="39" t="n">
        <v>2156250000</v>
      </c>
      <c r="D30" s="39" t="n">
        <v>28128281.25</v>
      </c>
      <c r="E30" s="39" t="n">
        <v>143750000</v>
      </c>
      <c r="F30" s="39" t="n">
        <v>171878281.25</v>
      </c>
      <c r="G30" s="39" t="n">
        <v>2012500000</v>
      </c>
      <c r="H30" s="33" t="n">
        <f aca="false">J29</f>
        <v>2156250000</v>
      </c>
      <c r="I30" s="33" t="n">
        <f aca="false">H30*N30</f>
        <v>28128281.25</v>
      </c>
      <c r="J30" s="33" t="n">
        <f aca="false">H30-E30</f>
        <v>2012500000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171878281.25</v>
      </c>
      <c r="N30" s="64" t="n">
        <v>0.013045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45124</v>
      </c>
      <c r="C31" s="39" t="n">
        <v>2012500000</v>
      </c>
      <c r="D31" s="39" t="n">
        <v>26014916.6666667</v>
      </c>
      <c r="E31" s="39" t="n">
        <v>0</v>
      </c>
      <c r="F31" s="39" t="n">
        <v>26014916.6666667</v>
      </c>
      <c r="G31" s="39" t="n">
        <v>2012500000</v>
      </c>
      <c r="H31" s="33" t="n">
        <f aca="false">J30</f>
        <v>2012500000</v>
      </c>
      <c r="I31" s="33" t="n">
        <f aca="false">H31*N31</f>
        <v>26014916.6666667</v>
      </c>
      <c r="J31" s="33" t="n">
        <f aca="false">H31-E31</f>
        <v>2012500000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26014916.6666667</v>
      </c>
      <c r="N31" s="64" t="n">
        <v>0.0129266666666667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45155</v>
      </c>
      <c r="C32" s="39" t="n">
        <v>2012500000</v>
      </c>
      <c r="D32" s="39" t="n">
        <v>26013239.5833333</v>
      </c>
      <c r="E32" s="39" t="n">
        <v>0</v>
      </c>
      <c r="F32" s="39" t="n">
        <v>26013239.5833333</v>
      </c>
      <c r="G32" s="39" t="n">
        <v>2012500000</v>
      </c>
      <c r="H32" s="33" t="n">
        <f aca="false">J31</f>
        <v>2012500000</v>
      </c>
      <c r="I32" s="33" t="n">
        <f aca="false">H32*N32</f>
        <v>26013239.5833333</v>
      </c>
      <c r="J32" s="33" t="n">
        <f aca="false">H32-E32</f>
        <v>2012500000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26013239.5833333</v>
      </c>
      <c r="N32" s="64" t="n">
        <v>0.0129258333333333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45186</v>
      </c>
      <c r="C33" s="39" t="n">
        <v>2012500000</v>
      </c>
      <c r="D33" s="39" t="n">
        <v>24679958.3333333</v>
      </c>
      <c r="E33" s="39" t="n">
        <v>143750000</v>
      </c>
      <c r="F33" s="39" t="n">
        <v>168429958.333333</v>
      </c>
      <c r="G33" s="39" t="n">
        <v>1868750000</v>
      </c>
      <c r="H33" s="33" t="n">
        <f aca="false">J32</f>
        <v>2012500000</v>
      </c>
      <c r="I33" s="33" t="n">
        <f aca="false">H33*N33</f>
        <v>24679958.3333333</v>
      </c>
      <c r="J33" s="33" t="n">
        <f aca="false">H33-E33</f>
        <v>1868750000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168429958.333333</v>
      </c>
      <c r="N33" s="64" t="n">
        <v>0.0122633333333333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45216</v>
      </c>
      <c r="C34" s="39" t="n">
        <v>1868750000</v>
      </c>
      <c r="D34" s="39" t="n">
        <v>22906203.125</v>
      </c>
      <c r="E34" s="39" t="n">
        <v>0</v>
      </c>
      <c r="F34" s="39" t="n">
        <v>22906203.125</v>
      </c>
      <c r="G34" s="39" t="n">
        <v>1868750000</v>
      </c>
      <c r="H34" s="33" t="n">
        <f aca="false">J33</f>
        <v>1868750000</v>
      </c>
      <c r="I34" s="33" t="n">
        <f aca="false">H34*N34</f>
        <v>22906203.125</v>
      </c>
      <c r="J34" s="33" t="n">
        <f aca="false">H34-E34</f>
        <v>1868750000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22906203.125</v>
      </c>
      <c r="N34" s="64" t="n">
        <v>0.0122575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45247</v>
      </c>
      <c r="C35" s="39" t="n">
        <v>1868750000</v>
      </c>
      <c r="D35" s="39" t="n">
        <v>22657036.4583333</v>
      </c>
      <c r="E35" s="39" t="n">
        <v>0</v>
      </c>
      <c r="F35" s="39" t="n">
        <v>22657036.4583333</v>
      </c>
      <c r="G35" s="39" t="n">
        <v>1868750000</v>
      </c>
      <c r="H35" s="33" t="n">
        <f aca="false">J34</f>
        <v>1868750000</v>
      </c>
      <c r="I35" s="33" t="n">
        <f aca="false">H35*N35</f>
        <v>22657036.4583333</v>
      </c>
      <c r="J35" s="33" t="n">
        <f aca="false">H35-E35</f>
        <v>1868750000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22657036.4583333</v>
      </c>
      <c r="N35" s="64" t="n">
        <v>0.0121241666666667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45277</v>
      </c>
      <c r="C36" s="39" t="n">
        <v>1868750000</v>
      </c>
      <c r="D36" s="39" t="n">
        <v>22425000</v>
      </c>
      <c r="E36" s="39" t="n">
        <v>143750000</v>
      </c>
      <c r="F36" s="39" t="n">
        <v>166175000</v>
      </c>
      <c r="G36" s="39" t="n">
        <v>1725000000</v>
      </c>
      <c r="H36" s="33" t="n">
        <f aca="false">J35</f>
        <v>1868750000</v>
      </c>
      <c r="I36" s="33" t="n">
        <f aca="false">H36*N36</f>
        <v>22425000</v>
      </c>
      <c r="J36" s="33" t="n">
        <f aca="false">H36-E36</f>
        <v>1725000000</v>
      </c>
      <c r="K36" s="33" t="n">
        <f aca="false">D36-I36</f>
        <v>0</v>
      </c>
      <c r="L36" s="33" t="n">
        <f aca="false">G36-J36</f>
        <v>0</v>
      </c>
      <c r="M36" s="33" t="n">
        <f aca="false">F36</f>
        <v>166175000</v>
      </c>
      <c r="N36" s="64" t="n">
        <v>0.012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45308</v>
      </c>
      <c r="C37" s="39" t="n">
        <v>1725000000</v>
      </c>
      <c r="D37" s="39" t="n">
        <v>20392375</v>
      </c>
      <c r="E37" s="39" t="n">
        <v>0</v>
      </c>
      <c r="F37" s="39" t="n">
        <v>20392375</v>
      </c>
      <c r="G37" s="39" t="n">
        <v>1725000000</v>
      </c>
      <c r="H37" s="33" t="n">
        <f aca="false">J36</f>
        <v>1725000000</v>
      </c>
      <c r="I37" s="33" t="n">
        <f aca="false">H37*N37</f>
        <v>20392375</v>
      </c>
      <c r="J37" s="33" t="n">
        <f aca="false">H37-E37</f>
        <v>1725000000</v>
      </c>
      <c r="K37" s="33" t="n">
        <f aca="false">D37-I37</f>
        <v>0</v>
      </c>
      <c r="L37" s="33" t="n">
        <f aca="false">G37-J37</f>
        <v>0</v>
      </c>
      <c r="M37" s="33" t="n">
        <f aca="false">F37</f>
        <v>20392375</v>
      </c>
      <c r="N37" s="64" t="n">
        <v>0.0118216666666667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45339</v>
      </c>
      <c r="C38" s="39" t="n">
        <v>1725000000</v>
      </c>
      <c r="D38" s="39" t="n">
        <v>21024875</v>
      </c>
      <c r="E38" s="39" t="n">
        <v>0</v>
      </c>
      <c r="F38" s="39" t="n">
        <v>21024875</v>
      </c>
      <c r="G38" s="39" t="n">
        <v>1725000000</v>
      </c>
      <c r="H38" s="33" t="n">
        <f aca="false">J37</f>
        <v>1725000000</v>
      </c>
      <c r="I38" s="33" t="n">
        <f aca="false">H38*N38</f>
        <v>21024875</v>
      </c>
      <c r="J38" s="33" t="n">
        <f aca="false">H38-E38</f>
        <v>1725000000</v>
      </c>
      <c r="K38" s="33" t="n">
        <f aca="false">D38-I38</f>
        <v>0</v>
      </c>
      <c r="L38" s="33" t="n">
        <f aca="false">G38-J38</f>
        <v>0</v>
      </c>
      <c r="M38" s="33" t="n">
        <f aca="false">F38</f>
        <v>21024875</v>
      </c>
      <c r="N38" s="64" t="n">
        <v>0.0121883333333333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45368</v>
      </c>
      <c r="C39" s="39" t="n">
        <v>1725000000</v>
      </c>
      <c r="D39" s="39" t="n">
        <v>19564375</v>
      </c>
      <c r="E39" s="39" t="n">
        <v>143750000</v>
      </c>
      <c r="F39" s="39" t="n">
        <v>163314375</v>
      </c>
      <c r="G39" s="39" t="n">
        <v>1581250000</v>
      </c>
      <c r="H39" s="33" t="n">
        <f aca="false">J38</f>
        <v>1725000000</v>
      </c>
      <c r="I39" s="33" t="n">
        <f aca="false">H39*N39</f>
        <v>19564375</v>
      </c>
      <c r="J39" s="33" t="n">
        <f aca="false">H39-E39</f>
        <v>1581250000</v>
      </c>
      <c r="K39" s="33" t="n">
        <f aca="false">D39-I39</f>
        <v>0</v>
      </c>
      <c r="L39" s="33" t="n">
        <f aca="false">G39-J39</f>
        <v>0</v>
      </c>
      <c r="M39" s="33" t="n">
        <f aca="false">F39</f>
        <v>163314375</v>
      </c>
      <c r="N39" s="64" t="n">
        <v>0.0113416666666667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45399</v>
      </c>
      <c r="C40" s="39" t="n">
        <v>1581250000</v>
      </c>
      <c r="D40" s="39" t="n">
        <v>18395208.3333333</v>
      </c>
      <c r="E40" s="39" t="n">
        <v>0</v>
      </c>
      <c r="F40" s="39" t="n">
        <v>18395208.3333333</v>
      </c>
      <c r="G40" s="39" t="n">
        <v>1581250000</v>
      </c>
      <c r="H40" s="33" t="n">
        <f aca="false">J39</f>
        <v>1581250000</v>
      </c>
      <c r="I40" s="33" t="n">
        <f aca="false">H40*N40</f>
        <v>18395208.3333333</v>
      </c>
      <c r="J40" s="33" t="n">
        <f aca="false">H40-E40</f>
        <v>1581250000</v>
      </c>
      <c r="K40" s="33" t="n">
        <f aca="false">D40-I40</f>
        <v>0</v>
      </c>
      <c r="L40" s="33" t="n">
        <f aca="false">G40-J40</f>
        <v>0</v>
      </c>
      <c r="M40" s="33" t="n">
        <f aca="false">F40</f>
        <v>18395208.3333333</v>
      </c>
      <c r="N40" s="64" t="n">
        <v>0.0116333333333333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45429</v>
      </c>
      <c r="C41" s="39" t="n">
        <v>1581250000</v>
      </c>
      <c r="D41" s="39" t="n">
        <v>17877348.9583333</v>
      </c>
      <c r="E41" s="39" t="n">
        <v>0</v>
      </c>
      <c r="F41" s="39" t="n">
        <v>17877348.9583333</v>
      </c>
      <c r="G41" s="39" t="n">
        <v>1581250000</v>
      </c>
      <c r="H41" s="33" t="n">
        <f aca="false">J40</f>
        <v>1581250000</v>
      </c>
      <c r="I41" s="33" t="n">
        <f aca="false">H41*N41</f>
        <v>17877348.9583333</v>
      </c>
      <c r="J41" s="33" t="n">
        <f aca="false">H41-E41</f>
        <v>1581250000</v>
      </c>
      <c r="K41" s="33" t="n">
        <f aca="false">D41-I41</f>
        <v>0</v>
      </c>
      <c r="L41" s="33" t="n">
        <f aca="false">G41-J41</f>
        <v>0</v>
      </c>
      <c r="M41" s="33" t="n">
        <f aca="false">F41</f>
        <v>17877348.9583333</v>
      </c>
      <c r="N41" s="64" t="n">
        <v>0.0113058333333333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45460</v>
      </c>
      <c r="C42" s="39" t="n">
        <v>1581250000</v>
      </c>
      <c r="D42" s="39" t="n">
        <v>16682187.5</v>
      </c>
      <c r="E42" s="39" t="n">
        <v>143750000</v>
      </c>
      <c r="F42" s="39" t="n">
        <v>160432187.5</v>
      </c>
      <c r="G42" s="39" t="n">
        <v>1437500000</v>
      </c>
      <c r="H42" s="33" t="n">
        <f aca="false">J41</f>
        <v>1581250000</v>
      </c>
      <c r="I42" s="33" t="n">
        <f aca="false">H42*N42</f>
        <v>16682187.5</v>
      </c>
      <c r="J42" s="33" t="n">
        <f aca="false">H42-E42</f>
        <v>1437500000</v>
      </c>
      <c r="K42" s="33" t="n">
        <f aca="false">D42-I42</f>
        <v>0</v>
      </c>
      <c r="L42" s="33" t="n">
        <f aca="false">G42-J42</f>
        <v>0</v>
      </c>
      <c r="M42" s="33" t="n">
        <f aca="false">F42</f>
        <v>160432187.5</v>
      </c>
      <c r="N42" s="64" t="n">
        <v>0.01055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45490</v>
      </c>
      <c r="C43" s="39" t="n">
        <v>1437500000</v>
      </c>
      <c r="D43" s="39" t="n">
        <v>15141666.6666667</v>
      </c>
      <c r="E43" s="39" t="n">
        <v>0</v>
      </c>
      <c r="F43" s="39" t="n">
        <v>15141666.6666667</v>
      </c>
      <c r="G43" s="39" t="n">
        <v>1437500000</v>
      </c>
      <c r="H43" s="33" t="n">
        <f aca="false">J42</f>
        <v>1437500000</v>
      </c>
      <c r="I43" s="33" t="n">
        <f aca="false">H43*N43</f>
        <v>15141666.6666667</v>
      </c>
      <c r="J43" s="33" t="n">
        <f aca="false">H43-E43</f>
        <v>1437500000</v>
      </c>
      <c r="K43" s="33" t="n">
        <f aca="false">D43-I43</f>
        <v>0</v>
      </c>
      <c r="L43" s="33" t="n">
        <f aca="false">G43-J43</f>
        <v>0</v>
      </c>
      <c r="M43" s="33" t="n">
        <f aca="false">F43</f>
        <v>15141666.6666667</v>
      </c>
      <c r="N43" s="64" t="n">
        <v>0.0105333333333333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45521</v>
      </c>
      <c r="C44" s="39" t="n">
        <v>1437500000</v>
      </c>
      <c r="D44" s="39" t="n">
        <v>15068593.75</v>
      </c>
      <c r="E44" s="39" t="n">
        <v>0</v>
      </c>
      <c r="F44" s="39" t="n">
        <v>15068593.75</v>
      </c>
      <c r="G44" s="39" t="n">
        <v>1437500000</v>
      </c>
      <c r="H44" s="33" t="n">
        <f aca="false">J43</f>
        <v>1437500000</v>
      </c>
      <c r="I44" s="33" t="n">
        <f aca="false">H44*N44</f>
        <v>15068593.75</v>
      </c>
      <c r="J44" s="33" t="n">
        <f aca="false">H44-E44</f>
        <v>1437500000</v>
      </c>
      <c r="K44" s="33" t="n">
        <f aca="false">D44-I44</f>
        <v>0</v>
      </c>
      <c r="L44" s="33" t="n">
        <f aca="false">G44-J44</f>
        <v>0</v>
      </c>
      <c r="M44" s="33" t="n">
        <f aca="false">F44</f>
        <v>15068593.75</v>
      </c>
      <c r="N44" s="64" t="n">
        <v>0.0104825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45552</v>
      </c>
      <c r="C45" s="39" t="n">
        <v>1437500000</v>
      </c>
      <c r="D45" s="39" t="n">
        <v>13997656.25</v>
      </c>
      <c r="E45" s="39" t="n">
        <v>143750000</v>
      </c>
      <c r="F45" s="39" t="n">
        <v>157747656.25</v>
      </c>
      <c r="G45" s="39" t="n">
        <v>1293750000</v>
      </c>
      <c r="H45" s="33" t="n">
        <f aca="false">J44</f>
        <v>1437500000</v>
      </c>
      <c r="I45" s="33" t="n">
        <f aca="false">H45*N45</f>
        <v>13997656.25</v>
      </c>
      <c r="J45" s="33" t="n">
        <f aca="false">H45-E45</f>
        <v>1293750000</v>
      </c>
      <c r="K45" s="33" t="n">
        <f aca="false">D45-I45</f>
        <v>0</v>
      </c>
      <c r="L45" s="33" t="n">
        <f aca="false">G45-J45</f>
        <v>0</v>
      </c>
      <c r="M45" s="33" t="n">
        <f aca="false">F45</f>
        <v>157747656.25</v>
      </c>
      <c r="N45" s="64" t="n">
        <v>0.0097375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45582</v>
      </c>
      <c r="C46" s="39" t="n">
        <v>1293750000</v>
      </c>
      <c r="D46" s="39" t="n">
        <v>12296015.625</v>
      </c>
      <c r="E46" s="39" t="n">
        <v>0</v>
      </c>
      <c r="F46" s="39" t="n">
        <v>12296015.625</v>
      </c>
      <c r="G46" s="39" t="n">
        <v>1293750000</v>
      </c>
      <c r="H46" s="33" t="n">
        <f aca="false">J45</f>
        <v>1293750000</v>
      </c>
      <c r="I46" s="33" t="n">
        <f aca="false">H46*N46</f>
        <v>12296015.625</v>
      </c>
      <c r="J46" s="33" t="n">
        <f aca="false">H46-E46</f>
        <v>1293750000</v>
      </c>
      <c r="K46" s="33" t="n">
        <f aca="false">D46-I46</f>
        <v>0</v>
      </c>
      <c r="L46" s="33" t="n">
        <f aca="false">G46-J46</f>
        <v>0</v>
      </c>
      <c r="M46" s="33" t="n">
        <f aca="false">F46</f>
        <v>12296015.625</v>
      </c>
      <c r="N46" s="64" t="n">
        <v>0.00950416666666667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45613</v>
      </c>
      <c r="C47" s="39" t="n">
        <v>1293750000</v>
      </c>
      <c r="D47" s="39" t="n">
        <v>12099796.875</v>
      </c>
      <c r="E47" s="39" t="n">
        <v>0</v>
      </c>
      <c r="F47" s="39" t="n">
        <v>12099796.875</v>
      </c>
      <c r="G47" s="39" t="n">
        <v>1293750000</v>
      </c>
      <c r="H47" s="33" t="n">
        <f aca="false">J46</f>
        <v>1293750000</v>
      </c>
      <c r="I47" s="33" t="n">
        <f aca="false">H47*N47</f>
        <v>12099796.875</v>
      </c>
      <c r="J47" s="33" t="n">
        <f aca="false">H47-E47</f>
        <v>1293750000</v>
      </c>
      <c r="K47" s="33" t="n">
        <f aca="false">D47-I47</f>
        <v>0</v>
      </c>
      <c r="L47" s="33" t="n">
        <f aca="false">G47-J47</f>
        <v>0</v>
      </c>
      <c r="M47" s="33" t="n">
        <f aca="false">F47</f>
        <v>12099796.875</v>
      </c>
      <c r="N47" s="64" t="n">
        <v>0.0093525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45643</v>
      </c>
      <c r="C48" s="39" t="n">
        <v>1293750000</v>
      </c>
      <c r="D48" s="39" t="n">
        <v>12244265.625</v>
      </c>
      <c r="E48" s="39" t="n">
        <v>143750000</v>
      </c>
      <c r="F48" s="39" t="n">
        <v>155994265.625</v>
      </c>
      <c r="G48" s="39" t="n">
        <v>1150000000</v>
      </c>
      <c r="H48" s="33" t="n">
        <f aca="false">J47</f>
        <v>1293750000</v>
      </c>
      <c r="I48" s="33" t="n">
        <f aca="false">H48*N48</f>
        <v>12244265.625</v>
      </c>
      <c r="J48" s="33" t="n">
        <f aca="false">H48-E48</f>
        <v>1150000000</v>
      </c>
      <c r="K48" s="33" t="n">
        <f aca="false">D48-I48</f>
        <v>0</v>
      </c>
      <c r="L48" s="33" t="n">
        <f aca="false">G48-J48</f>
        <v>0</v>
      </c>
      <c r="M48" s="33" t="n">
        <f aca="false">F48</f>
        <v>155994265.625</v>
      </c>
      <c r="N48" s="64" t="n">
        <v>0.00946416666666667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45674</v>
      </c>
      <c r="C49" s="39" t="n">
        <v>1150000000</v>
      </c>
      <c r="D49" s="39" t="n">
        <v>10741000</v>
      </c>
      <c r="E49" s="39" t="n">
        <v>0</v>
      </c>
      <c r="F49" s="39" t="n">
        <v>10741000</v>
      </c>
      <c r="G49" s="39" t="n">
        <v>1150000000</v>
      </c>
      <c r="H49" s="33" t="n">
        <f aca="false">J48</f>
        <v>1150000000</v>
      </c>
      <c r="I49" s="33" t="n">
        <f aca="false">H49*N49</f>
        <v>10741000</v>
      </c>
      <c r="J49" s="33" t="n">
        <f aca="false">H49-E49</f>
        <v>1150000000</v>
      </c>
      <c r="K49" s="33" t="n">
        <f aca="false">D49-I49</f>
        <v>0</v>
      </c>
      <c r="L49" s="33" t="n">
        <f aca="false">G49-J49</f>
        <v>0</v>
      </c>
      <c r="M49" s="33" t="n">
        <f aca="false">F49</f>
        <v>10741000</v>
      </c>
      <c r="N49" s="64" t="n">
        <v>0.00934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45705</v>
      </c>
      <c r="C50" s="39" t="n">
        <v>1150000000</v>
      </c>
      <c r="D50" s="39" t="n">
        <v>10788916.6666667</v>
      </c>
      <c r="E50" s="39" t="n">
        <v>0</v>
      </c>
      <c r="F50" s="39" t="n">
        <v>10788916.6666667</v>
      </c>
      <c r="G50" s="39" t="n">
        <v>1150000000</v>
      </c>
      <c r="H50" s="33" t="n">
        <f aca="false">J49</f>
        <v>1150000000</v>
      </c>
      <c r="I50" s="33" t="n">
        <f aca="false">H50*N50</f>
        <v>10788916.6666667</v>
      </c>
      <c r="J50" s="33" t="n">
        <f aca="false">H50-E50</f>
        <v>1150000000</v>
      </c>
      <c r="K50" s="33" t="n">
        <f aca="false">D50-I50</f>
        <v>0</v>
      </c>
      <c r="L50" s="33" t="n">
        <f aca="false">G50-J50</f>
        <v>0</v>
      </c>
      <c r="M50" s="33" t="n">
        <f aca="false">F50</f>
        <v>10788916.6666667</v>
      </c>
      <c r="N50" s="64" t="n">
        <v>0.00938166666666667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0</v>
      </c>
    </row>
    <row r="51" customFormat="false" ht="15" hidden="false" customHeight="false" outlineLevel="0" collapsed="false">
      <c r="A51" s="38" t="n">
        <v>39</v>
      </c>
      <c r="B51" s="27" t="n">
        <v>45733</v>
      </c>
      <c r="C51" s="39" t="n">
        <v>1150000000</v>
      </c>
      <c r="D51" s="39" t="n">
        <v>10819583.3333333</v>
      </c>
      <c r="E51" s="39" t="n">
        <v>143750000</v>
      </c>
      <c r="F51" s="39" t="n">
        <v>154569583.333333</v>
      </c>
      <c r="G51" s="39" t="n">
        <v>1006250000</v>
      </c>
      <c r="H51" s="33" t="n">
        <f aca="false">J50</f>
        <v>1150000000</v>
      </c>
      <c r="I51" s="33" t="n">
        <f aca="false">H51*N51</f>
        <v>10819583.3333333</v>
      </c>
      <c r="J51" s="33" t="n">
        <f aca="false">H51-E51</f>
        <v>1006250000</v>
      </c>
      <c r="K51" s="33" t="n">
        <f aca="false">D51-I51</f>
        <v>0</v>
      </c>
      <c r="L51" s="33" t="n">
        <f aca="false">G51-J51</f>
        <v>0</v>
      </c>
      <c r="M51" s="33" t="n">
        <f aca="false">F51</f>
        <v>154569583.333333</v>
      </c>
      <c r="N51" s="64" t="n">
        <v>0.00940833333333333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0</v>
      </c>
    </row>
    <row r="52" customFormat="false" ht="15" hidden="false" customHeight="false" outlineLevel="0" collapsed="false">
      <c r="A52" s="38" t="n">
        <v>40</v>
      </c>
      <c r="B52" s="27" t="n">
        <v>45764</v>
      </c>
      <c r="C52" s="39" t="n">
        <v>1006250000</v>
      </c>
      <c r="D52" s="39" t="n">
        <v>9521640.625</v>
      </c>
      <c r="E52" s="39" t="n">
        <v>0</v>
      </c>
      <c r="F52" s="39" t="n">
        <v>9521640.625</v>
      </c>
      <c r="G52" s="39" t="n">
        <v>1006250000</v>
      </c>
      <c r="H52" s="33" t="n">
        <f aca="false">J51</f>
        <v>1006250000</v>
      </c>
      <c r="I52" s="33" t="n">
        <f aca="false">H52*N52</f>
        <v>9521640.625</v>
      </c>
      <c r="J52" s="33" t="n">
        <f aca="false">H52-E52</f>
        <v>1006250000</v>
      </c>
      <c r="K52" s="33" t="n">
        <f aca="false">D52-I52</f>
        <v>0</v>
      </c>
      <c r="L52" s="33" t="n">
        <f aca="false">G52-J52</f>
        <v>0</v>
      </c>
      <c r="M52" s="33" t="n">
        <f aca="false">F52</f>
        <v>9521640.625</v>
      </c>
      <c r="N52" s="64" t="n">
        <v>0.0094625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0</v>
      </c>
    </row>
    <row r="53" customFormat="false" ht="15" hidden="false" customHeight="false" outlineLevel="0" collapsed="false">
      <c r="A53" s="38" t="n">
        <v>41</v>
      </c>
      <c r="B53" s="27" t="n">
        <v>45794</v>
      </c>
      <c r="C53" s="39" t="n">
        <v>1006250000</v>
      </c>
      <c r="D53" s="39" t="n">
        <v>9322067.70833333</v>
      </c>
      <c r="E53" s="39" t="n">
        <v>0</v>
      </c>
      <c r="F53" s="39" t="n">
        <v>9322067.70833333</v>
      </c>
      <c r="G53" s="39" t="n">
        <v>1006250000</v>
      </c>
      <c r="H53" s="33" t="n">
        <f aca="false">J52</f>
        <v>1006250000</v>
      </c>
      <c r="I53" s="33" t="n">
        <f aca="false">H53*N53</f>
        <v>9322067.70833333</v>
      </c>
      <c r="J53" s="33" t="n">
        <f aca="false">H53-E53</f>
        <v>1006250000</v>
      </c>
      <c r="K53" s="33" t="n">
        <f aca="false">D53-I53</f>
        <v>0</v>
      </c>
      <c r="L53" s="33" t="n">
        <f aca="false">G53-J53</f>
        <v>0</v>
      </c>
      <c r="M53" s="33" t="n">
        <f aca="false">F53</f>
        <v>9322067.70833333</v>
      </c>
      <c r="N53" s="64" t="n">
        <v>0.00926416666666667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45825</v>
      </c>
      <c r="C54" s="39" t="n">
        <v>1006250000</v>
      </c>
      <c r="D54" s="39" t="n">
        <v>9302781.25</v>
      </c>
      <c r="E54" s="39" t="n">
        <v>143750000</v>
      </c>
      <c r="F54" s="39" t="n">
        <v>153052781.25</v>
      </c>
      <c r="G54" s="39" t="n">
        <v>862500000</v>
      </c>
      <c r="H54" s="33" t="n">
        <f aca="false">J53</f>
        <v>1006250000</v>
      </c>
      <c r="I54" s="33" t="n">
        <f aca="false">H54*N54</f>
        <v>9302781.25</v>
      </c>
      <c r="J54" s="33" t="n">
        <f aca="false">H54-E54</f>
        <v>862500000</v>
      </c>
      <c r="K54" s="33" t="n">
        <f aca="false">D54-I54</f>
        <v>0</v>
      </c>
      <c r="L54" s="33" t="n">
        <f aca="false">G54-J54</f>
        <v>0</v>
      </c>
      <c r="M54" s="33" t="n">
        <f aca="false">F54</f>
        <v>153052781.25</v>
      </c>
      <c r="N54" s="64" t="n">
        <v>0.009245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45855</v>
      </c>
      <c r="C55" s="39" t="n">
        <v>862500000</v>
      </c>
      <c r="D55" s="39" t="n">
        <v>7916312.5</v>
      </c>
      <c r="E55" s="39" t="n">
        <v>0</v>
      </c>
      <c r="F55" s="39" t="n">
        <v>7916312.5</v>
      </c>
      <c r="G55" s="39" t="n">
        <v>862500000</v>
      </c>
      <c r="H55" s="33" t="n">
        <f aca="false">J54</f>
        <v>862500000</v>
      </c>
      <c r="I55" s="33" t="n">
        <f aca="false">H55*N55</f>
        <v>7916312.5</v>
      </c>
      <c r="J55" s="33" t="n">
        <f aca="false">H55-E55</f>
        <v>862500000</v>
      </c>
      <c r="K55" s="33" t="n">
        <f aca="false">D55-I55</f>
        <v>0</v>
      </c>
      <c r="L55" s="33" t="n">
        <f aca="false">G55-J55</f>
        <v>0</v>
      </c>
      <c r="M55" s="33" t="n">
        <f aca="false">F55</f>
        <v>7916312.5</v>
      </c>
      <c r="N55" s="64" t="n">
        <v>0.00917833333333333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45886</v>
      </c>
      <c r="C56" s="39" t="n">
        <v>862500000</v>
      </c>
      <c r="D56" s="39" t="n">
        <v>8020531.25</v>
      </c>
      <c r="E56" s="39" t="n">
        <v>0</v>
      </c>
      <c r="F56" s="39" t="n">
        <v>8020531.25</v>
      </c>
      <c r="G56" s="39" t="n">
        <v>862500000</v>
      </c>
      <c r="H56" s="33" t="n">
        <f aca="false">J55</f>
        <v>862500000</v>
      </c>
      <c r="I56" s="33" t="n">
        <f aca="false">H56*N56</f>
        <v>8020531.25</v>
      </c>
      <c r="J56" s="33" t="n">
        <f aca="false">H56-E56</f>
        <v>862500000</v>
      </c>
      <c r="K56" s="33" t="n">
        <f aca="false">D56-I56</f>
        <v>0</v>
      </c>
      <c r="L56" s="33" t="n">
        <f aca="false">G56-J56</f>
        <v>0</v>
      </c>
      <c r="M56" s="33" t="n">
        <f aca="false">F56</f>
        <v>8020531.25</v>
      </c>
      <c r="N56" s="64" t="n">
        <v>0.00929916666666667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45917</v>
      </c>
      <c r="C57" s="39" t="n">
        <v>862500000</v>
      </c>
      <c r="D57" s="39" t="n">
        <v>8037781.25</v>
      </c>
      <c r="E57" s="39" t="n">
        <v>143750000</v>
      </c>
      <c r="F57" s="39" t="n">
        <v>151787781.25</v>
      </c>
      <c r="G57" s="39" t="n">
        <v>718750000</v>
      </c>
      <c r="H57" s="33" t="n">
        <f aca="false">J56</f>
        <v>862500000</v>
      </c>
      <c r="I57" s="33" t="n">
        <f aca="false">H57*N57</f>
        <v>8037781.25</v>
      </c>
      <c r="J57" s="33" t="n">
        <f aca="false">H57-E57</f>
        <v>718750000</v>
      </c>
      <c r="K57" s="33" t="n">
        <f aca="false">D57-I57</f>
        <v>0</v>
      </c>
      <c r="L57" s="33" t="n">
        <f aca="false">G57-J57</f>
        <v>0</v>
      </c>
      <c r="M57" s="33" t="n">
        <f aca="false">F57</f>
        <v>151787781.25</v>
      </c>
      <c r="N57" s="64" t="n">
        <v>0.00931916666666667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45947</v>
      </c>
      <c r="C58" s="39" t="n">
        <v>718750000</v>
      </c>
      <c r="D58" s="39" t="n">
        <v>6736484.375</v>
      </c>
      <c r="E58" s="39" t="n">
        <v>0</v>
      </c>
      <c r="F58" s="39" t="n">
        <v>6736484.375</v>
      </c>
      <c r="G58" s="39" t="n">
        <v>718750000</v>
      </c>
      <c r="H58" s="33" t="n">
        <f aca="false">J57</f>
        <v>718750000</v>
      </c>
      <c r="I58" s="33" t="n">
        <f aca="false">H58*N58</f>
        <v>6736484.375</v>
      </c>
      <c r="J58" s="33" t="n">
        <f aca="false">H58-E58</f>
        <v>718750000</v>
      </c>
      <c r="K58" s="33" t="n">
        <f aca="false">D58-I58</f>
        <v>0</v>
      </c>
      <c r="L58" s="33" t="n">
        <f aca="false">G58-J58</f>
        <v>0</v>
      </c>
      <c r="M58" s="33" t="n">
        <f aca="false">F58</f>
        <v>6736484.375</v>
      </c>
      <c r="N58" s="64" t="n">
        <v>0.0093725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45978</v>
      </c>
      <c r="C59" s="39" t="n">
        <v>718750000</v>
      </c>
      <c r="D59" s="39" t="n">
        <v>6841901.04166667</v>
      </c>
      <c r="E59" s="39" t="n">
        <v>0</v>
      </c>
      <c r="F59" s="39" t="n">
        <v>6841901.04166667</v>
      </c>
      <c r="G59" s="39" t="n">
        <v>718750000</v>
      </c>
      <c r="H59" s="33" t="n">
        <f aca="false">J58</f>
        <v>718750000</v>
      </c>
      <c r="I59" s="33" t="n">
        <f aca="false">H59*N59</f>
        <v>6841901.04166667</v>
      </c>
      <c r="J59" s="33" t="n">
        <f aca="false">H59-E59</f>
        <v>718750000</v>
      </c>
      <c r="K59" s="33" t="n">
        <f aca="false">D59-I59</f>
        <v>0</v>
      </c>
      <c r="L59" s="33" t="n">
        <f aca="false">G59-J59</f>
        <v>0</v>
      </c>
      <c r="M59" s="33" t="n">
        <f aca="false">F59</f>
        <v>6841901.04166667</v>
      </c>
      <c r="N59" s="64" t="n">
        <v>0.00951916666666667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46008</v>
      </c>
      <c r="C60" s="39" t="n">
        <v>718750000</v>
      </c>
      <c r="D60" s="39" t="n">
        <v>7068307.29166667</v>
      </c>
      <c r="E60" s="39" t="n">
        <v>143750000</v>
      </c>
      <c r="F60" s="39" t="n">
        <v>150818307.291667</v>
      </c>
      <c r="G60" s="39" t="n">
        <v>575000000</v>
      </c>
      <c r="H60" s="33" t="n">
        <f aca="false">J59</f>
        <v>718750000</v>
      </c>
      <c r="I60" s="33" t="n">
        <f aca="false">H60*N60</f>
        <v>7068307.29166667</v>
      </c>
      <c r="J60" s="33" t="n">
        <f aca="false">H60-E60</f>
        <v>575000000</v>
      </c>
      <c r="K60" s="33" t="n">
        <f aca="false">D60-I60</f>
        <v>0</v>
      </c>
      <c r="L60" s="33" t="n">
        <f aca="false">G60-J60</f>
        <v>0</v>
      </c>
      <c r="M60" s="33" t="n">
        <f aca="false">F60</f>
        <v>150818307.291667</v>
      </c>
      <c r="N60" s="64" t="n">
        <v>0.00983416666666667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46039</v>
      </c>
      <c r="C61" s="39" t="n">
        <v>575000000</v>
      </c>
      <c r="D61" s="39" t="n">
        <v>5742812.5</v>
      </c>
      <c r="E61" s="39" t="n">
        <v>0</v>
      </c>
      <c r="F61" s="39" t="n">
        <v>5742812.5</v>
      </c>
      <c r="G61" s="39" t="n">
        <v>575000000</v>
      </c>
      <c r="H61" s="33" t="n">
        <f aca="false">J60</f>
        <v>575000000</v>
      </c>
      <c r="I61" s="33" t="n">
        <f aca="false">H61*N61</f>
        <v>5742812.5</v>
      </c>
      <c r="J61" s="33" t="n">
        <f aca="false">H61-E61</f>
        <v>575000000</v>
      </c>
      <c r="K61" s="33" t="n">
        <f aca="false">D61-I61</f>
        <v>0</v>
      </c>
      <c r="L61" s="33" t="n">
        <f aca="false">G61-J61</f>
        <v>0</v>
      </c>
      <c r="M61" s="33" t="n">
        <f aca="false">F61</f>
        <v>5742812.5</v>
      </c>
      <c r="N61" s="64" t="n">
        <v>0.0099875</v>
      </c>
      <c r="O61" s="48" t="n">
        <f aca="false">IF(AND(B61&gt;=DATE(2026,1,1),B61&lt;=Resumen!$C$5),1,0)</f>
        <v>1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46070</v>
      </c>
      <c r="C62" s="39" t="n">
        <v>575000000</v>
      </c>
      <c r="D62" s="39" t="n">
        <v>6206645.83333333</v>
      </c>
      <c r="E62" s="39" t="n">
        <v>0</v>
      </c>
      <c r="F62" s="39" t="n">
        <v>6206645.83333333</v>
      </c>
      <c r="G62" s="39" t="n">
        <v>575000000</v>
      </c>
      <c r="H62" s="33" t="n">
        <f aca="false">J61</f>
        <v>575000000</v>
      </c>
      <c r="I62" s="33" t="n">
        <f aca="false">H62*N62</f>
        <v>6206645.83333334</v>
      </c>
      <c r="J62" s="33" t="n">
        <f aca="false">H62-E62</f>
        <v>575000000</v>
      </c>
      <c r="K62" s="33" t="n">
        <f aca="false">D62-I62</f>
        <v>0</v>
      </c>
      <c r="L62" s="33" t="n">
        <f aca="false">G62-J62</f>
        <v>0</v>
      </c>
      <c r="M62" s="33" t="n">
        <f aca="false">F62</f>
        <v>6206645.83333333</v>
      </c>
      <c r="N62" s="64" t="n">
        <v>0.0107941666666667</v>
      </c>
      <c r="O62" s="48" t="n">
        <f aca="false">IF(AND(B62&gt;=DATE(2026,1,1),B62&lt;=Resumen!$C$5),1,0)</f>
        <v>1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46098</v>
      </c>
      <c r="C63" s="39" t="n">
        <v>575000000</v>
      </c>
      <c r="D63" s="39" t="n">
        <v>6431854.16666667</v>
      </c>
      <c r="E63" s="39" t="n">
        <v>143750000</v>
      </c>
      <c r="F63" s="39" t="n">
        <v>150181854.166667</v>
      </c>
      <c r="G63" s="39" t="n">
        <v>431250000</v>
      </c>
      <c r="H63" s="33" t="n">
        <f aca="false">J62</f>
        <v>575000000</v>
      </c>
      <c r="I63" s="33" t="n">
        <f aca="false">H63*N63</f>
        <v>6431854.16666667</v>
      </c>
      <c r="J63" s="33" t="n">
        <f aca="false">H63-E63</f>
        <v>431250000</v>
      </c>
      <c r="K63" s="33" t="n">
        <f aca="false">D63-I63</f>
        <v>0</v>
      </c>
      <c r="L63" s="33" t="n">
        <f aca="false">G63-J63</f>
        <v>0</v>
      </c>
      <c r="M63" s="33" t="n">
        <f aca="false">F63</f>
        <v>150181854.166667</v>
      </c>
      <c r="N63" s="64" t="n">
        <v>0.0111858333333333</v>
      </c>
      <c r="O63" s="48" t="n">
        <f aca="false">IF(AND(B63&gt;=DATE(2026,1,1),B63&lt;=Resumen!$C$5),1,0)</f>
        <v>1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46129</v>
      </c>
      <c r="C64" s="39" t="n">
        <v>431250000</v>
      </c>
      <c r="D64" s="39" t="n">
        <v>4976265.625</v>
      </c>
      <c r="E64" s="39" t="n">
        <v>0</v>
      </c>
      <c r="F64" s="39" t="n">
        <v>4976265.625</v>
      </c>
      <c r="G64" s="39" t="n">
        <v>431250000</v>
      </c>
      <c r="H64" s="33" t="n">
        <f aca="false">J63</f>
        <v>431250000</v>
      </c>
      <c r="I64" s="33" t="n">
        <f aca="false">H64*N64</f>
        <v>4976265.625</v>
      </c>
      <c r="J64" s="33" t="n">
        <f aca="false">H64-E64</f>
        <v>431250000</v>
      </c>
      <c r="K64" s="33" t="n">
        <f aca="false">D64-I64</f>
        <v>0</v>
      </c>
      <c r="L64" s="33" t="n">
        <f aca="false">G64-J64</f>
        <v>0</v>
      </c>
      <c r="M64" s="33" t="n">
        <f aca="false">F64</f>
        <v>4976265.625</v>
      </c>
      <c r="N64" s="64" t="n">
        <v>0.0115391666666667</v>
      </c>
      <c r="O64" s="48" t="n">
        <f aca="false">IF(AND(B64&gt;=DATE(2026,1,1),B64&lt;=Resumen!$C$5),1,0)</f>
        <v>1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46159</v>
      </c>
      <c r="C65" s="39" t="n">
        <v>431250000</v>
      </c>
      <c r="D65" s="39" t="n">
        <v>4976265.625</v>
      </c>
      <c r="E65" s="39" t="n">
        <v>0</v>
      </c>
      <c r="F65" s="39" t="n">
        <v>4976265.625</v>
      </c>
      <c r="G65" s="39" t="n">
        <v>431250000</v>
      </c>
      <c r="H65" s="33" t="n">
        <f aca="false">J64</f>
        <v>431250000</v>
      </c>
      <c r="I65" s="33" t="n">
        <f aca="false">H65*N65</f>
        <v>4976265.625</v>
      </c>
      <c r="J65" s="33" t="n">
        <f aca="false">H65-E65</f>
        <v>431250000</v>
      </c>
      <c r="K65" s="33" t="n">
        <f aca="false">D65-I65</f>
        <v>0</v>
      </c>
      <c r="L65" s="33" t="n">
        <f aca="false">G65-J65</f>
        <v>0</v>
      </c>
      <c r="M65" s="33" t="n">
        <f aca="false">F65</f>
        <v>4976265.625</v>
      </c>
      <c r="N65" s="64" t="n">
        <v>0.0115391666666667</v>
      </c>
      <c r="O65" s="48" t="n">
        <f aca="false">IF(AND(B65&gt;=DATE(2026,1,1),B65&lt;=Resumen!$C$5),1,0)</f>
        <v>1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46190</v>
      </c>
      <c r="C66" s="39" t="n">
        <v>431250000</v>
      </c>
      <c r="D66" s="39" t="n">
        <v>4987406.25</v>
      </c>
      <c r="E66" s="39" t="n">
        <v>143750000</v>
      </c>
      <c r="F66" s="39" t="n">
        <v>148737406.25</v>
      </c>
      <c r="G66" s="39" t="n">
        <v>287500000</v>
      </c>
      <c r="H66" s="33" t="n">
        <f aca="false">J65</f>
        <v>431250000</v>
      </c>
      <c r="I66" s="33" t="n">
        <f aca="false">H66*N66</f>
        <v>4987406.25</v>
      </c>
      <c r="J66" s="33" t="n">
        <f aca="false">H66-E66</f>
        <v>287500000</v>
      </c>
      <c r="K66" s="33" t="n">
        <f aca="false">D66-I66</f>
        <v>0</v>
      </c>
      <c r="L66" s="33" t="n">
        <f aca="false">G66-J66</f>
        <v>0</v>
      </c>
      <c r="M66" s="33" t="n">
        <f aca="false">F66</f>
        <v>148737406.25</v>
      </c>
      <c r="N66" s="64" t="n">
        <v>0.011565</v>
      </c>
      <c r="O66" s="48" t="n">
        <f aca="false">IF(AND(B66&gt;=DATE(2026,1,1),B66&lt;=Resumen!$C$5),1,0)</f>
        <v>1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46220</v>
      </c>
      <c r="C67" s="39" t="n">
        <v>287500000</v>
      </c>
      <c r="D67" s="39" t="n">
        <v>3394416.66666667</v>
      </c>
      <c r="E67" s="39" t="n">
        <v>0</v>
      </c>
      <c r="F67" s="39" t="n">
        <v>3394416.66666667</v>
      </c>
      <c r="G67" s="39" t="n">
        <v>287500000</v>
      </c>
      <c r="H67" s="33" t="n">
        <f aca="false">J66</f>
        <v>287500000</v>
      </c>
      <c r="I67" s="33" t="n">
        <f aca="false">H67*N67</f>
        <v>3394416.66666667</v>
      </c>
      <c r="J67" s="33" t="n">
        <f aca="false">H67-E67</f>
        <v>287500000</v>
      </c>
      <c r="K67" s="33" t="n">
        <f aca="false">D67-I67</f>
        <v>0</v>
      </c>
      <c r="L67" s="33" t="n">
        <f aca="false">G67-J67</f>
        <v>0</v>
      </c>
      <c r="M67" s="33" t="n">
        <f aca="false">F67</f>
        <v>3394416.66666667</v>
      </c>
      <c r="N67" s="64" t="n">
        <v>0.0118066666666667</v>
      </c>
      <c r="O67" s="48" t="n">
        <f aca="false">IF(AND(B67&gt;=DATE(2026,1,1),B67&lt;=Resumen!$C$5),1,0)</f>
        <v>1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46251</v>
      </c>
      <c r="C68" s="39" t="n">
        <v>287500000</v>
      </c>
      <c r="D68" s="39" t="n">
        <v>3394416.66666667</v>
      </c>
      <c r="E68" s="39" t="n">
        <v>0</v>
      </c>
      <c r="F68" s="39" t="n">
        <v>3394416.66666667</v>
      </c>
      <c r="G68" s="39" t="n">
        <v>287500000</v>
      </c>
      <c r="H68" s="33" t="n">
        <f aca="false">J67</f>
        <v>287500000</v>
      </c>
      <c r="I68" s="33" t="n">
        <f aca="false">H68*N68</f>
        <v>3394416.66666667</v>
      </c>
      <c r="J68" s="33" t="n">
        <f aca="false">H68-E68</f>
        <v>287500000</v>
      </c>
      <c r="K68" s="33" t="n">
        <f aca="false">D68-I68</f>
        <v>0</v>
      </c>
      <c r="L68" s="33" t="n">
        <f aca="false">G68-J68</f>
        <v>0</v>
      </c>
      <c r="M68" s="33" t="n">
        <f aca="false">F68</f>
        <v>3394416.66666667</v>
      </c>
      <c r="N68" s="64" t="n">
        <v>0.0118066666666667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1</v>
      </c>
    </row>
    <row r="69" customFormat="false" ht="15" hidden="false" customHeight="false" outlineLevel="0" collapsed="false">
      <c r="A69" s="38" t="n">
        <v>57</v>
      </c>
      <c r="B69" s="27" t="n">
        <v>46282</v>
      </c>
      <c r="C69" s="39" t="n">
        <v>287500000</v>
      </c>
      <c r="D69" s="39" t="n">
        <v>3394416.66666667</v>
      </c>
      <c r="E69" s="39" t="n">
        <v>143750000</v>
      </c>
      <c r="F69" s="39" t="n">
        <v>147144416.666667</v>
      </c>
      <c r="G69" s="39" t="n">
        <v>143750000</v>
      </c>
      <c r="H69" s="33" t="n">
        <f aca="false">J68</f>
        <v>287500000</v>
      </c>
      <c r="I69" s="33" t="n">
        <f aca="false">H69*N69</f>
        <v>3394416.66666667</v>
      </c>
      <c r="J69" s="33" t="n">
        <f aca="false">H69-E69</f>
        <v>143750000</v>
      </c>
      <c r="K69" s="33" t="n">
        <f aca="false">D69-I69</f>
        <v>0</v>
      </c>
      <c r="L69" s="33" t="n">
        <f aca="false">G69-J69</f>
        <v>0</v>
      </c>
      <c r="M69" s="33" t="n">
        <f aca="false">F69</f>
        <v>147144416.666667</v>
      </c>
      <c r="N69" s="64" t="n">
        <v>0.0118066666666667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1</v>
      </c>
    </row>
    <row r="70" customFormat="false" ht="15" hidden="false" customHeight="false" outlineLevel="0" collapsed="false">
      <c r="A70" s="38" t="n">
        <v>58</v>
      </c>
      <c r="B70" s="27" t="n">
        <v>46312</v>
      </c>
      <c r="C70" s="39" t="n">
        <v>143750000</v>
      </c>
      <c r="D70" s="39" t="n">
        <v>1697208.33333333</v>
      </c>
      <c r="E70" s="39" t="n">
        <v>0</v>
      </c>
      <c r="F70" s="39" t="n">
        <v>1697208.33333333</v>
      </c>
      <c r="G70" s="39" t="n">
        <v>143750000</v>
      </c>
      <c r="H70" s="33" t="n">
        <f aca="false">J69</f>
        <v>143750000</v>
      </c>
      <c r="I70" s="33" t="n">
        <f aca="false">H70*N70</f>
        <v>1697208.33333333</v>
      </c>
      <c r="J70" s="33" t="n">
        <f aca="false">H70-E70</f>
        <v>143750000</v>
      </c>
      <c r="K70" s="33" t="n">
        <f aca="false">D70-I70</f>
        <v>0</v>
      </c>
      <c r="L70" s="33" t="n">
        <f aca="false">G70-J70</f>
        <v>0</v>
      </c>
      <c r="M70" s="33" t="n">
        <f aca="false">F70</f>
        <v>1697208.33333333</v>
      </c>
      <c r="N70" s="64" t="n">
        <v>0.0118066666666667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1</v>
      </c>
    </row>
    <row r="71" customFormat="false" ht="15" hidden="false" customHeight="false" outlineLevel="0" collapsed="false">
      <c r="A71" s="38" t="n">
        <v>59</v>
      </c>
      <c r="B71" s="27" t="n">
        <v>46343</v>
      </c>
      <c r="C71" s="39" t="n">
        <v>143750000</v>
      </c>
      <c r="D71" s="39" t="n">
        <v>1697208.33333333</v>
      </c>
      <c r="E71" s="39" t="n">
        <v>0</v>
      </c>
      <c r="F71" s="39" t="n">
        <v>1697208.33333333</v>
      </c>
      <c r="G71" s="39" t="n">
        <v>143750000</v>
      </c>
      <c r="H71" s="33" t="n">
        <f aca="false">J70</f>
        <v>143750000</v>
      </c>
      <c r="I71" s="33" t="n">
        <f aca="false">H71*N71</f>
        <v>1697208.33333333</v>
      </c>
      <c r="J71" s="33" t="n">
        <f aca="false">H71-E71</f>
        <v>143750000</v>
      </c>
      <c r="K71" s="33" t="n">
        <f aca="false">D71-I71</f>
        <v>0</v>
      </c>
      <c r="L71" s="33" t="n">
        <f aca="false">G71-J71</f>
        <v>0</v>
      </c>
      <c r="M71" s="33" t="n">
        <f aca="false">F71</f>
        <v>1697208.33333333</v>
      </c>
      <c r="N71" s="64" t="n">
        <v>0.0118066666666667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1</v>
      </c>
    </row>
    <row r="72" customFormat="false" ht="15" hidden="false" customHeight="false" outlineLevel="0" collapsed="false">
      <c r="A72" s="38" t="n">
        <v>60</v>
      </c>
      <c r="B72" s="27" t="n">
        <v>46373</v>
      </c>
      <c r="C72" s="39" t="n">
        <v>143750000</v>
      </c>
      <c r="D72" s="39" t="n">
        <v>1697208.33333333</v>
      </c>
      <c r="E72" s="39" t="n">
        <v>143750000</v>
      </c>
      <c r="F72" s="39" t="n">
        <v>145447208.333333</v>
      </c>
      <c r="G72" s="39" t="n">
        <v>0</v>
      </c>
      <c r="H72" s="33" t="n">
        <f aca="false">J71</f>
        <v>143750000</v>
      </c>
      <c r="I72" s="33" t="n">
        <f aca="false">H72*N72</f>
        <v>1697208.33333333</v>
      </c>
      <c r="J72" s="33" t="n">
        <f aca="false">H72-E72</f>
        <v>0</v>
      </c>
      <c r="K72" s="33" t="n">
        <f aca="false">D72-I72</f>
        <v>0</v>
      </c>
      <c r="L72" s="33" t="n">
        <f aca="false">G72-J72</f>
        <v>0</v>
      </c>
      <c r="M72" s="33" t="n">
        <f aca="false">F72</f>
        <v>145447208.333333</v>
      </c>
      <c r="N72" s="64" t="n">
        <v>0.0118066666666667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1841</v>
      </c>
    </row>
    <row r="2" customFormat="false" ht="15" hidden="false" customHeight="false" outlineLevel="0" collapsed="false">
      <c r="A2" s="24" t="s">
        <v>1842</v>
      </c>
    </row>
    <row r="3" customFormat="false" ht="15" hidden="false" customHeight="false" outlineLevel="0" collapsed="false">
      <c r="A3" s="34" t="s">
        <v>1748</v>
      </c>
      <c r="C3" s="38" t="s">
        <v>1843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4700000000</v>
      </c>
      <c r="F4" s="26" t="s">
        <v>1752</v>
      </c>
      <c r="I4" s="57" t="n">
        <f aca="false">_xlfn.MAXIFS($B$12:$B$18,$B$12:$B$18,"&lt;="&amp;Resumen!$C$5)</f>
        <v>46184</v>
      </c>
    </row>
    <row r="5" customFormat="false" ht="15" hidden="false" customHeight="false" outlineLevel="0" collapsed="false">
      <c r="A5" s="34" t="s">
        <v>1753</v>
      </c>
      <c r="C5" s="27" t="n">
        <v>46002</v>
      </c>
      <c r="F5" s="26" t="s">
        <v>1754</v>
      </c>
      <c r="I5" s="58" t="n">
        <f aca="false">SUMIFS($G$12:$G$18,$B$12:$B$18,I4)</f>
        <v>0</v>
      </c>
    </row>
    <row r="6" customFormat="false" ht="15" hidden="false" customHeight="false" outlineLevel="0" collapsed="false">
      <c r="A6" s="34" t="s">
        <v>1755</v>
      </c>
      <c r="C6" s="38" t="s">
        <v>1844</v>
      </c>
      <c r="F6" s="26" t="s">
        <v>1757</v>
      </c>
      <c r="I6" s="33" t="n">
        <f aca="false">SUMIFS($J$12:$J$18,$B$12:$B$18,I4)</f>
        <v>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SUMIFS($D$12:$D$18,$O$12:$O$18,1)</f>
        <v>280170916.666667</v>
      </c>
    </row>
    <row r="8" customFormat="false" ht="15" hidden="false" customHeight="false" outlineLevel="0" collapsed="false">
      <c r="A8" s="34" t="s">
        <v>1760</v>
      </c>
      <c r="C8" s="65" t="n">
        <f aca="false">IFERROR(IRR($M$12:$M$18),"N/A")</f>
        <v>0.00992648677860791</v>
      </c>
      <c r="F8" s="26" t="s">
        <v>1761</v>
      </c>
      <c r="I8" s="33" t="n">
        <f aca="false">SUMIFS($E$12:$E$18,$P$12:$P$18,1)</f>
        <v>0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0.125841227539443</v>
      </c>
      <c r="F9" s="26" t="s">
        <v>1763</v>
      </c>
      <c r="I9" s="33" t="n">
        <f aca="false">SUMPRODUCT(MAX(ABS($L$12:$L$18)))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46002</v>
      </c>
      <c r="C12" s="39" t="n">
        <v>4700000000</v>
      </c>
      <c r="D12" s="39" t="n">
        <v>0</v>
      </c>
      <c r="E12" s="39" t="n">
        <v>0</v>
      </c>
      <c r="F12" s="39" t="n">
        <v>0</v>
      </c>
      <c r="G12" s="39" t="n">
        <v>4700000000</v>
      </c>
      <c r="H12" s="33" t="n">
        <f aca="false">C12</f>
        <v>4700000000</v>
      </c>
      <c r="I12" s="33" t="n">
        <f aca="false">H12*N12</f>
        <v>40737250</v>
      </c>
      <c r="J12" s="33" t="n">
        <f aca="false">H12-E12</f>
        <v>4700000000</v>
      </c>
      <c r="K12" s="33" t="n">
        <f aca="false">D12-I12</f>
        <v>-40737250</v>
      </c>
      <c r="L12" s="33" t="n">
        <f aca="false">G12-J12</f>
        <v>0</v>
      </c>
      <c r="M12" s="33" t="n">
        <f aca="false">-$C$4</f>
        <v>-4700000000</v>
      </c>
      <c r="N12" s="64" t="n">
        <v>0.0086675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46033</v>
      </c>
      <c r="C13" s="39" t="n">
        <v>4700000000</v>
      </c>
      <c r="D13" s="39" t="n">
        <v>41457916.6666667</v>
      </c>
      <c r="E13" s="39" t="n">
        <v>0</v>
      </c>
      <c r="F13" s="39" t="n">
        <v>41457916.6666667</v>
      </c>
      <c r="G13" s="39" t="n">
        <v>4700000000</v>
      </c>
      <c r="H13" s="33" t="n">
        <f aca="false">J12</f>
        <v>4700000000</v>
      </c>
      <c r="I13" s="33" t="n">
        <f aca="false">H13*N13</f>
        <v>41457916.6666667</v>
      </c>
      <c r="J13" s="33" t="n">
        <f aca="false">H13-E13</f>
        <v>4700000000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41457916.6666667</v>
      </c>
      <c r="N13" s="64" t="n">
        <v>0.00882083333333333</v>
      </c>
      <c r="O13" s="48" t="n">
        <f aca="false">IF(AND(B13&gt;=DATE(2026,1,1),B13&lt;=Resumen!$C$5),1,0)</f>
        <v>1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46064</v>
      </c>
      <c r="C14" s="39" t="n">
        <v>4700000000</v>
      </c>
      <c r="D14" s="39" t="n">
        <v>45249250</v>
      </c>
      <c r="E14" s="39" t="n">
        <v>0</v>
      </c>
      <c r="F14" s="39" t="n">
        <v>45249250</v>
      </c>
      <c r="G14" s="39" t="n">
        <v>4700000000</v>
      </c>
      <c r="H14" s="33" t="n">
        <f aca="false">J13</f>
        <v>4700000000</v>
      </c>
      <c r="I14" s="33" t="n">
        <f aca="false">H14*N14</f>
        <v>45249250</v>
      </c>
      <c r="J14" s="33" t="n">
        <f aca="false">H14-E14</f>
        <v>4700000000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45249250</v>
      </c>
      <c r="N14" s="64" t="n">
        <v>0.0096275</v>
      </c>
      <c r="O14" s="48" t="n">
        <f aca="false">IF(AND(B14&gt;=DATE(2026,1,1),B14&lt;=Resumen!$C$5),1,0)</f>
        <v>1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46092</v>
      </c>
      <c r="C15" s="39" t="n">
        <v>4700000000</v>
      </c>
      <c r="D15" s="39" t="n">
        <v>47090083.3333333</v>
      </c>
      <c r="E15" s="39" t="n">
        <v>0</v>
      </c>
      <c r="F15" s="39" t="n">
        <v>47090083.3333333</v>
      </c>
      <c r="G15" s="39" t="n">
        <v>4700000000</v>
      </c>
      <c r="H15" s="33" t="n">
        <f aca="false">J14</f>
        <v>4700000000</v>
      </c>
      <c r="I15" s="33" t="n">
        <f aca="false">H15*N15</f>
        <v>47090083.3333333</v>
      </c>
      <c r="J15" s="33" t="n">
        <f aca="false">H15-E15</f>
        <v>4700000000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47090083.3333333</v>
      </c>
      <c r="N15" s="64" t="n">
        <v>0.0100191666666667</v>
      </c>
      <c r="O15" s="48" t="n">
        <f aca="false">IF(AND(B15&gt;=DATE(2026,1,1),B15&lt;=Resumen!$C$5),1,0)</f>
        <v>1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46123</v>
      </c>
      <c r="C16" s="39" t="n">
        <v>4700000000</v>
      </c>
      <c r="D16" s="39" t="n">
        <v>48750750</v>
      </c>
      <c r="E16" s="39" t="n">
        <v>0</v>
      </c>
      <c r="F16" s="39" t="n">
        <v>48750750</v>
      </c>
      <c r="G16" s="39" t="n">
        <v>4700000000</v>
      </c>
      <c r="H16" s="33" t="n">
        <f aca="false">J15</f>
        <v>4700000000</v>
      </c>
      <c r="I16" s="33" t="n">
        <f aca="false">H16*N16</f>
        <v>48750750</v>
      </c>
      <c r="J16" s="33" t="n">
        <f aca="false">H16-E16</f>
        <v>4700000000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48750750</v>
      </c>
      <c r="N16" s="64" t="n">
        <v>0.0103725</v>
      </c>
      <c r="O16" s="48" t="n">
        <f aca="false">IF(AND(B16&gt;=DATE(2026,1,1),B16&lt;=Resumen!$C$5),1,0)</f>
        <v>1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46153</v>
      </c>
      <c r="C17" s="39" t="n">
        <v>4700000000</v>
      </c>
      <c r="D17" s="39" t="n">
        <v>48750750</v>
      </c>
      <c r="E17" s="39" t="n">
        <v>0</v>
      </c>
      <c r="F17" s="39" t="n">
        <v>48750750</v>
      </c>
      <c r="G17" s="39" t="n">
        <v>4700000000</v>
      </c>
      <c r="H17" s="33" t="n">
        <f aca="false">J16</f>
        <v>4700000000</v>
      </c>
      <c r="I17" s="33" t="n">
        <f aca="false">H17*N17</f>
        <v>48750750</v>
      </c>
      <c r="J17" s="33" t="n">
        <f aca="false">H17-E17</f>
        <v>4700000000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48750750</v>
      </c>
      <c r="N17" s="64" t="n">
        <v>0.0103725</v>
      </c>
      <c r="O17" s="48" t="n">
        <f aca="false">IF(AND(B17&gt;=DATE(2026,1,1),B17&lt;=Resumen!$C$5),1,0)</f>
        <v>1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46184</v>
      </c>
      <c r="C18" s="39" t="n">
        <v>4700000000</v>
      </c>
      <c r="D18" s="39" t="n">
        <v>48872166.6666667</v>
      </c>
      <c r="E18" s="39" t="n">
        <v>4700000000</v>
      </c>
      <c r="F18" s="39" t="n">
        <v>4748872166.66667</v>
      </c>
      <c r="G18" s="39" t="n">
        <v>0</v>
      </c>
      <c r="H18" s="33" t="n">
        <f aca="false">J17</f>
        <v>4700000000</v>
      </c>
      <c r="I18" s="33" t="n">
        <f aca="false">H18*N18</f>
        <v>48872166.6666667</v>
      </c>
      <c r="J18" s="33" t="n">
        <f aca="false">H18-E18</f>
        <v>0</v>
      </c>
      <c r="K18" s="33" t="n">
        <f aca="false">D18-I18</f>
        <v>0</v>
      </c>
      <c r="L18" s="33" t="n">
        <f aca="false">G18-J18</f>
        <v>0</v>
      </c>
      <c r="M18" s="33" t="n">
        <f aca="false">F18</f>
        <v>4748872166.66667</v>
      </c>
      <c r="N18" s="64" t="n">
        <v>0.0103983333333333</v>
      </c>
      <c r="O18" s="48" t="n">
        <f aca="false">IF(AND(B18&gt;=DATE(2026,1,1),B18&lt;=Resumen!$C$5),1,0)</f>
        <v>1</v>
      </c>
      <c r="P18" s="48" t="n">
        <f aca="false">IF(AND(B18&gt;Resumen!$C$5,B18&lt;=DATE(2027,7,31)),1,0)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1845</v>
      </c>
    </row>
    <row r="2" customFormat="false" ht="15" hidden="false" customHeight="false" outlineLevel="0" collapsed="false">
      <c r="A2" s="24" t="s">
        <v>1846</v>
      </c>
    </row>
    <row r="3" customFormat="false" ht="15" hidden="false" customHeight="false" outlineLevel="0" collapsed="false">
      <c r="A3" s="34" t="s">
        <v>1748</v>
      </c>
      <c r="C3" s="38" t="s">
        <v>1847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5000000000</v>
      </c>
      <c r="F4" s="26" t="s">
        <v>1752</v>
      </c>
      <c r="I4" s="57" t="n">
        <f aca="false">_xlfn.MAXIFS($B$12:$B$48,$B$12:$B$48,"&lt;="&amp;Resumen!$C$5)</f>
        <v>46224</v>
      </c>
    </row>
    <row r="5" customFormat="false" ht="15" hidden="false" customHeight="false" outlineLevel="0" collapsed="false">
      <c r="A5" s="34" t="s">
        <v>1753</v>
      </c>
      <c r="C5" s="27" t="n">
        <v>45768</v>
      </c>
      <c r="F5" s="26" t="s">
        <v>1754</v>
      </c>
      <c r="I5" s="58" t="n">
        <f aca="false">SUMIFS($G$12:$G$48,$B$12:$B$48,I4)</f>
        <v>3333333333.33333</v>
      </c>
    </row>
    <row r="6" customFormat="false" ht="15" hidden="false" customHeight="false" outlineLevel="0" collapsed="false">
      <c r="A6" s="34" t="s">
        <v>1755</v>
      </c>
      <c r="C6" s="38" t="s">
        <v>1848</v>
      </c>
      <c r="F6" s="26" t="s">
        <v>1757</v>
      </c>
      <c r="I6" s="33" t="n">
        <f aca="false">SUMIFS($J$12:$J$48,$B$12:$B$48,I4)</f>
        <v>3333333333.33333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SUMIFS($D$12:$D$48,$O$12:$O$48,1)</f>
        <v>311402777.777778</v>
      </c>
    </row>
    <row r="8" customFormat="false" ht="15" hidden="false" customHeight="false" outlineLevel="0" collapsed="false">
      <c r="A8" s="34" t="s">
        <v>1760</v>
      </c>
      <c r="C8" s="65" t="n">
        <f aca="false">IFERROR(IRR($M$12:$M$48),"N/A")</f>
        <v>0.00998937524782703</v>
      </c>
      <c r="F8" s="26" t="s">
        <v>1761</v>
      </c>
      <c r="I8" s="33" t="n">
        <f aca="false">SUMIFS($E$12:$E$48,$P$12:$P$48,1)</f>
        <v>1666666666.66667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0.126682793965309</v>
      </c>
      <c r="F9" s="26" t="s">
        <v>1763</v>
      </c>
      <c r="I9" s="33" t="n">
        <f aca="false">SUMPRODUCT(MAX(ABS($L$12:$L$48)))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45768</v>
      </c>
      <c r="C12" s="39" t="n">
        <v>5000000000</v>
      </c>
      <c r="D12" s="39" t="n">
        <v>0</v>
      </c>
      <c r="E12" s="39" t="n">
        <v>0</v>
      </c>
      <c r="F12" s="39" t="n">
        <v>0</v>
      </c>
      <c r="G12" s="39" t="n">
        <v>5000000000</v>
      </c>
      <c r="H12" s="33" t="n">
        <f aca="false">C12</f>
        <v>5000000000</v>
      </c>
      <c r="I12" s="33" t="n">
        <f aca="false">H12*N12</f>
        <v>43562500</v>
      </c>
      <c r="J12" s="33" t="n">
        <f aca="false">H12-E12</f>
        <v>5000000000</v>
      </c>
      <c r="K12" s="33" t="n">
        <f aca="false">D12-I12</f>
        <v>-43562500</v>
      </c>
      <c r="L12" s="33" t="n">
        <f aca="false">G12-J12</f>
        <v>0</v>
      </c>
      <c r="M12" s="33" t="n">
        <f aca="false">-$C$4</f>
        <v>-5000000000</v>
      </c>
      <c r="N12" s="64" t="n">
        <v>0.0087125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45798</v>
      </c>
      <c r="C13" s="39" t="n">
        <v>5000000000</v>
      </c>
      <c r="D13" s="39" t="n">
        <v>42570833.3333333</v>
      </c>
      <c r="E13" s="39" t="n">
        <v>0</v>
      </c>
      <c r="F13" s="39" t="n">
        <v>42570833.3333333</v>
      </c>
      <c r="G13" s="39" t="n">
        <v>5000000000</v>
      </c>
      <c r="H13" s="33" t="n">
        <f aca="false">J12</f>
        <v>5000000000</v>
      </c>
      <c r="I13" s="33" t="n">
        <f aca="false">H13*N13</f>
        <v>42570833.3333333</v>
      </c>
      <c r="J13" s="33" t="n">
        <f aca="false">H13-E13</f>
        <v>5000000000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42570833.3333333</v>
      </c>
      <c r="N13" s="64" t="n">
        <v>0.00851416666666667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45829</v>
      </c>
      <c r="C14" s="39" t="n">
        <v>5000000000</v>
      </c>
      <c r="D14" s="39" t="n">
        <v>42475000</v>
      </c>
      <c r="E14" s="39" t="n">
        <v>0</v>
      </c>
      <c r="F14" s="39" t="n">
        <v>42475000</v>
      </c>
      <c r="G14" s="39" t="n">
        <v>5000000000</v>
      </c>
      <c r="H14" s="33" t="n">
        <f aca="false">J13</f>
        <v>5000000000</v>
      </c>
      <c r="I14" s="33" t="n">
        <f aca="false">H14*N14</f>
        <v>42475000</v>
      </c>
      <c r="J14" s="33" t="n">
        <f aca="false">H14-E14</f>
        <v>5000000000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42475000</v>
      </c>
      <c r="N14" s="64" t="n">
        <v>0.008495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45859</v>
      </c>
      <c r="C15" s="39" t="n">
        <v>5000000000</v>
      </c>
      <c r="D15" s="39" t="n">
        <v>42141666.6666667</v>
      </c>
      <c r="E15" s="39" t="n">
        <v>0</v>
      </c>
      <c r="F15" s="39" t="n">
        <v>42141666.6666667</v>
      </c>
      <c r="G15" s="39" t="n">
        <v>5000000000</v>
      </c>
      <c r="H15" s="33" t="n">
        <f aca="false">J14</f>
        <v>5000000000</v>
      </c>
      <c r="I15" s="33" t="n">
        <f aca="false">H15*N15</f>
        <v>42141666.6666667</v>
      </c>
      <c r="J15" s="33" t="n">
        <f aca="false">H15-E15</f>
        <v>5000000000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42141666.6666667</v>
      </c>
      <c r="N15" s="64" t="n">
        <v>0.00842833333333333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45890</v>
      </c>
      <c r="C16" s="39" t="n">
        <v>5000000000</v>
      </c>
      <c r="D16" s="39" t="n">
        <v>42745833.3333333</v>
      </c>
      <c r="E16" s="39" t="n">
        <v>0</v>
      </c>
      <c r="F16" s="39" t="n">
        <v>42745833.3333333</v>
      </c>
      <c r="G16" s="39" t="n">
        <v>5000000000</v>
      </c>
      <c r="H16" s="33" t="n">
        <f aca="false">J15</f>
        <v>5000000000</v>
      </c>
      <c r="I16" s="33" t="n">
        <f aca="false">H16*N16</f>
        <v>42745833.3333333</v>
      </c>
      <c r="J16" s="33" t="n">
        <f aca="false">H16-E16</f>
        <v>5000000000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42745833.3333333</v>
      </c>
      <c r="N16" s="64" t="n">
        <v>0.00854916666666667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45921</v>
      </c>
      <c r="C17" s="39" t="n">
        <v>5000000000</v>
      </c>
      <c r="D17" s="39" t="n">
        <v>42845833.3333333</v>
      </c>
      <c r="E17" s="39" t="n">
        <v>0</v>
      </c>
      <c r="F17" s="39" t="n">
        <v>42845833.3333333</v>
      </c>
      <c r="G17" s="39" t="n">
        <v>5000000000</v>
      </c>
      <c r="H17" s="33" t="n">
        <f aca="false">J16</f>
        <v>5000000000</v>
      </c>
      <c r="I17" s="33" t="n">
        <f aca="false">H17*N17</f>
        <v>42845833.3333333</v>
      </c>
      <c r="J17" s="33" t="n">
        <f aca="false">H17-E17</f>
        <v>5000000000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42845833.3333333</v>
      </c>
      <c r="N17" s="64" t="n">
        <v>0.00856916666666667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45951</v>
      </c>
      <c r="C18" s="39" t="n">
        <v>5000000000</v>
      </c>
      <c r="D18" s="39" t="n">
        <v>43112500</v>
      </c>
      <c r="E18" s="39" t="n">
        <v>0</v>
      </c>
      <c r="F18" s="39" t="n">
        <v>43112500</v>
      </c>
      <c r="G18" s="39" t="n">
        <v>5000000000</v>
      </c>
      <c r="H18" s="33" t="n">
        <f aca="false">J17</f>
        <v>5000000000</v>
      </c>
      <c r="I18" s="33" t="n">
        <f aca="false">H18*N18</f>
        <v>43112500</v>
      </c>
      <c r="J18" s="33" t="n">
        <f aca="false">H18-E18</f>
        <v>5000000000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43112500</v>
      </c>
      <c r="N18" s="64" t="n">
        <v>0.0086225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45982</v>
      </c>
      <c r="C19" s="39" t="n">
        <v>5000000000</v>
      </c>
      <c r="D19" s="39" t="n">
        <v>43845833.3333333</v>
      </c>
      <c r="E19" s="39" t="n">
        <v>0</v>
      </c>
      <c r="F19" s="39" t="n">
        <v>43845833.3333333</v>
      </c>
      <c r="G19" s="39" t="n">
        <v>5000000000</v>
      </c>
      <c r="H19" s="33" t="n">
        <f aca="false">J18</f>
        <v>5000000000</v>
      </c>
      <c r="I19" s="33" t="n">
        <f aca="false">H19*N19</f>
        <v>43845833.3333333</v>
      </c>
      <c r="J19" s="33" t="n">
        <f aca="false">H19-E19</f>
        <v>5000000000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43845833.3333333</v>
      </c>
      <c r="N19" s="64" t="n">
        <v>0.00876916666666667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46012</v>
      </c>
      <c r="C20" s="39" t="n">
        <v>5000000000</v>
      </c>
      <c r="D20" s="39" t="n">
        <v>45420833.3333333</v>
      </c>
      <c r="E20" s="39" t="n">
        <v>0</v>
      </c>
      <c r="F20" s="39" t="n">
        <v>45420833.3333333</v>
      </c>
      <c r="G20" s="39" t="n">
        <v>5000000000</v>
      </c>
      <c r="H20" s="33" t="n">
        <f aca="false">J19</f>
        <v>5000000000</v>
      </c>
      <c r="I20" s="33" t="n">
        <f aca="false">H20*N20</f>
        <v>45420833.3333333</v>
      </c>
      <c r="J20" s="33" t="n">
        <f aca="false">H20-E20</f>
        <v>5000000000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45420833.3333333</v>
      </c>
      <c r="N20" s="64" t="n">
        <v>0.00908416666666667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46043</v>
      </c>
      <c r="C21" s="39" t="n">
        <v>5000000000</v>
      </c>
      <c r="D21" s="39" t="n">
        <v>46187500</v>
      </c>
      <c r="E21" s="39" t="n">
        <v>0</v>
      </c>
      <c r="F21" s="39" t="n">
        <v>46187500</v>
      </c>
      <c r="G21" s="39" t="n">
        <v>5000000000</v>
      </c>
      <c r="H21" s="33" t="n">
        <f aca="false">J20</f>
        <v>5000000000</v>
      </c>
      <c r="I21" s="33" t="n">
        <f aca="false">H21*N21</f>
        <v>46187500</v>
      </c>
      <c r="J21" s="33" t="n">
        <f aca="false">H21-E21</f>
        <v>5000000000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46187500</v>
      </c>
      <c r="N21" s="64" t="n">
        <v>0.0092375</v>
      </c>
      <c r="O21" s="48" t="n">
        <f aca="false">IF(AND(B21&gt;=DATE(2026,1,1),B21&lt;=Resumen!$C$5),1,0)</f>
        <v>1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46074</v>
      </c>
      <c r="C22" s="39" t="n">
        <v>5000000000</v>
      </c>
      <c r="D22" s="39" t="n">
        <v>50220833.3333333</v>
      </c>
      <c r="E22" s="39" t="n">
        <v>0</v>
      </c>
      <c r="F22" s="39" t="n">
        <v>50220833.3333333</v>
      </c>
      <c r="G22" s="39" t="n">
        <v>5000000000</v>
      </c>
      <c r="H22" s="33" t="n">
        <f aca="false">J21</f>
        <v>5000000000</v>
      </c>
      <c r="I22" s="33" t="n">
        <f aca="false">H22*N22</f>
        <v>50220833.3333334</v>
      </c>
      <c r="J22" s="33" t="n">
        <f aca="false">H22-E22</f>
        <v>5000000000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50220833.3333333</v>
      </c>
      <c r="N22" s="64" t="n">
        <v>0.0100441666666667</v>
      </c>
      <c r="O22" s="48" t="n">
        <f aca="false">IF(AND(B22&gt;=DATE(2026,1,1),B22&lt;=Resumen!$C$5),1,0)</f>
        <v>1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46102</v>
      </c>
      <c r="C23" s="39" t="n">
        <v>5000000000</v>
      </c>
      <c r="D23" s="39" t="n">
        <v>52179166.6666667</v>
      </c>
      <c r="E23" s="39" t="n">
        <v>0</v>
      </c>
      <c r="F23" s="39" t="n">
        <v>52179166.6666667</v>
      </c>
      <c r="G23" s="39" t="n">
        <v>5000000000</v>
      </c>
      <c r="H23" s="33" t="n">
        <f aca="false">J22</f>
        <v>5000000000</v>
      </c>
      <c r="I23" s="33" t="n">
        <f aca="false">H23*N23</f>
        <v>52179166.6666667</v>
      </c>
      <c r="J23" s="33" t="n">
        <f aca="false">H23-E23</f>
        <v>5000000000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52179166.6666667</v>
      </c>
      <c r="N23" s="64" t="n">
        <v>0.0104358333333333</v>
      </c>
      <c r="O23" s="48" t="n">
        <f aca="false">IF(AND(B23&gt;=DATE(2026,1,1),B23&lt;=Resumen!$C$5),1,0)</f>
        <v>1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46133</v>
      </c>
      <c r="C24" s="39" t="n">
        <v>5000000000</v>
      </c>
      <c r="D24" s="39" t="n">
        <v>53945833.3333333</v>
      </c>
      <c r="E24" s="39" t="n">
        <v>1666666666.66667</v>
      </c>
      <c r="F24" s="39" t="n">
        <v>1720612500</v>
      </c>
      <c r="G24" s="39" t="n">
        <v>3333333333.33333</v>
      </c>
      <c r="H24" s="33" t="n">
        <f aca="false">J23</f>
        <v>5000000000</v>
      </c>
      <c r="I24" s="33" t="n">
        <f aca="false">H24*N24</f>
        <v>53945833.3333334</v>
      </c>
      <c r="J24" s="33" t="n">
        <f aca="false">H24-E24</f>
        <v>3333333333.33333</v>
      </c>
      <c r="K24" s="33" t="n">
        <f aca="false">D24-I24</f>
        <v>0</v>
      </c>
      <c r="L24" s="33" t="n">
        <f aca="false">G24-J24</f>
        <v>0</v>
      </c>
      <c r="M24" s="33" t="n">
        <f aca="false">F24</f>
        <v>1720612500</v>
      </c>
      <c r="N24" s="64" t="n">
        <v>0.0107891666666667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46163</v>
      </c>
      <c r="C25" s="39" t="n">
        <v>3333333333.33333</v>
      </c>
      <c r="D25" s="39" t="n">
        <v>35963888.8888889</v>
      </c>
      <c r="E25" s="39" t="n">
        <v>0</v>
      </c>
      <c r="F25" s="39" t="n">
        <v>35963888.8888889</v>
      </c>
      <c r="G25" s="39" t="n">
        <v>3333333333.33333</v>
      </c>
      <c r="H25" s="33" t="n">
        <f aca="false">J24</f>
        <v>3333333333.33333</v>
      </c>
      <c r="I25" s="33" t="n">
        <f aca="false">H25*N25</f>
        <v>35963888.8888889</v>
      </c>
      <c r="J25" s="33" t="n">
        <f aca="false">H25-E25</f>
        <v>3333333333.33333</v>
      </c>
      <c r="K25" s="33" t="n">
        <f aca="false">D25-I25</f>
        <v>0</v>
      </c>
      <c r="L25" s="33" t="n">
        <f aca="false">G25-J25</f>
        <v>0</v>
      </c>
      <c r="M25" s="33" t="n">
        <f aca="false">F25</f>
        <v>35963888.8888889</v>
      </c>
      <c r="N25" s="64" t="n">
        <v>0.0107891666666667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46194</v>
      </c>
      <c r="C26" s="39" t="n">
        <v>3333333333.33333</v>
      </c>
      <c r="D26" s="39" t="n">
        <v>36050000</v>
      </c>
      <c r="E26" s="39" t="n">
        <v>0</v>
      </c>
      <c r="F26" s="39" t="n">
        <v>36050000</v>
      </c>
      <c r="G26" s="39" t="n">
        <v>3333333333.33333</v>
      </c>
      <c r="H26" s="33" t="n">
        <f aca="false">J25</f>
        <v>3333333333.33333</v>
      </c>
      <c r="I26" s="33" t="n">
        <f aca="false">H26*N26</f>
        <v>36050000</v>
      </c>
      <c r="J26" s="33" t="n">
        <f aca="false">H26-E26</f>
        <v>3333333333.33333</v>
      </c>
      <c r="K26" s="33" t="n">
        <f aca="false">D26-I26</f>
        <v>0</v>
      </c>
      <c r="L26" s="33" t="n">
        <f aca="false">G26-J26</f>
        <v>0</v>
      </c>
      <c r="M26" s="33" t="n">
        <f aca="false">F26</f>
        <v>36050000</v>
      </c>
      <c r="N26" s="64" t="n">
        <v>0.010815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46224</v>
      </c>
      <c r="C27" s="39" t="n">
        <v>3333333333.33333</v>
      </c>
      <c r="D27" s="39" t="n">
        <v>36855555.5555556</v>
      </c>
      <c r="E27" s="39" t="n">
        <v>0</v>
      </c>
      <c r="F27" s="39" t="n">
        <v>36855555.5555556</v>
      </c>
      <c r="G27" s="39" t="n">
        <v>3333333333.33333</v>
      </c>
      <c r="H27" s="33" t="n">
        <f aca="false">J26</f>
        <v>3333333333.33333</v>
      </c>
      <c r="I27" s="33" t="n">
        <f aca="false">H27*N27</f>
        <v>36855555.5555556</v>
      </c>
      <c r="J27" s="33" t="n">
        <f aca="false">H27-E27</f>
        <v>3333333333.33333</v>
      </c>
      <c r="K27" s="33" t="n">
        <f aca="false">D27-I27</f>
        <v>0</v>
      </c>
      <c r="L27" s="33" t="n">
        <f aca="false">G27-J27</f>
        <v>0</v>
      </c>
      <c r="M27" s="33" t="n">
        <f aca="false">F27</f>
        <v>36855555.5555556</v>
      </c>
      <c r="N27" s="64" t="n">
        <v>0.0110566666666667</v>
      </c>
      <c r="O27" s="48" t="n">
        <f aca="false">IF(AND(B27&gt;=DATE(2026,1,1),B27&lt;=Resumen!$C$5),1,0)</f>
        <v>1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46255</v>
      </c>
      <c r="C28" s="39" t="n">
        <v>3333333333.33333</v>
      </c>
      <c r="D28" s="39" t="n">
        <v>36855555.5555556</v>
      </c>
      <c r="E28" s="39" t="n">
        <v>0</v>
      </c>
      <c r="F28" s="39" t="n">
        <v>36855555.5555556</v>
      </c>
      <c r="G28" s="39" t="n">
        <v>3333333333.33333</v>
      </c>
      <c r="H28" s="33" t="n">
        <f aca="false">J27</f>
        <v>3333333333.33333</v>
      </c>
      <c r="I28" s="33" t="n">
        <f aca="false">H28*N28</f>
        <v>36855555.5555556</v>
      </c>
      <c r="J28" s="33" t="n">
        <f aca="false">H28-E28</f>
        <v>3333333333.33333</v>
      </c>
      <c r="K28" s="33" t="n">
        <f aca="false">D28-I28</f>
        <v>0</v>
      </c>
      <c r="L28" s="33" t="n">
        <f aca="false">G28-J28</f>
        <v>0</v>
      </c>
      <c r="M28" s="33" t="n">
        <f aca="false">F28</f>
        <v>36855555.5555556</v>
      </c>
      <c r="N28" s="64" t="n">
        <v>0.0110566666666667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46286</v>
      </c>
      <c r="C29" s="39" t="n">
        <v>3333333333.33333</v>
      </c>
      <c r="D29" s="39" t="n">
        <v>36855555.5555556</v>
      </c>
      <c r="E29" s="39" t="n">
        <v>0</v>
      </c>
      <c r="F29" s="39" t="n">
        <v>36855555.5555556</v>
      </c>
      <c r="G29" s="39" t="n">
        <v>3333333333.33333</v>
      </c>
      <c r="H29" s="33" t="n">
        <f aca="false">J28</f>
        <v>3333333333.33333</v>
      </c>
      <c r="I29" s="33" t="n">
        <f aca="false">H29*N29</f>
        <v>36855555.5555556</v>
      </c>
      <c r="J29" s="33" t="n">
        <f aca="false">H29-E29</f>
        <v>3333333333.33333</v>
      </c>
      <c r="K29" s="33" t="n">
        <f aca="false">D29-I29</f>
        <v>0</v>
      </c>
      <c r="L29" s="33" t="n">
        <f aca="false">G29-J29</f>
        <v>0</v>
      </c>
      <c r="M29" s="33" t="n">
        <f aca="false">F29</f>
        <v>36855555.5555556</v>
      </c>
      <c r="N29" s="64" t="n">
        <v>0.0110566666666667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46316</v>
      </c>
      <c r="C30" s="39" t="n">
        <v>3333333333.33333</v>
      </c>
      <c r="D30" s="39" t="n">
        <v>36855555.5555556</v>
      </c>
      <c r="E30" s="39" t="n">
        <v>0</v>
      </c>
      <c r="F30" s="39" t="n">
        <v>36855555.5555556</v>
      </c>
      <c r="G30" s="39" t="n">
        <v>3333333333.33333</v>
      </c>
      <c r="H30" s="33" t="n">
        <f aca="false">J29</f>
        <v>3333333333.33333</v>
      </c>
      <c r="I30" s="33" t="n">
        <f aca="false">H30*N30</f>
        <v>36855555.5555556</v>
      </c>
      <c r="J30" s="33" t="n">
        <f aca="false">H30-E30</f>
        <v>3333333333.33333</v>
      </c>
      <c r="K30" s="33" t="n">
        <f aca="false">D30-I30</f>
        <v>0</v>
      </c>
      <c r="L30" s="33" t="n">
        <f aca="false">G30-J30</f>
        <v>0</v>
      </c>
      <c r="M30" s="33" t="n">
        <f aca="false">F30</f>
        <v>36855555.5555556</v>
      </c>
      <c r="N30" s="64" t="n">
        <v>0.0110566666666667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46347</v>
      </c>
      <c r="C31" s="39" t="n">
        <v>3333333333.33333</v>
      </c>
      <c r="D31" s="39" t="n">
        <v>36855555.5555556</v>
      </c>
      <c r="E31" s="39" t="n">
        <v>0</v>
      </c>
      <c r="F31" s="39" t="n">
        <v>36855555.5555556</v>
      </c>
      <c r="G31" s="39" t="n">
        <v>3333333333.33333</v>
      </c>
      <c r="H31" s="33" t="n">
        <f aca="false">J30</f>
        <v>3333333333.33333</v>
      </c>
      <c r="I31" s="33" t="n">
        <f aca="false">H31*N31</f>
        <v>36855555.5555556</v>
      </c>
      <c r="J31" s="33" t="n">
        <f aca="false">H31-E31</f>
        <v>3333333333.33333</v>
      </c>
      <c r="K31" s="33" t="n">
        <f aca="false">D31-I31</f>
        <v>0</v>
      </c>
      <c r="L31" s="33" t="n">
        <f aca="false">G31-J31</f>
        <v>0</v>
      </c>
      <c r="M31" s="33" t="n">
        <f aca="false">F31</f>
        <v>36855555.5555556</v>
      </c>
      <c r="N31" s="64" t="n">
        <v>0.0110566666666667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1</v>
      </c>
    </row>
    <row r="32" customFormat="false" ht="15" hidden="false" customHeight="false" outlineLevel="0" collapsed="false">
      <c r="A32" s="38" t="n">
        <v>20</v>
      </c>
      <c r="B32" s="27" t="n">
        <v>46377</v>
      </c>
      <c r="C32" s="39" t="n">
        <v>3333333333.33333</v>
      </c>
      <c r="D32" s="39" t="n">
        <v>36855555.5555556</v>
      </c>
      <c r="E32" s="39" t="n">
        <v>0</v>
      </c>
      <c r="F32" s="39" t="n">
        <v>36855555.5555556</v>
      </c>
      <c r="G32" s="39" t="n">
        <v>3333333333.33333</v>
      </c>
      <c r="H32" s="33" t="n">
        <f aca="false">J31</f>
        <v>3333333333.33333</v>
      </c>
      <c r="I32" s="33" t="n">
        <f aca="false">H32*N32</f>
        <v>36855555.5555556</v>
      </c>
      <c r="J32" s="33" t="n">
        <f aca="false">H32-E32</f>
        <v>3333333333.33333</v>
      </c>
      <c r="K32" s="33" t="n">
        <f aca="false">D32-I32</f>
        <v>0</v>
      </c>
      <c r="L32" s="33" t="n">
        <f aca="false">G32-J32</f>
        <v>0</v>
      </c>
      <c r="M32" s="33" t="n">
        <f aca="false">F32</f>
        <v>36855555.5555556</v>
      </c>
      <c r="N32" s="64" t="n">
        <v>0.0110566666666667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1</v>
      </c>
    </row>
    <row r="33" customFormat="false" ht="15" hidden="false" customHeight="false" outlineLevel="0" collapsed="false">
      <c r="A33" s="38" t="n">
        <v>21</v>
      </c>
      <c r="B33" s="27" t="n">
        <v>46408</v>
      </c>
      <c r="C33" s="39" t="n">
        <v>3333333333.33333</v>
      </c>
      <c r="D33" s="39" t="n">
        <v>36855555.5555556</v>
      </c>
      <c r="E33" s="39" t="n">
        <v>0</v>
      </c>
      <c r="F33" s="39" t="n">
        <v>36855555.5555556</v>
      </c>
      <c r="G33" s="39" t="n">
        <v>3333333333.33333</v>
      </c>
      <c r="H33" s="33" t="n">
        <f aca="false">J32</f>
        <v>3333333333.33333</v>
      </c>
      <c r="I33" s="33" t="n">
        <f aca="false">H33*N33</f>
        <v>36855555.5555556</v>
      </c>
      <c r="J33" s="33" t="n">
        <f aca="false">H33-E33</f>
        <v>3333333333.33333</v>
      </c>
      <c r="K33" s="33" t="n">
        <f aca="false">D33-I33</f>
        <v>0</v>
      </c>
      <c r="L33" s="33" t="n">
        <f aca="false">G33-J33</f>
        <v>0</v>
      </c>
      <c r="M33" s="33" t="n">
        <f aca="false">F33</f>
        <v>36855555.5555556</v>
      </c>
      <c r="N33" s="64" t="n">
        <v>0.0110566666666667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1</v>
      </c>
    </row>
    <row r="34" customFormat="false" ht="15" hidden="false" customHeight="false" outlineLevel="0" collapsed="false">
      <c r="A34" s="38" t="n">
        <v>22</v>
      </c>
      <c r="B34" s="27" t="n">
        <v>46439</v>
      </c>
      <c r="C34" s="39" t="n">
        <v>3333333333.33333</v>
      </c>
      <c r="D34" s="39" t="n">
        <v>36855555.5555556</v>
      </c>
      <c r="E34" s="39" t="n">
        <v>0</v>
      </c>
      <c r="F34" s="39" t="n">
        <v>36855555.5555556</v>
      </c>
      <c r="G34" s="39" t="n">
        <v>3333333333.33333</v>
      </c>
      <c r="H34" s="33" t="n">
        <f aca="false">J33</f>
        <v>3333333333.33333</v>
      </c>
      <c r="I34" s="33" t="n">
        <f aca="false">H34*N34</f>
        <v>36855555.5555556</v>
      </c>
      <c r="J34" s="33" t="n">
        <f aca="false">H34-E34</f>
        <v>3333333333.33333</v>
      </c>
      <c r="K34" s="33" t="n">
        <f aca="false">D34-I34</f>
        <v>0</v>
      </c>
      <c r="L34" s="33" t="n">
        <f aca="false">G34-J34</f>
        <v>0</v>
      </c>
      <c r="M34" s="33" t="n">
        <f aca="false">F34</f>
        <v>36855555.5555556</v>
      </c>
      <c r="N34" s="64" t="n">
        <v>0.0110566666666667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1</v>
      </c>
    </row>
    <row r="35" customFormat="false" ht="15" hidden="false" customHeight="false" outlineLevel="0" collapsed="false">
      <c r="A35" s="38" t="n">
        <v>23</v>
      </c>
      <c r="B35" s="27" t="n">
        <v>46467</v>
      </c>
      <c r="C35" s="39" t="n">
        <v>3333333333.33333</v>
      </c>
      <c r="D35" s="39" t="n">
        <v>36855555.5555556</v>
      </c>
      <c r="E35" s="39" t="n">
        <v>0</v>
      </c>
      <c r="F35" s="39" t="n">
        <v>36855555.5555556</v>
      </c>
      <c r="G35" s="39" t="n">
        <v>3333333333.33333</v>
      </c>
      <c r="H35" s="33" t="n">
        <f aca="false">J34</f>
        <v>3333333333.33333</v>
      </c>
      <c r="I35" s="33" t="n">
        <f aca="false">H35*N35</f>
        <v>36855555.5555556</v>
      </c>
      <c r="J35" s="33" t="n">
        <f aca="false">H35-E35</f>
        <v>3333333333.33333</v>
      </c>
      <c r="K35" s="33" t="n">
        <f aca="false">D35-I35</f>
        <v>0</v>
      </c>
      <c r="L35" s="33" t="n">
        <f aca="false">G35-J35</f>
        <v>0</v>
      </c>
      <c r="M35" s="33" t="n">
        <f aca="false">F35</f>
        <v>36855555.5555556</v>
      </c>
      <c r="N35" s="64" t="n">
        <v>0.0110566666666667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1</v>
      </c>
    </row>
    <row r="36" customFormat="false" ht="15" hidden="false" customHeight="false" outlineLevel="0" collapsed="false">
      <c r="A36" s="38" t="n">
        <v>24</v>
      </c>
      <c r="B36" s="27" t="n">
        <v>46498</v>
      </c>
      <c r="C36" s="39" t="n">
        <v>3333333333.33333</v>
      </c>
      <c r="D36" s="39" t="n">
        <v>36855555.5555556</v>
      </c>
      <c r="E36" s="39" t="n">
        <v>1666666666.66667</v>
      </c>
      <c r="F36" s="39" t="n">
        <v>1703522222.22222</v>
      </c>
      <c r="G36" s="39" t="n">
        <v>1666666666.66667</v>
      </c>
      <c r="H36" s="33" t="n">
        <f aca="false">J35</f>
        <v>3333333333.33333</v>
      </c>
      <c r="I36" s="33" t="n">
        <f aca="false">H36*N36</f>
        <v>36855555.5555556</v>
      </c>
      <c r="J36" s="33" t="n">
        <f aca="false">H36-E36</f>
        <v>1666666666.66667</v>
      </c>
      <c r="K36" s="33" t="n">
        <f aca="false">D36-I36</f>
        <v>0</v>
      </c>
      <c r="L36" s="33" t="n">
        <f aca="false">G36-J36</f>
        <v>0</v>
      </c>
      <c r="M36" s="33" t="n">
        <f aca="false">F36</f>
        <v>1703522222.22222</v>
      </c>
      <c r="N36" s="64" t="n">
        <v>0.0110566666666667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1</v>
      </c>
    </row>
    <row r="37" customFormat="false" ht="15" hidden="false" customHeight="false" outlineLevel="0" collapsed="false">
      <c r="A37" s="38" t="n">
        <v>25</v>
      </c>
      <c r="B37" s="27" t="n">
        <v>46528</v>
      </c>
      <c r="C37" s="39" t="n">
        <v>1666666666.66667</v>
      </c>
      <c r="D37" s="39" t="n">
        <v>18427777.7777778</v>
      </c>
      <c r="E37" s="39" t="n">
        <v>0</v>
      </c>
      <c r="F37" s="39" t="n">
        <v>18427777.7777778</v>
      </c>
      <c r="G37" s="39" t="n">
        <v>1666666666.66667</v>
      </c>
      <c r="H37" s="33" t="n">
        <f aca="false">J36</f>
        <v>1666666666.66667</v>
      </c>
      <c r="I37" s="33" t="n">
        <f aca="false">H37*N37</f>
        <v>18427777.7777778</v>
      </c>
      <c r="J37" s="33" t="n">
        <f aca="false">H37-E37</f>
        <v>1666666666.66667</v>
      </c>
      <c r="K37" s="33" t="n">
        <f aca="false">D37-I37</f>
        <v>0</v>
      </c>
      <c r="L37" s="33" t="n">
        <f aca="false">G37-J37</f>
        <v>0</v>
      </c>
      <c r="M37" s="33" t="n">
        <f aca="false">F37</f>
        <v>18427777.7777778</v>
      </c>
      <c r="N37" s="64" t="n">
        <v>0.0110566666666667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1</v>
      </c>
    </row>
    <row r="38" customFormat="false" ht="15" hidden="false" customHeight="false" outlineLevel="0" collapsed="false">
      <c r="A38" s="38" t="n">
        <v>26</v>
      </c>
      <c r="B38" s="27" t="n">
        <v>46559</v>
      </c>
      <c r="C38" s="39" t="n">
        <v>1666666666.66667</v>
      </c>
      <c r="D38" s="39" t="n">
        <v>18427777.7777778</v>
      </c>
      <c r="E38" s="39" t="n">
        <v>0</v>
      </c>
      <c r="F38" s="39" t="n">
        <v>18427777.7777778</v>
      </c>
      <c r="G38" s="39" t="n">
        <v>1666666666.66667</v>
      </c>
      <c r="H38" s="33" t="n">
        <f aca="false">J37</f>
        <v>1666666666.66667</v>
      </c>
      <c r="I38" s="33" t="n">
        <f aca="false">H38*N38</f>
        <v>18427777.7777778</v>
      </c>
      <c r="J38" s="33" t="n">
        <f aca="false">H38-E38</f>
        <v>1666666666.66667</v>
      </c>
      <c r="K38" s="33" t="n">
        <f aca="false">D38-I38</f>
        <v>0</v>
      </c>
      <c r="L38" s="33" t="n">
        <f aca="false">G38-J38</f>
        <v>0</v>
      </c>
      <c r="M38" s="33" t="n">
        <f aca="false">F38</f>
        <v>18427777.7777778</v>
      </c>
      <c r="N38" s="64" t="n">
        <v>0.0110566666666667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1</v>
      </c>
    </row>
    <row r="39" customFormat="false" ht="15" hidden="false" customHeight="false" outlineLevel="0" collapsed="false">
      <c r="A39" s="38" t="n">
        <v>27</v>
      </c>
      <c r="B39" s="27" t="n">
        <v>46589</v>
      </c>
      <c r="C39" s="39" t="n">
        <v>1666666666.66667</v>
      </c>
      <c r="D39" s="39" t="n">
        <v>18427777.7777778</v>
      </c>
      <c r="E39" s="39" t="n">
        <v>0</v>
      </c>
      <c r="F39" s="39" t="n">
        <v>18427777.7777778</v>
      </c>
      <c r="G39" s="39" t="n">
        <v>1666666666.66667</v>
      </c>
      <c r="H39" s="33" t="n">
        <f aca="false">J38</f>
        <v>1666666666.66667</v>
      </c>
      <c r="I39" s="33" t="n">
        <f aca="false">H39*N39</f>
        <v>18427777.7777778</v>
      </c>
      <c r="J39" s="33" t="n">
        <f aca="false">H39-E39</f>
        <v>1666666666.66667</v>
      </c>
      <c r="K39" s="33" t="n">
        <f aca="false">D39-I39</f>
        <v>0</v>
      </c>
      <c r="L39" s="33" t="n">
        <f aca="false">G39-J39</f>
        <v>0</v>
      </c>
      <c r="M39" s="33" t="n">
        <f aca="false">F39</f>
        <v>18427777.7777778</v>
      </c>
      <c r="N39" s="64" t="n">
        <v>0.0110566666666667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1</v>
      </c>
    </row>
    <row r="40" customFormat="false" ht="15" hidden="false" customHeight="false" outlineLevel="0" collapsed="false">
      <c r="A40" s="38" t="n">
        <v>28</v>
      </c>
      <c r="B40" s="27" t="n">
        <v>46620</v>
      </c>
      <c r="C40" s="39" t="n">
        <v>1666666666.66667</v>
      </c>
      <c r="D40" s="39" t="n">
        <v>18427777.7777778</v>
      </c>
      <c r="E40" s="39" t="n">
        <v>0</v>
      </c>
      <c r="F40" s="39" t="n">
        <v>18427777.7777778</v>
      </c>
      <c r="G40" s="39" t="n">
        <v>1666666666.66667</v>
      </c>
      <c r="H40" s="33" t="n">
        <f aca="false">J39</f>
        <v>1666666666.66667</v>
      </c>
      <c r="I40" s="33" t="n">
        <f aca="false">H40*N40</f>
        <v>18427777.7777778</v>
      </c>
      <c r="J40" s="33" t="n">
        <f aca="false">H40-E40</f>
        <v>1666666666.66667</v>
      </c>
      <c r="K40" s="33" t="n">
        <f aca="false">D40-I40</f>
        <v>0</v>
      </c>
      <c r="L40" s="33" t="n">
        <f aca="false">G40-J40</f>
        <v>0</v>
      </c>
      <c r="M40" s="33" t="n">
        <f aca="false">F40</f>
        <v>18427777.7777778</v>
      </c>
      <c r="N40" s="64" t="n">
        <v>0.0110566666666667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46651</v>
      </c>
      <c r="C41" s="39" t="n">
        <v>1666666666.66667</v>
      </c>
      <c r="D41" s="39" t="n">
        <v>18427777.7777778</v>
      </c>
      <c r="E41" s="39" t="n">
        <v>0</v>
      </c>
      <c r="F41" s="39" t="n">
        <v>18427777.7777778</v>
      </c>
      <c r="G41" s="39" t="n">
        <v>1666666666.66667</v>
      </c>
      <c r="H41" s="33" t="n">
        <f aca="false">J40</f>
        <v>1666666666.66667</v>
      </c>
      <c r="I41" s="33" t="n">
        <f aca="false">H41*N41</f>
        <v>18427777.7777778</v>
      </c>
      <c r="J41" s="33" t="n">
        <f aca="false">H41-E41</f>
        <v>1666666666.66667</v>
      </c>
      <c r="K41" s="33" t="n">
        <f aca="false">D41-I41</f>
        <v>0</v>
      </c>
      <c r="L41" s="33" t="n">
        <f aca="false">G41-J41</f>
        <v>0</v>
      </c>
      <c r="M41" s="33" t="n">
        <f aca="false">F41</f>
        <v>18427777.7777778</v>
      </c>
      <c r="N41" s="64" t="n">
        <v>0.0110566666666667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46681</v>
      </c>
      <c r="C42" s="39" t="n">
        <v>1666666666.66667</v>
      </c>
      <c r="D42" s="39" t="n">
        <v>18427777.7777778</v>
      </c>
      <c r="E42" s="39" t="n">
        <v>0</v>
      </c>
      <c r="F42" s="39" t="n">
        <v>18427777.7777778</v>
      </c>
      <c r="G42" s="39" t="n">
        <v>1666666666.66667</v>
      </c>
      <c r="H42" s="33" t="n">
        <f aca="false">J41</f>
        <v>1666666666.66667</v>
      </c>
      <c r="I42" s="33" t="n">
        <f aca="false">H42*N42</f>
        <v>18427777.7777778</v>
      </c>
      <c r="J42" s="33" t="n">
        <f aca="false">H42-E42</f>
        <v>1666666666.66667</v>
      </c>
      <c r="K42" s="33" t="n">
        <f aca="false">D42-I42</f>
        <v>0</v>
      </c>
      <c r="L42" s="33" t="n">
        <f aca="false">G42-J42</f>
        <v>0</v>
      </c>
      <c r="M42" s="33" t="n">
        <f aca="false">F42</f>
        <v>18427777.7777778</v>
      </c>
      <c r="N42" s="64" t="n">
        <v>0.0110566666666667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46712</v>
      </c>
      <c r="C43" s="39" t="n">
        <v>1666666666.66667</v>
      </c>
      <c r="D43" s="39" t="n">
        <v>18427777.7777778</v>
      </c>
      <c r="E43" s="39" t="n">
        <v>0</v>
      </c>
      <c r="F43" s="39" t="n">
        <v>18427777.7777778</v>
      </c>
      <c r="G43" s="39" t="n">
        <v>1666666666.66667</v>
      </c>
      <c r="H43" s="33" t="n">
        <f aca="false">J42</f>
        <v>1666666666.66667</v>
      </c>
      <c r="I43" s="33" t="n">
        <f aca="false">H43*N43</f>
        <v>18427777.7777778</v>
      </c>
      <c r="J43" s="33" t="n">
        <f aca="false">H43-E43</f>
        <v>1666666666.66667</v>
      </c>
      <c r="K43" s="33" t="n">
        <f aca="false">D43-I43</f>
        <v>0</v>
      </c>
      <c r="L43" s="33" t="n">
        <f aca="false">G43-J43</f>
        <v>0</v>
      </c>
      <c r="M43" s="33" t="n">
        <f aca="false">F43</f>
        <v>18427777.7777778</v>
      </c>
      <c r="N43" s="64" t="n">
        <v>0.0110566666666667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46742</v>
      </c>
      <c r="C44" s="39" t="n">
        <v>1666666666.66667</v>
      </c>
      <c r="D44" s="39" t="n">
        <v>18427777.7777778</v>
      </c>
      <c r="E44" s="39" t="n">
        <v>0</v>
      </c>
      <c r="F44" s="39" t="n">
        <v>18427777.7777778</v>
      </c>
      <c r="G44" s="39" t="n">
        <v>1666666666.66667</v>
      </c>
      <c r="H44" s="33" t="n">
        <f aca="false">J43</f>
        <v>1666666666.66667</v>
      </c>
      <c r="I44" s="33" t="n">
        <f aca="false">H44*N44</f>
        <v>18427777.7777778</v>
      </c>
      <c r="J44" s="33" t="n">
        <f aca="false">H44-E44</f>
        <v>1666666666.66667</v>
      </c>
      <c r="K44" s="33" t="n">
        <f aca="false">D44-I44</f>
        <v>0</v>
      </c>
      <c r="L44" s="33" t="n">
        <f aca="false">G44-J44</f>
        <v>0</v>
      </c>
      <c r="M44" s="33" t="n">
        <f aca="false">F44</f>
        <v>18427777.7777778</v>
      </c>
      <c r="N44" s="64" t="n">
        <v>0.0110566666666667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46773</v>
      </c>
      <c r="C45" s="39" t="n">
        <v>1666666666.66667</v>
      </c>
      <c r="D45" s="39" t="n">
        <v>18427777.7777778</v>
      </c>
      <c r="E45" s="39" t="n">
        <v>0</v>
      </c>
      <c r="F45" s="39" t="n">
        <v>18427777.7777778</v>
      </c>
      <c r="G45" s="39" t="n">
        <v>1666666666.66667</v>
      </c>
      <c r="H45" s="33" t="n">
        <f aca="false">J44</f>
        <v>1666666666.66667</v>
      </c>
      <c r="I45" s="33" t="n">
        <f aca="false">H45*N45</f>
        <v>18427777.7777778</v>
      </c>
      <c r="J45" s="33" t="n">
        <f aca="false">H45-E45</f>
        <v>1666666666.66667</v>
      </c>
      <c r="K45" s="33" t="n">
        <f aca="false">D45-I45</f>
        <v>0</v>
      </c>
      <c r="L45" s="33" t="n">
        <f aca="false">G45-J45</f>
        <v>0</v>
      </c>
      <c r="M45" s="33" t="n">
        <f aca="false">F45</f>
        <v>18427777.7777778</v>
      </c>
      <c r="N45" s="64" t="n">
        <v>0.0110566666666667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46804</v>
      </c>
      <c r="C46" s="39" t="n">
        <v>1666666666.66667</v>
      </c>
      <c r="D46" s="39" t="n">
        <v>18427777.7777778</v>
      </c>
      <c r="E46" s="39" t="n">
        <v>0</v>
      </c>
      <c r="F46" s="39" t="n">
        <v>18427777.7777778</v>
      </c>
      <c r="G46" s="39" t="n">
        <v>1666666666.66667</v>
      </c>
      <c r="H46" s="33" t="n">
        <f aca="false">J45</f>
        <v>1666666666.66667</v>
      </c>
      <c r="I46" s="33" t="n">
        <f aca="false">H46*N46</f>
        <v>18427777.7777778</v>
      </c>
      <c r="J46" s="33" t="n">
        <f aca="false">H46-E46</f>
        <v>1666666666.66667</v>
      </c>
      <c r="K46" s="33" t="n">
        <f aca="false">D46-I46</f>
        <v>0</v>
      </c>
      <c r="L46" s="33" t="n">
        <f aca="false">G46-J46</f>
        <v>0</v>
      </c>
      <c r="M46" s="33" t="n">
        <f aca="false">F46</f>
        <v>18427777.7777778</v>
      </c>
      <c r="N46" s="64" t="n">
        <v>0.0110566666666667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46833</v>
      </c>
      <c r="C47" s="39" t="n">
        <v>1666666666.66667</v>
      </c>
      <c r="D47" s="39" t="n">
        <v>18427777.7777778</v>
      </c>
      <c r="E47" s="39" t="n">
        <v>0</v>
      </c>
      <c r="F47" s="39" t="n">
        <v>18427777.7777778</v>
      </c>
      <c r="G47" s="39" t="n">
        <v>1666666666.66667</v>
      </c>
      <c r="H47" s="33" t="n">
        <f aca="false">J46</f>
        <v>1666666666.66667</v>
      </c>
      <c r="I47" s="33" t="n">
        <f aca="false">H47*N47</f>
        <v>18427777.7777778</v>
      </c>
      <c r="J47" s="33" t="n">
        <f aca="false">H47-E47</f>
        <v>1666666666.66667</v>
      </c>
      <c r="K47" s="33" t="n">
        <f aca="false">D47-I47</f>
        <v>0</v>
      </c>
      <c r="L47" s="33" t="n">
        <f aca="false">G47-J47</f>
        <v>0</v>
      </c>
      <c r="M47" s="33" t="n">
        <f aca="false">F47</f>
        <v>18427777.7777778</v>
      </c>
      <c r="N47" s="64" t="n">
        <v>0.0110566666666667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46864</v>
      </c>
      <c r="C48" s="39" t="n">
        <v>1666666666.66667</v>
      </c>
      <c r="D48" s="39" t="n">
        <v>18427777.7777778</v>
      </c>
      <c r="E48" s="39" t="n">
        <v>1666666666.66667</v>
      </c>
      <c r="F48" s="39" t="n">
        <v>1685094444.44444</v>
      </c>
      <c r="G48" s="39" t="n">
        <v>0</v>
      </c>
      <c r="H48" s="33" t="n">
        <f aca="false">J47</f>
        <v>1666666666.66667</v>
      </c>
      <c r="I48" s="33" t="n">
        <f aca="false">H48*N48</f>
        <v>18427777.7777778</v>
      </c>
      <c r="J48" s="33" t="n">
        <f aca="false">H48-E48</f>
        <v>0</v>
      </c>
      <c r="K48" s="33" t="n">
        <f aca="false">D48-I48</f>
        <v>0</v>
      </c>
      <c r="L48" s="33" t="n">
        <f aca="false">G48-J48</f>
        <v>0</v>
      </c>
      <c r="M48" s="33" t="n">
        <f aca="false">F48</f>
        <v>1685094444.44444</v>
      </c>
      <c r="N48" s="64" t="n">
        <v>0.0110566666666667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1849</v>
      </c>
    </row>
    <row r="2" customFormat="false" ht="15" hidden="false" customHeight="false" outlineLevel="0" collapsed="false">
      <c r="A2" s="24" t="s">
        <v>1850</v>
      </c>
    </row>
    <row r="3" customFormat="false" ht="15" hidden="false" customHeight="false" outlineLevel="0" collapsed="false">
      <c r="A3" s="34" t="s">
        <v>1748</v>
      </c>
      <c r="C3" s="38" t="s">
        <v>1851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561680000</v>
      </c>
      <c r="F4" s="26" t="s">
        <v>1752</v>
      </c>
      <c r="I4" s="57" t="n">
        <f aca="false">_xlfn.MAXIFS($B$12:$B$32,$B$12:$B$32,"&lt;="&amp;Resumen!$C$5)</f>
        <v>46187</v>
      </c>
    </row>
    <row r="5" customFormat="false" ht="15" hidden="false" customHeight="false" outlineLevel="0" collapsed="false">
      <c r="A5" s="34" t="s">
        <v>1753</v>
      </c>
      <c r="C5" s="27" t="n">
        <v>45730</v>
      </c>
      <c r="F5" s="26" t="s">
        <v>1754</v>
      </c>
      <c r="I5" s="58" t="n">
        <f aca="false">SUMIFS($G$12:$G$32,$B$12:$B$32,I4)</f>
        <v>524519291.134113</v>
      </c>
    </row>
    <row r="6" customFormat="false" ht="15" hidden="false" customHeight="false" outlineLevel="0" collapsed="false">
      <c r="A6" s="34" t="s">
        <v>1755</v>
      </c>
      <c r="C6" s="38" t="s">
        <v>1852</v>
      </c>
      <c r="F6" s="26" t="s">
        <v>1757</v>
      </c>
      <c r="I6" s="33" t="n">
        <f aca="false">SUMIFS($J$12:$J$32,$B$12:$B$32,I4)</f>
        <v>524519291.134113</v>
      </c>
    </row>
    <row r="7" customFormat="false" ht="15" hidden="false" customHeight="false" outlineLevel="0" collapsed="false">
      <c r="A7" s="34" t="s">
        <v>1758</v>
      </c>
      <c r="C7" s="64" t="n">
        <v>0.0214501400540117</v>
      </c>
      <c r="F7" s="26" t="s">
        <v>1759</v>
      </c>
      <c r="I7" s="33" t="n">
        <f aca="false">SUMIFS($D$12:$D$32,$O$12:$O$32,1)</f>
        <v>20871066.3030259</v>
      </c>
    </row>
    <row r="8" customFormat="false" ht="15" hidden="false" customHeight="false" outlineLevel="0" collapsed="false">
      <c r="A8" s="34" t="s">
        <v>1760</v>
      </c>
      <c r="C8" s="65" t="n">
        <f aca="false">IFERROR(IRR($M$12:$M$32),"N/A")</f>
        <v>0.025689223703405</v>
      </c>
      <c r="F8" s="26" t="s">
        <v>1761</v>
      </c>
      <c r="I8" s="33" t="n">
        <f aca="false">SUMIFS($E$12:$E$32,$P$12:$P$32,1)</f>
        <v>148642835.463547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IF(ISNUMBER(C8),(1+C8)^4-1,"N/A")</f>
        <v>0.106784760612504</v>
      </c>
      <c r="F9" s="26" t="s">
        <v>1763</v>
      </c>
      <c r="I9" s="33" t="n">
        <f aca="false">SUMPRODUCT(MAX(ABS($L$12:$L$32)))</f>
        <v>5.21540641784668E-008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45730</v>
      </c>
      <c r="C12" s="39"/>
      <c r="D12" s="39" t="n">
        <v>0</v>
      </c>
      <c r="E12" s="39" t="n">
        <v>0</v>
      </c>
      <c r="F12" s="39" t="n">
        <v>0</v>
      </c>
      <c r="G12" s="39" t="n">
        <v>561680000</v>
      </c>
      <c r="H12" s="33" t="n">
        <f aca="false">G12</f>
        <v>561680000</v>
      </c>
      <c r="I12" s="33" t="n">
        <v>0</v>
      </c>
      <c r="J12" s="33" t="n">
        <f aca="false">H12</f>
        <v>561680000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-561680000</v>
      </c>
      <c r="N12" s="65" t="n">
        <f aca="false">$C$7</f>
        <v>0.0214501400540117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45822</v>
      </c>
      <c r="C13" s="39" t="n">
        <v>561680000</v>
      </c>
      <c r="D13" s="39" t="n">
        <v>12048114.6655373</v>
      </c>
      <c r="E13" s="39" t="n">
        <v>21479467</v>
      </c>
      <c r="F13" s="39" t="n">
        <v>33527581.6655373</v>
      </c>
      <c r="G13" s="39" t="n">
        <v>540200533</v>
      </c>
      <c r="H13" s="33" t="n">
        <f aca="false">J12</f>
        <v>561680000</v>
      </c>
      <c r="I13" s="33" t="n">
        <f aca="false">H13*N13</f>
        <v>12048114.6655373</v>
      </c>
      <c r="J13" s="33" t="n">
        <f aca="false">H13+I13-F13</f>
        <v>540200533</v>
      </c>
      <c r="K13" s="33" t="n">
        <f aca="false">D13-I13</f>
        <v>0</v>
      </c>
      <c r="L13" s="33" t="n">
        <f aca="false">G13-J13</f>
        <v>0</v>
      </c>
      <c r="M13" s="33" t="n">
        <f aca="false">F13</f>
        <v>33527581.6655373</v>
      </c>
      <c r="N13" s="65" t="n">
        <f aca="false">$C$7</f>
        <v>0.0214501400540117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45914</v>
      </c>
      <c r="C14" s="39" t="n">
        <v>540200533</v>
      </c>
      <c r="D14" s="39" t="n">
        <v>11587377.0901018</v>
      </c>
      <c r="E14" s="39" t="n">
        <v>21479467</v>
      </c>
      <c r="F14" s="39" t="n">
        <v>33066844.0901018</v>
      </c>
      <c r="G14" s="39" t="n">
        <v>518721066</v>
      </c>
      <c r="H14" s="33" t="n">
        <f aca="false">J13</f>
        <v>540200533</v>
      </c>
      <c r="I14" s="33" t="n">
        <f aca="false">H14*N14</f>
        <v>11587377.0901018</v>
      </c>
      <c r="J14" s="33" t="n">
        <f aca="false">H14+I14-F14</f>
        <v>518721066</v>
      </c>
      <c r="K14" s="33" t="n">
        <f aca="false">D14-I14</f>
        <v>0</v>
      </c>
      <c r="L14" s="33" t="n">
        <f aca="false">G14-J14</f>
        <v>0</v>
      </c>
      <c r="M14" s="33" t="n">
        <f aca="false">F14</f>
        <v>33066844.0901018</v>
      </c>
      <c r="N14" s="65" t="n">
        <f aca="false">$C$7</f>
        <v>0.0214501400540117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46005</v>
      </c>
      <c r="C15" s="39" t="n">
        <v>518721066</v>
      </c>
      <c r="D15" s="39" t="n">
        <v>11126639.5146662</v>
      </c>
      <c r="E15" s="39" t="n">
        <v>21479467</v>
      </c>
      <c r="F15" s="39" t="n">
        <v>32606106.5146662</v>
      </c>
      <c r="G15" s="39" t="n">
        <v>497241599</v>
      </c>
      <c r="H15" s="33" t="n">
        <f aca="false">J14</f>
        <v>518721066</v>
      </c>
      <c r="I15" s="33" t="n">
        <f aca="false">H15*N15</f>
        <v>11126639.5146662</v>
      </c>
      <c r="J15" s="33" t="n">
        <f aca="false">H15+I15-F15</f>
        <v>497241599</v>
      </c>
      <c r="K15" s="33" t="n">
        <f aca="false">D15-I15</f>
        <v>0</v>
      </c>
      <c r="L15" s="33" t="n">
        <f aca="false">G15-J15</f>
        <v>0</v>
      </c>
      <c r="M15" s="33" t="n">
        <f aca="false">F15</f>
        <v>32606106.5146662</v>
      </c>
      <c r="N15" s="65" t="n">
        <f aca="false">$C$7</f>
        <v>0.0214501400540117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46095</v>
      </c>
      <c r="C16" s="39" t="n">
        <v>497241599</v>
      </c>
      <c r="D16" s="39" t="n">
        <v>10665901.9392307</v>
      </c>
      <c r="E16" s="39" t="n">
        <v>21479467</v>
      </c>
      <c r="F16" s="39" t="n">
        <v>32145368.9392307</v>
      </c>
      <c r="G16" s="39" t="n">
        <v>475762132</v>
      </c>
      <c r="H16" s="33" t="n">
        <f aca="false">J15</f>
        <v>497241599</v>
      </c>
      <c r="I16" s="33" t="n">
        <f aca="false">H16*N16</f>
        <v>10665901.9392307</v>
      </c>
      <c r="J16" s="33" t="n">
        <f aca="false">H16+I16-F16</f>
        <v>475762132</v>
      </c>
      <c r="K16" s="33" t="n">
        <f aca="false">D16-I16</f>
        <v>0</v>
      </c>
      <c r="L16" s="33" t="n">
        <f aca="false">G16-J16</f>
        <v>0</v>
      </c>
      <c r="M16" s="33" t="n">
        <f aca="false">F16</f>
        <v>32145368.9392307</v>
      </c>
      <c r="N16" s="65" t="n">
        <f aca="false">$C$7</f>
        <v>0.0214501400540117</v>
      </c>
      <c r="O16" s="48" t="n">
        <f aca="false">IF(AND(B16&gt;=DATE(2026,1,1),B16&lt;=Resumen!$C$5),1,0)</f>
        <v>1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46187</v>
      </c>
      <c r="C17" s="39" t="n">
        <v>475762132</v>
      </c>
      <c r="D17" s="39" t="n">
        <v>10205164.3637952</v>
      </c>
      <c r="E17" s="39" t="n">
        <v>-48757159.1341134</v>
      </c>
      <c r="F17" s="39" t="n">
        <v>-38551994.7703182</v>
      </c>
      <c r="G17" s="39" t="n">
        <v>524519291.134113</v>
      </c>
      <c r="H17" s="33" t="n">
        <f aca="false">J16</f>
        <v>475762132</v>
      </c>
      <c r="I17" s="33" t="n">
        <f aca="false">H17*N17</f>
        <v>10205164.3637952</v>
      </c>
      <c r="J17" s="33" t="n">
        <f aca="false">H17+I17-F17</f>
        <v>524519291.134113</v>
      </c>
      <c r="K17" s="33" t="n">
        <f aca="false">D17-I17</f>
        <v>0</v>
      </c>
      <c r="L17" s="33" t="n">
        <f aca="false">G17-J17</f>
        <v>0</v>
      </c>
      <c r="M17" s="33" t="n">
        <f aca="false">F17</f>
        <v>-38551994.7703182</v>
      </c>
      <c r="N17" s="65" t="n">
        <f aca="false">$C$7</f>
        <v>0.0214501400540117</v>
      </c>
      <c r="O17" s="48" t="n">
        <f aca="false">IF(AND(B17&gt;=DATE(2026,1,1),B17&lt;=Resumen!$C$5),1,0)</f>
        <v>1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46279</v>
      </c>
      <c r="C18" s="39" t="n">
        <v>524519291.134113</v>
      </c>
      <c r="D18" s="39" t="n">
        <v>11251012.2558577</v>
      </c>
      <c r="E18" s="39" t="n">
        <v>37160708.8658866</v>
      </c>
      <c r="F18" s="39" t="n">
        <v>48411721.1217443</v>
      </c>
      <c r="G18" s="39" t="n">
        <v>487358582.268227</v>
      </c>
      <c r="H18" s="33" t="n">
        <f aca="false">J17</f>
        <v>524519291.134113</v>
      </c>
      <c r="I18" s="33" t="n">
        <f aca="false">H18*N18</f>
        <v>11251012.2558577</v>
      </c>
      <c r="J18" s="33" t="n">
        <f aca="false">H18+I18-F18</f>
        <v>487358582.268227</v>
      </c>
      <c r="K18" s="33" t="n">
        <f aca="false">D18-I18</f>
        <v>0</v>
      </c>
      <c r="L18" s="33" t="n">
        <f aca="false">G18-J18</f>
        <v>0</v>
      </c>
      <c r="M18" s="33" t="n">
        <f aca="false">F18</f>
        <v>48411721.1217443</v>
      </c>
      <c r="N18" s="65" t="n">
        <f aca="false">$C$7</f>
        <v>0.0214501400540117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1</v>
      </c>
    </row>
    <row r="19" customFormat="false" ht="15" hidden="false" customHeight="false" outlineLevel="0" collapsed="false">
      <c r="A19" s="38" t="n">
        <v>7</v>
      </c>
      <c r="B19" s="27" t="n">
        <v>46370</v>
      </c>
      <c r="C19" s="39" t="n">
        <v>487358582.268227</v>
      </c>
      <c r="D19" s="39" t="n">
        <v>10453909.846178</v>
      </c>
      <c r="E19" s="39" t="n">
        <v>37160708.8658866</v>
      </c>
      <c r="F19" s="39" t="n">
        <v>47614618.7120647</v>
      </c>
      <c r="G19" s="39" t="n">
        <v>450197873.40234</v>
      </c>
      <c r="H19" s="33" t="n">
        <f aca="false">J18</f>
        <v>487358582.268227</v>
      </c>
      <c r="I19" s="33" t="n">
        <f aca="false">H19*N19</f>
        <v>10453909.846178</v>
      </c>
      <c r="J19" s="33" t="n">
        <f aca="false">H19+I19-F19</f>
        <v>450197873.40234</v>
      </c>
      <c r="K19" s="33" t="n">
        <f aca="false">D19-I19</f>
        <v>0</v>
      </c>
      <c r="L19" s="33" t="n">
        <f aca="false">G19-J19</f>
        <v>0</v>
      </c>
      <c r="M19" s="33" t="n">
        <f aca="false">F19</f>
        <v>47614618.7120647</v>
      </c>
      <c r="N19" s="65" t="n">
        <f aca="false">$C$7</f>
        <v>0.0214501400540117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1</v>
      </c>
    </row>
    <row r="20" customFormat="false" ht="15" hidden="false" customHeight="false" outlineLevel="0" collapsed="false">
      <c r="A20" s="38" t="n">
        <v>8</v>
      </c>
      <c r="B20" s="27" t="n">
        <v>46460</v>
      </c>
      <c r="C20" s="39" t="n">
        <v>450197873.40234</v>
      </c>
      <c r="D20" s="39" t="n">
        <v>9656807.43649842</v>
      </c>
      <c r="E20" s="39" t="n">
        <v>37160708.8658866</v>
      </c>
      <c r="F20" s="39" t="n">
        <v>46817516.3023851</v>
      </c>
      <c r="G20" s="39" t="n">
        <v>413037164.536454</v>
      </c>
      <c r="H20" s="33" t="n">
        <f aca="false">J19</f>
        <v>450197873.40234</v>
      </c>
      <c r="I20" s="33" t="n">
        <f aca="false">H20*N20</f>
        <v>9656807.43649842</v>
      </c>
      <c r="J20" s="33" t="n">
        <f aca="false">H20+I20-F20</f>
        <v>413037164.536453</v>
      </c>
      <c r="K20" s="33" t="n">
        <f aca="false">D20-I20</f>
        <v>0</v>
      </c>
      <c r="L20" s="33" t="n">
        <f aca="false">G20-J20</f>
        <v>0</v>
      </c>
      <c r="M20" s="33" t="n">
        <f aca="false">F20</f>
        <v>46817516.3023851</v>
      </c>
      <c r="N20" s="65" t="n">
        <f aca="false">$C$7</f>
        <v>0.0214501400540117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1</v>
      </c>
    </row>
    <row r="21" customFormat="false" ht="15" hidden="false" customHeight="false" outlineLevel="0" collapsed="false">
      <c r="A21" s="38" t="n">
        <v>9</v>
      </c>
      <c r="B21" s="27" t="n">
        <v>46552</v>
      </c>
      <c r="C21" s="39" t="n">
        <v>413037164.536454</v>
      </c>
      <c r="D21" s="39" t="n">
        <v>8859705.0268188</v>
      </c>
      <c r="E21" s="39" t="n">
        <v>37160708.8658866</v>
      </c>
      <c r="F21" s="39" t="n">
        <v>46020413.8927054</v>
      </c>
      <c r="G21" s="39" t="n">
        <v>375876455.670567</v>
      </c>
      <c r="H21" s="33" t="n">
        <f aca="false">J20</f>
        <v>413037164.536453</v>
      </c>
      <c r="I21" s="33" t="n">
        <f aca="false">H21*N21</f>
        <v>8859705.0268188</v>
      </c>
      <c r="J21" s="33" t="n">
        <f aca="false">H21+I21-F21</f>
        <v>375876455.670567</v>
      </c>
      <c r="K21" s="33" t="n">
        <f aca="false">D21-I21</f>
        <v>0</v>
      </c>
      <c r="L21" s="33" t="n">
        <f aca="false">G21-J21</f>
        <v>0</v>
      </c>
      <c r="M21" s="33" t="n">
        <f aca="false">F21</f>
        <v>46020413.8927054</v>
      </c>
      <c r="N21" s="65" t="n">
        <f aca="false">$C$7</f>
        <v>0.0214501400540117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1</v>
      </c>
    </row>
    <row r="22" customFormat="false" ht="15" hidden="false" customHeight="false" outlineLevel="0" collapsed="false">
      <c r="A22" s="38" t="n">
        <v>10</v>
      </c>
      <c r="B22" s="27" t="n">
        <v>46644</v>
      </c>
      <c r="C22" s="39" t="n">
        <v>375876455.670567</v>
      </c>
      <c r="D22" s="39" t="n">
        <v>8062602.61713918</v>
      </c>
      <c r="E22" s="39" t="n">
        <v>37160708.8658866</v>
      </c>
      <c r="F22" s="39" t="n">
        <v>45223311.4830258</v>
      </c>
      <c r="G22" s="39" t="n">
        <v>338715746.80468</v>
      </c>
      <c r="H22" s="33" t="n">
        <f aca="false">J21</f>
        <v>375876455.670567</v>
      </c>
      <c r="I22" s="33" t="n">
        <f aca="false">H22*N22</f>
        <v>8062602.61713918</v>
      </c>
      <c r="J22" s="33" t="n">
        <f aca="false">H22+I22-F22</f>
        <v>338715746.80468</v>
      </c>
      <c r="K22" s="33" t="n">
        <f aca="false">D22-I22</f>
        <v>0</v>
      </c>
      <c r="L22" s="33" t="n">
        <f aca="false">G22-J22</f>
        <v>0</v>
      </c>
      <c r="M22" s="33" t="n">
        <f aca="false">F22</f>
        <v>45223311.4830258</v>
      </c>
      <c r="N22" s="65" t="n">
        <f aca="false">$C$7</f>
        <v>0.0214501400540117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46735</v>
      </c>
      <c r="C23" s="39" t="n">
        <v>338715746.80468</v>
      </c>
      <c r="D23" s="39" t="n">
        <v>7265500.20745955</v>
      </c>
      <c r="E23" s="39" t="n">
        <v>37160708.8658866</v>
      </c>
      <c r="F23" s="39" t="n">
        <v>44426209.0733462</v>
      </c>
      <c r="G23" s="39" t="n">
        <v>301555037.938794</v>
      </c>
      <c r="H23" s="33" t="n">
        <f aca="false">J22</f>
        <v>338715746.80468</v>
      </c>
      <c r="I23" s="33" t="n">
        <f aca="false">H23*N23</f>
        <v>7265500.20745955</v>
      </c>
      <c r="J23" s="33" t="n">
        <f aca="false">H23+I23-F23</f>
        <v>301555037.938794</v>
      </c>
      <c r="K23" s="33" t="n">
        <f aca="false">D23-I23</f>
        <v>0</v>
      </c>
      <c r="L23" s="33" t="n">
        <f aca="false">G23-J23</f>
        <v>0</v>
      </c>
      <c r="M23" s="33" t="n">
        <f aca="false">F23</f>
        <v>44426209.0733462</v>
      </c>
      <c r="N23" s="65" t="n">
        <f aca="false">$C$7</f>
        <v>0.0214501400540117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46826</v>
      </c>
      <c r="C24" s="39" t="n">
        <v>301555037.938794</v>
      </c>
      <c r="D24" s="39" t="n">
        <v>6468397.79777993</v>
      </c>
      <c r="E24" s="39" t="n">
        <v>37160708.8658866</v>
      </c>
      <c r="F24" s="39" t="n">
        <v>43629106.6636666</v>
      </c>
      <c r="G24" s="39" t="n">
        <v>264394329.072907</v>
      </c>
      <c r="H24" s="33" t="n">
        <f aca="false">J23</f>
        <v>301555037.938794</v>
      </c>
      <c r="I24" s="33" t="n">
        <f aca="false">H24*N24</f>
        <v>6468397.79777993</v>
      </c>
      <c r="J24" s="33" t="n">
        <f aca="false">H24+I24-F24</f>
        <v>264394329.072907</v>
      </c>
      <c r="K24" s="33" t="n">
        <f aca="false">D24-I24</f>
        <v>0</v>
      </c>
      <c r="L24" s="33" t="n">
        <f aca="false">G24-J24</f>
        <v>0</v>
      </c>
      <c r="M24" s="33" t="n">
        <f aca="false">F24</f>
        <v>43629106.6636666</v>
      </c>
      <c r="N24" s="65" t="n">
        <f aca="false">$C$7</f>
        <v>0.0214501400540117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46918</v>
      </c>
      <c r="C25" s="39" t="n">
        <v>264394329.072907</v>
      </c>
      <c r="D25" s="39" t="n">
        <v>5671295.38810031</v>
      </c>
      <c r="E25" s="39" t="n">
        <v>37160708.8658866</v>
      </c>
      <c r="F25" s="39" t="n">
        <v>42832004.2539869</v>
      </c>
      <c r="G25" s="39" t="n">
        <v>227233620.20702</v>
      </c>
      <c r="H25" s="33" t="n">
        <f aca="false">J24</f>
        <v>264394329.072907</v>
      </c>
      <c r="I25" s="33" t="n">
        <f aca="false">H25*N25</f>
        <v>5671295.38810031</v>
      </c>
      <c r="J25" s="33" t="n">
        <f aca="false">H25+I25-F25</f>
        <v>227233620.20702</v>
      </c>
      <c r="K25" s="33" t="n">
        <f aca="false">D25-I25</f>
        <v>0</v>
      </c>
      <c r="L25" s="33" t="n">
        <f aca="false">G25-J25</f>
        <v>0</v>
      </c>
      <c r="M25" s="33" t="n">
        <f aca="false">F25</f>
        <v>42832004.2539869</v>
      </c>
      <c r="N25" s="65" t="n">
        <f aca="false">$C$7</f>
        <v>0.0214501400540117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47010</v>
      </c>
      <c r="C26" s="39" t="n">
        <v>227233620.20702</v>
      </c>
      <c r="D26" s="39" t="n">
        <v>4874192.97842069</v>
      </c>
      <c r="E26" s="39" t="n">
        <v>37160708.8658866</v>
      </c>
      <c r="F26" s="39" t="n">
        <v>42034901.8443073</v>
      </c>
      <c r="G26" s="39" t="n">
        <v>190072911.341134</v>
      </c>
      <c r="H26" s="33" t="n">
        <f aca="false">J25</f>
        <v>227233620.20702</v>
      </c>
      <c r="I26" s="33" t="n">
        <f aca="false">H26*N26</f>
        <v>4874192.97842069</v>
      </c>
      <c r="J26" s="33" t="n">
        <f aca="false">H26+I26-F26</f>
        <v>190072911.341134</v>
      </c>
      <c r="K26" s="33" t="n">
        <f aca="false">D26-I26</f>
        <v>0</v>
      </c>
      <c r="L26" s="33" t="n">
        <f aca="false">G26-J26</f>
        <v>0</v>
      </c>
      <c r="M26" s="33" t="n">
        <f aca="false">F26</f>
        <v>42034901.8443073</v>
      </c>
      <c r="N26" s="65" t="n">
        <f aca="false">$C$7</f>
        <v>0.0214501400540117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47101</v>
      </c>
      <c r="C27" s="39" t="n">
        <v>190072911.341134</v>
      </c>
      <c r="D27" s="39" t="n">
        <v>4077090.56874107</v>
      </c>
      <c r="E27" s="39" t="n">
        <v>37160708.8658866</v>
      </c>
      <c r="F27" s="39" t="n">
        <v>41237799.4346277</v>
      </c>
      <c r="G27" s="39" t="n">
        <v>152912202.475247</v>
      </c>
      <c r="H27" s="33" t="n">
        <f aca="false">J26</f>
        <v>190072911.341134</v>
      </c>
      <c r="I27" s="33" t="n">
        <f aca="false">H27*N27</f>
        <v>4077090.56874106</v>
      </c>
      <c r="J27" s="33" t="n">
        <f aca="false">H27+I27-F27</f>
        <v>152912202.475247</v>
      </c>
      <c r="K27" s="33" t="n">
        <f aca="false">D27-I27</f>
        <v>0</v>
      </c>
      <c r="L27" s="33" t="n">
        <f aca="false">G27-J27</f>
        <v>0</v>
      </c>
      <c r="M27" s="33" t="n">
        <f aca="false">F27</f>
        <v>41237799.4346277</v>
      </c>
      <c r="N27" s="65" t="n">
        <f aca="false">$C$7</f>
        <v>0.0214501400540117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47191</v>
      </c>
      <c r="C28" s="39" t="n">
        <v>152912202.475247</v>
      </c>
      <c r="D28" s="39" t="n">
        <v>3279988.15906144</v>
      </c>
      <c r="E28" s="39" t="n">
        <v>37160708.8658866</v>
      </c>
      <c r="F28" s="39" t="n">
        <v>40440697.0249481</v>
      </c>
      <c r="G28" s="39" t="n">
        <v>115751493.609361</v>
      </c>
      <c r="H28" s="33" t="n">
        <f aca="false">J27</f>
        <v>152912202.475247</v>
      </c>
      <c r="I28" s="33" t="n">
        <f aca="false">H28*N28</f>
        <v>3279988.15906144</v>
      </c>
      <c r="J28" s="33" t="n">
        <f aca="false">H28+I28-F28</f>
        <v>115751493.60936</v>
      </c>
      <c r="K28" s="33" t="n">
        <f aca="false">D28-I28</f>
        <v>0</v>
      </c>
      <c r="L28" s="33" t="n">
        <f aca="false">G28-J28</f>
        <v>0</v>
      </c>
      <c r="M28" s="33" t="n">
        <f aca="false">F28</f>
        <v>40440697.0249481</v>
      </c>
      <c r="N28" s="65" t="n">
        <f aca="false">$C$7</f>
        <v>0.0214501400540117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47283</v>
      </c>
      <c r="C29" s="39" t="n">
        <v>115751493.609361</v>
      </c>
      <c r="D29" s="39" t="n">
        <v>2482885.74938182</v>
      </c>
      <c r="E29" s="39" t="n">
        <v>37160708.8658866</v>
      </c>
      <c r="F29" s="39" t="n">
        <v>39643594.6152684</v>
      </c>
      <c r="G29" s="39" t="n">
        <v>78590784.7434739</v>
      </c>
      <c r="H29" s="33" t="n">
        <f aca="false">J28</f>
        <v>115751493.60936</v>
      </c>
      <c r="I29" s="33" t="n">
        <f aca="false">H29*N29</f>
        <v>2482885.74938182</v>
      </c>
      <c r="J29" s="33" t="n">
        <f aca="false">H29+I29-F29</f>
        <v>78590784.7434738</v>
      </c>
      <c r="K29" s="33" t="n">
        <f aca="false">D29-I29</f>
        <v>0</v>
      </c>
      <c r="L29" s="33" t="n">
        <f aca="false">G29-J29</f>
        <v>0</v>
      </c>
      <c r="M29" s="33" t="n">
        <f aca="false">F29</f>
        <v>39643594.6152684</v>
      </c>
      <c r="N29" s="65" t="n">
        <f aca="false">$C$7</f>
        <v>0.0214501400540117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47375</v>
      </c>
      <c r="C30" s="39" t="n">
        <v>78590784.7434739</v>
      </c>
      <c r="D30" s="39" t="n">
        <v>1685783.3397022</v>
      </c>
      <c r="E30" s="39" t="n">
        <v>37160708.8658866</v>
      </c>
      <c r="F30" s="39" t="n">
        <v>38846492.2055888</v>
      </c>
      <c r="G30" s="39" t="n">
        <v>41430075.8775872</v>
      </c>
      <c r="H30" s="33" t="n">
        <f aca="false">J29</f>
        <v>78590784.7434738</v>
      </c>
      <c r="I30" s="33" t="n">
        <f aca="false">H30*N30</f>
        <v>1685783.3397022</v>
      </c>
      <c r="J30" s="33" t="n">
        <f aca="false">H30+I30-F30</f>
        <v>41430075.8775872</v>
      </c>
      <c r="K30" s="33" t="n">
        <f aca="false">D30-I30</f>
        <v>0</v>
      </c>
      <c r="L30" s="33" t="n">
        <f aca="false">G30-J30</f>
        <v>0</v>
      </c>
      <c r="M30" s="33" t="n">
        <f aca="false">F30</f>
        <v>38846492.2055888</v>
      </c>
      <c r="N30" s="65" t="n">
        <f aca="false">$C$7</f>
        <v>0.0214501400540117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47466</v>
      </c>
      <c r="C31" s="39" t="n">
        <v>41430075.8775872</v>
      </c>
      <c r="D31" s="39" t="n">
        <v>888680.930022578</v>
      </c>
      <c r="E31" s="39" t="n">
        <v>37160708.8658866</v>
      </c>
      <c r="F31" s="39" t="n">
        <v>38049389.7959092</v>
      </c>
      <c r="G31" s="39" t="n">
        <v>4269367.01170063</v>
      </c>
      <c r="H31" s="33" t="n">
        <f aca="false">J30</f>
        <v>41430075.8775872</v>
      </c>
      <c r="I31" s="33" t="n">
        <f aca="false">H31*N31</f>
        <v>888680.930022577</v>
      </c>
      <c r="J31" s="33" t="n">
        <f aca="false">H31+I31-F31</f>
        <v>4269367.01170058</v>
      </c>
      <c r="K31" s="33" t="n">
        <f aca="false">D31-I31</f>
        <v>0</v>
      </c>
      <c r="L31" s="33" t="n">
        <f aca="false">G31-J31</f>
        <v>5.21540641784668E-008</v>
      </c>
      <c r="M31" s="33" t="n">
        <f aca="false">F31</f>
        <v>38049389.7959092</v>
      </c>
      <c r="N31" s="65" t="n">
        <f aca="false">$C$7</f>
        <v>0.0214501400540117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47556</v>
      </c>
      <c r="C32" s="39" t="n">
        <v>4269367.01170063</v>
      </c>
      <c r="D32" s="39" t="n">
        <v>91578.5203429559</v>
      </c>
      <c r="E32" s="39" t="n">
        <v>42777508.8658866</v>
      </c>
      <c r="F32" s="39" t="n">
        <v>42869087.3862296</v>
      </c>
      <c r="G32" s="39" t="n">
        <v>-38508141.854186</v>
      </c>
      <c r="H32" s="33" t="n">
        <f aca="false">J31</f>
        <v>4269367.01170058</v>
      </c>
      <c r="I32" s="33" t="n">
        <f aca="false">H32*N32</f>
        <v>91578.5203429548</v>
      </c>
      <c r="J32" s="33" t="n">
        <f aca="false">H32+I32-F32</f>
        <v>-38508141.854186</v>
      </c>
      <c r="K32" s="33" t="n">
        <f aca="false">D32-I32</f>
        <v>1.12049747258425E-009</v>
      </c>
      <c r="L32" s="33" t="n">
        <f aca="false">G32-J32</f>
        <v>0</v>
      </c>
      <c r="M32" s="33" t="n">
        <f aca="false">F32</f>
        <v>42869087.3862296</v>
      </c>
      <c r="N32" s="65" t="n">
        <f aca="false">$C$7</f>
        <v>0.0214501400540117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1853</v>
      </c>
    </row>
    <row r="2" customFormat="false" ht="15" hidden="false" customHeight="false" outlineLevel="0" collapsed="false">
      <c r="A2" s="24" t="s">
        <v>1854</v>
      </c>
    </row>
    <row r="3" customFormat="false" ht="15" hidden="false" customHeight="false" outlineLevel="0" collapsed="false">
      <c r="A3" s="34" t="s">
        <v>1748</v>
      </c>
      <c r="C3" s="38" t="s">
        <v>1855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858438452</v>
      </c>
      <c r="F4" s="26" t="s">
        <v>1752</v>
      </c>
      <c r="I4" s="57" t="n">
        <f aca="false">_xlfn.MAXIFS($B$12:$B$84,$B$12:$B$84,"&lt;="&amp;Resumen!$C$5)</f>
        <v>46230</v>
      </c>
    </row>
    <row r="5" customFormat="false" ht="15" hidden="false" customHeight="false" outlineLevel="0" collapsed="false">
      <c r="A5" s="34" t="s">
        <v>1753</v>
      </c>
      <c r="C5" s="27" t="n">
        <v>45804</v>
      </c>
      <c r="F5" s="26" t="s">
        <v>1754</v>
      </c>
      <c r="I5" s="58" t="n">
        <f aca="false">SUMIFS($G$12:$G$84,$B$12:$B$84,I4)</f>
        <v>770085425.158301</v>
      </c>
    </row>
    <row r="6" customFormat="false" ht="15" hidden="false" customHeight="false" outlineLevel="0" collapsed="false">
      <c r="A6" s="34" t="s">
        <v>1755</v>
      </c>
      <c r="C6" s="38" t="s">
        <v>1856</v>
      </c>
      <c r="F6" s="26" t="s">
        <v>1757</v>
      </c>
      <c r="I6" s="33" t="n">
        <f aca="false">SUMIFS($J$12:$J$84,$B$12:$B$84,I4)</f>
        <v>770085425.158301</v>
      </c>
    </row>
    <row r="7" customFormat="false" ht="15" hidden="false" customHeight="false" outlineLevel="0" collapsed="false">
      <c r="A7" s="34" t="s">
        <v>1758</v>
      </c>
      <c r="C7" s="64" t="n">
        <v>0.00792035016710324</v>
      </c>
      <c r="F7" s="26" t="s">
        <v>1759</v>
      </c>
      <c r="I7" s="33" t="n">
        <f aca="false">SUMIFS($D$12:$D$84,$O$12:$O$84,1)</f>
        <v>44946958.2921088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IFERROR(IRR($M$12:$M$84),"N/A")</f>
        <v>N/A</v>
      </c>
      <c r="F8" s="26" t="s">
        <v>1761</v>
      </c>
      <c r="I8" s="33" t="n">
        <f aca="false">SUMIFS($E$12:$E$84,$P$12:$P$84,1)</f>
        <v>130316947.737682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SUMPRODUCT(MAX(ABS($L$12:$L$84)))</f>
        <v>6.70552253723145E-008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45804</v>
      </c>
      <c r="C12" s="39"/>
      <c r="D12" s="39" t="n">
        <v>0</v>
      </c>
      <c r="E12" s="39" t="n">
        <v>0</v>
      </c>
      <c r="F12" s="39" t="n">
        <v>0</v>
      </c>
      <c r="G12" s="39" t="n">
        <v>858438452</v>
      </c>
      <c r="H12" s="33" t="n">
        <f aca="false">G12</f>
        <v>858438452</v>
      </c>
      <c r="I12" s="33" t="n">
        <v>0</v>
      </c>
      <c r="J12" s="33" t="n">
        <f aca="false">H12</f>
        <v>858438452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-858438452</v>
      </c>
      <c r="N12" s="65" t="n">
        <f aca="false">$C$7</f>
        <v>0.00792035016710324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45835</v>
      </c>
      <c r="C13" s="39" t="n">
        <v>858438452</v>
      </c>
      <c r="D13" s="39" t="n">
        <v>6799133.13674605</v>
      </c>
      <c r="E13" s="39" t="n">
        <v>1320616.16825163</v>
      </c>
      <c r="F13" s="39" t="n">
        <v>8119749.30499768</v>
      </c>
      <c r="G13" s="39" t="n">
        <v>857117835.831748</v>
      </c>
      <c r="H13" s="33" t="n">
        <f aca="false">J12</f>
        <v>858438452</v>
      </c>
      <c r="I13" s="33" t="n">
        <f aca="false">H13*N13</f>
        <v>6799133.13674605</v>
      </c>
      <c r="J13" s="33" t="n">
        <f aca="false">H13+I13-F13</f>
        <v>857117835.831748</v>
      </c>
      <c r="K13" s="33" t="n">
        <f aca="false">D13-I13</f>
        <v>0</v>
      </c>
      <c r="L13" s="33" t="n">
        <f aca="false">G13-J13</f>
        <v>0</v>
      </c>
      <c r="M13" s="33" t="n">
        <f aca="false">F13</f>
        <v>8119749.30499768</v>
      </c>
      <c r="N13" s="65" t="n">
        <f aca="false">$C$7</f>
        <v>0.00792035016710324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45865</v>
      </c>
      <c r="C14" s="39" t="n">
        <v>857117835.831748</v>
      </c>
      <c r="D14" s="39" t="n">
        <v>6788673.39425716</v>
      </c>
      <c r="E14" s="39" t="n">
        <v>1331075.9107405</v>
      </c>
      <c r="F14" s="39" t="n">
        <v>8119749.30499765</v>
      </c>
      <c r="G14" s="39" t="n">
        <v>855786759.921008</v>
      </c>
      <c r="H14" s="33" t="n">
        <f aca="false">J13</f>
        <v>857117835.831748</v>
      </c>
      <c r="I14" s="33" t="n">
        <f aca="false">H14*N14</f>
        <v>6788673.39425716</v>
      </c>
      <c r="J14" s="33" t="n">
        <f aca="false">H14+I14-F14</f>
        <v>855786759.921008</v>
      </c>
      <c r="K14" s="33" t="n">
        <f aca="false">D14-I14</f>
        <v>0</v>
      </c>
      <c r="L14" s="33" t="n">
        <f aca="false">G14-J14</f>
        <v>0</v>
      </c>
      <c r="M14" s="33" t="n">
        <f aca="false">F14</f>
        <v>8119749.30499765</v>
      </c>
      <c r="N14" s="65" t="n">
        <f aca="false">$C$7</f>
        <v>0.00792035016710324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45896</v>
      </c>
      <c r="C15" s="39" t="n">
        <v>855786759.921008</v>
      </c>
      <c r="D15" s="39" t="n">
        <v>6778130.8069451</v>
      </c>
      <c r="E15" s="39" t="n">
        <v>1341618.4980526</v>
      </c>
      <c r="F15" s="39" t="n">
        <v>8119749.30499769</v>
      </c>
      <c r="G15" s="39" t="n">
        <v>854445141.422955</v>
      </c>
      <c r="H15" s="33" t="n">
        <f aca="false">J14</f>
        <v>855786759.921008</v>
      </c>
      <c r="I15" s="33" t="n">
        <f aca="false">H15*N15</f>
        <v>6778130.8069451</v>
      </c>
      <c r="J15" s="33" t="n">
        <f aca="false">H15+I15-F15</f>
        <v>854445141.422955</v>
      </c>
      <c r="K15" s="33" t="n">
        <f aca="false">D15-I15</f>
        <v>0</v>
      </c>
      <c r="L15" s="33" t="n">
        <f aca="false">G15-J15</f>
        <v>0</v>
      </c>
      <c r="M15" s="33" t="n">
        <f aca="false">F15</f>
        <v>8119749.30499769</v>
      </c>
      <c r="N15" s="65" t="n">
        <f aca="false">$C$7</f>
        <v>0.00792035016710324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45927</v>
      </c>
      <c r="C16" s="39" t="n">
        <v>854445141.422955</v>
      </c>
      <c r="D16" s="39" t="n">
        <v>6767504.71864986</v>
      </c>
      <c r="E16" s="39" t="n">
        <v>1352244.58634782</v>
      </c>
      <c r="F16" s="39" t="n">
        <v>8119749.30499767</v>
      </c>
      <c r="G16" s="39" t="n">
        <v>853092896.836608</v>
      </c>
      <c r="H16" s="33" t="n">
        <f aca="false">J15</f>
        <v>854445141.422955</v>
      </c>
      <c r="I16" s="33" t="n">
        <f aca="false">H16*N16</f>
        <v>6767504.71864986</v>
      </c>
      <c r="J16" s="33" t="n">
        <f aca="false">H16+I16-F16</f>
        <v>853092896.836608</v>
      </c>
      <c r="K16" s="33" t="n">
        <f aca="false">D16-I16</f>
        <v>0</v>
      </c>
      <c r="L16" s="33" t="n">
        <f aca="false">G16-J16</f>
        <v>0</v>
      </c>
      <c r="M16" s="33" t="n">
        <f aca="false">F16</f>
        <v>8119749.30499767</v>
      </c>
      <c r="N16" s="65" t="n">
        <f aca="false">$C$7</f>
        <v>0.00792035016710324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45957</v>
      </c>
      <c r="C17" s="39" t="n">
        <v>853092896.836608</v>
      </c>
      <c r="D17" s="39" t="n">
        <v>6756794.46801441</v>
      </c>
      <c r="E17" s="39" t="n">
        <v>1362954.83698332</v>
      </c>
      <c r="F17" s="39" t="n">
        <v>8119749.30499774</v>
      </c>
      <c r="G17" s="39" t="n">
        <v>851729941.999624</v>
      </c>
      <c r="H17" s="33" t="n">
        <f aca="false">J16</f>
        <v>853092896.836608</v>
      </c>
      <c r="I17" s="33" t="n">
        <f aca="false">H17*N17</f>
        <v>6756794.46801441</v>
      </c>
      <c r="J17" s="33" t="n">
        <f aca="false">H17+I17-F17</f>
        <v>851729941.999624</v>
      </c>
      <c r="K17" s="33" t="n">
        <f aca="false">D17-I17</f>
        <v>0</v>
      </c>
      <c r="L17" s="33" t="n">
        <f aca="false">G17-J17</f>
        <v>0</v>
      </c>
      <c r="M17" s="33" t="n">
        <f aca="false">F17</f>
        <v>8119749.30499774</v>
      </c>
      <c r="N17" s="65" t="n">
        <f aca="false">$C$7</f>
        <v>0.00792035016710324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45988</v>
      </c>
      <c r="C18" s="39" t="n">
        <v>851729941.999624</v>
      </c>
      <c r="D18" s="39" t="n">
        <v>6745999.38844356</v>
      </c>
      <c r="E18" s="39" t="n">
        <v>1373749.91655409</v>
      </c>
      <c r="F18" s="39" t="n">
        <v>8119749.30499765</v>
      </c>
      <c r="G18" s="39" t="n">
        <v>850356192.08307</v>
      </c>
      <c r="H18" s="33" t="n">
        <f aca="false">J17</f>
        <v>851729941.999624</v>
      </c>
      <c r="I18" s="33" t="n">
        <f aca="false">H18*N18</f>
        <v>6745999.38844356</v>
      </c>
      <c r="J18" s="33" t="n">
        <f aca="false">H18+I18-F18</f>
        <v>850356192.08307</v>
      </c>
      <c r="K18" s="33" t="n">
        <f aca="false">D18-I18</f>
        <v>0</v>
      </c>
      <c r="L18" s="33" t="n">
        <f aca="false">G18-J18</f>
        <v>0</v>
      </c>
      <c r="M18" s="33" t="n">
        <f aca="false">F18</f>
        <v>8119749.30499765</v>
      </c>
      <c r="N18" s="65" t="n">
        <f aca="false">$C$7</f>
        <v>0.00792035016710324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46018</v>
      </c>
      <c r="C19" s="39" t="n">
        <v>850356192.08307</v>
      </c>
      <c r="D19" s="39" t="n">
        <v>6735118.80806242</v>
      </c>
      <c r="E19" s="39" t="n">
        <v>9758986.69505513</v>
      </c>
      <c r="F19" s="39" t="n">
        <v>16494105.5031176</v>
      </c>
      <c r="G19" s="39" t="n">
        <v>840597205.388015</v>
      </c>
      <c r="H19" s="33" t="n">
        <f aca="false">J18</f>
        <v>850356192.08307</v>
      </c>
      <c r="I19" s="33" t="n">
        <f aca="false">H19*N19</f>
        <v>6735118.80806242</v>
      </c>
      <c r="J19" s="33" t="n">
        <f aca="false">H19+I19-F19</f>
        <v>840597205.388015</v>
      </c>
      <c r="K19" s="33" t="n">
        <f aca="false">D19-I19</f>
        <v>0</v>
      </c>
      <c r="L19" s="33" t="n">
        <f aca="false">G19-J19</f>
        <v>0</v>
      </c>
      <c r="M19" s="33" t="n">
        <f aca="false">F19</f>
        <v>16494105.5031176</v>
      </c>
      <c r="N19" s="65" t="n">
        <f aca="false">$C$7</f>
        <v>0.00792035016710324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46049</v>
      </c>
      <c r="C20" s="39" t="n">
        <v>840597205.388015</v>
      </c>
      <c r="D20" s="39" t="n">
        <v>6657824.21616148</v>
      </c>
      <c r="E20" s="39" t="n">
        <v>9836281.28695607</v>
      </c>
      <c r="F20" s="39" t="n">
        <v>16494105.5031176</v>
      </c>
      <c r="G20" s="39" t="n">
        <v>830760924.101059</v>
      </c>
      <c r="H20" s="33" t="n">
        <f aca="false">J19</f>
        <v>840597205.388015</v>
      </c>
      <c r="I20" s="33" t="n">
        <f aca="false">H20*N20</f>
        <v>6657824.21616148</v>
      </c>
      <c r="J20" s="33" t="n">
        <f aca="false">H20+I20-F20</f>
        <v>830760924.101059</v>
      </c>
      <c r="K20" s="33" t="n">
        <f aca="false">D20-I20</f>
        <v>0</v>
      </c>
      <c r="L20" s="33" t="n">
        <f aca="false">G20-J20</f>
        <v>0</v>
      </c>
      <c r="M20" s="33" t="n">
        <f aca="false">F20</f>
        <v>16494105.5031176</v>
      </c>
      <c r="N20" s="65" t="n">
        <f aca="false">$C$7</f>
        <v>0.00792035016710324</v>
      </c>
      <c r="O20" s="48" t="n">
        <f aca="false">IF(AND(B20&gt;=DATE(2026,1,1),B20&lt;=Resumen!$C$5),1,0)</f>
        <v>1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46080</v>
      </c>
      <c r="C21" s="39" t="n">
        <v>830760924.101059</v>
      </c>
      <c r="D21" s="39" t="n">
        <v>6579917.42402666</v>
      </c>
      <c r="E21" s="39" t="n">
        <v>9914188.07909095</v>
      </c>
      <c r="F21" s="39" t="n">
        <v>16494105.5031176</v>
      </c>
      <c r="G21" s="39" t="n">
        <v>820846736.021968</v>
      </c>
      <c r="H21" s="33" t="n">
        <f aca="false">J20</f>
        <v>830760924.101059</v>
      </c>
      <c r="I21" s="33" t="n">
        <f aca="false">H21*N21</f>
        <v>6579917.42402666</v>
      </c>
      <c r="J21" s="33" t="n">
        <f aca="false">H21+I21-F21</f>
        <v>820846736.021968</v>
      </c>
      <c r="K21" s="33" t="n">
        <f aca="false">D21-I21</f>
        <v>0</v>
      </c>
      <c r="L21" s="33" t="n">
        <f aca="false">G21-J21</f>
        <v>0</v>
      </c>
      <c r="M21" s="33" t="n">
        <f aca="false">F21</f>
        <v>16494105.5031176</v>
      </c>
      <c r="N21" s="65" t="n">
        <f aca="false">$C$7</f>
        <v>0.00792035016710324</v>
      </c>
      <c r="O21" s="48" t="n">
        <f aca="false">IF(AND(B21&gt;=DATE(2026,1,1),B21&lt;=Resumen!$C$5),1,0)</f>
        <v>1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46108</v>
      </c>
      <c r="C22" s="39" t="n">
        <v>820846736.021968</v>
      </c>
      <c r="D22" s="39" t="n">
        <v>6501393.58281774</v>
      </c>
      <c r="E22" s="39" t="n">
        <v>9992711.92029977</v>
      </c>
      <c r="F22" s="39" t="n">
        <v>16494105.5031175</v>
      </c>
      <c r="G22" s="39" t="n">
        <v>810854024.101668</v>
      </c>
      <c r="H22" s="33" t="n">
        <f aca="false">J21</f>
        <v>820846736.021968</v>
      </c>
      <c r="I22" s="33" t="n">
        <f aca="false">H22*N22</f>
        <v>6501393.58281774</v>
      </c>
      <c r="J22" s="33" t="n">
        <f aca="false">H22+I22-F22</f>
        <v>810854024.101668</v>
      </c>
      <c r="K22" s="33" t="n">
        <f aca="false">D22-I22</f>
        <v>0</v>
      </c>
      <c r="L22" s="33" t="n">
        <f aca="false">G22-J22</f>
        <v>0</v>
      </c>
      <c r="M22" s="33" t="n">
        <f aca="false">F22</f>
        <v>16494105.5031175</v>
      </c>
      <c r="N22" s="65" t="n">
        <f aca="false">$C$7</f>
        <v>0.00792035016710324</v>
      </c>
      <c r="O22" s="48" t="n">
        <f aca="false">IF(AND(B22&gt;=DATE(2026,1,1),B22&lt;=Resumen!$C$5),1,0)</f>
        <v>1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46139</v>
      </c>
      <c r="C23" s="39" t="n">
        <v>810854024.101668</v>
      </c>
      <c r="D23" s="39" t="n">
        <v>6422247.80528998</v>
      </c>
      <c r="E23" s="39" t="n">
        <v>10071857.6978276</v>
      </c>
      <c r="F23" s="39" t="n">
        <v>16494105.5031176</v>
      </c>
      <c r="G23" s="39" t="n">
        <v>800782166.403841</v>
      </c>
      <c r="H23" s="33" t="n">
        <f aca="false">J22</f>
        <v>810854024.101668</v>
      </c>
      <c r="I23" s="33" t="n">
        <f aca="false">H23*N23</f>
        <v>6422247.80528998</v>
      </c>
      <c r="J23" s="33" t="n">
        <f aca="false">H23+I23-F23</f>
        <v>800782166.403841</v>
      </c>
      <c r="K23" s="33" t="n">
        <f aca="false">D23-I23</f>
        <v>0</v>
      </c>
      <c r="L23" s="33" t="n">
        <f aca="false">G23-J23</f>
        <v>0</v>
      </c>
      <c r="M23" s="33" t="n">
        <f aca="false">F23</f>
        <v>16494105.5031176</v>
      </c>
      <c r="N23" s="65" t="n">
        <f aca="false">$C$7</f>
        <v>0.00792035016710324</v>
      </c>
      <c r="O23" s="48" t="n">
        <f aca="false">IF(AND(B23&gt;=DATE(2026,1,1),B23&lt;=Resumen!$C$5),1,0)</f>
        <v>1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46169</v>
      </c>
      <c r="C24" s="39" t="n">
        <v>800782166.403841</v>
      </c>
      <c r="D24" s="39" t="n">
        <v>6342475.16548995</v>
      </c>
      <c r="E24" s="39" t="n">
        <v>10151630.3376277</v>
      </c>
      <c r="F24" s="39" t="n">
        <v>16494105.5031176</v>
      </c>
      <c r="G24" s="39" t="n">
        <v>790630536.066213</v>
      </c>
      <c r="H24" s="33" t="n">
        <f aca="false">J23</f>
        <v>800782166.403841</v>
      </c>
      <c r="I24" s="33" t="n">
        <f aca="false">H24*N24</f>
        <v>6342475.16548995</v>
      </c>
      <c r="J24" s="33" t="n">
        <f aca="false">H24+I24-F24</f>
        <v>790630536.066213</v>
      </c>
      <c r="K24" s="33" t="n">
        <f aca="false">D24-I24</f>
        <v>0</v>
      </c>
      <c r="L24" s="33" t="n">
        <f aca="false">G24-J24</f>
        <v>0</v>
      </c>
      <c r="M24" s="33" t="n">
        <f aca="false">F24</f>
        <v>16494105.5031176</v>
      </c>
      <c r="N24" s="65" t="n">
        <f aca="false">$C$7</f>
        <v>0.00792035016710324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46200</v>
      </c>
      <c r="C25" s="39" t="n">
        <v>790630536.066213</v>
      </c>
      <c r="D25" s="39" t="n">
        <v>6262070.69844895</v>
      </c>
      <c r="E25" s="39" t="n">
        <v>10232034.8046687</v>
      </c>
      <c r="F25" s="39" t="n">
        <v>16494105.5031176</v>
      </c>
      <c r="G25" s="39" t="n">
        <v>780398501.261544</v>
      </c>
      <c r="H25" s="33" t="n">
        <f aca="false">J24</f>
        <v>790630536.066213</v>
      </c>
      <c r="I25" s="33" t="n">
        <f aca="false">H25*N25</f>
        <v>6262070.69844895</v>
      </c>
      <c r="J25" s="33" t="n">
        <f aca="false">H25+I25-F25</f>
        <v>780398501.261544</v>
      </c>
      <c r="K25" s="33" t="n">
        <f aca="false">D25-I25</f>
        <v>0</v>
      </c>
      <c r="L25" s="33" t="n">
        <f aca="false">G25-J25</f>
        <v>0</v>
      </c>
      <c r="M25" s="33" t="n">
        <f aca="false">F25</f>
        <v>16494105.5031176</v>
      </c>
      <c r="N25" s="65" t="n">
        <f aca="false">$C$7</f>
        <v>0.00792035016710324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46230</v>
      </c>
      <c r="C26" s="39" t="n">
        <v>780398501.261544</v>
      </c>
      <c r="D26" s="39" t="n">
        <v>6181029.39987399</v>
      </c>
      <c r="E26" s="39" t="n">
        <v>10313076.1032436</v>
      </c>
      <c r="F26" s="39" t="n">
        <v>16494105.5031176</v>
      </c>
      <c r="G26" s="39" t="n">
        <v>770085425.158301</v>
      </c>
      <c r="H26" s="33" t="n">
        <f aca="false">J25</f>
        <v>780398501.261544</v>
      </c>
      <c r="I26" s="33" t="n">
        <f aca="false">H26*N26</f>
        <v>6181029.39987399</v>
      </c>
      <c r="J26" s="33" t="n">
        <f aca="false">H26+I26-F26</f>
        <v>770085425.158301</v>
      </c>
      <c r="K26" s="33" t="n">
        <f aca="false">D26-I26</f>
        <v>0</v>
      </c>
      <c r="L26" s="33" t="n">
        <f aca="false">G26-J26</f>
        <v>0</v>
      </c>
      <c r="M26" s="33" t="n">
        <f aca="false">F26</f>
        <v>16494105.5031176</v>
      </c>
      <c r="N26" s="65" t="n">
        <f aca="false">$C$7</f>
        <v>0.00792035016710324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46261</v>
      </c>
      <c r="C27" s="39" t="n">
        <v>770085425.158301</v>
      </c>
      <c r="D27" s="39" t="n">
        <v>6099346.22583632</v>
      </c>
      <c r="E27" s="39" t="n">
        <v>10394759.2772813</v>
      </c>
      <c r="F27" s="39" t="n">
        <v>16494105.5031176</v>
      </c>
      <c r="G27" s="39" t="n">
        <v>759690665.881019</v>
      </c>
      <c r="H27" s="33" t="n">
        <f aca="false">J26</f>
        <v>770085425.158301</v>
      </c>
      <c r="I27" s="33" t="n">
        <f aca="false">H27*N27</f>
        <v>6099346.22583632</v>
      </c>
      <c r="J27" s="33" t="n">
        <f aca="false">H27+I27-F27</f>
        <v>759690665.881019</v>
      </c>
      <c r="K27" s="33" t="n">
        <f aca="false">D27-I27</f>
        <v>0</v>
      </c>
      <c r="L27" s="33" t="n">
        <f aca="false">G27-J27</f>
        <v>0</v>
      </c>
      <c r="M27" s="33" t="n">
        <f aca="false">F27</f>
        <v>16494105.5031176</v>
      </c>
      <c r="N27" s="65" t="n">
        <f aca="false">$C$7</f>
        <v>0.00792035016710324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46292</v>
      </c>
      <c r="C28" s="39" t="n">
        <v>759690665.881019</v>
      </c>
      <c r="D28" s="39" t="n">
        <v>6017016.0924575</v>
      </c>
      <c r="E28" s="39" t="n">
        <v>10477089.41066</v>
      </c>
      <c r="F28" s="39" t="n">
        <v>16494105.5031175</v>
      </c>
      <c r="G28" s="39" t="n">
        <v>749213576.470359</v>
      </c>
      <c r="H28" s="33" t="n">
        <f aca="false">J27</f>
        <v>759690665.881019</v>
      </c>
      <c r="I28" s="33" t="n">
        <f aca="false">H28*N28</f>
        <v>6017016.0924575</v>
      </c>
      <c r="J28" s="33" t="n">
        <f aca="false">H28+I28-F28</f>
        <v>749213576.470359</v>
      </c>
      <c r="K28" s="33" t="n">
        <f aca="false">D28-I28</f>
        <v>0</v>
      </c>
      <c r="L28" s="33" t="n">
        <f aca="false">G28-J28</f>
        <v>0</v>
      </c>
      <c r="M28" s="33" t="n">
        <f aca="false">F28</f>
        <v>16494105.5031175</v>
      </c>
      <c r="N28" s="65" t="n">
        <f aca="false">$C$7</f>
        <v>0.00792035016710324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46322</v>
      </c>
      <c r="C29" s="39" t="n">
        <v>749213576.470359</v>
      </c>
      <c r="D29" s="39" t="n">
        <v>5934033.87559303</v>
      </c>
      <c r="E29" s="39" t="n">
        <v>10560071.6275245</v>
      </c>
      <c r="F29" s="39" t="n">
        <v>16494105.5031175</v>
      </c>
      <c r="G29" s="39" t="n">
        <v>738653504.842835</v>
      </c>
      <c r="H29" s="33" t="n">
        <f aca="false">J28</f>
        <v>749213576.470359</v>
      </c>
      <c r="I29" s="33" t="n">
        <f aca="false">H29*N29</f>
        <v>5934033.87559303</v>
      </c>
      <c r="J29" s="33" t="n">
        <f aca="false">H29+I29-F29</f>
        <v>738653504.842835</v>
      </c>
      <c r="K29" s="33" t="n">
        <f aca="false">D29-I29</f>
        <v>0</v>
      </c>
      <c r="L29" s="33" t="n">
        <f aca="false">G29-J29</f>
        <v>0</v>
      </c>
      <c r="M29" s="33" t="n">
        <f aca="false">F29</f>
        <v>16494105.5031175</v>
      </c>
      <c r="N29" s="65" t="n">
        <f aca="false">$C$7</f>
        <v>0.00792035016710324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46353</v>
      </c>
      <c r="C30" s="39" t="n">
        <v>738653504.842835</v>
      </c>
      <c r="D30" s="39" t="n">
        <v>5850394.41051334</v>
      </c>
      <c r="E30" s="39" t="n">
        <v>10643711.0926043</v>
      </c>
      <c r="F30" s="39" t="n">
        <v>16494105.5031176</v>
      </c>
      <c r="G30" s="39" t="n">
        <v>728009793.750231</v>
      </c>
      <c r="H30" s="33" t="n">
        <f aca="false">J29</f>
        <v>738653504.842835</v>
      </c>
      <c r="I30" s="33" t="n">
        <f aca="false">H30*N30</f>
        <v>5850394.41051334</v>
      </c>
      <c r="J30" s="33" t="n">
        <f aca="false">H30+I30-F30</f>
        <v>728009793.750231</v>
      </c>
      <c r="K30" s="33" t="n">
        <f aca="false">D30-I30</f>
        <v>0</v>
      </c>
      <c r="L30" s="33" t="n">
        <f aca="false">G30-J30</f>
        <v>0</v>
      </c>
      <c r="M30" s="33" t="n">
        <f aca="false">F30</f>
        <v>16494105.5031176</v>
      </c>
      <c r="N30" s="65" t="n">
        <f aca="false">$C$7</f>
        <v>0.00792035016710324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46383</v>
      </c>
      <c r="C31" s="39" t="n">
        <v>728009793.750231</v>
      </c>
      <c r="D31" s="39" t="n">
        <v>5766092.49158244</v>
      </c>
      <c r="E31" s="39" t="n">
        <v>10728013.0115352</v>
      </c>
      <c r="F31" s="39" t="n">
        <v>16494105.5031176</v>
      </c>
      <c r="G31" s="39" t="n">
        <v>717281780.738695</v>
      </c>
      <c r="H31" s="33" t="n">
        <f aca="false">J30</f>
        <v>728009793.750231</v>
      </c>
      <c r="I31" s="33" t="n">
        <f aca="false">H31*N31</f>
        <v>5766092.49158244</v>
      </c>
      <c r="J31" s="33" t="n">
        <f aca="false">H31+I31-F31</f>
        <v>717281780.738695</v>
      </c>
      <c r="K31" s="33" t="n">
        <f aca="false">D31-I31</f>
        <v>0</v>
      </c>
      <c r="L31" s="33" t="n">
        <f aca="false">G31-J31</f>
        <v>0</v>
      </c>
      <c r="M31" s="33" t="n">
        <f aca="false">F31</f>
        <v>16494105.5031176</v>
      </c>
      <c r="N31" s="65" t="n">
        <f aca="false">$C$7</f>
        <v>0.00792035016710324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1</v>
      </c>
    </row>
    <row r="32" customFormat="false" ht="15" hidden="false" customHeight="false" outlineLevel="0" collapsed="false">
      <c r="A32" s="38" t="n">
        <v>20</v>
      </c>
      <c r="B32" s="27" t="n">
        <v>46414</v>
      </c>
      <c r="C32" s="39" t="n">
        <v>717281780.738695</v>
      </c>
      <c r="D32" s="39" t="n">
        <v>5681122.87193384</v>
      </c>
      <c r="E32" s="39" t="n">
        <v>10812982.6311837</v>
      </c>
      <c r="F32" s="39" t="n">
        <v>16494105.5031176</v>
      </c>
      <c r="G32" s="39" t="n">
        <v>706468798.107512</v>
      </c>
      <c r="H32" s="33" t="n">
        <f aca="false">J31</f>
        <v>717281780.738695</v>
      </c>
      <c r="I32" s="33" t="n">
        <f aca="false">H32*N32</f>
        <v>5681122.87193384</v>
      </c>
      <c r="J32" s="33" t="n">
        <f aca="false">H32+I32-F32</f>
        <v>706468798.107512</v>
      </c>
      <c r="K32" s="33" t="n">
        <f aca="false">D32-I32</f>
        <v>0</v>
      </c>
      <c r="L32" s="33" t="n">
        <f aca="false">G32-J32</f>
        <v>0</v>
      </c>
      <c r="M32" s="33" t="n">
        <f aca="false">F32</f>
        <v>16494105.5031176</v>
      </c>
      <c r="N32" s="65" t="n">
        <f aca="false">$C$7</f>
        <v>0.00792035016710324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1</v>
      </c>
    </row>
    <row r="33" customFormat="false" ht="15" hidden="false" customHeight="false" outlineLevel="0" collapsed="false">
      <c r="A33" s="38" t="n">
        <v>21</v>
      </c>
      <c r="B33" s="27" t="n">
        <v>46445</v>
      </c>
      <c r="C33" s="39" t="n">
        <v>706468798.107512</v>
      </c>
      <c r="D33" s="39" t="n">
        <v>5595480.26314406</v>
      </c>
      <c r="E33" s="39" t="n">
        <v>10898625.2399736</v>
      </c>
      <c r="F33" s="39" t="n">
        <v>16494105.5031176</v>
      </c>
      <c r="G33" s="39" t="n">
        <v>695570172.867538</v>
      </c>
      <c r="H33" s="33" t="n">
        <f aca="false">J32</f>
        <v>706468798.107512</v>
      </c>
      <c r="I33" s="33" t="n">
        <f aca="false">H33*N33</f>
        <v>5595480.26314406</v>
      </c>
      <c r="J33" s="33" t="n">
        <f aca="false">H33+I33-F33</f>
        <v>695570172.867538</v>
      </c>
      <c r="K33" s="33" t="n">
        <f aca="false">D33-I33</f>
        <v>0</v>
      </c>
      <c r="L33" s="33" t="n">
        <f aca="false">G33-J33</f>
        <v>0</v>
      </c>
      <c r="M33" s="33" t="n">
        <f aca="false">F33</f>
        <v>16494105.5031176</v>
      </c>
      <c r="N33" s="65" t="n">
        <f aca="false">$C$7</f>
        <v>0.00792035016710324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1</v>
      </c>
    </row>
    <row r="34" customFormat="false" ht="15" hidden="false" customHeight="false" outlineLevel="0" collapsed="false">
      <c r="A34" s="38" t="n">
        <v>22</v>
      </c>
      <c r="B34" s="27" t="n">
        <v>46473</v>
      </c>
      <c r="C34" s="39" t="n">
        <v>695570172.867538</v>
      </c>
      <c r="D34" s="39" t="n">
        <v>5509159.33490344</v>
      </c>
      <c r="E34" s="39" t="n">
        <v>10984946.1682141</v>
      </c>
      <c r="F34" s="39" t="n">
        <v>16494105.5031175</v>
      </c>
      <c r="G34" s="39" t="n">
        <v>684585226.699324</v>
      </c>
      <c r="H34" s="33" t="n">
        <f aca="false">J33</f>
        <v>695570172.867538</v>
      </c>
      <c r="I34" s="33" t="n">
        <f aca="false">H34*N34</f>
        <v>5509159.33490344</v>
      </c>
      <c r="J34" s="33" t="n">
        <f aca="false">H34+I34-F34</f>
        <v>684585226.699324</v>
      </c>
      <c r="K34" s="33" t="n">
        <f aca="false">D34-I34</f>
        <v>0</v>
      </c>
      <c r="L34" s="33" t="n">
        <f aca="false">G34-J34</f>
        <v>0</v>
      </c>
      <c r="M34" s="33" t="n">
        <f aca="false">F34</f>
        <v>16494105.5031175</v>
      </c>
      <c r="N34" s="65" t="n">
        <f aca="false">$C$7</f>
        <v>0.00792035016710324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1</v>
      </c>
    </row>
    <row r="35" customFormat="false" ht="15" hidden="false" customHeight="false" outlineLevel="0" collapsed="false">
      <c r="A35" s="38" t="n">
        <v>23</v>
      </c>
      <c r="B35" s="27" t="n">
        <v>46504</v>
      </c>
      <c r="C35" s="39" t="n">
        <v>684585226.699324</v>
      </c>
      <c r="D35" s="39" t="n">
        <v>5422154.7146844</v>
      </c>
      <c r="E35" s="39" t="n">
        <v>11071950.7884332</v>
      </c>
      <c r="F35" s="39" t="n">
        <v>16494105.5031176</v>
      </c>
      <c r="G35" s="39" t="n">
        <v>673513275.910891</v>
      </c>
      <c r="H35" s="33" t="n">
        <f aca="false">J34</f>
        <v>684585226.699324</v>
      </c>
      <c r="I35" s="33" t="n">
        <f aca="false">H35*N35</f>
        <v>5422154.7146844</v>
      </c>
      <c r="J35" s="33" t="n">
        <f aca="false">H35+I35-F35</f>
        <v>673513275.910891</v>
      </c>
      <c r="K35" s="33" t="n">
        <f aca="false">D35-I35</f>
        <v>0</v>
      </c>
      <c r="L35" s="33" t="n">
        <f aca="false">G35-J35</f>
        <v>0</v>
      </c>
      <c r="M35" s="33" t="n">
        <f aca="false">F35</f>
        <v>16494105.5031176</v>
      </c>
      <c r="N35" s="65" t="n">
        <f aca="false">$C$7</f>
        <v>0.00792035016710324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1</v>
      </c>
    </row>
    <row r="36" customFormat="false" ht="15" hidden="false" customHeight="false" outlineLevel="0" collapsed="false">
      <c r="A36" s="38" t="n">
        <v>24</v>
      </c>
      <c r="B36" s="27" t="n">
        <v>46534</v>
      </c>
      <c r="C36" s="39" t="n">
        <v>673513275.910891</v>
      </c>
      <c r="D36" s="39" t="n">
        <v>5334460.98740708</v>
      </c>
      <c r="E36" s="39" t="n">
        <v>11159644.5157105</v>
      </c>
      <c r="F36" s="39" t="n">
        <v>16494105.5031176</v>
      </c>
      <c r="G36" s="39" t="n">
        <v>662353631.39518</v>
      </c>
      <c r="H36" s="33" t="n">
        <f aca="false">J35</f>
        <v>673513275.910891</v>
      </c>
      <c r="I36" s="33" t="n">
        <f aca="false">H36*N36</f>
        <v>5334460.98740708</v>
      </c>
      <c r="J36" s="33" t="n">
        <f aca="false">H36+I36-F36</f>
        <v>662353631.39518</v>
      </c>
      <c r="K36" s="33" t="n">
        <f aca="false">D36-I36</f>
        <v>0</v>
      </c>
      <c r="L36" s="33" t="n">
        <f aca="false">G36-J36</f>
        <v>0</v>
      </c>
      <c r="M36" s="33" t="n">
        <f aca="false">F36</f>
        <v>16494105.5031176</v>
      </c>
      <c r="N36" s="65" t="n">
        <f aca="false">$C$7</f>
        <v>0.00792035016710324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1</v>
      </c>
    </row>
    <row r="37" customFormat="false" ht="15" hidden="false" customHeight="false" outlineLevel="0" collapsed="false">
      <c r="A37" s="38" t="n">
        <v>25</v>
      </c>
      <c r="B37" s="27" t="n">
        <v>46565</v>
      </c>
      <c r="C37" s="39" t="n">
        <v>662353631.39518</v>
      </c>
      <c r="D37" s="39" t="n">
        <v>5246072.69510226</v>
      </c>
      <c r="E37" s="39" t="n">
        <v>11248032.8080154</v>
      </c>
      <c r="F37" s="39" t="n">
        <v>16494105.5031176</v>
      </c>
      <c r="G37" s="39" t="n">
        <v>651105598.587165</v>
      </c>
      <c r="H37" s="33" t="n">
        <f aca="false">J36</f>
        <v>662353631.39518</v>
      </c>
      <c r="I37" s="33" t="n">
        <f aca="false">H37*N37</f>
        <v>5246072.69510226</v>
      </c>
      <c r="J37" s="33" t="n">
        <f aca="false">H37+I37-F37</f>
        <v>651105598.587165</v>
      </c>
      <c r="K37" s="33" t="n">
        <f aca="false">D37-I37</f>
        <v>0</v>
      </c>
      <c r="L37" s="33" t="n">
        <f aca="false">G37-J37</f>
        <v>0</v>
      </c>
      <c r="M37" s="33" t="n">
        <f aca="false">F37</f>
        <v>16494105.5031176</v>
      </c>
      <c r="N37" s="65" t="n">
        <f aca="false">$C$7</f>
        <v>0.00792035016710324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1</v>
      </c>
    </row>
    <row r="38" customFormat="false" ht="15" hidden="false" customHeight="false" outlineLevel="0" collapsed="false">
      <c r="A38" s="38" t="n">
        <v>26</v>
      </c>
      <c r="B38" s="27" t="n">
        <v>46595</v>
      </c>
      <c r="C38" s="39" t="n">
        <v>651105598.587165</v>
      </c>
      <c r="D38" s="39" t="n">
        <v>5156984.33657171</v>
      </c>
      <c r="E38" s="39" t="n">
        <v>11337121.1665459</v>
      </c>
      <c r="F38" s="39" t="n">
        <v>16494105.5031176</v>
      </c>
      <c r="G38" s="39" t="n">
        <v>639768477.420619</v>
      </c>
      <c r="H38" s="33" t="n">
        <f aca="false">J37</f>
        <v>651105598.587165</v>
      </c>
      <c r="I38" s="33" t="n">
        <f aca="false">H38*N38</f>
        <v>5156984.33657171</v>
      </c>
      <c r="J38" s="33" t="n">
        <f aca="false">H38+I38-F38</f>
        <v>639768477.420619</v>
      </c>
      <c r="K38" s="33" t="n">
        <f aca="false">D38-I38</f>
        <v>0</v>
      </c>
      <c r="L38" s="33" t="n">
        <f aca="false">G38-J38</f>
        <v>0</v>
      </c>
      <c r="M38" s="33" t="n">
        <f aca="false">F38</f>
        <v>16494105.5031176</v>
      </c>
      <c r="N38" s="65" t="n">
        <f aca="false">$C$7</f>
        <v>0.00792035016710324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1</v>
      </c>
    </row>
    <row r="39" customFormat="false" ht="15" hidden="false" customHeight="false" outlineLevel="0" collapsed="false">
      <c r="A39" s="38" t="n">
        <v>27</v>
      </c>
      <c r="B39" s="27" t="n">
        <v>46626</v>
      </c>
      <c r="C39" s="39" t="n">
        <v>639768477.420619</v>
      </c>
      <c r="D39" s="39" t="n">
        <v>5067190.36704579</v>
      </c>
      <c r="E39" s="39" t="n">
        <v>11426915.1360718</v>
      </c>
      <c r="F39" s="39" t="n">
        <v>16494105.5031176</v>
      </c>
      <c r="G39" s="39" t="n">
        <v>628341562.284547</v>
      </c>
      <c r="H39" s="33" t="n">
        <f aca="false">J38</f>
        <v>639768477.420619</v>
      </c>
      <c r="I39" s="33" t="n">
        <f aca="false">H39*N39</f>
        <v>5067190.36704579</v>
      </c>
      <c r="J39" s="33" t="n">
        <f aca="false">H39+I39-F39</f>
        <v>628341562.284547</v>
      </c>
      <c r="K39" s="33" t="n">
        <f aca="false">D39-I39</f>
        <v>0</v>
      </c>
      <c r="L39" s="33" t="n">
        <f aca="false">G39-J39</f>
        <v>0</v>
      </c>
      <c r="M39" s="33" t="n">
        <f aca="false">F39</f>
        <v>16494105.5031176</v>
      </c>
      <c r="N39" s="65" t="n">
        <f aca="false">$C$7</f>
        <v>0.00792035016710324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46657</v>
      </c>
      <c r="C40" s="39" t="n">
        <v>628341562.284547</v>
      </c>
      <c r="D40" s="39" t="n">
        <v>4976685.19783833</v>
      </c>
      <c r="E40" s="39" t="n">
        <v>11517420.3052793</v>
      </c>
      <c r="F40" s="39" t="n">
        <v>16494105.5031176</v>
      </c>
      <c r="G40" s="39" t="n">
        <v>616824141.979268</v>
      </c>
      <c r="H40" s="33" t="n">
        <f aca="false">J39</f>
        <v>628341562.284547</v>
      </c>
      <c r="I40" s="33" t="n">
        <f aca="false">H40*N40</f>
        <v>4976685.19783833</v>
      </c>
      <c r="J40" s="33" t="n">
        <f aca="false">H40+I40-F40</f>
        <v>616824141.979268</v>
      </c>
      <c r="K40" s="33" t="n">
        <f aca="false">D40-I40</f>
        <v>0</v>
      </c>
      <c r="L40" s="33" t="n">
        <f aca="false">G40-J40</f>
        <v>0</v>
      </c>
      <c r="M40" s="33" t="n">
        <f aca="false">F40</f>
        <v>16494105.5031176</v>
      </c>
      <c r="N40" s="65" t="n">
        <f aca="false">$C$7</f>
        <v>0.00792035016710324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46687</v>
      </c>
      <c r="C41" s="39" t="n">
        <v>616824141.979268</v>
      </c>
      <c r="D41" s="39" t="n">
        <v>4885463.19599881</v>
      </c>
      <c r="E41" s="39" t="n">
        <v>11608642.3071188</v>
      </c>
      <c r="F41" s="39" t="n">
        <v>16494105.5031176</v>
      </c>
      <c r="G41" s="39" t="n">
        <v>605215499.672149</v>
      </c>
      <c r="H41" s="33" t="n">
        <f aca="false">J40</f>
        <v>616824141.979268</v>
      </c>
      <c r="I41" s="33" t="n">
        <f aca="false">H41*N41</f>
        <v>4885463.19599881</v>
      </c>
      <c r="J41" s="33" t="n">
        <f aca="false">H41+I41-F41</f>
        <v>605215499.672149</v>
      </c>
      <c r="K41" s="33" t="n">
        <f aca="false">D41-I41</f>
        <v>0</v>
      </c>
      <c r="L41" s="33" t="n">
        <f aca="false">G41-J41</f>
        <v>0</v>
      </c>
      <c r="M41" s="33" t="n">
        <f aca="false">F41</f>
        <v>16494105.5031176</v>
      </c>
      <c r="N41" s="65" t="n">
        <f aca="false">$C$7</f>
        <v>0.00792035016710324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46718</v>
      </c>
      <c r="C42" s="39" t="n">
        <v>605215499.672149</v>
      </c>
      <c r="D42" s="39" t="n">
        <v>4793518.68396178</v>
      </c>
      <c r="E42" s="39" t="n">
        <v>11700586.8191558</v>
      </c>
      <c r="F42" s="39" t="n">
        <v>16494105.5031176</v>
      </c>
      <c r="G42" s="39" t="n">
        <v>593514912.852994</v>
      </c>
      <c r="H42" s="33" t="n">
        <f aca="false">J41</f>
        <v>605215499.672149</v>
      </c>
      <c r="I42" s="33" t="n">
        <f aca="false">H42*N42</f>
        <v>4793518.68396178</v>
      </c>
      <c r="J42" s="33" t="n">
        <f aca="false">H42+I42-F42</f>
        <v>593514912.852994</v>
      </c>
      <c r="K42" s="33" t="n">
        <f aca="false">D42-I42</f>
        <v>0</v>
      </c>
      <c r="L42" s="33" t="n">
        <f aca="false">G42-J42</f>
        <v>0</v>
      </c>
      <c r="M42" s="33" t="n">
        <f aca="false">F42</f>
        <v>16494105.5031176</v>
      </c>
      <c r="N42" s="65" t="n">
        <f aca="false">$C$7</f>
        <v>0.00792035016710324</v>
      </c>
      <c r="O42" s="48" t="n">
        <f aca="false">IF(AND(B42&gt;=DATE(2026,1,1),B42&lt;=Resumen!$C$5),1,0)</f>
        <v>0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46748</v>
      </c>
      <c r="C43" s="39" t="n">
        <v>593514912.852994</v>
      </c>
      <c r="D43" s="39" t="n">
        <v>4700845.93919347</v>
      </c>
      <c r="E43" s="39" t="n">
        <v>11793259.5639241</v>
      </c>
      <c r="F43" s="39" t="n">
        <v>16494105.5031176</v>
      </c>
      <c r="G43" s="39" t="n">
        <v>581721653.289069</v>
      </c>
      <c r="H43" s="33" t="n">
        <f aca="false">J42</f>
        <v>593514912.852994</v>
      </c>
      <c r="I43" s="33" t="n">
        <f aca="false">H43*N43</f>
        <v>4700845.93919347</v>
      </c>
      <c r="J43" s="33" t="n">
        <f aca="false">H43+I43-F43</f>
        <v>581721653.289069</v>
      </c>
      <c r="K43" s="33" t="n">
        <f aca="false">D43-I43</f>
        <v>0</v>
      </c>
      <c r="L43" s="33" t="n">
        <f aca="false">G43-J43</f>
        <v>0</v>
      </c>
      <c r="M43" s="33" t="n">
        <f aca="false">F43</f>
        <v>16494105.5031176</v>
      </c>
      <c r="N43" s="65" t="n">
        <f aca="false">$C$7</f>
        <v>0.00792035016710324</v>
      </c>
      <c r="O43" s="48" t="n">
        <f aca="false">IF(AND(B43&gt;=DATE(2026,1,1),B43&lt;=Resumen!$C$5),1,0)</f>
        <v>0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46779</v>
      </c>
      <c r="C44" s="39" t="n">
        <v>581721653.289069</v>
      </c>
      <c r="D44" s="39" t="n">
        <v>4607439.19383565</v>
      </c>
      <c r="E44" s="39" t="n">
        <v>11886666.309282</v>
      </c>
      <c r="F44" s="39" t="n">
        <v>16494105.5031176</v>
      </c>
      <c r="G44" s="39" t="n">
        <v>569834986.979788</v>
      </c>
      <c r="H44" s="33" t="n">
        <f aca="false">J43</f>
        <v>581721653.289069</v>
      </c>
      <c r="I44" s="33" t="n">
        <f aca="false">H44*N44</f>
        <v>4607439.19383565</v>
      </c>
      <c r="J44" s="33" t="n">
        <f aca="false">H44+I44-F44</f>
        <v>569834986.979788</v>
      </c>
      <c r="K44" s="33" t="n">
        <f aca="false">D44-I44</f>
        <v>0</v>
      </c>
      <c r="L44" s="33" t="n">
        <f aca="false">G44-J44</f>
        <v>0</v>
      </c>
      <c r="M44" s="33" t="n">
        <f aca="false">F44</f>
        <v>16494105.5031176</v>
      </c>
      <c r="N44" s="65" t="n">
        <f aca="false">$C$7</f>
        <v>0.00792035016710324</v>
      </c>
      <c r="O44" s="48" t="n">
        <f aca="false">IF(AND(B44&gt;=DATE(2026,1,1),B44&lt;=Resumen!$C$5),1,0)</f>
        <v>0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46810</v>
      </c>
      <c r="C45" s="39" t="n">
        <v>569834986.979788</v>
      </c>
      <c r="D45" s="39" t="n">
        <v>4513292.63434663</v>
      </c>
      <c r="E45" s="39" t="n">
        <v>11980812.868771</v>
      </c>
      <c r="F45" s="39" t="n">
        <v>16494105.5031176</v>
      </c>
      <c r="G45" s="39" t="n">
        <v>557854174.111017</v>
      </c>
      <c r="H45" s="33" t="n">
        <f aca="false">J44</f>
        <v>569834986.979788</v>
      </c>
      <c r="I45" s="33" t="n">
        <f aca="false">H45*N45</f>
        <v>4513292.63434663</v>
      </c>
      <c r="J45" s="33" t="n">
        <f aca="false">H45+I45-F45</f>
        <v>557854174.111017</v>
      </c>
      <c r="K45" s="33" t="n">
        <f aca="false">D45-I45</f>
        <v>0</v>
      </c>
      <c r="L45" s="33" t="n">
        <f aca="false">G45-J45</f>
        <v>0</v>
      </c>
      <c r="M45" s="33" t="n">
        <f aca="false">F45</f>
        <v>16494105.5031176</v>
      </c>
      <c r="N45" s="65" t="n">
        <f aca="false">$C$7</f>
        <v>0.00792035016710324</v>
      </c>
      <c r="O45" s="48" t="n">
        <f aca="false">IF(AND(B45&gt;=DATE(2026,1,1),B45&lt;=Resumen!$C$5),1,0)</f>
        <v>0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46839</v>
      </c>
      <c r="C46" s="39" t="n">
        <v>557854174.111017</v>
      </c>
      <c r="D46" s="39" t="n">
        <v>4418400.40113943</v>
      </c>
      <c r="E46" s="39" t="n">
        <v>12075705.1019782</v>
      </c>
      <c r="F46" s="39" t="n">
        <v>16494105.5031176</v>
      </c>
      <c r="G46" s="39" t="n">
        <v>545778469.009038</v>
      </c>
      <c r="H46" s="33" t="n">
        <f aca="false">J45</f>
        <v>557854174.111017</v>
      </c>
      <c r="I46" s="33" t="n">
        <f aca="false">H46*N46</f>
        <v>4418400.40113943</v>
      </c>
      <c r="J46" s="33" t="n">
        <f aca="false">H46+I46-F46</f>
        <v>545778469.009038</v>
      </c>
      <c r="K46" s="33" t="n">
        <f aca="false">D46-I46</f>
        <v>0</v>
      </c>
      <c r="L46" s="33" t="n">
        <f aca="false">G46-J46</f>
        <v>0</v>
      </c>
      <c r="M46" s="33" t="n">
        <f aca="false">F46</f>
        <v>16494105.5031176</v>
      </c>
      <c r="N46" s="65" t="n">
        <f aca="false">$C$7</f>
        <v>0.00792035016710324</v>
      </c>
      <c r="O46" s="48" t="n">
        <f aca="false">IF(AND(B46&gt;=DATE(2026,1,1),B46&lt;=Resumen!$C$5),1,0)</f>
        <v>0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46870</v>
      </c>
      <c r="C47" s="39" t="n">
        <v>545778469.009038</v>
      </c>
      <c r="D47" s="39" t="n">
        <v>4322756.58821709</v>
      </c>
      <c r="E47" s="39" t="n">
        <v>12171348.9149004</v>
      </c>
      <c r="F47" s="39" t="n">
        <v>16494105.5031175</v>
      </c>
      <c r="G47" s="39" t="n">
        <v>533607120.094138</v>
      </c>
      <c r="H47" s="33" t="n">
        <f aca="false">J46</f>
        <v>545778469.009038</v>
      </c>
      <c r="I47" s="33" t="n">
        <f aca="false">H47*N47</f>
        <v>4322756.58821709</v>
      </c>
      <c r="J47" s="33" t="n">
        <f aca="false">H47+I47-F47</f>
        <v>533607120.094138</v>
      </c>
      <c r="K47" s="33" t="n">
        <f aca="false">D47-I47</f>
        <v>0</v>
      </c>
      <c r="L47" s="33" t="n">
        <f aca="false">G47-J47</f>
        <v>0</v>
      </c>
      <c r="M47" s="33" t="n">
        <f aca="false">F47</f>
        <v>16494105.5031175</v>
      </c>
      <c r="N47" s="65" t="n">
        <f aca="false">$C$7</f>
        <v>0.00792035016710324</v>
      </c>
      <c r="O47" s="48" t="n">
        <f aca="false">IF(AND(B47&gt;=DATE(2026,1,1),B47&lt;=Resumen!$C$5),1,0)</f>
        <v>0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46900</v>
      </c>
      <c r="C48" s="39" t="n">
        <v>533607120.094138</v>
      </c>
      <c r="D48" s="39" t="n">
        <v>4226355.24280508</v>
      </c>
      <c r="E48" s="39" t="n">
        <v>12267750.2603124</v>
      </c>
      <c r="F48" s="39" t="n">
        <v>16494105.5031175</v>
      </c>
      <c r="G48" s="39" t="n">
        <v>521339369.833826</v>
      </c>
      <c r="H48" s="33" t="n">
        <f aca="false">J47</f>
        <v>533607120.094138</v>
      </c>
      <c r="I48" s="33" t="n">
        <f aca="false">H48*N48</f>
        <v>4226355.24280508</v>
      </c>
      <c r="J48" s="33" t="n">
        <f aca="false">H48+I48-F48</f>
        <v>521339369.833826</v>
      </c>
      <c r="K48" s="33" t="n">
        <f aca="false">D48-I48</f>
        <v>0</v>
      </c>
      <c r="L48" s="33" t="n">
        <f aca="false">G48-J48</f>
        <v>0</v>
      </c>
      <c r="M48" s="33" t="n">
        <f aca="false">F48</f>
        <v>16494105.5031175</v>
      </c>
      <c r="N48" s="65" t="n">
        <f aca="false">$C$7</f>
        <v>0.00792035016710324</v>
      </c>
      <c r="O48" s="48" t="n">
        <f aca="false">IF(AND(B48&gt;=DATE(2026,1,1),B48&lt;=Resumen!$C$5),1,0)</f>
        <v>0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46931</v>
      </c>
      <c r="C49" s="39" t="n">
        <v>521339369.833826</v>
      </c>
      <c r="D49" s="39" t="n">
        <v>4129190.36498084</v>
      </c>
      <c r="E49" s="39" t="n">
        <v>12364915.1381367</v>
      </c>
      <c r="F49" s="39" t="n">
        <v>16494105.5031176</v>
      </c>
      <c r="G49" s="39" t="n">
        <v>508974454.695689</v>
      </c>
      <c r="H49" s="33" t="n">
        <f aca="false">J48</f>
        <v>521339369.833826</v>
      </c>
      <c r="I49" s="33" t="n">
        <f aca="false">H49*N49</f>
        <v>4129190.36498084</v>
      </c>
      <c r="J49" s="33" t="n">
        <f aca="false">H49+I49-F49</f>
        <v>508974454.695689</v>
      </c>
      <c r="K49" s="33" t="n">
        <f aca="false">D49-I49</f>
        <v>0</v>
      </c>
      <c r="L49" s="33" t="n">
        <f aca="false">G49-J49</f>
        <v>0</v>
      </c>
      <c r="M49" s="33" t="n">
        <f aca="false">F49</f>
        <v>16494105.5031176</v>
      </c>
      <c r="N49" s="65" t="n">
        <f aca="false">$C$7</f>
        <v>0.00792035016710324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0</v>
      </c>
    </row>
    <row r="50" customFormat="false" ht="15" hidden="false" customHeight="false" outlineLevel="0" collapsed="false">
      <c r="A50" s="38" t="n">
        <v>38</v>
      </c>
      <c r="B50" s="27" t="n">
        <v>46961</v>
      </c>
      <c r="C50" s="39" t="n">
        <v>508974454.695689</v>
      </c>
      <c r="D50" s="39" t="n">
        <v>4031255.90730028</v>
      </c>
      <c r="E50" s="39" t="n">
        <v>12462849.5958173</v>
      </c>
      <c r="F50" s="39" t="n">
        <v>16494105.5031176</v>
      </c>
      <c r="G50" s="39" t="n">
        <v>496511605.099872</v>
      </c>
      <c r="H50" s="33" t="n">
        <f aca="false">J49</f>
        <v>508974454.695689</v>
      </c>
      <c r="I50" s="33" t="n">
        <f aca="false">H50*N50</f>
        <v>4031255.90730028</v>
      </c>
      <c r="J50" s="33" t="n">
        <f aca="false">H50+I50-F50</f>
        <v>496511605.099872</v>
      </c>
      <c r="K50" s="33" t="n">
        <f aca="false">D50-I50</f>
        <v>0</v>
      </c>
      <c r="L50" s="33" t="n">
        <f aca="false">G50-J50</f>
        <v>0</v>
      </c>
      <c r="M50" s="33" t="n">
        <f aca="false">F50</f>
        <v>16494105.5031176</v>
      </c>
      <c r="N50" s="65" t="n">
        <f aca="false">$C$7</f>
        <v>0.00792035016710324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0</v>
      </c>
    </row>
    <row r="51" customFormat="false" ht="15" hidden="false" customHeight="false" outlineLevel="0" collapsed="false">
      <c r="A51" s="38" t="n">
        <v>39</v>
      </c>
      <c r="B51" s="27" t="n">
        <v>46992</v>
      </c>
      <c r="C51" s="39" t="n">
        <v>496511605.099872</v>
      </c>
      <c r="D51" s="39" t="n">
        <v>3932545.77442147</v>
      </c>
      <c r="E51" s="39" t="n">
        <v>12561559.7286961</v>
      </c>
      <c r="F51" s="39" t="n">
        <v>16494105.5031176</v>
      </c>
      <c r="G51" s="39" t="n">
        <v>483950045.371175</v>
      </c>
      <c r="H51" s="33" t="n">
        <f aca="false">J50</f>
        <v>496511605.099872</v>
      </c>
      <c r="I51" s="33" t="n">
        <f aca="false">H51*N51</f>
        <v>3932545.77442147</v>
      </c>
      <c r="J51" s="33" t="n">
        <f aca="false">H51+I51-F51</f>
        <v>483950045.371175</v>
      </c>
      <c r="K51" s="33" t="n">
        <f aca="false">D51-I51</f>
        <v>0</v>
      </c>
      <c r="L51" s="33" t="n">
        <f aca="false">G51-J51</f>
        <v>0</v>
      </c>
      <c r="M51" s="33" t="n">
        <f aca="false">F51</f>
        <v>16494105.5031176</v>
      </c>
      <c r="N51" s="65" t="n">
        <f aca="false">$C$7</f>
        <v>0.00792035016710324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0</v>
      </c>
    </row>
    <row r="52" customFormat="false" ht="15" hidden="false" customHeight="false" outlineLevel="0" collapsed="false">
      <c r="A52" s="38" t="n">
        <v>40</v>
      </c>
      <c r="B52" s="27" t="n">
        <v>47023</v>
      </c>
      <c r="C52" s="39" t="n">
        <v>483950045.371175</v>
      </c>
      <c r="D52" s="39" t="n">
        <v>3833053.82272521</v>
      </c>
      <c r="E52" s="39" t="n">
        <v>12661051.6803923</v>
      </c>
      <c r="F52" s="39" t="n">
        <v>16494105.5031175</v>
      </c>
      <c r="G52" s="39" t="n">
        <v>471288993.690783</v>
      </c>
      <c r="H52" s="33" t="n">
        <f aca="false">J51</f>
        <v>483950045.371175</v>
      </c>
      <c r="I52" s="33" t="n">
        <f aca="false">H52*N52</f>
        <v>3833053.82272521</v>
      </c>
      <c r="J52" s="33" t="n">
        <f aca="false">H52+I52-F52</f>
        <v>471288993.690783</v>
      </c>
      <c r="K52" s="33" t="n">
        <f aca="false">D52-I52</f>
        <v>0</v>
      </c>
      <c r="L52" s="33" t="n">
        <f aca="false">G52-J52</f>
        <v>0</v>
      </c>
      <c r="M52" s="33" t="n">
        <f aca="false">F52</f>
        <v>16494105.5031175</v>
      </c>
      <c r="N52" s="65" t="n">
        <f aca="false">$C$7</f>
        <v>0.00792035016710324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0</v>
      </c>
    </row>
    <row r="53" customFormat="false" ht="15" hidden="false" customHeight="false" outlineLevel="0" collapsed="false">
      <c r="A53" s="38" t="n">
        <v>41</v>
      </c>
      <c r="B53" s="27" t="n">
        <v>47053</v>
      </c>
      <c r="C53" s="39" t="n">
        <v>471288993.690783</v>
      </c>
      <c r="D53" s="39" t="n">
        <v>3732773.85993271</v>
      </c>
      <c r="E53" s="39" t="n">
        <v>12761331.6431848</v>
      </c>
      <c r="F53" s="39" t="n">
        <v>16494105.5031176</v>
      </c>
      <c r="G53" s="39" t="n">
        <v>458527662.047598</v>
      </c>
      <c r="H53" s="33" t="n">
        <f aca="false">J52</f>
        <v>471288993.690783</v>
      </c>
      <c r="I53" s="33" t="n">
        <f aca="false">H53*N53</f>
        <v>3732773.85993271</v>
      </c>
      <c r="J53" s="33" t="n">
        <f aca="false">H53+I53-F53</f>
        <v>458527662.047598</v>
      </c>
      <c r="K53" s="33" t="n">
        <f aca="false">D53-I53</f>
        <v>0</v>
      </c>
      <c r="L53" s="33" t="n">
        <f aca="false">G53-J53</f>
        <v>0</v>
      </c>
      <c r="M53" s="33" t="n">
        <f aca="false">F53</f>
        <v>16494105.5031176</v>
      </c>
      <c r="N53" s="65" t="n">
        <f aca="false">$C$7</f>
        <v>0.00792035016710324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0</v>
      </c>
    </row>
    <row r="54" customFormat="false" ht="15" hidden="false" customHeight="false" outlineLevel="0" collapsed="false">
      <c r="A54" s="38" t="n">
        <v>42</v>
      </c>
      <c r="B54" s="27" t="n">
        <v>47084</v>
      </c>
      <c r="C54" s="39" t="n">
        <v>458527662.047598</v>
      </c>
      <c r="D54" s="39" t="n">
        <v>3631699.64472015</v>
      </c>
      <c r="E54" s="39" t="n">
        <v>12862405.8583974</v>
      </c>
      <c r="F54" s="39" t="n">
        <v>16494105.5031176</v>
      </c>
      <c r="G54" s="39" t="n">
        <v>445665256.189201</v>
      </c>
      <c r="H54" s="33" t="n">
        <f aca="false">J53</f>
        <v>458527662.047598</v>
      </c>
      <c r="I54" s="33" t="n">
        <f aca="false">H54*N54</f>
        <v>3631699.64472015</v>
      </c>
      <c r="J54" s="33" t="n">
        <f aca="false">H54+I54-F54</f>
        <v>445665256.189201</v>
      </c>
      <c r="K54" s="33" t="n">
        <f aca="false">D54-I54</f>
        <v>0</v>
      </c>
      <c r="L54" s="33" t="n">
        <f aca="false">G54-J54</f>
        <v>0</v>
      </c>
      <c r="M54" s="33" t="n">
        <f aca="false">F54</f>
        <v>16494105.5031176</v>
      </c>
      <c r="N54" s="65" t="n">
        <f aca="false">$C$7</f>
        <v>0.00792035016710324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0</v>
      </c>
    </row>
    <row r="55" customFormat="false" ht="15" hidden="false" customHeight="false" outlineLevel="0" collapsed="false">
      <c r="A55" s="38" t="n">
        <v>43</v>
      </c>
      <c r="B55" s="27" t="n">
        <v>47114</v>
      </c>
      <c r="C55" s="39" t="n">
        <v>445665256.189201</v>
      </c>
      <c r="D55" s="39" t="n">
        <v>3529824.88633025</v>
      </c>
      <c r="E55" s="39" t="n">
        <v>12964280.6167873</v>
      </c>
      <c r="F55" s="39" t="n">
        <v>16494105.5031176</v>
      </c>
      <c r="G55" s="39" t="n">
        <v>432700975.572413</v>
      </c>
      <c r="H55" s="33" t="n">
        <f aca="false">J54</f>
        <v>445665256.189201</v>
      </c>
      <c r="I55" s="33" t="n">
        <f aca="false">H55*N55</f>
        <v>3529824.88633025</v>
      </c>
      <c r="J55" s="33" t="n">
        <f aca="false">H55+I55-F55</f>
        <v>432700975.572414</v>
      </c>
      <c r="K55" s="33" t="n">
        <f aca="false">D55-I55</f>
        <v>0</v>
      </c>
      <c r="L55" s="33" t="n">
        <f aca="false">G55-J55</f>
        <v>0</v>
      </c>
      <c r="M55" s="33" t="n">
        <f aca="false">F55</f>
        <v>16494105.5031176</v>
      </c>
      <c r="N55" s="65" t="n">
        <f aca="false">$C$7</f>
        <v>0.00792035016710324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0</v>
      </c>
    </row>
    <row r="56" customFormat="false" ht="15" hidden="false" customHeight="false" outlineLevel="0" collapsed="false">
      <c r="A56" s="38" t="n">
        <v>44</v>
      </c>
      <c r="B56" s="27" t="n">
        <v>47145</v>
      </c>
      <c r="C56" s="39" t="n">
        <v>432700975.572413</v>
      </c>
      <c r="D56" s="39" t="n">
        <v>3427143.2441807</v>
      </c>
      <c r="E56" s="39" t="n">
        <v>13066962.2589369</v>
      </c>
      <c r="F56" s="39" t="n">
        <v>16494105.5031176</v>
      </c>
      <c r="G56" s="39" t="n">
        <v>419634013.313477</v>
      </c>
      <c r="H56" s="33" t="n">
        <f aca="false">J55</f>
        <v>432700975.572414</v>
      </c>
      <c r="I56" s="33" t="n">
        <f aca="false">H56*N56</f>
        <v>3427143.2441807</v>
      </c>
      <c r="J56" s="33" t="n">
        <f aca="false">H56+I56-F56</f>
        <v>419634013.313477</v>
      </c>
      <c r="K56" s="33" t="n">
        <f aca="false">D56-I56</f>
        <v>0</v>
      </c>
      <c r="L56" s="33" t="n">
        <f aca="false">G56-J56</f>
        <v>0</v>
      </c>
      <c r="M56" s="33" t="n">
        <f aca="false">F56</f>
        <v>16494105.5031176</v>
      </c>
      <c r="N56" s="65" t="n">
        <f aca="false">$C$7</f>
        <v>0.00792035016710324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0</v>
      </c>
    </row>
    <row r="57" customFormat="false" ht="15" hidden="false" customHeight="false" outlineLevel="0" collapsed="false">
      <c r="A57" s="38" t="n">
        <v>45</v>
      </c>
      <c r="B57" s="27" t="n">
        <v>47176</v>
      </c>
      <c r="C57" s="39" t="n">
        <v>419634013.313477</v>
      </c>
      <c r="D57" s="39" t="n">
        <v>3323648.3274696</v>
      </c>
      <c r="E57" s="39" t="n">
        <v>13170457.175648</v>
      </c>
      <c r="F57" s="39" t="n">
        <v>16494105.5031176</v>
      </c>
      <c r="G57" s="39" t="n">
        <v>406463556.137829</v>
      </c>
      <c r="H57" s="33" t="n">
        <f aca="false">J56</f>
        <v>419634013.313477</v>
      </c>
      <c r="I57" s="33" t="n">
        <f aca="false">H57*N57</f>
        <v>3323648.3274696</v>
      </c>
      <c r="J57" s="33" t="n">
        <f aca="false">H57+I57-F57</f>
        <v>406463556.137829</v>
      </c>
      <c r="K57" s="33" t="n">
        <f aca="false">D57-I57</f>
        <v>0</v>
      </c>
      <c r="L57" s="33" t="n">
        <f aca="false">G57-J57</f>
        <v>0</v>
      </c>
      <c r="M57" s="33" t="n">
        <f aca="false">F57</f>
        <v>16494105.5031176</v>
      </c>
      <c r="N57" s="65" t="n">
        <f aca="false">$C$7</f>
        <v>0.00792035016710324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0</v>
      </c>
    </row>
    <row r="58" customFormat="false" ht="15" hidden="false" customHeight="false" outlineLevel="0" collapsed="false">
      <c r="A58" s="38" t="n">
        <v>46</v>
      </c>
      <c r="B58" s="27" t="n">
        <v>47204</v>
      </c>
      <c r="C58" s="39" t="n">
        <v>406463556.137829</v>
      </c>
      <c r="D58" s="39" t="n">
        <v>3219333.69477763</v>
      </c>
      <c r="E58" s="39" t="n">
        <v>13274771.80834</v>
      </c>
      <c r="F58" s="39" t="n">
        <v>16494105.5031176</v>
      </c>
      <c r="G58" s="39" t="n">
        <v>393188784.329489</v>
      </c>
      <c r="H58" s="33" t="n">
        <f aca="false">J57</f>
        <v>406463556.137829</v>
      </c>
      <c r="I58" s="33" t="n">
        <f aca="false">H58*N58</f>
        <v>3219333.69477763</v>
      </c>
      <c r="J58" s="33" t="n">
        <f aca="false">H58+I58-F58</f>
        <v>393188784.329489</v>
      </c>
      <c r="K58" s="33" t="n">
        <f aca="false">D58-I58</f>
        <v>0</v>
      </c>
      <c r="L58" s="33" t="n">
        <f aca="false">G58-J58</f>
        <v>0</v>
      </c>
      <c r="M58" s="33" t="n">
        <f aca="false">F58</f>
        <v>16494105.5031176</v>
      </c>
      <c r="N58" s="65" t="n">
        <f aca="false">$C$7</f>
        <v>0.00792035016710324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0</v>
      </c>
    </row>
    <row r="59" customFormat="false" ht="15" hidden="false" customHeight="false" outlineLevel="0" collapsed="false">
      <c r="A59" s="38" t="n">
        <v>47</v>
      </c>
      <c r="B59" s="27" t="n">
        <v>47235</v>
      </c>
      <c r="C59" s="39" t="n">
        <v>393188784.329489</v>
      </c>
      <c r="D59" s="39" t="n">
        <v>3114192.85366719</v>
      </c>
      <c r="E59" s="39" t="n">
        <v>13379912.6494504</v>
      </c>
      <c r="F59" s="39" t="n">
        <v>16494105.5031176</v>
      </c>
      <c r="G59" s="39" t="n">
        <v>379808871.680038</v>
      </c>
      <c r="H59" s="33" t="n">
        <f aca="false">J58</f>
        <v>393188784.329489</v>
      </c>
      <c r="I59" s="33" t="n">
        <f aca="false">H59*N59</f>
        <v>3114192.85366719</v>
      </c>
      <c r="J59" s="33" t="n">
        <f aca="false">H59+I59-F59</f>
        <v>379808871.680038</v>
      </c>
      <c r="K59" s="33" t="n">
        <f aca="false">D59-I59</f>
        <v>0</v>
      </c>
      <c r="L59" s="33" t="n">
        <f aca="false">G59-J59</f>
        <v>0</v>
      </c>
      <c r="M59" s="33" t="n">
        <f aca="false">F59</f>
        <v>16494105.5031176</v>
      </c>
      <c r="N59" s="65" t="n">
        <f aca="false">$C$7</f>
        <v>0.00792035016710324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0</v>
      </c>
    </row>
    <row r="60" customFormat="false" ht="15" hidden="false" customHeight="false" outlineLevel="0" collapsed="false">
      <c r="A60" s="38" t="n">
        <v>48</v>
      </c>
      <c r="B60" s="27" t="n">
        <v>47265</v>
      </c>
      <c r="C60" s="39" t="n">
        <v>379808871.680038</v>
      </c>
      <c r="D60" s="39" t="n">
        <v>3008219.26027829</v>
      </c>
      <c r="E60" s="39" t="n">
        <v>13485886.2428393</v>
      </c>
      <c r="F60" s="39" t="n">
        <v>16494105.5031176</v>
      </c>
      <c r="G60" s="39" t="n">
        <v>366322985.437199</v>
      </c>
      <c r="H60" s="33" t="n">
        <f aca="false">J59</f>
        <v>379808871.680038</v>
      </c>
      <c r="I60" s="33" t="n">
        <f aca="false">H60*N60</f>
        <v>3008219.26027829</v>
      </c>
      <c r="J60" s="33" t="n">
        <f aca="false">H60+I60-F60</f>
        <v>366322985.437199</v>
      </c>
      <c r="K60" s="33" t="n">
        <f aca="false">D60-I60</f>
        <v>0</v>
      </c>
      <c r="L60" s="33" t="n">
        <f aca="false">G60-J60</f>
        <v>0</v>
      </c>
      <c r="M60" s="33" t="n">
        <f aca="false">F60</f>
        <v>16494105.5031176</v>
      </c>
      <c r="N60" s="65" t="n">
        <f aca="false">$C$7</f>
        <v>0.00792035016710324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0</v>
      </c>
    </row>
    <row r="61" customFormat="false" ht="15" hidden="false" customHeight="false" outlineLevel="0" collapsed="false">
      <c r="A61" s="38" t="n">
        <v>49</v>
      </c>
      <c r="B61" s="27" t="n">
        <v>47296</v>
      </c>
      <c r="C61" s="39" t="n">
        <v>366322985.437199</v>
      </c>
      <c r="D61" s="39" t="n">
        <v>2901406.31892128</v>
      </c>
      <c r="E61" s="39" t="n">
        <v>13592699.1841963</v>
      </c>
      <c r="F61" s="39" t="n">
        <v>16494105.5031176</v>
      </c>
      <c r="G61" s="39" t="n">
        <v>352730286.253003</v>
      </c>
      <c r="H61" s="33" t="n">
        <f aca="false">J60</f>
        <v>366322985.437199</v>
      </c>
      <c r="I61" s="33" t="n">
        <f aca="false">H61*N61</f>
        <v>2901406.31892128</v>
      </c>
      <c r="J61" s="33" t="n">
        <f aca="false">H61+I61-F61</f>
        <v>352730286.253003</v>
      </c>
      <c r="K61" s="33" t="n">
        <f aca="false">D61-I61</f>
        <v>0</v>
      </c>
      <c r="L61" s="33" t="n">
        <f aca="false">G61-J61</f>
        <v>0</v>
      </c>
      <c r="M61" s="33" t="n">
        <f aca="false">F61</f>
        <v>16494105.5031176</v>
      </c>
      <c r="N61" s="65" t="n">
        <f aca="false">$C$7</f>
        <v>0.00792035016710324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47326</v>
      </c>
      <c r="C62" s="39" t="n">
        <v>352730286.253003</v>
      </c>
      <c r="D62" s="39" t="n">
        <v>2793747.38166634</v>
      </c>
      <c r="E62" s="39" t="n">
        <v>13700358.1214512</v>
      </c>
      <c r="F62" s="39" t="n">
        <v>16494105.5031175</v>
      </c>
      <c r="G62" s="39" t="n">
        <v>339029928.131552</v>
      </c>
      <c r="H62" s="33" t="n">
        <f aca="false">J61</f>
        <v>352730286.253003</v>
      </c>
      <c r="I62" s="33" t="n">
        <f aca="false">H62*N62</f>
        <v>2793747.38166634</v>
      </c>
      <c r="J62" s="33" t="n">
        <f aca="false">H62+I62-F62</f>
        <v>339029928.131552</v>
      </c>
      <c r="K62" s="33" t="n">
        <f aca="false">D62-I62</f>
        <v>0</v>
      </c>
      <c r="L62" s="33" t="n">
        <f aca="false">G62-J62</f>
        <v>0</v>
      </c>
      <c r="M62" s="33" t="n">
        <f aca="false">F62</f>
        <v>16494105.5031175</v>
      </c>
      <c r="N62" s="65" t="n">
        <f aca="false">$C$7</f>
        <v>0.00792035016710324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47357</v>
      </c>
      <c r="C63" s="39" t="n">
        <v>339029928.131552</v>
      </c>
      <c r="D63" s="39" t="n">
        <v>2685235.74792973</v>
      </c>
      <c r="E63" s="39" t="n">
        <v>13808869.7551878</v>
      </c>
      <c r="F63" s="39" t="n">
        <v>16494105.5031175</v>
      </c>
      <c r="G63" s="39" t="n">
        <v>325221058.376364</v>
      </c>
      <c r="H63" s="33" t="n">
        <f aca="false">J62</f>
        <v>339029928.131552</v>
      </c>
      <c r="I63" s="33" t="n">
        <f aca="false">H63*N63</f>
        <v>2685235.74792973</v>
      </c>
      <c r="J63" s="33" t="n">
        <f aca="false">H63+I63-F63</f>
        <v>325221058.376364</v>
      </c>
      <c r="K63" s="33" t="n">
        <f aca="false">D63-I63</f>
        <v>0</v>
      </c>
      <c r="L63" s="33" t="n">
        <f aca="false">G63-J63</f>
        <v>0</v>
      </c>
      <c r="M63" s="33" t="n">
        <f aca="false">F63</f>
        <v>16494105.5031175</v>
      </c>
      <c r="N63" s="65" t="n">
        <f aca="false">$C$7</f>
        <v>0.00792035016710324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47388</v>
      </c>
      <c r="C64" s="39" t="n">
        <v>325221058.376364</v>
      </c>
      <c r="D64" s="39" t="n">
        <v>2575864.66405673</v>
      </c>
      <c r="E64" s="39" t="n">
        <v>13918240.8390608</v>
      </c>
      <c r="F64" s="39" t="n">
        <v>16494105.5031176</v>
      </c>
      <c r="G64" s="39" t="n">
        <v>311302817.537303</v>
      </c>
      <c r="H64" s="33" t="n">
        <f aca="false">J63</f>
        <v>325221058.376364</v>
      </c>
      <c r="I64" s="33" t="n">
        <f aca="false">H64*N64</f>
        <v>2575864.66405673</v>
      </c>
      <c r="J64" s="33" t="n">
        <f aca="false">H64+I64-F64</f>
        <v>311302817.537303</v>
      </c>
      <c r="K64" s="33" t="n">
        <f aca="false">D64-I64</f>
        <v>0</v>
      </c>
      <c r="L64" s="33" t="n">
        <f aca="false">G64-J64</f>
        <v>0</v>
      </c>
      <c r="M64" s="33" t="n">
        <f aca="false">F64</f>
        <v>16494105.5031176</v>
      </c>
      <c r="N64" s="65" t="n">
        <f aca="false">$C$7</f>
        <v>0.00792035016710324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47418</v>
      </c>
      <c r="C65" s="39" t="n">
        <v>311302817.537303</v>
      </c>
      <c r="D65" s="39" t="n">
        <v>2465627.32290129</v>
      </c>
      <c r="E65" s="39" t="n">
        <v>14028478.1802163</v>
      </c>
      <c r="F65" s="39" t="n">
        <v>16494105.5031175</v>
      </c>
      <c r="G65" s="39" t="n">
        <v>297274339.357087</v>
      </c>
      <c r="H65" s="33" t="n">
        <f aca="false">J64</f>
        <v>311302817.537303</v>
      </c>
      <c r="I65" s="33" t="n">
        <f aca="false">H65*N65</f>
        <v>2465627.32290129</v>
      </c>
      <c r="J65" s="33" t="n">
        <f aca="false">H65+I65-F65</f>
        <v>297274339.357087</v>
      </c>
      <c r="K65" s="33" t="n">
        <f aca="false">D65-I65</f>
        <v>0</v>
      </c>
      <c r="L65" s="33" t="n">
        <f aca="false">G65-J65</f>
        <v>0</v>
      </c>
      <c r="M65" s="33" t="n">
        <f aca="false">F65</f>
        <v>16494105.5031175</v>
      </c>
      <c r="N65" s="65" t="n">
        <f aca="false">$C$7</f>
        <v>0.00792035016710324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47449</v>
      </c>
      <c r="C66" s="39" t="n">
        <v>297274339.357087</v>
      </c>
      <c r="D66" s="39" t="n">
        <v>2354516.86340241</v>
      </c>
      <c r="E66" s="39" t="n">
        <v>14139588.6397151</v>
      </c>
      <c r="F66" s="39" t="n">
        <v>16494105.5031175</v>
      </c>
      <c r="G66" s="39" t="n">
        <v>283134750.717372</v>
      </c>
      <c r="H66" s="33" t="n">
        <f aca="false">J65</f>
        <v>297274339.357087</v>
      </c>
      <c r="I66" s="33" t="n">
        <f aca="false">H66*N66</f>
        <v>2354516.86340241</v>
      </c>
      <c r="J66" s="33" t="n">
        <f aca="false">H66+I66-F66</f>
        <v>283134750.717372</v>
      </c>
      <c r="K66" s="33" t="n">
        <f aca="false">D66-I66</f>
        <v>0</v>
      </c>
      <c r="L66" s="33" t="n">
        <f aca="false">G66-J66</f>
        <v>0</v>
      </c>
      <c r="M66" s="33" t="n">
        <f aca="false">F66</f>
        <v>16494105.5031175</v>
      </c>
      <c r="N66" s="65" t="n">
        <f aca="false">$C$7</f>
        <v>0.00792035016710324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47479</v>
      </c>
      <c r="C67" s="39" t="n">
        <v>283134750.717372</v>
      </c>
      <c r="D67" s="39" t="n">
        <v>2242526.37015707</v>
      </c>
      <c r="E67" s="39" t="n">
        <v>14251579.1329605</v>
      </c>
      <c r="F67" s="39" t="n">
        <v>16494105.5031176</v>
      </c>
      <c r="G67" s="39" t="n">
        <v>268883171.584411</v>
      </c>
      <c r="H67" s="33" t="n">
        <f aca="false">J66</f>
        <v>283134750.717372</v>
      </c>
      <c r="I67" s="33" t="n">
        <f aca="false">H67*N67</f>
        <v>2242526.37015707</v>
      </c>
      <c r="J67" s="33" t="n">
        <f aca="false">H67+I67-F67</f>
        <v>268883171.584411</v>
      </c>
      <c r="K67" s="33" t="n">
        <f aca="false">D67-I67</f>
        <v>0</v>
      </c>
      <c r="L67" s="33" t="n">
        <f aca="false">G67-J67</f>
        <v>0</v>
      </c>
      <c r="M67" s="33" t="n">
        <f aca="false">F67</f>
        <v>16494105.5031176</v>
      </c>
      <c r="N67" s="65" t="n">
        <f aca="false">$C$7</f>
        <v>0.00792035016710324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47510</v>
      </c>
      <c r="C68" s="39" t="n">
        <v>268883171.584411</v>
      </c>
      <c r="D68" s="39" t="n">
        <v>2129648.87298984</v>
      </c>
      <c r="E68" s="39" t="n">
        <v>14364456.6301277</v>
      </c>
      <c r="F68" s="39" t="n">
        <v>16494105.5031176</v>
      </c>
      <c r="G68" s="39" t="n">
        <v>254518714.954283</v>
      </c>
      <c r="H68" s="33" t="n">
        <f aca="false">J67</f>
        <v>268883171.584411</v>
      </c>
      <c r="I68" s="33" t="n">
        <f aca="false">H68*N68</f>
        <v>2129648.87298984</v>
      </c>
      <c r="J68" s="33" t="n">
        <f aca="false">H68+I68-F68</f>
        <v>254518714.954283</v>
      </c>
      <c r="K68" s="33" t="n">
        <f aca="false">D68-I68</f>
        <v>0</v>
      </c>
      <c r="L68" s="33" t="n">
        <f aca="false">G68-J68</f>
        <v>0</v>
      </c>
      <c r="M68" s="33" t="n">
        <f aca="false">F68</f>
        <v>16494105.5031176</v>
      </c>
      <c r="N68" s="65" t="n">
        <f aca="false">$C$7</f>
        <v>0.00792035016710324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47541</v>
      </c>
      <c r="C69" s="39" t="n">
        <v>254518714.954283</v>
      </c>
      <c r="D69" s="39" t="n">
        <v>2015877.34651906</v>
      </c>
      <c r="E69" s="39" t="n">
        <v>14478228.1565985</v>
      </c>
      <c r="F69" s="39" t="n">
        <v>16494105.5031176</v>
      </c>
      <c r="G69" s="39" t="n">
        <v>240040486.797685</v>
      </c>
      <c r="H69" s="33" t="n">
        <f aca="false">J68</f>
        <v>254518714.954283</v>
      </c>
      <c r="I69" s="33" t="n">
        <f aca="false">H69*N69</f>
        <v>2015877.34651906</v>
      </c>
      <c r="J69" s="33" t="n">
        <f aca="false">H69+I69-F69</f>
        <v>240040486.797685</v>
      </c>
      <c r="K69" s="33" t="n">
        <f aca="false">D69-I69</f>
        <v>0</v>
      </c>
      <c r="L69" s="33" t="n">
        <f aca="false">G69-J69</f>
        <v>0</v>
      </c>
      <c r="M69" s="33" t="n">
        <f aca="false">F69</f>
        <v>16494105.5031176</v>
      </c>
      <c r="N69" s="65" t="n">
        <f aca="false">$C$7</f>
        <v>0.00792035016710324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47569</v>
      </c>
      <c r="C70" s="39" t="n">
        <v>240040486.797685</v>
      </c>
      <c r="D70" s="39" t="n">
        <v>1901204.70971959</v>
      </c>
      <c r="E70" s="39" t="n">
        <v>14592900.793398</v>
      </c>
      <c r="F70" s="39" t="n">
        <v>16494105.5031176</v>
      </c>
      <c r="G70" s="39" t="n">
        <v>225447586.004287</v>
      </c>
      <c r="H70" s="33" t="n">
        <f aca="false">J69</f>
        <v>240040486.797685</v>
      </c>
      <c r="I70" s="33" t="n">
        <f aca="false">H70*N70</f>
        <v>1901204.70971959</v>
      </c>
      <c r="J70" s="33" t="n">
        <f aca="false">H70+I70-F70</f>
        <v>225447586.004287</v>
      </c>
      <c r="K70" s="33" t="n">
        <f aca="false">D70-I70</f>
        <v>0</v>
      </c>
      <c r="L70" s="33" t="n">
        <f aca="false">G70-J70</f>
        <v>0</v>
      </c>
      <c r="M70" s="33" t="n">
        <f aca="false">F70</f>
        <v>16494105.5031176</v>
      </c>
      <c r="N70" s="65" t="n">
        <f aca="false">$C$7</f>
        <v>0.00792035016710324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47600</v>
      </c>
      <c r="C71" s="39" t="n">
        <v>225447586.004287</v>
      </c>
      <c r="D71" s="39" t="n">
        <v>1785623.82548208</v>
      </c>
      <c r="E71" s="39" t="n">
        <v>14708481.6776355</v>
      </c>
      <c r="F71" s="39" t="n">
        <v>16494105.5031176</v>
      </c>
      <c r="G71" s="39" t="n">
        <v>210739104.326651</v>
      </c>
      <c r="H71" s="33" t="n">
        <f aca="false">J70</f>
        <v>225447586.004287</v>
      </c>
      <c r="I71" s="33" t="n">
        <f aca="false">H71*N71</f>
        <v>1785623.82548208</v>
      </c>
      <c r="J71" s="33" t="n">
        <f aca="false">H71+I71-F71</f>
        <v>210739104.326651</v>
      </c>
      <c r="K71" s="33" t="n">
        <f aca="false">D71-I71</f>
        <v>0</v>
      </c>
      <c r="L71" s="33" t="n">
        <f aca="false">G71-J71</f>
        <v>0</v>
      </c>
      <c r="M71" s="33" t="n">
        <f aca="false">F71</f>
        <v>16494105.5031176</v>
      </c>
      <c r="N71" s="65" t="n">
        <f aca="false">$C$7</f>
        <v>0.00792035016710324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47630</v>
      </c>
      <c r="C72" s="39" t="n">
        <v>210739104.326651</v>
      </c>
      <c r="D72" s="39" t="n">
        <v>1669127.50016878</v>
      </c>
      <c r="E72" s="39" t="n">
        <v>14824978.0029488</v>
      </c>
      <c r="F72" s="39" t="n">
        <v>16494105.5031176</v>
      </c>
      <c r="G72" s="39" t="n">
        <v>195914126.323703</v>
      </c>
      <c r="H72" s="33" t="n">
        <f aca="false">J71</f>
        <v>210739104.326651</v>
      </c>
      <c r="I72" s="33" t="n">
        <f aca="false">H72*N72</f>
        <v>1669127.50016878</v>
      </c>
      <c r="J72" s="33" t="n">
        <f aca="false">H72+I72-F72</f>
        <v>195914126.323703</v>
      </c>
      <c r="K72" s="33" t="n">
        <f aca="false">D72-I72</f>
        <v>0</v>
      </c>
      <c r="L72" s="33" t="n">
        <f aca="false">G72-J72</f>
        <v>0</v>
      </c>
      <c r="M72" s="33" t="n">
        <f aca="false">F72</f>
        <v>16494105.5031176</v>
      </c>
      <c r="N72" s="65" t="n">
        <f aca="false">$C$7</f>
        <v>0.00792035016710324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  <row r="73" customFormat="false" ht="15" hidden="false" customHeight="false" outlineLevel="0" collapsed="false">
      <c r="A73" s="38" t="n">
        <v>61</v>
      </c>
      <c r="B73" s="27" t="n">
        <v>47661</v>
      </c>
      <c r="C73" s="39" t="n">
        <v>195914126.323703</v>
      </c>
      <c r="D73" s="39" t="n">
        <v>1551708.48316582</v>
      </c>
      <c r="E73" s="39" t="n">
        <v>14942397.0199517</v>
      </c>
      <c r="F73" s="39" t="n">
        <v>16494105.5031176</v>
      </c>
      <c r="G73" s="39" t="n">
        <v>180971729.303751</v>
      </c>
      <c r="H73" s="33" t="n">
        <f aca="false">J72</f>
        <v>195914126.323703</v>
      </c>
      <c r="I73" s="33" t="n">
        <f aca="false">H73*N73</f>
        <v>1551708.48316582</v>
      </c>
      <c r="J73" s="33" t="n">
        <f aca="false">H73+I73-F73</f>
        <v>180971729.303751</v>
      </c>
      <c r="K73" s="33" t="n">
        <f aca="false">D73-I73</f>
        <v>0</v>
      </c>
      <c r="L73" s="33" t="n">
        <f aca="false">G73-J73</f>
        <v>0</v>
      </c>
      <c r="M73" s="33" t="n">
        <f aca="false">F73</f>
        <v>16494105.5031176</v>
      </c>
      <c r="N73" s="65" t="n">
        <f aca="false">$C$7</f>
        <v>0.00792035016710324</v>
      </c>
      <c r="O73" s="48" t="n">
        <f aca="false">IF(AND(B73&gt;=DATE(2026,1,1),B73&lt;=Resumen!$C$5),1,0)</f>
        <v>0</v>
      </c>
      <c r="P73" s="48" t="n">
        <f aca="false">IF(AND(B73&gt;Resumen!$C$5,B73&lt;=DATE(2027,7,31)),1,0)</f>
        <v>0</v>
      </c>
    </row>
    <row r="74" customFormat="false" ht="15" hidden="false" customHeight="false" outlineLevel="0" collapsed="false">
      <c r="A74" s="38" t="n">
        <v>62</v>
      </c>
      <c r="B74" s="27" t="n">
        <v>47691</v>
      </c>
      <c r="C74" s="39" t="n">
        <v>180971729.303751</v>
      </c>
      <c r="D74" s="39" t="n">
        <v>1433359.46643193</v>
      </c>
      <c r="E74" s="39" t="n">
        <v>15060746.0366857</v>
      </c>
      <c r="F74" s="39" t="n">
        <v>16494105.5031176</v>
      </c>
      <c r="G74" s="39" t="n">
        <v>165910983.267065</v>
      </c>
      <c r="H74" s="33" t="n">
        <f aca="false">J73</f>
        <v>180971729.303751</v>
      </c>
      <c r="I74" s="33" t="n">
        <f aca="false">H74*N74</f>
        <v>1433359.46643193</v>
      </c>
      <c r="J74" s="33" t="n">
        <f aca="false">H74+I74-F74</f>
        <v>165910983.267065</v>
      </c>
      <c r="K74" s="33" t="n">
        <f aca="false">D74-I74</f>
        <v>0</v>
      </c>
      <c r="L74" s="33" t="n">
        <f aca="false">G74-J74</f>
        <v>0</v>
      </c>
      <c r="M74" s="33" t="n">
        <f aca="false">F74</f>
        <v>16494105.5031176</v>
      </c>
      <c r="N74" s="65" t="n">
        <f aca="false">$C$7</f>
        <v>0.00792035016710324</v>
      </c>
      <c r="O74" s="48" t="n">
        <f aca="false">IF(AND(B74&gt;=DATE(2026,1,1),B74&lt;=Resumen!$C$5),1,0)</f>
        <v>0</v>
      </c>
      <c r="P74" s="48" t="n">
        <f aca="false">IF(AND(B74&gt;Resumen!$C$5,B74&lt;=DATE(2027,7,31)),1,0)</f>
        <v>0</v>
      </c>
    </row>
    <row r="75" customFormat="false" ht="15" hidden="false" customHeight="false" outlineLevel="0" collapsed="false">
      <c r="A75" s="38" t="n">
        <v>63</v>
      </c>
      <c r="B75" s="27" t="n">
        <v>47722</v>
      </c>
      <c r="C75" s="39" t="n">
        <v>165910983.267065</v>
      </c>
      <c r="D75" s="39" t="n">
        <v>1314073.08404356</v>
      </c>
      <c r="E75" s="39" t="n">
        <v>15180032.419074</v>
      </c>
      <c r="F75" s="39" t="n">
        <v>16494105.5031176</v>
      </c>
      <c r="G75" s="39" t="n">
        <v>150730950.847991</v>
      </c>
      <c r="H75" s="33" t="n">
        <f aca="false">J74</f>
        <v>165910983.267065</v>
      </c>
      <c r="I75" s="33" t="n">
        <f aca="false">H75*N75</f>
        <v>1314073.08404356</v>
      </c>
      <c r="J75" s="33" t="n">
        <f aca="false">H75+I75-F75</f>
        <v>150730950.847991</v>
      </c>
      <c r="K75" s="33" t="n">
        <f aca="false">D75-I75</f>
        <v>0</v>
      </c>
      <c r="L75" s="33" t="n">
        <f aca="false">G75-J75</f>
        <v>0</v>
      </c>
      <c r="M75" s="33" t="n">
        <f aca="false">F75</f>
        <v>16494105.5031176</v>
      </c>
      <c r="N75" s="65" t="n">
        <f aca="false">$C$7</f>
        <v>0.00792035016710324</v>
      </c>
      <c r="O75" s="48" t="n">
        <f aca="false">IF(AND(B75&gt;=DATE(2026,1,1),B75&lt;=Resumen!$C$5),1,0)</f>
        <v>0</v>
      </c>
      <c r="P75" s="48" t="n">
        <f aca="false">IF(AND(B75&gt;Resumen!$C$5,B75&lt;=DATE(2027,7,31)),1,0)</f>
        <v>0</v>
      </c>
    </row>
    <row r="76" customFormat="false" ht="15" hidden="false" customHeight="false" outlineLevel="0" collapsed="false">
      <c r="A76" s="38" t="n">
        <v>64</v>
      </c>
      <c r="B76" s="27" t="n">
        <v>47753</v>
      </c>
      <c r="C76" s="39" t="n">
        <v>150730950.847991</v>
      </c>
      <c r="D76" s="39" t="n">
        <v>1193841.91173652</v>
      </c>
      <c r="E76" s="39" t="n">
        <v>15300263.591381</v>
      </c>
      <c r="F76" s="39" t="n">
        <v>16494105.5031176</v>
      </c>
      <c r="G76" s="39" t="n">
        <v>135430687.25661</v>
      </c>
      <c r="H76" s="33" t="n">
        <f aca="false">J75</f>
        <v>150730950.847991</v>
      </c>
      <c r="I76" s="33" t="n">
        <f aca="false">H76*N76</f>
        <v>1193841.91173652</v>
      </c>
      <c r="J76" s="33" t="n">
        <f aca="false">H76+I76-F76</f>
        <v>135430687.25661</v>
      </c>
      <c r="K76" s="33" t="n">
        <f aca="false">D76-I76</f>
        <v>0</v>
      </c>
      <c r="L76" s="33" t="n">
        <f aca="false">G76-J76</f>
        <v>0</v>
      </c>
      <c r="M76" s="33" t="n">
        <f aca="false">F76</f>
        <v>16494105.5031176</v>
      </c>
      <c r="N76" s="65" t="n">
        <f aca="false">$C$7</f>
        <v>0.00792035016710324</v>
      </c>
      <c r="O76" s="48" t="n">
        <f aca="false">IF(AND(B76&gt;=DATE(2026,1,1),B76&lt;=Resumen!$C$5),1,0)</f>
        <v>0</v>
      </c>
      <c r="P76" s="48" t="n">
        <f aca="false">IF(AND(B76&gt;Resumen!$C$5,B76&lt;=DATE(2027,7,31)),1,0)</f>
        <v>0</v>
      </c>
    </row>
    <row r="77" customFormat="false" ht="15" hidden="false" customHeight="false" outlineLevel="0" collapsed="false">
      <c r="A77" s="38" t="n">
        <v>65</v>
      </c>
      <c r="B77" s="27" t="n">
        <v>47783</v>
      </c>
      <c r="C77" s="39" t="n">
        <v>135430687.25661</v>
      </c>
      <c r="D77" s="39" t="n">
        <v>1072658.4664438</v>
      </c>
      <c r="E77" s="39" t="n">
        <v>15421447.0366738</v>
      </c>
      <c r="F77" s="39" t="n">
        <v>16494105.5031176</v>
      </c>
      <c r="G77" s="39" t="n">
        <v>120009240.219936</v>
      </c>
      <c r="H77" s="33" t="n">
        <f aca="false">J76</f>
        <v>135430687.25661</v>
      </c>
      <c r="I77" s="33" t="n">
        <f aca="false">H77*N77</f>
        <v>1072658.4664438</v>
      </c>
      <c r="J77" s="33" t="n">
        <f aca="false">H77+I77-F77</f>
        <v>120009240.219936</v>
      </c>
      <c r="K77" s="33" t="n">
        <f aca="false">D77-I77</f>
        <v>0</v>
      </c>
      <c r="L77" s="33" t="n">
        <f aca="false">G77-J77</f>
        <v>0</v>
      </c>
      <c r="M77" s="33" t="n">
        <f aca="false">F77</f>
        <v>16494105.5031176</v>
      </c>
      <c r="N77" s="65" t="n">
        <f aca="false">$C$7</f>
        <v>0.00792035016710324</v>
      </c>
      <c r="O77" s="48" t="n">
        <f aca="false">IF(AND(B77&gt;=DATE(2026,1,1),B77&lt;=Resumen!$C$5),1,0)</f>
        <v>0</v>
      </c>
      <c r="P77" s="48" t="n">
        <f aca="false">IF(AND(B77&gt;Resumen!$C$5,B77&lt;=DATE(2027,7,31)),1,0)</f>
        <v>0</v>
      </c>
    </row>
    <row r="78" customFormat="false" ht="15" hidden="false" customHeight="false" outlineLevel="0" collapsed="false">
      <c r="A78" s="38" t="n">
        <v>66</v>
      </c>
      <c r="B78" s="27" t="n">
        <v>47814</v>
      </c>
      <c r="C78" s="39" t="n">
        <v>120009240.219936</v>
      </c>
      <c r="D78" s="39" t="n">
        <v>950515.205829905</v>
      </c>
      <c r="E78" s="39" t="n">
        <v>15543590.2972877</v>
      </c>
      <c r="F78" s="39" t="n">
        <v>16494105.5031176</v>
      </c>
      <c r="G78" s="39" t="n">
        <v>104465649.922649</v>
      </c>
      <c r="H78" s="33" t="n">
        <f aca="false">J77</f>
        <v>120009240.219936</v>
      </c>
      <c r="I78" s="33" t="n">
        <f aca="false">H78*N78</f>
        <v>950515.205829906</v>
      </c>
      <c r="J78" s="33" t="n">
        <f aca="false">H78+I78-F78</f>
        <v>104465649.922649</v>
      </c>
      <c r="K78" s="33" t="n">
        <f aca="false">D78-I78</f>
        <v>0</v>
      </c>
      <c r="L78" s="33" t="n">
        <f aca="false">G78-J78</f>
        <v>0</v>
      </c>
      <c r="M78" s="33" t="n">
        <f aca="false">F78</f>
        <v>16494105.5031176</v>
      </c>
      <c r="N78" s="65" t="n">
        <f aca="false">$C$7</f>
        <v>0.00792035016710324</v>
      </c>
      <c r="O78" s="48" t="n">
        <f aca="false">IF(AND(B78&gt;=DATE(2026,1,1),B78&lt;=Resumen!$C$5),1,0)</f>
        <v>0</v>
      </c>
      <c r="P78" s="48" t="n">
        <f aca="false">IF(AND(B78&gt;Resumen!$C$5,B78&lt;=DATE(2027,7,31)),1,0)</f>
        <v>0</v>
      </c>
    </row>
    <row r="79" customFormat="false" ht="15" hidden="false" customHeight="false" outlineLevel="0" collapsed="false">
      <c r="A79" s="38" t="n">
        <v>67</v>
      </c>
      <c r="B79" s="27" t="n">
        <v>47844</v>
      </c>
      <c r="C79" s="39" t="n">
        <v>104465649.922649</v>
      </c>
      <c r="D79" s="39" t="n">
        <v>827404.527821399</v>
      </c>
      <c r="E79" s="39" t="n">
        <v>15666700.9752962</v>
      </c>
      <c r="F79" s="39" t="n">
        <v>16494105.5031176</v>
      </c>
      <c r="G79" s="39" t="n">
        <v>88798948.9473524</v>
      </c>
      <c r="H79" s="33" t="n">
        <f aca="false">J78</f>
        <v>104465649.922649</v>
      </c>
      <c r="I79" s="33" t="n">
        <f aca="false">H79*N79</f>
        <v>827404.527821399</v>
      </c>
      <c r="J79" s="33" t="n">
        <f aca="false">H79+I79-F79</f>
        <v>88798948.9473525</v>
      </c>
      <c r="K79" s="33" t="n">
        <f aca="false">D79-I79</f>
        <v>0</v>
      </c>
      <c r="L79" s="33" t="n">
        <f aca="false">G79-J79</f>
        <v>0</v>
      </c>
      <c r="M79" s="33" t="n">
        <f aca="false">F79</f>
        <v>16494105.5031176</v>
      </c>
      <c r="N79" s="65" t="n">
        <f aca="false">$C$7</f>
        <v>0.00792035016710324</v>
      </c>
      <c r="O79" s="48" t="n">
        <f aca="false">IF(AND(B79&gt;=DATE(2026,1,1),B79&lt;=Resumen!$C$5),1,0)</f>
        <v>0</v>
      </c>
      <c r="P79" s="48" t="n">
        <f aca="false">IF(AND(B79&gt;Resumen!$C$5,B79&lt;=DATE(2027,7,31)),1,0)</f>
        <v>0</v>
      </c>
    </row>
    <row r="80" customFormat="false" ht="15" hidden="false" customHeight="false" outlineLevel="0" collapsed="false">
      <c r="A80" s="38" t="n">
        <v>68</v>
      </c>
      <c r="B80" s="27" t="n">
        <v>47875</v>
      </c>
      <c r="C80" s="39" t="n">
        <v>88798948.9473524</v>
      </c>
      <c r="D80" s="39" t="n">
        <v>703318.770133755</v>
      </c>
      <c r="E80" s="39" t="n">
        <v>15790786.7329838</v>
      </c>
      <c r="F80" s="39" t="n">
        <v>16494105.5031176</v>
      </c>
      <c r="G80" s="39" t="n">
        <v>73008162.2143686</v>
      </c>
      <c r="H80" s="33" t="n">
        <f aca="false">J79</f>
        <v>88798948.9473525</v>
      </c>
      <c r="I80" s="33" t="n">
        <f aca="false">H80*N80</f>
        <v>703318.770133756</v>
      </c>
      <c r="J80" s="33" t="n">
        <f aca="false">H80+I80-F80</f>
        <v>73008162.2143687</v>
      </c>
      <c r="K80" s="33" t="n">
        <f aca="false">D80-I80</f>
        <v>0</v>
      </c>
      <c r="L80" s="33" t="n">
        <f aca="false">G80-J80</f>
        <v>0</v>
      </c>
      <c r="M80" s="33" t="n">
        <f aca="false">F80</f>
        <v>16494105.5031176</v>
      </c>
      <c r="N80" s="65" t="n">
        <f aca="false">$C$7</f>
        <v>0.00792035016710324</v>
      </c>
      <c r="O80" s="48" t="n">
        <f aca="false">IF(AND(B80&gt;=DATE(2026,1,1),B80&lt;=Resumen!$C$5),1,0)</f>
        <v>0</v>
      </c>
      <c r="P80" s="48" t="n">
        <f aca="false">IF(AND(B80&gt;Resumen!$C$5,B80&lt;=DATE(2027,7,31)),1,0)</f>
        <v>0</v>
      </c>
    </row>
    <row r="81" customFormat="false" ht="15" hidden="false" customHeight="false" outlineLevel="0" collapsed="false">
      <c r="A81" s="38" t="n">
        <v>69</v>
      </c>
      <c r="B81" s="27" t="n">
        <v>47906</v>
      </c>
      <c r="C81" s="39" t="n">
        <v>73008162.2143686</v>
      </c>
      <c r="D81" s="39" t="n">
        <v>578250.209794475</v>
      </c>
      <c r="E81" s="39" t="n">
        <v>15915855.2933231</v>
      </c>
      <c r="F81" s="39" t="n">
        <v>16494105.5031176</v>
      </c>
      <c r="G81" s="39" t="n">
        <v>57092306.9210455</v>
      </c>
      <c r="H81" s="33" t="n">
        <f aca="false">J80</f>
        <v>73008162.2143687</v>
      </c>
      <c r="I81" s="33" t="n">
        <f aca="false">H81*N81</f>
        <v>578250.209794475</v>
      </c>
      <c r="J81" s="33" t="n">
        <f aca="false">H81+I81-F81</f>
        <v>57092306.9210456</v>
      </c>
      <c r="K81" s="33" t="n">
        <f aca="false">D81-I81</f>
        <v>0</v>
      </c>
      <c r="L81" s="33" t="n">
        <f aca="false">G81-J81</f>
        <v>0</v>
      </c>
      <c r="M81" s="33" t="n">
        <f aca="false">F81</f>
        <v>16494105.5031176</v>
      </c>
      <c r="N81" s="65" t="n">
        <f aca="false">$C$7</f>
        <v>0.00792035016710324</v>
      </c>
      <c r="O81" s="48" t="n">
        <f aca="false">IF(AND(B81&gt;=DATE(2026,1,1),B81&lt;=Resumen!$C$5),1,0)</f>
        <v>0</v>
      </c>
      <c r="P81" s="48" t="n">
        <f aca="false">IF(AND(B81&gt;Resumen!$C$5,B81&lt;=DATE(2027,7,31)),1,0)</f>
        <v>0</v>
      </c>
    </row>
    <row r="82" customFormat="false" ht="15" hidden="false" customHeight="false" outlineLevel="0" collapsed="false">
      <c r="A82" s="38" t="n">
        <v>70</v>
      </c>
      <c r="B82" s="27" t="n">
        <v>47934</v>
      </c>
      <c r="C82" s="39" t="n">
        <v>57092306.9210455</v>
      </c>
      <c r="D82" s="39" t="n">
        <v>452191.062662412</v>
      </c>
      <c r="E82" s="39" t="n">
        <v>16041914.4404552</v>
      </c>
      <c r="F82" s="39" t="n">
        <v>16494105.5031176</v>
      </c>
      <c r="G82" s="39" t="n">
        <v>41050392.4805904</v>
      </c>
      <c r="H82" s="33" t="n">
        <f aca="false">J81</f>
        <v>57092306.9210456</v>
      </c>
      <c r="I82" s="33" t="n">
        <f aca="false">H82*N82</f>
        <v>452191.062662413</v>
      </c>
      <c r="J82" s="33" t="n">
        <f aca="false">H82+I82-F82</f>
        <v>41050392.4805904</v>
      </c>
      <c r="K82" s="33" t="n">
        <f aca="false">D82-I82</f>
        <v>0</v>
      </c>
      <c r="L82" s="33" t="n">
        <f aca="false">G82-J82</f>
        <v>0</v>
      </c>
      <c r="M82" s="33" t="n">
        <f aca="false">F82</f>
        <v>16494105.5031176</v>
      </c>
      <c r="N82" s="65" t="n">
        <f aca="false">$C$7</f>
        <v>0.00792035016710324</v>
      </c>
      <c r="O82" s="48" t="n">
        <f aca="false">IF(AND(B82&gt;=DATE(2026,1,1),B82&lt;=Resumen!$C$5),1,0)</f>
        <v>0</v>
      </c>
      <c r="P82" s="48" t="n">
        <f aca="false">IF(AND(B82&gt;Resumen!$C$5,B82&lt;=DATE(2027,7,31)),1,0)</f>
        <v>0</v>
      </c>
    </row>
    <row r="83" customFormat="false" ht="15" hidden="false" customHeight="false" outlineLevel="0" collapsed="false">
      <c r="A83" s="38" t="n">
        <v>71</v>
      </c>
      <c r="B83" s="27" t="n">
        <v>47965</v>
      </c>
      <c r="C83" s="39" t="n">
        <v>41050392.4805904</v>
      </c>
      <c r="D83" s="39" t="n">
        <v>325133.482943298</v>
      </c>
      <c r="E83" s="39" t="n">
        <v>16168972.0201743</v>
      </c>
      <c r="F83" s="39" t="n">
        <v>16494105.5031176</v>
      </c>
      <c r="G83" s="39" t="n">
        <v>24881420.4604161</v>
      </c>
      <c r="H83" s="33" t="n">
        <f aca="false">J82</f>
        <v>41050392.4805904</v>
      </c>
      <c r="I83" s="33" t="n">
        <f aca="false">H83*N83</f>
        <v>325133.482943298</v>
      </c>
      <c r="J83" s="33" t="n">
        <f aca="false">H83+I83-F83</f>
        <v>24881420.4604162</v>
      </c>
      <c r="K83" s="33" t="n">
        <f aca="false">D83-I83</f>
        <v>0</v>
      </c>
      <c r="L83" s="33" t="n">
        <f aca="false">G83-J83</f>
        <v>0</v>
      </c>
      <c r="M83" s="33" t="n">
        <f aca="false">F83</f>
        <v>16494105.5031176</v>
      </c>
      <c r="N83" s="65" t="n">
        <f aca="false">$C$7</f>
        <v>0.00792035016710324</v>
      </c>
      <c r="O83" s="48" t="n">
        <f aca="false">IF(AND(B83&gt;=DATE(2026,1,1),B83&lt;=Resumen!$C$5),1,0)</f>
        <v>0</v>
      </c>
      <c r="P83" s="48" t="n">
        <f aca="false">IF(AND(B83&gt;Resumen!$C$5,B83&lt;=DATE(2027,7,31)),1,0)</f>
        <v>0</v>
      </c>
    </row>
    <row r="84" customFormat="false" ht="15" hidden="false" customHeight="false" outlineLevel="0" collapsed="false">
      <c r="A84" s="38" t="n">
        <v>72</v>
      </c>
      <c r="B84" s="27" t="n">
        <v>47995</v>
      </c>
      <c r="C84" s="39" t="n">
        <v>24881420.4604161</v>
      </c>
      <c r="D84" s="39" t="n">
        <v>197069.562701423</v>
      </c>
      <c r="E84" s="39" t="n">
        <v>24881420.4604162</v>
      </c>
      <c r="F84" s="39" t="n">
        <v>25078490.0231176</v>
      </c>
      <c r="G84" s="39" t="n">
        <v>-6.70552253723145E-008</v>
      </c>
      <c r="H84" s="33" t="n">
        <f aca="false">J83</f>
        <v>24881420.4604162</v>
      </c>
      <c r="I84" s="33" t="n">
        <f aca="false">H84*N84</f>
        <v>197069.562701423</v>
      </c>
      <c r="J84" s="33" t="n">
        <f aca="false">H84+I84-F84</f>
        <v>0</v>
      </c>
      <c r="K84" s="33" t="n">
        <f aca="false">D84-I84</f>
        <v>0</v>
      </c>
      <c r="L84" s="33" t="n">
        <f aca="false">G84-J84</f>
        <v>-6.70552253723145E-008</v>
      </c>
      <c r="M84" s="33" t="n">
        <f aca="false">F84</f>
        <v>25078490.0231176</v>
      </c>
      <c r="N84" s="65" t="n">
        <f aca="false">$C$7</f>
        <v>0.00792035016710324</v>
      </c>
      <c r="O84" s="48" t="n">
        <f aca="false">IF(AND(B84&gt;=DATE(2026,1,1),B84&lt;=Resumen!$C$5),1,0)</f>
        <v>0</v>
      </c>
      <c r="P84" s="48" t="n">
        <f aca="false">IF(AND(B84&gt;Resumen!$C$5,B84&lt;=DATE(2027,7,31)),1,0)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1857</v>
      </c>
    </row>
    <row r="2" customFormat="false" ht="15" hidden="false" customHeight="false" outlineLevel="0" collapsed="false">
      <c r="A2" s="24" t="s">
        <v>1858</v>
      </c>
    </row>
    <row r="3" customFormat="false" ht="15" hidden="false" customHeight="false" outlineLevel="0" collapsed="false">
      <c r="A3" s="34" t="s">
        <v>1748</v>
      </c>
      <c r="C3" s="38" t="s">
        <v>1859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915429932</v>
      </c>
      <c r="F4" s="26" t="s">
        <v>1752</v>
      </c>
      <c r="I4" s="57" t="n">
        <f aca="false">_xlfn.MAXIFS($B$12:$B$72,$B$12:$B$72,"&lt;="&amp;Resumen!$C$5)</f>
        <v>46229</v>
      </c>
    </row>
    <row r="5" customFormat="false" ht="15" hidden="false" customHeight="false" outlineLevel="0" collapsed="false">
      <c r="A5" s="34" t="s">
        <v>1753</v>
      </c>
      <c r="C5" s="27" t="n">
        <v>45133</v>
      </c>
      <c r="F5" s="26" t="s">
        <v>1754</v>
      </c>
      <c r="I5" s="58" t="n">
        <f aca="false">SUMIFS($G$12:$G$72,$B$12:$B$72,I4)</f>
        <v>503693510</v>
      </c>
    </row>
    <row r="6" customFormat="false" ht="15" hidden="false" customHeight="false" outlineLevel="0" collapsed="false">
      <c r="A6" s="34" t="s">
        <v>1755</v>
      </c>
      <c r="C6" s="38" t="s">
        <v>1860</v>
      </c>
      <c r="F6" s="26" t="s">
        <v>1757</v>
      </c>
      <c r="I6" s="33" t="n">
        <f aca="false">SUMIFS($J$12:$J$72,$B$12:$B$72,I4)</f>
        <v>503693510</v>
      </c>
    </row>
    <row r="7" customFormat="false" ht="15" hidden="false" customHeight="false" outlineLevel="0" collapsed="false">
      <c r="A7" s="34" t="s">
        <v>1758</v>
      </c>
      <c r="C7" s="64" t="n">
        <v>0.0253937097041328</v>
      </c>
      <c r="F7" s="26" t="s">
        <v>1759</v>
      </c>
      <c r="I7" s="33" t="n">
        <f aca="false">SUMIFS($D$12:$D$72,$O$12:$O$72,1)</f>
        <v>99905792.5025106</v>
      </c>
    </row>
    <row r="8" customFormat="false" ht="15" hidden="false" customHeight="false" outlineLevel="0" collapsed="false">
      <c r="A8" s="34" t="s">
        <v>1760</v>
      </c>
      <c r="C8" s="65" t="n">
        <f aca="false">IFERROR(IRR($M$12:$M$72),"N/A")</f>
        <v>0.0228929357231654</v>
      </c>
      <c r="F8" s="26" t="s">
        <v>1761</v>
      </c>
      <c r="I8" s="33" t="n">
        <f aca="false">SUMIFS($E$12:$E$72,$P$12:$P$72,1)</f>
        <v>175036572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0.312085547082589</v>
      </c>
      <c r="F9" s="26" t="s">
        <v>1763</v>
      </c>
      <c r="I9" s="33" t="n">
        <f aca="false">SUMPRODUCT(MAX(ABS($L$12:$L$72)))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45133</v>
      </c>
      <c r="C12" s="39"/>
      <c r="D12" s="39" t="n">
        <v>0</v>
      </c>
      <c r="E12" s="39" t="n">
        <v>0</v>
      </c>
      <c r="F12" s="39" t="n">
        <v>0</v>
      </c>
      <c r="G12" s="39" t="n">
        <v>915429932</v>
      </c>
      <c r="H12" s="33" t="n">
        <f aca="false">G12</f>
        <v>915429932</v>
      </c>
      <c r="I12" s="33" t="n">
        <v>0</v>
      </c>
      <c r="J12" s="33" t="n">
        <f aca="false">H12</f>
        <v>915429932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-915429932</v>
      </c>
      <c r="N12" s="65" t="n">
        <f aca="false">$C$7</f>
        <v>0.0253937097041328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45164</v>
      </c>
      <c r="C13" s="39" t="n">
        <v>915429932</v>
      </c>
      <c r="D13" s="39" t="n">
        <v>23246161.947682</v>
      </c>
      <c r="E13" s="39" t="n">
        <v>0</v>
      </c>
      <c r="F13" s="39" t="n">
        <v>23246161.947682</v>
      </c>
      <c r="G13" s="39" t="n">
        <v>915429932</v>
      </c>
      <c r="H13" s="33" t="n">
        <f aca="false">J12</f>
        <v>915429932</v>
      </c>
      <c r="I13" s="33" t="n">
        <f aca="false">H13*N13</f>
        <v>23246161.947682</v>
      </c>
      <c r="J13" s="33" t="n">
        <f aca="false">H13+I13-F13</f>
        <v>915429932</v>
      </c>
      <c r="K13" s="33" t="n">
        <f aca="false">D13-I13</f>
        <v>0</v>
      </c>
      <c r="L13" s="33" t="n">
        <f aca="false">G13-J13</f>
        <v>0</v>
      </c>
      <c r="M13" s="33" t="n">
        <f aca="false">F13</f>
        <v>23246161.947682</v>
      </c>
      <c r="N13" s="65" t="n">
        <f aca="false">$C$7</f>
        <v>0.0253937097041328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45195</v>
      </c>
      <c r="C14" s="39" t="n">
        <v>915429932</v>
      </c>
      <c r="D14" s="39" t="n">
        <v>23246161.947682</v>
      </c>
      <c r="E14" s="39" t="n">
        <v>0</v>
      </c>
      <c r="F14" s="39" t="n">
        <v>23246161.947682</v>
      </c>
      <c r="G14" s="39" t="n">
        <v>915429932</v>
      </c>
      <c r="H14" s="33" t="n">
        <f aca="false">J13</f>
        <v>915429932</v>
      </c>
      <c r="I14" s="33" t="n">
        <f aca="false">H14*N14</f>
        <v>23246161.947682</v>
      </c>
      <c r="J14" s="33" t="n">
        <f aca="false">H14+I14-F14</f>
        <v>915429932</v>
      </c>
      <c r="K14" s="33" t="n">
        <f aca="false">D14-I14</f>
        <v>0</v>
      </c>
      <c r="L14" s="33" t="n">
        <f aca="false">G14-J14</f>
        <v>0</v>
      </c>
      <c r="M14" s="33" t="n">
        <f aca="false">F14</f>
        <v>23246161.947682</v>
      </c>
      <c r="N14" s="65" t="n">
        <f aca="false">$C$7</f>
        <v>0.0253937097041328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45225</v>
      </c>
      <c r="C15" s="39" t="n">
        <v>915429932</v>
      </c>
      <c r="D15" s="39" t="n">
        <v>23246161.947682</v>
      </c>
      <c r="E15" s="39" t="n">
        <v>0</v>
      </c>
      <c r="F15" s="39" t="n">
        <v>23246161.947682</v>
      </c>
      <c r="G15" s="39" t="n">
        <v>915429932</v>
      </c>
      <c r="H15" s="33" t="n">
        <f aca="false">J14</f>
        <v>915429932</v>
      </c>
      <c r="I15" s="33" t="n">
        <f aca="false">H15*N15</f>
        <v>23246161.947682</v>
      </c>
      <c r="J15" s="33" t="n">
        <f aca="false">H15+I15-F15</f>
        <v>915429932</v>
      </c>
      <c r="K15" s="33" t="n">
        <f aca="false">D15-I15</f>
        <v>0</v>
      </c>
      <c r="L15" s="33" t="n">
        <f aca="false">G15-J15</f>
        <v>0</v>
      </c>
      <c r="M15" s="33" t="n">
        <f aca="false">F15</f>
        <v>23246161.947682</v>
      </c>
      <c r="N15" s="65" t="n">
        <f aca="false">$C$7</f>
        <v>0.0253937097041328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45256</v>
      </c>
      <c r="C16" s="39" t="n">
        <v>915429932</v>
      </c>
      <c r="D16" s="39" t="n">
        <v>23246161.947682</v>
      </c>
      <c r="E16" s="39" t="n">
        <v>0</v>
      </c>
      <c r="F16" s="39" t="n">
        <v>23246161.947682</v>
      </c>
      <c r="G16" s="39" t="n">
        <v>915429932</v>
      </c>
      <c r="H16" s="33" t="n">
        <f aca="false">J15</f>
        <v>915429932</v>
      </c>
      <c r="I16" s="33" t="n">
        <f aca="false">H16*N16</f>
        <v>23246161.947682</v>
      </c>
      <c r="J16" s="33" t="n">
        <f aca="false">H16+I16-F16</f>
        <v>915429932</v>
      </c>
      <c r="K16" s="33" t="n">
        <f aca="false">D16-I16</f>
        <v>0</v>
      </c>
      <c r="L16" s="33" t="n">
        <f aca="false">G16-J16</f>
        <v>0</v>
      </c>
      <c r="M16" s="33" t="n">
        <f aca="false">F16</f>
        <v>23246161.947682</v>
      </c>
      <c r="N16" s="65" t="n">
        <f aca="false">$C$7</f>
        <v>0.0253937097041328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45286</v>
      </c>
      <c r="C17" s="39" t="n">
        <v>915429932</v>
      </c>
      <c r="D17" s="39" t="n">
        <v>23246161.947682</v>
      </c>
      <c r="E17" s="39" t="n">
        <v>0</v>
      </c>
      <c r="F17" s="39" t="n">
        <v>23246161.947682</v>
      </c>
      <c r="G17" s="39" t="n">
        <v>915429932</v>
      </c>
      <c r="H17" s="33" t="n">
        <f aca="false">J16</f>
        <v>915429932</v>
      </c>
      <c r="I17" s="33" t="n">
        <f aca="false">H17*N17</f>
        <v>23246161.947682</v>
      </c>
      <c r="J17" s="33" t="n">
        <f aca="false">H17+I17-F17</f>
        <v>915429932</v>
      </c>
      <c r="K17" s="33" t="n">
        <f aca="false">D17-I17</f>
        <v>0</v>
      </c>
      <c r="L17" s="33" t="n">
        <f aca="false">G17-J17</f>
        <v>0</v>
      </c>
      <c r="M17" s="33" t="n">
        <f aca="false">F17</f>
        <v>23246161.947682</v>
      </c>
      <c r="N17" s="65" t="n">
        <f aca="false">$C$7</f>
        <v>0.0253937097041328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45317</v>
      </c>
      <c r="C18" s="39" t="n">
        <v>915429932</v>
      </c>
      <c r="D18" s="39" t="n">
        <v>23246161.947682</v>
      </c>
      <c r="E18" s="39" t="n">
        <v>0</v>
      </c>
      <c r="F18" s="39" t="n">
        <v>23246161.947682</v>
      </c>
      <c r="G18" s="39" t="n">
        <v>915429932</v>
      </c>
      <c r="H18" s="33" t="n">
        <f aca="false">J17</f>
        <v>915429932</v>
      </c>
      <c r="I18" s="33" t="n">
        <f aca="false">H18*N18</f>
        <v>23246161.947682</v>
      </c>
      <c r="J18" s="33" t="n">
        <f aca="false">H18+I18-F18</f>
        <v>915429932</v>
      </c>
      <c r="K18" s="33" t="n">
        <f aca="false">D18-I18</f>
        <v>0</v>
      </c>
      <c r="L18" s="33" t="n">
        <f aca="false">G18-J18</f>
        <v>0</v>
      </c>
      <c r="M18" s="33" t="n">
        <f aca="false">F18</f>
        <v>23246161.947682</v>
      </c>
      <c r="N18" s="65" t="n">
        <f aca="false">$C$7</f>
        <v>0.0253937097041328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45348</v>
      </c>
      <c r="C19" s="39" t="n">
        <v>915429932</v>
      </c>
      <c r="D19" s="39" t="n">
        <v>23246161.947682</v>
      </c>
      <c r="E19" s="39" t="n">
        <v>12431797</v>
      </c>
      <c r="F19" s="39" t="n">
        <v>35677958.947682</v>
      </c>
      <c r="G19" s="39" t="n">
        <v>902998135</v>
      </c>
      <c r="H19" s="33" t="n">
        <f aca="false">J18</f>
        <v>915429932</v>
      </c>
      <c r="I19" s="33" t="n">
        <f aca="false">H19*N19</f>
        <v>23246161.947682</v>
      </c>
      <c r="J19" s="33" t="n">
        <f aca="false">H19+I19-F19</f>
        <v>902998135</v>
      </c>
      <c r="K19" s="33" t="n">
        <f aca="false">D19-I19</f>
        <v>0</v>
      </c>
      <c r="L19" s="33" t="n">
        <f aca="false">G19-J19</f>
        <v>0</v>
      </c>
      <c r="M19" s="33" t="n">
        <f aca="false">F19</f>
        <v>35677958.947682</v>
      </c>
      <c r="N19" s="65" t="n">
        <f aca="false">$C$7</f>
        <v>0.0253937097041328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45377</v>
      </c>
      <c r="C20" s="39" t="n">
        <v>902998135</v>
      </c>
      <c r="D20" s="39" t="n">
        <v>22930472.5035633</v>
      </c>
      <c r="E20" s="39" t="n">
        <v>12431797</v>
      </c>
      <c r="F20" s="39" t="n">
        <v>35362269.5035633</v>
      </c>
      <c r="G20" s="39" t="n">
        <v>890566338</v>
      </c>
      <c r="H20" s="33" t="n">
        <f aca="false">J19</f>
        <v>902998135</v>
      </c>
      <c r="I20" s="33" t="n">
        <f aca="false">H20*N20</f>
        <v>22930472.5035633</v>
      </c>
      <c r="J20" s="33" t="n">
        <f aca="false">H20+I20-F20</f>
        <v>890566338</v>
      </c>
      <c r="K20" s="33" t="n">
        <f aca="false">D20-I20</f>
        <v>0</v>
      </c>
      <c r="L20" s="33" t="n">
        <f aca="false">G20-J20</f>
        <v>0</v>
      </c>
      <c r="M20" s="33" t="n">
        <f aca="false">F20</f>
        <v>35362269.5035633</v>
      </c>
      <c r="N20" s="65" t="n">
        <f aca="false">$C$7</f>
        <v>0.0253937097041328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45408</v>
      </c>
      <c r="C21" s="39" t="n">
        <v>890566338</v>
      </c>
      <c r="D21" s="39" t="n">
        <v>22614783.0594446</v>
      </c>
      <c r="E21" s="39" t="n">
        <v>12431797</v>
      </c>
      <c r="F21" s="39" t="n">
        <v>35046580.0594446</v>
      </c>
      <c r="G21" s="39" t="n">
        <v>878134541</v>
      </c>
      <c r="H21" s="33" t="n">
        <f aca="false">J20</f>
        <v>890566338</v>
      </c>
      <c r="I21" s="33" t="n">
        <f aca="false">H21*N21</f>
        <v>22614783.0594446</v>
      </c>
      <c r="J21" s="33" t="n">
        <f aca="false">H21+I21-F21</f>
        <v>878134541</v>
      </c>
      <c r="K21" s="33" t="n">
        <f aca="false">D21-I21</f>
        <v>0</v>
      </c>
      <c r="L21" s="33" t="n">
        <f aca="false">G21-J21</f>
        <v>0</v>
      </c>
      <c r="M21" s="33" t="n">
        <f aca="false">F21</f>
        <v>35046580.0594446</v>
      </c>
      <c r="N21" s="65" t="n">
        <f aca="false">$C$7</f>
        <v>0.0253937097041328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45438</v>
      </c>
      <c r="C22" s="39" t="n">
        <v>878134541</v>
      </c>
      <c r="D22" s="39" t="n">
        <v>22299093.6153259</v>
      </c>
      <c r="E22" s="39" t="n">
        <v>12431797</v>
      </c>
      <c r="F22" s="39" t="n">
        <v>34730890.6153259</v>
      </c>
      <c r="G22" s="39" t="n">
        <v>865702744</v>
      </c>
      <c r="H22" s="33" t="n">
        <f aca="false">J21</f>
        <v>878134541</v>
      </c>
      <c r="I22" s="33" t="n">
        <f aca="false">H22*N22</f>
        <v>22299093.6153259</v>
      </c>
      <c r="J22" s="33" t="n">
        <f aca="false">H22+I22-F22</f>
        <v>865702744</v>
      </c>
      <c r="K22" s="33" t="n">
        <f aca="false">D22-I22</f>
        <v>0</v>
      </c>
      <c r="L22" s="33" t="n">
        <f aca="false">G22-J22</f>
        <v>0</v>
      </c>
      <c r="M22" s="33" t="n">
        <f aca="false">F22</f>
        <v>34730890.6153259</v>
      </c>
      <c r="N22" s="65" t="n">
        <f aca="false">$C$7</f>
        <v>0.0253937097041328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45469</v>
      </c>
      <c r="C23" s="39" t="n">
        <v>865702744</v>
      </c>
      <c r="D23" s="39" t="n">
        <v>21983404.1712072</v>
      </c>
      <c r="E23" s="39" t="n">
        <v>12431797</v>
      </c>
      <c r="F23" s="39" t="n">
        <v>34415201.1712072</v>
      </c>
      <c r="G23" s="39" t="n">
        <v>853270947</v>
      </c>
      <c r="H23" s="33" t="n">
        <f aca="false">J22</f>
        <v>865702744</v>
      </c>
      <c r="I23" s="33" t="n">
        <f aca="false">H23*N23</f>
        <v>21983404.1712072</v>
      </c>
      <c r="J23" s="33" t="n">
        <f aca="false">H23+I23-F23</f>
        <v>853270947</v>
      </c>
      <c r="K23" s="33" t="n">
        <f aca="false">D23-I23</f>
        <v>0</v>
      </c>
      <c r="L23" s="33" t="n">
        <f aca="false">G23-J23</f>
        <v>0</v>
      </c>
      <c r="M23" s="33" t="n">
        <f aca="false">F23</f>
        <v>34415201.1712072</v>
      </c>
      <c r="N23" s="65" t="n">
        <f aca="false">$C$7</f>
        <v>0.0253937097041328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45499</v>
      </c>
      <c r="C24" s="39" t="n">
        <v>853270947</v>
      </c>
      <c r="D24" s="39" t="n">
        <v>21667714.7270885</v>
      </c>
      <c r="E24" s="39" t="n">
        <v>12431797</v>
      </c>
      <c r="F24" s="39" t="n">
        <v>34099511.7270885</v>
      </c>
      <c r="G24" s="39" t="n">
        <v>840839150</v>
      </c>
      <c r="H24" s="33" t="n">
        <f aca="false">J23</f>
        <v>853270947</v>
      </c>
      <c r="I24" s="33" t="n">
        <f aca="false">H24*N24</f>
        <v>21667714.7270885</v>
      </c>
      <c r="J24" s="33" t="n">
        <f aca="false">H24+I24-F24</f>
        <v>840839150</v>
      </c>
      <c r="K24" s="33" t="n">
        <f aca="false">D24-I24</f>
        <v>0</v>
      </c>
      <c r="L24" s="33" t="n">
        <f aca="false">G24-J24</f>
        <v>0</v>
      </c>
      <c r="M24" s="33" t="n">
        <f aca="false">F24</f>
        <v>34099511.7270885</v>
      </c>
      <c r="N24" s="65" t="n">
        <f aca="false">$C$7</f>
        <v>0.0253937097041328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45530</v>
      </c>
      <c r="C25" s="39" t="n">
        <v>840839150</v>
      </c>
      <c r="D25" s="39" t="n">
        <v>21352025.2829698</v>
      </c>
      <c r="E25" s="39" t="n">
        <v>12431797</v>
      </c>
      <c r="F25" s="39" t="n">
        <v>33783822.2829698</v>
      </c>
      <c r="G25" s="39" t="n">
        <v>828407353</v>
      </c>
      <c r="H25" s="33" t="n">
        <f aca="false">J24</f>
        <v>840839150</v>
      </c>
      <c r="I25" s="33" t="n">
        <f aca="false">H25*N25</f>
        <v>21352025.2829698</v>
      </c>
      <c r="J25" s="33" t="n">
        <f aca="false">H25+I25-F25</f>
        <v>828407353</v>
      </c>
      <c r="K25" s="33" t="n">
        <f aca="false">D25-I25</f>
        <v>0</v>
      </c>
      <c r="L25" s="33" t="n">
        <f aca="false">G25-J25</f>
        <v>0</v>
      </c>
      <c r="M25" s="33" t="n">
        <f aca="false">F25</f>
        <v>33783822.2829698</v>
      </c>
      <c r="N25" s="65" t="n">
        <f aca="false">$C$7</f>
        <v>0.0253937097041328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45561</v>
      </c>
      <c r="C26" s="39" t="n">
        <v>828407353</v>
      </c>
      <c r="D26" s="39" t="n">
        <v>21036335.8388511</v>
      </c>
      <c r="E26" s="39" t="n">
        <v>12431797</v>
      </c>
      <c r="F26" s="39" t="n">
        <v>33468132.8388511</v>
      </c>
      <c r="G26" s="39" t="n">
        <v>815975556</v>
      </c>
      <c r="H26" s="33" t="n">
        <f aca="false">J25</f>
        <v>828407353</v>
      </c>
      <c r="I26" s="33" t="n">
        <f aca="false">H26*N26</f>
        <v>21036335.8388511</v>
      </c>
      <c r="J26" s="33" t="n">
        <f aca="false">H26+I26-F26</f>
        <v>815975556</v>
      </c>
      <c r="K26" s="33" t="n">
        <f aca="false">D26-I26</f>
        <v>0</v>
      </c>
      <c r="L26" s="33" t="n">
        <f aca="false">G26-J26</f>
        <v>0</v>
      </c>
      <c r="M26" s="33" t="n">
        <f aca="false">F26</f>
        <v>33468132.8388511</v>
      </c>
      <c r="N26" s="65" t="n">
        <f aca="false">$C$7</f>
        <v>0.0253937097041328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45591</v>
      </c>
      <c r="C27" s="39" t="n">
        <v>815975556</v>
      </c>
      <c r="D27" s="39" t="n">
        <v>20720646.3947324</v>
      </c>
      <c r="E27" s="39" t="n">
        <v>12431797</v>
      </c>
      <c r="F27" s="39" t="n">
        <v>33152443.3947324</v>
      </c>
      <c r="G27" s="39" t="n">
        <v>803543759</v>
      </c>
      <c r="H27" s="33" t="n">
        <f aca="false">J26</f>
        <v>815975556</v>
      </c>
      <c r="I27" s="33" t="n">
        <f aca="false">H27*N27</f>
        <v>20720646.3947324</v>
      </c>
      <c r="J27" s="33" t="n">
        <f aca="false">H27+I27-F27</f>
        <v>803543759</v>
      </c>
      <c r="K27" s="33" t="n">
        <f aca="false">D27-I27</f>
        <v>0</v>
      </c>
      <c r="L27" s="33" t="n">
        <f aca="false">G27-J27</f>
        <v>0</v>
      </c>
      <c r="M27" s="33" t="n">
        <f aca="false">F27</f>
        <v>33152443.3947324</v>
      </c>
      <c r="N27" s="65" t="n">
        <f aca="false">$C$7</f>
        <v>0.0253937097041328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45622</v>
      </c>
      <c r="C28" s="39" t="n">
        <v>803543759</v>
      </c>
      <c r="D28" s="39" t="n">
        <v>20404956.9506136</v>
      </c>
      <c r="E28" s="39" t="n">
        <v>12431797</v>
      </c>
      <c r="F28" s="39" t="n">
        <v>32836753.9506136</v>
      </c>
      <c r="G28" s="39" t="n">
        <v>791111962</v>
      </c>
      <c r="H28" s="33" t="n">
        <f aca="false">J27</f>
        <v>803543759</v>
      </c>
      <c r="I28" s="33" t="n">
        <f aca="false">H28*N28</f>
        <v>20404956.9506136</v>
      </c>
      <c r="J28" s="33" t="n">
        <f aca="false">H28+I28-F28</f>
        <v>791111962</v>
      </c>
      <c r="K28" s="33" t="n">
        <f aca="false">D28-I28</f>
        <v>0</v>
      </c>
      <c r="L28" s="33" t="n">
        <f aca="false">G28-J28</f>
        <v>0</v>
      </c>
      <c r="M28" s="33" t="n">
        <f aca="false">F28</f>
        <v>32836753.9506136</v>
      </c>
      <c r="N28" s="65" t="n">
        <f aca="false">$C$7</f>
        <v>0.0253937097041328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45652</v>
      </c>
      <c r="C29" s="39" t="n">
        <v>791111962</v>
      </c>
      <c r="D29" s="39" t="n">
        <v>20089267.5064949</v>
      </c>
      <c r="E29" s="39" t="n">
        <v>12431797</v>
      </c>
      <c r="F29" s="39" t="n">
        <v>32521064.5064949</v>
      </c>
      <c r="G29" s="39" t="n">
        <v>778680165</v>
      </c>
      <c r="H29" s="33" t="n">
        <f aca="false">J28</f>
        <v>791111962</v>
      </c>
      <c r="I29" s="33" t="n">
        <f aca="false">H29*N29</f>
        <v>20089267.5064949</v>
      </c>
      <c r="J29" s="33" t="n">
        <f aca="false">H29+I29-F29</f>
        <v>778680165</v>
      </c>
      <c r="K29" s="33" t="n">
        <f aca="false">D29-I29</f>
        <v>0</v>
      </c>
      <c r="L29" s="33" t="n">
        <f aca="false">G29-J29</f>
        <v>0</v>
      </c>
      <c r="M29" s="33" t="n">
        <f aca="false">F29</f>
        <v>32521064.5064949</v>
      </c>
      <c r="N29" s="65" t="n">
        <f aca="false">$C$7</f>
        <v>0.0253937097041328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45683</v>
      </c>
      <c r="C30" s="39" t="n">
        <v>778680165</v>
      </c>
      <c r="D30" s="39" t="n">
        <v>19773578.0623762</v>
      </c>
      <c r="E30" s="39" t="n">
        <v>12431797</v>
      </c>
      <c r="F30" s="39" t="n">
        <v>32205375.0623762</v>
      </c>
      <c r="G30" s="39" t="n">
        <v>766248368</v>
      </c>
      <c r="H30" s="33" t="n">
        <f aca="false">J29</f>
        <v>778680165</v>
      </c>
      <c r="I30" s="33" t="n">
        <f aca="false">H30*N30</f>
        <v>19773578.0623762</v>
      </c>
      <c r="J30" s="33" t="n">
        <f aca="false">H30+I30-F30</f>
        <v>766248368</v>
      </c>
      <c r="K30" s="33" t="n">
        <f aca="false">D30-I30</f>
        <v>0</v>
      </c>
      <c r="L30" s="33" t="n">
        <f aca="false">G30-J30</f>
        <v>0</v>
      </c>
      <c r="M30" s="33" t="n">
        <f aca="false">F30</f>
        <v>32205375.0623762</v>
      </c>
      <c r="N30" s="65" t="n">
        <f aca="false">$C$7</f>
        <v>0.0253937097041328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45714</v>
      </c>
      <c r="C31" s="39" t="n">
        <v>766248368</v>
      </c>
      <c r="D31" s="39" t="n">
        <v>19457888.6182575</v>
      </c>
      <c r="E31" s="39" t="n">
        <v>14586381</v>
      </c>
      <c r="F31" s="39" t="n">
        <v>34044269.6182575</v>
      </c>
      <c r="G31" s="39" t="n">
        <v>751661987</v>
      </c>
      <c r="H31" s="33" t="n">
        <f aca="false">J30</f>
        <v>766248368</v>
      </c>
      <c r="I31" s="33" t="n">
        <f aca="false">H31*N31</f>
        <v>19457888.6182575</v>
      </c>
      <c r="J31" s="33" t="n">
        <f aca="false">H31+I31-F31</f>
        <v>751661987</v>
      </c>
      <c r="K31" s="33" t="n">
        <f aca="false">D31-I31</f>
        <v>0</v>
      </c>
      <c r="L31" s="33" t="n">
        <f aca="false">G31-J31</f>
        <v>0</v>
      </c>
      <c r="M31" s="33" t="n">
        <f aca="false">F31</f>
        <v>34044269.6182575</v>
      </c>
      <c r="N31" s="65" t="n">
        <f aca="false">$C$7</f>
        <v>0.0253937097041328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45742</v>
      </c>
      <c r="C32" s="39" t="n">
        <v>751661987</v>
      </c>
      <c r="D32" s="39" t="n">
        <v>19087486.2935096</v>
      </c>
      <c r="E32" s="39" t="n">
        <v>14586381</v>
      </c>
      <c r="F32" s="39" t="n">
        <v>33673867.2935096</v>
      </c>
      <c r="G32" s="39" t="n">
        <v>737075606</v>
      </c>
      <c r="H32" s="33" t="n">
        <f aca="false">J31</f>
        <v>751661987</v>
      </c>
      <c r="I32" s="33" t="n">
        <f aca="false">H32*N32</f>
        <v>19087486.2935096</v>
      </c>
      <c r="J32" s="33" t="n">
        <f aca="false">H32+I32-F32</f>
        <v>737075606</v>
      </c>
      <c r="K32" s="33" t="n">
        <f aca="false">D32-I32</f>
        <v>0</v>
      </c>
      <c r="L32" s="33" t="n">
        <f aca="false">G32-J32</f>
        <v>0</v>
      </c>
      <c r="M32" s="33" t="n">
        <f aca="false">F32</f>
        <v>33673867.2935096</v>
      </c>
      <c r="N32" s="65" t="n">
        <f aca="false">$C$7</f>
        <v>0.0253937097041328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45773</v>
      </c>
      <c r="C33" s="39" t="n">
        <v>737075606</v>
      </c>
      <c r="D33" s="39" t="n">
        <v>18717083.9687618</v>
      </c>
      <c r="E33" s="39" t="n">
        <v>14586381</v>
      </c>
      <c r="F33" s="39" t="n">
        <v>33303464.9687618</v>
      </c>
      <c r="G33" s="39" t="n">
        <v>722489225</v>
      </c>
      <c r="H33" s="33" t="n">
        <f aca="false">J32</f>
        <v>737075606</v>
      </c>
      <c r="I33" s="33" t="n">
        <f aca="false">H33*N33</f>
        <v>18717083.9687618</v>
      </c>
      <c r="J33" s="33" t="n">
        <f aca="false">H33+I33-F33</f>
        <v>722489225</v>
      </c>
      <c r="K33" s="33" t="n">
        <f aca="false">D33-I33</f>
        <v>0</v>
      </c>
      <c r="L33" s="33" t="n">
        <f aca="false">G33-J33</f>
        <v>0</v>
      </c>
      <c r="M33" s="33" t="n">
        <f aca="false">F33</f>
        <v>33303464.9687618</v>
      </c>
      <c r="N33" s="65" t="n">
        <f aca="false">$C$7</f>
        <v>0.0253937097041328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45803</v>
      </c>
      <c r="C34" s="39" t="n">
        <v>722489225</v>
      </c>
      <c r="D34" s="39" t="n">
        <v>18346681.6440139</v>
      </c>
      <c r="E34" s="39" t="n">
        <v>14586381</v>
      </c>
      <c r="F34" s="39" t="n">
        <v>32933062.6440139</v>
      </c>
      <c r="G34" s="39" t="n">
        <v>707902844</v>
      </c>
      <c r="H34" s="33" t="n">
        <f aca="false">J33</f>
        <v>722489225</v>
      </c>
      <c r="I34" s="33" t="n">
        <f aca="false">H34*N34</f>
        <v>18346681.6440139</v>
      </c>
      <c r="J34" s="33" t="n">
        <f aca="false">H34+I34-F34</f>
        <v>707902844</v>
      </c>
      <c r="K34" s="33" t="n">
        <f aca="false">D34-I34</f>
        <v>0</v>
      </c>
      <c r="L34" s="33" t="n">
        <f aca="false">G34-J34</f>
        <v>0</v>
      </c>
      <c r="M34" s="33" t="n">
        <f aca="false">F34</f>
        <v>32933062.6440139</v>
      </c>
      <c r="N34" s="65" t="n">
        <f aca="false">$C$7</f>
        <v>0.0253937097041328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45834</v>
      </c>
      <c r="C35" s="39" t="n">
        <v>707902844</v>
      </c>
      <c r="D35" s="39" t="n">
        <v>17976279.319266</v>
      </c>
      <c r="E35" s="39" t="n">
        <v>14586381</v>
      </c>
      <c r="F35" s="39" t="n">
        <v>32562660.319266</v>
      </c>
      <c r="G35" s="39" t="n">
        <v>693316463</v>
      </c>
      <c r="H35" s="33" t="n">
        <f aca="false">J34</f>
        <v>707902844</v>
      </c>
      <c r="I35" s="33" t="n">
        <f aca="false">H35*N35</f>
        <v>17976279.319266</v>
      </c>
      <c r="J35" s="33" t="n">
        <f aca="false">H35+I35-F35</f>
        <v>693316463</v>
      </c>
      <c r="K35" s="33" t="n">
        <f aca="false">D35-I35</f>
        <v>0</v>
      </c>
      <c r="L35" s="33" t="n">
        <f aca="false">G35-J35</f>
        <v>0</v>
      </c>
      <c r="M35" s="33" t="n">
        <f aca="false">F35</f>
        <v>32562660.319266</v>
      </c>
      <c r="N35" s="65" t="n">
        <f aca="false">$C$7</f>
        <v>0.0253937097041328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45864</v>
      </c>
      <c r="C36" s="39" t="n">
        <v>693316463</v>
      </c>
      <c r="D36" s="39" t="n">
        <v>17605876.9945181</v>
      </c>
      <c r="E36" s="39" t="n">
        <v>14586381</v>
      </c>
      <c r="F36" s="39" t="n">
        <v>32192257.9945181</v>
      </c>
      <c r="G36" s="39" t="n">
        <v>678730082</v>
      </c>
      <c r="H36" s="33" t="n">
        <f aca="false">J35</f>
        <v>693316463</v>
      </c>
      <c r="I36" s="33" t="n">
        <f aca="false">H36*N36</f>
        <v>17605876.9945181</v>
      </c>
      <c r="J36" s="33" t="n">
        <f aca="false">H36+I36-F36</f>
        <v>678730082</v>
      </c>
      <c r="K36" s="33" t="n">
        <f aca="false">D36-I36</f>
        <v>0</v>
      </c>
      <c r="L36" s="33" t="n">
        <f aca="false">G36-J36</f>
        <v>0</v>
      </c>
      <c r="M36" s="33" t="n">
        <f aca="false">F36</f>
        <v>32192257.9945181</v>
      </c>
      <c r="N36" s="65" t="n">
        <f aca="false">$C$7</f>
        <v>0.0253937097041328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45895</v>
      </c>
      <c r="C37" s="39" t="n">
        <v>678730082</v>
      </c>
      <c r="D37" s="39" t="n">
        <v>17235474.6697703</v>
      </c>
      <c r="E37" s="39" t="n">
        <v>14586381</v>
      </c>
      <c r="F37" s="39" t="n">
        <v>31821855.6697703</v>
      </c>
      <c r="G37" s="39" t="n">
        <v>664143701</v>
      </c>
      <c r="H37" s="33" t="n">
        <f aca="false">J36</f>
        <v>678730082</v>
      </c>
      <c r="I37" s="33" t="n">
        <f aca="false">H37*N37</f>
        <v>17235474.6697702</v>
      </c>
      <c r="J37" s="33" t="n">
        <f aca="false">H37+I37-F37</f>
        <v>664143701</v>
      </c>
      <c r="K37" s="33" t="n">
        <f aca="false">D37-I37</f>
        <v>0</v>
      </c>
      <c r="L37" s="33" t="n">
        <f aca="false">G37-J37</f>
        <v>0</v>
      </c>
      <c r="M37" s="33" t="n">
        <f aca="false">F37</f>
        <v>31821855.6697703</v>
      </c>
      <c r="N37" s="65" t="n">
        <f aca="false">$C$7</f>
        <v>0.0253937097041328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45926</v>
      </c>
      <c r="C38" s="39" t="n">
        <v>664143701</v>
      </c>
      <c r="D38" s="39" t="n">
        <v>16865072.3450224</v>
      </c>
      <c r="E38" s="39" t="n">
        <v>14586381</v>
      </c>
      <c r="F38" s="39" t="n">
        <v>31451453.3450224</v>
      </c>
      <c r="G38" s="39" t="n">
        <v>649557320</v>
      </c>
      <c r="H38" s="33" t="n">
        <f aca="false">J37</f>
        <v>664143701</v>
      </c>
      <c r="I38" s="33" t="n">
        <f aca="false">H38*N38</f>
        <v>16865072.3450224</v>
      </c>
      <c r="J38" s="33" t="n">
        <f aca="false">H38+I38-F38</f>
        <v>649557320</v>
      </c>
      <c r="K38" s="33" t="n">
        <f aca="false">D38-I38</f>
        <v>0</v>
      </c>
      <c r="L38" s="33" t="n">
        <f aca="false">G38-J38</f>
        <v>0</v>
      </c>
      <c r="M38" s="33" t="n">
        <f aca="false">F38</f>
        <v>31451453.3450224</v>
      </c>
      <c r="N38" s="65" t="n">
        <f aca="false">$C$7</f>
        <v>0.0253937097041328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45956</v>
      </c>
      <c r="C39" s="39" t="n">
        <v>649557320</v>
      </c>
      <c r="D39" s="39" t="n">
        <v>16494670.0202745</v>
      </c>
      <c r="E39" s="39" t="n">
        <v>14586381</v>
      </c>
      <c r="F39" s="39" t="n">
        <v>31081051.0202745</v>
      </c>
      <c r="G39" s="39" t="n">
        <v>634970939</v>
      </c>
      <c r="H39" s="33" t="n">
        <f aca="false">J38</f>
        <v>649557320</v>
      </c>
      <c r="I39" s="33" t="n">
        <f aca="false">H39*N39</f>
        <v>16494670.0202745</v>
      </c>
      <c r="J39" s="33" t="n">
        <f aca="false">H39+I39-F39</f>
        <v>634970939</v>
      </c>
      <c r="K39" s="33" t="n">
        <f aca="false">D39-I39</f>
        <v>0</v>
      </c>
      <c r="L39" s="33" t="n">
        <f aca="false">G39-J39</f>
        <v>0</v>
      </c>
      <c r="M39" s="33" t="n">
        <f aca="false">F39</f>
        <v>31081051.0202745</v>
      </c>
      <c r="N39" s="65" t="n">
        <f aca="false">$C$7</f>
        <v>0.0253937097041328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45987</v>
      </c>
      <c r="C40" s="39" t="n">
        <v>634970939</v>
      </c>
      <c r="D40" s="39" t="n">
        <v>16124267.6955266</v>
      </c>
      <c r="E40" s="39" t="n">
        <v>14586381</v>
      </c>
      <c r="F40" s="39" t="n">
        <v>30710648.6955266</v>
      </c>
      <c r="G40" s="39" t="n">
        <v>620384558</v>
      </c>
      <c r="H40" s="33" t="n">
        <f aca="false">J39</f>
        <v>634970939</v>
      </c>
      <c r="I40" s="33" t="n">
        <f aca="false">H40*N40</f>
        <v>16124267.6955266</v>
      </c>
      <c r="J40" s="33" t="n">
        <f aca="false">H40+I40-F40</f>
        <v>620384558</v>
      </c>
      <c r="K40" s="33" t="n">
        <f aca="false">D40-I40</f>
        <v>0</v>
      </c>
      <c r="L40" s="33" t="n">
        <f aca="false">G40-J40</f>
        <v>0</v>
      </c>
      <c r="M40" s="33" t="n">
        <f aca="false">F40</f>
        <v>30710648.6955266</v>
      </c>
      <c r="N40" s="65" t="n">
        <f aca="false">$C$7</f>
        <v>0.0253937097041328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  <row r="41" customFormat="false" ht="15" hidden="false" customHeight="false" outlineLevel="0" collapsed="false">
      <c r="A41" s="38" t="n">
        <v>29</v>
      </c>
      <c r="B41" s="27" t="n">
        <v>46017</v>
      </c>
      <c r="C41" s="39" t="n">
        <v>620384558</v>
      </c>
      <c r="D41" s="39" t="n">
        <v>15753865.3707787</v>
      </c>
      <c r="E41" s="39" t="n">
        <v>14586381</v>
      </c>
      <c r="F41" s="39" t="n">
        <v>30340246.3707787</v>
      </c>
      <c r="G41" s="39" t="n">
        <v>605798177</v>
      </c>
      <c r="H41" s="33" t="n">
        <f aca="false">J40</f>
        <v>620384558</v>
      </c>
      <c r="I41" s="33" t="n">
        <f aca="false">H41*N41</f>
        <v>15753865.3707787</v>
      </c>
      <c r="J41" s="33" t="n">
        <f aca="false">H41+I41-F41</f>
        <v>605798177</v>
      </c>
      <c r="K41" s="33" t="n">
        <f aca="false">D41-I41</f>
        <v>0</v>
      </c>
      <c r="L41" s="33" t="n">
        <f aca="false">G41-J41</f>
        <v>0</v>
      </c>
      <c r="M41" s="33" t="n">
        <f aca="false">F41</f>
        <v>30340246.3707787</v>
      </c>
      <c r="N41" s="65" t="n">
        <f aca="false">$C$7</f>
        <v>0.0253937097041328</v>
      </c>
      <c r="O41" s="48" t="n">
        <f aca="false">IF(AND(B41&gt;=DATE(2026,1,1),B41&lt;=Resumen!$C$5),1,0)</f>
        <v>0</v>
      </c>
      <c r="P41" s="48" t="n">
        <f aca="false">IF(AND(B41&gt;Resumen!$C$5,B41&lt;=DATE(2027,7,31)),1,0)</f>
        <v>0</v>
      </c>
    </row>
    <row r="42" customFormat="false" ht="15" hidden="false" customHeight="false" outlineLevel="0" collapsed="false">
      <c r="A42" s="38" t="n">
        <v>30</v>
      </c>
      <c r="B42" s="27" t="n">
        <v>46048</v>
      </c>
      <c r="C42" s="39" t="n">
        <v>605798177</v>
      </c>
      <c r="D42" s="39" t="n">
        <v>15383463.0460309</v>
      </c>
      <c r="E42" s="39" t="n">
        <v>14586381</v>
      </c>
      <c r="F42" s="39" t="n">
        <v>29969844.0460309</v>
      </c>
      <c r="G42" s="39" t="n">
        <v>591211796</v>
      </c>
      <c r="H42" s="33" t="n">
        <f aca="false">J41</f>
        <v>605798177</v>
      </c>
      <c r="I42" s="33" t="n">
        <f aca="false">H42*N42</f>
        <v>15383463.0460309</v>
      </c>
      <c r="J42" s="33" t="n">
        <f aca="false">H42+I42-F42</f>
        <v>591211796</v>
      </c>
      <c r="K42" s="33" t="n">
        <f aca="false">D42-I42</f>
        <v>0</v>
      </c>
      <c r="L42" s="33" t="n">
        <f aca="false">G42-J42</f>
        <v>0</v>
      </c>
      <c r="M42" s="33" t="n">
        <f aca="false">F42</f>
        <v>29969844.0460309</v>
      </c>
      <c r="N42" s="65" t="n">
        <f aca="false">$C$7</f>
        <v>0.0253937097041328</v>
      </c>
      <c r="O42" s="48" t="n">
        <f aca="false">IF(AND(B42&gt;=DATE(2026,1,1),B42&lt;=Resumen!$C$5),1,0)</f>
        <v>1</v>
      </c>
      <c r="P42" s="48" t="n">
        <f aca="false">IF(AND(B42&gt;Resumen!$C$5,B42&lt;=DATE(2027,7,31)),1,0)</f>
        <v>0</v>
      </c>
    </row>
    <row r="43" customFormat="false" ht="15" hidden="false" customHeight="false" outlineLevel="0" collapsed="false">
      <c r="A43" s="38" t="n">
        <v>31</v>
      </c>
      <c r="B43" s="27" t="n">
        <v>46079</v>
      </c>
      <c r="C43" s="39" t="n">
        <v>591211796</v>
      </c>
      <c r="D43" s="39" t="n">
        <v>15013060.721283</v>
      </c>
      <c r="E43" s="39" t="n">
        <v>14586381</v>
      </c>
      <c r="F43" s="39" t="n">
        <v>29599441.721283</v>
      </c>
      <c r="G43" s="39" t="n">
        <v>576625415</v>
      </c>
      <c r="H43" s="33" t="n">
        <f aca="false">J42</f>
        <v>591211796</v>
      </c>
      <c r="I43" s="33" t="n">
        <f aca="false">H43*N43</f>
        <v>15013060.721283</v>
      </c>
      <c r="J43" s="33" t="n">
        <f aca="false">H43+I43-F43</f>
        <v>576625415</v>
      </c>
      <c r="K43" s="33" t="n">
        <f aca="false">D43-I43</f>
        <v>0</v>
      </c>
      <c r="L43" s="33" t="n">
        <f aca="false">G43-J43</f>
        <v>0</v>
      </c>
      <c r="M43" s="33" t="n">
        <f aca="false">F43</f>
        <v>29599441.721283</v>
      </c>
      <c r="N43" s="65" t="n">
        <f aca="false">$C$7</f>
        <v>0.0253937097041328</v>
      </c>
      <c r="O43" s="48" t="n">
        <f aca="false">IF(AND(B43&gt;=DATE(2026,1,1),B43&lt;=Resumen!$C$5),1,0)</f>
        <v>1</v>
      </c>
      <c r="P43" s="48" t="n">
        <f aca="false">IF(AND(B43&gt;Resumen!$C$5,B43&lt;=DATE(2027,7,31)),1,0)</f>
        <v>0</v>
      </c>
    </row>
    <row r="44" customFormat="false" ht="15" hidden="false" customHeight="false" outlineLevel="0" collapsed="false">
      <c r="A44" s="38" t="n">
        <v>32</v>
      </c>
      <c r="B44" s="27" t="n">
        <v>46107</v>
      </c>
      <c r="C44" s="39" t="n">
        <v>576625415</v>
      </c>
      <c r="D44" s="39" t="n">
        <v>14642658.3965351</v>
      </c>
      <c r="E44" s="39" t="n">
        <v>14586381</v>
      </c>
      <c r="F44" s="39" t="n">
        <v>29229039.3965351</v>
      </c>
      <c r="G44" s="39" t="n">
        <v>562039034</v>
      </c>
      <c r="H44" s="33" t="n">
        <f aca="false">J43</f>
        <v>576625415</v>
      </c>
      <c r="I44" s="33" t="n">
        <f aca="false">H44*N44</f>
        <v>14642658.3965351</v>
      </c>
      <c r="J44" s="33" t="n">
        <f aca="false">H44+I44-F44</f>
        <v>562039034</v>
      </c>
      <c r="K44" s="33" t="n">
        <f aca="false">D44-I44</f>
        <v>0</v>
      </c>
      <c r="L44" s="33" t="n">
        <f aca="false">G44-J44</f>
        <v>0</v>
      </c>
      <c r="M44" s="33" t="n">
        <f aca="false">F44</f>
        <v>29229039.3965351</v>
      </c>
      <c r="N44" s="65" t="n">
        <f aca="false">$C$7</f>
        <v>0.0253937097041328</v>
      </c>
      <c r="O44" s="48" t="n">
        <f aca="false">IF(AND(B44&gt;=DATE(2026,1,1),B44&lt;=Resumen!$C$5),1,0)</f>
        <v>1</v>
      </c>
      <c r="P44" s="48" t="n">
        <f aca="false">IF(AND(B44&gt;Resumen!$C$5,B44&lt;=DATE(2027,7,31)),1,0)</f>
        <v>0</v>
      </c>
    </row>
    <row r="45" customFormat="false" ht="15" hidden="false" customHeight="false" outlineLevel="0" collapsed="false">
      <c r="A45" s="38" t="n">
        <v>33</v>
      </c>
      <c r="B45" s="27" t="n">
        <v>46138</v>
      </c>
      <c r="C45" s="39" t="n">
        <v>562039034</v>
      </c>
      <c r="D45" s="39" t="n">
        <v>14272256.0717872</v>
      </c>
      <c r="E45" s="39" t="n">
        <v>14586381</v>
      </c>
      <c r="F45" s="39" t="n">
        <v>28858637.0717872</v>
      </c>
      <c r="G45" s="39" t="n">
        <v>547452653</v>
      </c>
      <c r="H45" s="33" t="n">
        <f aca="false">J44</f>
        <v>562039034</v>
      </c>
      <c r="I45" s="33" t="n">
        <f aca="false">H45*N45</f>
        <v>14272256.0717872</v>
      </c>
      <c r="J45" s="33" t="n">
        <f aca="false">H45+I45-F45</f>
        <v>547452653</v>
      </c>
      <c r="K45" s="33" t="n">
        <f aca="false">D45-I45</f>
        <v>0</v>
      </c>
      <c r="L45" s="33" t="n">
        <f aca="false">G45-J45</f>
        <v>0</v>
      </c>
      <c r="M45" s="33" t="n">
        <f aca="false">F45</f>
        <v>28858637.0717872</v>
      </c>
      <c r="N45" s="65" t="n">
        <f aca="false">$C$7</f>
        <v>0.0253937097041328</v>
      </c>
      <c r="O45" s="48" t="n">
        <f aca="false">IF(AND(B45&gt;=DATE(2026,1,1),B45&lt;=Resumen!$C$5),1,0)</f>
        <v>1</v>
      </c>
      <c r="P45" s="48" t="n">
        <f aca="false">IF(AND(B45&gt;Resumen!$C$5,B45&lt;=DATE(2027,7,31)),1,0)</f>
        <v>0</v>
      </c>
    </row>
    <row r="46" customFormat="false" ht="15" hidden="false" customHeight="false" outlineLevel="0" collapsed="false">
      <c r="A46" s="38" t="n">
        <v>34</v>
      </c>
      <c r="B46" s="27" t="n">
        <v>46168</v>
      </c>
      <c r="C46" s="39" t="n">
        <v>547452653</v>
      </c>
      <c r="D46" s="39" t="n">
        <v>13901853.7470393</v>
      </c>
      <c r="E46" s="39" t="n">
        <v>14586381</v>
      </c>
      <c r="F46" s="39" t="n">
        <v>28488234.7470393</v>
      </c>
      <c r="G46" s="39" t="n">
        <v>532866272</v>
      </c>
      <c r="H46" s="33" t="n">
        <f aca="false">J45</f>
        <v>547452653</v>
      </c>
      <c r="I46" s="33" t="n">
        <f aca="false">H46*N46</f>
        <v>13901853.7470393</v>
      </c>
      <c r="J46" s="33" t="n">
        <f aca="false">H46+I46-F46</f>
        <v>532866272</v>
      </c>
      <c r="K46" s="33" t="n">
        <f aca="false">D46-I46</f>
        <v>0</v>
      </c>
      <c r="L46" s="33" t="n">
        <f aca="false">G46-J46</f>
        <v>0</v>
      </c>
      <c r="M46" s="33" t="n">
        <f aca="false">F46</f>
        <v>28488234.7470393</v>
      </c>
      <c r="N46" s="65" t="n">
        <f aca="false">$C$7</f>
        <v>0.0253937097041328</v>
      </c>
      <c r="O46" s="48" t="n">
        <f aca="false">IF(AND(B46&gt;=DATE(2026,1,1),B46&lt;=Resumen!$C$5),1,0)</f>
        <v>1</v>
      </c>
      <c r="P46" s="48" t="n">
        <f aca="false">IF(AND(B46&gt;Resumen!$C$5,B46&lt;=DATE(2027,7,31)),1,0)</f>
        <v>0</v>
      </c>
    </row>
    <row r="47" customFormat="false" ht="15" hidden="false" customHeight="false" outlineLevel="0" collapsed="false">
      <c r="A47" s="38" t="n">
        <v>35</v>
      </c>
      <c r="B47" s="27" t="n">
        <v>46199</v>
      </c>
      <c r="C47" s="39" t="n">
        <v>532866272</v>
      </c>
      <c r="D47" s="39" t="n">
        <v>13531451.4222915</v>
      </c>
      <c r="E47" s="39" t="n">
        <v>14586381</v>
      </c>
      <c r="F47" s="39" t="n">
        <v>28117832.4222915</v>
      </c>
      <c r="G47" s="39" t="n">
        <v>518279891</v>
      </c>
      <c r="H47" s="33" t="n">
        <f aca="false">J46</f>
        <v>532866272</v>
      </c>
      <c r="I47" s="33" t="n">
        <f aca="false">H47*N47</f>
        <v>13531451.4222915</v>
      </c>
      <c r="J47" s="33" t="n">
        <f aca="false">H47+I47-F47</f>
        <v>518279891</v>
      </c>
      <c r="K47" s="33" t="n">
        <f aca="false">D47-I47</f>
        <v>0</v>
      </c>
      <c r="L47" s="33" t="n">
        <f aca="false">G47-J47</f>
        <v>0</v>
      </c>
      <c r="M47" s="33" t="n">
        <f aca="false">F47</f>
        <v>28117832.4222915</v>
      </c>
      <c r="N47" s="65" t="n">
        <f aca="false">$C$7</f>
        <v>0.0253937097041328</v>
      </c>
      <c r="O47" s="48" t="n">
        <f aca="false">IF(AND(B47&gt;=DATE(2026,1,1),B47&lt;=Resumen!$C$5),1,0)</f>
        <v>1</v>
      </c>
      <c r="P47" s="48" t="n">
        <f aca="false">IF(AND(B47&gt;Resumen!$C$5,B47&lt;=DATE(2027,7,31)),1,0)</f>
        <v>0</v>
      </c>
    </row>
    <row r="48" customFormat="false" ht="15" hidden="false" customHeight="false" outlineLevel="0" collapsed="false">
      <c r="A48" s="38" t="n">
        <v>36</v>
      </c>
      <c r="B48" s="27" t="n">
        <v>46229</v>
      </c>
      <c r="C48" s="39" t="n">
        <v>518279891</v>
      </c>
      <c r="D48" s="39" t="n">
        <v>13161049.0975436</v>
      </c>
      <c r="E48" s="39" t="n">
        <v>14586381</v>
      </c>
      <c r="F48" s="39" t="n">
        <v>27747430.0975436</v>
      </c>
      <c r="G48" s="39" t="n">
        <v>503693510</v>
      </c>
      <c r="H48" s="33" t="n">
        <f aca="false">J47</f>
        <v>518279891</v>
      </c>
      <c r="I48" s="33" t="n">
        <f aca="false">H48*N48</f>
        <v>13161049.0975436</v>
      </c>
      <c r="J48" s="33" t="n">
        <f aca="false">H48+I48-F48</f>
        <v>503693510</v>
      </c>
      <c r="K48" s="33" t="n">
        <f aca="false">D48-I48</f>
        <v>0</v>
      </c>
      <c r="L48" s="33" t="n">
        <f aca="false">G48-J48</f>
        <v>0</v>
      </c>
      <c r="M48" s="33" t="n">
        <f aca="false">F48</f>
        <v>27747430.0975436</v>
      </c>
      <c r="N48" s="65" t="n">
        <f aca="false">$C$7</f>
        <v>0.0253937097041328</v>
      </c>
      <c r="O48" s="48" t="n">
        <f aca="false">IF(AND(B48&gt;=DATE(2026,1,1),B48&lt;=Resumen!$C$5),1,0)</f>
        <v>1</v>
      </c>
      <c r="P48" s="48" t="n">
        <f aca="false">IF(AND(B48&gt;Resumen!$C$5,B48&lt;=DATE(2027,7,31)),1,0)</f>
        <v>0</v>
      </c>
    </row>
    <row r="49" customFormat="false" ht="15" hidden="false" customHeight="false" outlineLevel="0" collapsed="false">
      <c r="A49" s="38" t="n">
        <v>37</v>
      </c>
      <c r="B49" s="27" t="n">
        <v>46260</v>
      </c>
      <c r="C49" s="39" t="n">
        <v>503693510</v>
      </c>
      <c r="D49" s="39" t="n">
        <v>12790646.7727957</v>
      </c>
      <c r="E49" s="39" t="n">
        <v>14586381</v>
      </c>
      <c r="F49" s="39" t="n">
        <v>27377027.7727957</v>
      </c>
      <c r="G49" s="39" t="n">
        <v>489107129</v>
      </c>
      <c r="H49" s="33" t="n">
        <f aca="false">J48</f>
        <v>503693510</v>
      </c>
      <c r="I49" s="33" t="n">
        <f aca="false">H49*N49</f>
        <v>12790646.7727957</v>
      </c>
      <c r="J49" s="33" t="n">
        <f aca="false">H49+I49-F49</f>
        <v>489107129</v>
      </c>
      <c r="K49" s="33" t="n">
        <f aca="false">D49-I49</f>
        <v>0</v>
      </c>
      <c r="L49" s="33" t="n">
        <f aca="false">G49-J49</f>
        <v>0</v>
      </c>
      <c r="M49" s="33" t="n">
        <f aca="false">F49</f>
        <v>27377027.7727957</v>
      </c>
      <c r="N49" s="65" t="n">
        <f aca="false">$C$7</f>
        <v>0.0253937097041328</v>
      </c>
      <c r="O49" s="48" t="n">
        <f aca="false">IF(AND(B49&gt;=DATE(2026,1,1),B49&lt;=Resumen!$C$5),1,0)</f>
        <v>0</v>
      </c>
      <c r="P49" s="48" t="n">
        <f aca="false">IF(AND(B49&gt;Resumen!$C$5,B49&lt;=DATE(2027,7,31)),1,0)</f>
        <v>1</v>
      </c>
    </row>
    <row r="50" customFormat="false" ht="15" hidden="false" customHeight="false" outlineLevel="0" collapsed="false">
      <c r="A50" s="38" t="n">
        <v>38</v>
      </c>
      <c r="B50" s="27" t="n">
        <v>46291</v>
      </c>
      <c r="C50" s="39" t="n">
        <v>489107129</v>
      </c>
      <c r="D50" s="39" t="n">
        <v>12420244.4480478</v>
      </c>
      <c r="E50" s="39" t="n">
        <v>14586381</v>
      </c>
      <c r="F50" s="39" t="n">
        <v>27006625.4480478</v>
      </c>
      <c r="G50" s="39" t="n">
        <v>474520748</v>
      </c>
      <c r="H50" s="33" t="n">
        <f aca="false">J49</f>
        <v>489107129</v>
      </c>
      <c r="I50" s="33" t="n">
        <f aca="false">H50*N50</f>
        <v>12420244.4480478</v>
      </c>
      <c r="J50" s="33" t="n">
        <f aca="false">H50+I50-F50</f>
        <v>474520748</v>
      </c>
      <c r="K50" s="33" t="n">
        <f aca="false">D50-I50</f>
        <v>0</v>
      </c>
      <c r="L50" s="33" t="n">
        <f aca="false">G50-J50</f>
        <v>0</v>
      </c>
      <c r="M50" s="33" t="n">
        <f aca="false">F50</f>
        <v>27006625.4480478</v>
      </c>
      <c r="N50" s="65" t="n">
        <f aca="false">$C$7</f>
        <v>0.0253937097041328</v>
      </c>
      <c r="O50" s="48" t="n">
        <f aca="false">IF(AND(B50&gt;=DATE(2026,1,1),B50&lt;=Resumen!$C$5),1,0)</f>
        <v>0</v>
      </c>
      <c r="P50" s="48" t="n">
        <f aca="false">IF(AND(B50&gt;Resumen!$C$5,B50&lt;=DATE(2027,7,31)),1,0)</f>
        <v>1</v>
      </c>
    </row>
    <row r="51" customFormat="false" ht="15" hidden="false" customHeight="false" outlineLevel="0" collapsed="false">
      <c r="A51" s="38" t="n">
        <v>39</v>
      </c>
      <c r="B51" s="27" t="n">
        <v>46321</v>
      </c>
      <c r="C51" s="39" t="n">
        <v>474520748</v>
      </c>
      <c r="D51" s="39" t="n">
        <v>12049842.1233</v>
      </c>
      <c r="E51" s="39" t="n">
        <v>14586381</v>
      </c>
      <c r="F51" s="39" t="n">
        <v>26636223.1233</v>
      </c>
      <c r="G51" s="39" t="n">
        <v>459934367</v>
      </c>
      <c r="H51" s="33" t="n">
        <f aca="false">J50</f>
        <v>474520748</v>
      </c>
      <c r="I51" s="33" t="n">
        <f aca="false">H51*N51</f>
        <v>12049842.1233</v>
      </c>
      <c r="J51" s="33" t="n">
        <f aca="false">H51+I51-F51</f>
        <v>459934367</v>
      </c>
      <c r="K51" s="33" t="n">
        <f aca="false">D51-I51</f>
        <v>0</v>
      </c>
      <c r="L51" s="33" t="n">
        <f aca="false">G51-J51</f>
        <v>0</v>
      </c>
      <c r="M51" s="33" t="n">
        <f aca="false">F51</f>
        <v>26636223.1233</v>
      </c>
      <c r="N51" s="65" t="n">
        <f aca="false">$C$7</f>
        <v>0.0253937097041328</v>
      </c>
      <c r="O51" s="48" t="n">
        <f aca="false">IF(AND(B51&gt;=DATE(2026,1,1),B51&lt;=Resumen!$C$5),1,0)</f>
        <v>0</v>
      </c>
      <c r="P51" s="48" t="n">
        <f aca="false">IF(AND(B51&gt;Resumen!$C$5,B51&lt;=DATE(2027,7,31)),1,0)</f>
        <v>1</v>
      </c>
    </row>
    <row r="52" customFormat="false" ht="15" hidden="false" customHeight="false" outlineLevel="0" collapsed="false">
      <c r="A52" s="38" t="n">
        <v>40</v>
      </c>
      <c r="B52" s="27" t="n">
        <v>46352</v>
      </c>
      <c r="C52" s="39" t="n">
        <v>459934367</v>
      </c>
      <c r="D52" s="39" t="n">
        <v>11679439.7985521</v>
      </c>
      <c r="E52" s="39" t="n">
        <v>14586381</v>
      </c>
      <c r="F52" s="39" t="n">
        <v>26265820.7985521</v>
      </c>
      <c r="G52" s="39" t="n">
        <v>445347986</v>
      </c>
      <c r="H52" s="33" t="n">
        <f aca="false">J51</f>
        <v>459934367</v>
      </c>
      <c r="I52" s="33" t="n">
        <f aca="false">H52*N52</f>
        <v>11679439.7985521</v>
      </c>
      <c r="J52" s="33" t="n">
        <f aca="false">H52+I52-F52</f>
        <v>445347986</v>
      </c>
      <c r="K52" s="33" t="n">
        <f aca="false">D52-I52</f>
        <v>0</v>
      </c>
      <c r="L52" s="33" t="n">
        <f aca="false">G52-J52</f>
        <v>0</v>
      </c>
      <c r="M52" s="33" t="n">
        <f aca="false">F52</f>
        <v>26265820.7985521</v>
      </c>
      <c r="N52" s="65" t="n">
        <f aca="false">$C$7</f>
        <v>0.0253937097041328</v>
      </c>
      <c r="O52" s="48" t="n">
        <f aca="false">IF(AND(B52&gt;=DATE(2026,1,1),B52&lt;=Resumen!$C$5),1,0)</f>
        <v>0</v>
      </c>
      <c r="P52" s="48" t="n">
        <f aca="false">IF(AND(B52&gt;Resumen!$C$5,B52&lt;=DATE(2027,7,31)),1,0)</f>
        <v>1</v>
      </c>
    </row>
    <row r="53" customFormat="false" ht="15" hidden="false" customHeight="false" outlineLevel="0" collapsed="false">
      <c r="A53" s="38" t="n">
        <v>41</v>
      </c>
      <c r="B53" s="27" t="n">
        <v>46382</v>
      </c>
      <c r="C53" s="39" t="n">
        <v>445347986</v>
      </c>
      <c r="D53" s="39" t="n">
        <v>11309037.4738042</v>
      </c>
      <c r="E53" s="39" t="n">
        <v>14586381</v>
      </c>
      <c r="F53" s="39" t="n">
        <v>25895418.4738042</v>
      </c>
      <c r="G53" s="39" t="n">
        <v>430761605</v>
      </c>
      <c r="H53" s="33" t="n">
        <f aca="false">J52</f>
        <v>445347986</v>
      </c>
      <c r="I53" s="33" t="n">
        <f aca="false">H53*N53</f>
        <v>11309037.4738042</v>
      </c>
      <c r="J53" s="33" t="n">
        <f aca="false">H53+I53-F53</f>
        <v>430761605</v>
      </c>
      <c r="K53" s="33" t="n">
        <f aca="false">D53-I53</f>
        <v>0</v>
      </c>
      <c r="L53" s="33" t="n">
        <f aca="false">G53-J53</f>
        <v>0</v>
      </c>
      <c r="M53" s="33" t="n">
        <f aca="false">F53</f>
        <v>25895418.4738042</v>
      </c>
      <c r="N53" s="65" t="n">
        <f aca="false">$C$7</f>
        <v>0.0253937097041328</v>
      </c>
      <c r="O53" s="48" t="n">
        <f aca="false">IF(AND(B53&gt;=DATE(2026,1,1),B53&lt;=Resumen!$C$5),1,0)</f>
        <v>0</v>
      </c>
      <c r="P53" s="48" t="n">
        <f aca="false">IF(AND(B53&gt;Resumen!$C$5,B53&lt;=DATE(2027,7,31)),1,0)</f>
        <v>1</v>
      </c>
    </row>
    <row r="54" customFormat="false" ht="15" hidden="false" customHeight="false" outlineLevel="0" collapsed="false">
      <c r="A54" s="38" t="n">
        <v>42</v>
      </c>
      <c r="B54" s="27" t="n">
        <v>46413</v>
      </c>
      <c r="C54" s="39" t="n">
        <v>430761605</v>
      </c>
      <c r="D54" s="39" t="n">
        <v>10938635.1490563</v>
      </c>
      <c r="E54" s="39" t="n">
        <v>14586381</v>
      </c>
      <c r="F54" s="39" t="n">
        <v>25525016.1490563</v>
      </c>
      <c r="G54" s="39" t="n">
        <v>416175224</v>
      </c>
      <c r="H54" s="33" t="n">
        <f aca="false">J53</f>
        <v>430761605</v>
      </c>
      <c r="I54" s="33" t="n">
        <f aca="false">H54*N54</f>
        <v>10938635.1490563</v>
      </c>
      <c r="J54" s="33" t="n">
        <f aca="false">H54+I54-F54</f>
        <v>416175224</v>
      </c>
      <c r="K54" s="33" t="n">
        <f aca="false">D54-I54</f>
        <v>0</v>
      </c>
      <c r="L54" s="33" t="n">
        <f aca="false">G54-J54</f>
        <v>0</v>
      </c>
      <c r="M54" s="33" t="n">
        <f aca="false">F54</f>
        <v>25525016.1490563</v>
      </c>
      <c r="N54" s="65" t="n">
        <f aca="false">$C$7</f>
        <v>0.0253937097041328</v>
      </c>
      <c r="O54" s="48" t="n">
        <f aca="false">IF(AND(B54&gt;=DATE(2026,1,1),B54&lt;=Resumen!$C$5),1,0)</f>
        <v>0</v>
      </c>
      <c r="P54" s="48" t="n">
        <f aca="false">IF(AND(B54&gt;Resumen!$C$5,B54&lt;=DATE(2027,7,31)),1,0)</f>
        <v>1</v>
      </c>
    </row>
    <row r="55" customFormat="false" ht="15" hidden="false" customHeight="false" outlineLevel="0" collapsed="false">
      <c r="A55" s="38" t="n">
        <v>43</v>
      </c>
      <c r="B55" s="27" t="n">
        <v>46444</v>
      </c>
      <c r="C55" s="39" t="n">
        <v>416175224</v>
      </c>
      <c r="D55" s="39" t="n">
        <v>10568232.8243084</v>
      </c>
      <c r="E55" s="39" t="n">
        <v>14586381</v>
      </c>
      <c r="F55" s="39" t="n">
        <v>25154613.8243084</v>
      </c>
      <c r="G55" s="39" t="n">
        <v>401588843</v>
      </c>
      <c r="H55" s="33" t="n">
        <f aca="false">J54</f>
        <v>416175224</v>
      </c>
      <c r="I55" s="33" t="n">
        <f aca="false">H55*N55</f>
        <v>10568232.8243084</v>
      </c>
      <c r="J55" s="33" t="n">
        <f aca="false">H55+I55-F55</f>
        <v>401588843</v>
      </c>
      <c r="K55" s="33" t="n">
        <f aca="false">D55-I55</f>
        <v>0</v>
      </c>
      <c r="L55" s="33" t="n">
        <f aca="false">G55-J55</f>
        <v>0</v>
      </c>
      <c r="M55" s="33" t="n">
        <f aca="false">F55</f>
        <v>25154613.8243084</v>
      </c>
      <c r="N55" s="65" t="n">
        <f aca="false">$C$7</f>
        <v>0.0253937097041328</v>
      </c>
      <c r="O55" s="48" t="n">
        <f aca="false">IF(AND(B55&gt;=DATE(2026,1,1),B55&lt;=Resumen!$C$5),1,0)</f>
        <v>0</v>
      </c>
      <c r="P55" s="48" t="n">
        <f aca="false">IF(AND(B55&gt;Resumen!$C$5,B55&lt;=DATE(2027,7,31)),1,0)</f>
        <v>1</v>
      </c>
    </row>
    <row r="56" customFormat="false" ht="15" hidden="false" customHeight="false" outlineLevel="0" collapsed="false">
      <c r="A56" s="38" t="n">
        <v>44</v>
      </c>
      <c r="B56" s="27" t="n">
        <v>46472</v>
      </c>
      <c r="C56" s="39" t="n">
        <v>401588843</v>
      </c>
      <c r="D56" s="39" t="n">
        <v>10197830.4995606</v>
      </c>
      <c r="E56" s="39" t="n">
        <v>14586381</v>
      </c>
      <c r="F56" s="39" t="n">
        <v>24784211.4995606</v>
      </c>
      <c r="G56" s="39" t="n">
        <v>387002462</v>
      </c>
      <c r="H56" s="33" t="n">
        <f aca="false">J55</f>
        <v>401588843</v>
      </c>
      <c r="I56" s="33" t="n">
        <f aca="false">H56*N56</f>
        <v>10197830.4995606</v>
      </c>
      <c r="J56" s="33" t="n">
        <f aca="false">H56+I56-F56</f>
        <v>387002462</v>
      </c>
      <c r="K56" s="33" t="n">
        <f aca="false">D56-I56</f>
        <v>0</v>
      </c>
      <c r="L56" s="33" t="n">
        <f aca="false">G56-J56</f>
        <v>0</v>
      </c>
      <c r="M56" s="33" t="n">
        <f aca="false">F56</f>
        <v>24784211.4995606</v>
      </c>
      <c r="N56" s="65" t="n">
        <f aca="false">$C$7</f>
        <v>0.0253937097041328</v>
      </c>
      <c r="O56" s="48" t="n">
        <f aca="false">IF(AND(B56&gt;=DATE(2026,1,1),B56&lt;=Resumen!$C$5),1,0)</f>
        <v>0</v>
      </c>
      <c r="P56" s="48" t="n">
        <f aca="false">IF(AND(B56&gt;Resumen!$C$5,B56&lt;=DATE(2027,7,31)),1,0)</f>
        <v>1</v>
      </c>
    </row>
    <row r="57" customFormat="false" ht="15" hidden="false" customHeight="false" outlineLevel="0" collapsed="false">
      <c r="A57" s="38" t="n">
        <v>45</v>
      </c>
      <c r="B57" s="27" t="n">
        <v>46503</v>
      </c>
      <c r="C57" s="39" t="n">
        <v>387002462</v>
      </c>
      <c r="D57" s="39" t="n">
        <v>9827428.17481268</v>
      </c>
      <c r="E57" s="39" t="n">
        <v>14586381</v>
      </c>
      <c r="F57" s="39" t="n">
        <v>24413809.1748127</v>
      </c>
      <c r="G57" s="39" t="n">
        <v>372416081</v>
      </c>
      <c r="H57" s="33" t="n">
        <f aca="false">J56</f>
        <v>387002462</v>
      </c>
      <c r="I57" s="33" t="n">
        <f aca="false">H57*N57</f>
        <v>9827428.17481268</v>
      </c>
      <c r="J57" s="33" t="n">
        <f aca="false">H57+I57-F57</f>
        <v>372416081</v>
      </c>
      <c r="K57" s="33" t="n">
        <f aca="false">D57-I57</f>
        <v>0</v>
      </c>
      <c r="L57" s="33" t="n">
        <f aca="false">G57-J57</f>
        <v>0</v>
      </c>
      <c r="M57" s="33" t="n">
        <f aca="false">F57</f>
        <v>24413809.1748127</v>
      </c>
      <c r="N57" s="65" t="n">
        <f aca="false">$C$7</f>
        <v>0.0253937097041328</v>
      </c>
      <c r="O57" s="48" t="n">
        <f aca="false">IF(AND(B57&gt;=DATE(2026,1,1),B57&lt;=Resumen!$C$5),1,0)</f>
        <v>0</v>
      </c>
      <c r="P57" s="48" t="n">
        <f aca="false">IF(AND(B57&gt;Resumen!$C$5,B57&lt;=DATE(2027,7,31)),1,0)</f>
        <v>1</v>
      </c>
    </row>
    <row r="58" customFormat="false" ht="15" hidden="false" customHeight="false" outlineLevel="0" collapsed="false">
      <c r="A58" s="38" t="n">
        <v>46</v>
      </c>
      <c r="B58" s="27" t="n">
        <v>46533</v>
      </c>
      <c r="C58" s="39" t="n">
        <v>372416081</v>
      </c>
      <c r="D58" s="39" t="n">
        <v>9457025.85006481</v>
      </c>
      <c r="E58" s="39" t="n">
        <v>14586381</v>
      </c>
      <c r="F58" s="39" t="n">
        <v>24043406.8500648</v>
      </c>
      <c r="G58" s="39" t="n">
        <v>357829700</v>
      </c>
      <c r="H58" s="33" t="n">
        <f aca="false">J57</f>
        <v>372416081</v>
      </c>
      <c r="I58" s="33" t="n">
        <f aca="false">H58*N58</f>
        <v>9457025.85006481</v>
      </c>
      <c r="J58" s="33" t="n">
        <f aca="false">H58+I58-F58</f>
        <v>357829700</v>
      </c>
      <c r="K58" s="33" t="n">
        <f aca="false">D58-I58</f>
        <v>0</v>
      </c>
      <c r="L58" s="33" t="n">
        <f aca="false">G58-J58</f>
        <v>0</v>
      </c>
      <c r="M58" s="33" t="n">
        <f aca="false">F58</f>
        <v>24043406.8500648</v>
      </c>
      <c r="N58" s="65" t="n">
        <f aca="false">$C$7</f>
        <v>0.0253937097041328</v>
      </c>
      <c r="O58" s="48" t="n">
        <f aca="false">IF(AND(B58&gt;=DATE(2026,1,1),B58&lt;=Resumen!$C$5),1,0)</f>
        <v>0</v>
      </c>
      <c r="P58" s="48" t="n">
        <f aca="false">IF(AND(B58&gt;Resumen!$C$5,B58&lt;=DATE(2027,7,31)),1,0)</f>
        <v>1</v>
      </c>
    </row>
    <row r="59" customFormat="false" ht="15" hidden="false" customHeight="false" outlineLevel="0" collapsed="false">
      <c r="A59" s="38" t="n">
        <v>47</v>
      </c>
      <c r="B59" s="27" t="n">
        <v>46564</v>
      </c>
      <c r="C59" s="39" t="n">
        <v>357829700</v>
      </c>
      <c r="D59" s="39" t="n">
        <v>9086623.52531693</v>
      </c>
      <c r="E59" s="39" t="n">
        <v>14586381</v>
      </c>
      <c r="F59" s="39" t="n">
        <v>23673004.5253169</v>
      </c>
      <c r="G59" s="39" t="n">
        <v>343243319</v>
      </c>
      <c r="H59" s="33" t="n">
        <f aca="false">J58</f>
        <v>357829700</v>
      </c>
      <c r="I59" s="33" t="n">
        <f aca="false">H59*N59</f>
        <v>9086623.52531693</v>
      </c>
      <c r="J59" s="33" t="n">
        <f aca="false">H59+I59-F59</f>
        <v>343243319</v>
      </c>
      <c r="K59" s="33" t="n">
        <f aca="false">D59-I59</f>
        <v>0</v>
      </c>
      <c r="L59" s="33" t="n">
        <f aca="false">G59-J59</f>
        <v>0</v>
      </c>
      <c r="M59" s="33" t="n">
        <f aca="false">F59</f>
        <v>23673004.5253169</v>
      </c>
      <c r="N59" s="65" t="n">
        <f aca="false">$C$7</f>
        <v>0.0253937097041328</v>
      </c>
      <c r="O59" s="48" t="n">
        <f aca="false">IF(AND(B59&gt;=DATE(2026,1,1),B59&lt;=Resumen!$C$5),1,0)</f>
        <v>0</v>
      </c>
      <c r="P59" s="48" t="n">
        <f aca="false">IF(AND(B59&gt;Resumen!$C$5,B59&lt;=DATE(2027,7,31)),1,0)</f>
        <v>1</v>
      </c>
    </row>
    <row r="60" customFormat="false" ht="15" hidden="false" customHeight="false" outlineLevel="0" collapsed="false">
      <c r="A60" s="38" t="n">
        <v>48</v>
      </c>
      <c r="B60" s="27" t="n">
        <v>46594</v>
      </c>
      <c r="C60" s="39" t="n">
        <v>343243319</v>
      </c>
      <c r="D60" s="39" t="n">
        <v>8716221.20056905</v>
      </c>
      <c r="E60" s="39" t="n">
        <v>14586381</v>
      </c>
      <c r="F60" s="39" t="n">
        <v>23302602.2005691</v>
      </c>
      <c r="G60" s="39" t="n">
        <v>328656938</v>
      </c>
      <c r="H60" s="33" t="n">
        <f aca="false">J59</f>
        <v>343243319</v>
      </c>
      <c r="I60" s="33" t="n">
        <f aca="false">H60*N60</f>
        <v>8716221.20056905</v>
      </c>
      <c r="J60" s="33" t="n">
        <f aca="false">H60+I60-F60</f>
        <v>328656938</v>
      </c>
      <c r="K60" s="33" t="n">
        <f aca="false">D60-I60</f>
        <v>0</v>
      </c>
      <c r="L60" s="33" t="n">
        <f aca="false">G60-J60</f>
        <v>0</v>
      </c>
      <c r="M60" s="33" t="n">
        <f aca="false">F60</f>
        <v>23302602.2005691</v>
      </c>
      <c r="N60" s="65" t="n">
        <f aca="false">$C$7</f>
        <v>0.0253937097041328</v>
      </c>
      <c r="O60" s="48" t="n">
        <f aca="false">IF(AND(B60&gt;=DATE(2026,1,1),B60&lt;=Resumen!$C$5),1,0)</f>
        <v>0</v>
      </c>
      <c r="P60" s="48" t="n">
        <f aca="false">IF(AND(B60&gt;Resumen!$C$5,B60&lt;=DATE(2027,7,31)),1,0)</f>
        <v>1</v>
      </c>
    </row>
    <row r="61" customFormat="false" ht="15" hidden="false" customHeight="false" outlineLevel="0" collapsed="false">
      <c r="A61" s="38" t="n">
        <v>49</v>
      </c>
      <c r="B61" s="27" t="n">
        <v>46625</v>
      </c>
      <c r="C61" s="39" t="n">
        <v>328656938</v>
      </c>
      <c r="D61" s="39" t="n">
        <v>8345818.87582117</v>
      </c>
      <c r="E61" s="39" t="n">
        <v>14586381</v>
      </c>
      <c r="F61" s="39" t="n">
        <v>22932199.8758212</v>
      </c>
      <c r="G61" s="39" t="n">
        <v>314070557</v>
      </c>
      <c r="H61" s="33" t="n">
        <f aca="false">J60</f>
        <v>328656938</v>
      </c>
      <c r="I61" s="33" t="n">
        <f aca="false">H61*N61</f>
        <v>8345818.87582117</v>
      </c>
      <c r="J61" s="33" t="n">
        <f aca="false">H61+I61-F61</f>
        <v>314070557</v>
      </c>
      <c r="K61" s="33" t="n">
        <f aca="false">D61-I61</f>
        <v>0</v>
      </c>
      <c r="L61" s="33" t="n">
        <f aca="false">G61-J61</f>
        <v>0</v>
      </c>
      <c r="M61" s="33" t="n">
        <f aca="false">F61</f>
        <v>22932199.8758212</v>
      </c>
      <c r="N61" s="65" t="n">
        <f aca="false">$C$7</f>
        <v>0.0253937097041328</v>
      </c>
      <c r="O61" s="48" t="n">
        <f aca="false">IF(AND(B61&gt;=DATE(2026,1,1),B61&lt;=Resumen!$C$5),1,0)</f>
        <v>0</v>
      </c>
      <c r="P61" s="48" t="n">
        <f aca="false">IF(AND(B61&gt;Resumen!$C$5,B61&lt;=DATE(2027,7,31)),1,0)</f>
        <v>0</v>
      </c>
    </row>
    <row r="62" customFormat="false" ht="15" hidden="false" customHeight="false" outlineLevel="0" collapsed="false">
      <c r="A62" s="38" t="n">
        <v>50</v>
      </c>
      <c r="B62" s="27" t="n">
        <v>46656</v>
      </c>
      <c r="C62" s="39" t="n">
        <v>314070557</v>
      </c>
      <c r="D62" s="39" t="n">
        <v>7975416.55107329</v>
      </c>
      <c r="E62" s="39" t="n">
        <v>14586381</v>
      </c>
      <c r="F62" s="39" t="n">
        <v>22561797.5510733</v>
      </c>
      <c r="G62" s="39" t="n">
        <v>299484176</v>
      </c>
      <c r="H62" s="33" t="n">
        <f aca="false">J61</f>
        <v>314070557</v>
      </c>
      <c r="I62" s="33" t="n">
        <f aca="false">H62*N62</f>
        <v>7975416.55107329</v>
      </c>
      <c r="J62" s="33" t="n">
        <f aca="false">H62+I62-F62</f>
        <v>299484176</v>
      </c>
      <c r="K62" s="33" t="n">
        <f aca="false">D62-I62</f>
        <v>0</v>
      </c>
      <c r="L62" s="33" t="n">
        <f aca="false">G62-J62</f>
        <v>0</v>
      </c>
      <c r="M62" s="33" t="n">
        <f aca="false">F62</f>
        <v>22561797.5510733</v>
      </c>
      <c r="N62" s="65" t="n">
        <f aca="false">$C$7</f>
        <v>0.0253937097041328</v>
      </c>
      <c r="O62" s="48" t="n">
        <f aca="false">IF(AND(B62&gt;=DATE(2026,1,1),B62&lt;=Resumen!$C$5),1,0)</f>
        <v>0</v>
      </c>
      <c r="P62" s="48" t="n">
        <f aca="false">IF(AND(B62&gt;Resumen!$C$5,B62&lt;=DATE(2027,7,31)),1,0)</f>
        <v>0</v>
      </c>
    </row>
    <row r="63" customFormat="false" ht="15" hidden="false" customHeight="false" outlineLevel="0" collapsed="false">
      <c r="A63" s="38" t="n">
        <v>51</v>
      </c>
      <c r="B63" s="27" t="n">
        <v>46686</v>
      </c>
      <c r="C63" s="39" t="n">
        <v>299484176</v>
      </c>
      <c r="D63" s="39" t="n">
        <v>7605014.22632541</v>
      </c>
      <c r="E63" s="39" t="n">
        <v>14586381</v>
      </c>
      <c r="F63" s="39" t="n">
        <v>22191395.2263254</v>
      </c>
      <c r="G63" s="39" t="n">
        <v>284897795</v>
      </c>
      <c r="H63" s="33" t="n">
        <f aca="false">J62</f>
        <v>299484176</v>
      </c>
      <c r="I63" s="33" t="n">
        <f aca="false">H63*N63</f>
        <v>7605014.22632542</v>
      </c>
      <c r="J63" s="33" t="n">
        <f aca="false">H63+I63-F63</f>
        <v>284897795</v>
      </c>
      <c r="K63" s="33" t="n">
        <f aca="false">D63-I63</f>
        <v>0</v>
      </c>
      <c r="L63" s="33" t="n">
        <f aca="false">G63-J63</f>
        <v>0</v>
      </c>
      <c r="M63" s="33" t="n">
        <f aca="false">F63</f>
        <v>22191395.2263254</v>
      </c>
      <c r="N63" s="65" t="n">
        <f aca="false">$C$7</f>
        <v>0.0253937097041328</v>
      </c>
      <c r="O63" s="48" t="n">
        <f aca="false">IF(AND(B63&gt;=DATE(2026,1,1),B63&lt;=Resumen!$C$5),1,0)</f>
        <v>0</v>
      </c>
      <c r="P63" s="48" t="n">
        <f aca="false">IF(AND(B63&gt;Resumen!$C$5,B63&lt;=DATE(2027,7,31)),1,0)</f>
        <v>0</v>
      </c>
    </row>
    <row r="64" customFormat="false" ht="15" hidden="false" customHeight="false" outlineLevel="0" collapsed="false">
      <c r="A64" s="38" t="n">
        <v>52</v>
      </c>
      <c r="B64" s="27" t="n">
        <v>46717</v>
      </c>
      <c r="C64" s="39" t="n">
        <v>284897795</v>
      </c>
      <c r="D64" s="39" t="n">
        <v>7234611.90157754</v>
      </c>
      <c r="E64" s="39" t="n">
        <v>14586381</v>
      </c>
      <c r="F64" s="39" t="n">
        <v>21820992.9015775</v>
      </c>
      <c r="G64" s="39" t="n">
        <v>270311414</v>
      </c>
      <c r="H64" s="33" t="n">
        <f aca="false">J63</f>
        <v>284897795</v>
      </c>
      <c r="I64" s="33" t="n">
        <f aca="false">H64*N64</f>
        <v>7234611.90157754</v>
      </c>
      <c r="J64" s="33" t="n">
        <f aca="false">H64+I64-F64</f>
        <v>270311414</v>
      </c>
      <c r="K64" s="33" t="n">
        <f aca="false">D64-I64</f>
        <v>0</v>
      </c>
      <c r="L64" s="33" t="n">
        <f aca="false">G64-J64</f>
        <v>0</v>
      </c>
      <c r="M64" s="33" t="n">
        <f aca="false">F64</f>
        <v>21820992.9015775</v>
      </c>
      <c r="N64" s="65" t="n">
        <f aca="false">$C$7</f>
        <v>0.0253937097041328</v>
      </c>
      <c r="O64" s="48" t="n">
        <f aca="false">IF(AND(B64&gt;=DATE(2026,1,1),B64&lt;=Resumen!$C$5),1,0)</f>
        <v>0</v>
      </c>
      <c r="P64" s="48" t="n">
        <f aca="false">IF(AND(B64&gt;Resumen!$C$5,B64&lt;=DATE(2027,7,31)),1,0)</f>
        <v>0</v>
      </c>
    </row>
    <row r="65" customFormat="false" ht="15" hidden="false" customHeight="false" outlineLevel="0" collapsed="false">
      <c r="A65" s="38" t="n">
        <v>53</v>
      </c>
      <c r="B65" s="27" t="n">
        <v>46747</v>
      </c>
      <c r="C65" s="39" t="n">
        <v>270311414</v>
      </c>
      <c r="D65" s="39" t="n">
        <v>6864209.57682966</v>
      </c>
      <c r="E65" s="39" t="n">
        <v>14586381</v>
      </c>
      <c r="F65" s="39" t="n">
        <v>21450590.5768297</v>
      </c>
      <c r="G65" s="39" t="n">
        <v>255725033</v>
      </c>
      <c r="H65" s="33" t="n">
        <f aca="false">J64</f>
        <v>270311414</v>
      </c>
      <c r="I65" s="33" t="n">
        <f aca="false">H65*N65</f>
        <v>6864209.57682966</v>
      </c>
      <c r="J65" s="33" t="n">
        <f aca="false">H65+I65-F65</f>
        <v>255725033</v>
      </c>
      <c r="K65" s="33" t="n">
        <f aca="false">D65-I65</f>
        <v>0</v>
      </c>
      <c r="L65" s="33" t="n">
        <f aca="false">G65-J65</f>
        <v>0</v>
      </c>
      <c r="M65" s="33" t="n">
        <f aca="false">F65</f>
        <v>21450590.5768297</v>
      </c>
      <c r="N65" s="65" t="n">
        <f aca="false">$C$7</f>
        <v>0.0253937097041328</v>
      </c>
      <c r="O65" s="48" t="n">
        <f aca="false">IF(AND(B65&gt;=DATE(2026,1,1),B65&lt;=Resumen!$C$5),1,0)</f>
        <v>0</v>
      </c>
      <c r="P65" s="48" t="n">
        <f aca="false">IF(AND(B65&gt;Resumen!$C$5,B65&lt;=DATE(2027,7,31)),1,0)</f>
        <v>0</v>
      </c>
    </row>
    <row r="66" customFormat="false" ht="15" hidden="false" customHeight="false" outlineLevel="0" collapsed="false">
      <c r="A66" s="38" t="n">
        <v>54</v>
      </c>
      <c r="B66" s="27" t="n">
        <v>46778</v>
      </c>
      <c r="C66" s="39" t="n">
        <v>255725033</v>
      </c>
      <c r="D66" s="39" t="n">
        <v>6493807.25208178</v>
      </c>
      <c r="E66" s="39" t="n">
        <v>14586381</v>
      </c>
      <c r="F66" s="39" t="n">
        <v>21080188.2520818</v>
      </c>
      <c r="G66" s="39" t="n">
        <v>241138652</v>
      </c>
      <c r="H66" s="33" t="n">
        <f aca="false">J65</f>
        <v>255725033</v>
      </c>
      <c r="I66" s="33" t="n">
        <f aca="false">H66*N66</f>
        <v>6493807.25208178</v>
      </c>
      <c r="J66" s="33" t="n">
        <f aca="false">H66+I66-F66</f>
        <v>241138652</v>
      </c>
      <c r="K66" s="33" t="n">
        <f aca="false">D66-I66</f>
        <v>0</v>
      </c>
      <c r="L66" s="33" t="n">
        <f aca="false">G66-J66</f>
        <v>0</v>
      </c>
      <c r="M66" s="33" t="n">
        <f aca="false">F66</f>
        <v>21080188.2520818</v>
      </c>
      <c r="N66" s="65" t="n">
        <f aca="false">$C$7</f>
        <v>0.0253937097041328</v>
      </c>
      <c r="O66" s="48" t="n">
        <f aca="false">IF(AND(B66&gt;=DATE(2026,1,1),B66&lt;=Resumen!$C$5),1,0)</f>
        <v>0</v>
      </c>
      <c r="P66" s="48" t="n">
        <f aca="false">IF(AND(B66&gt;Resumen!$C$5,B66&lt;=DATE(2027,7,31)),1,0)</f>
        <v>0</v>
      </c>
    </row>
    <row r="67" customFormat="false" ht="15" hidden="false" customHeight="false" outlineLevel="0" collapsed="false">
      <c r="A67" s="38" t="n">
        <v>55</v>
      </c>
      <c r="B67" s="27" t="n">
        <v>46809</v>
      </c>
      <c r="C67" s="39" t="n">
        <v>241138652</v>
      </c>
      <c r="D67" s="39" t="n">
        <v>6123404.9273339</v>
      </c>
      <c r="E67" s="39" t="n">
        <v>14586381</v>
      </c>
      <c r="F67" s="39" t="n">
        <v>20709785.9273339</v>
      </c>
      <c r="G67" s="39" t="n">
        <v>226552271</v>
      </c>
      <c r="H67" s="33" t="n">
        <f aca="false">J66</f>
        <v>241138652</v>
      </c>
      <c r="I67" s="33" t="n">
        <f aca="false">H67*N67</f>
        <v>6123404.9273339</v>
      </c>
      <c r="J67" s="33" t="n">
        <f aca="false">H67+I67-F67</f>
        <v>226552271</v>
      </c>
      <c r="K67" s="33" t="n">
        <f aca="false">D67-I67</f>
        <v>0</v>
      </c>
      <c r="L67" s="33" t="n">
        <f aca="false">G67-J67</f>
        <v>0</v>
      </c>
      <c r="M67" s="33" t="n">
        <f aca="false">F67</f>
        <v>20709785.9273339</v>
      </c>
      <c r="N67" s="65" t="n">
        <f aca="false">$C$7</f>
        <v>0.0253937097041328</v>
      </c>
      <c r="O67" s="48" t="n">
        <f aca="false">IF(AND(B67&gt;=DATE(2026,1,1),B67&lt;=Resumen!$C$5),1,0)</f>
        <v>0</v>
      </c>
      <c r="P67" s="48" t="n">
        <f aca="false">IF(AND(B67&gt;Resumen!$C$5,B67&lt;=DATE(2027,7,31)),1,0)</f>
        <v>0</v>
      </c>
    </row>
    <row r="68" customFormat="false" ht="15" hidden="false" customHeight="false" outlineLevel="0" collapsed="false">
      <c r="A68" s="38" t="n">
        <v>56</v>
      </c>
      <c r="B68" s="27" t="n">
        <v>46838</v>
      </c>
      <c r="C68" s="39" t="n">
        <v>226552271</v>
      </c>
      <c r="D68" s="39" t="n">
        <v>5753002.60258602</v>
      </c>
      <c r="E68" s="39" t="n">
        <v>14586381</v>
      </c>
      <c r="F68" s="39" t="n">
        <v>20339383.602586</v>
      </c>
      <c r="G68" s="39" t="n">
        <v>211965890</v>
      </c>
      <c r="H68" s="33" t="n">
        <f aca="false">J67</f>
        <v>226552271</v>
      </c>
      <c r="I68" s="33" t="n">
        <f aca="false">H68*N68</f>
        <v>5753002.60258602</v>
      </c>
      <c r="J68" s="33" t="n">
        <f aca="false">H68+I68-F68</f>
        <v>211965890</v>
      </c>
      <c r="K68" s="33" t="n">
        <f aca="false">D68-I68</f>
        <v>0</v>
      </c>
      <c r="L68" s="33" t="n">
        <f aca="false">G68-J68</f>
        <v>0</v>
      </c>
      <c r="M68" s="33" t="n">
        <f aca="false">F68</f>
        <v>20339383.602586</v>
      </c>
      <c r="N68" s="65" t="n">
        <f aca="false">$C$7</f>
        <v>0.0253937097041328</v>
      </c>
      <c r="O68" s="48" t="n">
        <f aca="false">IF(AND(B68&gt;=DATE(2026,1,1),B68&lt;=Resumen!$C$5),1,0)</f>
        <v>0</v>
      </c>
      <c r="P68" s="48" t="n">
        <f aca="false">IF(AND(B68&gt;Resumen!$C$5,B68&lt;=DATE(2027,7,31)),1,0)</f>
        <v>0</v>
      </c>
    </row>
    <row r="69" customFormat="false" ht="15" hidden="false" customHeight="false" outlineLevel="0" collapsed="false">
      <c r="A69" s="38" t="n">
        <v>57</v>
      </c>
      <c r="B69" s="27" t="n">
        <v>46869</v>
      </c>
      <c r="C69" s="39" t="n">
        <v>211965890</v>
      </c>
      <c r="D69" s="39" t="n">
        <v>5382600.27783814</v>
      </c>
      <c r="E69" s="39" t="n">
        <v>14586381</v>
      </c>
      <c r="F69" s="39" t="n">
        <v>19968981.2778381</v>
      </c>
      <c r="G69" s="39" t="n">
        <v>197379509</v>
      </c>
      <c r="H69" s="33" t="n">
        <f aca="false">J68</f>
        <v>211965890</v>
      </c>
      <c r="I69" s="33" t="n">
        <f aca="false">H69*N69</f>
        <v>5382600.27783815</v>
      </c>
      <c r="J69" s="33" t="n">
        <f aca="false">H69+I69-F69</f>
        <v>197379509</v>
      </c>
      <c r="K69" s="33" t="n">
        <f aca="false">D69-I69</f>
        <v>0</v>
      </c>
      <c r="L69" s="33" t="n">
        <f aca="false">G69-J69</f>
        <v>0</v>
      </c>
      <c r="M69" s="33" t="n">
        <f aca="false">F69</f>
        <v>19968981.2778381</v>
      </c>
      <c r="N69" s="65" t="n">
        <f aca="false">$C$7</f>
        <v>0.0253937097041328</v>
      </c>
      <c r="O69" s="48" t="n">
        <f aca="false">IF(AND(B69&gt;=DATE(2026,1,1),B69&lt;=Resumen!$C$5),1,0)</f>
        <v>0</v>
      </c>
      <c r="P69" s="48" t="n">
        <f aca="false">IF(AND(B69&gt;Resumen!$C$5,B69&lt;=DATE(2027,7,31)),1,0)</f>
        <v>0</v>
      </c>
    </row>
    <row r="70" customFormat="false" ht="15" hidden="false" customHeight="false" outlineLevel="0" collapsed="false">
      <c r="A70" s="38" t="n">
        <v>58</v>
      </c>
      <c r="B70" s="27" t="n">
        <v>46899</v>
      </c>
      <c r="C70" s="39" t="n">
        <v>197379509</v>
      </c>
      <c r="D70" s="39" t="n">
        <v>5012197.95309027</v>
      </c>
      <c r="E70" s="39" t="n">
        <v>14586381</v>
      </c>
      <c r="F70" s="39" t="n">
        <v>19598578.9530903</v>
      </c>
      <c r="G70" s="39" t="n">
        <v>182793128</v>
      </c>
      <c r="H70" s="33" t="n">
        <f aca="false">J69</f>
        <v>197379509</v>
      </c>
      <c r="I70" s="33" t="n">
        <f aca="false">H70*N70</f>
        <v>5012197.95309027</v>
      </c>
      <c r="J70" s="33" t="n">
        <f aca="false">H70+I70-F70</f>
        <v>182793128</v>
      </c>
      <c r="K70" s="33" t="n">
        <f aca="false">D70-I70</f>
        <v>0</v>
      </c>
      <c r="L70" s="33" t="n">
        <f aca="false">G70-J70</f>
        <v>0</v>
      </c>
      <c r="M70" s="33" t="n">
        <f aca="false">F70</f>
        <v>19598578.9530903</v>
      </c>
      <c r="N70" s="65" t="n">
        <f aca="false">$C$7</f>
        <v>0.0253937097041328</v>
      </c>
      <c r="O70" s="48" t="n">
        <f aca="false">IF(AND(B70&gt;=DATE(2026,1,1),B70&lt;=Resumen!$C$5),1,0)</f>
        <v>0</v>
      </c>
      <c r="P70" s="48" t="n">
        <f aca="false">IF(AND(B70&gt;Resumen!$C$5,B70&lt;=DATE(2027,7,31)),1,0)</f>
        <v>0</v>
      </c>
    </row>
    <row r="71" customFormat="false" ht="15" hidden="false" customHeight="false" outlineLevel="0" collapsed="false">
      <c r="A71" s="38" t="n">
        <v>59</v>
      </c>
      <c r="B71" s="27" t="n">
        <v>46930</v>
      </c>
      <c r="C71" s="39" t="n">
        <v>182793128</v>
      </c>
      <c r="D71" s="39" t="n">
        <v>4641795.62834239</v>
      </c>
      <c r="E71" s="39" t="n">
        <v>14586381</v>
      </c>
      <c r="F71" s="39" t="n">
        <v>19228176.6283424</v>
      </c>
      <c r="G71" s="39" t="n">
        <v>168206747</v>
      </c>
      <c r="H71" s="33" t="n">
        <f aca="false">J70</f>
        <v>182793128</v>
      </c>
      <c r="I71" s="33" t="n">
        <f aca="false">H71*N71</f>
        <v>4641795.62834239</v>
      </c>
      <c r="J71" s="33" t="n">
        <f aca="false">H71+I71-F71</f>
        <v>168206747</v>
      </c>
      <c r="K71" s="33" t="n">
        <f aca="false">D71-I71</f>
        <v>0</v>
      </c>
      <c r="L71" s="33" t="n">
        <f aca="false">G71-J71</f>
        <v>0</v>
      </c>
      <c r="M71" s="33" t="n">
        <f aca="false">F71</f>
        <v>19228176.6283424</v>
      </c>
      <c r="N71" s="65" t="n">
        <f aca="false">$C$7</f>
        <v>0.0253937097041328</v>
      </c>
      <c r="O71" s="48" t="n">
        <f aca="false">IF(AND(B71&gt;=DATE(2026,1,1),B71&lt;=Resumen!$C$5),1,0)</f>
        <v>0</v>
      </c>
      <c r="P71" s="48" t="n">
        <f aca="false">IF(AND(B71&gt;Resumen!$C$5,B71&lt;=DATE(2027,7,31)),1,0)</f>
        <v>0</v>
      </c>
    </row>
    <row r="72" customFormat="false" ht="15" hidden="false" customHeight="false" outlineLevel="0" collapsed="false">
      <c r="A72" s="38" t="n">
        <v>60</v>
      </c>
      <c r="B72" s="27" t="n">
        <v>46960</v>
      </c>
      <c r="C72" s="39" t="n">
        <v>168206747</v>
      </c>
      <c r="D72" s="39" t="n">
        <v>4271393.30359451</v>
      </c>
      <c r="E72" s="39" t="n">
        <v>-45497636.8318246</v>
      </c>
      <c r="F72" s="39" t="n">
        <v>-41226243.5282301</v>
      </c>
      <c r="G72" s="39" t="n">
        <v>213704383.831825</v>
      </c>
      <c r="H72" s="33" t="n">
        <f aca="false">J71</f>
        <v>168206747</v>
      </c>
      <c r="I72" s="33" t="n">
        <f aca="false">H72*N72</f>
        <v>4271393.30359451</v>
      </c>
      <c r="J72" s="33" t="n">
        <f aca="false">H72+I72-F72</f>
        <v>213704383.831825</v>
      </c>
      <c r="K72" s="33" t="n">
        <f aca="false">D72-I72</f>
        <v>0</v>
      </c>
      <c r="L72" s="33" t="n">
        <f aca="false">G72-J72</f>
        <v>0</v>
      </c>
      <c r="M72" s="33" t="n">
        <f aca="false">F72</f>
        <v>-41226243.5282301</v>
      </c>
      <c r="N72" s="65" t="n">
        <f aca="false">$C$7</f>
        <v>0.0253937097041328</v>
      </c>
      <c r="O72" s="48" t="n">
        <f aca="false">IF(AND(B72&gt;=DATE(2026,1,1),B72&lt;=Resumen!$C$5),1,0)</f>
        <v>0</v>
      </c>
      <c r="P72" s="48" t="n">
        <f aca="false">IF(AND(B72&gt;Resumen!$C$5,B72&lt;=DATE(2027,7,31)),1,0)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1861</v>
      </c>
    </row>
    <row r="2" customFormat="false" ht="15" hidden="false" customHeight="false" outlineLevel="0" collapsed="false">
      <c r="A2" s="24" t="s">
        <v>1862</v>
      </c>
    </row>
    <row r="3" customFormat="false" ht="15" hidden="false" customHeight="false" outlineLevel="0" collapsed="false">
      <c r="A3" s="34" t="s">
        <v>1748</v>
      </c>
      <c r="C3" s="38" t="s">
        <v>1863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72300000000</v>
      </c>
      <c r="F4" s="26" t="s">
        <v>1752</v>
      </c>
      <c r="I4" s="57" t="n">
        <f aca="false">_xlfn.MAXIFS($B$12:$B$36,$B$12:$B$36,"&lt;="&amp;Resumen!$C$5)</f>
        <v>46233</v>
      </c>
    </row>
    <row r="5" customFormat="false" ht="15" hidden="false" customHeight="false" outlineLevel="0" collapsed="false">
      <c r="A5" s="34" t="s">
        <v>1753</v>
      </c>
      <c r="C5" s="27" t="n">
        <v>45807</v>
      </c>
      <c r="F5" s="26" t="s">
        <v>1754</v>
      </c>
      <c r="I5" s="58" t="n">
        <f aca="false">SUMIFS($G$12:$G$36,$B$12:$B$36,I4)</f>
        <v>72300000000</v>
      </c>
    </row>
    <row r="6" customFormat="false" ht="15" hidden="false" customHeight="false" outlineLevel="0" collapsed="false">
      <c r="A6" s="34" t="s">
        <v>1755</v>
      </c>
      <c r="C6" s="38" t="s">
        <v>1864</v>
      </c>
      <c r="F6" s="26" t="s">
        <v>1757</v>
      </c>
      <c r="I6" s="33" t="n">
        <f aca="false">SUMIFS($J$12:$J$36,$B$12:$B$36,I4)</f>
        <v>72300000000</v>
      </c>
    </row>
    <row r="7" customFormat="false" ht="15" hidden="false" customHeight="false" outlineLevel="0" collapsed="false">
      <c r="A7" s="34" t="s">
        <v>1758</v>
      </c>
      <c r="C7" s="64" t="s">
        <v>1790</v>
      </c>
      <c r="F7" s="26" t="s">
        <v>1759</v>
      </c>
      <c r="I7" s="33" t="n">
        <f aca="false">SUMIFS($D$12:$D$36,$O$12:$O$36,1)</f>
        <v>5585235250</v>
      </c>
    </row>
    <row r="8" customFormat="false" ht="15" hidden="false" customHeight="false" outlineLevel="0" collapsed="false">
      <c r="A8" s="34" t="s">
        <v>1760</v>
      </c>
      <c r="C8" s="65" t="n">
        <f aca="false">IFERROR(IRR($M$12:$M$36),"N/A")</f>
        <v>0.0106889552420913</v>
      </c>
      <c r="F8" s="26" t="s">
        <v>1761</v>
      </c>
      <c r="I8" s="33" t="n">
        <f aca="false">SUMIFS($E$12:$E$36,$P$12:$P$36,1)</f>
        <v>72300000000</v>
      </c>
    </row>
    <row r="9" customFormat="false" ht="15" hidden="false" customHeight="false" outlineLevel="0" collapsed="false">
      <c r="A9" s="34" t="s">
        <v>1762</v>
      </c>
      <c r="C9" s="66" t="n">
        <f aca="false">IF(ISNUMBER(C8),(1+C8)^12-1,"N/A")</f>
        <v>0.136083460674352</v>
      </c>
      <c r="F9" s="26" t="s">
        <v>1763</v>
      </c>
      <c r="I9" s="33" t="n">
        <f aca="false">SUMPRODUCT(MAX(ABS($L$12:$L$36)))</f>
        <v>0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45807</v>
      </c>
      <c r="C12" s="39" t="n">
        <v>72300000000</v>
      </c>
      <c r="D12" s="39" t="n">
        <v>0</v>
      </c>
      <c r="E12" s="39" t="n">
        <v>0</v>
      </c>
      <c r="F12" s="39" t="n">
        <v>0</v>
      </c>
      <c r="G12" s="39" t="n">
        <v>72300000000</v>
      </c>
      <c r="H12" s="33" t="n">
        <f aca="false">C12</f>
        <v>72300000000</v>
      </c>
      <c r="I12" s="33" t="n">
        <f aca="false">H12*N12</f>
        <v>657749250</v>
      </c>
      <c r="J12" s="33" t="n">
        <f aca="false">H12-E12</f>
        <v>72300000000</v>
      </c>
      <c r="K12" s="33" t="n">
        <f aca="false">D12-I12</f>
        <v>-657749250</v>
      </c>
      <c r="L12" s="33" t="n">
        <f aca="false">G12-J12</f>
        <v>0</v>
      </c>
      <c r="M12" s="33" t="n">
        <f aca="false">-$C$4</f>
        <v>-72300000000</v>
      </c>
      <c r="N12" s="64" t="n">
        <v>0.0090975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45838</v>
      </c>
      <c r="C13" s="39" t="n">
        <v>72300000000</v>
      </c>
      <c r="D13" s="39" t="n">
        <v>656363500</v>
      </c>
      <c r="E13" s="39" t="n">
        <v>0</v>
      </c>
      <c r="F13" s="39" t="n">
        <v>656363500</v>
      </c>
      <c r="G13" s="39" t="n">
        <v>72300000000</v>
      </c>
      <c r="H13" s="33" t="n">
        <f aca="false">J12</f>
        <v>72300000000</v>
      </c>
      <c r="I13" s="33" t="n">
        <f aca="false">H13*N13</f>
        <v>656363500</v>
      </c>
      <c r="J13" s="33" t="n">
        <f aca="false">H13-E13</f>
        <v>72300000000</v>
      </c>
      <c r="K13" s="33" t="n">
        <f aca="false">D13-I13</f>
        <v>0</v>
      </c>
      <c r="L13" s="33" t="n">
        <f aca="false">G13-J13</f>
        <v>0</v>
      </c>
      <c r="M13" s="33" t="n">
        <f aca="false">F13</f>
        <v>656363500</v>
      </c>
      <c r="N13" s="64" t="n">
        <v>0.00907833333333333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45868</v>
      </c>
      <c r="C14" s="39" t="n">
        <v>72300000000</v>
      </c>
      <c r="D14" s="39" t="n">
        <v>651543500</v>
      </c>
      <c r="E14" s="39" t="n">
        <v>0</v>
      </c>
      <c r="F14" s="39" t="n">
        <v>651543500</v>
      </c>
      <c r="G14" s="39" t="n">
        <v>72300000000</v>
      </c>
      <c r="H14" s="33" t="n">
        <f aca="false">J13</f>
        <v>72300000000</v>
      </c>
      <c r="I14" s="33" t="n">
        <f aca="false">H14*N14</f>
        <v>651543500</v>
      </c>
      <c r="J14" s="33" t="n">
        <f aca="false">H14-E14</f>
        <v>72300000000</v>
      </c>
      <c r="K14" s="33" t="n">
        <f aca="false">D14-I14</f>
        <v>0</v>
      </c>
      <c r="L14" s="33" t="n">
        <f aca="false">G14-J14</f>
        <v>0</v>
      </c>
      <c r="M14" s="33" t="n">
        <f aca="false">F14</f>
        <v>651543500</v>
      </c>
      <c r="N14" s="64" t="n">
        <v>0.00901166666666667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45899</v>
      </c>
      <c r="C15" s="39" t="n">
        <v>72300000000</v>
      </c>
      <c r="D15" s="39" t="n">
        <v>660279750</v>
      </c>
      <c r="E15" s="39" t="n">
        <v>0</v>
      </c>
      <c r="F15" s="39" t="n">
        <v>660279750</v>
      </c>
      <c r="G15" s="39" t="n">
        <v>72300000000</v>
      </c>
      <c r="H15" s="33" t="n">
        <f aca="false">J14</f>
        <v>72300000000</v>
      </c>
      <c r="I15" s="33" t="n">
        <f aca="false">H15*N15</f>
        <v>660279750</v>
      </c>
      <c r="J15" s="33" t="n">
        <f aca="false">H15-E15</f>
        <v>72300000000</v>
      </c>
      <c r="K15" s="33" t="n">
        <f aca="false">D15-I15</f>
        <v>0</v>
      </c>
      <c r="L15" s="33" t="n">
        <f aca="false">G15-J15</f>
        <v>0</v>
      </c>
      <c r="M15" s="33" t="n">
        <f aca="false">F15</f>
        <v>660279750</v>
      </c>
      <c r="N15" s="64" t="n">
        <v>0.0091325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45930</v>
      </c>
      <c r="C16" s="39" t="n">
        <v>72300000000</v>
      </c>
      <c r="D16" s="39" t="n">
        <v>661725750</v>
      </c>
      <c r="E16" s="39" t="n">
        <v>0</v>
      </c>
      <c r="F16" s="39" t="n">
        <v>661725750</v>
      </c>
      <c r="G16" s="39" t="n">
        <v>72300000000</v>
      </c>
      <c r="H16" s="33" t="n">
        <f aca="false">J15</f>
        <v>72300000000</v>
      </c>
      <c r="I16" s="33" t="n">
        <f aca="false">H16*N16</f>
        <v>661725750</v>
      </c>
      <c r="J16" s="33" t="n">
        <f aca="false">H16-E16</f>
        <v>72300000000</v>
      </c>
      <c r="K16" s="33" t="n">
        <f aca="false">D16-I16</f>
        <v>0</v>
      </c>
      <c r="L16" s="33" t="n">
        <f aca="false">G16-J16</f>
        <v>0</v>
      </c>
      <c r="M16" s="33" t="n">
        <f aca="false">F16</f>
        <v>661725750</v>
      </c>
      <c r="N16" s="64" t="n">
        <v>0.0091525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45960</v>
      </c>
      <c r="C17" s="39" t="n">
        <v>72300000000</v>
      </c>
      <c r="D17" s="39" t="n">
        <v>665581750</v>
      </c>
      <c r="E17" s="39" t="n">
        <v>0</v>
      </c>
      <c r="F17" s="39" t="n">
        <v>665581750</v>
      </c>
      <c r="G17" s="39" t="n">
        <v>72300000000</v>
      </c>
      <c r="H17" s="33" t="n">
        <f aca="false">J16</f>
        <v>72300000000</v>
      </c>
      <c r="I17" s="33" t="n">
        <f aca="false">H17*N17</f>
        <v>665581750</v>
      </c>
      <c r="J17" s="33" t="n">
        <f aca="false">H17-E17</f>
        <v>72300000000</v>
      </c>
      <c r="K17" s="33" t="n">
        <f aca="false">D17-I17</f>
        <v>0</v>
      </c>
      <c r="L17" s="33" t="n">
        <f aca="false">G17-J17</f>
        <v>0</v>
      </c>
      <c r="M17" s="33" t="n">
        <f aca="false">F17</f>
        <v>665581750</v>
      </c>
      <c r="N17" s="64" t="n">
        <v>0.00920583333333333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45991</v>
      </c>
      <c r="C18" s="39" t="n">
        <v>72300000000</v>
      </c>
      <c r="D18" s="39" t="n">
        <v>676185750</v>
      </c>
      <c r="E18" s="39" t="n">
        <v>0</v>
      </c>
      <c r="F18" s="39" t="n">
        <v>676185750</v>
      </c>
      <c r="G18" s="39" t="n">
        <v>72300000000</v>
      </c>
      <c r="H18" s="33" t="n">
        <f aca="false">J17</f>
        <v>72300000000</v>
      </c>
      <c r="I18" s="33" t="n">
        <f aca="false">H18*N18</f>
        <v>676185750</v>
      </c>
      <c r="J18" s="33" t="n">
        <f aca="false">H18-E18</f>
        <v>72300000000</v>
      </c>
      <c r="K18" s="33" t="n">
        <f aca="false">D18-I18</f>
        <v>0</v>
      </c>
      <c r="L18" s="33" t="n">
        <f aca="false">G18-J18</f>
        <v>0</v>
      </c>
      <c r="M18" s="33" t="n">
        <f aca="false">F18</f>
        <v>676185750</v>
      </c>
      <c r="N18" s="64" t="n">
        <v>0.0093525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46021</v>
      </c>
      <c r="C19" s="39" t="n">
        <v>72300000000</v>
      </c>
      <c r="D19" s="39" t="n">
        <v>698960250</v>
      </c>
      <c r="E19" s="39" t="n">
        <v>0</v>
      </c>
      <c r="F19" s="39" t="n">
        <v>698960250</v>
      </c>
      <c r="G19" s="39" t="n">
        <v>72300000000</v>
      </c>
      <c r="H19" s="33" t="n">
        <f aca="false">J18</f>
        <v>72300000000</v>
      </c>
      <c r="I19" s="33" t="n">
        <f aca="false">H19*N19</f>
        <v>698960250</v>
      </c>
      <c r="J19" s="33" t="n">
        <f aca="false">H19-E19</f>
        <v>72300000000</v>
      </c>
      <c r="K19" s="33" t="n">
        <f aca="false">D19-I19</f>
        <v>0</v>
      </c>
      <c r="L19" s="33" t="n">
        <f aca="false">G19-J19</f>
        <v>0</v>
      </c>
      <c r="M19" s="33" t="n">
        <f aca="false">F19</f>
        <v>698960250</v>
      </c>
      <c r="N19" s="64" t="n">
        <v>0.0096675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46052</v>
      </c>
      <c r="C20" s="39" t="n">
        <v>72300000000</v>
      </c>
      <c r="D20" s="39" t="n">
        <v>710046250</v>
      </c>
      <c r="E20" s="39" t="n">
        <v>0</v>
      </c>
      <c r="F20" s="39" t="n">
        <v>710046250</v>
      </c>
      <c r="G20" s="39" t="n">
        <v>72300000000</v>
      </c>
      <c r="H20" s="33" t="n">
        <f aca="false">J19</f>
        <v>72300000000</v>
      </c>
      <c r="I20" s="33" t="n">
        <f aca="false">H20*N20</f>
        <v>710046250</v>
      </c>
      <c r="J20" s="33" t="n">
        <f aca="false">H20-E20</f>
        <v>72300000000</v>
      </c>
      <c r="K20" s="33" t="n">
        <f aca="false">D20-I20</f>
        <v>0</v>
      </c>
      <c r="L20" s="33" t="n">
        <f aca="false">G20-J20</f>
        <v>0</v>
      </c>
      <c r="M20" s="33" t="n">
        <f aca="false">F20</f>
        <v>710046250</v>
      </c>
      <c r="N20" s="64" t="n">
        <v>0.00982083333333333</v>
      </c>
      <c r="O20" s="48" t="n">
        <f aca="false">IF(AND(B20&gt;=DATE(2026,1,1),B20&lt;=Resumen!$C$5),1,0)</f>
        <v>1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46081</v>
      </c>
      <c r="C21" s="39" t="n">
        <v>72300000000</v>
      </c>
      <c r="D21" s="39" t="n">
        <v>768368250</v>
      </c>
      <c r="E21" s="39" t="n">
        <v>0</v>
      </c>
      <c r="F21" s="39" t="n">
        <v>768368250</v>
      </c>
      <c r="G21" s="39" t="n">
        <v>72300000000</v>
      </c>
      <c r="H21" s="33" t="n">
        <f aca="false">J20</f>
        <v>72300000000</v>
      </c>
      <c r="I21" s="33" t="n">
        <f aca="false">H21*N21</f>
        <v>768368250</v>
      </c>
      <c r="J21" s="33" t="n">
        <f aca="false">H21-E21</f>
        <v>72300000000</v>
      </c>
      <c r="K21" s="33" t="n">
        <f aca="false">D21-I21</f>
        <v>0</v>
      </c>
      <c r="L21" s="33" t="n">
        <f aca="false">G21-J21</f>
        <v>0</v>
      </c>
      <c r="M21" s="33" t="n">
        <f aca="false">F21</f>
        <v>768368250</v>
      </c>
      <c r="N21" s="64" t="n">
        <v>0.0106275</v>
      </c>
      <c r="O21" s="48" t="n">
        <f aca="false">IF(AND(B21&gt;=DATE(2026,1,1),B21&lt;=Resumen!$C$5),1,0)</f>
        <v>1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46111</v>
      </c>
      <c r="C22" s="39" t="n">
        <v>72300000000</v>
      </c>
      <c r="D22" s="39" t="n">
        <v>796685750</v>
      </c>
      <c r="E22" s="39" t="n">
        <v>0</v>
      </c>
      <c r="F22" s="39" t="n">
        <v>796685750</v>
      </c>
      <c r="G22" s="39" t="n">
        <v>72300000000</v>
      </c>
      <c r="H22" s="33" t="n">
        <f aca="false">J21</f>
        <v>72300000000</v>
      </c>
      <c r="I22" s="33" t="n">
        <f aca="false">H22*N22</f>
        <v>796685750</v>
      </c>
      <c r="J22" s="33" t="n">
        <f aca="false">H22-E22</f>
        <v>72300000000</v>
      </c>
      <c r="K22" s="33" t="n">
        <f aca="false">D22-I22</f>
        <v>0</v>
      </c>
      <c r="L22" s="33" t="n">
        <f aca="false">G22-J22</f>
        <v>0</v>
      </c>
      <c r="M22" s="33" t="n">
        <f aca="false">F22</f>
        <v>796685750</v>
      </c>
      <c r="N22" s="64" t="n">
        <v>0.0110191666666667</v>
      </c>
      <c r="O22" s="48" t="n">
        <f aca="false">IF(AND(B22&gt;=DATE(2026,1,1),B22&lt;=Resumen!$C$5),1,0)</f>
        <v>1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46142</v>
      </c>
      <c r="C23" s="39" t="n">
        <v>72300000000</v>
      </c>
      <c r="D23" s="39" t="n">
        <v>822231750</v>
      </c>
      <c r="E23" s="39" t="n">
        <v>0</v>
      </c>
      <c r="F23" s="39" t="n">
        <v>822231750</v>
      </c>
      <c r="G23" s="39" t="n">
        <v>72300000000</v>
      </c>
      <c r="H23" s="33" t="n">
        <f aca="false">J22</f>
        <v>72300000000</v>
      </c>
      <c r="I23" s="33" t="n">
        <f aca="false">H23*N23</f>
        <v>822231750</v>
      </c>
      <c r="J23" s="33" t="n">
        <f aca="false">H23-E23</f>
        <v>72300000000</v>
      </c>
      <c r="K23" s="33" t="n">
        <f aca="false">D23-I23</f>
        <v>0</v>
      </c>
      <c r="L23" s="33" t="n">
        <f aca="false">G23-J23</f>
        <v>0</v>
      </c>
      <c r="M23" s="33" t="n">
        <f aca="false">F23</f>
        <v>822231750</v>
      </c>
      <c r="N23" s="64" t="n">
        <v>0.0113725</v>
      </c>
      <c r="O23" s="48" t="n">
        <f aca="false">IF(AND(B23&gt;=DATE(2026,1,1),B23&lt;=Resumen!$C$5),1,0)</f>
        <v>1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46172</v>
      </c>
      <c r="C24" s="39" t="n">
        <v>72300000000</v>
      </c>
      <c r="D24" s="39" t="n">
        <v>822231750</v>
      </c>
      <c r="E24" s="39" t="n">
        <v>0</v>
      </c>
      <c r="F24" s="39" t="n">
        <v>822231750</v>
      </c>
      <c r="G24" s="39" t="n">
        <v>72300000000</v>
      </c>
      <c r="H24" s="33" t="n">
        <f aca="false">J23</f>
        <v>72300000000</v>
      </c>
      <c r="I24" s="33" t="n">
        <f aca="false">H24*N24</f>
        <v>822231750</v>
      </c>
      <c r="J24" s="33" t="n">
        <f aca="false">H24-E24</f>
        <v>72300000000</v>
      </c>
      <c r="K24" s="33" t="n">
        <f aca="false">D24-I24</f>
        <v>0</v>
      </c>
      <c r="L24" s="33" t="n">
        <f aca="false">G24-J24</f>
        <v>0</v>
      </c>
      <c r="M24" s="33" t="n">
        <f aca="false">F24</f>
        <v>822231750</v>
      </c>
      <c r="N24" s="64" t="n">
        <v>0.0113725</v>
      </c>
      <c r="O24" s="48" t="n">
        <f aca="false">IF(AND(B24&gt;=DATE(2026,1,1),B24&lt;=Resumen!$C$5),1,0)</f>
        <v>1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46203</v>
      </c>
      <c r="C25" s="39" t="n">
        <v>72300000000</v>
      </c>
      <c r="D25" s="39" t="n">
        <v>824099500</v>
      </c>
      <c r="E25" s="39" t="n">
        <v>0</v>
      </c>
      <c r="F25" s="39" t="n">
        <v>824099500</v>
      </c>
      <c r="G25" s="39" t="n">
        <v>72300000000</v>
      </c>
      <c r="H25" s="33" t="n">
        <f aca="false">J24</f>
        <v>72300000000</v>
      </c>
      <c r="I25" s="33" t="n">
        <f aca="false">H25*N25</f>
        <v>824099500</v>
      </c>
      <c r="J25" s="33" t="n">
        <f aca="false">H25-E25</f>
        <v>72300000000</v>
      </c>
      <c r="K25" s="33" t="n">
        <f aca="false">D25-I25</f>
        <v>0</v>
      </c>
      <c r="L25" s="33" t="n">
        <f aca="false">G25-J25</f>
        <v>0</v>
      </c>
      <c r="M25" s="33" t="n">
        <f aca="false">F25</f>
        <v>824099500</v>
      </c>
      <c r="N25" s="64" t="n">
        <v>0.0113983333333333</v>
      </c>
      <c r="O25" s="48" t="n">
        <f aca="false">IF(AND(B25&gt;=DATE(2026,1,1),B25&lt;=Resumen!$C$5),1,0)</f>
        <v>1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46233</v>
      </c>
      <c r="C26" s="39" t="n">
        <v>72300000000</v>
      </c>
      <c r="D26" s="39" t="n">
        <v>841572000</v>
      </c>
      <c r="E26" s="39" t="n">
        <v>0</v>
      </c>
      <c r="F26" s="39" t="n">
        <v>841572000</v>
      </c>
      <c r="G26" s="39" t="n">
        <v>72300000000</v>
      </c>
      <c r="H26" s="33" t="n">
        <f aca="false">J25</f>
        <v>72300000000</v>
      </c>
      <c r="I26" s="33" t="n">
        <f aca="false">H26*N26</f>
        <v>841572000</v>
      </c>
      <c r="J26" s="33" t="n">
        <f aca="false">H26-E26</f>
        <v>72300000000</v>
      </c>
      <c r="K26" s="33" t="n">
        <f aca="false">D26-I26</f>
        <v>0</v>
      </c>
      <c r="L26" s="33" t="n">
        <f aca="false">G26-J26</f>
        <v>0</v>
      </c>
      <c r="M26" s="33" t="n">
        <f aca="false">F26</f>
        <v>841572000</v>
      </c>
      <c r="N26" s="64" t="n">
        <v>0.01164</v>
      </c>
      <c r="O26" s="48" t="n">
        <f aca="false">IF(AND(B26&gt;=DATE(2026,1,1),B26&lt;=Resumen!$C$5),1,0)</f>
        <v>1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46264</v>
      </c>
      <c r="C27" s="39" t="n">
        <v>72300000000</v>
      </c>
      <c r="D27" s="39" t="n">
        <v>841572000</v>
      </c>
      <c r="E27" s="39" t="n">
        <v>0</v>
      </c>
      <c r="F27" s="39" t="n">
        <v>841572000</v>
      </c>
      <c r="G27" s="39" t="n">
        <v>72300000000</v>
      </c>
      <c r="H27" s="33" t="n">
        <f aca="false">J26</f>
        <v>72300000000</v>
      </c>
      <c r="I27" s="33" t="n">
        <f aca="false">H27*N27</f>
        <v>841572000</v>
      </c>
      <c r="J27" s="33" t="n">
        <f aca="false">H27-E27</f>
        <v>72300000000</v>
      </c>
      <c r="K27" s="33" t="n">
        <f aca="false">D27-I27</f>
        <v>0</v>
      </c>
      <c r="L27" s="33" t="n">
        <f aca="false">G27-J27</f>
        <v>0</v>
      </c>
      <c r="M27" s="33" t="n">
        <f aca="false">F27</f>
        <v>841572000</v>
      </c>
      <c r="N27" s="64" t="n">
        <v>0.01164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1</v>
      </c>
    </row>
    <row r="28" customFormat="false" ht="15" hidden="false" customHeight="false" outlineLevel="0" collapsed="false">
      <c r="A28" s="38" t="n">
        <v>16</v>
      </c>
      <c r="B28" s="27" t="n">
        <v>46295</v>
      </c>
      <c r="C28" s="39" t="n">
        <v>72300000000</v>
      </c>
      <c r="D28" s="39" t="n">
        <v>841572000</v>
      </c>
      <c r="E28" s="39" t="n">
        <v>0</v>
      </c>
      <c r="F28" s="39" t="n">
        <v>841572000</v>
      </c>
      <c r="G28" s="39" t="n">
        <v>72300000000</v>
      </c>
      <c r="H28" s="33" t="n">
        <f aca="false">J27</f>
        <v>72300000000</v>
      </c>
      <c r="I28" s="33" t="n">
        <f aca="false">H28*N28</f>
        <v>841572000</v>
      </c>
      <c r="J28" s="33" t="n">
        <f aca="false">H28-E28</f>
        <v>72300000000</v>
      </c>
      <c r="K28" s="33" t="n">
        <f aca="false">D28-I28</f>
        <v>0</v>
      </c>
      <c r="L28" s="33" t="n">
        <f aca="false">G28-J28</f>
        <v>0</v>
      </c>
      <c r="M28" s="33" t="n">
        <f aca="false">F28</f>
        <v>841572000</v>
      </c>
      <c r="N28" s="64" t="n">
        <v>0.01164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1</v>
      </c>
    </row>
    <row r="29" customFormat="false" ht="15" hidden="false" customHeight="false" outlineLevel="0" collapsed="false">
      <c r="A29" s="38" t="n">
        <v>17</v>
      </c>
      <c r="B29" s="27" t="n">
        <v>46325</v>
      </c>
      <c r="C29" s="39" t="n">
        <v>72300000000</v>
      </c>
      <c r="D29" s="39" t="n">
        <v>841572000</v>
      </c>
      <c r="E29" s="39" t="n">
        <v>0</v>
      </c>
      <c r="F29" s="39" t="n">
        <v>841572000</v>
      </c>
      <c r="G29" s="39" t="n">
        <v>72300000000</v>
      </c>
      <c r="H29" s="33" t="n">
        <f aca="false">J28</f>
        <v>72300000000</v>
      </c>
      <c r="I29" s="33" t="n">
        <f aca="false">H29*N29</f>
        <v>841572000</v>
      </c>
      <c r="J29" s="33" t="n">
        <f aca="false">H29-E29</f>
        <v>72300000000</v>
      </c>
      <c r="K29" s="33" t="n">
        <f aca="false">D29-I29</f>
        <v>0</v>
      </c>
      <c r="L29" s="33" t="n">
        <f aca="false">G29-J29</f>
        <v>0</v>
      </c>
      <c r="M29" s="33" t="n">
        <f aca="false">F29</f>
        <v>841572000</v>
      </c>
      <c r="N29" s="64" t="n">
        <v>0.01164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1</v>
      </c>
    </row>
    <row r="30" customFormat="false" ht="15" hidden="false" customHeight="false" outlineLevel="0" collapsed="false">
      <c r="A30" s="38" t="n">
        <v>18</v>
      </c>
      <c r="B30" s="27" t="n">
        <v>46356</v>
      </c>
      <c r="C30" s="39" t="n">
        <v>72300000000</v>
      </c>
      <c r="D30" s="39" t="n">
        <v>841572000</v>
      </c>
      <c r="E30" s="39" t="n">
        <v>0</v>
      </c>
      <c r="F30" s="39" t="n">
        <v>841572000</v>
      </c>
      <c r="G30" s="39" t="n">
        <v>72300000000</v>
      </c>
      <c r="H30" s="33" t="n">
        <f aca="false">J29</f>
        <v>72300000000</v>
      </c>
      <c r="I30" s="33" t="n">
        <f aca="false">H30*N30</f>
        <v>841572000</v>
      </c>
      <c r="J30" s="33" t="n">
        <f aca="false">H30-E30</f>
        <v>72300000000</v>
      </c>
      <c r="K30" s="33" t="n">
        <f aca="false">D30-I30</f>
        <v>0</v>
      </c>
      <c r="L30" s="33" t="n">
        <f aca="false">G30-J30</f>
        <v>0</v>
      </c>
      <c r="M30" s="33" t="n">
        <f aca="false">F30</f>
        <v>841572000</v>
      </c>
      <c r="N30" s="64" t="n">
        <v>0.01164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1</v>
      </c>
    </row>
    <row r="31" customFormat="false" ht="15" hidden="false" customHeight="false" outlineLevel="0" collapsed="false">
      <c r="A31" s="38" t="n">
        <v>19</v>
      </c>
      <c r="B31" s="27" t="n">
        <v>46386</v>
      </c>
      <c r="C31" s="39" t="n">
        <v>72300000000</v>
      </c>
      <c r="D31" s="39" t="n">
        <v>841572000</v>
      </c>
      <c r="E31" s="39" t="n">
        <v>0</v>
      </c>
      <c r="F31" s="39" t="n">
        <v>841572000</v>
      </c>
      <c r="G31" s="39" t="n">
        <v>72300000000</v>
      </c>
      <c r="H31" s="33" t="n">
        <f aca="false">J30</f>
        <v>72300000000</v>
      </c>
      <c r="I31" s="33" t="n">
        <f aca="false">H31*N31</f>
        <v>841572000</v>
      </c>
      <c r="J31" s="33" t="n">
        <f aca="false">H31-E31</f>
        <v>72300000000</v>
      </c>
      <c r="K31" s="33" t="n">
        <f aca="false">D31-I31</f>
        <v>0</v>
      </c>
      <c r="L31" s="33" t="n">
        <f aca="false">G31-J31</f>
        <v>0</v>
      </c>
      <c r="M31" s="33" t="n">
        <f aca="false">F31</f>
        <v>841572000</v>
      </c>
      <c r="N31" s="64" t="n">
        <v>0.01164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1</v>
      </c>
    </row>
    <row r="32" customFormat="false" ht="15" hidden="false" customHeight="false" outlineLevel="0" collapsed="false">
      <c r="A32" s="38" t="n">
        <v>20</v>
      </c>
      <c r="B32" s="27" t="n">
        <v>46417</v>
      </c>
      <c r="C32" s="39" t="n">
        <v>72300000000</v>
      </c>
      <c r="D32" s="39" t="n">
        <v>841572000</v>
      </c>
      <c r="E32" s="39" t="n">
        <v>0</v>
      </c>
      <c r="F32" s="39" t="n">
        <v>841572000</v>
      </c>
      <c r="G32" s="39" t="n">
        <v>72300000000</v>
      </c>
      <c r="H32" s="33" t="n">
        <f aca="false">J31</f>
        <v>72300000000</v>
      </c>
      <c r="I32" s="33" t="n">
        <f aca="false">H32*N32</f>
        <v>841572000</v>
      </c>
      <c r="J32" s="33" t="n">
        <f aca="false">H32-E32</f>
        <v>72300000000</v>
      </c>
      <c r="K32" s="33" t="n">
        <f aca="false">D32-I32</f>
        <v>0</v>
      </c>
      <c r="L32" s="33" t="n">
        <f aca="false">G32-J32</f>
        <v>0</v>
      </c>
      <c r="M32" s="33" t="n">
        <f aca="false">F32</f>
        <v>841572000</v>
      </c>
      <c r="N32" s="64" t="n">
        <v>0.01164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1</v>
      </c>
    </row>
    <row r="33" customFormat="false" ht="15" hidden="false" customHeight="false" outlineLevel="0" collapsed="false">
      <c r="A33" s="38" t="n">
        <v>21</v>
      </c>
      <c r="B33" s="27" t="n">
        <v>46446</v>
      </c>
      <c r="C33" s="39" t="n">
        <v>72300000000</v>
      </c>
      <c r="D33" s="39" t="n">
        <v>841572000</v>
      </c>
      <c r="E33" s="39" t="n">
        <v>0</v>
      </c>
      <c r="F33" s="39" t="n">
        <v>841572000</v>
      </c>
      <c r="G33" s="39" t="n">
        <v>72300000000</v>
      </c>
      <c r="H33" s="33" t="n">
        <f aca="false">J32</f>
        <v>72300000000</v>
      </c>
      <c r="I33" s="33" t="n">
        <f aca="false">H33*N33</f>
        <v>841572000</v>
      </c>
      <c r="J33" s="33" t="n">
        <f aca="false">H33-E33</f>
        <v>72300000000</v>
      </c>
      <c r="K33" s="33" t="n">
        <f aca="false">D33-I33</f>
        <v>0</v>
      </c>
      <c r="L33" s="33" t="n">
        <f aca="false">G33-J33</f>
        <v>0</v>
      </c>
      <c r="M33" s="33" t="n">
        <f aca="false">F33</f>
        <v>841572000</v>
      </c>
      <c r="N33" s="64" t="n">
        <v>0.01164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1</v>
      </c>
    </row>
    <row r="34" customFormat="false" ht="15" hidden="false" customHeight="false" outlineLevel="0" collapsed="false">
      <c r="A34" s="38" t="n">
        <v>22</v>
      </c>
      <c r="B34" s="27" t="n">
        <v>46476</v>
      </c>
      <c r="C34" s="39" t="n">
        <v>72300000000</v>
      </c>
      <c r="D34" s="39" t="n">
        <v>841572000</v>
      </c>
      <c r="E34" s="39" t="n">
        <v>0</v>
      </c>
      <c r="F34" s="39" t="n">
        <v>841572000</v>
      </c>
      <c r="G34" s="39" t="n">
        <v>72300000000</v>
      </c>
      <c r="H34" s="33" t="n">
        <f aca="false">J33</f>
        <v>72300000000</v>
      </c>
      <c r="I34" s="33" t="n">
        <f aca="false">H34*N34</f>
        <v>841572000</v>
      </c>
      <c r="J34" s="33" t="n">
        <f aca="false">H34-E34</f>
        <v>72300000000</v>
      </c>
      <c r="K34" s="33" t="n">
        <f aca="false">D34-I34</f>
        <v>0</v>
      </c>
      <c r="L34" s="33" t="n">
        <f aca="false">G34-J34</f>
        <v>0</v>
      </c>
      <c r="M34" s="33" t="n">
        <f aca="false">F34</f>
        <v>841572000</v>
      </c>
      <c r="N34" s="64" t="n">
        <v>0.01164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1</v>
      </c>
    </row>
    <row r="35" customFormat="false" ht="15" hidden="false" customHeight="false" outlineLevel="0" collapsed="false">
      <c r="A35" s="38" t="n">
        <v>23</v>
      </c>
      <c r="B35" s="27" t="n">
        <v>46507</v>
      </c>
      <c r="C35" s="39" t="n">
        <v>72300000000</v>
      </c>
      <c r="D35" s="39" t="n">
        <v>841572000</v>
      </c>
      <c r="E35" s="39" t="n">
        <v>0</v>
      </c>
      <c r="F35" s="39" t="n">
        <v>841572000</v>
      </c>
      <c r="G35" s="39" t="n">
        <v>72300000000</v>
      </c>
      <c r="H35" s="33" t="n">
        <f aca="false">J34</f>
        <v>72300000000</v>
      </c>
      <c r="I35" s="33" t="n">
        <f aca="false">H35*N35</f>
        <v>841572000</v>
      </c>
      <c r="J35" s="33" t="n">
        <f aca="false">H35-E35</f>
        <v>72300000000</v>
      </c>
      <c r="K35" s="33" t="n">
        <f aca="false">D35-I35</f>
        <v>0</v>
      </c>
      <c r="L35" s="33" t="n">
        <f aca="false">G35-J35</f>
        <v>0</v>
      </c>
      <c r="M35" s="33" t="n">
        <f aca="false">F35</f>
        <v>841572000</v>
      </c>
      <c r="N35" s="64" t="n">
        <v>0.01164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1</v>
      </c>
    </row>
    <row r="36" customFormat="false" ht="15" hidden="false" customHeight="false" outlineLevel="0" collapsed="false">
      <c r="A36" s="38" t="n">
        <v>24</v>
      </c>
      <c r="B36" s="27" t="n">
        <v>46537</v>
      </c>
      <c r="C36" s="39" t="n">
        <v>72300000000</v>
      </c>
      <c r="D36" s="39" t="n">
        <v>841572000</v>
      </c>
      <c r="E36" s="39" t="n">
        <v>72300000000</v>
      </c>
      <c r="F36" s="39" t="n">
        <v>73141572000</v>
      </c>
      <c r="G36" s="39" t="n">
        <v>0</v>
      </c>
      <c r="H36" s="33" t="n">
        <f aca="false">J35</f>
        <v>72300000000</v>
      </c>
      <c r="I36" s="33" t="n">
        <f aca="false">H36*N36</f>
        <v>841572000</v>
      </c>
      <c r="J36" s="33" t="n">
        <f aca="false">H36-E36</f>
        <v>0</v>
      </c>
      <c r="K36" s="33" t="n">
        <f aca="false">D36-I36</f>
        <v>0</v>
      </c>
      <c r="L36" s="33" t="n">
        <f aca="false">G36-J36</f>
        <v>0</v>
      </c>
      <c r="M36" s="33" t="n">
        <f aca="false">F36</f>
        <v>73141572000</v>
      </c>
      <c r="N36" s="64" t="n">
        <v>0.01164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P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6" min="4" style="0" width="15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3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6" min="15" style="0" width="8"/>
  </cols>
  <sheetData>
    <row r="1" customFormat="false" ht="16.15" hidden="false" customHeight="false" outlineLevel="0" collapsed="false">
      <c r="A1" s="23" t="s">
        <v>1865</v>
      </c>
    </row>
    <row r="2" customFormat="false" ht="15" hidden="false" customHeight="false" outlineLevel="0" collapsed="false">
      <c r="A2" s="24" t="s">
        <v>1866</v>
      </c>
    </row>
    <row r="3" customFormat="false" ht="15" hidden="false" customHeight="false" outlineLevel="0" collapsed="false">
      <c r="A3" s="34" t="s">
        <v>1748</v>
      </c>
      <c r="C3" s="38" t="s">
        <v>1867</v>
      </c>
      <c r="F3" s="42" t="s">
        <v>1750</v>
      </c>
    </row>
    <row r="4" customFormat="false" ht="15" hidden="false" customHeight="false" outlineLevel="0" collapsed="false">
      <c r="A4" s="34" t="s">
        <v>1751</v>
      </c>
      <c r="C4" s="39" t="n">
        <v>142000000</v>
      </c>
      <c r="F4" s="26" t="s">
        <v>1752</v>
      </c>
      <c r="I4" s="57" t="n">
        <f aca="false">_xlfn.MAXIFS($B$12:$B$40,$B$12:$B$40,"&lt;="&amp;Resumen!$C$5)</f>
        <v>45133</v>
      </c>
    </row>
    <row r="5" customFormat="false" ht="15" hidden="false" customHeight="false" outlineLevel="0" collapsed="false">
      <c r="A5" s="34" t="s">
        <v>1753</v>
      </c>
      <c r="C5" s="27" t="n">
        <v>44281</v>
      </c>
      <c r="F5" s="26" t="s">
        <v>1754</v>
      </c>
      <c r="I5" s="58" t="n">
        <f aca="false">SUMIFS($G$12:$G$40,$B$12:$B$40,I4)</f>
        <v>6.05359673500061E-008</v>
      </c>
    </row>
    <row r="6" customFormat="false" ht="15" hidden="false" customHeight="false" outlineLevel="0" collapsed="false">
      <c r="A6" s="34" t="s">
        <v>1755</v>
      </c>
      <c r="C6" s="38" t="s">
        <v>1868</v>
      </c>
      <c r="F6" s="26" t="s">
        <v>1757</v>
      </c>
      <c r="I6" s="33" t="n">
        <f aca="false">SUMIFS($J$12:$J$40,$B$12:$B$40,I4)</f>
        <v>6.4261257648468E-008</v>
      </c>
    </row>
    <row r="7" customFormat="false" ht="15" hidden="false" customHeight="false" outlineLevel="0" collapsed="false">
      <c r="A7" s="34" t="s">
        <v>1758</v>
      </c>
      <c r="C7" s="64" t="n">
        <v>-0.0458764589719203</v>
      </c>
      <c r="F7" s="26" t="s">
        <v>1759</v>
      </c>
      <c r="I7" s="33" t="n">
        <f aca="false">SUMIFS($D$12:$D$40,$O$12:$O$40,1)</f>
        <v>0</v>
      </c>
    </row>
    <row r="8" customFormat="false" ht="15" hidden="false" customHeight="false" outlineLevel="0" collapsed="false">
      <c r="A8" s="34" t="s">
        <v>1760</v>
      </c>
      <c r="C8" s="65" t="str">
        <f aca="false">IFERROR(IRR($M$12:$M$40),"N/A")</f>
        <v>N/A</v>
      </c>
      <c r="F8" s="26" t="s">
        <v>1761</v>
      </c>
      <c r="I8" s="33" t="n">
        <f aca="false">SUMIFS($E$12:$E$40,$P$12:$P$40,1)</f>
        <v>0</v>
      </c>
    </row>
    <row r="9" customFormat="false" ht="15" hidden="false" customHeight="false" outlineLevel="0" collapsed="false">
      <c r="A9" s="34" t="s">
        <v>1762</v>
      </c>
      <c r="C9" s="66" t="str">
        <f aca="false">IF(ISNUMBER(C8),(1+C8)^12-1,"N/A")</f>
        <v>N/A</v>
      </c>
      <c r="F9" s="26" t="s">
        <v>1763</v>
      </c>
      <c r="I9" s="33" t="n">
        <f aca="false">SUMPRODUCT(MAX(ABS($L$12:$L$40)))</f>
        <v>3.72529029846191E-009</v>
      </c>
    </row>
    <row r="11" customFormat="false" ht="36" hidden="false" customHeight="true" outlineLevel="0" collapsed="false">
      <c r="A11" s="31" t="s">
        <v>1764</v>
      </c>
      <c r="B11" s="31" t="s">
        <v>282</v>
      </c>
      <c r="C11" s="31" t="s">
        <v>1765</v>
      </c>
      <c r="D11" s="31" t="s">
        <v>1766</v>
      </c>
      <c r="E11" s="31" t="s">
        <v>1767</v>
      </c>
      <c r="F11" s="31" t="s">
        <v>1768</v>
      </c>
      <c r="G11" s="31" t="s">
        <v>1769</v>
      </c>
      <c r="H11" s="31" t="s">
        <v>1770</v>
      </c>
      <c r="I11" s="31" t="s">
        <v>1771</v>
      </c>
      <c r="J11" s="31" t="s">
        <v>1772</v>
      </c>
      <c r="K11" s="31" t="s">
        <v>1773</v>
      </c>
      <c r="L11" s="31" t="s">
        <v>1774</v>
      </c>
      <c r="M11" s="31" t="s">
        <v>1775</v>
      </c>
      <c r="N11" s="31" t="s">
        <v>1776</v>
      </c>
      <c r="O11" s="31" t="s">
        <v>1777</v>
      </c>
      <c r="P11" s="31" t="s">
        <v>1778</v>
      </c>
    </row>
    <row r="12" customFormat="false" ht="15" hidden="false" customHeight="false" outlineLevel="0" collapsed="false">
      <c r="A12" s="38" t="n">
        <v>0</v>
      </c>
      <c r="B12" s="27" t="n">
        <v>44281</v>
      </c>
      <c r="C12" s="39"/>
      <c r="D12" s="39" t="n">
        <v>0</v>
      </c>
      <c r="E12" s="39" t="n">
        <v>0</v>
      </c>
      <c r="F12" s="39" t="n">
        <v>0</v>
      </c>
      <c r="G12" s="39" t="n">
        <v>142000000</v>
      </c>
      <c r="H12" s="33" t="n">
        <f aca="false">G12</f>
        <v>142000000</v>
      </c>
      <c r="I12" s="33" t="n">
        <v>0</v>
      </c>
      <c r="J12" s="33" t="n">
        <f aca="false">H12</f>
        <v>142000000</v>
      </c>
      <c r="K12" s="33" t="n">
        <f aca="false">D12-I12</f>
        <v>0</v>
      </c>
      <c r="L12" s="33" t="n">
        <f aca="false">G12-J12</f>
        <v>0</v>
      </c>
      <c r="M12" s="33" t="n">
        <f aca="false">-$C$4</f>
        <v>-142000000</v>
      </c>
      <c r="N12" s="65" t="n">
        <f aca="false">$C$7</f>
        <v>-0.0458764589719203</v>
      </c>
      <c r="O12" s="48" t="n">
        <f aca="false">IF(AND(B12&gt;=DATE(2026,1,1),B12&lt;=Resumen!$C$5),1,0)</f>
        <v>0</v>
      </c>
      <c r="P12" s="48" t="n">
        <f aca="false">IF(AND(B12&gt;Resumen!$C$5,B12&lt;=DATE(2027,7,31)),1,0)</f>
        <v>0</v>
      </c>
    </row>
    <row r="13" customFormat="false" ht="15" hidden="false" customHeight="false" outlineLevel="0" collapsed="false">
      <c r="A13" s="38" t="n">
        <v>1</v>
      </c>
      <c r="B13" s="27" t="n">
        <v>44312</v>
      </c>
      <c r="C13" s="39" t="n">
        <v>142000000</v>
      </c>
      <c r="D13" s="39" t="n">
        <v>-6514457.17401268</v>
      </c>
      <c r="E13" s="39" t="n">
        <v>7402701.90099549</v>
      </c>
      <c r="F13" s="39" t="n">
        <v>888244.726982814</v>
      </c>
      <c r="G13" s="39" t="n">
        <v>134597298.099005</v>
      </c>
      <c r="H13" s="33" t="n">
        <f aca="false">J12</f>
        <v>142000000</v>
      </c>
      <c r="I13" s="33" t="n">
        <f aca="false">H13*N13</f>
        <v>-6514457.17401268</v>
      </c>
      <c r="J13" s="33" t="n">
        <f aca="false">H13+I13-F13</f>
        <v>134597298.099005</v>
      </c>
      <c r="K13" s="33" t="n">
        <f aca="false">D13-I13</f>
        <v>0</v>
      </c>
      <c r="L13" s="33" t="n">
        <f aca="false">G13-J13</f>
        <v>0</v>
      </c>
      <c r="M13" s="33" t="n">
        <f aca="false">F13</f>
        <v>888244.726982814</v>
      </c>
      <c r="N13" s="65" t="n">
        <f aca="false">$C$7</f>
        <v>-0.0458764589719203</v>
      </c>
      <c r="O13" s="48" t="n">
        <f aca="false">IF(AND(B13&gt;=DATE(2026,1,1),B13&lt;=Resumen!$C$5),1,0)</f>
        <v>0</v>
      </c>
      <c r="P13" s="48" t="n">
        <f aca="false">IF(AND(B13&gt;Resumen!$C$5,B13&lt;=DATE(2027,7,31)),1,0)</f>
        <v>0</v>
      </c>
    </row>
    <row r="14" customFormat="false" ht="15" hidden="false" customHeight="false" outlineLevel="0" collapsed="false">
      <c r="A14" s="38" t="n">
        <v>2</v>
      </c>
      <c r="B14" s="27" t="n">
        <v>44342</v>
      </c>
      <c r="C14" s="39" t="n">
        <v>134597298.099005</v>
      </c>
      <c r="D14" s="39" t="n">
        <v>-6174847.4239703</v>
      </c>
      <c r="E14" s="39" t="n">
        <v>7063092.1509531</v>
      </c>
      <c r="F14" s="39" t="n">
        <v>888244.726982796</v>
      </c>
      <c r="G14" s="39" t="n">
        <v>127534205.948051</v>
      </c>
      <c r="H14" s="33" t="n">
        <f aca="false">J13</f>
        <v>134597298.099005</v>
      </c>
      <c r="I14" s="33" t="n">
        <f aca="false">H14*N14</f>
        <v>-6174847.4239703</v>
      </c>
      <c r="J14" s="33" t="n">
        <f aca="false">H14+I14-F14</f>
        <v>127534205.948051</v>
      </c>
      <c r="K14" s="33" t="n">
        <f aca="false">D14-I14</f>
        <v>0</v>
      </c>
      <c r="L14" s="33" t="n">
        <f aca="false">G14-J14</f>
        <v>0</v>
      </c>
      <c r="M14" s="33" t="n">
        <f aca="false">F14</f>
        <v>888244.726982796</v>
      </c>
      <c r="N14" s="65" t="n">
        <f aca="false">$C$7</f>
        <v>-0.0458764589719203</v>
      </c>
      <c r="O14" s="48" t="n">
        <f aca="false">IF(AND(B14&gt;=DATE(2026,1,1),B14&lt;=Resumen!$C$5),1,0)</f>
        <v>0</v>
      </c>
      <c r="P14" s="48" t="n">
        <f aca="false">IF(AND(B14&gt;Resumen!$C$5,B14&lt;=DATE(2027,7,31)),1,0)</f>
        <v>0</v>
      </c>
    </row>
    <row r="15" customFormat="false" ht="15" hidden="false" customHeight="false" outlineLevel="0" collapsed="false">
      <c r="A15" s="38" t="n">
        <v>3</v>
      </c>
      <c r="B15" s="27" t="n">
        <v>44373</v>
      </c>
      <c r="C15" s="39" t="n">
        <v>127534205.948051</v>
      </c>
      <c r="D15" s="39" t="n">
        <v>-5850817.76669221</v>
      </c>
      <c r="E15" s="39" t="n">
        <v>6739062.49367501</v>
      </c>
      <c r="F15" s="39" t="n">
        <v>888244.726982798</v>
      </c>
      <c r="G15" s="39" t="n">
        <v>120795143.454376</v>
      </c>
      <c r="H15" s="33" t="n">
        <f aca="false">J14</f>
        <v>127534205.948051</v>
      </c>
      <c r="I15" s="33" t="n">
        <f aca="false">H15*N15</f>
        <v>-5850817.76669221</v>
      </c>
      <c r="J15" s="33" t="n">
        <f aca="false">H15+I15-F15</f>
        <v>120795143.454376</v>
      </c>
      <c r="K15" s="33" t="n">
        <f aca="false">D15-I15</f>
        <v>0</v>
      </c>
      <c r="L15" s="33" t="n">
        <f aca="false">G15-J15</f>
        <v>0</v>
      </c>
      <c r="M15" s="33" t="n">
        <f aca="false">F15</f>
        <v>888244.726982798</v>
      </c>
      <c r="N15" s="65" t="n">
        <f aca="false">$C$7</f>
        <v>-0.0458764589719203</v>
      </c>
      <c r="O15" s="48" t="n">
        <f aca="false">IF(AND(B15&gt;=DATE(2026,1,1),B15&lt;=Resumen!$C$5),1,0)</f>
        <v>0</v>
      </c>
      <c r="P15" s="48" t="n">
        <f aca="false">IF(AND(B15&gt;Resumen!$C$5,B15&lt;=DATE(2027,7,31)),1,0)</f>
        <v>0</v>
      </c>
    </row>
    <row r="16" customFormat="false" ht="15" hidden="false" customHeight="false" outlineLevel="0" collapsed="false">
      <c r="A16" s="38" t="n">
        <v>4</v>
      </c>
      <c r="B16" s="27" t="n">
        <v>44403</v>
      </c>
      <c r="C16" s="39" t="n">
        <v>120795143.454376</v>
      </c>
      <c r="D16" s="39" t="n">
        <v>-5541653.44269192</v>
      </c>
      <c r="E16" s="39" t="n">
        <v>6429898.16967472</v>
      </c>
      <c r="F16" s="39" t="n">
        <v>888244.726982801</v>
      </c>
      <c r="G16" s="39" t="n">
        <v>114365245.284702</v>
      </c>
      <c r="H16" s="33" t="n">
        <f aca="false">J15</f>
        <v>120795143.454376</v>
      </c>
      <c r="I16" s="33" t="n">
        <f aca="false">H16*N16</f>
        <v>-5541653.44269192</v>
      </c>
      <c r="J16" s="33" t="n">
        <f aca="false">H16+I16-F16</f>
        <v>114365245.284702</v>
      </c>
      <c r="K16" s="33" t="n">
        <f aca="false">D16-I16</f>
        <v>0</v>
      </c>
      <c r="L16" s="33" t="n">
        <f aca="false">G16-J16</f>
        <v>0</v>
      </c>
      <c r="M16" s="33" t="n">
        <f aca="false">F16</f>
        <v>888244.726982801</v>
      </c>
      <c r="N16" s="65" t="n">
        <f aca="false">$C$7</f>
        <v>-0.0458764589719203</v>
      </c>
      <c r="O16" s="48" t="n">
        <f aca="false">IF(AND(B16&gt;=DATE(2026,1,1),B16&lt;=Resumen!$C$5),1,0)</f>
        <v>0</v>
      </c>
      <c r="P16" s="48" t="n">
        <f aca="false">IF(AND(B16&gt;Resumen!$C$5,B16&lt;=DATE(2027,7,31)),1,0)</f>
        <v>0</v>
      </c>
    </row>
    <row r="17" customFormat="false" ht="15" hidden="false" customHeight="false" outlineLevel="0" collapsed="false">
      <c r="A17" s="38" t="n">
        <v>5</v>
      </c>
      <c r="B17" s="27" t="n">
        <v>44434</v>
      </c>
      <c r="C17" s="39" t="n">
        <v>114365245.284702</v>
      </c>
      <c r="D17" s="39" t="n">
        <v>-5246672.48311722</v>
      </c>
      <c r="E17" s="39" t="n">
        <v>6134917.21010003</v>
      </c>
      <c r="F17" s="39" t="n">
        <v>888244.72698281</v>
      </c>
      <c r="G17" s="39" t="n">
        <v>108230328.074602</v>
      </c>
      <c r="H17" s="33" t="n">
        <f aca="false">J16</f>
        <v>114365245.284702</v>
      </c>
      <c r="I17" s="33" t="n">
        <f aca="false">H17*N17</f>
        <v>-5246672.48311722</v>
      </c>
      <c r="J17" s="33" t="n">
        <f aca="false">H17+I17-F17</f>
        <v>108230328.074602</v>
      </c>
      <c r="K17" s="33" t="n">
        <f aca="false">D17-I17</f>
        <v>0</v>
      </c>
      <c r="L17" s="33" t="n">
        <f aca="false">G17-J17</f>
        <v>0</v>
      </c>
      <c r="M17" s="33" t="n">
        <f aca="false">F17</f>
        <v>888244.72698281</v>
      </c>
      <c r="N17" s="65" t="n">
        <f aca="false">$C$7</f>
        <v>-0.0458764589719203</v>
      </c>
      <c r="O17" s="48" t="n">
        <f aca="false">IF(AND(B17&gt;=DATE(2026,1,1),B17&lt;=Resumen!$C$5),1,0)</f>
        <v>0</v>
      </c>
      <c r="P17" s="48" t="n">
        <f aca="false">IF(AND(B17&gt;Resumen!$C$5,B17&lt;=DATE(2027,7,31)),1,0)</f>
        <v>0</v>
      </c>
    </row>
    <row r="18" customFormat="false" ht="15" hidden="false" customHeight="false" outlineLevel="0" collapsed="false">
      <c r="A18" s="38" t="n">
        <v>6</v>
      </c>
      <c r="B18" s="27" t="n">
        <v>44465</v>
      </c>
      <c r="C18" s="39" t="n">
        <v>108230328.074602</v>
      </c>
      <c r="D18" s="39" t="n">
        <v>-4965224.20543193</v>
      </c>
      <c r="E18" s="39" t="n">
        <v>5853468.93241474</v>
      </c>
      <c r="F18" s="39" t="n">
        <v>888244.726982807</v>
      </c>
      <c r="G18" s="39" t="n">
        <v>102376859.142187</v>
      </c>
      <c r="H18" s="33" t="n">
        <f aca="false">J17</f>
        <v>108230328.074602</v>
      </c>
      <c r="I18" s="33" t="n">
        <f aca="false">H18*N18</f>
        <v>-4965224.20543193</v>
      </c>
      <c r="J18" s="33" t="n">
        <f aca="false">H18+I18-F18</f>
        <v>102376859.142187</v>
      </c>
      <c r="K18" s="33" t="n">
        <f aca="false">D18-I18</f>
        <v>0</v>
      </c>
      <c r="L18" s="33" t="n">
        <f aca="false">G18-J18</f>
        <v>0</v>
      </c>
      <c r="M18" s="33" t="n">
        <f aca="false">F18</f>
        <v>888244.726982807</v>
      </c>
      <c r="N18" s="65" t="n">
        <f aca="false">$C$7</f>
        <v>-0.0458764589719203</v>
      </c>
      <c r="O18" s="48" t="n">
        <f aca="false">IF(AND(B18&gt;=DATE(2026,1,1),B18&lt;=Resumen!$C$5),1,0)</f>
        <v>0</v>
      </c>
      <c r="P18" s="48" t="n">
        <f aca="false">IF(AND(B18&gt;Resumen!$C$5,B18&lt;=DATE(2027,7,31)),1,0)</f>
        <v>0</v>
      </c>
    </row>
    <row r="19" customFormat="false" ht="15" hidden="false" customHeight="false" outlineLevel="0" collapsed="false">
      <c r="A19" s="38" t="n">
        <v>7</v>
      </c>
      <c r="B19" s="27" t="n">
        <v>44495</v>
      </c>
      <c r="C19" s="39" t="n">
        <v>102376859.142187</v>
      </c>
      <c r="D19" s="39" t="n">
        <v>-4696687.7781106</v>
      </c>
      <c r="E19" s="39" t="n">
        <v>5584932.5050934</v>
      </c>
      <c r="F19" s="39" t="n">
        <v>888244.726982797</v>
      </c>
      <c r="G19" s="39" t="n">
        <v>96791926.6370935</v>
      </c>
      <c r="H19" s="33" t="n">
        <f aca="false">J18</f>
        <v>102376859.142187</v>
      </c>
      <c r="I19" s="33" t="n">
        <f aca="false">H19*N19</f>
        <v>-4696687.7781106</v>
      </c>
      <c r="J19" s="33" t="n">
        <f aca="false">H19+I19-F19</f>
        <v>96791926.6370935</v>
      </c>
      <c r="K19" s="33" t="n">
        <f aca="false">D19-I19</f>
        <v>0</v>
      </c>
      <c r="L19" s="33" t="n">
        <f aca="false">G19-J19</f>
        <v>0</v>
      </c>
      <c r="M19" s="33" t="n">
        <f aca="false">F19</f>
        <v>888244.726982797</v>
      </c>
      <c r="N19" s="65" t="n">
        <f aca="false">$C$7</f>
        <v>-0.0458764589719203</v>
      </c>
      <c r="O19" s="48" t="n">
        <f aca="false">IF(AND(B19&gt;=DATE(2026,1,1),B19&lt;=Resumen!$C$5),1,0)</f>
        <v>0</v>
      </c>
      <c r="P19" s="48" t="n">
        <f aca="false">IF(AND(B19&gt;Resumen!$C$5,B19&lt;=DATE(2027,7,31)),1,0)</f>
        <v>0</v>
      </c>
    </row>
    <row r="20" customFormat="false" ht="15" hidden="false" customHeight="false" outlineLevel="0" collapsed="false">
      <c r="A20" s="38" t="n">
        <v>8</v>
      </c>
      <c r="B20" s="27" t="n">
        <v>44526</v>
      </c>
      <c r="C20" s="39" t="n">
        <v>96791926.6370935</v>
      </c>
      <c r="D20" s="39" t="n">
        <v>-4440470.85117974</v>
      </c>
      <c r="E20" s="39" t="n">
        <v>5328715.57816254</v>
      </c>
      <c r="F20" s="39" t="n">
        <v>888244.726982798</v>
      </c>
      <c r="G20" s="39" t="n">
        <v>91463211.058931</v>
      </c>
      <c r="H20" s="33" t="n">
        <f aca="false">J19</f>
        <v>96791926.6370935</v>
      </c>
      <c r="I20" s="33" t="n">
        <f aca="false">H20*N20</f>
        <v>-4440470.85117974</v>
      </c>
      <c r="J20" s="33" t="n">
        <f aca="false">H20+I20-F20</f>
        <v>91463211.058931</v>
      </c>
      <c r="K20" s="33" t="n">
        <f aca="false">D20-I20</f>
        <v>0</v>
      </c>
      <c r="L20" s="33" t="n">
        <f aca="false">G20-J20</f>
        <v>0</v>
      </c>
      <c r="M20" s="33" t="n">
        <f aca="false">F20</f>
        <v>888244.726982798</v>
      </c>
      <c r="N20" s="65" t="n">
        <f aca="false">$C$7</f>
        <v>-0.0458764589719203</v>
      </c>
      <c r="O20" s="48" t="n">
        <f aca="false">IF(AND(B20&gt;=DATE(2026,1,1),B20&lt;=Resumen!$C$5),1,0)</f>
        <v>0</v>
      </c>
      <c r="P20" s="48" t="n">
        <f aca="false">IF(AND(B20&gt;Resumen!$C$5,B20&lt;=DATE(2027,7,31)),1,0)</f>
        <v>0</v>
      </c>
    </row>
    <row r="21" customFormat="false" ht="15" hidden="false" customHeight="false" outlineLevel="0" collapsed="false">
      <c r="A21" s="38" t="n">
        <v>9</v>
      </c>
      <c r="B21" s="27" t="n">
        <v>44556</v>
      </c>
      <c r="C21" s="39" t="n">
        <v>91463211.058931</v>
      </c>
      <c r="D21" s="39" t="n">
        <v>-4196008.24958513</v>
      </c>
      <c r="E21" s="39" t="n">
        <v>5084252.97656794</v>
      </c>
      <c r="F21" s="39" t="n">
        <v>888244.726982807</v>
      </c>
      <c r="G21" s="39" t="n">
        <v>86378958.082363</v>
      </c>
      <c r="H21" s="33" t="n">
        <f aca="false">J20</f>
        <v>91463211.058931</v>
      </c>
      <c r="I21" s="33" t="n">
        <f aca="false">H21*N21</f>
        <v>-4196008.24958513</v>
      </c>
      <c r="J21" s="33" t="n">
        <f aca="false">H21+I21-F21</f>
        <v>86378958.082363</v>
      </c>
      <c r="K21" s="33" t="n">
        <f aca="false">D21-I21</f>
        <v>0</v>
      </c>
      <c r="L21" s="33" t="n">
        <f aca="false">G21-J21</f>
        <v>0</v>
      </c>
      <c r="M21" s="33" t="n">
        <f aca="false">F21</f>
        <v>888244.726982807</v>
      </c>
      <c r="N21" s="65" t="n">
        <f aca="false">$C$7</f>
        <v>-0.0458764589719203</v>
      </c>
      <c r="O21" s="48" t="n">
        <f aca="false">IF(AND(B21&gt;=DATE(2026,1,1),B21&lt;=Resumen!$C$5),1,0)</f>
        <v>0</v>
      </c>
      <c r="P21" s="48" t="n">
        <f aca="false">IF(AND(B21&gt;Resumen!$C$5,B21&lt;=DATE(2027,7,31)),1,0)</f>
        <v>0</v>
      </c>
    </row>
    <row r="22" customFormat="false" ht="15" hidden="false" customHeight="false" outlineLevel="0" collapsed="false">
      <c r="A22" s="38" t="n">
        <v>10</v>
      </c>
      <c r="B22" s="27" t="n">
        <v>44587</v>
      </c>
      <c r="C22" s="39" t="n">
        <v>86378958.082363</v>
      </c>
      <c r="D22" s="39" t="n">
        <v>-3962760.72650275</v>
      </c>
      <c r="E22" s="39" t="n">
        <v>4851005.45348555</v>
      </c>
      <c r="F22" s="39" t="n">
        <v>888244.726982799</v>
      </c>
      <c r="G22" s="39" t="n">
        <v>81527952.6288775</v>
      </c>
      <c r="H22" s="33" t="n">
        <f aca="false">J21</f>
        <v>86378958.082363</v>
      </c>
      <c r="I22" s="33" t="n">
        <f aca="false">H22*N22</f>
        <v>-3962760.72650275</v>
      </c>
      <c r="J22" s="33" t="n">
        <f aca="false">H22+I22-F22</f>
        <v>81527952.6288775</v>
      </c>
      <c r="K22" s="33" t="n">
        <f aca="false">D22-I22</f>
        <v>0</v>
      </c>
      <c r="L22" s="33" t="n">
        <f aca="false">G22-J22</f>
        <v>0</v>
      </c>
      <c r="M22" s="33" t="n">
        <f aca="false">F22</f>
        <v>888244.726982799</v>
      </c>
      <c r="N22" s="65" t="n">
        <f aca="false">$C$7</f>
        <v>-0.0458764589719203</v>
      </c>
      <c r="O22" s="48" t="n">
        <f aca="false">IF(AND(B22&gt;=DATE(2026,1,1),B22&lt;=Resumen!$C$5),1,0)</f>
        <v>0</v>
      </c>
      <c r="P22" s="48" t="n">
        <f aca="false">IF(AND(B22&gt;Resumen!$C$5,B22&lt;=DATE(2027,7,31)),1,0)</f>
        <v>0</v>
      </c>
    </row>
    <row r="23" customFormat="false" ht="15" hidden="false" customHeight="false" outlineLevel="0" collapsed="false">
      <c r="A23" s="38" t="n">
        <v>11</v>
      </c>
      <c r="B23" s="27" t="n">
        <v>44618</v>
      </c>
      <c r="C23" s="39" t="n">
        <v>81527952.6288775</v>
      </c>
      <c r="D23" s="39" t="n">
        <v>-3740213.77384336</v>
      </c>
      <c r="E23" s="39" t="n">
        <v>4628458.50082617</v>
      </c>
      <c r="F23" s="39" t="n">
        <v>888244.726982807</v>
      </c>
      <c r="G23" s="39" t="n">
        <v>76899494.1280513</v>
      </c>
      <c r="H23" s="33" t="n">
        <f aca="false">J22</f>
        <v>81527952.6288775</v>
      </c>
      <c r="I23" s="33" t="n">
        <f aca="false">H23*N23</f>
        <v>-3740213.77384336</v>
      </c>
      <c r="J23" s="33" t="n">
        <f aca="false">H23+I23-F23</f>
        <v>76899494.1280513</v>
      </c>
      <c r="K23" s="33" t="n">
        <f aca="false">D23-I23</f>
        <v>0</v>
      </c>
      <c r="L23" s="33" t="n">
        <f aca="false">G23-J23</f>
        <v>0</v>
      </c>
      <c r="M23" s="33" t="n">
        <f aca="false">F23</f>
        <v>888244.726982807</v>
      </c>
      <c r="N23" s="65" t="n">
        <f aca="false">$C$7</f>
        <v>-0.0458764589719203</v>
      </c>
      <c r="O23" s="48" t="n">
        <f aca="false">IF(AND(B23&gt;=DATE(2026,1,1),B23&lt;=Resumen!$C$5),1,0)</f>
        <v>0</v>
      </c>
      <c r="P23" s="48" t="n">
        <f aca="false">IF(AND(B23&gt;Resumen!$C$5,B23&lt;=DATE(2027,7,31)),1,0)</f>
        <v>0</v>
      </c>
    </row>
    <row r="24" customFormat="false" ht="15" hidden="false" customHeight="false" outlineLevel="0" collapsed="false">
      <c r="A24" s="38" t="n">
        <v>12</v>
      </c>
      <c r="B24" s="27" t="n">
        <v>44646</v>
      </c>
      <c r="C24" s="39" t="n">
        <v>76899494.1280513</v>
      </c>
      <c r="D24" s="39" t="n">
        <v>-3527876.48732697</v>
      </c>
      <c r="E24" s="39" t="n">
        <v>4416121.21430977</v>
      </c>
      <c r="F24" s="39" t="n">
        <v>888244.726982796</v>
      </c>
      <c r="G24" s="39" t="n">
        <v>72483372.9137416</v>
      </c>
      <c r="H24" s="33" t="n">
        <f aca="false">J23</f>
        <v>76899494.1280513</v>
      </c>
      <c r="I24" s="33" t="n">
        <f aca="false">H24*N24</f>
        <v>-3527876.48732697</v>
      </c>
      <c r="J24" s="33" t="n">
        <f aca="false">H24+I24-F24</f>
        <v>72483372.9137416</v>
      </c>
      <c r="K24" s="33" t="n">
        <f aca="false">D24-I24</f>
        <v>0</v>
      </c>
      <c r="L24" s="33" t="n">
        <f aca="false">G24-J24</f>
        <v>0</v>
      </c>
      <c r="M24" s="33" t="n">
        <f aca="false">F24</f>
        <v>888244.726982796</v>
      </c>
      <c r="N24" s="65" t="n">
        <f aca="false">$C$7</f>
        <v>-0.0458764589719203</v>
      </c>
      <c r="O24" s="48" t="n">
        <f aca="false">IF(AND(B24&gt;=DATE(2026,1,1),B24&lt;=Resumen!$C$5),1,0)</f>
        <v>0</v>
      </c>
      <c r="P24" s="48" t="n">
        <f aca="false">IF(AND(B24&gt;Resumen!$C$5,B24&lt;=DATE(2027,7,31)),1,0)</f>
        <v>0</v>
      </c>
    </row>
    <row r="25" customFormat="false" ht="15" hidden="false" customHeight="false" outlineLevel="0" collapsed="false">
      <c r="A25" s="38" t="n">
        <v>13</v>
      </c>
      <c r="B25" s="27" t="n">
        <v>44677</v>
      </c>
      <c r="C25" s="39" t="n">
        <v>72483372.9137416</v>
      </c>
      <c r="D25" s="39" t="n">
        <v>-3325280.48362366</v>
      </c>
      <c r="E25" s="39" t="n">
        <v>6171093.87384005</v>
      </c>
      <c r="F25" s="39" t="n">
        <v>2845813.39021639</v>
      </c>
      <c r="G25" s="39" t="n">
        <v>66312279.0399015</v>
      </c>
      <c r="H25" s="33" t="n">
        <f aca="false">J24</f>
        <v>72483372.9137416</v>
      </c>
      <c r="I25" s="33" t="n">
        <f aca="false">H25*N25</f>
        <v>-3325280.48362366</v>
      </c>
      <c r="J25" s="33" t="n">
        <f aca="false">H25+I25-F25</f>
        <v>66312279.0399015</v>
      </c>
      <c r="K25" s="33" t="n">
        <f aca="false">D25-I25</f>
        <v>0</v>
      </c>
      <c r="L25" s="33" t="n">
        <f aca="false">G25-J25</f>
        <v>0</v>
      </c>
      <c r="M25" s="33" t="n">
        <f aca="false">F25</f>
        <v>2845813.39021639</v>
      </c>
      <c r="N25" s="65" t="n">
        <f aca="false">$C$7</f>
        <v>-0.0458764589719203</v>
      </c>
      <c r="O25" s="48" t="n">
        <f aca="false">IF(AND(B25&gt;=DATE(2026,1,1),B25&lt;=Resumen!$C$5),1,0)</f>
        <v>0</v>
      </c>
      <c r="P25" s="48" t="n">
        <f aca="false">IF(AND(B25&gt;Resumen!$C$5,B25&lt;=DATE(2027,7,31)),1,0)</f>
        <v>0</v>
      </c>
    </row>
    <row r="26" customFormat="false" ht="15" hidden="false" customHeight="false" outlineLevel="0" collapsed="false">
      <c r="A26" s="38" t="n">
        <v>14</v>
      </c>
      <c r="B26" s="27" t="n">
        <v>44707</v>
      </c>
      <c r="C26" s="39" t="n">
        <v>66312279.0399015</v>
      </c>
      <c r="D26" s="39" t="n">
        <v>-3042172.54870857</v>
      </c>
      <c r="E26" s="39" t="n">
        <v>5887985.93892495</v>
      </c>
      <c r="F26" s="39" t="n">
        <v>2845813.39021638</v>
      </c>
      <c r="G26" s="39" t="n">
        <v>60424293.1009766</v>
      </c>
      <c r="H26" s="33" t="n">
        <f aca="false">J25</f>
        <v>66312279.0399015</v>
      </c>
      <c r="I26" s="33" t="n">
        <f aca="false">H26*N26</f>
        <v>-3042172.54870857</v>
      </c>
      <c r="J26" s="33" t="n">
        <f aca="false">H26+I26-F26</f>
        <v>60424293.1009766</v>
      </c>
      <c r="K26" s="33" t="n">
        <f aca="false">D26-I26</f>
        <v>0</v>
      </c>
      <c r="L26" s="33" t="n">
        <f aca="false">G26-J26</f>
        <v>0</v>
      </c>
      <c r="M26" s="33" t="n">
        <f aca="false">F26</f>
        <v>2845813.39021638</v>
      </c>
      <c r="N26" s="65" t="n">
        <f aca="false">$C$7</f>
        <v>-0.0458764589719203</v>
      </c>
      <c r="O26" s="48" t="n">
        <f aca="false">IF(AND(B26&gt;=DATE(2026,1,1),B26&lt;=Resumen!$C$5),1,0)</f>
        <v>0</v>
      </c>
      <c r="P26" s="48" t="n">
        <f aca="false">IF(AND(B26&gt;Resumen!$C$5,B26&lt;=DATE(2027,7,31)),1,0)</f>
        <v>0</v>
      </c>
    </row>
    <row r="27" customFormat="false" ht="15" hidden="false" customHeight="false" outlineLevel="0" collapsed="false">
      <c r="A27" s="38" t="n">
        <v>15</v>
      </c>
      <c r="B27" s="27" t="n">
        <v>44738</v>
      </c>
      <c r="C27" s="39" t="n">
        <v>60424293.1009766</v>
      </c>
      <c r="D27" s="39" t="n">
        <v>-2772052.60335424</v>
      </c>
      <c r="E27" s="39" t="n">
        <v>5617865.99357062</v>
      </c>
      <c r="F27" s="39" t="n">
        <v>2845813.39021638</v>
      </c>
      <c r="G27" s="39" t="n">
        <v>54806427.1074059</v>
      </c>
      <c r="H27" s="33" t="n">
        <f aca="false">J26</f>
        <v>60424293.1009766</v>
      </c>
      <c r="I27" s="33" t="n">
        <f aca="false">H27*N27</f>
        <v>-2772052.60335424</v>
      </c>
      <c r="J27" s="33" t="n">
        <f aca="false">H27+I27-F27</f>
        <v>54806427.1074059</v>
      </c>
      <c r="K27" s="33" t="n">
        <f aca="false">D27-I27</f>
        <v>0</v>
      </c>
      <c r="L27" s="33" t="n">
        <f aca="false">G27-J27</f>
        <v>0</v>
      </c>
      <c r="M27" s="33" t="n">
        <f aca="false">F27</f>
        <v>2845813.39021638</v>
      </c>
      <c r="N27" s="65" t="n">
        <f aca="false">$C$7</f>
        <v>-0.0458764589719203</v>
      </c>
      <c r="O27" s="48" t="n">
        <f aca="false">IF(AND(B27&gt;=DATE(2026,1,1),B27&lt;=Resumen!$C$5),1,0)</f>
        <v>0</v>
      </c>
      <c r="P27" s="48" t="n">
        <f aca="false">IF(AND(B27&gt;Resumen!$C$5,B27&lt;=DATE(2027,7,31)),1,0)</f>
        <v>0</v>
      </c>
    </row>
    <row r="28" customFormat="false" ht="15" hidden="false" customHeight="false" outlineLevel="0" collapsed="false">
      <c r="A28" s="38" t="n">
        <v>16</v>
      </c>
      <c r="B28" s="27" t="n">
        <v>44768</v>
      </c>
      <c r="C28" s="39" t="n">
        <v>54806427.1074059</v>
      </c>
      <c r="D28" s="39" t="n">
        <v>-2514324.80459045</v>
      </c>
      <c r="E28" s="39" t="n">
        <v>5360138.19480683</v>
      </c>
      <c r="F28" s="39" t="n">
        <v>2845813.39021638</v>
      </c>
      <c r="G28" s="39" t="n">
        <v>49446288.9125991</v>
      </c>
      <c r="H28" s="33" t="n">
        <f aca="false">J27</f>
        <v>54806427.1074059</v>
      </c>
      <c r="I28" s="33" t="n">
        <f aca="false">H28*N28</f>
        <v>-2514324.80459045</v>
      </c>
      <c r="J28" s="33" t="n">
        <f aca="false">H28+I28-F28</f>
        <v>49446288.9125991</v>
      </c>
      <c r="K28" s="33" t="n">
        <f aca="false">D28-I28</f>
        <v>0</v>
      </c>
      <c r="L28" s="33" t="n">
        <f aca="false">G28-J28</f>
        <v>0</v>
      </c>
      <c r="M28" s="33" t="n">
        <f aca="false">F28</f>
        <v>2845813.39021638</v>
      </c>
      <c r="N28" s="65" t="n">
        <f aca="false">$C$7</f>
        <v>-0.0458764589719203</v>
      </c>
      <c r="O28" s="48" t="n">
        <f aca="false">IF(AND(B28&gt;=DATE(2026,1,1),B28&lt;=Resumen!$C$5),1,0)</f>
        <v>0</v>
      </c>
      <c r="P28" s="48" t="n">
        <f aca="false">IF(AND(B28&gt;Resumen!$C$5,B28&lt;=DATE(2027,7,31)),1,0)</f>
        <v>0</v>
      </c>
    </row>
    <row r="29" customFormat="false" ht="15" hidden="false" customHeight="false" outlineLevel="0" collapsed="false">
      <c r="A29" s="38" t="n">
        <v>17</v>
      </c>
      <c r="B29" s="27" t="n">
        <v>44799</v>
      </c>
      <c r="C29" s="39" t="n">
        <v>49446288.9125991</v>
      </c>
      <c r="D29" s="39" t="n">
        <v>-2268420.64461257</v>
      </c>
      <c r="E29" s="39" t="n">
        <v>5114234.03482895</v>
      </c>
      <c r="F29" s="39" t="n">
        <v>2845813.39021638</v>
      </c>
      <c r="G29" s="39" t="n">
        <v>44332054.8777702</v>
      </c>
      <c r="H29" s="33" t="n">
        <f aca="false">J28</f>
        <v>49446288.9125991</v>
      </c>
      <c r="I29" s="33" t="n">
        <f aca="false">H29*N29</f>
        <v>-2268420.64461257</v>
      </c>
      <c r="J29" s="33" t="n">
        <f aca="false">H29+I29-F29</f>
        <v>44332054.8777702</v>
      </c>
      <c r="K29" s="33" t="n">
        <f aca="false">D29-I29</f>
        <v>0</v>
      </c>
      <c r="L29" s="33" t="n">
        <f aca="false">G29-J29</f>
        <v>0</v>
      </c>
      <c r="M29" s="33" t="n">
        <f aca="false">F29</f>
        <v>2845813.39021638</v>
      </c>
      <c r="N29" s="65" t="n">
        <f aca="false">$C$7</f>
        <v>-0.0458764589719203</v>
      </c>
      <c r="O29" s="48" t="n">
        <f aca="false">IF(AND(B29&gt;=DATE(2026,1,1),B29&lt;=Resumen!$C$5),1,0)</f>
        <v>0</v>
      </c>
      <c r="P29" s="48" t="n">
        <f aca="false">IF(AND(B29&gt;Resumen!$C$5,B29&lt;=DATE(2027,7,31)),1,0)</f>
        <v>0</v>
      </c>
    </row>
    <row r="30" customFormat="false" ht="15" hidden="false" customHeight="false" outlineLevel="0" collapsed="false">
      <c r="A30" s="38" t="n">
        <v>18</v>
      </c>
      <c r="B30" s="27" t="n">
        <v>44830</v>
      </c>
      <c r="C30" s="39" t="n">
        <v>44332054.8777702</v>
      </c>
      <c r="D30" s="39" t="n">
        <v>-2033797.69674094</v>
      </c>
      <c r="E30" s="39" t="n">
        <v>4879611.08695732</v>
      </c>
      <c r="F30" s="39" t="n">
        <v>2845813.39021638</v>
      </c>
      <c r="G30" s="39" t="n">
        <v>39452443.7908128</v>
      </c>
      <c r="H30" s="33" t="n">
        <f aca="false">J29</f>
        <v>44332054.8777702</v>
      </c>
      <c r="I30" s="33" t="n">
        <f aca="false">H30*N30</f>
        <v>-2033797.69674094</v>
      </c>
      <c r="J30" s="33" t="n">
        <f aca="false">H30+I30-F30</f>
        <v>39452443.7908128</v>
      </c>
      <c r="K30" s="33" t="n">
        <f aca="false">D30-I30</f>
        <v>0</v>
      </c>
      <c r="L30" s="33" t="n">
        <f aca="false">G30-J30</f>
        <v>0</v>
      </c>
      <c r="M30" s="33" t="n">
        <f aca="false">F30</f>
        <v>2845813.39021638</v>
      </c>
      <c r="N30" s="65" t="n">
        <f aca="false">$C$7</f>
        <v>-0.0458764589719203</v>
      </c>
      <c r="O30" s="48" t="n">
        <f aca="false">IF(AND(B30&gt;=DATE(2026,1,1),B30&lt;=Resumen!$C$5),1,0)</f>
        <v>0</v>
      </c>
      <c r="P30" s="48" t="n">
        <f aca="false">IF(AND(B30&gt;Resumen!$C$5,B30&lt;=DATE(2027,7,31)),1,0)</f>
        <v>0</v>
      </c>
    </row>
    <row r="31" customFormat="false" ht="15" hidden="false" customHeight="false" outlineLevel="0" collapsed="false">
      <c r="A31" s="38" t="n">
        <v>19</v>
      </c>
      <c r="B31" s="27" t="n">
        <v>44860</v>
      </c>
      <c r="C31" s="39" t="n">
        <v>39452443.7908128</v>
      </c>
      <c r="D31" s="39" t="n">
        <v>-1809938.41891122</v>
      </c>
      <c r="E31" s="39" t="n">
        <v>4655751.8091276</v>
      </c>
      <c r="F31" s="39" t="n">
        <v>2845813.39021638</v>
      </c>
      <c r="G31" s="39" t="n">
        <v>34796691.9816852</v>
      </c>
      <c r="H31" s="33" t="n">
        <f aca="false">J30</f>
        <v>39452443.7908128</v>
      </c>
      <c r="I31" s="33" t="n">
        <f aca="false">H31*N31</f>
        <v>-1809938.41891122</v>
      </c>
      <c r="J31" s="33" t="n">
        <f aca="false">H31+I31-F31</f>
        <v>34796691.9816852</v>
      </c>
      <c r="K31" s="33" t="n">
        <f aca="false">D31-I31</f>
        <v>0</v>
      </c>
      <c r="L31" s="33" t="n">
        <f aca="false">G31-J31</f>
        <v>0</v>
      </c>
      <c r="M31" s="33" t="n">
        <f aca="false">F31</f>
        <v>2845813.39021638</v>
      </c>
      <c r="N31" s="65" t="n">
        <f aca="false">$C$7</f>
        <v>-0.0458764589719203</v>
      </c>
      <c r="O31" s="48" t="n">
        <f aca="false">IF(AND(B31&gt;=DATE(2026,1,1),B31&lt;=Resumen!$C$5),1,0)</f>
        <v>0</v>
      </c>
      <c r="P31" s="48" t="n">
        <f aca="false">IF(AND(B31&gt;Resumen!$C$5,B31&lt;=DATE(2027,7,31)),1,0)</f>
        <v>0</v>
      </c>
    </row>
    <row r="32" customFormat="false" ht="15" hidden="false" customHeight="false" outlineLevel="0" collapsed="false">
      <c r="A32" s="38" t="n">
        <v>20</v>
      </c>
      <c r="B32" s="27" t="n">
        <v>44891</v>
      </c>
      <c r="C32" s="39" t="n">
        <v>34796691.9816852</v>
      </c>
      <c r="D32" s="39" t="n">
        <v>-1596349.01205633</v>
      </c>
      <c r="E32" s="39" t="n">
        <v>4442162.40227271</v>
      </c>
      <c r="F32" s="39" t="n">
        <v>2845813.39021638</v>
      </c>
      <c r="G32" s="39" t="n">
        <v>30354529.5794125</v>
      </c>
      <c r="H32" s="33" t="n">
        <f aca="false">J31</f>
        <v>34796691.9816852</v>
      </c>
      <c r="I32" s="33" t="n">
        <f aca="false">H32*N32</f>
        <v>-1596349.01205633</v>
      </c>
      <c r="J32" s="33" t="n">
        <f aca="false">H32+I32-F32</f>
        <v>30354529.5794125</v>
      </c>
      <c r="K32" s="33" t="n">
        <f aca="false">D32-I32</f>
        <v>0</v>
      </c>
      <c r="L32" s="33" t="n">
        <f aca="false">G32-J32</f>
        <v>0</v>
      </c>
      <c r="M32" s="33" t="n">
        <f aca="false">F32</f>
        <v>2845813.39021638</v>
      </c>
      <c r="N32" s="65" t="n">
        <f aca="false">$C$7</f>
        <v>-0.0458764589719203</v>
      </c>
      <c r="O32" s="48" t="n">
        <f aca="false">IF(AND(B32&gt;=DATE(2026,1,1),B32&lt;=Resumen!$C$5),1,0)</f>
        <v>0</v>
      </c>
      <c r="P32" s="48" t="n">
        <f aca="false">IF(AND(B32&gt;Resumen!$C$5,B32&lt;=DATE(2027,7,31)),1,0)</f>
        <v>0</v>
      </c>
    </row>
    <row r="33" customFormat="false" ht="15" hidden="false" customHeight="false" outlineLevel="0" collapsed="false">
      <c r="A33" s="38" t="n">
        <v>21</v>
      </c>
      <c r="B33" s="27" t="n">
        <v>44921</v>
      </c>
      <c r="C33" s="39" t="n">
        <v>30354529.5794125</v>
      </c>
      <c r="D33" s="39" t="n">
        <v>-1392558.33086186</v>
      </c>
      <c r="E33" s="39" t="n">
        <v>4238371.72107824</v>
      </c>
      <c r="F33" s="39" t="n">
        <v>2845813.39021638</v>
      </c>
      <c r="G33" s="39" t="n">
        <v>26116157.8583343</v>
      </c>
      <c r="H33" s="33" t="n">
        <f aca="false">J32</f>
        <v>30354529.5794125</v>
      </c>
      <c r="I33" s="33" t="n">
        <f aca="false">H33*N33</f>
        <v>-1392558.33086186</v>
      </c>
      <c r="J33" s="33" t="n">
        <f aca="false">H33+I33-F33</f>
        <v>26116157.8583343</v>
      </c>
      <c r="K33" s="33" t="n">
        <f aca="false">D33-I33</f>
        <v>0</v>
      </c>
      <c r="L33" s="33" t="n">
        <f aca="false">G33-J33</f>
        <v>0</v>
      </c>
      <c r="M33" s="33" t="n">
        <f aca="false">F33</f>
        <v>2845813.39021638</v>
      </c>
      <c r="N33" s="65" t="n">
        <f aca="false">$C$7</f>
        <v>-0.0458764589719203</v>
      </c>
      <c r="O33" s="48" t="n">
        <f aca="false">IF(AND(B33&gt;=DATE(2026,1,1),B33&lt;=Resumen!$C$5),1,0)</f>
        <v>0</v>
      </c>
      <c r="P33" s="48" t="n">
        <f aca="false">IF(AND(B33&gt;Resumen!$C$5,B33&lt;=DATE(2027,7,31)),1,0)</f>
        <v>0</v>
      </c>
    </row>
    <row r="34" customFormat="false" ht="15" hidden="false" customHeight="false" outlineLevel="0" collapsed="false">
      <c r="A34" s="38" t="n">
        <v>22</v>
      </c>
      <c r="B34" s="27" t="n">
        <v>44952</v>
      </c>
      <c r="C34" s="39" t="n">
        <v>26116157.8583343</v>
      </c>
      <c r="D34" s="39" t="n">
        <v>-1198116.84449207</v>
      </c>
      <c r="E34" s="39" t="n">
        <v>4043930.23470845</v>
      </c>
      <c r="F34" s="39" t="n">
        <v>2845813.39021639</v>
      </c>
      <c r="G34" s="39" t="n">
        <v>22072227.6236258</v>
      </c>
      <c r="H34" s="33" t="n">
        <f aca="false">J33</f>
        <v>26116157.8583343</v>
      </c>
      <c r="I34" s="33" t="n">
        <f aca="false">H34*N34</f>
        <v>-1198116.84449207</v>
      </c>
      <c r="J34" s="33" t="n">
        <f aca="false">H34+I34-F34</f>
        <v>22072227.6236258</v>
      </c>
      <c r="K34" s="33" t="n">
        <f aca="false">D34-I34</f>
        <v>0</v>
      </c>
      <c r="L34" s="33" t="n">
        <f aca="false">G34-J34</f>
        <v>0</v>
      </c>
      <c r="M34" s="33" t="n">
        <f aca="false">F34</f>
        <v>2845813.39021639</v>
      </c>
      <c r="N34" s="65" t="n">
        <f aca="false">$C$7</f>
        <v>-0.0458764589719203</v>
      </c>
      <c r="O34" s="48" t="n">
        <f aca="false">IF(AND(B34&gt;=DATE(2026,1,1),B34&lt;=Resumen!$C$5),1,0)</f>
        <v>0</v>
      </c>
      <c r="P34" s="48" t="n">
        <f aca="false">IF(AND(B34&gt;Resumen!$C$5,B34&lt;=DATE(2027,7,31)),1,0)</f>
        <v>0</v>
      </c>
    </row>
    <row r="35" customFormat="false" ht="15" hidden="false" customHeight="false" outlineLevel="0" collapsed="false">
      <c r="A35" s="38" t="n">
        <v>23</v>
      </c>
      <c r="B35" s="27" t="n">
        <v>44983</v>
      </c>
      <c r="C35" s="39" t="n">
        <v>22072227.6236258</v>
      </c>
      <c r="D35" s="39" t="n">
        <v>-1012595.64499416</v>
      </c>
      <c r="E35" s="39" t="n">
        <v>3858409.03521054</v>
      </c>
      <c r="F35" s="39" t="n">
        <v>2845813.39021638</v>
      </c>
      <c r="G35" s="39" t="n">
        <v>18213818.5884153</v>
      </c>
      <c r="H35" s="33" t="n">
        <f aca="false">J34</f>
        <v>22072227.6236258</v>
      </c>
      <c r="I35" s="33" t="n">
        <f aca="false">H35*N35</f>
        <v>-1012595.64499416</v>
      </c>
      <c r="J35" s="33" t="n">
        <f aca="false">H35+I35-F35</f>
        <v>18213818.5884153</v>
      </c>
      <c r="K35" s="33" t="n">
        <f aca="false">D35-I35</f>
        <v>0</v>
      </c>
      <c r="L35" s="33" t="n">
        <f aca="false">G35-J35</f>
        <v>0</v>
      </c>
      <c r="M35" s="33" t="n">
        <f aca="false">F35</f>
        <v>2845813.39021638</v>
      </c>
      <c r="N35" s="65" t="n">
        <f aca="false">$C$7</f>
        <v>-0.0458764589719203</v>
      </c>
      <c r="O35" s="48" t="n">
        <f aca="false">IF(AND(B35&gt;=DATE(2026,1,1),B35&lt;=Resumen!$C$5),1,0)</f>
        <v>0</v>
      </c>
      <c r="P35" s="48" t="n">
        <f aca="false">IF(AND(B35&gt;Resumen!$C$5,B35&lt;=DATE(2027,7,31)),1,0)</f>
        <v>0</v>
      </c>
    </row>
    <row r="36" customFormat="false" ht="15" hidden="false" customHeight="false" outlineLevel="0" collapsed="false">
      <c r="A36" s="38" t="n">
        <v>24</v>
      </c>
      <c r="B36" s="27" t="n">
        <v>45011</v>
      </c>
      <c r="C36" s="39" t="n">
        <v>18213818.5884153</v>
      </c>
      <c r="D36" s="39" t="n">
        <v>-835585.501193433</v>
      </c>
      <c r="E36" s="39" t="n">
        <v>3681398.89140982</v>
      </c>
      <c r="F36" s="39" t="n">
        <v>2845813.39021639</v>
      </c>
      <c r="G36" s="39" t="n">
        <v>14532419.6970055</v>
      </c>
      <c r="H36" s="33" t="n">
        <f aca="false">J35</f>
        <v>18213818.5884153</v>
      </c>
      <c r="I36" s="33" t="n">
        <f aca="false">H36*N36</f>
        <v>-835585.501193433</v>
      </c>
      <c r="J36" s="33" t="n">
        <f aca="false">H36+I36-F36</f>
        <v>14532419.6970055</v>
      </c>
      <c r="K36" s="33" t="n">
        <f aca="false">D36-I36</f>
        <v>0</v>
      </c>
      <c r="L36" s="33" t="n">
        <f aca="false">G36-J36</f>
        <v>0</v>
      </c>
      <c r="M36" s="33" t="n">
        <f aca="false">F36</f>
        <v>2845813.39021639</v>
      </c>
      <c r="N36" s="65" t="n">
        <f aca="false">$C$7</f>
        <v>-0.0458764589719203</v>
      </c>
      <c r="O36" s="48" t="n">
        <f aca="false">IF(AND(B36&gt;=DATE(2026,1,1),B36&lt;=Resumen!$C$5),1,0)</f>
        <v>0</v>
      </c>
      <c r="P36" s="48" t="n">
        <f aca="false">IF(AND(B36&gt;Resumen!$C$5,B36&lt;=DATE(2027,7,31)),1,0)</f>
        <v>0</v>
      </c>
    </row>
    <row r="37" customFormat="false" ht="15" hidden="false" customHeight="false" outlineLevel="0" collapsed="false">
      <c r="A37" s="38" t="n">
        <v>25</v>
      </c>
      <c r="B37" s="27" t="n">
        <v>45042</v>
      </c>
      <c r="C37" s="39" t="n">
        <v>14532419.6970055</v>
      </c>
      <c r="D37" s="39" t="n">
        <v>-666695.955992398</v>
      </c>
      <c r="E37" s="39" t="n">
        <v>3512509.34620878</v>
      </c>
      <c r="F37" s="39" t="n">
        <v>2845813.39021638</v>
      </c>
      <c r="G37" s="39" t="n">
        <v>11019910.3507967</v>
      </c>
      <c r="H37" s="33" t="n">
        <f aca="false">J36</f>
        <v>14532419.6970055</v>
      </c>
      <c r="I37" s="33" t="n">
        <f aca="false">H37*N37</f>
        <v>-666695.955992398</v>
      </c>
      <c r="J37" s="33" t="n">
        <f aca="false">H37+I37-F37</f>
        <v>11019910.3507967</v>
      </c>
      <c r="K37" s="33" t="n">
        <f aca="false">D37-I37</f>
        <v>0</v>
      </c>
      <c r="L37" s="33" t="n">
        <f aca="false">G37-J37</f>
        <v>0</v>
      </c>
      <c r="M37" s="33" t="n">
        <f aca="false">F37</f>
        <v>2845813.39021638</v>
      </c>
      <c r="N37" s="65" t="n">
        <f aca="false">$C$7</f>
        <v>-0.0458764589719203</v>
      </c>
      <c r="O37" s="48" t="n">
        <f aca="false">IF(AND(B37&gt;=DATE(2026,1,1),B37&lt;=Resumen!$C$5),1,0)</f>
        <v>0</v>
      </c>
      <c r="P37" s="48" t="n">
        <f aca="false">IF(AND(B37&gt;Resumen!$C$5,B37&lt;=DATE(2027,7,31)),1,0)</f>
        <v>0</v>
      </c>
    </row>
    <row r="38" customFormat="false" ht="15" hidden="false" customHeight="false" outlineLevel="0" collapsed="false">
      <c r="A38" s="38" t="n">
        <v>26</v>
      </c>
      <c r="B38" s="27" t="n">
        <v>45072</v>
      </c>
      <c r="C38" s="39" t="n">
        <v>11019910.3507967</v>
      </c>
      <c r="D38" s="39" t="n">
        <v>-505554.465082564</v>
      </c>
      <c r="E38" s="39" t="n">
        <v>3351367.85529895</v>
      </c>
      <c r="F38" s="39" t="n">
        <v>2845813.39021638</v>
      </c>
      <c r="G38" s="39" t="n">
        <v>7668542.49549775</v>
      </c>
      <c r="H38" s="33" t="n">
        <f aca="false">J37</f>
        <v>11019910.3507967</v>
      </c>
      <c r="I38" s="33" t="n">
        <f aca="false">H38*N38</f>
        <v>-505554.465082564</v>
      </c>
      <c r="J38" s="33" t="n">
        <f aca="false">H38+I38-F38</f>
        <v>7668542.49549775</v>
      </c>
      <c r="K38" s="33" t="n">
        <f aca="false">D38-I38</f>
        <v>0</v>
      </c>
      <c r="L38" s="33" t="n">
        <f aca="false">G38-J38</f>
        <v>0</v>
      </c>
      <c r="M38" s="33" t="n">
        <f aca="false">F38</f>
        <v>2845813.39021638</v>
      </c>
      <c r="N38" s="65" t="n">
        <f aca="false">$C$7</f>
        <v>-0.0458764589719203</v>
      </c>
      <c r="O38" s="48" t="n">
        <f aca="false">IF(AND(B38&gt;=DATE(2026,1,1),B38&lt;=Resumen!$C$5),1,0)</f>
        <v>0</v>
      </c>
      <c r="P38" s="48" t="n">
        <f aca="false">IF(AND(B38&gt;Resumen!$C$5,B38&lt;=DATE(2027,7,31)),1,0)</f>
        <v>0</v>
      </c>
    </row>
    <row r="39" customFormat="false" ht="15" hidden="false" customHeight="false" outlineLevel="0" collapsed="false">
      <c r="A39" s="38" t="n">
        <v>27</v>
      </c>
      <c r="B39" s="27" t="n">
        <v>45103</v>
      </c>
      <c r="C39" s="39" t="n">
        <v>7668542.49549775</v>
      </c>
      <c r="D39" s="39" t="n">
        <v>-351805.575169129</v>
      </c>
      <c r="E39" s="39" t="n">
        <v>3197618.96538551</v>
      </c>
      <c r="F39" s="39" t="n">
        <v>2845813.39021638</v>
      </c>
      <c r="G39" s="39" t="n">
        <v>4470923.53011223</v>
      </c>
      <c r="H39" s="33" t="n">
        <f aca="false">J38</f>
        <v>7668542.49549775</v>
      </c>
      <c r="I39" s="33" t="n">
        <f aca="false">H39*N39</f>
        <v>-351805.57516913</v>
      </c>
      <c r="J39" s="33" t="n">
        <f aca="false">H39+I39-F39</f>
        <v>4470923.53011224</v>
      </c>
      <c r="K39" s="33" t="n">
        <f aca="false">D39-I39</f>
        <v>0</v>
      </c>
      <c r="L39" s="33" t="n">
        <f aca="false">G39-J39</f>
        <v>0</v>
      </c>
      <c r="M39" s="33" t="n">
        <f aca="false">F39</f>
        <v>2845813.39021638</v>
      </c>
      <c r="N39" s="65" t="n">
        <f aca="false">$C$7</f>
        <v>-0.0458764589719203</v>
      </c>
      <c r="O39" s="48" t="n">
        <f aca="false">IF(AND(B39&gt;=DATE(2026,1,1),B39&lt;=Resumen!$C$5),1,0)</f>
        <v>0</v>
      </c>
      <c r="P39" s="48" t="n">
        <f aca="false">IF(AND(B39&gt;Resumen!$C$5,B39&lt;=DATE(2027,7,31)),1,0)</f>
        <v>0</v>
      </c>
    </row>
    <row r="40" customFormat="false" ht="15" hidden="false" customHeight="false" outlineLevel="0" collapsed="false">
      <c r="A40" s="38" t="n">
        <v>28</v>
      </c>
      <c r="B40" s="27" t="n">
        <v>45133</v>
      </c>
      <c r="C40" s="39" t="n">
        <v>4470923.53011223</v>
      </c>
      <c r="D40" s="39" t="n">
        <v>-205110.139895787</v>
      </c>
      <c r="E40" s="39" t="n">
        <v>4470923.53011217</v>
      </c>
      <c r="F40" s="39" t="n">
        <v>4265813.39021638</v>
      </c>
      <c r="G40" s="39" t="n">
        <v>6.05359673500061E-008</v>
      </c>
      <c r="H40" s="33" t="n">
        <f aca="false">J39</f>
        <v>4470923.53011224</v>
      </c>
      <c r="I40" s="33" t="n">
        <f aca="false">H40*N40</f>
        <v>-205110.139895787</v>
      </c>
      <c r="J40" s="33" t="n">
        <f aca="false">H40+I40-F40</f>
        <v>6.4261257648468E-008</v>
      </c>
      <c r="K40" s="33" t="n">
        <f aca="false">D40-I40</f>
        <v>0</v>
      </c>
      <c r="L40" s="33" t="n">
        <f aca="false">G40-J40</f>
        <v>-3.72529029846191E-009</v>
      </c>
      <c r="M40" s="33" t="n">
        <f aca="false">F40</f>
        <v>4265813.39021638</v>
      </c>
      <c r="N40" s="65" t="n">
        <f aca="false">$C$7</f>
        <v>-0.0458764589719203</v>
      </c>
      <c r="O40" s="48" t="n">
        <f aca="false">IF(AND(B40&gt;=DATE(2026,1,1),B40&lt;=Resumen!$C$5),1,0)</f>
        <v>0</v>
      </c>
      <c r="P40" s="48" t="n">
        <f aca="false">IF(AND(B40&gt;Resumen!$C$5,B40&lt;=DATE(2027,7,31)),1,0)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A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5" min="4" style="0" width="20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5" min="14" style="0" width="17"/>
    <col collapsed="false" customWidth="true" hidden="false" outlineLevel="0" max="16" min="16" style="0" width="15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20" min="19" style="0" width="16"/>
    <col collapsed="false" customWidth="true" hidden="false" outlineLevel="0" max="21" min="21" style="0" width="15"/>
    <col collapsed="false" customWidth="true" hidden="false" outlineLevel="0" max="23" min="22" style="0" width="16"/>
    <col collapsed="false" customWidth="true" hidden="false" outlineLevel="0" max="25" min="24" style="0" width="15"/>
    <col collapsed="false" customWidth="true" hidden="false" outlineLevel="0" max="27" min="26" style="0" width="17"/>
    <col collapsed="false" customWidth="true" hidden="false" outlineLevel="0" max="28" min="28" style="0" width="60"/>
  </cols>
  <sheetData>
    <row r="1" customFormat="false" ht="16.15" hidden="false" customHeight="false" outlineLevel="0" collapsed="false">
      <c r="A1" s="23" t="s">
        <v>1869</v>
      </c>
    </row>
    <row r="2" customFormat="false" ht="15" hidden="false" customHeight="false" outlineLevel="0" collapsed="false">
      <c r="A2" s="24" t="s">
        <v>1870</v>
      </c>
    </row>
    <row r="4" customFormat="false" ht="55.5" hidden="false" customHeight="true" outlineLevel="0" collapsed="false">
      <c r="A4" s="31" t="s">
        <v>1198</v>
      </c>
      <c r="B4" s="31" t="s">
        <v>1871</v>
      </c>
      <c r="C4" s="31" t="s">
        <v>1872</v>
      </c>
      <c r="D4" s="31" t="s">
        <v>157</v>
      </c>
      <c r="E4" s="31" t="s">
        <v>1381</v>
      </c>
      <c r="F4" s="31" t="s">
        <v>1199</v>
      </c>
      <c r="G4" s="31" t="s">
        <v>1751</v>
      </c>
      <c r="H4" s="31" t="s">
        <v>1753</v>
      </c>
      <c r="I4" s="31" t="s">
        <v>1873</v>
      </c>
      <c r="J4" s="31" t="s">
        <v>1874</v>
      </c>
      <c r="K4" s="31" t="s">
        <v>1875</v>
      </c>
      <c r="L4" s="31" t="s">
        <v>1876</v>
      </c>
      <c r="M4" s="31" t="s">
        <v>1877</v>
      </c>
      <c r="N4" s="31" t="s">
        <v>1878</v>
      </c>
      <c r="O4" s="31" t="s">
        <v>102</v>
      </c>
      <c r="P4" s="31" t="s">
        <v>1879</v>
      </c>
      <c r="Q4" s="31" t="s">
        <v>1880</v>
      </c>
      <c r="R4" s="31" t="s">
        <v>1585</v>
      </c>
      <c r="S4" s="31" t="s">
        <v>1759</v>
      </c>
      <c r="T4" s="31" t="s">
        <v>1881</v>
      </c>
      <c r="U4" s="31" t="s">
        <v>1882</v>
      </c>
      <c r="V4" s="31" t="s">
        <v>1883</v>
      </c>
      <c r="W4" s="31" t="s">
        <v>1884</v>
      </c>
      <c r="X4" s="31" t="s">
        <v>1885</v>
      </c>
      <c r="Y4" s="31" t="s">
        <v>1886</v>
      </c>
      <c r="Z4" s="31" t="s">
        <v>1887</v>
      </c>
      <c r="AA4" s="31" t="s">
        <v>1888</v>
      </c>
      <c r="AB4" s="31" t="s">
        <v>1889</v>
      </c>
    </row>
    <row r="5" customFormat="false" ht="48" hidden="false" customHeight="true" outlineLevel="0" collapsed="false">
      <c r="A5" s="34" t="s">
        <v>118</v>
      </c>
      <c r="B5" s="38" t="s">
        <v>1890</v>
      </c>
      <c r="C5" s="67" t="s">
        <v>190</v>
      </c>
      <c r="D5" s="38" t="s">
        <v>1219</v>
      </c>
      <c r="E5" s="38" t="s">
        <v>1891</v>
      </c>
      <c r="F5" s="26" t="s">
        <v>1221</v>
      </c>
      <c r="G5" s="32" t="n">
        <f aca="false">'A01-9441'!C4</f>
        <v>726630000</v>
      </c>
      <c r="H5" s="57" t="n">
        <f aca="false">'A01-9441'!C5</f>
        <v>45210</v>
      </c>
      <c r="I5" s="14" t="str">
        <f aca="false">'A01-9441'!C6</f>
        <v>60 MESES – IBR+4%</v>
      </c>
      <c r="J5" s="51" t="n">
        <f aca="false">IF(ISNUMBER('A01-9441'!C7),'A01-9441'!C7,"Por fila")</f>
        <v>0.0133570443058773</v>
      </c>
      <c r="K5" s="51" t="n">
        <f aca="false">IFERROR('A01-9441'!C8,"N/A")</f>
        <v>0.013357044305877</v>
      </c>
      <c r="L5" s="53" t="n">
        <f aca="false">IF(AND(ISNUMBER(J5),ISNUMBER(K5)),(K5-J5)*10000,"N/A")</f>
        <v>-2.61943244872498E-012</v>
      </c>
      <c r="M5" s="57" t="n">
        <f aca="false">'A01-9441'!I4</f>
        <v>46214</v>
      </c>
      <c r="N5" s="32" t="n">
        <f aca="false">'A01-9441'!I5</f>
        <v>398582167.21439</v>
      </c>
      <c r="O5" s="32" t="n">
        <f aca="false">IF(COUNTIF(Detalle_62!$C$14:$C$35,A5)&gt;0,SUMIFS(Detalle_62!$F$14:$F$35,Detalle_62!$C$14:$C$35,A5),"No está")</f>
        <v>398582167.21439</v>
      </c>
      <c r="P5" s="33" t="n">
        <f aca="false">IF(ISNUMBER(O5),N5-O5,"N/A")</f>
        <v>0</v>
      </c>
      <c r="Q5" s="32" t="n">
        <f aca="false">IFERROR(INDEX(Saldos_x_Obligacion!$L:$L,MATCH("DAV-L1019441",Saldos_x_Obligacion!$A:$A,0)),"N/D")</f>
        <v>399387154</v>
      </c>
      <c r="R5" s="33" t="n">
        <f aca="false">IF(ISNUMBER(Q5),N5-Q5,"N/D")</f>
        <v>-804986.78561002</v>
      </c>
      <c r="S5" s="32" t="n">
        <f aca="false">'A01-9441'!I7</f>
        <v>41709581.6713573</v>
      </c>
      <c r="T5" s="32" t="n">
        <f aca="false">IFERROR(INDEX(Intereses_x_Obligacion!$I:$I,MATCH("DAV-L1019441",Intereses_x_Obligacion!$A:$A,0)),"N/D")</f>
        <v>31222019</v>
      </c>
      <c r="U5" s="33" t="n">
        <f aca="false">IF(ISNUMBER(T5),T5-S5,"N/D")</f>
        <v>-10487562.6713573</v>
      </c>
      <c r="V5" s="32" t="n">
        <f aca="false">MAX('A01-9441'!I8,0)</f>
        <v>159681765.768447</v>
      </c>
      <c r="W5" s="32" t="n">
        <f aca="false">IF(COUNTIF(Detalle_62!$C$14:$C$35,A5)&gt;0,SUMIFS(Detalle_62!$M$14:$M$35,Detalle_62!$C$14:$C$35,A5),"No está")</f>
        <v>194846536</v>
      </c>
      <c r="X5" s="33" t="n">
        <f aca="false">IF(ISNUMBER(W5),V5-W5,"N/A")</f>
        <v>-35164770.2315533</v>
      </c>
      <c r="Y5" s="32" t="n">
        <f aca="false">'A01-9441'!I9</f>
        <v>7.45058059692383E-009</v>
      </c>
      <c r="Z5" s="26" t="s">
        <v>95</v>
      </c>
      <c r="AA5" s="26" t="s">
        <v>95</v>
      </c>
      <c r="AB5" s="6" t="s">
        <v>1892</v>
      </c>
    </row>
    <row r="6" customFormat="false" ht="48" hidden="false" customHeight="true" outlineLevel="0" collapsed="false">
      <c r="A6" s="34" t="s">
        <v>119</v>
      </c>
      <c r="B6" s="38" t="s">
        <v>1893</v>
      </c>
      <c r="C6" s="67" t="s">
        <v>191</v>
      </c>
      <c r="D6" s="38" t="s">
        <v>1219</v>
      </c>
      <c r="E6" s="38" t="s">
        <v>1894</v>
      </c>
      <c r="F6" s="26" t="s">
        <v>1221</v>
      </c>
      <c r="G6" s="32" t="n">
        <f aca="false">'A02-9448'!C4</f>
        <v>560790000</v>
      </c>
      <c r="H6" s="57" t="n">
        <f aca="false">'A02-9448'!C5</f>
        <v>45265</v>
      </c>
      <c r="I6" s="14" t="str">
        <f aca="false">'A02-9448'!C6</f>
        <v>60 MESES – IBR+4%</v>
      </c>
      <c r="J6" s="51" t="n">
        <f aca="false">IF(ISNUMBER('A02-9448'!C7),'A02-9448'!C7,"Por fila")</f>
        <v>0.0126667070727526</v>
      </c>
      <c r="K6" s="51" t="n">
        <f aca="false">IFERROR('A02-9448'!C8,"N/A")</f>
        <v>0.0126667070726281</v>
      </c>
      <c r="L6" s="53" t="n">
        <f aca="false">IF(AND(ISNUMBER(J6),ISNUMBER(K6)),(K6-J6)*10000,"N/A")</f>
        <v>-1.24495899700428E-009</v>
      </c>
      <c r="M6" s="57" t="n">
        <f aca="false">'A02-9448'!I4</f>
        <v>46208</v>
      </c>
      <c r="N6" s="32" t="n">
        <f aca="false">'A02-9448'!I5</f>
        <v>323529688.533944</v>
      </c>
      <c r="O6" s="32" t="n">
        <f aca="false">IF(COUNTIF(Detalle_62!$C$14:$C$35,A6)&gt;0,SUMIFS(Detalle_62!$F$14:$F$35,Detalle_62!$C$14:$C$35,A6),"No está")</f>
        <v>323529688.533944</v>
      </c>
      <c r="P6" s="33" t="n">
        <f aca="false">IF(ISNUMBER(O6),N6-O6,"N/A")</f>
        <v>0</v>
      </c>
      <c r="Q6" s="32" t="n">
        <f aca="false">IFERROR(INDEX(Saldos_x_Obligacion!$L:$L,MATCH("DAV-L1019448",Saldos_x_Obligacion!$A:$A,0)),"N/D")</f>
        <v>332999135</v>
      </c>
      <c r="R6" s="33" t="n">
        <f aca="false">IF(ISNUMBER(Q6),N6-Q6,"N/D")</f>
        <v>-9469446.46605557</v>
      </c>
      <c r="S6" s="32" t="n">
        <f aca="false">'A02-9448'!I7</f>
        <v>31864025.6207989</v>
      </c>
      <c r="T6" s="32" t="n">
        <f aca="false">IFERROR(INDEX(Intereses_x_Obligacion!$I:$I,MATCH("DAV-L1019448",Intereses_x_Obligacion!$A:$A,0)),"N/D")</f>
        <v>25643813</v>
      </c>
      <c r="U6" s="33" t="n">
        <f aca="false">IF(ISNUMBER(T6),T6-S6,"N/D")</f>
        <v>-6220212.62079893</v>
      </c>
      <c r="V6" s="32" t="n">
        <f aca="false">MAX('A02-9448'!I8,0)</f>
        <v>119739145.958007</v>
      </c>
      <c r="W6" s="32" t="n">
        <f aca="false">IF(COUNTIF(Detalle_62!$C$14:$C$35,A6)&gt;0,SUMIFS(Detalle_62!$M$14:$M$35,Detalle_62!$C$14:$C$35,A6),"No está")</f>
        <v>142014647.455294</v>
      </c>
      <c r="X6" s="33" t="n">
        <f aca="false">IF(ISNUMBER(W6),V6-W6,"N/A")</f>
        <v>-22275501.4972866</v>
      </c>
      <c r="Y6" s="32" t="n">
        <f aca="false">'A02-9448'!I9</f>
        <v>9.49949026107788E-008</v>
      </c>
      <c r="Z6" s="26" t="s">
        <v>95</v>
      </c>
      <c r="AA6" s="26" t="s">
        <v>95</v>
      </c>
      <c r="AB6" s="6" t="s">
        <v>1895</v>
      </c>
    </row>
    <row r="7" customFormat="false" ht="48" hidden="false" customHeight="true" outlineLevel="0" collapsed="false">
      <c r="A7" s="34" t="s">
        <v>120</v>
      </c>
      <c r="B7" s="38" t="s">
        <v>1896</v>
      </c>
      <c r="C7" s="67" t="s">
        <v>192</v>
      </c>
      <c r="D7" s="38" t="s">
        <v>1219</v>
      </c>
      <c r="E7" s="38" t="s">
        <v>1897</v>
      </c>
      <c r="F7" s="26" t="s">
        <v>1221</v>
      </c>
      <c r="G7" s="32" t="n">
        <f aca="false">'A03-2753'!C4</f>
        <v>1876684264</v>
      </c>
      <c r="H7" s="57" t="n">
        <f aca="false">'A03-2753'!C5</f>
        <v>45679</v>
      </c>
      <c r="I7" s="14" t="str">
        <f aca="false">'A03-2753'!C6</f>
        <v>84 MESES – IBR TV + 2,3</v>
      </c>
      <c r="J7" s="51" t="n">
        <f aca="false">IF(ISNUMBER('A03-2753'!C7),'A03-2753'!C7,"Por fila")</f>
        <v>0.0273627142719182</v>
      </c>
      <c r="K7" s="51" t="n">
        <f aca="false">IFERROR('A03-2753'!C8,"N/A")</f>
        <v>0.0273627142719176</v>
      </c>
      <c r="L7" s="53" t="n">
        <f aca="false">IF(AND(ISNUMBER(J7),ISNUMBER(K7)),(K7-J7)*10000,"N/A")</f>
        <v>-5.41233724504764E-012</v>
      </c>
      <c r="M7" s="57" t="n">
        <f aca="false">'A03-2753'!I4</f>
        <v>46225</v>
      </c>
      <c r="N7" s="32" t="n">
        <f aca="false">'A03-2753'!I5</f>
        <v>1883712218.08706</v>
      </c>
      <c r="O7" s="32" t="n">
        <f aca="false">IF(COUNTIF(Detalle_62!$C$14:$C$35,A7)&gt;0,SUMIFS(Detalle_62!$F$14:$F$35,Detalle_62!$C$14:$C$35,A7),"No está")</f>
        <v>1883712218.08706</v>
      </c>
      <c r="P7" s="33" t="n">
        <f aca="false">IF(ISNUMBER(O7),N7-O7,"N/A")</f>
        <v>0</v>
      </c>
      <c r="Q7" s="32" t="n">
        <f aca="false">IFERROR(INDEX(Saldos_x_Obligacion!$L:$L,MATCH("DAV-L1021275",Saldos_x_Obligacion!$A:$A,0)),"N/D")</f>
        <v>1876684264</v>
      </c>
      <c r="R7" s="33" t="n">
        <f aca="false">IF(ISNUMBER(Q7),N7-Q7,"N/D")</f>
        <v>7027954.08705711</v>
      </c>
      <c r="S7" s="32" t="n">
        <f aca="false">'A03-2753'!I7</f>
        <v>154428550.826659</v>
      </c>
      <c r="T7" s="32" t="n">
        <f aca="false">IFERROR(INDEX(Intereses_x_Obligacion!$I:$I,MATCH("DAV-L1021275",Intereses_x_Obligacion!$A:$A,0)),"N/D")</f>
        <v>138538864</v>
      </c>
      <c r="U7" s="33" t="n">
        <f aca="false">IF(ISNUMBER(T7),T7-S7,"N/D")</f>
        <v>-15889686.8266591</v>
      </c>
      <c r="V7" s="32" t="n">
        <f aca="false">MAX('A03-2753'!I8,0)</f>
        <v>0</v>
      </c>
      <c r="W7" s="32" t="n">
        <f aca="false">IF(COUNTIF(Detalle_62!$C$14:$C$35,A7)&gt;0,SUMIFS(Detalle_62!$M$14:$M$35,Detalle_62!$C$14:$C$35,A7),"No está")</f>
        <v>0</v>
      </c>
      <c r="X7" s="33" t="n">
        <f aca="false">IF(ISNUMBER(W7),V7-W7,"N/A")</f>
        <v>0</v>
      </c>
      <c r="Y7" s="32" t="n">
        <f aca="false">'A03-2753'!I9</f>
        <v>0</v>
      </c>
      <c r="Z7" s="26" t="s">
        <v>95</v>
      </c>
      <c r="AA7" s="26" t="s">
        <v>95</v>
      </c>
      <c r="AB7" s="6" t="s">
        <v>1898</v>
      </c>
    </row>
    <row r="8" customFormat="false" ht="48" hidden="false" customHeight="true" outlineLevel="0" collapsed="false">
      <c r="A8" s="34" t="s">
        <v>116</v>
      </c>
      <c r="B8" s="38" t="s">
        <v>1899</v>
      </c>
      <c r="C8" s="67" t="s">
        <v>193</v>
      </c>
      <c r="D8" s="38" t="s">
        <v>1219</v>
      </c>
      <c r="E8" s="38" t="s">
        <v>1231</v>
      </c>
      <c r="F8" s="26" t="s">
        <v>165</v>
      </c>
      <c r="G8" s="32" t="n">
        <f aca="false">'A04-D-0624'!C4</f>
        <v>7500000000</v>
      </c>
      <c r="H8" s="57" t="n">
        <f aca="false">'A04-D-0624'!C5</f>
        <v>45372</v>
      </c>
      <c r="I8" s="14" t="str">
        <f aca="false">'A04-D-0624'!C6</f>
        <v>240 meses – IBR 6MESES + 3</v>
      </c>
      <c r="J8" s="51" t="str">
        <f aca="false">IF(ISNUMBER('A04-D-0624'!C7),'A04-D-0624'!C7,"Por fila")</f>
        <v>Por fila</v>
      </c>
      <c r="K8" s="51" t="str">
        <f aca="false">IFERROR('A04-D-0624'!C8,"N/A")</f>
        <v>N/A</v>
      </c>
      <c r="L8" s="53" t="str">
        <f aca="false">IF(AND(ISNUMBER(J8),ISNUMBER(K8)),(K8-J8)*10000,"N/A")</f>
        <v>N/A</v>
      </c>
      <c r="M8" s="57" t="n">
        <f aca="false">'A04-D-0624'!I4</f>
        <v>46224</v>
      </c>
      <c r="N8" s="32" t="n">
        <f aca="false">'A04-D-0624'!I5</f>
        <v>7500000000</v>
      </c>
      <c r="O8" s="32" t="n">
        <f aca="false">IF(COUNTIF(Detalle_62!$C$14:$C$35,A8)&gt;0,SUMIFS(Detalle_62!$F$14:$F$35,Detalle_62!$C$14:$C$35,A8),"No está")</f>
        <v>7500000000</v>
      </c>
      <c r="P8" s="33" t="n">
        <f aca="false">IF(ISNUMBER(O8),N8-O8,"N/A")</f>
        <v>0</v>
      </c>
      <c r="Q8" s="32" t="n">
        <f aca="false">IFERROR(INDEX(Saldos_x_Obligacion!$L:$L,MATCH("DAV-830624",Saldos_x_Obligacion!$A:$A,0)),"N/D")</f>
        <v>7499998503.25</v>
      </c>
      <c r="R8" s="33" t="n">
        <f aca="false">IF(ISNUMBER(Q8),N8-Q8,"N/D")</f>
        <v>1496.75</v>
      </c>
      <c r="S8" s="32" t="n">
        <f aca="false">'A04-D-0624'!I7</f>
        <v>639243750</v>
      </c>
      <c r="T8" s="32" t="n">
        <f aca="false">IFERROR(INDEX(Intereses_x_Obligacion!$I:$I,MATCH("DAV-830624",Intereses_x_Obligacion!$A:$A,0)),"N/D")</f>
        <v>586251750</v>
      </c>
      <c r="U8" s="33" t="n">
        <f aca="false">IF(ISNUMBER(T8),T8-S8,"N/D")</f>
        <v>-52992000</v>
      </c>
      <c r="V8" s="32" t="n">
        <f aca="false">MAX('A04-D-0624'!I8,0)</f>
        <v>0</v>
      </c>
      <c r="W8" s="32" t="n">
        <f aca="false">IF(COUNTIF(Detalle_62!$C$14:$C$35,A8)&gt;0,SUMIFS(Detalle_62!$M$14:$M$35,Detalle_62!$C$14:$C$35,A8),"No está")</f>
        <v>0</v>
      </c>
      <c r="X8" s="33" t="n">
        <f aca="false">IF(ISNUMBER(W8),V8-W8,"N/A")</f>
        <v>0</v>
      </c>
      <c r="Y8" s="32" t="n">
        <f aca="false">'A04-D-0624'!I9</f>
        <v>3.57627868652344E-007</v>
      </c>
      <c r="Z8" s="39" t="n">
        <v>5259837500</v>
      </c>
      <c r="AA8" s="62" t="n">
        <f aca="false">IF(ISNUMBER(Z8),Z8-N8,"N/A")</f>
        <v>-2240162500</v>
      </c>
      <c r="AB8" s="6" t="s">
        <v>1900</v>
      </c>
    </row>
    <row r="9" customFormat="false" ht="48" hidden="false" customHeight="true" outlineLevel="0" collapsed="false">
      <c r="A9" s="34" t="s">
        <v>117</v>
      </c>
      <c r="B9" s="38" t="s">
        <v>1901</v>
      </c>
      <c r="C9" s="67" t="s">
        <v>194</v>
      </c>
      <c r="D9" s="38" t="s">
        <v>1219</v>
      </c>
      <c r="E9" s="38" t="s">
        <v>1232</v>
      </c>
      <c r="F9" s="26" t="s">
        <v>165</v>
      </c>
      <c r="G9" s="32" t="n">
        <f aca="false">'A05-D-7691'!C4</f>
        <v>3960000000</v>
      </c>
      <c r="H9" s="57" t="n">
        <f aca="false">'A05-D-7691'!C5</f>
        <v>44405</v>
      </c>
      <c r="I9" s="14" t="str">
        <f aca="false">'A05-D-7691'!C6</f>
        <v>240 meses – IBR 6MESES +3,4</v>
      </c>
      <c r="J9" s="51" t="str">
        <f aca="false">IF(ISNUMBER('A05-D-7691'!C7),'A05-D-7691'!C7,"Por fila")</f>
        <v>Por fila</v>
      </c>
      <c r="K9" s="51" t="str">
        <f aca="false">IFERROR('A05-D-7691'!C8,"N/A")</f>
        <v>N/A</v>
      </c>
      <c r="L9" s="53" t="str">
        <f aca="false">IF(AND(ISNUMBER(J9),ISNUMBER(K9)),(K9-J9)*10000,"N/A")</f>
        <v>N/A</v>
      </c>
      <c r="M9" s="57" t="n">
        <f aca="false">'A05-D-7691'!I4</f>
        <v>46231</v>
      </c>
      <c r="N9" s="32" t="n">
        <f aca="false">'A05-D-7691'!I5</f>
        <v>3960000000</v>
      </c>
      <c r="O9" s="32" t="n">
        <f aca="false">IF(COUNTIF(Detalle_62!$C$14:$C$35,A9)&gt;0,SUMIFS(Detalle_62!$F$14:$F$35,Detalle_62!$C$14:$C$35,A9),"No está")</f>
        <v>3960000000</v>
      </c>
      <c r="P9" s="33" t="n">
        <f aca="false">IF(ISNUMBER(O9),N9-O9,"N/A")</f>
        <v>0</v>
      </c>
      <c r="Q9" s="32" t="n">
        <f aca="false">IFERROR(INDEX(Saldos_x_Obligacion!$L:$L,MATCH("DAV-607691",Saldos_x_Obligacion!$A:$A,0)),"N/D")</f>
        <v>3959997817.95</v>
      </c>
      <c r="R9" s="33" t="n">
        <f aca="false">IF(ISNUMBER(Q9),N9-Q9,"N/D")</f>
        <v>2182.0499997139</v>
      </c>
      <c r="S9" s="32" t="n">
        <f aca="false">'A05-D-7691'!I7</f>
        <v>346760700</v>
      </c>
      <c r="T9" s="32" t="n">
        <f aca="false">IFERROR(INDEX(Intereses_x_Obligacion!$I:$I,MATCH("DAV-607691",Intereses_x_Obligacion!$A:$A,0)),"N/D")</f>
        <v>309646400</v>
      </c>
      <c r="U9" s="33" t="n">
        <f aca="false">IF(ISNUMBER(T9),T9-S9,"N/D")</f>
        <v>-37114300</v>
      </c>
      <c r="V9" s="32" t="n">
        <f aca="false">MAX('A05-D-7691'!I8,0)</f>
        <v>0</v>
      </c>
      <c r="W9" s="32" t="n">
        <f aca="false">IF(COUNTIF(Detalle_62!$C$14:$C$35,A9)&gt;0,SUMIFS(Detalle_62!$M$14:$M$35,Detalle_62!$C$14:$C$35,A9),"No está")</f>
        <v>0</v>
      </c>
      <c r="X9" s="33" t="n">
        <f aca="false">IF(ISNUMBER(W9),V9-W9,"N/A")</f>
        <v>0</v>
      </c>
      <c r="Y9" s="32" t="n">
        <f aca="false">'A05-D-7691'!I9</f>
        <v>2.14576721191406E-006</v>
      </c>
      <c r="Z9" s="39" t="n">
        <v>4234722992.17794</v>
      </c>
      <c r="AA9" s="62" t="n">
        <f aca="false">IF(ISNUMBER(Z9),Z9-N9,"N/A")</f>
        <v>274722992.177936</v>
      </c>
      <c r="AB9" s="6" t="s">
        <v>1902</v>
      </c>
    </row>
    <row r="10" customFormat="false" ht="48" hidden="false" customHeight="true" outlineLevel="0" collapsed="false">
      <c r="A10" s="34" t="s">
        <v>115</v>
      </c>
      <c r="B10" s="38" t="s">
        <v>1903</v>
      </c>
      <c r="C10" s="67" t="s">
        <v>195</v>
      </c>
      <c r="D10" s="38" t="s">
        <v>1219</v>
      </c>
      <c r="E10" s="38" t="s">
        <v>1904</v>
      </c>
      <c r="F10" s="26" t="s">
        <v>165</v>
      </c>
      <c r="G10" s="32" t="n">
        <f aca="false">'A06-D-9032'!C4</f>
        <v>3000000000</v>
      </c>
      <c r="H10" s="57" t="n">
        <f aca="false">'A06-D-9032'!C5</f>
        <v>44405</v>
      </c>
      <c r="I10" s="14" t="str">
        <f aca="false">'A06-D-9032'!C6</f>
        <v>240 meses – IBR 6MESES +3,4</v>
      </c>
      <c r="J10" s="51" t="str">
        <f aca="false">IF(ISNUMBER('A06-D-9032'!C7),'A06-D-9032'!C7,"Por fila")</f>
        <v>Por fila</v>
      </c>
      <c r="K10" s="51" t="str">
        <f aca="false">IFERROR('A06-D-9032'!C8,"N/A")</f>
        <v>N/A</v>
      </c>
      <c r="L10" s="53" t="str">
        <f aca="false">IF(AND(ISNUMBER(J10),ISNUMBER(K10)),(K10-J10)*10000,"N/A")</f>
        <v>N/A</v>
      </c>
      <c r="M10" s="57" t="n">
        <f aca="false">'A06-D-9032'!I4</f>
        <v>46231</v>
      </c>
      <c r="N10" s="32" t="n">
        <f aca="false">'A06-D-9032'!I5</f>
        <v>3000000000</v>
      </c>
      <c r="O10" s="32" t="n">
        <f aca="false">IF(COUNTIF(Detalle_62!$C$14:$C$35,A10)&gt;0,SUMIFS(Detalle_62!$F$14:$F$35,Detalle_62!$C$14:$C$35,A10),"No está")</f>
        <v>3000000000</v>
      </c>
      <c r="P10" s="33" t="n">
        <f aca="false">IF(ISNUMBER(O10),N10-O10,"N/A")</f>
        <v>0</v>
      </c>
      <c r="Q10" s="32" t="n">
        <f aca="false">IFERROR(INDEX(Saldos_x_Obligacion!$L:$L,MATCH("DAV-569032",Saldos_x_Obligacion!$A:$A,0)),"N/D")</f>
        <v>2999995157</v>
      </c>
      <c r="R10" s="33" t="n">
        <f aca="false">IF(ISNUMBER(Q10),N10-Q10,"N/D")</f>
        <v>4843</v>
      </c>
      <c r="S10" s="32" t="n">
        <f aca="false">'A06-D-9032'!I7</f>
        <v>262697500</v>
      </c>
      <c r="T10" s="32" t="n">
        <f aca="false">IFERROR(INDEX(Intereses_x_Obligacion!$I:$I,MATCH("DAV-569032",Intereses_x_Obligacion!$A:$A,0)),"N/D")</f>
        <v>234581000</v>
      </c>
      <c r="U10" s="33" t="n">
        <f aca="false">IF(ISNUMBER(T10),T10-S10,"N/D")</f>
        <v>-28116500</v>
      </c>
      <c r="V10" s="32" t="n">
        <f aca="false">MAX('A06-D-9032'!I8,0)</f>
        <v>0</v>
      </c>
      <c r="W10" s="32" t="n">
        <f aca="false">IF(COUNTIF(Detalle_62!$C$14:$C$35,A10)&gt;0,SUMIFS(Detalle_62!$M$14:$M$35,Detalle_62!$C$14:$C$35,A10),"No está")</f>
        <v>0</v>
      </c>
      <c r="X10" s="33" t="n">
        <f aca="false">IF(ISNUMBER(W10),V10-W10,"N/A")</f>
        <v>0</v>
      </c>
      <c r="Y10" s="32" t="n">
        <f aca="false">'A06-D-9032'!I9</f>
        <v>9.23871994018555E-007</v>
      </c>
      <c r="Z10" s="39" t="n">
        <v>3208123478.92274</v>
      </c>
      <c r="AA10" s="62" t="n">
        <f aca="false">IF(ISNUMBER(Z10),Z10-N10,"N/A")</f>
        <v>208123478.922738</v>
      </c>
      <c r="AB10" s="6" t="s">
        <v>1905</v>
      </c>
    </row>
    <row r="11" customFormat="false" ht="48" hidden="false" customHeight="true" outlineLevel="0" collapsed="false">
      <c r="A11" s="34" t="s">
        <v>124</v>
      </c>
      <c r="B11" s="38" t="s">
        <v>1906</v>
      </c>
      <c r="C11" s="67" t="s">
        <v>196</v>
      </c>
      <c r="D11" s="38" t="s">
        <v>1907</v>
      </c>
      <c r="E11" s="38" t="s">
        <v>1233</v>
      </c>
      <c r="F11" s="26" t="s">
        <v>165</v>
      </c>
      <c r="G11" s="32" t="n">
        <f aca="false">'A07-B-6746'!C4</f>
        <v>7500000000</v>
      </c>
      <c r="H11" s="57" t="n">
        <f aca="false">'A07-B-6746'!C5</f>
        <v>43207</v>
      </c>
      <c r="I11" s="14" t="str">
        <f aca="false">'A07-B-6746'!C6</f>
        <v>144 meses – IBR +4,70</v>
      </c>
      <c r="J11" s="51" t="str">
        <f aca="false">IF(ISNUMBER('A07-B-6746'!C7),'A07-B-6746'!C7,"Por fila")</f>
        <v>Por fila</v>
      </c>
      <c r="K11" s="51" t="str">
        <f aca="false">IFERROR('A07-B-6746'!C8,"N/A")</f>
        <v>N/A</v>
      </c>
      <c r="L11" s="53" t="str">
        <f aca="false">IF(AND(ISNUMBER(J11),ISNUMBER(K11)),(K11-J11)*10000,"N/A")</f>
        <v>N/A</v>
      </c>
      <c r="M11" s="57" t="n">
        <f aca="false">'A07-B-6746'!I4</f>
        <v>46220</v>
      </c>
      <c r="N11" s="32" t="n">
        <f aca="false">'A07-B-6746'!I5</f>
        <v>2937500000</v>
      </c>
      <c r="O11" s="32" t="n">
        <f aca="false">IF(COUNTIF(Detalle_62!$C$14:$C$35,A11)&gt;0,SUMIFS(Detalle_62!$F$14:$F$35,Detalle_62!$C$14:$C$35,A11),"No está")</f>
        <v>2937500000</v>
      </c>
      <c r="P11" s="33" t="n">
        <f aca="false">IF(ISNUMBER(O11),N11-O11,"N/A")</f>
        <v>0</v>
      </c>
      <c r="Q11" s="32" t="n">
        <f aca="false">IFERROR(INDEX(Saldos_x_Obligacion!$L:$L,MATCH("BOG-453436746",Saldos_x_Obligacion!$A:$A,0)),"N/D")</f>
        <v>2937499977.39</v>
      </c>
      <c r="R11" s="33" t="n">
        <f aca="false">IF(ISNUMBER(Q11),N11-Q11,"N/D")</f>
        <v>22.6100001335144</v>
      </c>
      <c r="S11" s="32" t="n">
        <f aca="false">'A07-B-6746'!I7</f>
        <v>284219218.75</v>
      </c>
      <c r="T11" s="32" t="n">
        <f aca="false">IFERROR(INDEX(Intereses_x_Obligacion!$I:$I,MATCH("BOG-453436746",Intereses_x_Obligacion!$A:$A,0)),"N/D")</f>
        <v>232297663.36</v>
      </c>
      <c r="U11" s="33" t="n">
        <f aca="false">IF(ISNUMBER(T11),T11-S11,"N/D")</f>
        <v>-51921555.39</v>
      </c>
      <c r="V11" s="32" t="n">
        <f aca="false">MAX('A07-B-6746'!I8,0)</f>
        <v>750000000</v>
      </c>
      <c r="W11" s="32" t="n">
        <f aca="false">IF(COUNTIF(Detalle_62!$C$14:$C$35,A11)&gt;0,SUMIFS(Detalle_62!$M$14:$M$35,Detalle_62!$C$14:$C$35,A11),"No está")</f>
        <v>750000000</v>
      </c>
      <c r="X11" s="33" t="n">
        <f aca="false">IF(ISNUMBER(W11),V11-W11,"N/A")</f>
        <v>0</v>
      </c>
      <c r="Y11" s="32" t="n">
        <f aca="false">'A07-B-6746'!I9</f>
        <v>0</v>
      </c>
      <c r="Z11" s="39" t="n">
        <v>3222674272.53525</v>
      </c>
      <c r="AA11" s="62" t="n">
        <f aca="false">IF(ISNUMBER(Z11),Z11-N11,"N/A")</f>
        <v>285174272.535248</v>
      </c>
      <c r="AB11" s="6" t="s">
        <v>1908</v>
      </c>
    </row>
    <row r="12" customFormat="false" ht="48" hidden="false" customHeight="true" outlineLevel="0" collapsed="false">
      <c r="A12" s="34" t="s">
        <v>125</v>
      </c>
      <c r="B12" s="38" t="s">
        <v>1909</v>
      </c>
      <c r="C12" s="67" t="s">
        <v>197</v>
      </c>
      <c r="D12" s="38" t="s">
        <v>306</v>
      </c>
      <c r="E12" s="38" t="s">
        <v>1234</v>
      </c>
      <c r="F12" s="26" t="s">
        <v>165</v>
      </c>
      <c r="G12" s="32" t="n">
        <f aca="false">'A08-B-0629'!C4</f>
        <v>2186000000</v>
      </c>
      <c r="H12" s="57" t="n">
        <f aca="false">'A08-B-0629'!C5</f>
        <v>45098</v>
      </c>
      <c r="I12" s="14" t="str">
        <f aca="false">'A08-B-0629'!C6</f>
        <v>60 meses – IBR(3M) + 3,2%</v>
      </c>
      <c r="J12" s="51" t="str">
        <f aca="false">IF(ISNUMBER('A08-B-0629'!C7),'A08-B-0629'!C7,"Por fila")</f>
        <v>Por fila</v>
      </c>
      <c r="K12" s="51" t="str">
        <f aca="false">IFERROR('A08-B-0629'!C8,"N/A")</f>
        <v>N/A</v>
      </c>
      <c r="L12" s="53" t="str">
        <f aca="false">IF(AND(ISNUMBER(J12),ISNUMBER(K12)),(K12-J12)*10000,"N/A")</f>
        <v>N/A</v>
      </c>
      <c r="M12" s="57" t="n">
        <f aca="false">'A08-B-0629'!I4</f>
        <v>46224</v>
      </c>
      <c r="N12" s="32" t="n">
        <f aca="false">'A08-B-0629'!I5</f>
        <v>1457333336</v>
      </c>
      <c r="O12" s="32" t="n">
        <f aca="false">IF(COUNTIF(Detalle_62!$C$14:$C$35,A12)&gt;0,SUMIFS(Detalle_62!$F$14:$F$35,Detalle_62!$C$14:$C$35,A12),"No está")</f>
        <v>1457333332</v>
      </c>
      <c r="P12" s="33" t="n">
        <f aca="false">IF(ISNUMBER(O12),N12-O12,"N/A")</f>
        <v>4</v>
      </c>
      <c r="Q12" s="32" t="n">
        <f aca="false">IFERROR(INDEX(Saldos_x_Obligacion!$L:$L,MATCH("BOG-856670629",Saldos_x_Obligacion!$A:$A,0)),"N/D")</f>
        <v>1457333325.59</v>
      </c>
      <c r="R12" s="33" t="n">
        <f aca="false">IF(ISNUMBER(Q12),N12-Q12,"N/D")</f>
        <v>10.4100000858307</v>
      </c>
      <c r="S12" s="32" t="n">
        <f aca="false">'A08-B-0629'!I7</f>
        <v>140132012.200862</v>
      </c>
      <c r="T12" s="32" t="n">
        <f aca="false">IFERROR(INDEX(Intereses_x_Obligacion!$I:$I,MATCH("BOG-856670629",Intereses_x_Obligacion!$A:$A,0)),"N/D")</f>
        <v>133305619</v>
      </c>
      <c r="U12" s="33" t="n">
        <f aca="false">IF(ISNUMBER(T12),T12-S12,"N/D")</f>
        <v>-6826393.20086166</v>
      </c>
      <c r="V12" s="32" t="n">
        <f aca="false">MAX('A08-B-0629'!I8,0)</f>
        <v>728666668</v>
      </c>
      <c r="W12" s="32" t="n">
        <f aca="false">IF(COUNTIF(Detalle_62!$C$14:$C$35,A12)&gt;0,SUMIFS(Detalle_62!$M$14:$M$35,Detalle_62!$C$14:$C$35,A12),"No está")</f>
        <v>750000000</v>
      </c>
      <c r="X12" s="33" t="n">
        <f aca="false">IF(ISNUMBER(W12),V12-W12,"N/A")</f>
        <v>-21333332</v>
      </c>
      <c r="Y12" s="32" t="n">
        <f aca="false">'A08-B-0629'!I9</f>
        <v>0</v>
      </c>
      <c r="Z12" s="39" t="n">
        <v>1473030879.22839</v>
      </c>
      <c r="AA12" s="62" t="n">
        <f aca="false">IF(ISNUMBER(Z12),Z12-N12,"N/A")</f>
        <v>15697543.228394</v>
      </c>
      <c r="AB12" s="6" t="s">
        <v>1910</v>
      </c>
    </row>
    <row r="13" customFormat="false" ht="48" hidden="false" customHeight="true" outlineLevel="0" collapsed="false">
      <c r="A13" s="34" t="s">
        <v>126</v>
      </c>
      <c r="B13" s="38" t="s">
        <v>1911</v>
      </c>
      <c r="C13" s="67" t="s">
        <v>198</v>
      </c>
      <c r="D13" s="38" t="s">
        <v>306</v>
      </c>
      <c r="E13" s="38" t="s">
        <v>1235</v>
      </c>
      <c r="F13" s="26" t="s">
        <v>165</v>
      </c>
      <c r="G13" s="32" t="n">
        <f aca="false">'A09-B-7259'!C4</f>
        <v>2500000000</v>
      </c>
      <c r="H13" s="57" t="n">
        <f aca="false">'A09-B-7259'!C5</f>
        <v>45163</v>
      </c>
      <c r="I13" s="14" t="str">
        <f aca="false">'A09-B-7259'!C6</f>
        <v>60 meses – IBR(3M) + 4,6%</v>
      </c>
      <c r="J13" s="51" t="str">
        <f aca="false">IF(ISNUMBER('A09-B-7259'!C7),'A09-B-7259'!C7,"Por fila")</f>
        <v>Por fila</v>
      </c>
      <c r="K13" s="51" t="n">
        <f aca="false">IFERROR('A09-B-7259'!C8,"N/A")</f>
        <v>0.0128176454362254</v>
      </c>
      <c r="L13" s="53" t="str">
        <f aca="false">IF(AND(ISNUMBER(J13),ISNUMBER(K13)),(K13-J13)*10000,"N/A")</f>
        <v>N/A</v>
      </c>
      <c r="M13" s="57" t="n">
        <f aca="false">'A09-B-7259'!I4</f>
        <v>46224</v>
      </c>
      <c r="N13" s="32" t="n">
        <f aca="false">'A09-B-7259'!I5</f>
        <v>1125000000</v>
      </c>
      <c r="O13" s="32" t="n">
        <f aca="false">IF(COUNTIF(Detalle_62!$C$14:$C$35,A13)&gt;0,SUMIFS(Detalle_62!$F$14:$F$35,Detalle_62!$C$14:$C$35,A13),"No está")</f>
        <v>1125000000</v>
      </c>
      <c r="P13" s="33" t="n">
        <f aca="false">IF(ISNUMBER(O13),N13-O13,"N/A")</f>
        <v>0</v>
      </c>
      <c r="Q13" s="32" t="n">
        <f aca="false">IFERROR(INDEX(Saldos_x_Obligacion!$L:$L,MATCH("BOG-858177259",Saldos_x_Obligacion!$A:$A,0)),"N/D")</f>
        <v>1124999996.41</v>
      </c>
      <c r="R13" s="33" t="n">
        <f aca="false">IF(ISNUMBER(Q13),N13-Q13,"N/D")</f>
        <v>3.58999991416931</v>
      </c>
      <c r="S13" s="32" t="n">
        <f aca="false">'A09-B-7259'!I7</f>
        <v>108575000</v>
      </c>
      <c r="T13" s="32" t="n">
        <f aca="false">IFERROR(INDEX(Intereses_x_Obligacion!$I:$I,MATCH("BOG-858177259",Intereses_x_Obligacion!$A:$A,0)),"N/D")</f>
        <v>108941341</v>
      </c>
      <c r="U13" s="33" t="n">
        <f aca="false">IF(ISNUMBER(T13),T13-S13,"N/D")</f>
        <v>366341</v>
      </c>
      <c r="V13" s="32" t="n">
        <f aca="false">MAX('A09-B-7259'!I8,0)</f>
        <v>500000000</v>
      </c>
      <c r="W13" s="32" t="n">
        <f aca="false">IF(COUNTIF(Detalle_62!$C$14:$C$35,A13)&gt;0,SUMIFS(Detalle_62!$M$14:$M$35,Detalle_62!$C$14:$C$35,A13),"No está")</f>
        <v>500000000</v>
      </c>
      <c r="X13" s="33" t="n">
        <f aca="false">IF(ISNUMBER(W13),V13-W13,"N/A")</f>
        <v>0</v>
      </c>
      <c r="Y13" s="32" t="n">
        <f aca="false">'A09-B-7259'!I9</f>
        <v>0</v>
      </c>
      <c r="Z13" s="39" t="n">
        <v>1135447090.87807</v>
      </c>
      <c r="AA13" s="62" t="n">
        <f aca="false">IF(ISNUMBER(Z13),Z13-N13,"N/A")</f>
        <v>10447090.878073</v>
      </c>
      <c r="AB13" s="6" t="s">
        <v>1912</v>
      </c>
    </row>
    <row r="14" customFormat="false" ht="48" hidden="false" customHeight="true" outlineLevel="0" collapsed="false">
      <c r="A14" s="34" t="s">
        <v>1913</v>
      </c>
      <c r="B14" s="38" t="s">
        <v>1914</v>
      </c>
      <c r="C14" s="67" t="s">
        <v>199</v>
      </c>
      <c r="D14" s="38" t="s">
        <v>306</v>
      </c>
      <c r="E14" s="38" t="s">
        <v>1915</v>
      </c>
      <c r="F14" s="26" t="s">
        <v>165</v>
      </c>
      <c r="G14" s="32" t="n">
        <f aca="false">'A10-B-7469'!C4</f>
        <v>10000000000</v>
      </c>
      <c r="H14" s="57" t="n">
        <f aca="false">'A10-B-7469'!C5</f>
        <v>46036</v>
      </c>
      <c r="I14" s="14" t="str">
        <f aca="false">'A10-B-7469'!C6</f>
        <v>6 meses – IBR(3M) + 0,8%</v>
      </c>
      <c r="J14" s="51" t="str">
        <f aca="false">IF(ISNUMBER('A10-B-7469'!C7),'A10-B-7469'!C7,"Por fila")</f>
        <v>Por fila</v>
      </c>
      <c r="K14" s="51" t="n">
        <f aca="false">IFERROR('A10-B-7469'!C8,"N/A")</f>
        <v>0.0100664804548056</v>
      </c>
      <c r="L14" s="53" t="str">
        <f aca="false">IF(AND(ISNUMBER(J14),ISNUMBER(K14)),(K14-J14)*10000,"N/A")</f>
        <v>N/A</v>
      </c>
      <c r="M14" s="57" t="n">
        <f aca="false">'A10-B-7469'!I4</f>
        <v>46217</v>
      </c>
      <c r="N14" s="32" t="n">
        <f aca="false">'A10-B-7469'!I5</f>
        <v>0</v>
      </c>
      <c r="O14" s="32" t="str">
        <f aca="false">IF(COUNTIF(Detalle_62!$C$14:$C$35,A14)&gt;0,SUMIFS(Detalle_62!$F$14:$F$35,Detalle_62!$C$14:$C$35,A14),"No está")</f>
        <v>No está</v>
      </c>
      <c r="P14" s="33" t="str">
        <f aca="false">IF(ISNUMBER(O14),N14-O14,"N/A")</f>
        <v>N/A</v>
      </c>
      <c r="Q14" s="32" t="str">
        <f aca="false">IFERROR(INDEX(Saldos_x_Obligacion!$L:$L,MATCH("BOG-1155297469",Saldos_x_Obligacion!$A:$A,0)),"N/D")</f>
        <v>N/D</v>
      </c>
      <c r="R14" s="33" t="str">
        <f aca="false">IF(ISNUMBER(Q14),N14-Q14,"N/D")</f>
        <v>N/D</v>
      </c>
      <c r="S14" s="32" t="n">
        <f aca="false">'A10-B-7469'!I7</f>
        <v>604300000</v>
      </c>
      <c r="T14" s="32" t="str">
        <f aca="false">IFERROR(INDEX(Intereses_x_Obligacion!$I:$I,MATCH("BOG-1155297469",Intereses_x_Obligacion!$A:$A,0)),"N/D")</f>
        <v>N/D</v>
      </c>
      <c r="U14" s="33" t="str">
        <f aca="false">IF(ISNUMBER(T14),T14-S14,"N/D")</f>
        <v>N/D</v>
      </c>
      <c r="V14" s="32" t="n">
        <f aca="false">MAX('A10-B-7469'!I8,0)</f>
        <v>0</v>
      </c>
      <c r="W14" s="32" t="str">
        <f aca="false">IF(COUNTIF(Detalle_62!$C$14:$C$35,A14)&gt;0,SUMIFS(Detalle_62!$M$14:$M$35,Detalle_62!$C$14:$C$35,A14),"No está")</f>
        <v>No está</v>
      </c>
      <c r="X14" s="33" t="str">
        <f aca="false">IF(ISNUMBER(W14),V14-W14,"N/A")</f>
        <v>N/A</v>
      </c>
      <c r="Y14" s="32" t="n">
        <f aca="false">'A10-B-7469'!I9</f>
        <v>0</v>
      </c>
      <c r="Z14" s="39" t="n">
        <v>0</v>
      </c>
      <c r="AA14" s="33" t="n">
        <f aca="false">IF(ISNUMBER(Z14),Z14-N14,"N/A")</f>
        <v>0</v>
      </c>
      <c r="AB14" s="6" t="s">
        <v>1916</v>
      </c>
    </row>
    <row r="15" customFormat="false" ht="48" hidden="false" customHeight="true" outlineLevel="0" collapsed="false">
      <c r="A15" s="34" t="s">
        <v>127</v>
      </c>
      <c r="B15" s="38" t="s">
        <v>1917</v>
      </c>
      <c r="C15" s="67" t="s">
        <v>200</v>
      </c>
      <c r="D15" s="38" t="s">
        <v>306</v>
      </c>
      <c r="E15" s="38" t="s">
        <v>1918</v>
      </c>
      <c r="F15" s="26" t="s">
        <v>165</v>
      </c>
      <c r="G15" s="32" t="n">
        <f aca="false">'A11-Hoja2'!C4</f>
        <v>10000000000</v>
      </c>
      <c r="H15" s="57" t="n">
        <f aca="false">'A11-Hoja2'!C5</f>
        <v>46225</v>
      </c>
      <c r="I15" s="14" t="str">
        <f aca="false">'A11-Hoja2'!C6</f>
        <v>6 meses – IBR(3M) + 0,8%</v>
      </c>
      <c r="J15" s="51" t="str">
        <f aca="false">IF(ISNUMBER('A11-Hoja2'!C7),'A11-Hoja2'!C7,"Por fila")</f>
        <v>Por fila</v>
      </c>
      <c r="K15" s="51" t="n">
        <f aca="false">IFERROR('A11-Hoja2'!C8,"N/A")</f>
        <v>0.0100664804548056</v>
      </c>
      <c r="L15" s="53" t="str">
        <f aca="false">IF(AND(ISNUMBER(J15),ISNUMBER(K15)),(K15-J15)*10000,"N/A")</f>
        <v>N/A</v>
      </c>
      <c r="M15" s="57" t="n">
        <f aca="false">'A11-Hoja2'!I4</f>
        <v>46225</v>
      </c>
      <c r="N15" s="32" t="n">
        <f aca="false">'A11-Hoja2'!I5</f>
        <v>10000000000</v>
      </c>
      <c r="O15" s="32" t="n">
        <f aca="false">IF(COUNTIF(Detalle_62!$C$14:$C$35,A15)&gt;0,SUMIFS(Detalle_62!$F$14:$F$35,Detalle_62!$C$14:$C$35,A15),"No está")</f>
        <v>10000000000</v>
      </c>
      <c r="P15" s="33" t="n">
        <f aca="false">IF(ISNUMBER(O15),N15-O15,"N/A")</f>
        <v>0</v>
      </c>
      <c r="Q15" s="32" t="n">
        <f aca="false">IFERROR(INDEX(Saldos_x_Obligacion!$L:$L,MATCH("BOG-1159383796",Saldos_x_Obligacion!$A:$A,0)),"N/D")</f>
        <v>10000000000</v>
      </c>
      <c r="R15" s="33" t="n">
        <f aca="false">IF(ISNUMBER(Q15),N15-Q15,"N/D")</f>
        <v>0</v>
      </c>
      <c r="S15" s="32" t="n">
        <f aca="false">'A11-Hoja2'!I7</f>
        <v>604300000</v>
      </c>
      <c r="T15" s="32" t="n">
        <f aca="false">IFERROR(INDEX(Intereses_x_Obligacion!$I:$I,MATCH("BOG-1159383796",Intereses_x_Obligacion!$A:$A,0)),"N/D")</f>
        <v>554228055</v>
      </c>
      <c r="U15" s="33" t="n">
        <f aca="false">IF(ISNUMBER(T15),T15-S15,"N/D")</f>
        <v>-50071944.9999999</v>
      </c>
      <c r="V15" s="32" t="n">
        <f aca="false">MAX('A11-Hoja2'!I8,0)</f>
        <v>0</v>
      </c>
      <c r="W15" s="32" t="n">
        <f aca="false">IF(COUNTIF(Detalle_62!$C$14:$C$35,A15)&gt;0,SUMIFS(Detalle_62!$M$14:$M$35,Detalle_62!$C$14:$C$35,A15),"No está")</f>
        <v>10000000000</v>
      </c>
      <c r="X15" s="33" t="n">
        <f aca="false">IF(ISNUMBER(W15),V15-W15,"N/A")</f>
        <v>-10000000000</v>
      </c>
      <c r="Y15" s="32" t="n">
        <f aca="false">'A11-Hoja2'!I9</f>
        <v>0</v>
      </c>
      <c r="Z15" s="39" t="n">
        <v>0</v>
      </c>
      <c r="AA15" s="33" t="n">
        <f aca="false">IF(ISNUMBER(Z15),Z15-N15,"N/A")</f>
        <v>-10000000000</v>
      </c>
      <c r="AB15" s="6" t="s">
        <v>1919</v>
      </c>
    </row>
    <row r="16" customFormat="false" ht="48" hidden="false" customHeight="true" outlineLevel="0" collapsed="false">
      <c r="A16" s="34" t="s">
        <v>128</v>
      </c>
      <c r="B16" s="38" t="s">
        <v>1920</v>
      </c>
      <c r="C16" s="67" t="s">
        <v>201</v>
      </c>
      <c r="D16" s="38" t="s">
        <v>306</v>
      </c>
      <c r="E16" s="38" t="s">
        <v>1921</v>
      </c>
      <c r="F16" s="26" t="s">
        <v>1221</v>
      </c>
      <c r="G16" s="32" t="n">
        <f aca="false">'A12-9224'!C4</f>
        <v>569902000</v>
      </c>
      <c r="H16" s="57" t="n">
        <f aca="false">'A12-9224'!C5</f>
        <v>44946</v>
      </c>
      <c r="I16" s="14" t="str">
        <f aca="false">'A12-9224'!C6</f>
        <v>28 TRIMESTRES – DTF+3,57%</v>
      </c>
      <c r="J16" s="51" t="n">
        <f aca="false">IF(ISNUMBER('A12-9224'!C7),'A12-9224'!C7,"Por fila")</f>
        <v>0.036189195577476</v>
      </c>
      <c r="K16" s="51" t="n">
        <f aca="false">IFERROR('A12-9224'!C8,"N/A")</f>
        <v>0.0361891955774748</v>
      </c>
      <c r="L16" s="53" t="n">
        <f aca="false">IF(AND(ISNUMBER(J16),ISNUMBER(K16)),(K16-J16)*10000,"N/A")</f>
        <v>-1.17961196366423E-011</v>
      </c>
      <c r="M16" s="57" t="n">
        <f aca="false">'A12-9224'!I4</f>
        <v>46223</v>
      </c>
      <c r="N16" s="32" t="n">
        <f aca="false">'A12-9224'!I5</f>
        <v>381845387.419314</v>
      </c>
      <c r="O16" s="32" t="n">
        <f aca="false">IF(COUNTIF(Detalle_62!$C$14:$C$35,A16)&gt;0,SUMIFS(Detalle_62!$F$14:$F$35,Detalle_62!$C$14:$C$35,A16),"No está")</f>
        <v>381845387.419314</v>
      </c>
      <c r="P16" s="33" t="n">
        <f aca="false">IF(ISNUMBER(O16),N16-O16,"N/A")</f>
        <v>0</v>
      </c>
      <c r="Q16" s="32" t="n">
        <f aca="false">IFERROR(INDEX(Saldos_x_Obligacion!$L:$L,MATCH("BOG-L556449224",Saldos_x_Obligacion!$A:$A,0)),"N/D")</f>
        <v>396112029.65</v>
      </c>
      <c r="R16" s="33" t="n">
        <f aca="false">IF(ISNUMBER(Q16),N16-Q16,"N/D")</f>
        <v>-14266642.2306862</v>
      </c>
      <c r="S16" s="32" t="n">
        <f aca="false">'A12-9224'!I7</f>
        <v>45776937.4665054</v>
      </c>
      <c r="T16" s="32" t="n">
        <f aca="false">IFERROR(INDEX(Intereses_x_Obligacion!$I:$I,MATCH("BOG-L556449224",Intereses_x_Obligacion!$A:$A,0)),"N/D")</f>
        <v>31068671</v>
      </c>
      <c r="U16" s="33" t="n">
        <f aca="false">IF(ISNUMBER(T16),T16-S16,"N/D")</f>
        <v>-14708266.4665054</v>
      </c>
      <c r="V16" s="32" t="n">
        <f aca="false">MAX('A12-9224'!I8,0)</f>
        <v>89122277.0882225</v>
      </c>
      <c r="W16" s="32" t="n">
        <f aca="false">IF(COUNTIF(Detalle_62!$C$14:$C$35,A16)&gt;0,SUMIFS(Detalle_62!$M$14:$M$35,Detalle_62!$C$14:$C$35,A16),"No está")</f>
        <v>175631569.283009</v>
      </c>
      <c r="X16" s="33" t="n">
        <f aca="false">IF(ISNUMBER(W16),V16-W16,"N/A")</f>
        <v>-86509292.1947861</v>
      </c>
      <c r="Y16" s="32" t="n">
        <f aca="false">'A12-9224'!I9</f>
        <v>4.4703483581543E-008</v>
      </c>
      <c r="Z16" s="26" t="s">
        <v>95</v>
      </c>
      <c r="AA16" s="26" t="s">
        <v>95</v>
      </c>
      <c r="AB16" s="6" t="s">
        <v>1922</v>
      </c>
    </row>
    <row r="17" customFormat="false" ht="48" hidden="false" customHeight="true" outlineLevel="0" collapsed="false">
      <c r="A17" s="34" t="s">
        <v>129</v>
      </c>
      <c r="B17" s="38" t="s">
        <v>1923</v>
      </c>
      <c r="C17" s="67" t="s">
        <v>202</v>
      </c>
      <c r="D17" s="38" t="s">
        <v>306</v>
      </c>
      <c r="E17" s="38" t="s">
        <v>1924</v>
      </c>
      <c r="F17" s="26" t="s">
        <v>1221</v>
      </c>
      <c r="G17" s="32" t="n">
        <f aca="false">'A13-9180'!C4</f>
        <v>569902000</v>
      </c>
      <c r="H17" s="57" t="n">
        <f aca="false">'A13-9180'!C5</f>
        <v>44949</v>
      </c>
      <c r="I17" s="14" t="str">
        <f aca="false">'A13-9180'!C6</f>
        <v>28 TRIMESTRES – DTF+3,57%</v>
      </c>
      <c r="J17" s="51" t="n">
        <f aca="false">IF(ISNUMBER('A13-9180'!C7),'A13-9180'!C7,"Por fila")</f>
        <v>0.036189195577476</v>
      </c>
      <c r="K17" s="51" t="n">
        <f aca="false">IFERROR('A13-9180'!C8,"N/A")</f>
        <v>0.0361891955774748</v>
      </c>
      <c r="L17" s="53" t="n">
        <f aca="false">IF(AND(ISNUMBER(J17),ISNUMBER(K17)),(K17-J17)*10000,"N/A")</f>
        <v>-1.17961196366423E-011</v>
      </c>
      <c r="M17" s="57" t="n">
        <f aca="false">'A13-9180'!I4</f>
        <v>46226</v>
      </c>
      <c r="N17" s="32" t="n">
        <f aca="false">'A13-9180'!I5</f>
        <v>381845387.419314</v>
      </c>
      <c r="O17" s="32" t="n">
        <f aca="false">IF(COUNTIF(Detalle_62!$C$14:$C$35,A17)&gt;0,SUMIFS(Detalle_62!$F$14:$F$35,Detalle_62!$C$14:$C$35,A17),"No está")</f>
        <v>381845387.419314</v>
      </c>
      <c r="P17" s="33" t="n">
        <f aca="false">IF(ISNUMBER(O17),N17-O17,"N/A")</f>
        <v>0</v>
      </c>
      <c r="Q17" s="32" t="n">
        <f aca="false">IFERROR(INDEX(Saldos_x_Obligacion!$L:$L,MATCH("BOG-L556449180",Saldos_x_Obligacion!$A:$A,0)),"N/D")</f>
        <v>396112029.8</v>
      </c>
      <c r="R17" s="33" t="n">
        <f aca="false">IF(ISNUMBER(Q17),N17-Q17,"N/D")</f>
        <v>-14266642.3806862</v>
      </c>
      <c r="S17" s="32" t="n">
        <f aca="false">'A13-9180'!I7</f>
        <v>45776937.4665054</v>
      </c>
      <c r="T17" s="32" t="n">
        <f aca="false">IFERROR(INDEX(Intereses_x_Obligacion!$I:$I,MATCH("BOG-L556449180",Intereses_x_Obligacion!$A:$A,0)),"N/D")</f>
        <v>31068672</v>
      </c>
      <c r="U17" s="33" t="n">
        <f aca="false">IF(ISNUMBER(T17),T17-S17,"N/D")</f>
        <v>-14708265.4665054</v>
      </c>
      <c r="V17" s="32" t="n">
        <f aca="false">MAX('A13-9180'!I8,0)</f>
        <v>89122277.0882225</v>
      </c>
      <c r="W17" s="32" t="n">
        <f aca="false">IF(COUNTIF(Detalle_62!$C$14:$C$35,A17)&gt;0,SUMIFS(Detalle_62!$M$14:$M$35,Detalle_62!$C$14:$C$35,A17),"No está")</f>
        <v>175631569.283009</v>
      </c>
      <c r="X17" s="33" t="n">
        <f aca="false">IF(ISNUMBER(W17),V17-W17,"N/A")</f>
        <v>-86509292.1947861</v>
      </c>
      <c r="Y17" s="32" t="n">
        <f aca="false">'A13-9180'!I9</f>
        <v>4.4703483581543E-008</v>
      </c>
      <c r="Z17" s="26" t="s">
        <v>95</v>
      </c>
      <c r="AA17" s="26" t="s">
        <v>95</v>
      </c>
      <c r="AB17" s="6" t="s">
        <v>1922</v>
      </c>
    </row>
    <row r="18" customFormat="false" ht="48" hidden="false" customHeight="true" outlineLevel="0" collapsed="false">
      <c r="A18" s="34" t="s">
        <v>130</v>
      </c>
      <c r="B18" s="38" t="s">
        <v>1925</v>
      </c>
      <c r="C18" s="67" t="s">
        <v>203</v>
      </c>
      <c r="D18" s="38" t="s">
        <v>306</v>
      </c>
      <c r="E18" s="38" t="s">
        <v>1926</v>
      </c>
      <c r="F18" s="26" t="s">
        <v>1221</v>
      </c>
      <c r="G18" s="32" t="n">
        <f aca="false">'A14-9117'!C4</f>
        <v>569902000</v>
      </c>
      <c r="H18" s="57" t="n">
        <f aca="false">'A14-9117'!C5</f>
        <v>44404</v>
      </c>
      <c r="I18" s="14" t="str">
        <f aca="false">'A14-9117'!C6</f>
        <v>28 TRIMESTRES – DTF+3,57%</v>
      </c>
      <c r="J18" s="51" t="n">
        <f aca="false">IF(ISNUMBER('A14-9117'!C7),'A14-9117'!C7,"Por fila")</f>
        <v>0.00593563846513545</v>
      </c>
      <c r="K18" s="51" t="n">
        <f aca="false">IFERROR('A14-9117'!C8,"N/A")</f>
        <v>0.00593563846513572</v>
      </c>
      <c r="L18" s="53" t="n">
        <f aca="false">IF(AND(ISNUMBER(J18),ISNUMBER(K18)),(K18-J18)*10000,"N/A")</f>
        <v>2.68014777038417E-012</v>
      </c>
      <c r="M18" s="57" t="n">
        <f aca="false">'A14-9117'!I4</f>
        <v>46230</v>
      </c>
      <c r="N18" s="32" t="n">
        <f aca="false">'A14-9117'!I5</f>
        <v>196720178.445431</v>
      </c>
      <c r="O18" s="32" t="n">
        <f aca="false">IF(COUNTIF(Detalle_62!$C$14:$C$35,A18)&gt;0,SUMIFS(Detalle_62!$F$14:$F$35,Detalle_62!$C$14:$C$35,A18),"No está")</f>
        <v>196720178.445431</v>
      </c>
      <c r="P18" s="33" t="n">
        <f aca="false">IF(ISNUMBER(O18),N18-O18,"N/A")</f>
        <v>0</v>
      </c>
      <c r="Q18" s="32" t="n">
        <f aca="false">IFERROR(INDEX(Saldos_x_Obligacion!$L:$L,MATCH("BOG-L556449117",Saldos_x_Obligacion!$A:$A,0)),"N/D")</f>
        <v>253672105.02</v>
      </c>
      <c r="R18" s="33" t="n">
        <f aca="false">IF(ISNUMBER(Q18),N18-Q18,"N/D")</f>
        <v>-56951926.5745686</v>
      </c>
      <c r="S18" s="32" t="n">
        <f aca="false">'A14-9117'!I7</f>
        <v>4327677.93876348</v>
      </c>
      <c r="T18" s="32" t="n">
        <f aca="false">IFERROR(INDEX(Intereses_x_Obligacion!$I:$I,MATCH("BOG-L556449117",Intereses_x_Obligacion!$A:$A,0)),"N/D")</f>
        <v>28058555</v>
      </c>
      <c r="U18" s="33" t="n">
        <f aca="false">IF(ISNUMBER(T18),T18-S18,"N/D")</f>
        <v>23730877.0612365</v>
      </c>
      <c r="V18" s="32" t="n">
        <f aca="false">MAX('A14-9117'!I8,0)</f>
        <v>94380151.2290461</v>
      </c>
      <c r="W18" s="32" t="n">
        <f aca="false">IF(COUNTIF(Detalle_62!$C$14:$C$35,A18)&gt;0,SUMIFS(Detalle_62!$M$14:$M$35,Detalle_62!$C$14:$C$35,A18),"No está")</f>
        <v>175631569.283009</v>
      </c>
      <c r="X18" s="33" t="n">
        <f aca="false">IF(ISNUMBER(W18),V18-W18,"N/A")</f>
        <v>-81251418.0539625</v>
      </c>
      <c r="Y18" s="32" t="n">
        <f aca="false">'A14-9117'!I9</f>
        <v>4.47034835815425E-008</v>
      </c>
      <c r="Z18" s="26" t="s">
        <v>95</v>
      </c>
      <c r="AA18" s="26" t="s">
        <v>95</v>
      </c>
      <c r="AB18" s="6" t="s">
        <v>1927</v>
      </c>
    </row>
    <row r="19" customFormat="false" ht="48" hidden="false" customHeight="true" outlineLevel="0" collapsed="false">
      <c r="A19" s="34" t="s">
        <v>131</v>
      </c>
      <c r="B19" s="38" t="s">
        <v>1928</v>
      </c>
      <c r="C19" s="67" t="s">
        <v>204</v>
      </c>
      <c r="D19" s="38" t="s">
        <v>306</v>
      </c>
      <c r="E19" s="38" t="s">
        <v>1929</v>
      </c>
      <c r="F19" s="26" t="s">
        <v>1221</v>
      </c>
      <c r="G19" s="32" t="n">
        <f aca="false">'A15-9064'!C4</f>
        <v>569902000</v>
      </c>
      <c r="H19" s="57" t="n">
        <f aca="false">'A15-9064'!C5</f>
        <v>44404</v>
      </c>
      <c r="I19" s="14" t="str">
        <f aca="false">'A15-9064'!C6</f>
        <v>28 TRIMESTRES – DTF+3,57%</v>
      </c>
      <c r="J19" s="51" t="n">
        <f aca="false">IF(ISNUMBER('A15-9064'!C7),'A15-9064'!C7,"Por fila")</f>
        <v>0.00593563846513545</v>
      </c>
      <c r="K19" s="51" t="n">
        <f aca="false">IFERROR('A15-9064'!C8,"N/A")</f>
        <v>0.00593563846513572</v>
      </c>
      <c r="L19" s="53" t="n">
        <f aca="false">IF(AND(ISNUMBER(J19),ISNUMBER(K19)),(K19-J19)*10000,"N/A")</f>
        <v>2.68014777038417E-012</v>
      </c>
      <c r="M19" s="57" t="n">
        <f aca="false">'A15-9064'!I4</f>
        <v>46230</v>
      </c>
      <c r="N19" s="32" t="n">
        <f aca="false">'A15-9064'!I5</f>
        <v>196720178.445431</v>
      </c>
      <c r="O19" s="32" t="n">
        <f aca="false">IF(COUNTIF(Detalle_62!$C$14:$C$35,A19)&gt;0,SUMIFS(Detalle_62!$F$14:$F$35,Detalle_62!$C$14:$C$35,A19),"No está")</f>
        <v>196720178.445431</v>
      </c>
      <c r="P19" s="33" t="n">
        <f aca="false">IF(ISNUMBER(O19),N19-O19,"N/A")</f>
        <v>0</v>
      </c>
      <c r="Q19" s="32" t="n">
        <f aca="false">IFERROR(INDEX(Saldos_x_Obligacion!$L:$L,MATCH("BOG-L556449064",Saldos_x_Obligacion!$A:$A,0)),"N/D")</f>
        <v>253672104.94</v>
      </c>
      <c r="R19" s="33" t="n">
        <f aca="false">IF(ISNUMBER(Q19),N19-Q19,"N/D")</f>
        <v>-56951926.4945686</v>
      </c>
      <c r="S19" s="32" t="n">
        <f aca="false">'A15-9064'!I7</f>
        <v>4327677.93876348</v>
      </c>
      <c r="T19" s="32" t="n">
        <f aca="false">IFERROR(INDEX(Intereses_x_Obligacion!$I:$I,MATCH("BOG-L556449064",Intereses_x_Obligacion!$A:$A,0)),"N/D")</f>
        <v>28058555</v>
      </c>
      <c r="U19" s="33" t="n">
        <f aca="false">IF(ISNUMBER(T19),T19-S19,"N/D")</f>
        <v>23730877.0612365</v>
      </c>
      <c r="V19" s="32" t="n">
        <f aca="false">MAX('A15-9064'!I8,0)</f>
        <v>94380151.2290461</v>
      </c>
      <c r="W19" s="32" t="n">
        <f aca="false">IF(COUNTIF(Detalle_62!$C$14:$C$35,A19)&gt;0,SUMIFS(Detalle_62!$M$14:$M$35,Detalle_62!$C$14:$C$35,A19),"No está")</f>
        <v>175631569.283009</v>
      </c>
      <c r="X19" s="33" t="n">
        <f aca="false">IF(ISNUMBER(W19),V19-W19,"N/A")</f>
        <v>-81251418.0539625</v>
      </c>
      <c r="Y19" s="32" t="n">
        <f aca="false">'A15-9064'!I9</f>
        <v>4.47034835815425E-008</v>
      </c>
      <c r="Z19" s="26" t="s">
        <v>95</v>
      </c>
      <c r="AA19" s="26" t="s">
        <v>95</v>
      </c>
      <c r="AB19" s="6" t="s">
        <v>1927</v>
      </c>
    </row>
    <row r="20" customFormat="false" ht="48" hidden="false" customHeight="true" outlineLevel="0" collapsed="false">
      <c r="A20" s="34" t="s">
        <v>132</v>
      </c>
      <c r="B20" s="38" t="s">
        <v>1930</v>
      </c>
      <c r="C20" s="67" t="s">
        <v>205</v>
      </c>
      <c r="D20" s="38" t="s">
        <v>306</v>
      </c>
      <c r="E20" s="38" t="s">
        <v>1931</v>
      </c>
      <c r="F20" s="26" t="s">
        <v>1221</v>
      </c>
      <c r="G20" s="32" t="n">
        <f aca="false">'A16-9299'!C4</f>
        <v>569902000</v>
      </c>
      <c r="H20" s="57" t="n">
        <f aca="false">'A16-9299'!C5</f>
        <v>44949</v>
      </c>
      <c r="I20" s="14" t="str">
        <f aca="false">'A16-9299'!C6</f>
        <v>28 TRIMESTRES – DTF+3,57%</v>
      </c>
      <c r="J20" s="51" t="n">
        <f aca="false">IF(ISNUMBER('A16-9299'!C7),'A16-9299'!C7,"Por fila")</f>
        <v>0.0367281325015472</v>
      </c>
      <c r="K20" s="51" t="n">
        <f aca="false">IFERROR('A16-9299'!C8,"N/A")</f>
        <v>0.0367281325015467</v>
      </c>
      <c r="L20" s="53" t="n">
        <f aca="false">IF(AND(ISNUMBER(J20),ISNUMBER(K20)),(K20-J20)*10000,"N/A")</f>
        <v>-4.9960036108132E-012</v>
      </c>
      <c r="M20" s="57" t="n">
        <f aca="false">'A16-9299'!I4</f>
        <v>46226</v>
      </c>
      <c r="N20" s="32" t="n">
        <f aca="false">'A16-9299'!I5</f>
        <v>382649239.487494</v>
      </c>
      <c r="O20" s="32" t="n">
        <f aca="false">IF(COUNTIF(Detalle_62!$C$14:$C$35,A20)&gt;0,SUMIFS(Detalle_62!$F$14:$F$35,Detalle_62!$C$14:$C$35,A20),"No está")</f>
        <v>382649239.487494</v>
      </c>
      <c r="P20" s="33" t="n">
        <f aca="false">IF(ISNUMBER(O20),N20-O20,"N/A")</f>
        <v>0</v>
      </c>
      <c r="Q20" s="32" t="n">
        <f aca="false">IFERROR(INDEX(Saldos_x_Obligacion!$L:$L,MATCH("BOG-L556449288",Saldos_x_Obligacion!$A:$A,0)),"N/D")</f>
        <v>396193942.08</v>
      </c>
      <c r="R20" s="33" t="n">
        <f aca="false">IF(ISNUMBER(Q20),N20-Q20,"N/D")</f>
        <v>-13544702.592506</v>
      </c>
      <c r="S20" s="32" t="n">
        <f aca="false">'A16-9299'!I7</f>
        <v>46536704.8980723</v>
      </c>
      <c r="T20" s="32" t="n">
        <f aca="false">IFERROR(INDEX(Intereses_x_Obligacion!$I:$I,MATCH("BOG-L556449288",Intereses_x_Obligacion!$A:$A,0)),"N/D")</f>
        <v>30902950</v>
      </c>
      <c r="U20" s="33" t="n">
        <f aca="false">IF(ISNUMBER(T20),T20-S20,"N/D")</f>
        <v>-15633754.8980723</v>
      </c>
      <c r="V20" s="32" t="n">
        <f aca="false">MAX('A16-9299'!I8,0)</f>
        <v>89056070.4283575</v>
      </c>
      <c r="W20" s="32" t="n">
        <f aca="false">IF(COUNTIF(Detalle_62!$C$14:$C$35,A20)&gt;0,SUMIFS(Detalle_62!$M$14:$M$35,Detalle_62!$C$14:$C$35,A20),"No está")</f>
        <v>175631569.283009</v>
      </c>
      <c r="X20" s="33" t="n">
        <f aca="false">IF(ISNUMBER(W20),V20-W20,"N/A")</f>
        <v>-86575498.8546511</v>
      </c>
      <c r="Y20" s="32" t="n">
        <f aca="false">'A16-9299'!I9</f>
        <v>1.49011611938477E-008</v>
      </c>
      <c r="Z20" s="26" t="s">
        <v>95</v>
      </c>
      <c r="AA20" s="26" t="s">
        <v>95</v>
      </c>
      <c r="AB20" s="6" t="s">
        <v>1922</v>
      </c>
    </row>
    <row r="21" customFormat="false" ht="48" hidden="false" customHeight="true" outlineLevel="0" collapsed="false">
      <c r="A21" s="34" t="s">
        <v>133</v>
      </c>
      <c r="B21" s="38" t="s">
        <v>1932</v>
      </c>
      <c r="C21" s="67" t="s">
        <v>206</v>
      </c>
      <c r="D21" s="38" t="s">
        <v>306</v>
      </c>
      <c r="E21" s="38" t="s">
        <v>1933</v>
      </c>
      <c r="F21" s="26" t="s">
        <v>1221</v>
      </c>
      <c r="G21" s="32" t="n">
        <f aca="false">'A17-5005'!C4</f>
        <v>1622075804</v>
      </c>
      <c r="H21" s="57" t="n">
        <f aca="false">'A17-5005'!C5</f>
        <v>44764</v>
      </c>
      <c r="I21" s="14" t="str">
        <f aca="false">'A17-5005'!C6</f>
        <v>24 TRIMESTRES – IBR(3M)+3,78%</v>
      </c>
      <c r="J21" s="51" t="n">
        <f aca="false">IF(ISNUMBER('A17-5005'!C7),'A17-5005'!C7,"Por fila")</f>
        <v>0.0318904961505968</v>
      </c>
      <c r="K21" s="51" t="n">
        <f aca="false">IFERROR('A17-5005'!C8,"N/A")</f>
        <v>0.0318904961505969</v>
      </c>
      <c r="L21" s="53" t="n">
        <f aca="false">IF(AND(ISNUMBER(J21),ISNUMBER(K21)),(K21-J21)*10000,"N/A")</f>
        <v>0</v>
      </c>
      <c r="M21" s="57" t="n">
        <f aca="false">'A17-5005'!I4</f>
        <v>46225</v>
      </c>
      <c r="N21" s="32" t="n">
        <f aca="false">'A17-5005'!I5</f>
        <v>968620472.418459</v>
      </c>
      <c r="O21" s="32" t="n">
        <f aca="false">IF(COUNTIF(Detalle_62!$C$14:$C$35,A21)&gt;0,SUMIFS(Detalle_62!$F$14:$F$35,Detalle_62!$C$14:$C$35,A21),"No está")</f>
        <v>968620472.418459</v>
      </c>
      <c r="P21" s="33" t="n">
        <f aca="false">IF(ISNUMBER(O21),N21-O21,"N/A")</f>
        <v>0</v>
      </c>
      <c r="Q21" s="32" t="n">
        <f aca="false">IFERROR(INDEX(Saldos_x_Obligacion!$L:$L,MATCH("BOG-L557285005",Saldos_x_Obligacion!$A:$A,0)),"N/D")</f>
        <v>984246886.51</v>
      </c>
      <c r="R21" s="33" t="n">
        <f aca="false">IF(ISNUMBER(Q21),N21-Q21,"N/D")</f>
        <v>-15626414.0915414</v>
      </c>
      <c r="S21" s="32" t="n">
        <f aca="false">'A17-5005'!I7</f>
        <v>104728442.4778</v>
      </c>
      <c r="T21" s="32" t="n">
        <f aca="false">IFERROR(INDEX(Intereses_x_Obligacion!$I:$I,MATCH("BOG-L557285005",Intereses_x_Obligacion!$A:$A,0)),"N/D")</f>
        <v>89512386</v>
      </c>
      <c r="U21" s="33" t="n">
        <f aca="false">IF(ISNUMBER(T21),T21-S21,"N/D")</f>
        <v>-15216056.4777996</v>
      </c>
      <c r="V21" s="32" t="n">
        <f aca="false">MAX('A17-5005'!I8,0)</f>
        <v>278537651.756876</v>
      </c>
      <c r="W21" s="32" t="n">
        <f aca="false">IF(COUNTIF(Detalle_62!$C$14:$C$35,A21)&gt;0,SUMIFS(Detalle_62!$M$14:$M$35,Detalle_62!$C$14:$C$35,A21),"No está")</f>
        <v>722980190</v>
      </c>
      <c r="X21" s="33" t="n">
        <f aca="false">IF(ISNUMBER(W21),V21-W21,"N/A")</f>
        <v>-444442538.243124</v>
      </c>
      <c r="Y21" s="32" t="n">
        <f aca="false">'A17-5005'!I9</f>
        <v>1.9371509552002E-007</v>
      </c>
      <c r="Z21" s="26" t="s">
        <v>95</v>
      </c>
      <c r="AA21" s="26" t="s">
        <v>95</v>
      </c>
      <c r="AB21" s="6" t="s">
        <v>1934</v>
      </c>
    </row>
    <row r="22" customFormat="false" ht="48" hidden="false" customHeight="true" outlineLevel="0" collapsed="false">
      <c r="A22" s="34" t="s">
        <v>135</v>
      </c>
      <c r="B22" s="38" t="s">
        <v>1935</v>
      </c>
      <c r="C22" s="67" t="s">
        <v>207</v>
      </c>
      <c r="D22" s="38" t="s">
        <v>1248</v>
      </c>
      <c r="E22" s="38" t="s">
        <v>1249</v>
      </c>
      <c r="F22" s="26" t="s">
        <v>165</v>
      </c>
      <c r="G22" s="32" t="n">
        <f aca="false">'A18-P-9940'!C4</f>
        <v>2300000000</v>
      </c>
      <c r="H22" s="57" t="n">
        <f aca="false">'A18-P-9940'!C5</f>
        <v>44547</v>
      </c>
      <c r="I22" s="14" t="str">
        <f aca="false">'A18-P-9940'!C6</f>
        <v>60 meses – IBR 3MESES +2,4</v>
      </c>
      <c r="J22" s="51" t="str">
        <f aca="false">IF(ISNUMBER('A18-P-9940'!C7),'A18-P-9940'!C7,"Por fila")</f>
        <v>Por fila</v>
      </c>
      <c r="K22" s="51" t="str">
        <f aca="false">IFERROR('A18-P-9940'!C8,"N/A")</f>
        <v>N/A</v>
      </c>
      <c r="L22" s="53" t="str">
        <f aca="false">IF(AND(ISNUMBER(J22),ISNUMBER(K22)),(K22-J22)*10000,"N/A")</f>
        <v>N/A</v>
      </c>
      <c r="M22" s="57" t="n">
        <f aca="false">'A18-P-9940'!I4</f>
        <v>46220</v>
      </c>
      <c r="N22" s="32" t="n">
        <f aca="false">'A18-P-9940'!I5</f>
        <v>287500000</v>
      </c>
      <c r="O22" s="32" t="n">
        <f aca="false">IF(COUNTIF(Detalle_62!$C$14:$C$35,A22)&gt;0,SUMIFS(Detalle_62!$F$14:$F$35,Detalle_62!$C$14:$C$35,A22),"No está")</f>
        <v>287500000</v>
      </c>
      <c r="P22" s="33" t="n">
        <f aca="false">IF(ISNUMBER(O22),N22-O22,"N/A")</f>
        <v>0</v>
      </c>
      <c r="Q22" s="32" t="n">
        <f aca="false">IFERROR(INDEX(Saldos_x_Obligacion!$L:$L,MATCH("POP-631309940",Saldos_x_Obligacion!$A:$A,0)),"N/D")</f>
        <v>287500000</v>
      </c>
      <c r="R22" s="33" t="n">
        <f aca="false">IF(ISNUMBER(Q22),N22-Q22,"N/D")</f>
        <v>0</v>
      </c>
      <c r="S22" s="32" t="n">
        <f aca="false">'A18-P-9940'!I7</f>
        <v>36715666.6666667</v>
      </c>
      <c r="T22" s="32" t="n">
        <f aca="false">IFERROR(INDEX(Intereses_x_Obligacion!$I:$I,MATCH("POP-631309940",Intereses_x_Obligacion!$A:$A,0)),"N/D")</f>
        <v>34304862</v>
      </c>
      <c r="U22" s="33" t="n">
        <f aca="false">IF(ISNUMBER(T22),T22-S22,"N/D")</f>
        <v>-2410804.66666667</v>
      </c>
      <c r="V22" s="32" t="n">
        <f aca="false">MAX('A18-P-9940'!I8,0)</f>
        <v>287500000</v>
      </c>
      <c r="W22" s="32" t="n">
        <f aca="false">IF(COUNTIF(Detalle_62!$C$14:$C$35,A22)&gt;0,SUMIFS(Detalle_62!$M$14:$M$35,Detalle_62!$C$14:$C$35,A22),"No está")</f>
        <v>575000000</v>
      </c>
      <c r="X22" s="33" t="n">
        <f aca="false">IF(ISNUMBER(W22),V22-W22,"N/A")</f>
        <v>-287500000</v>
      </c>
      <c r="Y22" s="32" t="n">
        <f aca="false">'A18-P-9940'!I9</f>
        <v>0</v>
      </c>
      <c r="Z22" s="39" t="n">
        <v>287148717.409759</v>
      </c>
      <c r="AA22" s="62" t="n">
        <f aca="false">IF(ISNUMBER(Z22),Z22-N22,"N/A")</f>
        <v>-351282.590240896</v>
      </c>
      <c r="AB22" s="6" t="s">
        <v>1936</v>
      </c>
    </row>
    <row r="23" customFormat="false" ht="48" hidden="false" customHeight="true" outlineLevel="0" collapsed="false">
      <c r="A23" s="34" t="s">
        <v>1937</v>
      </c>
      <c r="B23" s="38" t="s">
        <v>1938</v>
      </c>
      <c r="C23" s="67" t="s">
        <v>208</v>
      </c>
      <c r="D23" s="38" t="s">
        <v>1250</v>
      </c>
      <c r="E23" s="38" t="s">
        <v>1939</v>
      </c>
      <c r="F23" s="26" t="s">
        <v>165</v>
      </c>
      <c r="G23" s="32" t="n">
        <f aca="false">'A19-V-7262'!C4</f>
        <v>4700000000</v>
      </c>
      <c r="H23" s="57" t="n">
        <f aca="false">'A19-V-7262'!C5</f>
        <v>46002</v>
      </c>
      <c r="I23" s="14" t="str">
        <f aca="false">'A19-V-7262'!C6</f>
        <v>6 meses – IBR 3 MESES + 0,95%</v>
      </c>
      <c r="J23" s="51" t="str">
        <f aca="false">IF(ISNUMBER('A19-V-7262'!C7),'A19-V-7262'!C7,"Por fila")</f>
        <v>Por fila</v>
      </c>
      <c r="K23" s="51" t="n">
        <f aca="false">IFERROR('A19-V-7262'!C8,"N/A")</f>
        <v>0.00992648677860791</v>
      </c>
      <c r="L23" s="53" t="str">
        <f aca="false">IF(AND(ISNUMBER(J23),ISNUMBER(K23)),(K23-J23)*10000,"N/A")</f>
        <v>N/A</v>
      </c>
      <c r="M23" s="57" t="n">
        <f aca="false">'A19-V-7262'!I4</f>
        <v>46184</v>
      </c>
      <c r="N23" s="32" t="n">
        <f aca="false">'A19-V-7262'!I5</f>
        <v>0</v>
      </c>
      <c r="O23" s="32" t="str">
        <f aca="false">IF(COUNTIF(Detalle_62!$C$14:$C$35,A23)&gt;0,SUMIFS(Detalle_62!$F$14:$F$35,Detalle_62!$C$14:$C$35,A23),"No está")</f>
        <v>No está</v>
      </c>
      <c r="P23" s="33" t="str">
        <f aca="false">IF(ISNUMBER(O23),N23-O23,"N/A")</f>
        <v>N/A</v>
      </c>
      <c r="Q23" s="32" t="str">
        <f aca="false">IFERROR(INDEX(Saldos_x_Obligacion!$L:$L,MATCH("BBVA-9600277262",Saldos_x_Obligacion!$A:$A,0)),"N/D")</f>
        <v>N/D</v>
      </c>
      <c r="R23" s="33" t="str">
        <f aca="false">IF(ISNUMBER(Q23),N23-Q23,"N/D")</f>
        <v>N/D</v>
      </c>
      <c r="S23" s="32" t="n">
        <f aca="false">'A19-V-7262'!I7</f>
        <v>280170916.666667</v>
      </c>
      <c r="T23" s="32" t="str">
        <f aca="false">IFERROR(INDEX(Intereses_x_Obligacion!$I:$I,MATCH("BBVA-9600277262",Intereses_x_Obligacion!$A:$A,0)),"N/D")</f>
        <v>N/D</v>
      </c>
      <c r="U23" s="33" t="str">
        <f aca="false">IF(ISNUMBER(T23),T23-S23,"N/D")</f>
        <v>N/D</v>
      </c>
      <c r="V23" s="32" t="n">
        <f aca="false">MAX('A19-V-7262'!I8,0)</f>
        <v>0</v>
      </c>
      <c r="W23" s="32" t="str">
        <f aca="false">IF(COUNTIF(Detalle_62!$C$14:$C$35,A23)&gt;0,SUMIFS(Detalle_62!$M$14:$M$35,Detalle_62!$C$14:$C$35,A23),"No está")</f>
        <v>No está</v>
      </c>
      <c r="X23" s="33" t="str">
        <f aca="false">IF(ISNUMBER(W23),V23-W23,"N/A")</f>
        <v>N/A</v>
      </c>
      <c r="Y23" s="32" t="n">
        <f aca="false">'A19-V-7262'!I9</f>
        <v>0</v>
      </c>
      <c r="Z23" s="39" t="n">
        <v>0</v>
      </c>
      <c r="AA23" s="33" t="n">
        <f aca="false">IF(ISNUMBER(Z23),Z23-N23,"N/A")</f>
        <v>0</v>
      </c>
      <c r="AB23" s="6" t="s">
        <v>1940</v>
      </c>
    </row>
    <row r="24" customFormat="false" ht="48" hidden="false" customHeight="true" outlineLevel="0" collapsed="false">
      <c r="A24" s="34" t="s">
        <v>139</v>
      </c>
      <c r="B24" s="38" t="s">
        <v>1941</v>
      </c>
      <c r="C24" s="67" t="s">
        <v>209</v>
      </c>
      <c r="D24" s="38" t="s">
        <v>1942</v>
      </c>
      <c r="E24" s="38" t="s">
        <v>1943</v>
      </c>
      <c r="F24" s="26" t="s">
        <v>165</v>
      </c>
      <c r="G24" s="32" t="n">
        <f aca="false">'A20-BC-5867'!C4</f>
        <v>5000000000</v>
      </c>
      <c r="H24" s="57" t="n">
        <f aca="false">'A20-BC-5867'!C5</f>
        <v>45768</v>
      </c>
      <c r="I24" s="14" t="str">
        <f aca="false">'A20-BC-5867'!C6</f>
        <v>36 meses – IBR 3 MESES + 1,5%</v>
      </c>
      <c r="J24" s="51" t="str">
        <f aca="false">IF(ISNUMBER('A20-BC-5867'!C7),'A20-BC-5867'!C7,"Por fila")</f>
        <v>Por fila</v>
      </c>
      <c r="K24" s="51" t="n">
        <f aca="false">IFERROR('A20-BC-5867'!C8,"N/A")</f>
        <v>0.00998937524782703</v>
      </c>
      <c r="L24" s="53" t="str">
        <f aca="false">IF(AND(ISNUMBER(J24),ISNUMBER(K24)),(K24-J24)*10000,"N/A")</f>
        <v>N/A</v>
      </c>
      <c r="M24" s="57" t="n">
        <f aca="false">'A20-BC-5867'!I4</f>
        <v>46224</v>
      </c>
      <c r="N24" s="32" t="n">
        <f aca="false">'A20-BC-5867'!I5</f>
        <v>3333333333.33333</v>
      </c>
      <c r="O24" s="32" t="n">
        <f aca="false">IF(COUNTIF(Detalle_62!$C$14:$C$35,A24)&gt;0,SUMIFS(Detalle_62!$F$14:$F$35,Detalle_62!$C$14:$C$35,A24),"No está")</f>
        <v>3333333333.33333</v>
      </c>
      <c r="P24" s="33" t="n">
        <f aca="false">IF(ISNUMBER(O24),N24-O24,"N/A")</f>
        <v>0</v>
      </c>
      <c r="Q24" s="32" t="n">
        <f aca="false">IFERROR(INDEX(Saldos_x_Obligacion!$L:$L,MATCH("BCL-1260105867",Saldos_x_Obligacion!$A:$A,0)),"N/D")</f>
        <v>3333333334</v>
      </c>
      <c r="R24" s="33" t="n">
        <f aca="false">IF(ISNUMBER(Q24),N24-Q24,"N/D")</f>
        <v>-0.666666984558106</v>
      </c>
      <c r="S24" s="32" t="n">
        <f aca="false">'A20-BC-5867'!I7</f>
        <v>311402777.777778</v>
      </c>
      <c r="T24" s="32" t="n">
        <f aca="false">IFERROR(INDEX(Intereses_x_Obligacion!$I:$I,MATCH("BCL-1260105867",Intereses_x_Obligacion!$A:$A,0)),"N/D")</f>
        <v>287833704</v>
      </c>
      <c r="U24" s="33" t="n">
        <f aca="false">IF(ISNUMBER(T24),T24-S24,"N/D")</f>
        <v>-23569073.7777778</v>
      </c>
      <c r="V24" s="32" t="n">
        <f aca="false">MAX('A20-BC-5867'!I8,0)</f>
        <v>1666666666.66667</v>
      </c>
      <c r="W24" s="32" t="n">
        <f aca="false">IF(COUNTIF(Detalle_62!$C$14:$C$35,A24)&gt;0,SUMIFS(Detalle_62!$M$14:$M$35,Detalle_62!$C$14:$C$35,A24),"No está")</f>
        <v>1666666666.67</v>
      </c>
      <c r="X24" s="33" t="n">
        <f aca="false">IF(ISNUMBER(W24),V24-W24,"N/A")</f>
        <v>-0.00333309173583984</v>
      </c>
      <c r="Y24" s="32" t="n">
        <f aca="false">'A20-BC-5867'!I9</f>
        <v>0</v>
      </c>
      <c r="Z24" s="39" t="n">
        <v>3382118432.85125</v>
      </c>
      <c r="AA24" s="62" t="n">
        <f aca="false">IF(ISNUMBER(Z24),Z24-N24,"N/A")</f>
        <v>48785099.5179138</v>
      </c>
      <c r="AB24" s="6" t="s">
        <v>1944</v>
      </c>
    </row>
    <row r="25" customFormat="false" ht="48" hidden="false" customHeight="true" outlineLevel="0" collapsed="false">
      <c r="A25" s="34" t="s">
        <v>140</v>
      </c>
      <c r="B25" s="38" t="s">
        <v>1945</v>
      </c>
      <c r="C25" s="67" t="s">
        <v>210</v>
      </c>
      <c r="D25" s="38" t="s">
        <v>1946</v>
      </c>
      <c r="E25" s="38" t="s">
        <v>1945</v>
      </c>
      <c r="F25" s="26" t="s">
        <v>1221</v>
      </c>
      <c r="G25" s="32" t="n">
        <f aca="false">'A21-362095'!C4</f>
        <v>561680000</v>
      </c>
      <c r="H25" s="57" t="n">
        <f aca="false">'A21-362095'!C5</f>
        <v>45730</v>
      </c>
      <c r="I25" s="14" t="str">
        <f aca="false">'A21-362095'!C6</f>
        <v>60 MESES – IBR TV + 2,85%</v>
      </c>
      <c r="J25" s="51" t="n">
        <f aca="false">IF(ISNUMBER('A21-362095'!C7),'A21-362095'!C7,"Por fila")</f>
        <v>0.0214501400540117</v>
      </c>
      <c r="K25" s="51" t="n">
        <f aca="false">IFERROR('A21-362095'!C8,"N/A")</f>
        <v>0.025689223703405</v>
      </c>
      <c r="L25" s="53" t="n">
        <f aca="false">IF(AND(ISNUMBER(J25),ISNUMBER(K25)),(K25-J25)*10000,"N/A")</f>
        <v>42.3908364939333</v>
      </c>
      <c r="M25" s="57" t="n">
        <f aca="false">'A21-362095'!I4</f>
        <v>46187</v>
      </c>
      <c r="N25" s="32" t="n">
        <f aca="false">'A21-362095'!I5</f>
        <v>524519291.134113</v>
      </c>
      <c r="O25" s="32" t="n">
        <f aca="false">IF(COUNTIF(Detalle_62!$C$14:$C$35,A25)&gt;0,SUMIFS(Detalle_62!$F$14:$F$35,Detalle_62!$C$14:$C$35,A25),"No está")</f>
        <v>497241599</v>
      </c>
      <c r="P25" s="33" t="n">
        <f aca="false">IF(ISNUMBER(O25),N25-O25,"N/A")</f>
        <v>27277692.1341134</v>
      </c>
      <c r="Q25" s="32" t="n">
        <f aca="false">IFERROR(INDEX(Saldos_x_Obligacion!$L:$L,MATCH("BCL-L362095",Saldos_x_Obligacion!$A:$A,0)),"N/D")</f>
        <v>448477372</v>
      </c>
      <c r="R25" s="33" t="n">
        <f aca="false">IF(ISNUMBER(Q25),N25-Q25,"N/D")</f>
        <v>76041919.1341134</v>
      </c>
      <c r="S25" s="32" t="n">
        <f aca="false">'A21-362095'!I7</f>
        <v>20871066.3030259</v>
      </c>
      <c r="T25" s="32" t="n">
        <f aca="false">IFERROR(INDEX(Intereses_x_Obligacion!$I:$I,MATCH("BCL-L362095",Intereses_x_Obligacion!$A:$A,0)),"N/D")</f>
        <v>32199918</v>
      </c>
      <c r="U25" s="33" t="n">
        <f aca="false">IF(ISNUMBER(T25),T25-S25,"N/D")</f>
        <v>11328851.6969741</v>
      </c>
      <c r="V25" s="32" t="n">
        <f aca="false">MAX('A21-362095'!I8,0)</f>
        <v>148642835.463547</v>
      </c>
      <c r="W25" s="32" t="n">
        <f aca="false">IF(COUNTIF(Detalle_62!$C$14:$C$35,A25)&gt;0,SUMIFS(Detalle_62!$M$14:$M$35,Detalle_62!$C$14:$C$35,A25),"No está")</f>
        <v>154259653</v>
      </c>
      <c r="X25" s="33" t="n">
        <f aca="false">IF(ISNUMBER(W25),V25-W25,"N/A")</f>
        <v>-5616817.53645349</v>
      </c>
      <c r="Y25" s="32" t="n">
        <f aca="false">'A21-362095'!I9</f>
        <v>5.21540641784668E-008</v>
      </c>
      <c r="Z25" s="26" t="s">
        <v>95</v>
      </c>
      <c r="AA25" s="26" t="s">
        <v>95</v>
      </c>
      <c r="AB25" s="6" t="s">
        <v>1947</v>
      </c>
    </row>
    <row r="26" customFormat="false" ht="48" hidden="false" customHeight="true" outlineLevel="0" collapsed="false">
      <c r="A26" s="34" t="s">
        <v>141</v>
      </c>
      <c r="B26" s="38" t="s">
        <v>1948</v>
      </c>
      <c r="C26" s="67" t="s">
        <v>211</v>
      </c>
      <c r="D26" s="38" t="s">
        <v>1946</v>
      </c>
      <c r="E26" s="38" t="s">
        <v>1948</v>
      </c>
      <c r="F26" s="26" t="s">
        <v>1221</v>
      </c>
      <c r="G26" s="32" t="n">
        <f aca="false">'A22-336817'!C4</f>
        <v>858438452</v>
      </c>
      <c r="H26" s="57" t="n">
        <f aca="false">'A22-336817'!C5</f>
        <v>45804</v>
      </c>
      <c r="I26" s="14" t="str">
        <f aca="false">'A22-336817'!C6</f>
        <v>72 MESES – IBR MV + 3,2%</v>
      </c>
      <c r="J26" s="51" t="n">
        <f aca="false">IF(ISNUMBER('A22-336817'!C7),'A22-336817'!C7,"Por fila")</f>
        <v>0.00792035016710324</v>
      </c>
      <c r="K26" s="51" t="str">
        <f aca="false">IFERROR('A22-336817'!C8,"N/A")</f>
        <v>N/A</v>
      </c>
      <c r="L26" s="53" t="str">
        <f aca="false">IF(AND(ISNUMBER(J26),ISNUMBER(K26)),(K26-J26)*10000,"N/A")</f>
        <v>N/A</v>
      </c>
      <c r="M26" s="57" t="n">
        <f aca="false">'A22-336817'!I4</f>
        <v>46230</v>
      </c>
      <c r="N26" s="32" t="n">
        <f aca="false">'A22-336817'!I5</f>
        <v>770085425.158301</v>
      </c>
      <c r="O26" s="32" t="n">
        <f aca="false">IF(COUNTIF(Detalle_62!$C$14:$C$35,A26)&gt;0,SUMIFS(Detalle_62!$F$14:$F$35,Detalle_62!$C$14:$C$35,A26),"No está")</f>
        <v>770085425.158301</v>
      </c>
      <c r="P26" s="33" t="n">
        <f aca="false">IF(ISNUMBER(O26),N26-O26,"N/A")</f>
        <v>0</v>
      </c>
      <c r="Q26" s="32" t="n">
        <f aca="false">IFERROR(INDEX(Saldos_x_Obligacion!$L:$L,MATCH("BCL-L336817",Saldos_x_Obligacion!$A:$A,0)),"N/D")</f>
        <v>787729700</v>
      </c>
      <c r="R26" s="33" t="n">
        <f aca="false">IF(ISNUMBER(Q26),N26-Q26,"N/D")</f>
        <v>-17644274.8416994</v>
      </c>
      <c r="S26" s="32" t="n">
        <f aca="false">'A22-336817'!I7</f>
        <v>44946958.2921088</v>
      </c>
      <c r="T26" s="32" t="n">
        <f aca="false">IFERROR(INDEX(Intereses_x_Obligacion!$I:$I,MATCH("BCL-L336817",Intereses_x_Obligacion!$A:$A,0)),"N/D")</f>
        <v>28583500</v>
      </c>
      <c r="U26" s="33" t="n">
        <f aca="false">IF(ISNUMBER(T26),T26-S26,"N/D")</f>
        <v>-16363458.2921088</v>
      </c>
      <c r="V26" s="32" t="n">
        <f aca="false">MAX('A22-336817'!I8,0)</f>
        <v>130316947.737682</v>
      </c>
      <c r="W26" s="32" t="n">
        <f aca="false">IF(COUNTIF(Detalle_62!$C$14:$C$35,A26)&gt;0,SUMIFS(Detalle_62!$M$14:$M$35,Detalle_62!$C$14:$C$35,A26),"No está")</f>
        <v>206513651</v>
      </c>
      <c r="X26" s="33" t="n">
        <f aca="false">IF(ISNUMBER(W26),V26-W26,"N/A")</f>
        <v>-76196703.2623185</v>
      </c>
      <c r="Y26" s="32" t="n">
        <f aca="false">'A22-336817'!I9</f>
        <v>6.70552253723145E-008</v>
      </c>
      <c r="Z26" s="26" t="s">
        <v>95</v>
      </c>
      <c r="AA26" s="26" t="s">
        <v>95</v>
      </c>
      <c r="AB26" s="6" t="s">
        <v>1949</v>
      </c>
    </row>
    <row r="27" customFormat="false" ht="48" hidden="false" customHeight="true" outlineLevel="0" collapsed="false">
      <c r="A27" s="34" t="s">
        <v>142</v>
      </c>
      <c r="B27" s="38" t="s">
        <v>1950</v>
      </c>
      <c r="C27" s="67" t="s">
        <v>212</v>
      </c>
      <c r="D27" s="38" t="s">
        <v>1946</v>
      </c>
      <c r="E27" s="38" t="s">
        <v>1950</v>
      </c>
      <c r="F27" s="26" t="s">
        <v>1221</v>
      </c>
      <c r="G27" s="32" t="n">
        <f aca="false">'A23-331330'!C4</f>
        <v>915429932</v>
      </c>
      <c r="H27" s="57" t="n">
        <f aca="false">'A23-331330'!C5</f>
        <v>45133</v>
      </c>
      <c r="I27" s="14" t="str">
        <f aca="false">'A23-331330'!C6</f>
        <v>60 Meses – IBR+3,75%</v>
      </c>
      <c r="J27" s="51" t="n">
        <f aca="false">IF(ISNUMBER('A23-331330'!C7),'A23-331330'!C7,"Por fila")</f>
        <v>0.0253937097041328</v>
      </c>
      <c r="K27" s="51" t="n">
        <f aca="false">IFERROR('A23-331330'!C8,"N/A")</f>
        <v>0.0228929357231654</v>
      </c>
      <c r="L27" s="53" t="n">
        <f aca="false">IF(AND(ISNUMBER(J27),ISNUMBER(K27)),(K27-J27)*10000,"N/A")</f>
        <v>-25.0077398096739</v>
      </c>
      <c r="M27" s="57" t="n">
        <f aca="false">'A23-331330'!I4</f>
        <v>46229</v>
      </c>
      <c r="N27" s="32" t="n">
        <f aca="false">'A23-331330'!I5</f>
        <v>503693510</v>
      </c>
      <c r="O27" s="32" t="n">
        <f aca="false">IF(COUNTIF(Detalle_62!$C$14:$C$35,A27)&gt;0,SUMIFS(Detalle_62!$F$14:$F$35,Detalle_62!$C$14:$C$35,A27),"No está")</f>
        <v>503693510</v>
      </c>
      <c r="P27" s="33" t="n">
        <f aca="false">IF(ISNUMBER(O27),N27-O27,"N/A")</f>
        <v>0</v>
      </c>
      <c r="Q27" s="32" t="n">
        <f aca="false">IFERROR(INDEX(Saldos_x_Obligacion!$L:$L,MATCH("BCL-L331330",Saldos_x_Obligacion!$A:$A,0)),"N/D")</f>
        <v>488525504</v>
      </c>
      <c r="R27" s="33" t="n">
        <f aca="false">IF(ISNUMBER(Q27),N27-Q27,"N/D")</f>
        <v>15168006</v>
      </c>
      <c r="S27" s="32" t="n">
        <f aca="false">'A23-331330'!I7</f>
        <v>99905792.5025106</v>
      </c>
      <c r="T27" s="32" t="n">
        <f aca="false">IFERROR(INDEX(Intereses_x_Obligacion!$I:$I,MATCH("BCL-L331330",Intereses_x_Obligacion!$A:$A,0)),"N/D")</f>
        <v>26060708</v>
      </c>
      <c r="U27" s="33" t="n">
        <f aca="false">IF(ISNUMBER(T27),T27-S27,"N/D")</f>
        <v>-73845084.5025106</v>
      </c>
      <c r="V27" s="32" t="n">
        <f aca="false">MAX('A23-331330'!I8,0)</f>
        <v>175036572</v>
      </c>
      <c r="W27" s="32" t="n">
        <f aca="false">IF(COUNTIF(Detalle_62!$C$14:$C$35,A27)&gt;0,SUMIFS(Detalle_62!$M$14:$M$35,Detalle_62!$C$14:$C$35,A27),"No está")</f>
        <v>388559429</v>
      </c>
      <c r="X27" s="33" t="n">
        <f aca="false">IF(ISNUMBER(W27),V27-W27,"N/A")</f>
        <v>-213522857</v>
      </c>
      <c r="Y27" s="32" t="n">
        <f aca="false">'A23-331330'!I9</f>
        <v>0</v>
      </c>
      <c r="Z27" s="26" t="s">
        <v>95</v>
      </c>
      <c r="AA27" s="26" t="s">
        <v>95</v>
      </c>
      <c r="AB27" s="6" t="s">
        <v>1951</v>
      </c>
    </row>
    <row r="28" customFormat="false" ht="48" hidden="false" customHeight="true" outlineLevel="0" collapsed="false">
      <c r="A28" s="34" t="s">
        <v>1952</v>
      </c>
      <c r="B28" s="38" t="s">
        <v>1953</v>
      </c>
      <c r="C28" s="67" t="s">
        <v>213</v>
      </c>
      <c r="D28" s="38" t="s">
        <v>1954</v>
      </c>
      <c r="E28" s="38" t="s">
        <v>1955</v>
      </c>
      <c r="F28" s="26" t="s">
        <v>165</v>
      </c>
      <c r="G28" s="32" t="n">
        <f aca="false">'A24-DD-0709'!C4</f>
        <v>72300000000</v>
      </c>
      <c r="H28" s="57" t="n">
        <f aca="false">'A24-DD-0709'!C5</f>
        <v>45807</v>
      </c>
      <c r="I28" s="14" t="str">
        <f aca="false">'A24-DD-0709'!C6</f>
        <v>24 meses – IBR 3 MESES + 2,2%</v>
      </c>
      <c r="J28" s="51" t="str">
        <f aca="false">IF(ISNUMBER('A24-DD-0709'!C7),'A24-DD-0709'!C7,"Por fila")</f>
        <v>Por fila</v>
      </c>
      <c r="K28" s="51" t="n">
        <f aca="false">IFERROR('A24-DD-0709'!C8,"N/A")</f>
        <v>0.0106889552420913</v>
      </c>
      <c r="L28" s="53" t="str">
        <f aca="false">IF(AND(ISNUMBER(J28),ISNUMBER(K28)),(K28-J28)*10000,"N/A")</f>
        <v>N/A</v>
      </c>
      <c r="M28" s="57" t="n">
        <f aca="false">'A24-DD-0709'!I4</f>
        <v>46233</v>
      </c>
      <c r="N28" s="32" t="n">
        <f aca="false">'A24-DD-0709'!I5</f>
        <v>72300000000</v>
      </c>
      <c r="O28" s="32" t="str">
        <f aca="false">IF(COUNTIF(Detalle_62!$C$14:$C$35,A28)&gt;0,SUMIFS(Detalle_62!$F$14:$F$35,Detalle_62!$C$14:$C$35,A28),"No está")</f>
        <v>No está</v>
      </c>
      <c r="P28" s="33" t="str">
        <f aca="false">IF(ISNUMBER(O28),N28-O28,"N/A")</f>
        <v>N/A</v>
      </c>
      <c r="Q28" s="32" t="str">
        <f aca="false">IFERROR(INDEX(Saldos_x_Obligacion!$L:$L,MATCH("DYP-482800190700",Saldos_x_Obligacion!$A:$A,0)),"N/D")</f>
        <v>N/D</v>
      </c>
      <c r="R28" s="33" t="str">
        <f aca="false">IF(ISNUMBER(Q28),N28-Q28,"N/D")</f>
        <v>N/D</v>
      </c>
      <c r="S28" s="32" t="n">
        <f aca="false">'A24-DD-0709'!I7</f>
        <v>5585235250</v>
      </c>
      <c r="T28" s="32" t="str">
        <f aca="false">IFERROR(INDEX(Intereses_x_Obligacion!$I:$I,MATCH("DYP-482800190700",Intereses_x_Obligacion!$A:$A,0)),"N/D")</f>
        <v>N/D</v>
      </c>
      <c r="U28" s="33" t="str">
        <f aca="false">IF(ISNUMBER(T28),T28-S28,"N/D")</f>
        <v>N/D</v>
      </c>
      <c r="V28" s="32" t="n">
        <f aca="false">MAX('A24-DD-0709'!I8,0)</f>
        <v>72300000000</v>
      </c>
      <c r="W28" s="32" t="str">
        <f aca="false">IF(COUNTIF(Detalle_62!$C$14:$C$35,A28)&gt;0,SUMIFS(Detalle_62!$M$14:$M$35,Detalle_62!$C$14:$C$35,A28),"No está")</f>
        <v>No está</v>
      </c>
      <c r="X28" s="33" t="str">
        <f aca="false">IF(ISNUMBER(W28),V28-W28,"N/A")</f>
        <v>N/A</v>
      </c>
      <c r="Y28" s="32" t="n">
        <f aca="false">'A24-DD-0709'!I9</f>
        <v>0</v>
      </c>
      <c r="Z28" s="39" t="n">
        <v>72948851615.615</v>
      </c>
      <c r="AA28" s="62" t="n">
        <f aca="false">IF(ISNUMBER(Z28),Z28-N28,"N/A")</f>
        <v>648851615.61499</v>
      </c>
      <c r="AB28" s="6" t="s">
        <v>1956</v>
      </c>
    </row>
    <row r="29" customFormat="false" ht="48" hidden="false" customHeight="true" outlineLevel="0" collapsed="false">
      <c r="A29" s="34" t="s">
        <v>1957</v>
      </c>
      <c r="B29" s="38" t="s">
        <v>1958</v>
      </c>
      <c r="C29" s="67" t="s">
        <v>214</v>
      </c>
      <c r="D29" s="38" t="s">
        <v>1959</v>
      </c>
      <c r="E29" s="38" t="s">
        <v>1960</v>
      </c>
      <c r="F29" s="26" t="s">
        <v>1221</v>
      </c>
      <c r="G29" s="32" t="n">
        <f aca="false">'A25-3934'!C4</f>
        <v>142000000</v>
      </c>
      <c r="H29" s="57" t="n">
        <f aca="false">'A25-3934'!C5</f>
        <v>44281</v>
      </c>
      <c r="I29" s="14" t="str">
        <f aca="false">'A25-3934'!C6</f>
        <v>60 MESES – DTF MV + 6</v>
      </c>
      <c r="J29" s="51" t="n">
        <f aca="false">IF(ISNUMBER('A25-3934'!C7),'A25-3934'!C7,"Por fila")</f>
        <v>-0.0458764589719203</v>
      </c>
      <c r="K29" s="51" t="str">
        <f aca="false">IFERROR('A25-3934'!C8,"N/A")</f>
        <v>N/A</v>
      </c>
      <c r="L29" s="53" t="str">
        <f aca="false">IF(AND(ISNUMBER(J29),ISNUMBER(K29)),(K29-J29)*10000,"N/A")</f>
        <v>N/A</v>
      </c>
      <c r="M29" s="57" t="n">
        <f aca="false">'A25-3934'!I4</f>
        <v>45133</v>
      </c>
      <c r="N29" s="32" t="n">
        <f aca="false">'A25-3934'!I5</f>
        <v>6.05359673500061E-008</v>
      </c>
      <c r="O29" s="32" t="str">
        <f aca="false">IF(COUNTIF(Detalle_62!$C$14:$C$35,A29)&gt;0,SUMIFS(Detalle_62!$F$14:$F$35,Detalle_62!$C$14:$C$35,A29),"No está")</f>
        <v>No está</v>
      </c>
      <c r="P29" s="33" t="str">
        <f aca="false">IF(ISNUMBER(O29),N29-O29,"N/A")</f>
        <v>N/A</v>
      </c>
      <c r="Q29" s="32" t="str">
        <f aca="false">IFERROR(INDEX(Saldos_x_Obligacion!$L:$L,MATCH("DAV-L1013934",Saldos_x_Obligacion!$A:$A,0)),"N/D")</f>
        <v>N/D</v>
      </c>
      <c r="R29" s="33" t="str">
        <f aca="false">IF(ISNUMBER(Q29),N29-Q29,"N/D")</f>
        <v>N/D</v>
      </c>
      <c r="S29" s="32" t="n">
        <f aca="false">'A25-3934'!I7</f>
        <v>0</v>
      </c>
      <c r="T29" s="32" t="str">
        <f aca="false">IFERROR(INDEX(Intereses_x_Obligacion!$I:$I,MATCH("DAV-L1013934",Intereses_x_Obligacion!$A:$A,0)),"N/D")</f>
        <v>N/D</v>
      </c>
      <c r="U29" s="33" t="str">
        <f aca="false">IF(ISNUMBER(T29),T29-S29,"N/D")</f>
        <v>N/D</v>
      </c>
      <c r="V29" s="32" t="n">
        <f aca="false">MAX('A25-3934'!I8,0)</f>
        <v>0</v>
      </c>
      <c r="W29" s="32" t="str">
        <f aca="false">IF(COUNTIF(Detalle_62!$C$14:$C$35,A29)&gt;0,SUMIFS(Detalle_62!$M$14:$M$35,Detalle_62!$C$14:$C$35,A29),"No está")</f>
        <v>No está</v>
      </c>
      <c r="X29" s="33" t="str">
        <f aca="false">IF(ISNUMBER(W29),V29-W29,"N/A")</f>
        <v>N/A</v>
      </c>
      <c r="Y29" s="32" t="n">
        <f aca="false">'A25-3934'!I9</f>
        <v>3.72529029846191E-009</v>
      </c>
      <c r="Z29" s="26" t="s">
        <v>95</v>
      </c>
      <c r="AA29" s="26" t="s">
        <v>95</v>
      </c>
      <c r="AB29" s="6" t="s">
        <v>1961</v>
      </c>
    </row>
    <row r="30" customFormat="false" ht="15" hidden="false" customHeight="false" outlineLevel="0" collapsed="false">
      <c r="A30" s="40" t="s">
        <v>1962</v>
      </c>
      <c r="N30" s="41" t="n">
        <f aca="false">SUMIFS(N5:N29,$A$5:$A$29,"&lt;&gt;DYP*",$A$5:$A$29,"&lt;&gt;DAV-L1013934",$A$5:$A$29,"&lt;&gt;BOG-1155297469",$A$5:$A$29,"&lt;&gt;BBVA-9600277262")</f>
        <v>40513189813.0966</v>
      </c>
      <c r="O30" s="41" t="n">
        <f aca="false">SUMIFS(O5:O29,$A$5:$A$29,"&lt;&gt;DYP*",$A$5:$A$29,"&lt;&gt;DAV-L1013934",$A$5:$A$29,"&lt;&gt;BOG-1155297469",$A$5:$A$29,"&lt;&gt;BBVA-9600277262")</f>
        <v>40485912116.9625</v>
      </c>
      <c r="Q30" s="41" t="n">
        <f aca="false">SUMIFS(Q5:Q29,$A$5:$A$29,"&lt;&gt;DYP*",$A$5:$A$29,"&lt;&gt;DAV-L1013934",$A$5:$A$29,"&lt;&gt;BOG-1155297469",$A$5:$A$29,"&lt;&gt;BBVA-9600277262")</f>
        <v>40614470338.59</v>
      </c>
      <c r="S30" s="41" t="n">
        <f aca="false">SUMIFS(S5:S29,$A$5:$A$29,"&lt;&gt;DYP*",$A$5:$A$29,"&lt;&gt;DAV-L1013934",$A$5:$A$29,"&lt;&gt;BOG-1155297469",$A$5:$A$29,"&lt;&gt;BBVA-9600277262")</f>
        <v>3379246978.79818</v>
      </c>
      <c r="T30" s="41" t="n">
        <f aca="false">SUMIFS(T5:T29,$A$5:$A$29,"&lt;&gt;DYP*",$A$5:$A$29,"&lt;&gt;DAV-L1013934",$A$5:$A$29,"&lt;&gt;BOG-1155297469",$A$5:$A$29,"&lt;&gt;BBVA-9600277262")</f>
        <v>3002309005.36</v>
      </c>
      <c r="V30" s="41" t="n">
        <f aca="false">SUMIFS(V5:V29,$A$5:$A$29,"&lt;&gt;DYP*",$A$5:$A$29,"&lt;&gt;DAV-L1013934",$A$5:$A$29,"&lt;&gt;BOG-1155297469",$A$5:$A$29,"&lt;&gt;BBVA-9600277262")</f>
        <v>5400849180.41412</v>
      </c>
      <c r="W30" s="41" t="n">
        <f aca="false">SUMIFS(W5:W29,$A$5:$A$29,"&lt;&gt;DYP*",$A$5:$A$29,"&lt;&gt;DAV-L1013934",$A$5:$A$29,"&lt;&gt;BOG-1155297469",$A$5:$A$29,"&lt;&gt;BBVA-9600277262")</f>
        <v>16928998619.5403</v>
      </c>
    </row>
    <row r="32" customFormat="false" ht="15" hidden="false" customHeight="false" outlineLevel="0" collapsed="false">
      <c r="A32" s="25" t="s">
        <v>1963</v>
      </c>
    </row>
    <row r="33" customFormat="false" ht="27.75" hidden="false" customHeight="true" outlineLevel="0" collapsed="false">
      <c r="A33" s="11" t="s">
        <v>1964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7.75" hidden="false" customHeight="true" outlineLevel="0" collapsed="false">
      <c r="A34" s="11" t="s">
        <v>1965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7.75" hidden="false" customHeight="true" outlineLevel="0" collapsed="false">
      <c r="A35" s="11" t="s">
        <v>1966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7.75" hidden="false" customHeight="true" outlineLevel="0" collapsed="false">
      <c r="A36" s="11" t="s">
        <v>1967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7.75" hidden="false" customHeight="true" outlineLevel="0" collapsed="false">
      <c r="A37" s="11" t="s">
        <v>1968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</sheetData>
  <mergeCells count="5">
    <mergeCell ref="A33:N33"/>
    <mergeCell ref="A34:N34"/>
    <mergeCell ref="A35:N35"/>
    <mergeCell ref="A36:N36"/>
    <mergeCell ref="A37:N37"/>
  </mergeCells>
  <hyperlinks>
    <hyperlink ref="C5" r:id="rId1" location="'A01-9441'!A1" display="A01-9441"/>
    <hyperlink ref="C6" r:id="rId2" location="'A02-9448'!A1" display="A02-9448"/>
    <hyperlink ref="C7" r:id="rId3" location="'A03-2753'!A1" display="A03-2753"/>
    <hyperlink ref="C8" r:id="rId4" location="'A04-D-0624'!A1" display="A04-D-0624"/>
    <hyperlink ref="C9" r:id="rId5" location="'A05-D-7691'!A1" display="A05-D-7691"/>
    <hyperlink ref="C10" r:id="rId6" location="'A06-D-9032'!A1" display="A06-D-9032"/>
    <hyperlink ref="C11" r:id="rId7" location="'A07-B-6746'!A1" display="A07-B-6746"/>
    <hyperlink ref="C12" r:id="rId8" location="'A08-B-0629'!A1" display="A08-B-0629"/>
    <hyperlink ref="C13" r:id="rId9" location="'A09-B-7259'!A1" display="A09-B-7259"/>
    <hyperlink ref="C14" r:id="rId10" location="'A10-B-7469'!A1" display="A10-B-7469"/>
    <hyperlink ref="C15" r:id="rId11" location="'A11-Hoja2'!A1" display="A11-Hoja2"/>
    <hyperlink ref="C16" r:id="rId12" location="'A12-9224'!A1" display="A12-9224"/>
    <hyperlink ref="C17" r:id="rId13" location="'A13-9180'!A1" display="A13-9180"/>
    <hyperlink ref="C18" r:id="rId14" location="'A14-9117'!A1" display="A14-9117"/>
    <hyperlink ref="C19" r:id="rId15" location="'A15-9064'!A1" display="A15-9064"/>
    <hyperlink ref="C20" r:id="rId16" location="'A16-9299'!A1" display="A16-9299"/>
    <hyperlink ref="C21" r:id="rId17" location="'A17-5005'!A1" display="A17-5005"/>
    <hyperlink ref="C22" r:id="rId18" location="'A18-P-9940'!A1" display="A18-P-9940"/>
    <hyperlink ref="C23" r:id="rId19" location="'A19-V-7262'!A1" display="A19-V-7262"/>
    <hyperlink ref="C24" r:id="rId20" location="'A20-BC-5867'!A1" display="A20-BC-5867"/>
    <hyperlink ref="C25" r:id="rId21" location="'A21-362095'!A1" display="A21-362095"/>
    <hyperlink ref="C26" r:id="rId22" location="'A22-336817'!A1" display="A22-336817"/>
    <hyperlink ref="C27" r:id="rId23" location="'A23-331330'!A1" display="A23-331330"/>
    <hyperlink ref="C28" r:id="rId24" location="'A24-DD-0709'!A1" display="A24-DD-0709"/>
    <hyperlink ref="C29" r:id="rId25" location="'A25-3934'!A1" display="A25-39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4" min="3" style="0" width="11"/>
    <col collapsed="false" customWidth="true" hidden="false" outlineLevel="0" max="5" min="5" style="0" width="17"/>
    <col collapsed="false" customWidth="true" hidden="false" outlineLevel="0" max="6" min="6" style="0" width="12"/>
    <col collapsed="false" customWidth="true" hidden="false" outlineLevel="0" max="7" min="7" style="0" width="90"/>
  </cols>
  <sheetData>
    <row r="1" customFormat="false" ht="16.15" hidden="false" customHeight="false" outlineLevel="0" collapsed="false">
      <c r="A1" s="23" t="s">
        <v>1969</v>
      </c>
    </row>
    <row r="2" customFormat="false" ht="15" hidden="false" customHeight="false" outlineLevel="0" collapsed="false">
      <c r="A2" s="24" t="s">
        <v>1970</v>
      </c>
    </row>
    <row r="4" customFormat="false" ht="30" hidden="false" customHeight="true" outlineLevel="0" collapsed="false">
      <c r="A4" s="31" t="s">
        <v>1198</v>
      </c>
      <c r="B4" s="31" t="s">
        <v>284</v>
      </c>
      <c r="C4" s="31" t="s">
        <v>282</v>
      </c>
      <c r="D4" s="31" t="s">
        <v>163</v>
      </c>
      <c r="E4" s="31" t="s">
        <v>1971</v>
      </c>
      <c r="F4" s="31" t="s">
        <v>1972</v>
      </c>
      <c r="G4" s="31" t="s">
        <v>100</v>
      </c>
    </row>
    <row r="5" customFormat="false" ht="15" hidden="false" customHeight="false" outlineLevel="0" collapsed="false">
      <c r="A5" s="34" t="s">
        <v>124</v>
      </c>
      <c r="B5" s="38" t="s">
        <v>312</v>
      </c>
      <c r="C5" s="27" t="n">
        <v>46050</v>
      </c>
      <c r="D5" s="38" t="s">
        <v>310</v>
      </c>
      <c r="E5" s="39" t="n">
        <v>41849155.99</v>
      </c>
      <c r="F5" s="26" t="s">
        <v>1973</v>
      </c>
      <c r="G5" s="38" t="s">
        <v>314</v>
      </c>
    </row>
    <row r="6" customFormat="false" ht="15" hidden="false" customHeight="false" outlineLevel="0" collapsed="false">
      <c r="A6" s="34" t="s">
        <v>124</v>
      </c>
      <c r="B6" s="38" t="s">
        <v>317</v>
      </c>
      <c r="C6" s="27" t="n">
        <v>46071</v>
      </c>
      <c r="D6" s="38" t="s">
        <v>310</v>
      </c>
      <c r="E6" s="39" t="n">
        <v>36701211.58</v>
      </c>
      <c r="F6" s="26" t="s">
        <v>1973</v>
      </c>
      <c r="G6" s="38" t="s">
        <v>318</v>
      </c>
    </row>
    <row r="7" customFormat="false" ht="15" hidden="false" customHeight="false" outlineLevel="0" collapsed="false">
      <c r="A7" s="34" t="s">
        <v>124</v>
      </c>
      <c r="B7" s="38" t="s">
        <v>323</v>
      </c>
      <c r="C7" s="27" t="n">
        <v>46100</v>
      </c>
      <c r="D7" s="38" t="s">
        <v>310</v>
      </c>
      <c r="E7" s="39" t="n">
        <v>36314055.32</v>
      </c>
      <c r="F7" s="26" t="s">
        <v>1973</v>
      </c>
      <c r="G7" s="38" t="s">
        <v>324</v>
      </c>
    </row>
    <row r="8" customFormat="false" ht="15" hidden="false" customHeight="false" outlineLevel="0" collapsed="false">
      <c r="A8" s="34" t="s">
        <v>124</v>
      </c>
      <c r="B8" s="38" t="s">
        <v>325</v>
      </c>
      <c r="C8" s="27" t="n">
        <v>46136</v>
      </c>
      <c r="D8" s="38" t="s">
        <v>310</v>
      </c>
      <c r="E8" s="39" t="n">
        <v>40669577.85</v>
      </c>
      <c r="F8" s="26" t="s">
        <v>1973</v>
      </c>
      <c r="G8" s="38" t="s">
        <v>326</v>
      </c>
    </row>
    <row r="9" customFormat="false" ht="15" hidden="false" customHeight="false" outlineLevel="0" collapsed="false">
      <c r="A9" s="34" t="s">
        <v>124</v>
      </c>
      <c r="B9" s="38" t="s">
        <v>329</v>
      </c>
      <c r="C9" s="27" t="n">
        <v>46164</v>
      </c>
      <c r="D9" s="38" t="s">
        <v>310</v>
      </c>
      <c r="E9" s="68"/>
      <c r="F9" s="26" t="s">
        <v>1974</v>
      </c>
      <c r="G9" s="38" t="s">
        <v>330</v>
      </c>
    </row>
    <row r="10" customFormat="false" ht="15" hidden="false" customHeight="false" outlineLevel="0" collapsed="false">
      <c r="A10" s="34" t="s">
        <v>124</v>
      </c>
      <c r="B10" s="38" t="s">
        <v>331</v>
      </c>
      <c r="C10" s="27" t="n">
        <v>46197</v>
      </c>
      <c r="D10" s="38" t="s">
        <v>310</v>
      </c>
      <c r="E10" s="39" t="n">
        <v>37868662.91</v>
      </c>
      <c r="F10" s="26" t="s">
        <v>1973</v>
      </c>
      <c r="G10" s="38" t="s">
        <v>332</v>
      </c>
    </row>
    <row r="11" customFormat="false" ht="15" hidden="false" customHeight="false" outlineLevel="0" collapsed="false">
      <c r="A11" s="34" t="s">
        <v>124</v>
      </c>
      <c r="B11" s="38" t="s">
        <v>335</v>
      </c>
      <c r="C11" s="27" t="n">
        <v>46230</v>
      </c>
      <c r="D11" s="38" t="s">
        <v>310</v>
      </c>
      <c r="E11" s="39" t="n">
        <v>38894999.71</v>
      </c>
      <c r="F11" s="26" t="s">
        <v>1973</v>
      </c>
      <c r="G11" s="38" t="s">
        <v>336</v>
      </c>
    </row>
    <row r="12" customFormat="false" ht="15" hidden="false" customHeight="false" outlineLevel="0" collapsed="false">
      <c r="A12" s="34" t="s">
        <v>119</v>
      </c>
      <c r="B12" s="38" t="s">
        <v>766</v>
      </c>
      <c r="C12" s="27" t="n">
        <v>46050</v>
      </c>
      <c r="D12" s="38" t="s">
        <v>763</v>
      </c>
      <c r="E12" s="39" t="n">
        <v>4321722</v>
      </c>
      <c r="F12" s="26" t="s">
        <v>1973</v>
      </c>
      <c r="G12" s="38" t="s">
        <v>767</v>
      </c>
    </row>
    <row r="13" customFormat="false" ht="15" hidden="false" customHeight="false" outlineLevel="0" collapsed="false">
      <c r="A13" s="34" t="s">
        <v>118</v>
      </c>
      <c r="B13" s="38" t="s">
        <v>769</v>
      </c>
      <c r="C13" s="27" t="n">
        <v>46050</v>
      </c>
      <c r="D13" s="38" t="s">
        <v>763</v>
      </c>
      <c r="E13" s="68"/>
      <c r="F13" s="26" t="s">
        <v>1974</v>
      </c>
      <c r="G13" s="38" t="s">
        <v>770</v>
      </c>
    </row>
    <row r="14" customFormat="false" ht="15" hidden="false" customHeight="false" outlineLevel="0" collapsed="false">
      <c r="A14" s="34" t="s">
        <v>118</v>
      </c>
      <c r="B14" s="38" t="s">
        <v>771</v>
      </c>
      <c r="C14" s="27" t="n">
        <v>46071</v>
      </c>
      <c r="D14" s="38" t="s">
        <v>763</v>
      </c>
      <c r="E14" s="39" t="n">
        <v>5239806</v>
      </c>
      <c r="F14" s="26" t="s">
        <v>1973</v>
      </c>
      <c r="G14" s="38" t="s">
        <v>772</v>
      </c>
    </row>
    <row r="15" customFormat="false" ht="15" hidden="false" customHeight="false" outlineLevel="0" collapsed="false">
      <c r="A15" s="34" t="s">
        <v>119</v>
      </c>
      <c r="B15" s="38" t="s">
        <v>773</v>
      </c>
      <c r="C15" s="27" t="n">
        <v>46071</v>
      </c>
      <c r="D15" s="38" t="s">
        <v>763</v>
      </c>
      <c r="E15" s="68"/>
      <c r="F15" s="26" t="s">
        <v>1974</v>
      </c>
      <c r="G15" s="38" t="s">
        <v>774</v>
      </c>
    </row>
    <row r="16" customFormat="false" ht="15" hidden="false" customHeight="false" outlineLevel="0" collapsed="false">
      <c r="A16" s="34" t="s">
        <v>119</v>
      </c>
      <c r="B16" s="38" t="s">
        <v>775</v>
      </c>
      <c r="C16" s="27" t="n">
        <v>46095</v>
      </c>
      <c r="D16" s="38" t="s">
        <v>763</v>
      </c>
      <c r="E16" s="39" t="n">
        <v>4004121</v>
      </c>
      <c r="F16" s="26" t="s">
        <v>1973</v>
      </c>
      <c r="G16" s="38" t="s">
        <v>776</v>
      </c>
    </row>
    <row r="17" customFormat="false" ht="15" hidden="false" customHeight="false" outlineLevel="0" collapsed="false">
      <c r="A17" s="34" t="s">
        <v>118</v>
      </c>
      <c r="B17" s="38" t="s">
        <v>777</v>
      </c>
      <c r="C17" s="27" t="n">
        <v>46095</v>
      </c>
      <c r="D17" s="38" t="s">
        <v>763</v>
      </c>
      <c r="E17" s="39" t="n">
        <v>4882578</v>
      </c>
      <c r="F17" s="26" t="s">
        <v>1973</v>
      </c>
      <c r="G17" s="38" t="s">
        <v>778</v>
      </c>
    </row>
    <row r="18" customFormat="false" ht="15" hidden="false" customHeight="false" outlineLevel="0" collapsed="false">
      <c r="A18" s="34" t="s">
        <v>118</v>
      </c>
      <c r="B18" s="38" t="s">
        <v>779</v>
      </c>
      <c r="C18" s="27" t="n">
        <v>46136</v>
      </c>
      <c r="D18" s="38" t="s">
        <v>763</v>
      </c>
      <c r="E18" s="39" t="n">
        <v>5382049</v>
      </c>
      <c r="F18" s="26" t="s">
        <v>1973</v>
      </c>
      <c r="G18" s="38" t="s">
        <v>780</v>
      </c>
    </row>
    <row r="19" customFormat="false" ht="15" hidden="false" customHeight="false" outlineLevel="0" collapsed="false">
      <c r="A19" s="34" t="s">
        <v>119</v>
      </c>
      <c r="B19" s="38" t="s">
        <v>781</v>
      </c>
      <c r="C19" s="27" t="n">
        <v>46136</v>
      </c>
      <c r="D19" s="38" t="s">
        <v>763</v>
      </c>
      <c r="E19" s="39" t="n">
        <v>4369021</v>
      </c>
      <c r="F19" s="26" t="s">
        <v>1973</v>
      </c>
      <c r="G19" s="38" t="s">
        <v>782</v>
      </c>
    </row>
    <row r="20" customFormat="false" ht="15" hidden="false" customHeight="false" outlineLevel="0" collapsed="false">
      <c r="A20" s="34" t="s">
        <v>119</v>
      </c>
      <c r="B20" s="38" t="s">
        <v>783</v>
      </c>
      <c r="C20" s="27" t="n">
        <v>46164</v>
      </c>
      <c r="D20" s="38" t="s">
        <v>763</v>
      </c>
      <c r="E20" s="39" t="n">
        <v>4368074</v>
      </c>
      <c r="F20" s="26" t="s">
        <v>1973</v>
      </c>
      <c r="G20" s="38" t="s">
        <v>784</v>
      </c>
    </row>
    <row r="21" customFormat="false" ht="15" hidden="false" customHeight="false" outlineLevel="0" collapsed="false">
      <c r="A21" s="34" t="s">
        <v>118</v>
      </c>
      <c r="B21" s="38" t="s">
        <v>785</v>
      </c>
      <c r="C21" s="27" t="n">
        <v>46164</v>
      </c>
      <c r="D21" s="38" t="s">
        <v>763</v>
      </c>
      <c r="E21" s="39" t="n">
        <v>5335810</v>
      </c>
      <c r="F21" s="26" t="s">
        <v>1973</v>
      </c>
      <c r="G21" s="38" t="s">
        <v>786</v>
      </c>
    </row>
    <row r="22" customFormat="false" ht="15" hidden="false" customHeight="false" outlineLevel="0" collapsed="false">
      <c r="A22" s="34" t="s">
        <v>119</v>
      </c>
      <c r="B22" s="38" t="s">
        <v>787</v>
      </c>
      <c r="C22" s="27" t="n">
        <v>46203</v>
      </c>
      <c r="D22" s="38" t="s">
        <v>763</v>
      </c>
      <c r="E22" s="39" t="n">
        <v>4402982</v>
      </c>
      <c r="F22" s="26" t="s">
        <v>1973</v>
      </c>
      <c r="G22" s="38" t="s">
        <v>788</v>
      </c>
    </row>
    <row r="23" customFormat="false" ht="15" hidden="false" customHeight="false" outlineLevel="0" collapsed="false">
      <c r="A23" s="34" t="s">
        <v>118</v>
      </c>
      <c r="B23" s="38" t="s">
        <v>789</v>
      </c>
      <c r="C23" s="27" t="n">
        <v>46203</v>
      </c>
      <c r="D23" s="38" t="s">
        <v>763</v>
      </c>
      <c r="E23" s="39" t="n">
        <v>5319404</v>
      </c>
      <c r="F23" s="26" t="s">
        <v>1973</v>
      </c>
      <c r="G23" s="38" t="s">
        <v>790</v>
      </c>
    </row>
    <row r="24" customFormat="false" ht="15" hidden="false" customHeight="false" outlineLevel="0" collapsed="false">
      <c r="A24" s="34" t="s">
        <v>119</v>
      </c>
      <c r="B24" s="38" t="s">
        <v>793</v>
      </c>
      <c r="C24" s="27" t="n">
        <v>46231</v>
      </c>
      <c r="D24" s="38" t="s">
        <v>763</v>
      </c>
      <c r="E24" s="39" t="n">
        <v>4177893</v>
      </c>
      <c r="F24" s="26" t="s">
        <v>1973</v>
      </c>
      <c r="G24" s="38" t="s">
        <v>794</v>
      </c>
    </row>
    <row r="25" customFormat="false" ht="15" hidden="false" customHeight="false" outlineLevel="0" collapsed="false">
      <c r="A25" s="34" t="s">
        <v>118</v>
      </c>
      <c r="B25" s="38" t="s">
        <v>795</v>
      </c>
      <c r="C25" s="27" t="n">
        <v>46231</v>
      </c>
      <c r="D25" s="38" t="s">
        <v>763</v>
      </c>
      <c r="E25" s="39" t="n">
        <v>5062372</v>
      </c>
      <c r="F25" s="26" t="s">
        <v>1973</v>
      </c>
      <c r="G25" s="38" t="s">
        <v>796</v>
      </c>
    </row>
    <row r="26" customFormat="false" ht="15" hidden="false" customHeight="false" outlineLevel="0" collapsed="false">
      <c r="A26" s="34" t="s">
        <v>142</v>
      </c>
      <c r="B26" s="38" t="s">
        <v>833</v>
      </c>
      <c r="C26" s="27" t="n">
        <v>46041</v>
      </c>
      <c r="D26" s="38" t="s">
        <v>763</v>
      </c>
      <c r="E26" s="68"/>
      <c r="F26" s="26" t="s">
        <v>1974</v>
      </c>
      <c r="G26" s="38" t="s">
        <v>834</v>
      </c>
    </row>
    <row r="27" customFormat="false" ht="15" hidden="false" customHeight="false" outlineLevel="0" collapsed="false">
      <c r="A27" s="34" t="s">
        <v>141</v>
      </c>
      <c r="B27" s="38" t="s">
        <v>835</v>
      </c>
      <c r="C27" s="27" t="n">
        <v>46041</v>
      </c>
      <c r="D27" s="38" t="s">
        <v>763</v>
      </c>
      <c r="E27" s="68"/>
      <c r="F27" s="26" t="s">
        <v>1974</v>
      </c>
      <c r="G27" s="38" t="s">
        <v>836</v>
      </c>
    </row>
    <row r="28" customFormat="false" ht="15" hidden="false" customHeight="false" outlineLevel="0" collapsed="false">
      <c r="A28" s="34" t="s">
        <v>141</v>
      </c>
      <c r="B28" s="38" t="s">
        <v>837</v>
      </c>
      <c r="C28" s="27" t="n">
        <v>46066</v>
      </c>
      <c r="D28" s="38" t="s">
        <v>763</v>
      </c>
      <c r="E28" s="68"/>
      <c r="F28" s="26" t="s">
        <v>1974</v>
      </c>
      <c r="G28" s="38" t="s">
        <v>838</v>
      </c>
    </row>
    <row r="29" customFormat="false" ht="15" hidden="false" customHeight="false" outlineLevel="0" collapsed="false">
      <c r="A29" s="34" t="s">
        <v>142</v>
      </c>
      <c r="B29" s="38" t="s">
        <v>839</v>
      </c>
      <c r="C29" s="27" t="n">
        <v>46066</v>
      </c>
      <c r="D29" s="38" t="s">
        <v>763</v>
      </c>
      <c r="E29" s="68"/>
      <c r="F29" s="26" t="s">
        <v>1974</v>
      </c>
      <c r="G29" s="38" t="s">
        <v>840</v>
      </c>
    </row>
    <row r="30" customFormat="false" ht="15" hidden="false" customHeight="false" outlineLevel="0" collapsed="false">
      <c r="A30" s="34" t="s">
        <v>142</v>
      </c>
      <c r="B30" s="38" t="s">
        <v>841</v>
      </c>
      <c r="C30" s="27" t="n">
        <v>46094</v>
      </c>
      <c r="D30" s="38" t="s">
        <v>763</v>
      </c>
      <c r="E30" s="68"/>
      <c r="F30" s="26" t="s">
        <v>1974</v>
      </c>
      <c r="G30" s="38" t="s">
        <v>842</v>
      </c>
    </row>
    <row r="31" customFormat="false" ht="15" hidden="false" customHeight="false" outlineLevel="0" collapsed="false">
      <c r="A31" s="34" t="s">
        <v>141</v>
      </c>
      <c r="B31" s="38" t="s">
        <v>843</v>
      </c>
      <c r="C31" s="27" t="n">
        <v>46094</v>
      </c>
      <c r="D31" s="38" t="s">
        <v>763</v>
      </c>
      <c r="E31" s="68"/>
      <c r="F31" s="26" t="s">
        <v>1974</v>
      </c>
      <c r="G31" s="38" t="s">
        <v>844</v>
      </c>
    </row>
    <row r="32" customFormat="false" ht="15" hidden="false" customHeight="false" outlineLevel="0" collapsed="false">
      <c r="A32" s="34" t="s">
        <v>142</v>
      </c>
      <c r="B32" s="38" t="s">
        <v>847</v>
      </c>
      <c r="C32" s="27" t="n">
        <v>46127</v>
      </c>
      <c r="D32" s="38" t="s">
        <v>763</v>
      </c>
      <c r="E32" s="39" t="n">
        <v>6762702</v>
      </c>
      <c r="F32" s="26" t="s">
        <v>1973</v>
      </c>
      <c r="G32" s="38" t="s">
        <v>848</v>
      </c>
    </row>
    <row r="33" customFormat="false" ht="15" hidden="false" customHeight="false" outlineLevel="0" collapsed="false">
      <c r="A33" s="34" t="s">
        <v>141</v>
      </c>
      <c r="B33" s="38" t="s">
        <v>849</v>
      </c>
      <c r="C33" s="27" t="n">
        <v>46132</v>
      </c>
      <c r="D33" s="38" t="s">
        <v>763</v>
      </c>
      <c r="E33" s="68"/>
      <c r="F33" s="26" t="s">
        <v>1974</v>
      </c>
      <c r="G33" s="38" t="s">
        <v>850</v>
      </c>
    </row>
    <row r="34" customFormat="false" ht="15" hidden="false" customHeight="false" outlineLevel="0" collapsed="false">
      <c r="A34" s="34" t="s">
        <v>141</v>
      </c>
      <c r="B34" s="38" t="s">
        <v>851</v>
      </c>
      <c r="C34" s="27" t="n">
        <v>46157</v>
      </c>
      <c r="D34" s="38" t="s">
        <v>763</v>
      </c>
      <c r="E34" s="39" t="n">
        <v>9575527</v>
      </c>
      <c r="F34" s="26" t="s">
        <v>1973</v>
      </c>
      <c r="G34" s="38" t="s">
        <v>852</v>
      </c>
    </row>
    <row r="35" customFormat="false" ht="15" hidden="false" customHeight="false" outlineLevel="0" collapsed="false">
      <c r="A35" s="34" t="s">
        <v>142</v>
      </c>
      <c r="B35" s="38" t="s">
        <v>853</v>
      </c>
      <c r="C35" s="27" t="n">
        <v>46157</v>
      </c>
      <c r="D35" s="38" t="s">
        <v>763</v>
      </c>
      <c r="E35" s="39" t="n">
        <v>6615640</v>
      </c>
      <c r="F35" s="26" t="s">
        <v>1973</v>
      </c>
      <c r="G35" s="38" t="s">
        <v>854</v>
      </c>
    </row>
    <row r="36" customFormat="false" ht="15" hidden="false" customHeight="false" outlineLevel="0" collapsed="false">
      <c r="A36" s="34" t="s">
        <v>141</v>
      </c>
      <c r="B36" s="38" t="s">
        <v>855</v>
      </c>
      <c r="C36" s="27" t="n">
        <v>46203</v>
      </c>
      <c r="D36" s="38" t="s">
        <v>763</v>
      </c>
      <c r="E36" s="39" t="n">
        <v>9548725</v>
      </c>
      <c r="F36" s="26" t="s">
        <v>1973</v>
      </c>
      <c r="G36" s="38" t="s">
        <v>856</v>
      </c>
    </row>
    <row r="37" customFormat="false" ht="15" hidden="false" customHeight="false" outlineLevel="0" collapsed="false">
      <c r="A37" s="34" t="s">
        <v>142</v>
      </c>
      <c r="B37" s="38" t="s">
        <v>859</v>
      </c>
      <c r="C37" s="27" t="n">
        <v>46203</v>
      </c>
      <c r="D37" s="38" t="s">
        <v>763</v>
      </c>
      <c r="E37" s="39" t="n">
        <v>6446141</v>
      </c>
      <c r="F37" s="26" t="s">
        <v>1973</v>
      </c>
      <c r="G37" s="38" t="s">
        <v>860</v>
      </c>
    </row>
    <row r="38" customFormat="false" ht="15" hidden="false" customHeight="false" outlineLevel="0" collapsed="false">
      <c r="A38" s="34" t="s">
        <v>142</v>
      </c>
      <c r="B38" s="38" t="s">
        <v>861</v>
      </c>
      <c r="C38" s="27" t="n">
        <v>46212</v>
      </c>
      <c r="D38" s="38" t="s">
        <v>763</v>
      </c>
      <c r="E38" s="39" t="n">
        <v>6236225</v>
      </c>
      <c r="F38" s="26" t="s">
        <v>1973</v>
      </c>
      <c r="G38" s="38" t="s">
        <v>862</v>
      </c>
    </row>
    <row r="39" customFormat="false" ht="15" hidden="false" customHeight="false" outlineLevel="0" collapsed="false">
      <c r="A39" s="34" t="s">
        <v>141</v>
      </c>
      <c r="B39" s="38" t="s">
        <v>863</v>
      </c>
      <c r="C39" s="27" t="n">
        <v>46222</v>
      </c>
      <c r="D39" s="38" t="s">
        <v>763</v>
      </c>
      <c r="E39" s="39" t="n">
        <v>9459248</v>
      </c>
      <c r="F39" s="26" t="s">
        <v>1973</v>
      </c>
      <c r="G39" s="38" t="s">
        <v>864</v>
      </c>
    </row>
    <row r="40" customFormat="false" ht="15" hidden="false" customHeight="false" outlineLevel="0" collapsed="false">
      <c r="D40" s="40" t="s">
        <v>96</v>
      </c>
      <c r="E40" s="41" t="n">
        <f aca="false">SUM(E5:E39)</f>
        <v>343807703.36</v>
      </c>
      <c r="F40" s="69" t="n">
        <f aca="false">COUNTIF(F5:F39,"Sin dato")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7" min="3" style="0" width="16"/>
    <col collapsed="false" customWidth="true" hidden="false" outlineLevel="0" max="8" min="8" style="0" width="9"/>
    <col collapsed="false" customWidth="true" hidden="false" outlineLevel="0" max="10" min="9" style="0" width="17"/>
    <col collapsed="false" customWidth="true" hidden="false" outlineLevel="0" max="11" min="11" style="0" width="16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45"/>
  </cols>
  <sheetData>
    <row r="1" customFormat="false" ht="16.15" hidden="false" customHeight="false" outlineLevel="0" collapsed="false">
      <c r="A1" s="23" t="s">
        <v>1975</v>
      </c>
    </row>
    <row r="2" customFormat="false" ht="15" hidden="false" customHeight="false" outlineLevel="0" collapsed="false">
      <c r="A2" s="24" t="s">
        <v>1976</v>
      </c>
    </row>
    <row r="4" customFormat="false" ht="48" hidden="false" customHeight="true" outlineLevel="0" collapsed="false">
      <c r="A4" s="31" t="s">
        <v>1198</v>
      </c>
      <c r="B4" s="31" t="s">
        <v>157</v>
      </c>
      <c r="C4" s="31" t="s">
        <v>1977</v>
      </c>
      <c r="D4" s="31" t="s">
        <v>1978</v>
      </c>
      <c r="E4" s="31" t="s">
        <v>1979</v>
      </c>
      <c r="F4" s="31" t="s">
        <v>1980</v>
      </c>
      <c r="G4" s="31" t="s">
        <v>1981</v>
      </c>
      <c r="H4" s="31" t="s">
        <v>1982</v>
      </c>
      <c r="I4" s="31" t="s">
        <v>1983</v>
      </c>
      <c r="J4" s="31" t="s">
        <v>1984</v>
      </c>
      <c r="K4" s="31" t="s">
        <v>1882</v>
      </c>
      <c r="L4" s="31" t="s">
        <v>1985</v>
      </c>
      <c r="M4" s="31" t="s">
        <v>1986</v>
      </c>
      <c r="N4" s="31" t="s">
        <v>1171</v>
      </c>
    </row>
    <row r="5" customFormat="false" ht="15" hidden="false" customHeight="false" outlineLevel="0" collapsed="false">
      <c r="A5" s="34" t="s">
        <v>114</v>
      </c>
      <c r="B5" s="38" t="s">
        <v>1219</v>
      </c>
      <c r="C5" s="32" t="n">
        <f aca="false">SUMIFS(Mayor_Dic25!$G$5:$G$200,Mayor_Dic25!$J$5:$J$200,A5,Mayor_Dic25!$C$5:$C$200,"2130*")</f>
        <v>409183333</v>
      </c>
      <c r="D5" s="32" t="n">
        <f aca="false">SUMIFS(Mayor_Mov!$F$5:$F$445,Mayor_Mov!$N$5:$N$445,A5,Mayor_Mov!$B$5:$B$445,"2130*")</f>
        <v>66026667</v>
      </c>
      <c r="E5" s="32" t="n">
        <f aca="false">SUMIFS(Mayor_Mov!$E$5:$E$445,Mayor_Mov!$N$5:$N$445,A5,Mayor_Mov!$B$5:$B$445,"2130*")</f>
        <v>475210000</v>
      </c>
      <c r="F5" s="33" t="n">
        <f aca="false">C5+D5-E5</f>
        <v>0</v>
      </c>
      <c r="G5" s="32" t="n">
        <f aca="false">SUMIFS(Int_Glosas!$E$5:$E$39,Int_Glosas!$A$5:$A$39,A5)</f>
        <v>0</v>
      </c>
      <c r="H5" s="48" t="n">
        <f aca="false">COUNTIFS(Int_Glosas!$A$5:$A$39,A5,Int_Glosas!$F$5:$F$39,"Sin dato")</f>
        <v>0</v>
      </c>
      <c r="I5" s="33" t="n">
        <f aca="false">D5+G5</f>
        <v>66026667</v>
      </c>
      <c r="J5" s="32" t="str">
        <f aca="false">IFERROR(INDEX(Rev_Tablas_Amort!$S:$S,MATCH(A5,Rev_Tablas_Amort!$A:$A,0)),"Sin tabla")</f>
        <v>Sin tabla</v>
      </c>
      <c r="K5" s="33" t="str">
        <f aca="false">IF(ISNUMBER(J5),I5-J5,"N/A")</f>
        <v>N/A</v>
      </c>
      <c r="L5" s="32" t="n">
        <f aca="false">SUMIFS(Recalculo_Intereses!$I$24:$I$46,Recalculo_Intereses!$A$24:$A$46,A5)</f>
        <v>0</v>
      </c>
      <c r="M5" s="62" t="n">
        <f aca="false">L5-F5</f>
        <v>0</v>
      </c>
      <c r="N5" s="6" t="s">
        <v>1987</v>
      </c>
    </row>
    <row r="6" customFormat="false" ht="15" hidden="false" customHeight="false" outlineLevel="0" collapsed="false">
      <c r="A6" s="34" t="s">
        <v>115</v>
      </c>
      <c r="B6" s="38" t="s">
        <v>1219</v>
      </c>
      <c r="C6" s="32" t="n">
        <f aca="false">SUMIFS(Mayor_Dic25!$G$5:$G$200,Mayor_Dic25!$J$5:$J$200,A6,Mayor_Dic25!$C$5:$C$200,"2130*")</f>
        <v>156505000</v>
      </c>
      <c r="D6" s="32" t="n">
        <f aca="false">SUMIFS(Mayor_Mov!$F$5:$F$445,Mayor_Mov!$N$5:$N$445,A6,Mayor_Mov!$B$5:$B$445,"2130*")</f>
        <v>234581000</v>
      </c>
      <c r="E6" s="32" t="n">
        <f aca="false">SUMIFS(Mayor_Mov!$E$5:$E$445,Mayor_Mov!$N$5:$N$445,A6,Mayor_Mov!$B$5:$B$445,"2130*")</f>
        <v>391086000</v>
      </c>
      <c r="F6" s="33" t="n">
        <f aca="false">C6+D6-E6</f>
        <v>0</v>
      </c>
      <c r="G6" s="32" t="n">
        <f aca="false">SUMIFS(Int_Glosas!$E$5:$E$39,Int_Glosas!$A$5:$A$39,A6)</f>
        <v>0</v>
      </c>
      <c r="H6" s="48" t="n">
        <f aca="false">COUNTIFS(Int_Glosas!$A$5:$A$39,A6,Int_Glosas!$F$5:$F$39,"Sin dato")</f>
        <v>0</v>
      </c>
      <c r="I6" s="33" t="n">
        <f aca="false">D6+G6</f>
        <v>234581000</v>
      </c>
      <c r="J6" s="32" t="n">
        <f aca="false">IFERROR(INDEX(Rev_Tablas_Amort!$S:$S,MATCH(A6,Rev_Tablas_Amort!$A:$A,0)),"Sin tabla")</f>
        <v>262697500</v>
      </c>
      <c r="K6" s="33" t="n">
        <f aca="false">IF(ISNUMBER(J6),I6-J6,"N/A")</f>
        <v>-28116500</v>
      </c>
      <c r="L6" s="32" t="n">
        <f aca="false">SUMIFS(Recalculo_Intereses!$I$24:$I$46,Recalculo_Intereses!$A$24:$A$46,A6)</f>
        <v>3666117.76672668</v>
      </c>
      <c r="M6" s="62" t="n">
        <f aca="false">L6-F6</f>
        <v>3666117.76672668</v>
      </c>
      <c r="N6" s="6"/>
    </row>
    <row r="7" customFormat="false" ht="15" hidden="false" customHeight="false" outlineLevel="0" collapsed="false">
      <c r="A7" s="34" t="s">
        <v>116</v>
      </c>
      <c r="B7" s="38" t="s">
        <v>1219</v>
      </c>
      <c r="C7" s="32" t="n">
        <f aca="false">SUMIFS(Mayor_Dic25!$G$5:$G$200,Mayor_Dic25!$J$5:$J$200,A7,Mayor_Dic25!$C$5:$C$200,"2130*")</f>
        <v>231356250</v>
      </c>
      <c r="D7" s="32" t="n">
        <f aca="false">SUMIFS(Mayor_Mov!$F$5:$F$445,Mayor_Mov!$N$5:$N$445,A7,Mayor_Mov!$B$5:$B$445,"2130*")</f>
        <v>586251750</v>
      </c>
      <c r="E7" s="32" t="n">
        <f aca="false">SUMIFS(Mayor_Mov!$E$5:$E$445,Mayor_Mov!$N$5:$N$445,A7,Mayor_Mov!$B$5:$B$445,"2130*")</f>
        <v>445208000</v>
      </c>
      <c r="F7" s="33" t="n">
        <f aca="false">C7+D7-E7</f>
        <v>372400000</v>
      </c>
      <c r="G7" s="32" t="n">
        <f aca="false">SUMIFS(Int_Glosas!$E$5:$E$39,Int_Glosas!$A$5:$A$39,A7)</f>
        <v>0</v>
      </c>
      <c r="H7" s="48" t="n">
        <f aca="false">COUNTIFS(Int_Glosas!$A$5:$A$39,A7,Int_Glosas!$F$5:$F$39,"Sin dato")</f>
        <v>0</v>
      </c>
      <c r="I7" s="33" t="n">
        <f aca="false">D7+G7</f>
        <v>586251750</v>
      </c>
      <c r="J7" s="32" t="n">
        <f aca="false">IFERROR(INDEX(Rev_Tablas_Amort!$S:$S,MATCH(A7,Rev_Tablas_Amort!$A:$A,0)),"Sin tabla")</f>
        <v>639243750</v>
      </c>
      <c r="K7" s="33" t="n">
        <f aca="false">IF(ISNUMBER(J7),I7-J7,"N/A")</f>
        <v>-52992000</v>
      </c>
      <c r="L7" s="32" t="n">
        <f aca="false">SUMIFS(Recalculo_Intereses!$I$24:$I$46,Recalculo_Intereses!$A$24:$A$46,A7)</f>
        <v>401458173.071409</v>
      </c>
      <c r="M7" s="62" t="n">
        <f aca="false">L7-F7</f>
        <v>29058173.0714088</v>
      </c>
      <c r="N7" s="6"/>
    </row>
    <row r="8" customFormat="false" ht="15" hidden="false" customHeight="false" outlineLevel="0" collapsed="false">
      <c r="A8" s="34" t="s">
        <v>117</v>
      </c>
      <c r="B8" s="38" t="s">
        <v>1219</v>
      </c>
      <c r="C8" s="32" t="n">
        <f aca="false">SUMIFS(Mayor_Dic25!$G$5:$G$200,Mayor_Dic25!$J$5:$J$200,A8,Mayor_Dic25!$C$5:$C$200,"2130*")</f>
        <v>206586600</v>
      </c>
      <c r="D8" s="32" t="n">
        <f aca="false">SUMIFS(Mayor_Mov!$F$5:$F$445,Mayor_Mov!$N$5:$N$445,A8,Mayor_Mov!$B$5:$B$445,"2130*")</f>
        <v>309646400</v>
      </c>
      <c r="E8" s="32" t="n">
        <f aca="false">SUMIFS(Mayor_Mov!$E$5:$E$445,Mayor_Mov!$N$5:$N$445,A8,Mayor_Mov!$B$5:$B$445,"2130*")</f>
        <v>516233000</v>
      </c>
      <c r="F8" s="33" t="n">
        <f aca="false">C8+D8-E8</f>
        <v>0</v>
      </c>
      <c r="G8" s="32" t="n">
        <f aca="false">SUMIFS(Int_Glosas!$E$5:$E$39,Int_Glosas!$A$5:$A$39,A8)</f>
        <v>0</v>
      </c>
      <c r="H8" s="48" t="n">
        <f aca="false">COUNTIFS(Int_Glosas!$A$5:$A$39,A8,Int_Glosas!$F$5:$F$39,"Sin dato")</f>
        <v>0</v>
      </c>
      <c r="I8" s="33" t="n">
        <f aca="false">D8+G8</f>
        <v>309646400</v>
      </c>
      <c r="J8" s="32" t="n">
        <f aca="false">IFERROR(INDEX(Rev_Tablas_Amort!$S:$S,MATCH(A8,Rev_Tablas_Amort!$A:$A,0)),"Sin tabla")</f>
        <v>346760700</v>
      </c>
      <c r="K8" s="33" t="n">
        <f aca="false">IF(ISNUMBER(J8),I8-J8,"N/A")</f>
        <v>-37114300</v>
      </c>
      <c r="L8" s="32" t="n">
        <f aca="false">SUMIFS(Recalculo_Intereses!$I$24:$I$46,Recalculo_Intereses!$A$24:$A$46,A8)</f>
        <v>4839280.59774044</v>
      </c>
      <c r="M8" s="62" t="n">
        <f aca="false">L8-F8</f>
        <v>4839280.59774044</v>
      </c>
      <c r="N8" s="6"/>
    </row>
    <row r="9" customFormat="false" ht="15" hidden="false" customHeight="false" outlineLevel="0" collapsed="false">
      <c r="A9" s="34" t="s">
        <v>118</v>
      </c>
      <c r="B9" s="38" t="s">
        <v>1219</v>
      </c>
      <c r="C9" s="32" t="n">
        <f aca="false">SUMIFS(Mayor_Dic25!$G$5:$G$200,Mayor_Dic25!$J$5:$J$200,A9,Mayor_Dic25!$C$5:$C$200,"2130*")</f>
        <v>0</v>
      </c>
      <c r="D9" s="32" t="n">
        <f aca="false">SUMIFS(Mayor_Mov!$F$5:$F$445,Mayor_Mov!$N$5:$N$445,A9,Mayor_Mov!$B$5:$B$445,"2130*")</f>
        <v>0</v>
      </c>
      <c r="E9" s="32" t="n">
        <f aca="false">SUMIFS(Mayor_Mov!$E$5:$E$445,Mayor_Mov!$N$5:$N$445,A9,Mayor_Mov!$B$5:$B$445,"2130*")</f>
        <v>0</v>
      </c>
      <c r="F9" s="33" t="n">
        <f aca="false">C9+D9-E9</f>
        <v>0</v>
      </c>
      <c r="G9" s="32" t="n">
        <f aca="false">SUMIFS(Int_Glosas!$E$5:$E$39,Int_Glosas!$A$5:$A$39,A9)</f>
        <v>31222019</v>
      </c>
      <c r="H9" s="48" t="n">
        <f aca="false">COUNTIFS(Int_Glosas!$A$5:$A$39,A9,Int_Glosas!$F$5:$F$39,"Sin dato")</f>
        <v>1</v>
      </c>
      <c r="I9" s="33" t="n">
        <f aca="false">D9+G9</f>
        <v>31222019</v>
      </c>
      <c r="J9" s="32" t="n">
        <f aca="false">IFERROR(INDEX(Rev_Tablas_Amort!$S:$S,MATCH(A9,Rev_Tablas_Amort!$A:$A,0)),"Sin tabla")</f>
        <v>41709581.6713573</v>
      </c>
      <c r="K9" s="33" t="n">
        <f aca="false">IF(ISNUMBER(J9),I9-J9,"N/A")</f>
        <v>-10487562.6713573</v>
      </c>
      <c r="L9" s="32" t="n">
        <f aca="false">SUMIFS(Recalculo_Intereses!$I$24:$I$46,Recalculo_Intereses!$A$24:$A$46,A9)</f>
        <v>2939106.2775128</v>
      </c>
      <c r="M9" s="62" t="n">
        <f aca="false">L9-F9</f>
        <v>2939106.2775128</v>
      </c>
      <c r="N9" s="6"/>
    </row>
    <row r="10" customFormat="false" ht="15" hidden="false" customHeight="false" outlineLevel="0" collapsed="false">
      <c r="A10" s="34" t="s">
        <v>119</v>
      </c>
      <c r="B10" s="38" t="s">
        <v>1219</v>
      </c>
      <c r="C10" s="32" t="n">
        <f aca="false">SUMIFS(Mayor_Dic25!$G$5:$G$200,Mayor_Dic25!$J$5:$J$200,A10,Mayor_Dic25!$C$5:$C$200,"2130*")</f>
        <v>0</v>
      </c>
      <c r="D10" s="32" t="n">
        <f aca="false">SUMIFS(Mayor_Mov!$F$5:$F$445,Mayor_Mov!$N$5:$N$445,A10,Mayor_Mov!$B$5:$B$445,"2130*")</f>
        <v>0</v>
      </c>
      <c r="E10" s="32" t="n">
        <f aca="false">SUMIFS(Mayor_Mov!$E$5:$E$445,Mayor_Mov!$N$5:$N$445,A10,Mayor_Mov!$B$5:$B$445,"2130*")</f>
        <v>0</v>
      </c>
      <c r="F10" s="33" t="n">
        <f aca="false">C10+D10-E10</f>
        <v>0</v>
      </c>
      <c r="G10" s="32" t="n">
        <f aca="false">SUMIFS(Int_Glosas!$E$5:$E$39,Int_Glosas!$A$5:$A$39,A10)</f>
        <v>25643813</v>
      </c>
      <c r="H10" s="48" t="n">
        <f aca="false">COUNTIFS(Int_Glosas!$A$5:$A$39,A10,Int_Glosas!$F$5:$F$39,"Sin dato")</f>
        <v>1</v>
      </c>
      <c r="I10" s="33" t="n">
        <f aca="false">D10+G10</f>
        <v>25643813</v>
      </c>
      <c r="J10" s="32" t="n">
        <f aca="false">IFERROR(INDEX(Rev_Tablas_Amort!$S:$S,MATCH(A10,Rev_Tablas_Amort!$A:$A,0)),"Sin tabla")</f>
        <v>31864025.6207989</v>
      </c>
      <c r="K10" s="33" t="n">
        <f aca="false">IF(ISNUMBER(J10),I10-J10,"N/A")</f>
        <v>-6220212.62079893</v>
      </c>
      <c r="L10" s="32" t="n">
        <f aca="false">SUMIFS(Recalculo_Intereses!$I$24:$I$46,Recalculo_Intereses!$A$24:$A$46,A10)</f>
        <v>3388544.07316055</v>
      </c>
      <c r="M10" s="62" t="n">
        <f aca="false">L10-F10</f>
        <v>3388544.07316055</v>
      </c>
      <c r="N10" s="6"/>
    </row>
    <row r="11" customFormat="false" ht="15" hidden="false" customHeight="false" outlineLevel="0" collapsed="false">
      <c r="A11" s="34" t="s">
        <v>120</v>
      </c>
      <c r="B11" s="38" t="s">
        <v>1219</v>
      </c>
      <c r="C11" s="32" t="n">
        <f aca="false">SUMIFS(Mayor_Dic25!$G$5:$G$200,Mayor_Dic25!$J$5:$J$200,A11,Mayor_Dic25!$C$5:$C$200,"2130*")</f>
        <v>34295624</v>
      </c>
      <c r="D11" s="32" t="n">
        <f aca="false">SUMIFS(Mayor_Mov!$F$5:$F$445,Mayor_Mov!$N$5:$N$445,A11,Mayor_Mov!$B$5:$B$445,"2130*")</f>
        <v>138538864</v>
      </c>
      <c r="E11" s="32" t="n">
        <f aca="false">SUMIFS(Mayor_Mov!$E$5:$E$445,Mayor_Mov!$N$5:$N$445,A11,Mayor_Mov!$B$5:$B$445,"2130*")</f>
        <v>172834488</v>
      </c>
      <c r="F11" s="33" t="n">
        <f aca="false">C11+D11-E11</f>
        <v>0</v>
      </c>
      <c r="G11" s="32" t="n">
        <f aca="false">SUMIFS(Int_Glosas!$E$5:$E$39,Int_Glosas!$A$5:$A$39,A11)</f>
        <v>0</v>
      </c>
      <c r="H11" s="48" t="n">
        <f aca="false">COUNTIFS(Int_Glosas!$A$5:$A$39,A11,Int_Glosas!$F$5:$F$39,"Sin dato")</f>
        <v>0</v>
      </c>
      <c r="I11" s="33" t="n">
        <f aca="false">D11+G11</f>
        <v>138538864</v>
      </c>
      <c r="J11" s="32" t="n">
        <f aca="false">IFERROR(INDEX(Rev_Tablas_Amort!$S:$S,MATCH(A11,Rev_Tablas_Amort!$A:$A,0)),"Sin tabla")</f>
        <v>154428550.826659</v>
      </c>
      <c r="K11" s="33" t="n">
        <f aca="false">IF(ISNUMBER(J11),I11-J11,"N/A")</f>
        <v>-15889686.8266591</v>
      </c>
      <c r="L11" s="32" t="n">
        <f aca="false">SUMIFS(Recalculo_Intereses!$I$24:$I$46,Recalculo_Intereses!$A$24:$A$46,A11)</f>
        <v>5545405.40210023</v>
      </c>
      <c r="M11" s="62" t="n">
        <f aca="false">L11-F11</f>
        <v>5545405.40210023</v>
      </c>
      <c r="N11" s="6"/>
    </row>
    <row r="12" customFormat="false" ht="15" hidden="false" customHeight="false" outlineLevel="0" collapsed="false">
      <c r="A12" s="34" t="s">
        <v>121</v>
      </c>
      <c r="B12" s="38" t="s">
        <v>1219</v>
      </c>
      <c r="C12" s="32" t="n">
        <f aca="false">SUMIFS(Mayor_Dic25!$G$5:$G$200,Mayor_Dic25!$J$5:$J$200,A12,Mayor_Dic25!$C$5:$C$200,"2130*")</f>
        <v>0</v>
      </c>
      <c r="D12" s="32" t="n">
        <f aca="false">SUMIFS(Mayor_Mov!$F$5:$F$445,Mayor_Mov!$N$5:$N$445,A12,Mayor_Mov!$B$5:$B$445,"2130*")</f>
        <v>0</v>
      </c>
      <c r="E12" s="32" t="n">
        <f aca="false">SUMIFS(Mayor_Mov!$E$5:$E$445,Mayor_Mov!$N$5:$N$445,A12,Mayor_Mov!$B$5:$B$445,"2130*")</f>
        <v>0</v>
      </c>
      <c r="F12" s="33" t="n">
        <f aca="false">C12+D12-E12</f>
        <v>0</v>
      </c>
      <c r="G12" s="32" t="n">
        <f aca="false">SUMIFS(Int_Glosas!$E$5:$E$39,Int_Glosas!$A$5:$A$39,A12)</f>
        <v>0</v>
      </c>
      <c r="H12" s="48" t="n">
        <f aca="false">COUNTIFS(Int_Glosas!$A$5:$A$39,A12,Int_Glosas!$F$5:$F$39,"Sin dato")</f>
        <v>0</v>
      </c>
      <c r="I12" s="33" t="n">
        <f aca="false">D12+G12</f>
        <v>0</v>
      </c>
      <c r="J12" s="32" t="str">
        <f aca="false">IFERROR(INDEX(Rev_Tablas_Amort!$S:$S,MATCH(A12,Rev_Tablas_Amort!$A:$A,0)),"Sin tabla")</f>
        <v>Sin tabla</v>
      </c>
      <c r="K12" s="33" t="str">
        <f aca="false">IF(ISNUMBER(J12),I12-J12,"N/A")</f>
        <v>N/A</v>
      </c>
      <c r="L12" s="32" t="n">
        <f aca="false">SUMIFS(Recalculo_Intereses!$I$24:$I$46,Recalculo_Intereses!$A$24:$A$46,A12)</f>
        <v>0</v>
      </c>
      <c r="M12" s="62" t="n">
        <f aca="false">L12-F12</f>
        <v>0</v>
      </c>
      <c r="N12" s="6" t="s">
        <v>1988</v>
      </c>
    </row>
    <row r="13" customFormat="false" ht="15" hidden="false" customHeight="false" outlineLevel="0" collapsed="false">
      <c r="A13" s="34" t="s">
        <v>124</v>
      </c>
      <c r="B13" s="38" t="s">
        <v>306</v>
      </c>
      <c r="C13" s="32" t="n">
        <f aca="false">SUMIFS(Mayor_Dic25!$G$5:$G$200,Mayor_Dic25!$J$5:$J$200,A13,Mayor_Dic25!$C$5:$C$200,"2130*")</f>
        <v>0</v>
      </c>
      <c r="D13" s="32" t="n">
        <f aca="false">SUMIFS(Mayor_Mov!$F$5:$F$445,Mayor_Mov!$N$5:$N$445,A13,Mayor_Mov!$B$5:$B$445,"2130*")</f>
        <v>0</v>
      </c>
      <c r="E13" s="32" t="n">
        <f aca="false">SUMIFS(Mayor_Mov!$E$5:$E$445,Mayor_Mov!$N$5:$N$445,A13,Mayor_Mov!$B$5:$B$445,"2130*")</f>
        <v>0</v>
      </c>
      <c r="F13" s="33" t="n">
        <f aca="false">C13+D13-E13</f>
        <v>0</v>
      </c>
      <c r="G13" s="32" t="n">
        <f aca="false">SUMIFS(Int_Glosas!$E$5:$E$39,Int_Glosas!$A$5:$A$39,A13)</f>
        <v>232297663.36</v>
      </c>
      <c r="H13" s="48" t="n">
        <f aca="false">COUNTIFS(Int_Glosas!$A$5:$A$39,A13,Int_Glosas!$F$5:$F$39,"Sin dato")</f>
        <v>1</v>
      </c>
      <c r="I13" s="33" t="n">
        <f aca="false">D13+G13</f>
        <v>232297663.36</v>
      </c>
      <c r="J13" s="32" t="n">
        <f aca="false">IFERROR(INDEX(Rev_Tablas_Amort!$S:$S,MATCH(A13,Rev_Tablas_Amort!$A:$A,0)),"Sin tabla")</f>
        <v>284219218.75</v>
      </c>
      <c r="K13" s="33" t="n">
        <f aca="false">IF(ISNUMBER(J13),I13-J13,"N/A")</f>
        <v>-51921555.39</v>
      </c>
      <c r="L13" s="32" t="n">
        <f aca="false">SUMIFS(Recalculo_Intereses!$I$24:$I$46,Recalculo_Intereses!$A$24:$A$46,A13)</f>
        <v>17704418.3193534</v>
      </c>
      <c r="M13" s="62" t="n">
        <f aca="false">L13-F13</f>
        <v>17704418.3193534</v>
      </c>
      <c r="N13" s="6" t="s">
        <v>1989</v>
      </c>
    </row>
    <row r="14" customFormat="false" ht="15" hidden="false" customHeight="false" outlineLevel="0" collapsed="false">
      <c r="A14" s="34" t="s">
        <v>125</v>
      </c>
      <c r="B14" s="38" t="s">
        <v>306</v>
      </c>
      <c r="C14" s="32" t="n">
        <f aca="false">SUMIFS(Mayor_Dic25!$G$5:$G$200,Mayor_Dic25!$J$5:$J$200,A14,Mayor_Dic25!$C$5:$C$200,"2130*")</f>
        <v>0</v>
      </c>
      <c r="D14" s="32" t="n">
        <f aca="false">SUMIFS(Mayor_Mov!$F$5:$F$445,Mayor_Mov!$N$5:$N$445,A14,Mayor_Mov!$B$5:$B$445,"2130*")</f>
        <v>133305619</v>
      </c>
      <c r="E14" s="32" t="n">
        <f aca="false">SUMIFS(Mayor_Mov!$E$5:$E$445,Mayor_Mov!$N$5:$N$445,A14,Mayor_Mov!$B$5:$B$445,"2130*")</f>
        <v>115480003</v>
      </c>
      <c r="F14" s="33" t="n">
        <f aca="false">C14+D14-E14</f>
        <v>17825616</v>
      </c>
      <c r="G14" s="32" t="n">
        <f aca="false">SUMIFS(Int_Glosas!$E$5:$E$39,Int_Glosas!$A$5:$A$39,A14)</f>
        <v>0</v>
      </c>
      <c r="H14" s="48" t="n">
        <f aca="false">COUNTIFS(Int_Glosas!$A$5:$A$39,A14,Int_Glosas!$F$5:$F$39,"Sin dato")</f>
        <v>0</v>
      </c>
      <c r="I14" s="33" t="n">
        <f aca="false">D14+G14</f>
        <v>133305619</v>
      </c>
      <c r="J14" s="32" t="n">
        <f aca="false">IFERROR(INDEX(Rev_Tablas_Amort!$S:$S,MATCH(A14,Rev_Tablas_Amort!$A:$A,0)),"Sin tabla")</f>
        <v>140132012.200862</v>
      </c>
      <c r="K14" s="33" t="n">
        <f aca="false">IF(ISNUMBER(J14),I14-J14,"N/A")</f>
        <v>-6826393.20086166</v>
      </c>
      <c r="L14" s="32" t="n">
        <f aca="false">SUMIFS(Recalculo_Intereses!$I$24:$I$46,Recalculo_Intereses!$A$24:$A$46,A14)</f>
        <v>22721889.9812955</v>
      </c>
      <c r="M14" s="62" t="n">
        <f aca="false">L14-F14</f>
        <v>4896273.98129553</v>
      </c>
      <c r="N14" s="6"/>
    </row>
    <row r="15" customFormat="false" ht="15" hidden="false" customHeight="false" outlineLevel="0" collapsed="false">
      <c r="A15" s="34" t="s">
        <v>126</v>
      </c>
      <c r="B15" s="38" t="s">
        <v>306</v>
      </c>
      <c r="C15" s="32" t="n">
        <f aca="false">SUMIFS(Mayor_Dic25!$G$5:$G$200,Mayor_Dic25!$J$5:$J$200,A15,Mayor_Dic25!$C$5:$C$200,"2130*")</f>
        <v>15408021</v>
      </c>
      <c r="D15" s="32" t="n">
        <f aca="false">SUMIFS(Mayor_Mov!$F$5:$F$445,Mayor_Mov!$N$5:$N$445,A15,Mayor_Mov!$B$5:$B$445,"2130*")</f>
        <v>108941341</v>
      </c>
      <c r="E15" s="32" t="n">
        <f aca="false">SUMIFS(Mayor_Mov!$E$5:$E$445,Mayor_Mov!$N$5:$N$445,A15,Mayor_Mov!$B$5:$B$445,"2130*")</f>
        <v>94261236</v>
      </c>
      <c r="F15" s="33" t="n">
        <f aca="false">C15+D15-E15</f>
        <v>30088126</v>
      </c>
      <c r="G15" s="32" t="n">
        <f aca="false">SUMIFS(Int_Glosas!$E$5:$E$39,Int_Glosas!$A$5:$A$39,A15)</f>
        <v>0</v>
      </c>
      <c r="H15" s="48" t="n">
        <f aca="false">COUNTIFS(Int_Glosas!$A$5:$A$39,A15,Int_Glosas!$F$5:$F$39,"Sin dato")</f>
        <v>0</v>
      </c>
      <c r="I15" s="33" t="n">
        <f aca="false">D15+G15</f>
        <v>108941341</v>
      </c>
      <c r="J15" s="32" t="n">
        <f aca="false">IFERROR(INDEX(Rev_Tablas_Amort!$S:$S,MATCH(A15,Rev_Tablas_Amort!$A:$A,0)),"Sin tabla")</f>
        <v>108575000</v>
      </c>
      <c r="K15" s="33" t="n">
        <f aca="false">IF(ISNUMBER(J15),I15-J15,"N/A")</f>
        <v>366341</v>
      </c>
      <c r="L15" s="32" t="n">
        <f aca="false">SUMIFS(Recalculo_Intereses!$I$24:$I$46,Recalculo_Intereses!$A$24:$A$46,A15)</f>
        <v>32711950.3469859</v>
      </c>
      <c r="M15" s="62" t="n">
        <f aca="false">L15-F15</f>
        <v>2623824.34698591</v>
      </c>
      <c r="N15" s="6"/>
    </row>
    <row r="16" customFormat="false" ht="15" hidden="false" customHeight="false" outlineLevel="0" collapsed="false">
      <c r="A16" s="34" t="s">
        <v>127</v>
      </c>
      <c r="B16" s="38" t="s">
        <v>306</v>
      </c>
      <c r="C16" s="32" t="n">
        <f aca="false">SUMIFS(Mayor_Dic25!$G$5:$G$200,Mayor_Dic25!$J$5:$J$200,A16,Mayor_Dic25!$C$5:$C$200,"2130*")</f>
        <v>0</v>
      </c>
      <c r="D16" s="32" t="n">
        <f aca="false">SUMIFS(Mayor_Mov!$F$5:$F$445,Mayor_Mov!$N$5:$N$445,A16,Mayor_Mov!$B$5:$B$445,"2130*")</f>
        <v>554228055</v>
      </c>
      <c r="E16" s="32" t="n">
        <f aca="false">SUMIFS(Mayor_Mov!$E$5:$E$445,Mayor_Mov!$N$5:$N$445,A16,Mayor_Mov!$B$5:$B$445,"2130*")</f>
        <v>554228055</v>
      </c>
      <c r="F16" s="33" t="n">
        <f aca="false">C16+D16-E16</f>
        <v>0</v>
      </c>
      <c r="G16" s="32" t="n">
        <f aca="false">SUMIFS(Int_Glosas!$E$5:$E$39,Int_Glosas!$A$5:$A$39,A16)</f>
        <v>0</v>
      </c>
      <c r="H16" s="48" t="n">
        <f aca="false">COUNTIFS(Int_Glosas!$A$5:$A$39,A16,Int_Glosas!$F$5:$F$39,"Sin dato")</f>
        <v>0</v>
      </c>
      <c r="I16" s="33" t="n">
        <f aca="false">D16+G16</f>
        <v>554228055</v>
      </c>
      <c r="J16" s="32" t="n">
        <f aca="false">IFERROR(INDEX(Rev_Tablas_Amort!$S:$S,MATCH(A16,Rev_Tablas_Amort!$A:$A,0)),"Sin tabla")</f>
        <v>604300000</v>
      </c>
      <c r="K16" s="33" t="n">
        <f aca="false">IF(ISNUMBER(J16),I16-J16,"N/A")</f>
        <v>-50071944.9999999</v>
      </c>
      <c r="L16" s="32" t="n">
        <f aca="false">SUMIFS(Recalculo_Intereses!$I$24:$I$46,Recalculo_Intereses!$A$24:$A$46,A16)</f>
        <v>30518760.5171553</v>
      </c>
      <c r="M16" s="62" t="n">
        <f aca="false">L16-F16</f>
        <v>30518760.5171553</v>
      </c>
      <c r="N16" s="6"/>
    </row>
    <row r="17" customFormat="false" ht="15" hidden="false" customHeight="false" outlineLevel="0" collapsed="false">
      <c r="A17" s="34" t="s">
        <v>128</v>
      </c>
      <c r="B17" s="38" t="s">
        <v>306</v>
      </c>
      <c r="C17" s="32" t="n">
        <f aca="false">SUMIFS(Mayor_Dic25!$G$5:$G$200,Mayor_Dic25!$J$5:$J$200,A17,Mayor_Dic25!$C$5:$C$200,"2130*")</f>
        <v>10635890</v>
      </c>
      <c r="D17" s="32" t="n">
        <f aca="false">SUMIFS(Mayor_Mov!$F$5:$F$445,Mayor_Mov!$N$5:$N$445,A17,Mayor_Mov!$B$5:$B$445,"2130*")</f>
        <v>31068671</v>
      </c>
      <c r="E17" s="32" t="n">
        <f aca="false">SUMIFS(Mayor_Mov!$E$5:$E$445,Mayor_Mov!$N$5:$N$445,A17,Mayor_Mov!$B$5:$B$445,"2130*")</f>
        <v>41704561</v>
      </c>
      <c r="F17" s="33" t="n">
        <f aca="false">C17+D17-E17</f>
        <v>0</v>
      </c>
      <c r="G17" s="32" t="n">
        <f aca="false">SUMIFS(Int_Glosas!$E$5:$E$39,Int_Glosas!$A$5:$A$39,A17)</f>
        <v>0</v>
      </c>
      <c r="H17" s="48" t="n">
        <f aca="false">COUNTIFS(Int_Glosas!$A$5:$A$39,A17,Int_Glosas!$F$5:$F$39,"Sin dato")</f>
        <v>0</v>
      </c>
      <c r="I17" s="33" t="n">
        <f aca="false">D17+G17</f>
        <v>31068671</v>
      </c>
      <c r="J17" s="32" t="n">
        <f aca="false">IFERROR(INDEX(Rev_Tablas_Amort!$S:$S,MATCH(A17,Rev_Tablas_Amort!$A:$A,0)),"Sin tabla")</f>
        <v>45776937.4665054</v>
      </c>
      <c r="K17" s="33" t="n">
        <f aca="false">IF(ISNUMBER(J17),I17-J17,"N/A")</f>
        <v>-14708266.4665054</v>
      </c>
      <c r="L17" s="32" t="n">
        <f aca="false">SUMIFS(Recalculo_Intereses!$I$24:$I$46,Recalculo_Intereses!$A$24:$A$46,A17)</f>
        <v>1155997.19932213</v>
      </c>
      <c r="M17" s="62" t="n">
        <f aca="false">L17-F17</f>
        <v>1155997.19932213</v>
      </c>
      <c r="N17" s="6"/>
    </row>
    <row r="18" customFormat="false" ht="15" hidden="false" customHeight="false" outlineLevel="0" collapsed="false">
      <c r="A18" s="34" t="s">
        <v>129</v>
      </c>
      <c r="B18" s="38" t="s">
        <v>306</v>
      </c>
      <c r="C18" s="32" t="n">
        <f aca="false">SUMIFS(Mayor_Dic25!$G$5:$G$200,Mayor_Dic25!$J$5:$J$200,A18,Mayor_Dic25!$C$5:$C$200,"2130*")</f>
        <v>10635890</v>
      </c>
      <c r="D18" s="32" t="n">
        <f aca="false">SUMIFS(Mayor_Mov!$F$5:$F$445,Mayor_Mov!$N$5:$N$445,A18,Mayor_Mov!$B$5:$B$445,"2130*")</f>
        <v>31068672</v>
      </c>
      <c r="E18" s="32" t="n">
        <f aca="false">SUMIFS(Mayor_Mov!$E$5:$E$445,Mayor_Mov!$N$5:$N$445,A18,Mayor_Mov!$B$5:$B$445,"2130*")</f>
        <v>41704562</v>
      </c>
      <c r="F18" s="33" t="n">
        <f aca="false">C18+D18-E18</f>
        <v>0</v>
      </c>
      <c r="G18" s="32" t="n">
        <f aca="false">SUMIFS(Int_Glosas!$E$5:$E$39,Int_Glosas!$A$5:$A$39,A18)</f>
        <v>0</v>
      </c>
      <c r="H18" s="48" t="n">
        <f aca="false">COUNTIFS(Int_Glosas!$A$5:$A$39,A18,Int_Glosas!$F$5:$F$39,"Sin dato")</f>
        <v>0</v>
      </c>
      <c r="I18" s="33" t="n">
        <f aca="false">D18+G18</f>
        <v>31068672</v>
      </c>
      <c r="J18" s="32" t="n">
        <f aca="false">IFERROR(INDEX(Rev_Tablas_Amort!$S:$S,MATCH(A18,Rev_Tablas_Amort!$A:$A,0)),"Sin tabla")</f>
        <v>45776937.4665054</v>
      </c>
      <c r="K18" s="33" t="n">
        <f aca="false">IF(ISNUMBER(J18),I18-J18,"N/A")</f>
        <v>-14708265.4665054</v>
      </c>
      <c r="L18" s="32" t="n">
        <f aca="false">SUMIFS(Recalculo_Intereses!$I$24:$I$46,Recalculo_Intereses!$A$24:$A$46,A18)</f>
        <v>1155997.19975989</v>
      </c>
      <c r="M18" s="62" t="n">
        <f aca="false">L18-F18</f>
        <v>1155997.19975989</v>
      </c>
      <c r="N18" s="6"/>
    </row>
    <row r="19" customFormat="false" ht="15" hidden="false" customHeight="false" outlineLevel="0" collapsed="false">
      <c r="A19" s="34" t="s">
        <v>130</v>
      </c>
      <c r="B19" s="38" t="s">
        <v>306</v>
      </c>
      <c r="C19" s="32" t="n">
        <f aca="false">SUMIFS(Mayor_Dic25!$G$5:$G$200,Mayor_Dic25!$J$5:$J$200,A19,Mayor_Dic25!$C$5:$C$200,"2130*")</f>
        <v>1052798</v>
      </c>
      <c r="D19" s="32" t="n">
        <f aca="false">SUMIFS(Mayor_Mov!$F$5:$F$445,Mayor_Mov!$N$5:$N$445,A19,Mayor_Mov!$B$5:$B$445,"2130*")</f>
        <v>28058555</v>
      </c>
      <c r="E19" s="32" t="n">
        <f aca="false">SUMIFS(Mayor_Mov!$E$5:$E$445,Mayor_Mov!$N$5:$N$445,A19,Mayor_Mov!$B$5:$B$445,"2130*")</f>
        <v>29111353</v>
      </c>
      <c r="F19" s="33" t="n">
        <f aca="false">C19+D19-E19</f>
        <v>0</v>
      </c>
      <c r="G19" s="32" t="n">
        <f aca="false">SUMIFS(Int_Glosas!$E$5:$E$39,Int_Glosas!$A$5:$A$39,A19)</f>
        <v>0</v>
      </c>
      <c r="H19" s="48" t="n">
        <f aca="false">COUNTIFS(Int_Glosas!$A$5:$A$39,A19,Int_Glosas!$F$5:$F$39,"Sin dato")</f>
        <v>0</v>
      </c>
      <c r="I19" s="33" t="n">
        <f aca="false">D19+G19</f>
        <v>28058555</v>
      </c>
      <c r="J19" s="32" t="n">
        <f aca="false">IFERROR(INDEX(Rev_Tablas_Amort!$S:$S,MATCH(A19,Rev_Tablas_Amort!$A:$A,0)),"Sin tabla")</f>
        <v>4327677.93876348</v>
      </c>
      <c r="K19" s="33" t="n">
        <f aca="false">IF(ISNUMBER(J19),I19-J19,"N/A")</f>
        <v>23730877.0612365</v>
      </c>
      <c r="L19" s="32" t="n">
        <f aca="false">SUMIFS(Recalculo_Intereses!$I$24:$I$46,Recalculo_Intereses!$A$24:$A$46,A19)</f>
        <v>370614.629600578</v>
      </c>
      <c r="M19" s="62" t="n">
        <f aca="false">L19-F19</f>
        <v>370614.629600578</v>
      </c>
      <c r="N19" s="6"/>
    </row>
    <row r="20" customFormat="false" ht="15" hidden="false" customHeight="false" outlineLevel="0" collapsed="false">
      <c r="A20" s="34" t="s">
        <v>131</v>
      </c>
      <c r="B20" s="38" t="s">
        <v>306</v>
      </c>
      <c r="C20" s="32" t="n">
        <f aca="false">SUMIFS(Mayor_Dic25!$G$5:$G$200,Mayor_Dic25!$J$5:$J$200,A20,Mayor_Dic25!$C$5:$C$200,"2130*")</f>
        <v>1052798</v>
      </c>
      <c r="D20" s="32" t="n">
        <f aca="false">SUMIFS(Mayor_Mov!$F$5:$F$445,Mayor_Mov!$N$5:$N$445,A20,Mayor_Mov!$B$5:$B$445,"2130*")</f>
        <v>28058555</v>
      </c>
      <c r="E20" s="32" t="n">
        <f aca="false">SUMIFS(Mayor_Mov!$E$5:$E$445,Mayor_Mov!$N$5:$N$445,A20,Mayor_Mov!$B$5:$B$445,"2130*")</f>
        <v>29111353</v>
      </c>
      <c r="F20" s="33" t="n">
        <f aca="false">C20+D20-E20</f>
        <v>0</v>
      </c>
      <c r="G20" s="32" t="n">
        <f aca="false">SUMIFS(Int_Glosas!$E$5:$E$39,Int_Glosas!$A$5:$A$39,A20)</f>
        <v>0</v>
      </c>
      <c r="H20" s="48" t="n">
        <f aca="false">COUNTIFS(Int_Glosas!$A$5:$A$39,A20,Int_Glosas!$F$5:$F$39,"Sin dato")</f>
        <v>0</v>
      </c>
      <c r="I20" s="33" t="n">
        <f aca="false">D20+G20</f>
        <v>28058555</v>
      </c>
      <c r="J20" s="32" t="n">
        <f aca="false">IFERROR(INDEX(Rev_Tablas_Amort!$S:$S,MATCH(A20,Rev_Tablas_Amort!$A:$A,0)),"Sin tabla")</f>
        <v>4327677.93876348</v>
      </c>
      <c r="K20" s="33" t="n">
        <f aca="false">IF(ISNUMBER(J20),I20-J20,"N/A")</f>
        <v>23730877.0612365</v>
      </c>
      <c r="L20" s="32" t="n">
        <f aca="false">SUMIFS(Recalculo_Intereses!$I$24:$I$46,Recalculo_Intereses!$A$24:$A$46,A20)</f>
        <v>370614.629483698</v>
      </c>
      <c r="M20" s="62" t="n">
        <f aca="false">L20-F20</f>
        <v>370614.629483698</v>
      </c>
      <c r="N20" s="6"/>
    </row>
    <row r="21" customFormat="false" ht="15" hidden="false" customHeight="false" outlineLevel="0" collapsed="false">
      <c r="A21" s="34" t="s">
        <v>132</v>
      </c>
      <c r="B21" s="38" t="s">
        <v>306</v>
      </c>
      <c r="C21" s="32" t="n">
        <f aca="false">SUMIFS(Mayor_Dic25!$G$5:$G$200,Mayor_Dic25!$J$5:$J$200,A21,Mayor_Dic25!$C$5:$C$200,"2130*")</f>
        <v>10810250</v>
      </c>
      <c r="D21" s="32" t="n">
        <f aca="false">SUMIFS(Mayor_Mov!$F$5:$F$445,Mayor_Mov!$N$5:$N$445,A21,Mayor_Mov!$B$5:$B$445,"2130*")</f>
        <v>30902950</v>
      </c>
      <c r="E21" s="32" t="n">
        <f aca="false">SUMIFS(Mayor_Mov!$E$5:$E$445,Mayor_Mov!$N$5:$N$445,A21,Mayor_Mov!$B$5:$B$445,"2130*")</f>
        <v>41713199.84</v>
      </c>
      <c r="F21" s="33" t="n">
        <f aca="false">C21+D21-E21</f>
        <v>0.159999996423721</v>
      </c>
      <c r="G21" s="32" t="n">
        <f aca="false">SUMIFS(Int_Glosas!$E$5:$E$39,Int_Glosas!$A$5:$A$39,A21)</f>
        <v>0</v>
      </c>
      <c r="H21" s="48" t="n">
        <f aca="false">COUNTIFS(Int_Glosas!$A$5:$A$39,A21,Int_Glosas!$F$5:$F$39,"Sin dato")</f>
        <v>0</v>
      </c>
      <c r="I21" s="33" t="n">
        <f aca="false">D21+G21</f>
        <v>30902950</v>
      </c>
      <c r="J21" s="32" t="n">
        <f aca="false">IFERROR(INDEX(Rev_Tablas_Amort!$S:$S,MATCH(A21,Rev_Tablas_Amort!$A:$A,0)),"Sin tabla")</f>
        <v>46536704.8980723</v>
      </c>
      <c r="K21" s="33" t="n">
        <f aca="false">IF(ISNUMBER(J21),I21-J21,"N/A")</f>
        <v>-15633754.8980723</v>
      </c>
      <c r="L21" s="32" t="n">
        <f aca="false">SUMIFS(Recalculo_Intereses!$I$24:$I$46,Recalculo_Intereses!$A$24:$A$46,A21)</f>
        <v>1590694.25438737</v>
      </c>
      <c r="M21" s="62" t="n">
        <f aca="false">L21-F21</f>
        <v>1590694.09438737</v>
      </c>
      <c r="N21" s="6"/>
    </row>
    <row r="22" customFormat="false" ht="15" hidden="false" customHeight="false" outlineLevel="0" collapsed="false">
      <c r="A22" s="34" t="s">
        <v>133</v>
      </c>
      <c r="B22" s="38" t="s">
        <v>306</v>
      </c>
      <c r="C22" s="32" t="n">
        <f aca="false">SUMIFS(Mayor_Dic25!$G$5:$G$200,Mayor_Dic25!$J$5:$J$200,A22,Mayor_Dic25!$C$5:$C$200,"2130*")</f>
        <v>24571264</v>
      </c>
      <c r="D22" s="32" t="n">
        <f aca="false">SUMIFS(Mayor_Mov!$F$5:$F$445,Mayor_Mov!$N$5:$N$445,A22,Mayor_Mov!$B$5:$B$445,"2130*")</f>
        <v>89512386</v>
      </c>
      <c r="E22" s="32" t="n">
        <f aca="false">SUMIFS(Mayor_Mov!$E$5:$E$445,Mayor_Mov!$N$5:$N$445,A22,Mayor_Mov!$B$5:$B$445,"2130*")</f>
        <v>114083650</v>
      </c>
      <c r="F22" s="33" t="n">
        <f aca="false">C22+D22-E22</f>
        <v>0</v>
      </c>
      <c r="G22" s="32" t="n">
        <f aca="false">SUMIFS(Int_Glosas!$E$5:$E$39,Int_Glosas!$A$5:$A$39,A22)</f>
        <v>0</v>
      </c>
      <c r="H22" s="48" t="n">
        <f aca="false">COUNTIFS(Int_Glosas!$A$5:$A$39,A22,Int_Glosas!$F$5:$F$39,"Sin dato")</f>
        <v>0</v>
      </c>
      <c r="I22" s="33" t="n">
        <f aca="false">D22+G22</f>
        <v>89512386</v>
      </c>
      <c r="J22" s="32" t="n">
        <f aca="false">IFERROR(INDEX(Rev_Tablas_Amort!$S:$S,MATCH(A22,Rev_Tablas_Amort!$A:$A,0)),"Sin tabla")</f>
        <v>104728442.4778</v>
      </c>
      <c r="K22" s="33" t="n">
        <f aca="false">IF(ISNUMBER(J22),I22-J22,"N/A")</f>
        <v>-15216056.4777996</v>
      </c>
      <c r="L22" s="32" t="n">
        <f aca="false">SUMIFS(Recalculo_Intereses!$I$24:$I$46,Recalculo_Intereses!$A$24:$A$46,A22)</f>
        <v>3617017.21971566</v>
      </c>
      <c r="M22" s="62" t="n">
        <f aca="false">L22-F22</f>
        <v>3617017.21971566</v>
      </c>
      <c r="N22" s="6"/>
    </row>
    <row r="23" customFormat="false" ht="15" hidden="false" customHeight="false" outlineLevel="0" collapsed="false">
      <c r="A23" s="34" t="s">
        <v>135</v>
      </c>
      <c r="B23" s="38" t="s">
        <v>1248</v>
      </c>
      <c r="C23" s="32" t="n">
        <f aca="false">SUMIFS(Mayor_Dic25!$G$5:$G$200,Mayor_Dic25!$J$5:$J$200,A23,Mayor_Dic25!$C$5:$C$200,"2130*")</f>
        <v>0</v>
      </c>
      <c r="D23" s="32" t="n">
        <f aca="false">SUMIFS(Mayor_Mov!$F$5:$F$445,Mayor_Mov!$N$5:$N$445,A23,Mayor_Mov!$B$5:$B$445,"2130*")</f>
        <v>34304862</v>
      </c>
      <c r="E23" s="32" t="n">
        <f aca="false">SUMIFS(Mayor_Mov!$E$5:$E$445,Mayor_Mov!$N$5:$N$445,A23,Mayor_Mov!$B$5:$B$445,"2130*")</f>
        <v>30979923</v>
      </c>
      <c r="F23" s="33" t="n">
        <f aca="false">C23+D23-E23</f>
        <v>3324939</v>
      </c>
      <c r="G23" s="32" t="n">
        <f aca="false">SUMIFS(Int_Glosas!$E$5:$E$39,Int_Glosas!$A$5:$A$39,A23)</f>
        <v>0</v>
      </c>
      <c r="H23" s="48" t="n">
        <f aca="false">COUNTIFS(Int_Glosas!$A$5:$A$39,A23,Int_Glosas!$F$5:$F$39,"Sin dato")</f>
        <v>0</v>
      </c>
      <c r="I23" s="33" t="n">
        <f aca="false">D23+G23</f>
        <v>34304862</v>
      </c>
      <c r="J23" s="32" t="n">
        <f aca="false">IFERROR(INDEX(Rev_Tablas_Amort!$S:$S,MATCH(A23,Rev_Tablas_Amort!$A:$A,0)),"Sin tabla")</f>
        <v>36715666.6666667</v>
      </c>
      <c r="K23" s="33" t="n">
        <f aca="false">IF(ISNUMBER(J23),I23-J23,"N/A")</f>
        <v>-2410804.66666667</v>
      </c>
      <c r="L23" s="32" t="n">
        <f aca="false">SUMIFS(Recalculo_Intereses!$I$24:$I$46,Recalculo_Intereses!$A$24:$A$46,A23)</f>
        <v>4866039.68585017</v>
      </c>
      <c r="M23" s="62" t="n">
        <f aca="false">L23-F23</f>
        <v>1541100.68585017</v>
      </c>
      <c r="N23" s="6"/>
    </row>
    <row r="24" customFormat="false" ht="15" hidden="false" customHeight="false" outlineLevel="0" collapsed="false">
      <c r="A24" s="34" t="s">
        <v>137</v>
      </c>
      <c r="B24" s="38" t="s">
        <v>1250</v>
      </c>
      <c r="C24" s="32" t="n">
        <f aca="false">SUMIFS(Mayor_Dic25!$G$5:$G$200,Mayor_Dic25!$J$5:$J$200,A24,Mayor_Dic25!$C$5:$C$200,"2130*")</f>
        <v>0</v>
      </c>
      <c r="D24" s="32" t="n">
        <f aca="false">SUMIFS(Mayor_Mov!$F$5:$F$445,Mayor_Mov!$N$5:$N$445,A24,Mayor_Mov!$B$5:$B$445,"2130*")</f>
        <v>258396078</v>
      </c>
      <c r="E24" s="32" t="n">
        <f aca="false">SUMIFS(Mayor_Mov!$E$5:$E$445,Mayor_Mov!$N$5:$N$445,A24,Mayor_Mov!$B$5:$B$445,"2130*")</f>
        <v>258396077.78</v>
      </c>
      <c r="F24" s="33" t="n">
        <f aca="false">C24+D24-E24</f>
        <v>0.219999998807907</v>
      </c>
      <c r="G24" s="32" t="n">
        <f aca="false">SUMIFS(Int_Glosas!$E$5:$E$39,Int_Glosas!$A$5:$A$39,A24)</f>
        <v>0</v>
      </c>
      <c r="H24" s="48" t="n">
        <f aca="false">COUNTIFS(Int_Glosas!$A$5:$A$39,A24,Int_Glosas!$F$5:$F$39,"Sin dato")</f>
        <v>0</v>
      </c>
      <c r="I24" s="33" t="n">
        <f aca="false">D24+G24</f>
        <v>258396078</v>
      </c>
      <c r="J24" s="32" t="str">
        <f aca="false">IFERROR(INDEX(Rev_Tablas_Amort!$S:$S,MATCH(A24,Rev_Tablas_Amort!$A:$A,0)),"Sin tabla")</f>
        <v>Sin tabla</v>
      </c>
      <c r="K24" s="33" t="str">
        <f aca="false">IF(ISNUMBER(J24),I24-J24,"N/A")</f>
        <v>N/A</v>
      </c>
      <c r="L24" s="32" t="n">
        <f aca="false">SUMIFS(Recalculo_Intereses!$I$24:$I$46,Recalculo_Intereses!$A$24:$A$46,A24)</f>
        <v>50972239.5760856</v>
      </c>
      <c r="M24" s="62" t="n">
        <f aca="false">L24-F24</f>
        <v>50972239.3560856</v>
      </c>
      <c r="N24" s="6" t="s">
        <v>1990</v>
      </c>
    </row>
    <row r="25" customFormat="false" ht="15" hidden="false" customHeight="false" outlineLevel="0" collapsed="false">
      <c r="A25" s="34" t="s">
        <v>139</v>
      </c>
      <c r="B25" s="38" t="s">
        <v>343</v>
      </c>
      <c r="C25" s="32" t="n">
        <f aca="false">SUMIFS(Mayor_Dic25!$G$5:$G$200,Mayor_Dic25!$J$5:$J$200,A25,Mayor_Dic25!$C$5:$C$200,"2130*")</f>
        <v>88129166</v>
      </c>
      <c r="D25" s="32" t="n">
        <f aca="false">SUMIFS(Mayor_Mov!$F$5:$F$445,Mayor_Mov!$N$5:$N$445,A25,Mayor_Mov!$B$5:$B$445,"2130*")</f>
        <v>287833704</v>
      </c>
      <c r="E25" s="32" t="n">
        <f aca="false">SUMIFS(Mayor_Mov!$E$5:$E$445,Mayor_Mov!$N$5:$N$445,A25,Mayor_Mov!$B$5:$B$445,"2130*")</f>
        <v>375962870</v>
      </c>
      <c r="F25" s="33" t="n">
        <f aca="false">C25+D25-E25</f>
        <v>0</v>
      </c>
      <c r="G25" s="32" t="n">
        <f aca="false">SUMIFS(Int_Glosas!$E$5:$E$39,Int_Glosas!$A$5:$A$39,A25)</f>
        <v>0</v>
      </c>
      <c r="H25" s="48" t="n">
        <f aca="false">COUNTIFS(Int_Glosas!$A$5:$A$39,A25,Int_Glosas!$F$5:$F$39,"Sin dato")</f>
        <v>0</v>
      </c>
      <c r="I25" s="33" t="n">
        <f aca="false">D25+G25</f>
        <v>287833704</v>
      </c>
      <c r="J25" s="32" t="n">
        <f aca="false">IFERROR(INDEX(Rev_Tablas_Amort!$S:$S,MATCH(A25,Rev_Tablas_Amort!$A:$A,0)),"Sin tabla")</f>
        <v>311402777.777778</v>
      </c>
      <c r="K25" s="33" t="n">
        <f aca="false">IF(ISNUMBER(J25),I25-J25,"N/A")</f>
        <v>-23569073.7777778</v>
      </c>
      <c r="L25" s="32" t="n">
        <f aca="false">SUMIFS(Recalculo_Intereses!$I$24:$I$46,Recalculo_Intereses!$A$24:$A$46,A25)</f>
        <v>10909736.1129754</v>
      </c>
      <c r="M25" s="62" t="n">
        <f aca="false">L25-F25</f>
        <v>10909736.1129754</v>
      </c>
      <c r="N25" s="6"/>
    </row>
    <row r="26" customFormat="false" ht="15" hidden="false" customHeight="false" outlineLevel="0" collapsed="false">
      <c r="A26" s="34" t="s">
        <v>140</v>
      </c>
      <c r="B26" s="38" t="s">
        <v>343</v>
      </c>
      <c r="C26" s="32" t="n">
        <f aca="false">SUMIFS(Mayor_Dic25!$G$5:$G$200,Mayor_Dic25!$J$5:$J$200,A26,Mayor_Dic25!$C$5:$C$200,"2130*")</f>
        <v>0</v>
      </c>
      <c r="D26" s="32" t="n">
        <f aca="false">SUMIFS(Mayor_Mov!$F$5:$F$445,Mayor_Mov!$N$5:$N$445,A26,Mayor_Mov!$B$5:$B$445,"2130*")</f>
        <v>32199918</v>
      </c>
      <c r="E26" s="32" t="n">
        <f aca="false">SUMIFS(Mayor_Mov!$E$5:$E$445,Mayor_Mov!$N$5:$N$445,A26,Mayor_Mov!$B$5:$B$445,"2130*")</f>
        <v>28449581</v>
      </c>
      <c r="F26" s="33" t="n">
        <f aca="false">C26+D26-E26</f>
        <v>3750337</v>
      </c>
      <c r="G26" s="32" t="n">
        <f aca="false">SUMIFS(Int_Glosas!$E$5:$E$39,Int_Glosas!$A$5:$A$39,A26)</f>
        <v>0</v>
      </c>
      <c r="H26" s="48" t="n">
        <f aca="false">COUNTIFS(Int_Glosas!$A$5:$A$39,A26,Int_Glosas!$F$5:$F$39,"Sin dato")</f>
        <v>0</v>
      </c>
      <c r="I26" s="33" t="n">
        <f aca="false">D26+G26</f>
        <v>32199918</v>
      </c>
      <c r="J26" s="32" t="n">
        <f aca="false">IFERROR(INDEX(Rev_Tablas_Amort!$S:$S,MATCH(A26,Rev_Tablas_Amort!$A:$A,0)),"Sin tabla")</f>
        <v>20871066.3030259</v>
      </c>
      <c r="K26" s="33" t="n">
        <f aca="false">IF(ISNUMBER(J26),I26-J26,"N/A")</f>
        <v>11328851.6969741</v>
      </c>
      <c r="L26" s="32" t="n">
        <f aca="false">SUMIFS(Recalculo_Intereses!$I$24:$I$46,Recalculo_Intereses!$A$24:$A$46,A26)</f>
        <v>5568623.41062859</v>
      </c>
      <c r="M26" s="62" t="n">
        <f aca="false">L26-F26</f>
        <v>1818286.41062859</v>
      </c>
      <c r="N26" s="6"/>
    </row>
    <row r="27" customFormat="false" ht="15" hidden="false" customHeight="false" outlineLevel="0" collapsed="false">
      <c r="A27" s="34" t="s">
        <v>141</v>
      </c>
      <c r="B27" s="38" t="s">
        <v>343</v>
      </c>
      <c r="C27" s="32" t="n">
        <f aca="false">SUMIFS(Mayor_Dic25!$G$5:$G$200,Mayor_Dic25!$J$5:$J$200,A27,Mayor_Dic25!$C$5:$C$200,"2130*")</f>
        <v>0</v>
      </c>
      <c r="D27" s="32" t="n">
        <f aca="false">SUMIFS(Mayor_Mov!$F$5:$F$445,Mayor_Mov!$N$5:$N$445,A27,Mayor_Mov!$B$5:$B$445,"2130*")</f>
        <v>0</v>
      </c>
      <c r="E27" s="32" t="n">
        <f aca="false">SUMIFS(Mayor_Mov!$E$5:$E$445,Mayor_Mov!$N$5:$N$445,A27,Mayor_Mov!$B$5:$B$445,"2130*")</f>
        <v>0</v>
      </c>
      <c r="F27" s="33" t="n">
        <f aca="false">C27+D27-E27</f>
        <v>0</v>
      </c>
      <c r="G27" s="32" t="n">
        <f aca="false">SUMIFS(Int_Glosas!$E$5:$E$39,Int_Glosas!$A$5:$A$39,A27)</f>
        <v>28583500</v>
      </c>
      <c r="H27" s="48" t="n">
        <f aca="false">COUNTIFS(Int_Glosas!$A$5:$A$39,A27,Int_Glosas!$F$5:$F$39,"Sin dato")</f>
        <v>4</v>
      </c>
      <c r="I27" s="33" t="n">
        <f aca="false">D27+G27</f>
        <v>28583500</v>
      </c>
      <c r="J27" s="32" t="n">
        <f aca="false">IFERROR(INDEX(Rev_Tablas_Amort!$S:$S,MATCH(A27,Rev_Tablas_Amort!$A:$A,0)),"Sin tabla")</f>
        <v>44946958.2921088</v>
      </c>
      <c r="K27" s="33" t="n">
        <f aca="false">IF(ISNUMBER(J27),I27-J27,"N/A")</f>
        <v>-16363458.2921088</v>
      </c>
      <c r="L27" s="32" t="n">
        <f aca="false">SUMIFS(Recalculo_Intereses!$I$24:$I$46,Recalculo_Intereses!$A$24:$A$46,A27)</f>
        <v>3807112.91633949</v>
      </c>
      <c r="M27" s="62" t="n">
        <f aca="false">L27-F27</f>
        <v>3807112.91633949</v>
      </c>
      <c r="N27" s="6"/>
    </row>
    <row r="28" customFormat="false" ht="15" hidden="false" customHeight="false" outlineLevel="0" collapsed="false">
      <c r="A28" s="34" t="s">
        <v>142</v>
      </c>
      <c r="B28" s="38" t="s">
        <v>343</v>
      </c>
      <c r="C28" s="32" t="n">
        <f aca="false">SUMIFS(Mayor_Dic25!$G$5:$G$200,Mayor_Dic25!$J$5:$J$200,A28,Mayor_Dic25!$C$5:$C$200,"2130*")</f>
        <v>0</v>
      </c>
      <c r="D28" s="32" t="n">
        <f aca="false">SUMIFS(Mayor_Mov!$F$5:$F$445,Mayor_Mov!$N$5:$N$445,A28,Mayor_Mov!$B$5:$B$445,"2130*")</f>
        <v>0</v>
      </c>
      <c r="E28" s="32" t="n">
        <f aca="false">SUMIFS(Mayor_Mov!$E$5:$E$445,Mayor_Mov!$N$5:$N$445,A28,Mayor_Mov!$B$5:$B$445,"2130*")</f>
        <v>0</v>
      </c>
      <c r="F28" s="33" t="n">
        <f aca="false">C28+D28-E28</f>
        <v>0</v>
      </c>
      <c r="G28" s="32" t="n">
        <f aca="false">SUMIFS(Int_Glosas!$E$5:$E$39,Int_Glosas!$A$5:$A$39,A28)</f>
        <v>26060708</v>
      </c>
      <c r="H28" s="48" t="n">
        <f aca="false">COUNTIFS(Int_Glosas!$A$5:$A$39,A28,Int_Glosas!$F$5:$F$39,"Sin dato")</f>
        <v>3</v>
      </c>
      <c r="I28" s="33" t="n">
        <f aca="false">D28+G28</f>
        <v>26060708</v>
      </c>
      <c r="J28" s="32" t="n">
        <f aca="false">IFERROR(INDEX(Rev_Tablas_Amort!$S:$S,MATCH(A28,Rev_Tablas_Amort!$A:$A,0)),"Sin tabla")</f>
        <v>99905792.5025106</v>
      </c>
      <c r="K28" s="33" t="n">
        <f aca="false">IF(ISNUMBER(J28),I28-J28,"N/A")</f>
        <v>-73845084.5025106</v>
      </c>
      <c r="L28" s="32" t="n">
        <f aca="false">SUMIFS(Recalculo_Intereses!$I$24:$I$46,Recalculo_Intereses!$A$24:$A$46,A28)</f>
        <v>4498704.71647143</v>
      </c>
      <c r="M28" s="62" t="n">
        <f aca="false">L28-F28</f>
        <v>4498704.71647143</v>
      </c>
      <c r="N28" s="6"/>
    </row>
    <row r="29" customFormat="false" ht="15" hidden="false" customHeight="false" outlineLevel="0" collapsed="false">
      <c r="A29" s="34" t="s">
        <v>143</v>
      </c>
      <c r="B29" s="38" t="s">
        <v>343</v>
      </c>
      <c r="C29" s="32" t="n">
        <f aca="false">SUMIFS(Mayor_Dic25!$G$5:$G$200,Mayor_Dic25!$J$5:$J$200,A29,Mayor_Dic25!$C$5:$C$200,"2130*")</f>
        <v>0</v>
      </c>
      <c r="D29" s="32" t="n">
        <f aca="false">SUMIFS(Mayor_Mov!$F$5:$F$445,Mayor_Mov!$N$5:$N$445,A29,Mayor_Mov!$B$5:$B$445,"2130*")</f>
        <v>0</v>
      </c>
      <c r="E29" s="32" t="n">
        <f aca="false">SUMIFS(Mayor_Mov!$E$5:$E$445,Mayor_Mov!$N$5:$N$445,A29,Mayor_Mov!$B$5:$B$445,"2130*")</f>
        <v>0</v>
      </c>
      <c r="F29" s="33" t="n">
        <f aca="false">C29+D29-E29</f>
        <v>0</v>
      </c>
      <c r="G29" s="32" t="n">
        <f aca="false">SUMIFS(Int_Glosas!$E$5:$E$39,Int_Glosas!$A$5:$A$39,A29)</f>
        <v>0</v>
      </c>
      <c r="H29" s="48" t="n">
        <f aca="false">COUNTIFS(Int_Glosas!$A$5:$A$39,A29,Int_Glosas!$F$5:$F$39,"Sin dato")</f>
        <v>0</v>
      </c>
      <c r="I29" s="33" t="n">
        <f aca="false">D29+G29</f>
        <v>0</v>
      </c>
      <c r="J29" s="32" t="str">
        <f aca="false">IFERROR(INDEX(Rev_Tablas_Amort!$S:$S,MATCH(A29,Rev_Tablas_Amort!$A:$A,0)),"Sin tabla")</f>
        <v>Sin tabla</v>
      </c>
      <c r="K29" s="33" t="str">
        <f aca="false">IF(ISNUMBER(J29),I29-J29,"N/A")</f>
        <v>N/A</v>
      </c>
      <c r="L29" s="32" t="n">
        <f aca="false">SUMIFS(Recalculo_Intereses!$I$24:$I$46,Recalculo_Intereses!$A$24:$A$46,A29)</f>
        <v>717369.299115863</v>
      </c>
      <c r="M29" s="62" t="n">
        <f aca="false">L29-F29</f>
        <v>717369.299115863</v>
      </c>
      <c r="N29" s="6"/>
    </row>
    <row r="30" customFormat="false" ht="15" hidden="false" customHeight="false" outlineLevel="0" collapsed="false">
      <c r="A30" s="34" t="s">
        <v>145</v>
      </c>
      <c r="B30" s="38" t="s">
        <v>1613</v>
      </c>
      <c r="C30" s="32" t="n">
        <f aca="false">SUMIFS(Mayor_Dic25!$G$5:$G$200,Mayor_Dic25!$J$5:$J$200,A30,Mayor_Dic25!$C$5:$C$200,"2130*")</f>
        <v>0</v>
      </c>
      <c r="D30" s="32" t="n">
        <f aca="false">SUMIFS(Mayor_Mov!$F$5:$F$445,Mayor_Mov!$N$5:$N$445,A30,Mayor_Mov!$B$5:$B$445,"2130*")</f>
        <v>0</v>
      </c>
      <c r="E30" s="32" t="n">
        <f aca="false">SUMIFS(Mayor_Mov!$E$5:$E$445,Mayor_Mov!$N$5:$N$445,A30,Mayor_Mov!$B$5:$B$445,"2130*")</f>
        <v>0</v>
      </c>
      <c r="F30" s="33" t="n">
        <f aca="false">C30+D30-E30</f>
        <v>0</v>
      </c>
      <c r="G30" s="32" t="n">
        <f aca="false">SUMIFS(Int_Glosas!$E$5:$E$39,Int_Glosas!$A$5:$A$39,A30)</f>
        <v>0</v>
      </c>
      <c r="H30" s="48" t="n">
        <f aca="false">COUNTIFS(Int_Glosas!$A$5:$A$39,A30,Int_Glosas!$F$5:$F$39,"Sin dato")</f>
        <v>0</v>
      </c>
      <c r="I30" s="33" t="n">
        <f aca="false">D30+G30</f>
        <v>0</v>
      </c>
      <c r="J30" s="32" t="str">
        <f aca="false">IFERROR(INDEX(Rev_Tablas_Amort!$S:$S,MATCH(A30,Rev_Tablas_Amort!$A:$A,0)),"Sin tabla")</f>
        <v>Sin tabla</v>
      </c>
      <c r="K30" s="33" t="str">
        <f aca="false">IF(ISNUMBER(J30),I30-J30,"N/A")</f>
        <v>N/A</v>
      </c>
      <c r="L30" s="32" t="n">
        <f aca="false">SUMIFS(Recalculo_Intereses!$I$24:$I$46,Recalculo_Intereses!$A$24:$A$46,A30)</f>
        <v>0</v>
      </c>
      <c r="M30" s="62" t="n">
        <f aca="false">L30-F30</f>
        <v>0</v>
      </c>
      <c r="N30" s="6"/>
    </row>
    <row r="31" customFormat="false" ht="15" hidden="false" customHeight="false" outlineLevel="0" collapsed="false">
      <c r="A31" s="34" t="s">
        <v>146</v>
      </c>
      <c r="B31" s="38" t="s">
        <v>1613</v>
      </c>
      <c r="C31" s="32" t="n">
        <f aca="false">SUMIFS(Mayor_Dic25!$G$5:$G$200,Mayor_Dic25!$J$5:$J$200,A31,Mayor_Dic25!$C$5:$C$200,"2130*")</f>
        <v>0</v>
      </c>
      <c r="D31" s="32" t="n">
        <f aca="false">SUMIFS(Mayor_Mov!$F$5:$F$445,Mayor_Mov!$N$5:$N$445,A31,Mayor_Mov!$B$5:$B$445,"2130*")</f>
        <v>0</v>
      </c>
      <c r="E31" s="32" t="n">
        <f aca="false">SUMIFS(Mayor_Mov!$E$5:$E$445,Mayor_Mov!$N$5:$N$445,A31,Mayor_Mov!$B$5:$B$445,"2130*")</f>
        <v>0</v>
      </c>
      <c r="F31" s="33" t="n">
        <f aca="false">C31+D31-E31</f>
        <v>0</v>
      </c>
      <c r="G31" s="32" t="n">
        <f aca="false">SUMIFS(Int_Glosas!$E$5:$E$39,Int_Glosas!$A$5:$A$39,A31)</f>
        <v>0</v>
      </c>
      <c r="H31" s="48" t="n">
        <f aca="false">COUNTIFS(Int_Glosas!$A$5:$A$39,A31,Int_Glosas!$F$5:$F$39,"Sin dato")</f>
        <v>0</v>
      </c>
      <c r="I31" s="33" t="n">
        <f aca="false">D31+G31</f>
        <v>0</v>
      </c>
      <c r="J31" s="32" t="str">
        <f aca="false">IFERROR(INDEX(Rev_Tablas_Amort!$S:$S,MATCH(A31,Rev_Tablas_Amort!$A:$A,0)),"Sin tabla")</f>
        <v>Sin tabla</v>
      </c>
      <c r="K31" s="33" t="str">
        <f aca="false">IF(ISNUMBER(J31),I31-J31,"N/A")</f>
        <v>N/A</v>
      </c>
      <c r="L31" s="32" t="n">
        <f aca="false">SUMIFS(Recalculo_Intereses!$I$24:$I$46,Recalculo_Intereses!$A$24:$A$46,A31)</f>
        <v>0</v>
      </c>
      <c r="M31" s="62" t="n">
        <f aca="false">L31-F31</f>
        <v>0</v>
      </c>
      <c r="N31" s="6"/>
    </row>
    <row r="32" customFormat="false" ht="15" hidden="false" customHeight="false" outlineLevel="0" collapsed="false">
      <c r="A32" s="40" t="s">
        <v>96</v>
      </c>
      <c r="C32" s="41" t="n">
        <f aca="false">SUM(C5:C31)</f>
        <v>1200222884</v>
      </c>
      <c r="D32" s="41" t="n">
        <f aca="false">SUM(D5:D31)</f>
        <v>2982924047</v>
      </c>
      <c r="E32" s="41" t="n">
        <f aca="false">SUM(E5:E31)</f>
        <v>3755757912.62</v>
      </c>
      <c r="F32" s="41" t="n">
        <f aca="false">SUM(F5:F31)</f>
        <v>427389018.38</v>
      </c>
      <c r="G32" s="41" t="n">
        <f aca="false">SUM(G5:G31)</f>
        <v>343807703.36</v>
      </c>
      <c r="H32" s="41" t="n">
        <f aca="false">SUM(H5:H31)</f>
        <v>10</v>
      </c>
      <c r="I32" s="41" t="n">
        <f aca="false">SUM(I5:I31)</f>
        <v>3326731750.36</v>
      </c>
      <c r="L32" s="41" t="n">
        <f aca="false">SUM(L5:L31)</f>
        <v>615094407.203176</v>
      </c>
      <c r="M32" s="41" t="n">
        <f aca="false">SUM(M5:M31)</f>
        <v>187705388.823176</v>
      </c>
    </row>
    <row r="33" customFormat="false" ht="15" hidden="false" customHeight="false" outlineLevel="0" collapsed="false">
      <c r="A33" s="26" t="s">
        <v>1991</v>
      </c>
      <c r="C33" s="32" t="n">
        <f aca="false">-Balance_21!$C$25</f>
        <v>1200222884</v>
      </c>
      <c r="D33" s="32" t="n">
        <f aca="false">Balance_21!$E$25</f>
        <v>2982924047</v>
      </c>
      <c r="E33" s="32" t="n">
        <f aca="false">Balance_21!$D$25</f>
        <v>3755757913.84</v>
      </c>
      <c r="F33" s="32" t="n">
        <f aca="false">-Balance_21!$F$25</f>
        <v>427389017.16</v>
      </c>
    </row>
    <row r="34" customFormat="false" ht="15" hidden="false" customHeight="false" outlineLevel="0" collapsed="false">
      <c r="A34" s="26" t="s">
        <v>152</v>
      </c>
      <c r="C34" s="58" t="n">
        <f aca="false">C32-C33</f>
        <v>0</v>
      </c>
      <c r="D34" s="58" t="n">
        <f aca="false">D32-D33</f>
        <v>0</v>
      </c>
      <c r="E34" s="58" t="n">
        <f aca="false">E32-E33</f>
        <v>-1.22000026702881</v>
      </c>
      <c r="F34" s="58" t="n">
        <f aca="false">F32-F33</f>
        <v>1.21999996900558</v>
      </c>
    </row>
    <row r="36" customFormat="false" ht="15" hidden="false" customHeight="false" outlineLevel="0" collapsed="false">
      <c r="A36" s="46" t="s">
        <v>1992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</row>
    <row r="37" customFormat="false" ht="30" hidden="false" customHeight="true" outlineLevel="0" collapsed="false">
      <c r="A37" s="31" t="s">
        <v>148</v>
      </c>
      <c r="B37" s="31" t="s">
        <v>149</v>
      </c>
      <c r="C37" s="31" t="s">
        <v>1993</v>
      </c>
      <c r="D37" s="31" t="s">
        <v>151</v>
      </c>
      <c r="E37" s="31" t="s">
        <v>152</v>
      </c>
      <c r="F37" s="31"/>
      <c r="G37" s="31" t="s">
        <v>1171</v>
      </c>
    </row>
    <row r="38" customFormat="false" ht="25.5" hidden="false" customHeight="true" outlineLevel="0" collapsed="false">
      <c r="A38" s="38" t="s">
        <v>865</v>
      </c>
      <c r="B38" s="26" t="s">
        <v>1994</v>
      </c>
      <c r="C38" s="32" t="n">
        <f aca="false">-Balance_21!$F$27</f>
        <v>423638680</v>
      </c>
      <c r="D38" s="33" t="n">
        <f aca="false">(SUM(F5:F31)-SUMIFS(F5:F31,$A$5:$A$31,"*-L*"))</f>
        <v>423638681.22</v>
      </c>
      <c r="E38" s="33" t="n">
        <f aca="false">C38-D38</f>
        <v>-1.22000002861023</v>
      </c>
      <c r="G38" s="13"/>
      <c r="H38" s="13"/>
      <c r="I38" s="13"/>
      <c r="J38" s="13"/>
      <c r="K38" s="13"/>
      <c r="L38" s="13"/>
      <c r="M38" s="13"/>
      <c r="N38" s="13"/>
    </row>
    <row r="39" customFormat="false" ht="25.5" hidden="false" customHeight="true" outlineLevel="0" collapsed="false">
      <c r="A39" s="38" t="s">
        <v>983</v>
      </c>
      <c r="B39" s="26" t="s">
        <v>1995</v>
      </c>
      <c r="C39" s="32" t="n">
        <f aca="false">-Balance_21!$F$28</f>
        <v>3750337.16</v>
      </c>
      <c r="D39" s="33" t="n">
        <f aca="false">SUMIFS(F5:F31,$A$5:$A$31,"*-L*")</f>
        <v>3750337.16</v>
      </c>
      <c r="E39" s="33" t="n">
        <f aca="false">C39-D39</f>
        <v>0</v>
      </c>
      <c r="G39" s="13"/>
      <c r="H39" s="13"/>
      <c r="I39" s="13"/>
      <c r="J39" s="13"/>
      <c r="K39" s="13"/>
      <c r="L39" s="13"/>
      <c r="M39" s="13"/>
      <c r="N39" s="13"/>
    </row>
    <row r="40" customFormat="false" ht="25.5" hidden="false" customHeight="true" outlineLevel="0" collapsed="false">
      <c r="A40" s="38" t="s">
        <v>1143</v>
      </c>
      <c r="B40" s="26" t="s">
        <v>1996</v>
      </c>
      <c r="C40" s="32" t="n">
        <f aca="false">Balance_21!$F$35</f>
        <v>423638680</v>
      </c>
      <c r="D40" s="33" t="n">
        <f aca="false">(SUM(F5:F31)-SUMIFS(F5:F31,$A$5:$A$31,"*-L*"))</f>
        <v>423638681.22</v>
      </c>
      <c r="E40" s="33" t="n">
        <f aca="false">C40-D40</f>
        <v>-1.22000002861023</v>
      </c>
      <c r="G40" s="13" t="s">
        <v>1997</v>
      </c>
      <c r="H40" s="13"/>
      <c r="I40" s="13"/>
      <c r="J40" s="13"/>
      <c r="K40" s="13"/>
      <c r="L40" s="13"/>
      <c r="M40" s="13"/>
      <c r="N40" s="13"/>
    </row>
    <row r="41" customFormat="false" ht="25.5" hidden="false" customHeight="true" outlineLevel="0" collapsed="false">
      <c r="A41" s="38" t="s">
        <v>1145</v>
      </c>
      <c r="B41" s="26" t="s">
        <v>1998</v>
      </c>
      <c r="C41" s="32" t="n">
        <f aca="false">Balance_21!$F$36</f>
        <v>3750337.32</v>
      </c>
      <c r="D41" s="33" t="n">
        <f aca="false">SUMIFS(F5:F31,$A$5:$A$31,"*-L*")</f>
        <v>3750337.16</v>
      </c>
      <c r="E41" s="33" t="n">
        <f aca="false">C41-D41</f>
        <v>0.160000003408641</v>
      </c>
      <c r="G41" s="13"/>
      <c r="H41" s="13"/>
      <c r="I41" s="13"/>
      <c r="J41" s="13"/>
      <c r="K41" s="13"/>
      <c r="L41" s="13"/>
      <c r="M41" s="13"/>
      <c r="N41" s="13"/>
    </row>
    <row r="42" customFormat="false" ht="25.5" hidden="false" customHeight="true" outlineLevel="0" collapsed="false">
      <c r="A42" s="38" t="s">
        <v>1141</v>
      </c>
      <c r="B42" s="26" t="s">
        <v>1999</v>
      </c>
      <c r="C42" s="32" t="n">
        <f aca="false">Balance_21!$D$34</f>
        <v>3610639745.89</v>
      </c>
      <c r="D42" s="33" t="n">
        <f aca="false">(SUM(E5:E31)-SUMIFS(E5:E31,$A$5:$A$31,"*-L*"))+(SUM(G5:G31)-SUMIFS(G5:G31,$A$5:$A$31,"*-L*"))</f>
        <v>3489342828.14</v>
      </c>
      <c r="E42" s="33" t="n">
        <f aca="false">C42-D42</f>
        <v>121296917.75</v>
      </c>
      <c r="G42" s="13" t="s">
        <v>2000</v>
      </c>
      <c r="H42" s="13"/>
      <c r="I42" s="13"/>
      <c r="J42" s="13"/>
      <c r="K42" s="13"/>
      <c r="L42" s="13"/>
      <c r="M42" s="13"/>
      <c r="N42" s="13"/>
    </row>
    <row r="43" customFormat="false" ht="25.5" hidden="false" customHeight="true" outlineLevel="0" collapsed="false">
      <c r="A43" s="38" t="s">
        <v>1139</v>
      </c>
      <c r="B43" s="26" t="s">
        <v>2001</v>
      </c>
      <c r="C43" s="32" t="n">
        <f aca="false">Balance_21!$D$33</f>
        <v>708087053.99</v>
      </c>
      <c r="D43" s="33" t="n">
        <f aca="false">SUMIFS(E5:E31,$A$5:$A$31,"*-L*")+SUMIFS(G5:G31,$A$5:$A$31,"*-L*")</f>
        <v>610222787.84</v>
      </c>
      <c r="E43" s="33" t="n">
        <f aca="false">C43-D43</f>
        <v>97864266.15</v>
      </c>
      <c r="G43" s="13" t="s">
        <v>2002</v>
      </c>
      <c r="H43" s="13"/>
      <c r="I43" s="13"/>
      <c r="J43" s="13"/>
      <c r="K43" s="13"/>
      <c r="L43" s="13"/>
      <c r="M43" s="13"/>
      <c r="N43" s="13"/>
    </row>
    <row r="44" customFormat="false" ht="25.5" hidden="false" customHeight="true" outlineLevel="0" collapsed="false">
      <c r="A44" s="38" t="s">
        <v>1131</v>
      </c>
      <c r="B44" s="26" t="s">
        <v>2003</v>
      </c>
      <c r="C44" s="32" t="n">
        <f aca="false">Gasto_Intereses!B14</f>
        <v>3545892933.2</v>
      </c>
      <c r="D44" s="33" t="n">
        <f aca="false">I32</f>
        <v>3326731750.36</v>
      </c>
      <c r="E44" s="33" t="n">
        <f aca="false">C44-D44</f>
        <v>219161182.84</v>
      </c>
      <c r="G44" s="13" t="s">
        <v>2004</v>
      </c>
      <c r="H44" s="13"/>
      <c r="I44" s="13"/>
      <c r="J44" s="13"/>
      <c r="K44" s="13"/>
      <c r="L44" s="13"/>
      <c r="M44" s="13"/>
      <c r="N44" s="13"/>
    </row>
  </sheetData>
  <mergeCells count="7">
    <mergeCell ref="G38:N38"/>
    <mergeCell ref="G39:N39"/>
    <mergeCell ref="G40:N40"/>
    <mergeCell ref="G41:N41"/>
    <mergeCell ref="G42:N42"/>
    <mergeCell ref="G43:N43"/>
    <mergeCell ref="G44:N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23" t="s">
        <v>2005</v>
      </c>
    </row>
    <row r="2" customFormat="false" ht="15" hidden="false" customHeight="false" outlineLevel="0" collapsed="false">
      <c r="A2" s="24" t="s">
        <v>2006</v>
      </c>
    </row>
    <row r="3" customFormat="false" ht="30" hidden="false" customHeight="true" outlineLevel="0" collapsed="false">
      <c r="A3" s="31" t="s">
        <v>154</v>
      </c>
      <c r="B3" s="31" t="s">
        <v>1635</v>
      </c>
      <c r="C3" s="31" t="s">
        <v>2007</v>
      </c>
    </row>
    <row r="4" customFormat="false" ht="15" hidden="false" customHeight="false" outlineLevel="0" collapsed="false">
      <c r="A4" s="26" t="s">
        <v>2008</v>
      </c>
      <c r="B4" s="32" t="n">
        <f aca="false">-(Balance_21!$C$16+Balance_21!$C$18+Balance_21!$C$20)</f>
        <v>49437161409.34</v>
      </c>
      <c r="C4" s="70" t="s">
        <v>2009</v>
      </c>
    </row>
    <row r="5" customFormat="false" ht="15" hidden="false" customHeight="false" outlineLevel="0" collapsed="false">
      <c r="A5" s="26" t="s">
        <v>2010</v>
      </c>
      <c r="B5" s="32" t="n">
        <f aca="false">-(Balance_21!$F$16+Balance_21!$F$18+Balance_21!$F$20)</f>
        <v>46204178294.33</v>
      </c>
      <c r="C5" s="70" t="s">
        <v>2009</v>
      </c>
    </row>
    <row r="6" customFormat="false" ht="15" hidden="false" customHeight="false" outlineLevel="0" collapsed="false">
      <c r="A6" s="26" t="s">
        <v>2011</v>
      </c>
      <c r="B6" s="33" t="n">
        <f aca="false">AVERAGE(B4:B5)</f>
        <v>47820669851.835</v>
      </c>
      <c r="C6" s="70"/>
    </row>
    <row r="7" customFormat="false" ht="15" hidden="false" customHeight="false" outlineLevel="0" collapsed="false">
      <c r="A7" s="26" t="s">
        <v>2012</v>
      </c>
      <c r="B7" s="56" t="n">
        <f aca="false">Detalle_62!$F$48</f>
        <v>0.149092952439153</v>
      </c>
      <c r="C7" s="70" t="s">
        <v>2013</v>
      </c>
    </row>
    <row r="8" customFormat="false" ht="15" hidden="false" customHeight="false" outlineLevel="0" collapsed="false">
      <c r="A8" s="26" t="s">
        <v>2014</v>
      </c>
      <c r="B8" s="60" t="n">
        <f aca="false">DATE(2026,7,31)-DATE(2025,12,31)</f>
        <v>212</v>
      </c>
      <c r="C8" s="70"/>
    </row>
    <row r="9" customFormat="false" ht="15" hidden="false" customHeight="false" outlineLevel="0" collapsed="false">
      <c r="A9" s="34" t="s">
        <v>2015</v>
      </c>
      <c r="B9" s="33" t="n">
        <f aca="false">B6*((1+B7)^(B8/365)-1)</f>
        <v>4020077715.73674</v>
      </c>
      <c r="C9" s="70"/>
    </row>
    <row r="10" customFormat="false" ht="15" hidden="false" customHeight="false" outlineLevel="0" collapsed="false">
      <c r="A10" s="26" t="s">
        <v>2016</v>
      </c>
      <c r="B10" s="32" t="n">
        <f aca="false">Balance_21!$F$33</f>
        <v>615032539.99</v>
      </c>
      <c r="C10" s="70"/>
    </row>
    <row r="11" customFormat="false" ht="15" hidden="false" customHeight="false" outlineLevel="0" collapsed="false">
      <c r="A11" s="26" t="s">
        <v>2017</v>
      </c>
      <c r="B11" s="32" t="n">
        <f aca="false">Balance_21!$F$34</f>
        <v>2503471375.89</v>
      </c>
      <c r="C11" s="70"/>
    </row>
    <row r="12" customFormat="false" ht="15" hidden="false" customHeight="false" outlineLevel="0" collapsed="false">
      <c r="A12" s="26" t="s">
        <v>2018</v>
      </c>
      <c r="B12" s="32" t="n">
        <f aca="false">Balance_21!$F$35</f>
        <v>423638680</v>
      </c>
      <c r="C12" s="70"/>
    </row>
    <row r="13" customFormat="false" ht="15" hidden="false" customHeight="false" outlineLevel="0" collapsed="false">
      <c r="A13" s="26" t="s">
        <v>2019</v>
      </c>
      <c r="B13" s="32" t="n">
        <f aca="false">Balance_21!$F$36</f>
        <v>3750337.32</v>
      </c>
      <c r="C13" s="70"/>
    </row>
    <row r="14" customFormat="false" ht="15" hidden="false" customHeight="false" outlineLevel="0" collapsed="false">
      <c r="A14" s="34" t="s">
        <v>2020</v>
      </c>
      <c r="B14" s="33" t="n">
        <f aca="false">SUM(B10:B13)</f>
        <v>3545892933.2</v>
      </c>
      <c r="C14" s="70" t="s">
        <v>2021</v>
      </c>
    </row>
    <row r="15" customFormat="false" ht="15" hidden="false" customHeight="false" outlineLevel="0" collapsed="false">
      <c r="A15" s="26" t="s">
        <v>2022</v>
      </c>
      <c r="B15" s="32" t="n">
        <f aca="false">Recalculo_Intereses!K47</f>
        <v>187705390.203176</v>
      </c>
      <c r="C15" s="70"/>
    </row>
    <row r="16" customFormat="false" ht="15" hidden="false" customHeight="false" outlineLevel="0" collapsed="false">
      <c r="A16" s="34" t="s">
        <v>2023</v>
      </c>
      <c r="B16" s="33" t="n">
        <f aca="false">B14+B15</f>
        <v>3733598323.40318</v>
      </c>
      <c r="C16" s="70"/>
    </row>
    <row r="17" customFormat="false" ht="15" hidden="false" customHeight="false" outlineLevel="0" collapsed="false">
      <c r="A17" s="26" t="s">
        <v>2024</v>
      </c>
      <c r="B17" s="33" t="n">
        <f aca="false">B16-B9</f>
        <v>-286479392.333567</v>
      </c>
      <c r="C17" s="70"/>
    </row>
    <row r="18" customFormat="false" ht="15" hidden="false" customHeight="false" outlineLevel="0" collapsed="false">
      <c r="A18" s="26" t="s">
        <v>2025</v>
      </c>
      <c r="B18" s="54" t="n">
        <f aca="false">B17/B9</f>
        <v>-0.0712621527718563</v>
      </c>
      <c r="C18" s="70"/>
    </row>
    <row r="19" customFormat="false" ht="15" hidden="false" customHeight="false" outlineLevel="0" collapsed="false">
      <c r="A19" s="26" t="s">
        <v>2026</v>
      </c>
      <c r="B19" s="30" t="n">
        <v>0.1</v>
      </c>
      <c r="C19" s="70" t="s">
        <v>2027</v>
      </c>
    </row>
    <row r="20" customFormat="false" ht="15" hidden="false" customHeight="false" outlineLevel="0" collapsed="false">
      <c r="A20" s="34" t="s">
        <v>250</v>
      </c>
      <c r="B20" s="26" t="str">
        <f aca="false">IF(ABS(B18)&lt;=B19,"Gasto razonable dentro del umbral","Fuera de umbral – investigar")</f>
        <v>Gasto razonable dentro del umbral</v>
      </c>
      <c r="C20" s="70"/>
    </row>
    <row r="21" customFormat="false" ht="15" hidden="false" customHeight="false" outlineLevel="0" collapsed="false">
      <c r="A21" s="26" t="s">
        <v>2028</v>
      </c>
      <c r="B21" s="32" t="n">
        <f aca="false">Balance_21!$F$32</f>
        <v>14723000.39</v>
      </c>
      <c r="C21" s="70" t="s">
        <v>2029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8"/>
    <col collapsed="false" customWidth="true" hidden="false" outlineLevel="0" max="10" min="10" style="0" width="50"/>
  </cols>
  <sheetData>
    <row r="1" customFormat="false" ht="16.15" hidden="false" customHeight="false" outlineLevel="0" collapsed="false">
      <c r="A1" s="23" t="s">
        <v>2030</v>
      </c>
    </row>
    <row r="2" customFormat="false" ht="15" hidden="false" customHeight="false" outlineLevel="0" collapsed="false">
      <c r="A2" s="24" t="s">
        <v>2031</v>
      </c>
    </row>
    <row r="4" customFormat="false" ht="30" hidden="false" customHeight="true" outlineLevel="0" collapsed="false">
      <c r="A4" s="31" t="s">
        <v>154</v>
      </c>
      <c r="B4" s="31" t="s">
        <v>2032</v>
      </c>
      <c r="C4" s="31" t="s">
        <v>2033</v>
      </c>
      <c r="D4" s="31" t="s">
        <v>2034</v>
      </c>
      <c r="E4" s="31" t="s">
        <v>2035</v>
      </c>
      <c r="F4" s="31" t="s">
        <v>2036</v>
      </c>
      <c r="G4" s="31"/>
      <c r="H4" s="31"/>
      <c r="I4" s="31"/>
      <c r="J4" s="31" t="s">
        <v>1171</v>
      </c>
    </row>
    <row r="5" customFormat="false" ht="15" hidden="false" customHeight="false" outlineLevel="0" collapsed="false">
      <c r="A5" s="26" t="s">
        <v>1096</v>
      </c>
      <c r="B5" s="33" t="n">
        <f aca="false">SUMIFS($G$18:$G$44,$B$18:$B$44,"Crédito")</f>
        <v>18632833334.6667</v>
      </c>
      <c r="C5" s="33" t="n">
        <f aca="false">SUMIFS($H$18:$H$44,$B$18:$B$44,"Crédito")</f>
        <v>18654166666.67</v>
      </c>
      <c r="D5" s="32" t="n">
        <f aca="false">-Balance_21!$F$16</f>
        <v>17938333333</v>
      </c>
      <c r="E5" s="32" t="n">
        <f aca="false">-Balance_21!$F$18</f>
        <v>20362333333</v>
      </c>
      <c r="F5" s="33" t="n">
        <f aca="false">D5+E5</f>
        <v>38300666666</v>
      </c>
      <c r="J5" s="6" t="s">
        <v>2037</v>
      </c>
    </row>
    <row r="6" customFormat="false" ht="15" hidden="false" customHeight="false" outlineLevel="0" collapsed="false">
      <c r="A6" s="26" t="s">
        <v>2038</v>
      </c>
      <c r="B6" s="33" t="n">
        <f aca="false">SUMIFS($G$18:$G$44,$B$18:$B$44,"Leasing")</f>
        <v>2040379041.74745</v>
      </c>
      <c r="C6" s="33" t="n">
        <f aca="false">SUMIFS($H$18:$H$44,$B$18:$B$44,"Leasing")</f>
        <v>2687331952.87034</v>
      </c>
      <c r="D6" s="32" t="n">
        <f aca="false">-Balance_21!$F$22</f>
        <v>1158243387.4</v>
      </c>
      <c r="E6" s="32" t="n">
        <f aca="false">-Balance_21!$F$24</f>
        <v>6745268240.93</v>
      </c>
      <c r="F6" s="33" t="n">
        <f aca="false">D6+E6</f>
        <v>7903511628.33</v>
      </c>
      <c r="J6" s="6" t="s">
        <v>2039</v>
      </c>
    </row>
    <row r="7" customFormat="false" ht="15" hidden="false" customHeight="false" outlineLevel="0" collapsed="false">
      <c r="A7" s="40" t="s">
        <v>96</v>
      </c>
      <c r="B7" s="41" t="n">
        <f aca="false">B5+B6</f>
        <v>20673212376.4141</v>
      </c>
      <c r="C7" s="41" t="n">
        <f aca="false">C5+C6</f>
        <v>21341498619.5403</v>
      </c>
      <c r="D7" s="41" t="n">
        <f aca="false">D5+D6</f>
        <v>19096576720.4</v>
      </c>
      <c r="E7" s="41" t="n">
        <f aca="false">E5+E6</f>
        <v>27107601573.93</v>
      </c>
      <c r="F7" s="41" t="n">
        <f aca="false">F5+F6</f>
        <v>46204178294.33</v>
      </c>
    </row>
    <row r="9" customFormat="false" ht="15" hidden="false" customHeight="false" outlineLevel="0" collapsed="false">
      <c r="A9" s="25" t="s">
        <v>2040</v>
      </c>
    </row>
    <row r="10" customFormat="false" ht="30" hidden="false" customHeight="true" outlineLevel="0" collapsed="false">
      <c r="A10" s="31" t="s">
        <v>154</v>
      </c>
      <c r="B10" s="31" t="s">
        <v>2041</v>
      </c>
      <c r="C10" s="31"/>
      <c r="D10" s="31"/>
      <c r="E10" s="31"/>
      <c r="F10" s="31"/>
      <c r="G10" s="31"/>
      <c r="H10" s="31"/>
      <c r="I10" s="31"/>
      <c r="J10" s="31" t="s">
        <v>1171</v>
      </c>
    </row>
    <row r="11" customFormat="false" ht="15" hidden="false" customHeight="false" outlineLevel="0" collapsed="false">
      <c r="A11" s="26" t="s">
        <v>2042</v>
      </c>
      <c r="B11" s="58" t="n">
        <f aca="false">B5-D5</f>
        <v>694500001.666668</v>
      </c>
    </row>
    <row r="12" customFormat="false" ht="15" hidden="false" customHeight="false" outlineLevel="0" collapsed="false">
      <c r="A12" s="26" t="s">
        <v>2043</v>
      </c>
      <c r="B12" s="58" t="n">
        <f aca="false">B6-D6</f>
        <v>882135654.347453</v>
      </c>
      <c r="J12" s="6" t="s">
        <v>2044</v>
      </c>
    </row>
    <row r="13" customFormat="false" ht="15" hidden="false" customHeight="false" outlineLevel="0" collapsed="false">
      <c r="A13" s="26" t="s">
        <v>2045</v>
      </c>
      <c r="B13" s="35" t="n">
        <f aca="false">-Balance_21!$F$19</f>
        <v>31135731.73</v>
      </c>
    </row>
    <row r="16" customFormat="false" ht="15" hidden="false" customHeight="false" outlineLevel="0" collapsed="false">
      <c r="A16" s="25" t="s">
        <v>2046</v>
      </c>
    </row>
    <row r="17" customFormat="false" ht="36" hidden="false" customHeight="true" outlineLevel="0" collapsed="false">
      <c r="A17" s="31" t="s">
        <v>1198</v>
      </c>
      <c r="B17" s="31" t="s">
        <v>1199</v>
      </c>
      <c r="C17" s="31" t="s">
        <v>1577</v>
      </c>
      <c r="D17" s="31" t="s">
        <v>2047</v>
      </c>
      <c r="E17" s="31" t="s">
        <v>1883</v>
      </c>
      <c r="F17" s="31" t="s">
        <v>2048</v>
      </c>
      <c r="G17" s="31" t="s">
        <v>2049</v>
      </c>
      <c r="H17" s="31" t="s">
        <v>2033</v>
      </c>
      <c r="I17" s="31" t="s">
        <v>2050</v>
      </c>
      <c r="J17" s="31" t="s">
        <v>2051</v>
      </c>
    </row>
    <row r="18" customFormat="false" ht="15" hidden="false" customHeight="false" outlineLevel="0" collapsed="false">
      <c r="A18" s="34" t="s">
        <v>114</v>
      </c>
      <c r="B18" s="26" t="s">
        <v>165</v>
      </c>
      <c r="C18" s="32" t="n">
        <f aca="false">Saldos_x_Obligacion!H5</f>
        <v>0</v>
      </c>
      <c r="D18" s="57" t="str">
        <f aca="false">IFERROR(INDEX(Detalle_62!$P$14:$P$35,MATCH(A18,Detalle_62!$C$14:$C$35,0)),"N/D")</f>
        <v>N/D</v>
      </c>
      <c r="E18" s="32" t="str">
        <f aca="false">IFERROR(INDEX(Rev_Tablas_Amort!$V:$V,MATCH(A18,Rev_Tablas_Amort!$A:$A,0)),"Sin tabla")</f>
        <v>Sin tabla</v>
      </c>
      <c r="F18" s="32" t="n">
        <f aca="false">SUMIFS(Mayor_Dic25!$G$5:$G$200,Mayor_Dic25!$J$5:$J$200,A18,Mayor_Dic25!$C$5:$C$200,"21050100")+SUMIFS(Mayor_Mov!$F$5:$F$445,Mayor_Mov!$N$5:$N$445,A18,Mayor_Mov!$B$5:$B$445,"21050100")-SUMIFS(Mayor_Mov!$E$5:$E$445,Mayor_Mov!$N$5:$N$445,A18,Mayor_Mov!$B$5:$B$445,"21050100")</f>
        <v>0</v>
      </c>
      <c r="G18" s="33" t="n">
        <f aca="false">IF(C18&lt;=0,0,IF(AND(ISNUMBER(D18),D18&lt;=DATE(2027,7,31)),C18,IF(ISNUMBER(E18),MIN(MAX(E18,0),C18),MIN(MAX(F18,0),C18))))</f>
        <v>0</v>
      </c>
      <c r="H18" s="32" t="n">
        <f aca="false">SUMIFS(Detalle_62!$W$14:$W$35,Detalle_62!$C$14:$C$35,A18)</f>
        <v>0</v>
      </c>
      <c r="I18" s="33" t="n">
        <f aca="false">G18-H18</f>
        <v>0</v>
      </c>
      <c r="J18" s="13" t="str">
        <f aca="false">IF(C18&lt;=0,"Sin saldo",IF(AND(ISNUMBER(D18),D18&lt;=DATE(2027,7,31)),"Vence en 12 meses: todo corriente",IF(ISNUMBER(E18),"Capital próximos 12 meses según tabla","Sin tabla: se mantiene CP contable [P]")))</f>
        <v>Sin saldo</v>
      </c>
    </row>
    <row r="19" customFormat="false" ht="15" hidden="false" customHeight="false" outlineLevel="0" collapsed="false">
      <c r="A19" s="34" t="s">
        <v>115</v>
      </c>
      <c r="B19" s="26" t="s">
        <v>165</v>
      </c>
      <c r="C19" s="32" t="n">
        <f aca="false">Saldos_x_Obligacion!H6</f>
        <v>3000000000</v>
      </c>
      <c r="D19" s="57" t="n">
        <f aca="false">IFERROR(INDEX(Detalle_62!$P$14:$P$35,MATCH(A19,Detalle_62!$C$14:$C$35,0)),"N/D")</f>
        <v>51710</v>
      </c>
      <c r="E19" s="32" t="n">
        <f aca="false">IFERROR(INDEX(Rev_Tablas_Amort!$V:$V,MATCH(A19,Rev_Tablas_Amort!$A:$A,0)),"Sin tabla")</f>
        <v>0</v>
      </c>
      <c r="F19" s="32" t="n">
        <f aca="false">SUMIFS(Mayor_Dic25!$G$5:$G$200,Mayor_Dic25!$J$5:$J$200,A19,Mayor_Dic25!$C$5:$C$200,"21050100")+SUMIFS(Mayor_Mov!$F$5:$F$445,Mayor_Mov!$N$5:$N$445,A19,Mayor_Mov!$B$5:$B$445,"21050100")-SUMIFS(Mayor_Mov!$E$5:$E$445,Mayor_Mov!$N$5:$N$445,A19,Mayor_Mov!$B$5:$B$445,"21050100")</f>
        <v>0</v>
      </c>
      <c r="G19" s="33" t="n">
        <f aca="false">IF(C19&lt;=0,0,IF(AND(ISNUMBER(D19),D19&lt;=DATE(2027,7,31)),C19,IF(ISNUMBER(E19),MIN(MAX(E19,0),C19),MIN(MAX(F19,0),C19))))</f>
        <v>0</v>
      </c>
      <c r="H19" s="32" t="n">
        <f aca="false">SUMIFS(Detalle_62!$W$14:$W$35,Detalle_62!$C$14:$C$35,A19)</f>
        <v>0</v>
      </c>
      <c r="I19" s="33" t="n">
        <f aca="false">G19-H19</f>
        <v>0</v>
      </c>
      <c r="J19" s="13" t="str">
        <f aca="false">IF(C19&lt;=0,"Sin saldo",IF(AND(ISNUMBER(D19),D19&lt;=DATE(2027,7,31)),"Vence en 12 meses: todo corriente",IF(ISNUMBER(E19),"Capital próximos 12 meses según tabla","Sin tabla: se mantiene CP contable [P]")))</f>
        <v>Capital próximos 12 meses según tabla</v>
      </c>
    </row>
    <row r="20" customFormat="false" ht="15" hidden="false" customHeight="false" outlineLevel="0" collapsed="false">
      <c r="A20" s="34" t="s">
        <v>116</v>
      </c>
      <c r="B20" s="26" t="s">
        <v>165</v>
      </c>
      <c r="C20" s="32" t="n">
        <f aca="false">Saldos_x_Obligacion!H7</f>
        <v>7500000000</v>
      </c>
      <c r="D20" s="57" t="n">
        <f aca="false">IFERROR(INDEX(Detalle_62!$P$14:$P$35,MATCH(A20,Detalle_62!$C$14:$C$35,0)),"N/D")</f>
        <v>52677</v>
      </c>
      <c r="E20" s="32" t="n">
        <f aca="false">IFERROR(INDEX(Rev_Tablas_Amort!$V:$V,MATCH(A20,Rev_Tablas_Amort!$A:$A,0)),"Sin tabla")</f>
        <v>0</v>
      </c>
      <c r="F20" s="32" t="n">
        <f aca="false">SUMIFS(Mayor_Dic25!$G$5:$G$200,Mayor_Dic25!$J$5:$J$200,A20,Mayor_Dic25!$C$5:$C$200,"21050100")+SUMIFS(Mayor_Mov!$F$5:$F$445,Mayor_Mov!$N$5:$N$445,A20,Mayor_Mov!$B$5:$B$445,"21050100")-SUMIFS(Mayor_Mov!$E$5:$E$445,Mayor_Mov!$N$5:$N$445,A20,Mayor_Mov!$B$5:$B$445,"21050100")</f>
        <v>0</v>
      </c>
      <c r="G20" s="33" t="n">
        <f aca="false">IF(C20&lt;=0,0,IF(AND(ISNUMBER(D20),D20&lt;=DATE(2027,7,31)),C20,IF(ISNUMBER(E20),MIN(MAX(E20,0),C20),MIN(MAX(F20,0),C20))))</f>
        <v>0</v>
      </c>
      <c r="H20" s="32" t="n">
        <f aca="false">SUMIFS(Detalle_62!$W$14:$W$35,Detalle_62!$C$14:$C$35,A20)</f>
        <v>0</v>
      </c>
      <c r="I20" s="33" t="n">
        <f aca="false">G20-H20</f>
        <v>0</v>
      </c>
      <c r="J20" s="13" t="str">
        <f aca="false">IF(C20&lt;=0,"Sin saldo",IF(AND(ISNUMBER(D20),D20&lt;=DATE(2027,7,31)),"Vence en 12 meses: todo corriente",IF(ISNUMBER(E20),"Capital próximos 12 meses según tabla","Sin tabla: se mantiene CP contable [P]")))</f>
        <v>Capital próximos 12 meses según tabla</v>
      </c>
    </row>
    <row r="21" customFormat="false" ht="15" hidden="false" customHeight="false" outlineLevel="0" collapsed="false">
      <c r="A21" s="34" t="s">
        <v>117</v>
      </c>
      <c r="B21" s="26" t="s">
        <v>165</v>
      </c>
      <c r="C21" s="32" t="n">
        <f aca="false">Saldos_x_Obligacion!H8</f>
        <v>3960000000</v>
      </c>
      <c r="D21" s="57" t="n">
        <f aca="false">IFERROR(INDEX(Detalle_62!$P$14:$P$35,MATCH(A21,Detalle_62!$C$14:$C$35,0)),"N/D")</f>
        <v>51710</v>
      </c>
      <c r="E21" s="32" t="n">
        <f aca="false">IFERROR(INDEX(Rev_Tablas_Amort!$V:$V,MATCH(A21,Rev_Tablas_Amort!$A:$A,0)),"Sin tabla")</f>
        <v>0</v>
      </c>
      <c r="F21" s="32" t="n">
        <f aca="false">SUMIFS(Mayor_Dic25!$G$5:$G$200,Mayor_Dic25!$J$5:$J$200,A21,Mayor_Dic25!$C$5:$C$200,"21050100")+SUMIFS(Mayor_Mov!$F$5:$F$445,Mayor_Mov!$N$5:$N$445,A21,Mayor_Mov!$B$5:$B$445,"21050100")-SUMIFS(Mayor_Mov!$E$5:$E$445,Mayor_Mov!$N$5:$N$445,A21,Mayor_Mov!$B$5:$B$445,"21050100")</f>
        <v>0</v>
      </c>
      <c r="G21" s="33" t="n">
        <f aca="false">IF(C21&lt;=0,0,IF(AND(ISNUMBER(D21),D21&lt;=DATE(2027,7,31)),C21,IF(ISNUMBER(E21),MIN(MAX(E21,0),C21),MIN(MAX(F21,0),C21))))</f>
        <v>0</v>
      </c>
      <c r="H21" s="32" t="n">
        <f aca="false">SUMIFS(Detalle_62!$W$14:$W$35,Detalle_62!$C$14:$C$35,A21)</f>
        <v>0</v>
      </c>
      <c r="I21" s="33" t="n">
        <f aca="false">G21-H21</f>
        <v>0</v>
      </c>
      <c r="J21" s="13" t="str">
        <f aca="false">IF(C21&lt;=0,"Sin saldo",IF(AND(ISNUMBER(D21),D21&lt;=DATE(2027,7,31)),"Vence en 12 meses: todo corriente",IF(ISNUMBER(E21),"Capital próximos 12 meses según tabla","Sin tabla: se mantiene CP contable [P]")))</f>
        <v>Capital próximos 12 meses según tabla</v>
      </c>
    </row>
    <row r="22" customFormat="false" ht="15" hidden="false" customHeight="false" outlineLevel="0" collapsed="false">
      <c r="A22" s="34" t="s">
        <v>118</v>
      </c>
      <c r="B22" s="26" t="s">
        <v>1221</v>
      </c>
      <c r="C22" s="32" t="n">
        <f aca="false">Saldos_x_Obligacion!H9</f>
        <v>399387154</v>
      </c>
      <c r="D22" s="57" t="n">
        <f aca="false">IFERROR(INDEX(Detalle_62!$P$14:$P$35,MATCH(A22,Detalle_62!$C$14:$C$35,0)),"N/D")</f>
        <v>47037</v>
      </c>
      <c r="E22" s="32" t="n">
        <f aca="false">IFERROR(INDEX(Rev_Tablas_Amort!$V:$V,MATCH(A22,Rev_Tablas_Amort!$A:$A,0)),"Sin tabla")</f>
        <v>159681765.768447</v>
      </c>
      <c r="F22" s="32" t="n">
        <f aca="false">SUMIFS(Mayor_Dic25!$G$5:$G$200,Mayor_Dic25!$J$5:$J$200,A22,Mayor_Dic25!$C$5:$C$200,"21202040")+SUMIFS(Mayor_Mov!$F$5:$F$445,Mayor_Mov!$N$5:$N$445,A22,Mayor_Mov!$B$5:$B$445,"21202040")-SUMIFS(Mayor_Mov!$E$5:$E$445,Mayor_Mov!$N$5:$N$445,A22,Mayor_Mov!$B$5:$B$445,"21202040")</f>
        <v>113964073</v>
      </c>
      <c r="G22" s="33" t="n">
        <f aca="false">IF(C22&lt;=0,0,IF(AND(ISNUMBER(D22),D22&lt;=DATE(2027,7,31)),C22,IF(ISNUMBER(E22),MIN(MAX(E22,0),C22),MIN(MAX(F22,0),C22))))</f>
        <v>159681765.768447</v>
      </c>
      <c r="H22" s="32" t="n">
        <f aca="false">SUMIFS(Detalle_62!$W$14:$W$35,Detalle_62!$C$14:$C$35,A22)</f>
        <v>194846536</v>
      </c>
      <c r="I22" s="33" t="n">
        <f aca="false">G22-H22</f>
        <v>-35164770.2315533</v>
      </c>
      <c r="J22" s="13" t="str">
        <f aca="false">IF(C22&lt;=0,"Sin saldo",IF(AND(ISNUMBER(D22),D22&lt;=DATE(2027,7,31)),"Vence en 12 meses: todo corriente",IF(ISNUMBER(E22),"Capital próximos 12 meses según tabla","Sin tabla: se mantiene CP contable [P]")))</f>
        <v>Capital próximos 12 meses según tabla</v>
      </c>
    </row>
    <row r="23" customFormat="false" ht="15" hidden="false" customHeight="false" outlineLevel="0" collapsed="false">
      <c r="A23" s="34" t="s">
        <v>119</v>
      </c>
      <c r="B23" s="26" t="s">
        <v>1221</v>
      </c>
      <c r="C23" s="32" t="n">
        <f aca="false">Saldos_x_Obligacion!H10</f>
        <v>332999135</v>
      </c>
      <c r="D23" s="57" t="n">
        <f aca="false">IFERROR(INDEX(Detalle_62!$P$14:$P$35,MATCH(A23,Detalle_62!$C$14:$C$35,0)),"N/D")</f>
        <v>47098</v>
      </c>
      <c r="E23" s="32" t="n">
        <f aca="false">IFERROR(INDEX(Rev_Tablas_Amort!$V:$V,MATCH(A23,Rev_Tablas_Amort!$A:$A,0)),"Sin tabla")</f>
        <v>119739145.958007</v>
      </c>
      <c r="F23" s="32" t="n">
        <f aca="false">SUMIFS(Mayor_Dic25!$G$5:$G$200,Mayor_Dic25!$J$5:$J$200,A23,Mayor_Dic25!$C$5:$C$200,"21202040")+SUMIFS(Mayor_Mov!$F$5:$F$445,Mayor_Mov!$N$5:$N$445,A23,Mayor_Mov!$B$5:$B$445,"21202040")-SUMIFS(Mayor_Mov!$E$5:$E$445,Mayor_Mov!$N$5:$N$445,A23,Mayor_Mov!$B$5:$B$445,"21202040")</f>
        <v>123832017.4</v>
      </c>
      <c r="G23" s="33" t="n">
        <f aca="false">IF(C23&lt;=0,0,IF(AND(ISNUMBER(D23),D23&lt;=DATE(2027,7,31)),C23,IF(ISNUMBER(E23),MIN(MAX(E23,0),C23),MIN(MAX(F23,0),C23))))</f>
        <v>119739145.958007</v>
      </c>
      <c r="H23" s="32" t="n">
        <f aca="false">SUMIFS(Detalle_62!$W$14:$W$35,Detalle_62!$C$14:$C$35,A23)</f>
        <v>142014647.455294</v>
      </c>
      <c r="I23" s="33" t="n">
        <f aca="false">G23-H23</f>
        <v>-22275501.4972866</v>
      </c>
      <c r="J23" s="13" t="str">
        <f aca="false">IF(C23&lt;=0,"Sin saldo",IF(AND(ISNUMBER(D23),D23&lt;=DATE(2027,7,31)),"Vence en 12 meses: todo corriente",IF(ISNUMBER(E23),"Capital próximos 12 meses según tabla","Sin tabla: se mantiene CP contable [P]")))</f>
        <v>Capital próximos 12 meses según tabla</v>
      </c>
    </row>
    <row r="24" customFormat="false" ht="15" hidden="false" customHeight="false" outlineLevel="0" collapsed="false">
      <c r="A24" s="34" t="s">
        <v>120</v>
      </c>
      <c r="B24" s="26" t="s">
        <v>1221</v>
      </c>
      <c r="C24" s="32" t="n">
        <f aca="false">Saldos_x_Obligacion!H11</f>
        <v>1876684264</v>
      </c>
      <c r="D24" s="57" t="n">
        <f aca="false">IFERROR(INDEX(Detalle_62!$P$14:$P$35,MATCH(A24,Detalle_62!$C$14:$C$35,0)),"N/D")</f>
        <v>48235</v>
      </c>
      <c r="E24" s="32" t="n">
        <f aca="false">IFERROR(INDEX(Rev_Tablas_Amort!$V:$V,MATCH(A24,Rev_Tablas_Amort!$A:$A,0)),"Sin tabla")</f>
        <v>0</v>
      </c>
      <c r="F24" s="32" t="n">
        <f aca="false">SUMIFS(Mayor_Dic25!$G$5:$G$200,Mayor_Dic25!$J$5:$J$200,A24,Mayor_Dic25!$C$5:$C$200,"21202040")+SUMIFS(Mayor_Mov!$F$5:$F$445,Mayor_Mov!$N$5:$N$445,A24,Mayor_Mov!$B$5:$B$445,"21202040")-SUMIFS(Mayor_Mov!$E$5:$E$445,Mayor_Mov!$N$5:$N$445,A24,Mayor_Mov!$B$5:$B$445,"21202040")</f>
        <v>0</v>
      </c>
      <c r="G24" s="33" t="n">
        <f aca="false">IF(C24&lt;=0,0,IF(AND(ISNUMBER(D24),D24&lt;=DATE(2027,7,31)),C24,IF(ISNUMBER(E24),MIN(MAX(E24,0),C24),MIN(MAX(F24,0),C24))))</f>
        <v>0</v>
      </c>
      <c r="H24" s="32" t="n">
        <f aca="false">SUMIFS(Detalle_62!$W$14:$W$35,Detalle_62!$C$14:$C$35,A24)</f>
        <v>0</v>
      </c>
      <c r="I24" s="33" t="n">
        <f aca="false">G24-H24</f>
        <v>0</v>
      </c>
      <c r="J24" s="13" t="str">
        <f aca="false">IF(C24&lt;=0,"Sin saldo",IF(AND(ISNUMBER(D24),D24&lt;=DATE(2027,7,31)),"Vence en 12 meses: todo corriente",IF(ISNUMBER(E24),"Capital próximos 12 meses según tabla","Sin tabla: se mantiene CP contable [P]")))</f>
        <v>Capital próximos 12 meses según tabla</v>
      </c>
    </row>
    <row r="25" customFormat="false" ht="15" hidden="false" customHeight="false" outlineLevel="0" collapsed="false">
      <c r="A25" s="34" t="s">
        <v>121</v>
      </c>
      <c r="B25" s="26" t="s">
        <v>1221</v>
      </c>
      <c r="C25" s="32" t="n">
        <f aca="false">Saldos_x_Obligacion!H12</f>
        <v>213861900</v>
      </c>
      <c r="D25" s="57" t="str">
        <f aca="false">IFERROR(INDEX(Detalle_62!$P$14:$P$35,MATCH(A25,Detalle_62!$C$14:$C$35,0)),"N/D")</f>
        <v>N/D</v>
      </c>
      <c r="E25" s="32" t="str">
        <f aca="false">IFERROR(INDEX(Rev_Tablas_Amort!$V:$V,MATCH(A25,Rev_Tablas_Amort!$A:$A,0)),"Sin tabla")</f>
        <v>Sin tabla</v>
      </c>
      <c r="F25" s="32" t="n">
        <f aca="false">SUMIFS(Mayor_Dic25!$G$5:$G$200,Mayor_Dic25!$J$5:$J$200,A25,Mayor_Dic25!$C$5:$C$200,"21202040")+SUMIFS(Mayor_Mov!$F$5:$F$445,Mayor_Mov!$N$5:$N$445,A25,Mayor_Mov!$B$5:$B$445,"21202040")-SUMIFS(Mayor_Mov!$E$5:$E$445,Mayor_Mov!$N$5:$N$445,A25,Mayor_Mov!$B$5:$B$445,"21202040")</f>
        <v>0</v>
      </c>
      <c r="G25" s="33" t="n">
        <f aca="false">IF(C25&lt;=0,0,IF(AND(ISNUMBER(D25),D25&lt;=DATE(2027,7,31)),C25,IF(ISNUMBER(E25),MIN(MAX(E25,0),C25),MIN(MAX(F25,0),C25))))</f>
        <v>0</v>
      </c>
      <c r="H25" s="32" t="n">
        <f aca="false">SUMIFS(Detalle_62!$W$14:$W$35,Detalle_62!$C$14:$C$35,A25)</f>
        <v>0</v>
      </c>
      <c r="I25" s="33" t="n">
        <f aca="false">G25-H25</f>
        <v>0</v>
      </c>
      <c r="J25" s="13" t="str">
        <f aca="false">IF(C25&lt;=0,"Sin saldo",IF(AND(ISNUMBER(D25),D25&lt;=DATE(2027,7,31)),"Vence en 12 meses: todo corriente",IF(ISNUMBER(E25),"Capital próximos 12 meses según tabla","Sin tabla: se mantiene CP contable [P]")))</f>
        <v>Sin tabla: se mantiene CP contable [P]</v>
      </c>
    </row>
    <row r="26" customFormat="false" ht="15" hidden="false" customHeight="false" outlineLevel="0" collapsed="false">
      <c r="A26" s="34" t="s">
        <v>124</v>
      </c>
      <c r="B26" s="26" t="s">
        <v>165</v>
      </c>
      <c r="C26" s="32" t="n">
        <f aca="false">Saldos_x_Obligacion!H13</f>
        <v>2937500000</v>
      </c>
      <c r="D26" s="57" t="n">
        <f aca="false">IFERROR(INDEX(Detalle_62!$P$14:$P$35,MATCH(A26,Detalle_62!$C$14:$C$35,0)),"N/D")</f>
        <v>47651</v>
      </c>
      <c r="E26" s="32" t="n">
        <f aca="false">IFERROR(INDEX(Rev_Tablas_Amort!$V:$V,MATCH(A26,Rev_Tablas_Amort!$A:$A,0)),"Sin tabla")</f>
        <v>750000000</v>
      </c>
      <c r="F26" s="32" t="n">
        <f aca="false">SUMIFS(Mayor_Dic25!$G$5:$G$200,Mayor_Dic25!$J$5:$J$200,A26,Mayor_Dic25!$C$5:$C$200,"21050100")+SUMIFS(Mayor_Mov!$F$5:$F$445,Mayor_Mov!$N$5:$N$445,A26,Mayor_Mov!$B$5:$B$445,"21050100")-SUMIFS(Mayor_Mov!$E$5:$E$445,Mayor_Mov!$N$5:$N$445,A26,Mayor_Mov!$B$5:$B$445,"21050100")</f>
        <v>750000000</v>
      </c>
      <c r="G26" s="33" t="n">
        <f aca="false">IF(C26&lt;=0,0,IF(AND(ISNUMBER(D26),D26&lt;=DATE(2027,7,31)),C26,IF(ISNUMBER(E26),MIN(MAX(E26,0),C26),MIN(MAX(F26,0),C26))))</f>
        <v>750000000</v>
      </c>
      <c r="H26" s="32" t="n">
        <f aca="false">SUMIFS(Detalle_62!$W$14:$W$35,Detalle_62!$C$14:$C$35,A26)</f>
        <v>750000000</v>
      </c>
      <c r="I26" s="33" t="n">
        <f aca="false">G26-H26</f>
        <v>0</v>
      </c>
      <c r="J26" s="13" t="str">
        <f aca="false">IF(C26&lt;=0,"Sin saldo",IF(AND(ISNUMBER(D26),D26&lt;=DATE(2027,7,31)),"Vence en 12 meses: todo corriente",IF(ISNUMBER(E26),"Capital próximos 12 meses según tabla","Sin tabla: se mantiene CP contable [P]")))</f>
        <v>Capital próximos 12 meses según tabla</v>
      </c>
    </row>
    <row r="27" customFormat="false" ht="15" hidden="false" customHeight="false" outlineLevel="0" collapsed="false">
      <c r="A27" s="34" t="s">
        <v>125</v>
      </c>
      <c r="B27" s="26" t="s">
        <v>165</v>
      </c>
      <c r="C27" s="32" t="n">
        <f aca="false">Saldos_x_Obligacion!H14</f>
        <v>1457333332</v>
      </c>
      <c r="D27" s="57" t="n">
        <f aca="false">IFERROR(INDEX(Detalle_62!$P$14:$P$35,MATCH(A27,Detalle_62!$C$14:$C$35,0)),"N/D")</f>
        <v>46925</v>
      </c>
      <c r="E27" s="32" t="n">
        <f aca="false">IFERROR(INDEX(Rev_Tablas_Amort!$V:$V,MATCH(A27,Rev_Tablas_Amort!$A:$A,0)),"Sin tabla")</f>
        <v>728666668</v>
      </c>
      <c r="F27" s="32" t="n">
        <f aca="false">SUMIFS(Mayor_Dic25!$G$5:$G$200,Mayor_Dic25!$J$5:$J$200,A27,Mayor_Dic25!$C$5:$C$200,"21050100")+SUMIFS(Mayor_Mov!$F$5:$F$445,Mayor_Mov!$N$5:$N$445,A27,Mayor_Mov!$B$5:$B$445,"21050100")-SUMIFS(Mayor_Mov!$E$5:$E$445,Mayor_Mov!$N$5:$N$445,A27,Mayor_Mov!$B$5:$B$445,"21050100")</f>
        <v>446666666</v>
      </c>
      <c r="G27" s="33" t="n">
        <f aca="false">IF(C27&lt;=0,0,IF(AND(ISNUMBER(D27),D27&lt;=DATE(2027,7,31)),C27,IF(ISNUMBER(E27),MIN(MAX(E27,0),C27),MIN(MAX(F27,0),C27))))</f>
        <v>728666668</v>
      </c>
      <c r="H27" s="32" t="n">
        <f aca="false">SUMIFS(Detalle_62!$W$14:$W$35,Detalle_62!$C$14:$C$35,A27)</f>
        <v>750000000</v>
      </c>
      <c r="I27" s="33" t="n">
        <f aca="false">G27-H27</f>
        <v>-21333332</v>
      </c>
      <c r="J27" s="13" t="str">
        <f aca="false">IF(C27&lt;=0,"Sin saldo",IF(AND(ISNUMBER(D27),D27&lt;=DATE(2027,7,31)),"Vence en 12 meses: todo corriente",IF(ISNUMBER(E27),"Capital próximos 12 meses según tabla","Sin tabla: se mantiene CP contable [P]")))</f>
        <v>Capital próximos 12 meses según tabla</v>
      </c>
    </row>
    <row r="28" customFormat="false" ht="15" hidden="false" customHeight="false" outlineLevel="0" collapsed="false">
      <c r="A28" s="34" t="s">
        <v>126</v>
      </c>
      <c r="B28" s="26" t="s">
        <v>165</v>
      </c>
      <c r="C28" s="32" t="n">
        <f aca="false">Saldos_x_Obligacion!H15</f>
        <v>1125000000</v>
      </c>
      <c r="D28" s="57" t="n">
        <f aca="false">IFERROR(INDEX(Detalle_62!$P$14:$P$35,MATCH(A28,Detalle_62!$C$14:$C$35,0)),"N/D")</f>
        <v>46990</v>
      </c>
      <c r="E28" s="32" t="n">
        <f aca="false">IFERROR(INDEX(Rev_Tablas_Amort!$V:$V,MATCH(A28,Rev_Tablas_Amort!$A:$A,0)),"Sin tabla")</f>
        <v>500000000</v>
      </c>
      <c r="F28" s="32" t="n">
        <f aca="false">SUMIFS(Mayor_Dic25!$G$5:$G$200,Mayor_Dic25!$J$5:$J$200,A28,Mayor_Dic25!$C$5:$C$200,"21050100")+SUMIFS(Mayor_Mov!$F$5:$F$445,Mayor_Mov!$N$5:$N$445,A28,Mayor_Mov!$B$5:$B$445,"21050100")-SUMIFS(Mayor_Mov!$E$5:$E$445,Mayor_Mov!$N$5:$N$445,A28,Mayor_Mov!$B$5:$B$445,"21050100")</f>
        <v>375000000</v>
      </c>
      <c r="G28" s="33" t="n">
        <f aca="false">IF(C28&lt;=0,0,IF(AND(ISNUMBER(D28),D28&lt;=DATE(2027,7,31)),C28,IF(ISNUMBER(E28),MIN(MAX(E28,0),C28),MIN(MAX(F28,0),C28))))</f>
        <v>500000000</v>
      </c>
      <c r="H28" s="32" t="n">
        <f aca="false">SUMIFS(Detalle_62!$W$14:$W$35,Detalle_62!$C$14:$C$35,A28)</f>
        <v>500000000</v>
      </c>
      <c r="I28" s="33" t="n">
        <f aca="false">G28-H28</f>
        <v>0</v>
      </c>
      <c r="J28" s="13" t="str">
        <f aca="false">IF(C28&lt;=0,"Sin saldo",IF(AND(ISNUMBER(D28),D28&lt;=DATE(2027,7,31)),"Vence en 12 meses: todo corriente",IF(ISNUMBER(E28),"Capital próximos 12 meses según tabla","Sin tabla: se mantiene CP contable [P]")))</f>
        <v>Capital próximos 12 meses según tabla</v>
      </c>
    </row>
    <row r="29" customFormat="false" ht="15" hidden="false" customHeight="false" outlineLevel="0" collapsed="false">
      <c r="A29" s="34" t="s">
        <v>127</v>
      </c>
      <c r="B29" s="26" t="s">
        <v>165</v>
      </c>
      <c r="C29" s="32" t="n">
        <f aca="false">Saldos_x_Obligacion!H16</f>
        <v>10000000000</v>
      </c>
      <c r="D29" s="27" t="n">
        <v>46409</v>
      </c>
      <c r="E29" s="32" t="n">
        <f aca="false">IFERROR(INDEX(Rev_Tablas_Amort!$V:$V,MATCH(A29,Rev_Tablas_Amort!$A:$A,0)),"Sin tabla")</f>
        <v>0</v>
      </c>
      <c r="F29" s="32" t="n">
        <f aca="false">SUMIFS(Mayor_Dic25!$G$5:$G$200,Mayor_Dic25!$J$5:$J$200,A29,Mayor_Dic25!$C$5:$C$200,"21050100")+SUMIFS(Mayor_Mov!$F$5:$F$445,Mayor_Mov!$N$5:$N$445,A29,Mayor_Mov!$B$5:$B$445,"21050100")-SUMIFS(Mayor_Mov!$E$5:$E$445,Mayor_Mov!$N$5:$N$445,A29,Mayor_Mov!$B$5:$B$445,"21050100")</f>
        <v>10000000000</v>
      </c>
      <c r="G29" s="33" t="n">
        <f aca="false">IF(C29&lt;=0,0,IF(AND(ISNUMBER(D29),D29&lt;=DATE(2027,7,31)),C29,IF(ISNUMBER(E29),MIN(MAX(E29,0),C29),MIN(MAX(F29,0),C29))))</f>
        <v>10000000000</v>
      </c>
      <c r="H29" s="32" t="n">
        <f aca="false">SUMIFS(Detalle_62!$W$14:$W$35,Detalle_62!$C$14:$C$35,A29)</f>
        <v>10000000000</v>
      </c>
      <c r="I29" s="33" t="n">
        <f aca="false">G29-H29</f>
        <v>0</v>
      </c>
      <c r="J29" s="13" t="str">
        <f aca="false">IF(C29&lt;=0,"Sin saldo",IF(AND(ISNUMBER(D29),D29&lt;=DATE(2027,7,31)),"Vence en 12 meses: todo corriente",IF(ISNUMBER(E29),"Capital próximos 12 meses según tabla","Sin tabla: se mantiene CP contable [P]")))</f>
        <v>Vence en 12 meses: todo corriente</v>
      </c>
    </row>
    <row r="30" customFormat="false" ht="15" hidden="false" customHeight="false" outlineLevel="0" collapsed="false">
      <c r="A30" s="34" t="s">
        <v>128</v>
      </c>
      <c r="B30" s="26" t="s">
        <v>1221</v>
      </c>
      <c r="C30" s="32" t="n">
        <f aca="false">Saldos_x_Obligacion!H17</f>
        <v>396112029.98</v>
      </c>
      <c r="D30" s="57" t="n">
        <f aca="false">IFERROR(INDEX(Detalle_62!$P$14:$P$35,MATCH(A30,Detalle_62!$C$14:$C$35,0)),"N/D")</f>
        <v>47503</v>
      </c>
      <c r="E30" s="32" t="n">
        <f aca="false">IFERROR(INDEX(Rev_Tablas_Amort!$V:$V,MATCH(A30,Rev_Tablas_Amort!$A:$A,0)),"Sin tabla")</f>
        <v>89122277.0882225</v>
      </c>
      <c r="F30" s="32" t="n">
        <f aca="false">SUMIFS(Mayor_Dic25!$G$5:$G$200,Mayor_Dic25!$J$5:$J$200,A30,Mayor_Dic25!$C$5:$C$200,"21202040")+SUMIFS(Mayor_Mov!$F$5:$F$445,Mayor_Mov!$N$5:$N$445,A30,Mayor_Mov!$B$5:$B$445,"21202040")-SUMIFS(Mayor_Mov!$E$5:$E$445,Mayor_Mov!$N$5:$N$445,A30,Mayor_Mov!$B$5:$B$445,"21202040")</f>
        <v>0</v>
      </c>
      <c r="G30" s="33" t="n">
        <f aca="false">IF(C30&lt;=0,0,IF(AND(ISNUMBER(D30),D30&lt;=DATE(2027,7,31)),C30,IF(ISNUMBER(E30),MIN(MAX(E30,0),C30),MIN(MAX(F30,0),C30))))</f>
        <v>89122277.0882225</v>
      </c>
      <c r="H30" s="32" t="n">
        <f aca="false">SUMIFS(Detalle_62!$W$14:$W$35,Detalle_62!$C$14:$C$35,A30)</f>
        <v>175631569.283009</v>
      </c>
      <c r="I30" s="33" t="n">
        <f aca="false">G30-H30</f>
        <v>-86509292.1947861</v>
      </c>
      <c r="J30" s="13" t="str">
        <f aca="false">IF(C30&lt;=0,"Sin saldo",IF(AND(ISNUMBER(D30),D30&lt;=DATE(2027,7,31)),"Vence en 12 meses: todo corriente",IF(ISNUMBER(E30),"Capital próximos 12 meses según tabla","Sin tabla: se mantiene CP contable [P]")))</f>
        <v>Capital próximos 12 meses según tabla</v>
      </c>
    </row>
    <row r="31" customFormat="false" ht="15" hidden="false" customHeight="false" outlineLevel="0" collapsed="false">
      <c r="A31" s="34" t="s">
        <v>129</v>
      </c>
      <c r="B31" s="26" t="s">
        <v>1221</v>
      </c>
      <c r="C31" s="32" t="n">
        <f aca="false">Saldos_x_Obligacion!H18</f>
        <v>396112030.02</v>
      </c>
      <c r="D31" s="57" t="n">
        <f aca="false">IFERROR(INDEX(Detalle_62!$P$14:$P$35,MATCH(A31,Detalle_62!$C$14:$C$35,0)),"N/D")</f>
        <v>47503</v>
      </c>
      <c r="E31" s="32" t="n">
        <f aca="false">IFERROR(INDEX(Rev_Tablas_Amort!$V:$V,MATCH(A31,Rev_Tablas_Amort!$A:$A,0)),"Sin tabla")</f>
        <v>89122277.0882225</v>
      </c>
      <c r="F31" s="32" t="n">
        <f aca="false">SUMIFS(Mayor_Dic25!$G$5:$G$200,Mayor_Dic25!$J$5:$J$200,A31,Mayor_Dic25!$C$5:$C$200,"21202040")+SUMIFS(Mayor_Mov!$F$5:$F$445,Mayor_Mov!$N$5:$N$445,A31,Mayor_Mov!$B$5:$B$445,"21202040")-SUMIFS(Mayor_Mov!$E$5:$E$445,Mayor_Mov!$N$5:$N$445,A31,Mayor_Mov!$B$5:$B$445,"21202040")</f>
        <v>0</v>
      </c>
      <c r="G31" s="33" t="n">
        <f aca="false">IF(C31&lt;=0,0,IF(AND(ISNUMBER(D31),D31&lt;=DATE(2027,7,31)),C31,IF(ISNUMBER(E31),MIN(MAX(E31,0),C31),MIN(MAX(F31,0),C31))))</f>
        <v>89122277.0882225</v>
      </c>
      <c r="H31" s="32" t="n">
        <f aca="false">SUMIFS(Detalle_62!$W$14:$W$35,Detalle_62!$C$14:$C$35,A31)</f>
        <v>175631569.283009</v>
      </c>
      <c r="I31" s="33" t="n">
        <f aca="false">G31-H31</f>
        <v>-86509292.1947861</v>
      </c>
      <c r="J31" s="13" t="str">
        <f aca="false">IF(C31&lt;=0,"Sin saldo",IF(AND(ISNUMBER(D31),D31&lt;=DATE(2027,7,31)),"Vence en 12 meses: todo corriente",IF(ISNUMBER(E31),"Capital próximos 12 meses según tabla","Sin tabla: se mantiene CP contable [P]")))</f>
        <v>Capital próximos 12 meses según tabla</v>
      </c>
    </row>
    <row r="32" customFormat="false" ht="15" hidden="false" customHeight="false" outlineLevel="0" collapsed="false">
      <c r="A32" s="34" t="s">
        <v>130</v>
      </c>
      <c r="B32" s="26" t="s">
        <v>1221</v>
      </c>
      <c r="C32" s="32" t="n">
        <f aca="false">Saldos_x_Obligacion!H19</f>
        <v>253672104.96</v>
      </c>
      <c r="D32" s="57" t="n">
        <f aca="false">IFERROR(INDEX(Detalle_62!$P$14:$P$35,MATCH(A32,Detalle_62!$C$14:$C$35,0)),"N/D")</f>
        <v>46870</v>
      </c>
      <c r="E32" s="32" t="n">
        <f aca="false">IFERROR(INDEX(Rev_Tablas_Amort!$V:$V,MATCH(A32,Rev_Tablas_Amort!$A:$A,0)),"Sin tabla")</f>
        <v>94380151.2290461</v>
      </c>
      <c r="F32" s="32" t="n">
        <f aca="false">SUMIFS(Mayor_Dic25!$G$5:$G$200,Mayor_Dic25!$J$5:$J$200,A32,Mayor_Dic25!$C$5:$C$200,"21202040")+SUMIFS(Mayor_Mov!$F$5:$F$445,Mayor_Mov!$N$5:$N$445,A32,Mayor_Mov!$B$5:$B$445,"21202040")-SUMIFS(Mayor_Mov!$E$5:$E$445,Mayor_Mov!$N$5:$N$445,A32,Mayor_Mov!$B$5:$B$445,"21202040")</f>
        <v>0</v>
      </c>
      <c r="G32" s="33" t="n">
        <f aca="false">IF(C32&lt;=0,0,IF(AND(ISNUMBER(D32),D32&lt;=DATE(2027,7,31)),C32,IF(ISNUMBER(E32),MIN(MAX(E32,0),C32),MIN(MAX(F32,0),C32))))</f>
        <v>94380151.2290461</v>
      </c>
      <c r="H32" s="32" t="n">
        <f aca="false">SUMIFS(Detalle_62!$W$14:$W$35,Detalle_62!$C$14:$C$35,A32)</f>
        <v>175631569.283009</v>
      </c>
      <c r="I32" s="33" t="n">
        <f aca="false">G32-H32</f>
        <v>-81251418.0539625</v>
      </c>
      <c r="J32" s="13" t="str">
        <f aca="false">IF(C32&lt;=0,"Sin saldo",IF(AND(ISNUMBER(D32),D32&lt;=DATE(2027,7,31)),"Vence en 12 meses: todo corriente",IF(ISNUMBER(E32),"Capital próximos 12 meses según tabla","Sin tabla: se mantiene CP contable [P]")))</f>
        <v>Capital próximos 12 meses según tabla</v>
      </c>
    </row>
    <row r="33" customFormat="false" ht="15" hidden="false" customHeight="false" outlineLevel="0" collapsed="false">
      <c r="A33" s="34" t="s">
        <v>131</v>
      </c>
      <c r="B33" s="26" t="s">
        <v>1221</v>
      </c>
      <c r="C33" s="32" t="n">
        <f aca="false">Saldos_x_Obligacion!H20</f>
        <v>253672104.16</v>
      </c>
      <c r="D33" s="57" t="n">
        <f aca="false">IFERROR(INDEX(Detalle_62!$P$14:$P$35,MATCH(A33,Detalle_62!$C$14:$C$35,0)),"N/D")</f>
        <v>46870</v>
      </c>
      <c r="E33" s="32" t="n">
        <f aca="false">IFERROR(INDEX(Rev_Tablas_Amort!$V:$V,MATCH(A33,Rev_Tablas_Amort!$A:$A,0)),"Sin tabla")</f>
        <v>94380151.2290461</v>
      </c>
      <c r="F33" s="32" t="n">
        <f aca="false">SUMIFS(Mayor_Dic25!$G$5:$G$200,Mayor_Dic25!$J$5:$J$200,A33,Mayor_Dic25!$C$5:$C$200,"21202040")+SUMIFS(Mayor_Mov!$F$5:$F$445,Mayor_Mov!$N$5:$N$445,A33,Mayor_Mov!$B$5:$B$445,"21202040")-SUMIFS(Mayor_Mov!$E$5:$E$445,Mayor_Mov!$N$5:$N$445,A33,Mayor_Mov!$B$5:$B$445,"21202040")</f>
        <v>0</v>
      </c>
      <c r="G33" s="33" t="n">
        <f aca="false">IF(C33&lt;=0,0,IF(AND(ISNUMBER(D33),D33&lt;=DATE(2027,7,31)),C33,IF(ISNUMBER(E33),MIN(MAX(E33,0),C33),MIN(MAX(F33,0),C33))))</f>
        <v>94380151.2290461</v>
      </c>
      <c r="H33" s="32" t="n">
        <f aca="false">SUMIFS(Detalle_62!$W$14:$W$35,Detalle_62!$C$14:$C$35,A33)</f>
        <v>175631569.283009</v>
      </c>
      <c r="I33" s="33" t="n">
        <f aca="false">G33-H33</f>
        <v>-81251418.0539625</v>
      </c>
      <c r="J33" s="13" t="str">
        <f aca="false">IF(C33&lt;=0,"Sin saldo",IF(AND(ISNUMBER(D33),D33&lt;=DATE(2027,7,31)),"Vence en 12 meses: todo corriente",IF(ISNUMBER(E33),"Capital próximos 12 meses según tabla","Sin tabla: se mantiene CP contable [P]")))</f>
        <v>Capital próximos 12 meses según tabla</v>
      </c>
    </row>
    <row r="34" customFormat="false" ht="15" hidden="false" customHeight="false" outlineLevel="0" collapsed="false">
      <c r="A34" s="34" t="s">
        <v>132</v>
      </c>
      <c r="B34" s="26" t="s">
        <v>1221</v>
      </c>
      <c r="C34" s="32" t="n">
        <f aca="false">Saldos_x_Obligacion!H21</f>
        <v>396193943.4</v>
      </c>
      <c r="D34" s="57" t="n">
        <f aca="false">IFERROR(INDEX(Detalle_62!$P$14:$P$35,MATCH(A34,Detalle_62!$C$14:$C$35,0)),"N/D")</f>
        <v>47503</v>
      </c>
      <c r="E34" s="32" t="n">
        <f aca="false">IFERROR(INDEX(Rev_Tablas_Amort!$V:$V,MATCH(A34,Rev_Tablas_Amort!$A:$A,0)),"Sin tabla")</f>
        <v>89056070.4283575</v>
      </c>
      <c r="F34" s="32" t="n">
        <f aca="false">SUMIFS(Mayor_Dic25!$G$5:$G$200,Mayor_Dic25!$J$5:$J$200,A34,Mayor_Dic25!$C$5:$C$200,"21202040")+SUMIFS(Mayor_Mov!$F$5:$F$445,Mayor_Mov!$N$5:$N$445,A34,Mayor_Mov!$B$5:$B$445,"21202040")-SUMIFS(Mayor_Mov!$E$5:$E$445,Mayor_Mov!$N$5:$N$445,A34,Mayor_Mov!$B$5:$B$445,"21202040")</f>
        <v>0</v>
      </c>
      <c r="G34" s="33" t="n">
        <f aca="false">IF(C34&lt;=0,0,IF(AND(ISNUMBER(D34),D34&lt;=DATE(2027,7,31)),C34,IF(ISNUMBER(E34),MIN(MAX(E34,0),C34),MIN(MAX(F34,0),C34))))</f>
        <v>89056070.4283575</v>
      </c>
      <c r="H34" s="32" t="n">
        <f aca="false">SUMIFS(Detalle_62!$W$14:$W$35,Detalle_62!$C$14:$C$35,A34)</f>
        <v>175631569.283009</v>
      </c>
      <c r="I34" s="33" t="n">
        <f aca="false">G34-H34</f>
        <v>-86575498.8546511</v>
      </c>
      <c r="J34" s="13" t="str">
        <f aca="false">IF(C34&lt;=0,"Sin saldo",IF(AND(ISNUMBER(D34),D34&lt;=DATE(2027,7,31)),"Vence en 12 meses: todo corriente",IF(ISNUMBER(E34),"Capital próximos 12 meses según tabla","Sin tabla: se mantiene CP contable [P]")))</f>
        <v>Capital próximos 12 meses según tabla</v>
      </c>
    </row>
    <row r="35" customFormat="false" ht="15" hidden="false" customHeight="false" outlineLevel="0" collapsed="false">
      <c r="A35" s="34" t="s">
        <v>133</v>
      </c>
      <c r="B35" s="26" t="s">
        <v>1221</v>
      </c>
      <c r="C35" s="32" t="n">
        <f aca="false">Saldos_x_Obligacion!H22</f>
        <v>984246886.81</v>
      </c>
      <c r="D35" s="57" t="n">
        <f aca="false">IFERROR(INDEX(Detalle_62!$P$14:$P$35,MATCH(A35,Detalle_62!$C$14:$C$35,0)),"N/D")</f>
        <v>47321</v>
      </c>
      <c r="E35" s="32" t="n">
        <f aca="false">IFERROR(INDEX(Rev_Tablas_Amort!$V:$V,MATCH(A35,Rev_Tablas_Amort!$A:$A,0)),"Sin tabla")</f>
        <v>278537651.756876</v>
      </c>
      <c r="F35" s="32" t="n">
        <f aca="false">SUMIFS(Mayor_Dic25!$G$5:$G$200,Mayor_Dic25!$J$5:$J$200,A35,Mayor_Dic25!$C$5:$C$200,"21202040")+SUMIFS(Mayor_Mov!$F$5:$F$445,Mayor_Mov!$N$5:$N$445,A35,Mayor_Mov!$B$5:$B$445,"21202040")-SUMIFS(Mayor_Mov!$E$5:$E$445,Mayor_Mov!$N$5:$N$445,A35,Mayor_Mov!$B$5:$B$445,"21202040")</f>
        <v>0</v>
      </c>
      <c r="G35" s="33" t="n">
        <f aca="false">IF(C35&lt;=0,0,IF(AND(ISNUMBER(D35),D35&lt;=DATE(2027,7,31)),C35,IF(ISNUMBER(E35),MIN(MAX(E35,0),C35),MIN(MAX(F35,0),C35))))</f>
        <v>278537651.756876</v>
      </c>
      <c r="H35" s="32" t="n">
        <f aca="false">SUMIFS(Detalle_62!$W$14:$W$35,Detalle_62!$C$14:$C$35,A35)</f>
        <v>722980190</v>
      </c>
      <c r="I35" s="33" t="n">
        <f aca="false">G35-H35</f>
        <v>-444442538.243124</v>
      </c>
      <c r="J35" s="13" t="str">
        <f aca="false">IF(C35&lt;=0,"Sin saldo",IF(AND(ISNUMBER(D35),D35&lt;=DATE(2027,7,31)),"Vence en 12 meses: todo corriente",IF(ISNUMBER(E35),"Capital próximos 12 meses según tabla","Sin tabla: se mantiene CP contable [P]")))</f>
        <v>Capital próximos 12 meses según tabla</v>
      </c>
    </row>
    <row r="36" customFormat="false" ht="15" hidden="false" customHeight="false" outlineLevel="0" collapsed="false">
      <c r="A36" s="34" t="s">
        <v>135</v>
      </c>
      <c r="B36" s="26" t="s">
        <v>165</v>
      </c>
      <c r="C36" s="32" t="n">
        <f aca="false">Saldos_x_Obligacion!H23</f>
        <v>287500000</v>
      </c>
      <c r="D36" s="57" t="n">
        <f aca="false">IFERROR(INDEX(Detalle_62!$P$14:$P$35,MATCH(A36,Detalle_62!$C$14:$C$35,0)),"N/D")</f>
        <v>46373</v>
      </c>
      <c r="E36" s="32" t="n">
        <f aca="false">IFERROR(INDEX(Rev_Tablas_Amort!$V:$V,MATCH(A36,Rev_Tablas_Amort!$A:$A,0)),"Sin tabla")</f>
        <v>287500000</v>
      </c>
      <c r="F36" s="32" t="n">
        <f aca="false">SUMIFS(Mayor_Dic25!$G$5:$G$200,Mayor_Dic25!$J$5:$J$200,A36,Mayor_Dic25!$C$5:$C$200,"21050100")+SUMIFS(Mayor_Mov!$F$5:$F$445,Mayor_Mov!$N$5:$N$445,A36,Mayor_Mov!$B$5:$B$445,"21050100")-SUMIFS(Mayor_Mov!$E$5:$E$445,Mayor_Mov!$N$5:$N$445,A36,Mayor_Mov!$B$5:$B$445,"21050100")</f>
        <v>0</v>
      </c>
      <c r="G36" s="33" t="n">
        <f aca="false">IF(C36&lt;=0,0,IF(AND(ISNUMBER(D36),D36&lt;=DATE(2027,7,31)),C36,IF(ISNUMBER(E36),MIN(MAX(E36,0),C36),MIN(MAX(F36,0),C36))))</f>
        <v>287500000</v>
      </c>
      <c r="H36" s="32" t="n">
        <f aca="false">SUMIFS(Detalle_62!$W$14:$W$35,Detalle_62!$C$14:$C$35,A36)</f>
        <v>287500000</v>
      </c>
      <c r="I36" s="33" t="n">
        <f aca="false">G36-H36</f>
        <v>0</v>
      </c>
      <c r="J36" s="13" t="str">
        <f aca="false">IF(C36&lt;=0,"Sin saldo",IF(AND(ISNUMBER(D36),D36&lt;=DATE(2027,7,31)),"Vence en 12 meses: todo corriente",IF(ISNUMBER(E36),"Capital próximos 12 meses según tabla","Sin tabla: se mantiene CP contable [P]")))</f>
        <v>Vence en 12 meses: todo corriente</v>
      </c>
    </row>
    <row r="37" customFormat="false" ht="15" hidden="false" customHeight="false" outlineLevel="0" collapsed="false">
      <c r="A37" s="34" t="s">
        <v>137</v>
      </c>
      <c r="B37" s="26" t="s">
        <v>165</v>
      </c>
      <c r="C37" s="32" t="n">
        <f aca="false">Saldos_x_Obligacion!H24</f>
        <v>4700000000</v>
      </c>
      <c r="D37" s="27" t="n">
        <v>46386</v>
      </c>
      <c r="E37" s="32" t="str">
        <f aca="false">IFERROR(INDEX(Rev_Tablas_Amort!$V:$V,MATCH(A37,Rev_Tablas_Amort!$A:$A,0)),"Sin tabla")</f>
        <v>Sin tabla</v>
      </c>
      <c r="F37" s="32" t="n">
        <f aca="false">SUMIFS(Mayor_Dic25!$G$5:$G$200,Mayor_Dic25!$J$5:$J$200,A37,Mayor_Dic25!$C$5:$C$200,"21050100")+SUMIFS(Mayor_Mov!$F$5:$F$445,Mayor_Mov!$N$5:$N$445,A37,Mayor_Mov!$B$5:$B$445,"21050100")-SUMIFS(Mayor_Mov!$E$5:$E$445,Mayor_Mov!$N$5:$N$445,A37,Mayor_Mov!$B$5:$B$445,"21050100")</f>
        <v>4700000000</v>
      </c>
      <c r="G37" s="33" t="n">
        <f aca="false">IF(C37&lt;=0,0,IF(AND(ISNUMBER(D37),D37&lt;=DATE(2027,7,31)),C37,IF(ISNUMBER(E37),MIN(MAX(E37,0),C37),MIN(MAX(F37,0),C37))))</f>
        <v>4700000000</v>
      </c>
      <c r="H37" s="32" t="n">
        <f aca="false">SUMIFS(Detalle_62!$W$14:$W$35,Detalle_62!$C$14:$C$35,A37)</f>
        <v>4700000000</v>
      </c>
      <c r="I37" s="33" t="n">
        <f aca="false">G37-H37</f>
        <v>0</v>
      </c>
      <c r="J37" s="13" t="str">
        <f aca="false">IF(C37&lt;=0,"Sin saldo",IF(AND(ISNUMBER(D37),D37&lt;=DATE(2027,7,31)),"Vence en 12 meses: todo corriente",IF(ISNUMBER(E37),"Capital próximos 12 meses según tabla","Sin tabla: se mantiene CP contable [P]")))</f>
        <v>Vence en 12 meses: todo corriente</v>
      </c>
    </row>
    <row r="38" customFormat="false" ht="15" hidden="false" customHeight="false" outlineLevel="0" collapsed="false">
      <c r="A38" s="34" t="s">
        <v>139</v>
      </c>
      <c r="B38" s="26" t="s">
        <v>165</v>
      </c>
      <c r="C38" s="32" t="n">
        <f aca="false">Saldos_x_Obligacion!H25</f>
        <v>3333333334</v>
      </c>
      <c r="D38" s="57" t="n">
        <f aca="false">IFERROR(INDEX(Detalle_62!$P$14:$P$35,MATCH(A38,Detalle_62!$C$14:$C$35,0)),"N/D")</f>
        <v>46864</v>
      </c>
      <c r="E38" s="32" t="n">
        <f aca="false">IFERROR(INDEX(Rev_Tablas_Amort!$V:$V,MATCH(A38,Rev_Tablas_Amort!$A:$A,0)),"Sin tabla")</f>
        <v>1666666666.66667</v>
      </c>
      <c r="F38" s="32" t="n">
        <f aca="false">SUMIFS(Mayor_Dic25!$G$5:$G$200,Mayor_Dic25!$J$5:$J$200,A38,Mayor_Dic25!$C$5:$C$200,"21050100")+SUMIFS(Mayor_Mov!$F$5:$F$445,Mayor_Mov!$N$5:$N$445,A38,Mayor_Mov!$B$5:$B$445,"21050100")-SUMIFS(Mayor_Mov!$E$5:$E$445,Mayor_Mov!$N$5:$N$445,A38,Mayor_Mov!$B$5:$B$445,"21050100")</f>
        <v>1666666667</v>
      </c>
      <c r="G38" s="33" t="n">
        <f aca="false">IF(C38&lt;=0,0,IF(AND(ISNUMBER(D38),D38&lt;=DATE(2027,7,31)),C38,IF(ISNUMBER(E38),MIN(MAX(E38,0),C38),MIN(MAX(F38,0),C38))))</f>
        <v>1666666666.66667</v>
      </c>
      <c r="H38" s="32" t="n">
        <f aca="false">SUMIFS(Detalle_62!$W$14:$W$35,Detalle_62!$C$14:$C$35,A38)</f>
        <v>1666666666.67</v>
      </c>
      <c r="I38" s="33" t="n">
        <f aca="false">G38-H38</f>
        <v>-0.00333309173583984</v>
      </c>
      <c r="J38" s="13" t="str">
        <f aca="false">IF(C38&lt;=0,"Sin saldo",IF(AND(ISNUMBER(D38),D38&lt;=DATE(2027,7,31)),"Vence en 12 meses: todo corriente",IF(ISNUMBER(E38),"Capital próximos 12 meses según tabla","Sin tabla: se mantiene CP contable [P]")))</f>
        <v>Capital próximos 12 meses según tabla</v>
      </c>
    </row>
    <row r="39" customFormat="false" ht="15" hidden="false" customHeight="false" outlineLevel="0" collapsed="false">
      <c r="A39" s="34" t="s">
        <v>140</v>
      </c>
      <c r="B39" s="26" t="s">
        <v>1221</v>
      </c>
      <c r="C39" s="32" t="n">
        <f aca="false">Saldos_x_Obligacion!H26</f>
        <v>448477372</v>
      </c>
      <c r="D39" s="57" t="n">
        <f aca="false">IFERROR(INDEX(Detalle_62!$P$14:$P$35,MATCH(A39,Detalle_62!$C$14:$C$35,0)),"N/D")</f>
        <v>47528</v>
      </c>
      <c r="E39" s="32" t="n">
        <f aca="false">IFERROR(INDEX(Rev_Tablas_Amort!$V:$V,MATCH(A39,Rev_Tablas_Amort!$A:$A,0)),"Sin tabla")</f>
        <v>148642835.463547</v>
      </c>
      <c r="F39" s="32" t="n">
        <f aca="false">SUMIFS(Mayor_Dic25!$G$5:$G$200,Mayor_Dic25!$J$5:$J$200,A39,Mayor_Dic25!$C$5:$C$200,"21202040")+SUMIFS(Mayor_Mov!$F$5:$F$445,Mayor_Mov!$N$5:$N$445,A39,Mayor_Mov!$B$5:$B$445,"21202040")-SUMIFS(Mayor_Mov!$E$5:$E$445,Mayor_Mov!$N$5:$N$445,A39,Mayor_Mov!$B$5:$B$445,"21202040")</f>
        <v>0</v>
      </c>
      <c r="G39" s="33" t="n">
        <f aca="false">IF(C39&lt;=0,0,IF(AND(ISNUMBER(D39),D39&lt;=DATE(2027,7,31)),C39,IF(ISNUMBER(E39),MIN(MAX(E39,0),C39),MIN(MAX(F39,0),C39))))</f>
        <v>148642835.463547</v>
      </c>
      <c r="H39" s="32" t="n">
        <f aca="false">SUMIFS(Detalle_62!$W$14:$W$35,Detalle_62!$C$14:$C$35,A39)</f>
        <v>154259653</v>
      </c>
      <c r="I39" s="33" t="n">
        <f aca="false">G39-H39</f>
        <v>-5616817.53645349</v>
      </c>
      <c r="J39" s="13" t="str">
        <f aca="false">IF(C39&lt;=0,"Sin saldo",IF(AND(ISNUMBER(D39),D39&lt;=DATE(2027,7,31)),"Vence en 12 meses: todo corriente",IF(ISNUMBER(E39),"Capital próximos 12 meses según tabla","Sin tabla: se mantiene CP contable [P]")))</f>
        <v>Capital próximos 12 meses según tabla</v>
      </c>
    </row>
    <row r="40" customFormat="false" ht="15" hidden="false" customHeight="false" outlineLevel="0" collapsed="false">
      <c r="A40" s="34" t="s">
        <v>141</v>
      </c>
      <c r="B40" s="26" t="s">
        <v>1221</v>
      </c>
      <c r="C40" s="32" t="n">
        <f aca="false">Saldos_x_Obligacion!H27</f>
        <v>787729700</v>
      </c>
      <c r="D40" s="57" t="n">
        <f aca="false">IFERROR(INDEX(Detalle_62!$P$14:$P$35,MATCH(A40,Detalle_62!$C$14:$C$35,0)),"N/D")</f>
        <v>47995</v>
      </c>
      <c r="E40" s="32" t="n">
        <f aca="false">IFERROR(INDEX(Rev_Tablas_Amort!$V:$V,MATCH(A40,Rev_Tablas_Amort!$A:$A,0)),"Sin tabla")</f>
        <v>130316947.737682</v>
      </c>
      <c r="F40" s="32" t="n">
        <f aca="false">SUMIFS(Mayor_Dic25!$G$5:$G$200,Mayor_Dic25!$J$5:$J$200,A40,Mayor_Dic25!$C$5:$C$200,"21202040")+SUMIFS(Mayor_Mov!$F$5:$F$445,Mayor_Mov!$N$5:$N$445,A40,Mayor_Mov!$B$5:$B$445,"21202040")-SUMIFS(Mayor_Mov!$E$5:$E$445,Mayor_Mov!$N$5:$N$445,A40,Mayor_Mov!$B$5:$B$445,"21202040")</f>
        <v>180971729</v>
      </c>
      <c r="G40" s="33" t="n">
        <f aca="false">IF(C40&lt;=0,0,IF(AND(ISNUMBER(D40),D40&lt;=DATE(2027,7,31)),C40,IF(ISNUMBER(E40),MIN(MAX(E40,0),C40),MIN(MAX(F40,0),C40))))</f>
        <v>130316947.737682</v>
      </c>
      <c r="H40" s="32" t="n">
        <f aca="false">SUMIFS(Detalle_62!$W$14:$W$35,Detalle_62!$C$14:$C$35,A40)</f>
        <v>206513651</v>
      </c>
      <c r="I40" s="33" t="n">
        <f aca="false">G40-H40</f>
        <v>-76196703.2623185</v>
      </c>
      <c r="J40" s="13" t="str">
        <f aca="false">IF(C40&lt;=0,"Sin saldo",IF(AND(ISNUMBER(D40),D40&lt;=DATE(2027,7,31)),"Vence en 12 meses: todo corriente",IF(ISNUMBER(E40),"Capital próximos 12 meses según tabla","Sin tabla: se mantiene CP contable [P]")))</f>
        <v>Capital próximos 12 meses según tabla</v>
      </c>
    </row>
    <row r="41" customFormat="false" ht="15" hidden="false" customHeight="false" outlineLevel="0" collapsed="false">
      <c r="A41" s="34" t="s">
        <v>142</v>
      </c>
      <c r="B41" s="26" t="s">
        <v>1221</v>
      </c>
      <c r="C41" s="32" t="n">
        <f aca="false">Saldos_x_Obligacion!H28</f>
        <v>488525504</v>
      </c>
      <c r="D41" s="57" t="n">
        <f aca="false">IFERROR(INDEX(Detalle_62!$P$14:$P$35,MATCH(A41,Detalle_62!$C$14:$C$35,0)),"N/D")</f>
        <v>46960</v>
      </c>
      <c r="E41" s="32" t="n">
        <f aca="false">IFERROR(INDEX(Rev_Tablas_Amort!$V:$V,MATCH(A41,Rev_Tablas_Amort!$A:$A,0)),"Sin tabla")</f>
        <v>175036572</v>
      </c>
      <c r="F41" s="32" t="n">
        <f aca="false">SUMIFS(Mayor_Dic25!$G$5:$G$200,Mayor_Dic25!$J$5:$J$200,A41,Mayor_Dic25!$C$5:$C$200,"21202040")+SUMIFS(Mayor_Mov!$F$5:$F$445,Mayor_Mov!$N$5:$N$445,A41,Mayor_Mov!$B$5:$B$445,"21202040")-SUMIFS(Mayor_Mov!$E$5:$E$445,Mayor_Mov!$N$5:$N$445,A41,Mayor_Mov!$B$5:$B$445,"21202040")</f>
        <v>167112372</v>
      </c>
      <c r="G41" s="33" t="n">
        <f aca="false">IF(C41&lt;=0,0,IF(AND(ISNUMBER(D41),D41&lt;=DATE(2027,7,31)),C41,IF(ISNUMBER(E41),MIN(MAX(E41,0),C41),MIN(MAX(F41,0),C41))))</f>
        <v>175036572</v>
      </c>
      <c r="H41" s="32" t="n">
        <f aca="false">SUMIFS(Detalle_62!$W$14:$W$35,Detalle_62!$C$14:$C$35,A41)</f>
        <v>388559429</v>
      </c>
      <c r="I41" s="33" t="n">
        <f aca="false">G41-H41</f>
        <v>-213522857</v>
      </c>
      <c r="J41" s="13" t="str">
        <f aca="false">IF(C41&lt;=0,"Sin saldo",IF(AND(ISNUMBER(D41),D41&lt;=DATE(2027,7,31)),"Vence en 12 meses: todo corriente",IF(ISNUMBER(E41),"Capital próximos 12 meses según tabla","Sin tabla: se mantiene CP contable [P]")))</f>
        <v>Capital próximos 12 meses según tabla</v>
      </c>
    </row>
    <row r="42" customFormat="false" ht="15" hidden="false" customHeight="false" outlineLevel="0" collapsed="false">
      <c r="A42" s="34" t="s">
        <v>143</v>
      </c>
      <c r="B42" s="26" t="s">
        <v>1221</v>
      </c>
      <c r="C42" s="32" t="n">
        <f aca="false">Saldos_x_Obligacion!H29</f>
        <v>675837500</v>
      </c>
      <c r="D42" s="57" t="str">
        <f aca="false">IFERROR(INDEX(Detalle_62!$P$14:$P$35,MATCH(A42,Detalle_62!$C$14:$C$35,0)),"N/D")</f>
        <v>N/D</v>
      </c>
      <c r="E42" s="32" t="str">
        <f aca="false">IFERROR(INDEX(Rev_Tablas_Amort!$V:$V,MATCH(A42,Rev_Tablas_Amort!$A:$A,0)),"Sin tabla")</f>
        <v>Sin tabla</v>
      </c>
      <c r="F42" s="32" t="n">
        <f aca="false">SUMIFS(Mayor_Dic25!$G$5:$G$200,Mayor_Dic25!$J$5:$J$200,A42,Mayor_Dic25!$C$5:$C$200,"21202040")+SUMIFS(Mayor_Mov!$F$5:$F$445,Mayor_Mov!$N$5:$N$445,A42,Mayor_Mov!$B$5:$B$445,"21202040")-SUMIFS(Mayor_Mov!$E$5:$E$445,Mayor_Mov!$N$5:$N$445,A42,Mayor_Mov!$B$5:$B$445,"21202040")</f>
        <v>572363196</v>
      </c>
      <c r="G42" s="33" t="n">
        <f aca="false">IF(C42&lt;=0,0,IF(AND(ISNUMBER(D42),D42&lt;=DATE(2027,7,31)),C42,IF(ISNUMBER(E42),MIN(MAX(E42,0),C42),MIN(MAX(F42,0),C42))))</f>
        <v>572363196</v>
      </c>
      <c r="H42" s="32" t="n">
        <f aca="false">SUMIFS(Detalle_62!$W$14:$W$35,Detalle_62!$C$14:$C$35,A42)</f>
        <v>0</v>
      </c>
      <c r="I42" s="33" t="n">
        <f aca="false">G42-H42</f>
        <v>572363196</v>
      </c>
      <c r="J42" s="13" t="str">
        <f aca="false">IF(C42&lt;=0,"Sin saldo",IF(AND(ISNUMBER(D42),D42&lt;=DATE(2027,7,31)),"Vence en 12 meses: todo corriente",IF(ISNUMBER(E42),"Capital próximos 12 meses según tabla","Sin tabla: se mantiene CP contable [P]")))</f>
        <v>Sin tabla: se mantiene CP contable [P]</v>
      </c>
    </row>
    <row r="43" customFormat="false" ht="15" hidden="false" customHeight="false" outlineLevel="0" collapsed="false">
      <c r="A43" s="34" t="s">
        <v>145</v>
      </c>
      <c r="B43" s="26" t="s">
        <v>1221</v>
      </c>
      <c r="C43" s="32" t="n">
        <f aca="false">Saldos_x_Obligacion!H30</f>
        <v>0</v>
      </c>
      <c r="D43" s="57" t="str">
        <f aca="false">IFERROR(INDEX(Detalle_62!$P$14:$P$35,MATCH(A43,Detalle_62!$C$14:$C$35,0)),"N/D")</f>
        <v>N/D</v>
      </c>
      <c r="E43" s="32" t="str">
        <f aca="false">IFERROR(INDEX(Rev_Tablas_Amort!$V:$V,MATCH(A43,Rev_Tablas_Amort!$A:$A,0)),"Sin tabla")</f>
        <v>Sin tabla</v>
      </c>
      <c r="F43" s="32" t="n">
        <f aca="false">SUMIFS(Mayor_Dic25!$G$5:$G$200,Mayor_Dic25!$J$5:$J$200,A43,Mayor_Dic25!$C$5:$C$200,"21202040")+SUMIFS(Mayor_Mov!$F$5:$F$445,Mayor_Mov!$N$5:$N$445,A43,Mayor_Mov!$B$5:$B$445,"21202040")-SUMIFS(Mayor_Mov!$E$5:$E$445,Mayor_Mov!$N$5:$N$445,A43,Mayor_Mov!$B$5:$B$445,"21202040")</f>
        <v>0</v>
      </c>
      <c r="G43" s="33" t="n">
        <f aca="false">IF(C43&lt;=0,0,IF(AND(ISNUMBER(D43),D43&lt;=DATE(2027,7,31)),C43,IF(ISNUMBER(E43),MIN(MAX(E43,0),C43),MIN(MAX(F43,0),C43))))</f>
        <v>0</v>
      </c>
      <c r="H43" s="32" t="n">
        <f aca="false">SUMIFS(Detalle_62!$W$14:$W$35,Detalle_62!$C$14:$C$35,A43)</f>
        <v>0</v>
      </c>
      <c r="I43" s="33" t="n">
        <f aca="false">G43-H43</f>
        <v>0</v>
      </c>
      <c r="J43" s="13" t="str">
        <f aca="false">IF(C43&lt;=0,"Sin saldo",IF(AND(ISNUMBER(D43),D43&lt;=DATE(2027,7,31)),"Vence en 12 meses: todo corriente",IF(ISNUMBER(E43),"Capital próximos 12 meses según tabla","Sin tabla: se mantiene CP contable [P]")))</f>
        <v>Sin saldo</v>
      </c>
    </row>
    <row r="44" customFormat="false" ht="15" hidden="false" customHeight="false" outlineLevel="0" collapsed="false">
      <c r="A44" s="34" t="s">
        <v>146</v>
      </c>
      <c r="B44" s="26" t="s">
        <v>1221</v>
      </c>
      <c r="C44" s="32" t="n">
        <f aca="false">Saldos_x_Obligacion!H31</f>
        <v>0</v>
      </c>
      <c r="D44" s="57" t="str">
        <f aca="false">IFERROR(INDEX(Detalle_62!$P$14:$P$35,MATCH(A44,Detalle_62!$C$14:$C$35,0)),"N/D")</f>
        <v>N/D</v>
      </c>
      <c r="E44" s="32" t="str">
        <f aca="false">IFERROR(INDEX(Rev_Tablas_Amort!$V:$V,MATCH(A44,Rev_Tablas_Amort!$A:$A,0)),"Sin tabla")</f>
        <v>Sin tabla</v>
      </c>
      <c r="F44" s="32" t="n">
        <f aca="false">SUMIFS(Mayor_Dic25!$G$5:$G$200,Mayor_Dic25!$J$5:$J$200,A44,Mayor_Dic25!$C$5:$C$200,"21202040")+SUMIFS(Mayor_Mov!$F$5:$F$445,Mayor_Mov!$N$5:$N$445,A44,Mayor_Mov!$B$5:$B$445,"21202040")-SUMIFS(Mayor_Mov!$E$5:$E$445,Mayor_Mov!$N$5:$N$445,A44,Mayor_Mov!$B$5:$B$445,"21202040")</f>
        <v>0</v>
      </c>
      <c r="G44" s="33" t="n">
        <f aca="false">IF(C44&lt;=0,0,IF(AND(ISNUMBER(D44),D44&lt;=DATE(2027,7,31)),C44,IF(ISNUMBER(E44),MIN(MAX(E44,0),C44),MIN(MAX(F44,0),C44))))</f>
        <v>0</v>
      </c>
      <c r="H44" s="32" t="n">
        <f aca="false">SUMIFS(Detalle_62!$W$14:$W$35,Detalle_62!$C$14:$C$35,A44)</f>
        <v>0</v>
      </c>
      <c r="I44" s="33" t="n">
        <f aca="false">G44-H44</f>
        <v>0</v>
      </c>
      <c r="J44" s="13" t="str">
        <f aca="false">IF(C44&lt;=0,"Sin saldo",IF(AND(ISNUMBER(D44),D44&lt;=DATE(2027,7,31)),"Vence en 12 meses: todo corriente",IF(ISNUMBER(E44),"Capital próximos 12 meses según tabla","Sin tabla: se mantiene CP contable [P]")))</f>
        <v>Sin saldo</v>
      </c>
    </row>
    <row r="45" customFormat="false" ht="15" hidden="false" customHeight="false" outlineLevel="0" collapsed="false">
      <c r="A45" s="40" t="s">
        <v>96</v>
      </c>
      <c r="C45" s="41" t="n">
        <f aca="false">SUM(C18:C44)</f>
        <v>46204178294.33</v>
      </c>
      <c r="F45" s="41" t="n">
        <f aca="false">SUM(F18:F44)</f>
        <v>19096576720.4</v>
      </c>
      <c r="G45" s="41" t="n">
        <f aca="false">SUM(G18:G44)</f>
        <v>20673212376.4141</v>
      </c>
      <c r="H45" s="41" t="n">
        <f aca="false">SUM(H18:H44)</f>
        <v>21341498619.5403</v>
      </c>
      <c r="I45" s="41" t="n">
        <f aca="false">SUM(I18:I44)</f>
        <v>-668286243.126218</v>
      </c>
    </row>
    <row r="47" customFormat="false" ht="15" hidden="false" customHeight="false" outlineLevel="0" collapsed="false">
      <c r="A47" s="25" t="s">
        <v>2052</v>
      </c>
    </row>
    <row r="48" customFormat="false" ht="30" hidden="false" customHeight="true" outlineLevel="0" collapsed="false">
      <c r="A48" s="31" t="s">
        <v>1198</v>
      </c>
      <c r="B48" s="31" t="s">
        <v>2053</v>
      </c>
      <c r="C48" s="31" t="s">
        <v>2054</v>
      </c>
      <c r="D48" s="31" t="s">
        <v>2055</v>
      </c>
      <c r="E48" s="31" t="s">
        <v>2056</v>
      </c>
      <c r="F48" s="31"/>
      <c r="G48" s="31"/>
      <c r="H48" s="31"/>
      <c r="I48" s="31"/>
      <c r="J48" s="31" t="s">
        <v>2057</v>
      </c>
    </row>
    <row r="49" customFormat="false" ht="15" hidden="false" customHeight="false" outlineLevel="0" collapsed="false">
      <c r="A49" s="34" t="s">
        <v>129</v>
      </c>
      <c r="B49" s="32" t="n">
        <f aca="false">Detalle_62!F25</f>
        <v>381845387.419314</v>
      </c>
      <c r="C49" s="32" t="n">
        <f aca="false">Detalle_62!M25</f>
        <v>175631569.283009</v>
      </c>
      <c r="D49" s="32" t="n">
        <f aca="false">Detalle_62!N25</f>
        <v>459154383.928047</v>
      </c>
      <c r="E49" s="33" t="n">
        <f aca="false">C49+D49-B49</f>
        <v>252940565.791742</v>
      </c>
      <c r="J49" s="6" t="s">
        <v>2058</v>
      </c>
    </row>
    <row r="50" customFormat="false" ht="15" hidden="false" customHeight="false" outlineLevel="0" collapsed="false">
      <c r="A50" s="34" t="s">
        <v>135</v>
      </c>
      <c r="B50" s="32" t="n">
        <f aca="false">Detalle_62!F30</f>
        <v>287500000</v>
      </c>
      <c r="C50" s="32" t="n">
        <f aca="false">Detalle_62!M30</f>
        <v>575000000</v>
      </c>
      <c r="D50" s="32" t="n">
        <f aca="false">Detalle_62!N30</f>
        <v>-287500000</v>
      </c>
      <c r="E50" s="33" t="n">
        <f aca="false">C50+D50-B50</f>
        <v>0</v>
      </c>
      <c r="J50" s="6" t="s">
        <v>2059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55"/>
    <col collapsed="false" customWidth="true" hidden="false" outlineLevel="0" max="7" min="7" style="0" width="24"/>
  </cols>
  <sheetData>
    <row r="1" customFormat="false" ht="16.15" hidden="false" customHeight="false" outlineLevel="0" collapsed="false">
      <c r="A1" s="23" t="s">
        <v>2060</v>
      </c>
    </row>
    <row r="2" customFormat="false" ht="15" hidden="false" customHeight="false" outlineLevel="0" collapsed="false">
      <c r="A2" s="24" t="s">
        <v>2061</v>
      </c>
    </row>
    <row r="4" customFormat="false" ht="30" hidden="false" customHeight="true" outlineLevel="0" collapsed="false">
      <c r="A4" s="31" t="s">
        <v>51</v>
      </c>
      <c r="B4" s="31" t="s">
        <v>2062</v>
      </c>
      <c r="C4" s="31" t="s">
        <v>2063</v>
      </c>
      <c r="D4" s="31" t="s">
        <v>2064</v>
      </c>
      <c r="E4" s="31" t="s">
        <v>2065</v>
      </c>
      <c r="F4" s="31" t="s">
        <v>2066</v>
      </c>
      <c r="G4" s="31" t="s">
        <v>227</v>
      </c>
    </row>
    <row r="5" customFormat="false" ht="63.75" hidden="false" customHeight="true" outlineLevel="0" collapsed="false">
      <c r="A5" s="26" t="n">
        <v>1</v>
      </c>
      <c r="B5" s="13" t="s">
        <v>30</v>
      </c>
      <c r="C5" s="13" t="s">
        <v>2067</v>
      </c>
      <c r="D5" s="32" t="n">
        <f aca="false">Cruce_Detalle_Mayor!F14</f>
        <v>675837500</v>
      </c>
      <c r="E5" s="13" t="s">
        <v>2068</v>
      </c>
      <c r="F5" s="13" t="s">
        <v>2069</v>
      </c>
      <c r="G5" s="12" t="s">
        <v>2070</v>
      </c>
    </row>
    <row r="6" customFormat="false" ht="63.75" hidden="false" customHeight="true" outlineLevel="0" collapsed="false">
      <c r="A6" s="26" t="n">
        <v>2</v>
      </c>
      <c r="B6" s="13" t="s">
        <v>2071</v>
      </c>
      <c r="C6" s="13" t="s">
        <v>2072</v>
      </c>
      <c r="D6" s="32" t="n">
        <f aca="false">Cruce_Detalle_Mayor!F7</f>
        <v>1018266176.70086</v>
      </c>
      <c r="E6" s="13" t="s">
        <v>2073</v>
      </c>
      <c r="F6" s="13" t="s">
        <v>2074</v>
      </c>
      <c r="G6" s="71" t="s">
        <v>2075</v>
      </c>
    </row>
    <row r="7" customFormat="false" ht="63.75" hidden="false" customHeight="true" outlineLevel="0" collapsed="false">
      <c r="A7" s="26" t="n">
        <v>3</v>
      </c>
      <c r="B7" s="13" t="s">
        <v>2076</v>
      </c>
      <c r="C7" s="13" t="s">
        <v>2077</v>
      </c>
      <c r="D7" s="32" t="n">
        <f aca="false">SUMIFS(Saldos_x_Obligacion!$P$5:$P$31,Saldos_x_Obligacion!$A$5:$A$31,"BCL-L3*")</f>
        <v>46287958.1583006</v>
      </c>
      <c r="E7" s="13" t="s">
        <v>2078</v>
      </c>
      <c r="F7" s="13" t="s">
        <v>2079</v>
      </c>
      <c r="G7" s="71" t="s">
        <v>2080</v>
      </c>
    </row>
    <row r="8" customFormat="false" ht="63.75" hidden="false" customHeight="true" outlineLevel="0" collapsed="false">
      <c r="A8" s="26" t="n">
        <v>4</v>
      </c>
      <c r="B8" s="13" t="s">
        <v>2076</v>
      </c>
      <c r="C8" s="13" t="s">
        <v>2081</v>
      </c>
      <c r="D8" s="32" t="n">
        <f aca="false">-Certificados!$L$23</f>
        <v>171608254.364557</v>
      </c>
      <c r="E8" s="13" t="s">
        <v>2078</v>
      </c>
      <c r="F8" s="13" t="s">
        <v>2082</v>
      </c>
      <c r="G8" s="12" t="s">
        <v>2070</v>
      </c>
    </row>
    <row r="9" customFormat="false" ht="63.75" hidden="false" customHeight="true" outlineLevel="0" collapsed="false">
      <c r="A9" s="26" t="n">
        <v>5</v>
      </c>
      <c r="B9" s="13" t="s">
        <v>2083</v>
      </c>
      <c r="C9" s="13" t="s">
        <v>2084</v>
      </c>
      <c r="D9" s="32" t="n">
        <f aca="false">Recalculo_Intereses!K47</f>
        <v>187705390.203176</v>
      </c>
      <c r="E9" s="13" t="s">
        <v>2085</v>
      </c>
      <c r="F9" s="13" t="s">
        <v>2086</v>
      </c>
      <c r="G9" s="71" t="s">
        <v>2087</v>
      </c>
    </row>
    <row r="10" customFormat="false" ht="63.75" hidden="false" customHeight="true" outlineLevel="0" collapsed="false">
      <c r="A10" s="26" t="n">
        <v>6</v>
      </c>
      <c r="B10" s="13" t="s">
        <v>2076</v>
      </c>
      <c r="C10" s="13" t="s">
        <v>2088</v>
      </c>
      <c r="D10" s="32" t="n">
        <f aca="false">Recalculo_Intereses!K7+Recalculo_Intereses!K8</f>
        <v>-51336719.6488978</v>
      </c>
      <c r="E10" s="13" t="s">
        <v>2089</v>
      </c>
      <c r="F10" s="13" t="s">
        <v>2090</v>
      </c>
      <c r="G10" s="71" t="s">
        <v>2091</v>
      </c>
    </row>
    <row r="11" customFormat="false" ht="63.75" hidden="false" customHeight="true" outlineLevel="0" collapsed="false">
      <c r="A11" s="26" t="n">
        <v>7</v>
      </c>
      <c r="B11" s="13" t="s">
        <v>2092</v>
      </c>
      <c r="C11" s="13" t="s">
        <v>2093</v>
      </c>
      <c r="D11" s="33" t="s">
        <v>2094</v>
      </c>
      <c r="E11" s="13" t="s">
        <v>2095</v>
      </c>
      <c r="F11" s="13" t="s">
        <v>2096</v>
      </c>
      <c r="G11" s="12" t="s">
        <v>2070</v>
      </c>
    </row>
    <row r="12" customFormat="false" ht="63.75" hidden="false" customHeight="true" outlineLevel="0" collapsed="false">
      <c r="A12" s="26" t="n">
        <v>8</v>
      </c>
      <c r="B12" s="13" t="s">
        <v>2097</v>
      </c>
      <c r="C12" s="13" t="s">
        <v>2098</v>
      </c>
      <c r="D12" s="32" t="n">
        <f aca="false">Clasif_CP_LP!B11+Clasif_CP_LP!B12</f>
        <v>1576635656.01412</v>
      </c>
      <c r="E12" s="13" t="s">
        <v>2099</v>
      </c>
      <c r="F12" s="13" t="s">
        <v>2100</v>
      </c>
      <c r="G12" s="71" t="s">
        <v>2101</v>
      </c>
    </row>
    <row r="13" customFormat="false" ht="63.75" hidden="false" customHeight="true" outlineLevel="0" collapsed="false">
      <c r="A13" s="26" t="n">
        <v>9</v>
      </c>
      <c r="B13" s="13" t="s">
        <v>2097</v>
      </c>
      <c r="C13" s="13" t="s">
        <v>2102</v>
      </c>
      <c r="D13" s="32" t="n">
        <f aca="false">Clasif_CP_LP!B13</f>
        <v>31135731.73</v>
      </c>
      <c r="E13" s="13" t="s">
        <v>2103</v>
      </c>
      <c r="F13" s="13" t="s">
        <v>2104</v>
      </c>
      <c r="G13" s="12" t="s">
        <v>2070</v>
      </c>
    </row>
    <row r="14" customFormat="false" ht="63.75" hidden="false" customHeight="true" outlineLevel="0" collapsed="false">
      <c r="A14" s="26" t="n">
        <v>10</v>
      </c>
      <c r="B14" s="13" t="s">
        <v>2076</v>
      </c>
      <c r="C14" s="13" t="s">
        <v>2105</v>
      </c>
      <c r="D14" s="33" t="n">
        <f aca="false">127.57+269.47+627.79+617.95+786.8</f>
        <v>2429.58</v>
      </c>
      <c r="E14" s="13" t="s">
        <v>2106</v>
      </c>
      <c r="F14" s="13" t="s">
        <v>2107</v>
      </c>
      <c r="G14" s="12" t="s">
        <v>2070</v>
      </c>
    </row>
    <row r="15" customFormat="false" ht="63.75" hidden="false" customHeight="true" outlineLevel="0" collapsed="false">
      <c r="A15" s="26" t="n">
        <v>11</v>
      </c>
      <c r="B15" s="13" t="s">
        <v>2108</v>
      </c>
      <c r="C15" s="13" t="s">
        <v>2109</v>
      </c>
      <c r="D15" s="39" t="n">
        <v>11973677</v>
      </c>
      <c r="E15" s="13" t="s">
        <v>2078</v>
      </c>
      <c r="F15" s="13" t="s">
        <v>2110</v>
      </c>
      <c r="G15" s="71" t="s">
        <v>2111</v>
      </c>
    </row>
    <row r="16" customFormat="false" ht="63.75" hidden="false" customHeight="true" outlineLevel="0" collapsed="false">
      <c r="A16" s="26" t="n">
        <v>12</v>
      </c>
      <c r="B16" s="13" t="s">
        <v>2112</v>
      </c>
      <c r="C16" s="13" t="s">
        <v>2113</v>
      </c>
      <c r="D16" s="33" t="n">
        <f aca="false">4068134+31360500+8261283</f>
        <v>43689917</v>
      </c>
      <c r="E16" s="13" t="s">
        <v>2114</v>
      </c>
      <c r="F16" s="13" t="s">
        <v>2115</v>
      </c>
      <c r="G16" s="12" t="s">
        <v>2070</v>
      </c>
    </row>
    <row r="17" customFormat="false" ht="63.75" hidden="false" customHeight="true" outlineLevel="0" collapsed="false">
      <c r="A17" s="26" t="n">
        <v>13</v>
      </c>
      <c r="B17" s="13" t="s">
        <v>2116</v>
      </c>
      <c r="C17" s="13" t="s">
        <v>2117</v>
      </c>
      <c r="D17" s="32" t="n">
        <f aca="false">Certificados!K34</f>
        <v>6758520534.1583</v>
      </c>
      <c r="E17" s="13" t="s">
        <v>2118</v>
      </c>
      <c r="F17" s="13" t="s">
        <v>2119</v>
      </c>
      <c r="G17" s="71" t="s">
        <v>2120</v>
      </c>
    </row>
    <row r="18" customFormat="false" ht="63.75" hidden="false" customHeight="true" outlineLevel="0" collapsed="false">
      <c r="A18" s="26" t="n">
        <v>14</v>
      </c>
      <c r="B18" s="13" t="s">
        <v>2092</v>
      </c>
      <c r="C18" s="13" t="s">
        <v>2121</v>
      </c>
      <c r="D18" s="33" t="s">
        <v>2094</v>
      </c>
      <c r="E18" s="13" t="s">
        <v>2122</v>
      </c>
      <c r="F18" s="13" t="s">
        <v>2123</v>
      </c>
      <c r="G18" s="12" t="s">
        <v>2070</v>
      </c>
    </row>
    <row r="19" customFormat="false" ht="63.75" hidden="false" customHeight="true" outlineLevel="0" collapsed="false">
      <c r="A19" s="26" t="n">
        <v>15</v>
      </c>
      <c r="B19" s="13" t="s">
        <v>2124</v>
      </c>
      <c r="C19" s="13" t="s">
        <v>2125</v>
      </c>
      <c r="D19" s="33" t="s">
        <v>2094</v>
      </c>
      <c r="E19" s="13" t="s">
        <v>2126</v>
      </c>
      <c r="F19" s="13" t="s">
        <v>2127</v>
      </c>
      <c r="G19" s="71" t="s">
        <v>2128</v>
      </c>
    </row>
    <row r="20" customFormat="false" ht="63.75" hidden="false" customHeight="true" outlineLevel="0" collapsed="false">
      <c r="A20" s="26" t="n">
        <v>16</v>
      </c>
      <c r="B20" s="13" t="s">
        <v>2112</v>
      </c>
      <c r="C20" s="13" t="s">
        <v>2129</v>
      </c>
      <c r="D20" s="33" t="s">
        <v>2094</v>
      </c>
      <c r="E20" s="13" t="s">
        <v>2130</v>
      </c>
      <c r="F20" s="13" t="s">
        <v>2131</v>
      </c>
      <c r="G20" s="12" t="s">
        <v>2070</v>
      </c>
    </row>
    <row r="21" customFormat="false" ht="63.75" hidden="false" customHeight="true" outlineLevel="0" collapsed="false">
      <c r="A21" s="26" t="n">
        <v>17</v>
      </c>
      <c r="B21" s="13" t="s">
        <v>30</v>
      </c>
      <c r="C21" s="13" t="s">
        <v>2132</v>
      </c>
      <c r="D21" s="32" t="n">
        <f aca="false">Cruce_Mov_Balance!H12</f>
        <v>-2.60770320892334E-008</v>
      </c>
      <c r="E21" s="13" t="s">
        <v>2133</v>
      </c>
      <c r="F21" s="13" t="s">
        <v>2134</v>
      </c>
      <c r="G21" s="12" t="s">
        <v>2070</v>
      </c>
    </row>
    <row r="22" customFormat="false" ht="63.75" hidden="false" customHeight="true" outlineLevel="0" collapsed="false">
      <c r="A22" s="26" t="n">
        <v>18</v>
      </c>
      <c r="B22" s="13" t="s">
        <v>30</v>
      </c>
      <c r="C22" s="13" t="s">
        <v>2135</v>
      </c>
      <c r="D22" s="32" t="n">
        <f aca="false">SUMIFS(Saldos_x_Obligacion!$H$5:$H$31,Saldos_x_Obligacion!$A$5:$A$31,"DAV-LGECOLSA")</f>
        <v>213861900</v>
      </c>
      <c r="E22" s="13" t="s">
        <v>2136</v>
      </c>
      <c r="F22" s="13" t="s">
        <v>2137</v>
      </c>
      <c r="G22" s="71" t="s">
        <v>2138</v>
      </c>
    </row>
    <row r="23" customFormat="false" ht="63.75" hidden="false" customHeight="true" outlineLevel="0" collapsed="false">
      <c r="A23" s="26" t="n">
        <v>19</v>
      </c>
      <c r="B23" s="13" t="s">
        <v>2139</v>
      </c>
      <c r="C23" s="13" t="s">
        <v>2140</v>
      </c>
      <c r="D23" s="32" t="n">
        <f aca="false">SUMIFS(Rev_Tablas_Amort!R5:R29,Rev_Tablas_Amort!F5:F29,"Leasing")</f>
        <v>-101289083.236752</v>
      </c>
      <c r="E23" s="13" t="s">
        <v>2141</v>
      </c>
      <c r="F23" s="13" t="s">
        <v>2142</v>
      </c>
      <c r="G23" s="12" t="s">
        <v>2070</v>
      </c>
    </row>
    <row r="24" customFormat="false" ht="63.75" hidden="false" customHeight="true" outlineLevel="0" collapsed="false">
      <c r="A24" s="26" t="n">
        <v>20</v>
      </c>
      <c r="B24" s="13" t="s">
        <v>2143</v>
      </c>
      <c r="C24" s="13" t="s">
        <v>2144</v>
      </c>
      <c r="D24" s="32" t="n">
        <f aca="false">ABS('A21-362095'!E17)</f>
        <v>48757159.1341134</v>
      </c>
      <c r="E24" s="13" t="s">
        <v>2078</v>
      </c>
      <c r="F24" s="13" t="s">
        <v>2145</v>
      </c>
      <c r="G24" s="71" t="s">
        <v>2146</v>
      </c>
    </row>
    <row r="25" customFormat="false" ht="63.75" hidden="false" customHeight="true" outlineLevel="0" collapsed="false">
      <c r="A25" s="26" t="n">
        <v>21</v>
      </c>
      <c r="B25" s="13" t="s">
        <v>2143</v>
      </c>
      <c r="C25" s="13" t="s">
        <v>2147</v>
      </c>
      <c r="D25" s="33" t="s">
        <v>2094</v>
      </c>
      <c r="E25" s="13" t="s">
        <v>2148</v>
      </c>
      <c r="F25" s="13" t="s">
        <v>2149</v>
      </c>
      <c r="G25" s="71" t="s">
        <v>2150</v>
      </c>
    </row>
    <row r="26" customFormat="false" ht="63.75" hidden="false" customHeight="true" outlineLevel="0" collapsed="false">
      <c r="A26" s="26" t="n">
        <v>22</v>
      </c>
      <c r="B26" s="13" t="s">
        <v>2151</v>
      </c>
      <c r="C26" s="13" t="s">
        <v>2152</v>
      </c>
      <c r="D26" s="32" t="n">
        <f aca="false">INDEX(Rev_Tablas_Amort!AA:AA,MATCH("DAV-830624",Rev_Tablas_Amort!A:A,0))</f>
        <v>-2240162500</v>
      </c>
      <c r="E26" s="13" t="s">
        <v>2153</v>
      </c>
      <c r="F26" s="13" t="s">
        <v>2154</v>
      </c>
      <c r="G26" s="71" t="s">
        <v>2146</v>
      </c>
    </row>
    <row r="27" customFormat="false" ht="63.75" hidden="false" customHeight="true" outlineLevel="0" collapsed="false">
      <c r="A27" s="26" t="n">
        <v>23</v>
      </c>
      <c r="B27" s="13" t="s">
        <v>39</v>
      </c>
      <c r="C27" s="13" t="s">
        <v>2155</v>
      </c>
      <c r="D27" s="39" t="n">
        <v>72300000000</v>
      </c>
      <c r="E27" s="13" t="s">
        <v>2156</v>
      </c>
      <c r="F27" s="13" t="s">
        <v>2157</v>
      </c>
      <c r="G27" s="71" t="s">
        <v>2158</v>
      </c>
    </row>
    <row r="28" customFormat="false" ht="63.75" hidden="false" customHeight="true" outlineLevel="0" collapsed="false">
      <c r="A28" s="26" t="n">
        <v>24</v>
      </c>
      <c r="B28" s="13" t="s">
        <v>2159</v>
      </c>
      <c r="C28" s="13" t="s">
        <v>2160</v>
      </c>
      <c r="D28" s="33" t="s">
        <v>2094</v>
      </c>
      <c r="E28" s="13" t="s">
        <v>2161</v>
      </c>
      <c r="F28" s="13" t="s">
        <v>2162</v>
      </c>
      <c r="G28" s="71" t="s">
        <v>2101</v>
      </c>
    </row>
    <row r="30" customFormat="false" ht="15" hidden="false" customHeight="false" outlineLevel="0" collapsed="false">
      <c r="A30" s="46" t="s">
        <v>2163</v>
      </c>
      <c r="B30" s="47"/>
      <c r="C30" s="47"/>
      <c r="D30" s="47"/>
      <c r="E30" s="47"/>
      <c r="F30" s="47"/>
    </row>
    <row r="31" customFormat="false" ht="30" hidden="false" customHeight="true" outlineLevel="0" collapsed="false">
      <c r="A31" s="31" t="s">
        <v>162</v>
      </c>
      <c r="B31" s="31" t="s">
        <v>163</v>
      </c>
      <c r="C31" s="31" t="s">
        <v>100</v>
      </c>
      <c r="D31" s="31" t="s">
        <v>164</v>
      </c>
      <c r="E31" s="31" t="s">
        <v>165</v>
      </c>
      <c r="F31" s="31" t="s">
        <v>1636</v>
      </c>
    </row>
    <row r="32" customFormat="false" ht="15" hidden="false" customHeight="false" outlineLevel="0" collapsed="false">
      <c r="A32" s="26" t="s">
        <v>2164</v>
      </c>
      <c r="B32" s="38" t="s">
        <v>1143</v>
      </c>
      <c r="C32" s="26" t="s">
        <v>2165</v>
      </c>
      <c r="D32" s="32" t="n">
        <f aca="false">Recalculo_Intereses!K48</f>
        <v>156729925.975577</v>
      </c>
      <c r="E32" s="33"/>
      <c r="F32" s="13" t="s">
        <v>2166</v>
      </c>
    </row>
    <row r="33" customFormat="false" ht="15" hidden="false" customHeight="false" outlineLevel="0" collapsed="false">
      <c r="A33" s="26" t="s">
        <v>2164</v>
      </c>
      <c r="B33" s="38" t="s">
        <v>865</v>
      </c>
      <c r="C33" s="26" t="s">
        <v>2167</v>
      </c>
      <c r="D33" s="33"/>
      <c r="E33" s="32" t="n">
        <f aca="false">Recalculo_Intereses!K48</f>
        <v>156729925.975577</v>
      </c>
      <c r="F33" s="13"/>
    </row>
    <row r="34" customFormat="false" ht="15" hidden="false" customHeight="false" outlineLevel="0" collapsed="false">
      <c r="A34" s="26" t="s">
        <v>2164</v>
      </c>
      <c r="B34" s="38" t="s">
        <v>1145</v>
      </c>
      <c r="C34" s="26" t="s">
        <v>2168</v>
      </c>
      <c r="D34" s="32" t="n">
        <f aca="false">Recalculo_Intereses!K49</f>
        <v>30975464.2275983</v>
      </c>
      <c r="E34" s="33"/>
      <c r="F34" s="13" t="s">
        <v>2169</v>
      </c>
    </row>
    <row r="35" customFormat="false" ht="15" hidden="false" customHeight="false" outlineLevel="0" collapsed="false">
      <c r="A35" s="26" t="s">
        <v>2164</v>
      </c>
      <c r="B35" s="38" t="s">
        <v>983</v>
      </c>
      <c r="C35" s="26" t="s">
        <v>2170</v>
      </c>
      <c r="D35" s="33"/>
      <c r="E35" s="32" t="n">
        <f aca="false">Recalculo_Intereses!K49</f>
        <v>30975464.2275983</v>
      </c>
      <c r="F35" s="13"/>
    </row>
    <row r="36" customFormat="false" ht="15" hidden="false" customHeight="false" outlineLevel="0" collapsed="false">
      <c r="A36" s="26" t="s">
        <v>2171</v>
      </c>
      <c r="B36" s="38" t="s">
        <v>310</v>
      </c>
      <c r="C36" s="26" t="s">
        <v>2172</v>
      </c>
      <c r="D36" s="32" t="n">
        <f aca="false">Clasif_CP_LP!B11</f>
        <v>694500001.666668</v>
      </c>
      <c r="E36" s="33"/>
      <c r="F36" s="13" t="s">
        <v>2173</v>
      </c>
    </row>
    <row r="37" customFormat="false" ht="15" hidden="false" customHeight="false" outlineLevel="0" collapsed="false">
      <c r="A37" s="26" t="s">
        <v>2171</v>
      </c>
      <c r="B37" s="38" t="s">
        <v>290</v>
      </c>
      <c r="C37" s="26" t="s">
        <v>2174</v>
      </c>
      <c r="D37" s="33"/>
      <c r="E37" s="32" t="n">
        <f aca="false">Clasif_CP_LP!B11</f>
        <v>694500001.666668</v>
      </c>
      <c r="F37" s="13"/>
    </row>
    <row r="38" customFormat="false" ht="15" hidden="false" customHeight="false" outlineLevel="0" collapsed="false">
      <c r="A38" s="26" t="s">
        <v>2171</v>
      </c>
      <c r="B38" s="38" t="s">
        <v>763</v>
      </c>
      <c r="C38" s="26" t="s">
        <v>2175</v>
      </c>
      <c r="D38" s="32" t="n">
        <f aca="false">Clasif_CP_LP!B12</f>
        <v>882135654.347453</v>
      </c>
      <c r="E38" s="33"/>
      <c r="F38" s="13"/>
    </row>
    <row r="39" customFormat="false" ht="15" hidden="false" customHeight="false" outlineLevel="0" collapsed="false">
      <c r="A39" s="26" t="s">
        <v>2171</v>
      </c>
      <c r="B39" s="38" t="s">
        <v>746</v>
      </c>
      <c r="C39" s="26" t="s">
        <v>2176</v>
      </c>
      <c r="D39" s="33"/>
      <c r="E39" s="32" t="n">
        <f aca="false">Clasif_CP_LP!B12</f>
        <v>882135654.347453</v>
      </c>
      <c r="F39" s="13"/>
    </row>
    <row r="40" customFormat="false" ht="15" hidden="false" customHeight="false" outlineLevel="0" collapsed="false">
      <c r="C40" s="40" t="s">
        <v>2177</v>
      </c>
      <c r="D40" s="41" t="n">
        <f aca="false">SUM(D32:D39)</f>
        <v>1764341046.2173</v>
      </c>
      <c r="E40" s="41" t="n">
        <f aca="false">SUM(E32:E39)</f>
        <v>1764341046.2173</v>
      </c>
    </row>
    <row r="41" customFormat="false" ht="15" hidden="false" customHeight="false" outlineLevel="0" collapsed="false">
      <c r="C41" s="24" t="s">
        <v>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23" t="s">
        <v>2179</v>
      </c>
    </row>
    <row r="2" customFormat="false" ht="15" hidden="false" customHeight="false" outlineLevel="0" collapsed="false">
      <c r="A2" s="24" t="s">
        <v>2180</v>
      </c>
    </row>
    <row r="4" customFormat="false" ht="36" hidden="false" customHeight="true" outlineLevel="0" collapsed="false">
      <c r="A4" s="31" t="s">
        <v>2181</v>
      </c>
      <c r="B4" s="31" t="s">
        <v>2182</v>
      </c>
      <c r="C4" s="31" t="s">
        <v>2183</v>
      </c>
      <c r="D4" s="31" t="s">
        <v>2184</v>
      </c>
      <c r="E4" s="31" t="s">
        <v>2185</v>
      </c>
      <c r="F4" s="31" t="s">
        <v>2186</v>
      </c>
      <c r="G4" s="31" t="s">
        <v>227</v>
      </c>
      <c r="H4" s="31" t="s">
        <v>2187</v>
      </c>
    </row>
    <row r="5" customFormat="false" ht="51.75" hidden="false" customHeight="true" outlineLevel="0" collapsed="false">
      <c r="A5" s="34" t="s">
        <v>2188</v>
      </c>
      <c r="B5" s="13" t="s">
        <v>2189</v>
      </c>
      <c r="C5" s="13" t="s">
        <v>2190</v>
      </c>
      <c r="D5" s="32" t="n">
        <f aca="false">Recalculo_Intereses!K58</f>
        <v>2605824073.83539</v>
      </c>
      <c r="E5" s="26" t="s">
        <v>2191</v>
      </c>
      <c r="F5" s="13" t="s">
        <v>1309</v>
      </c>
      <c r="G5" s="71" t="s">
        <v>2192</v>
      </c>
      <c r="H5" s="13" t="s">
        <v>2193</v>
      </c>
    </row>
    <row r="6" customFormat="false" ht="51.75" hidden="false" customHeight="true" outlineLevel="0" collapsed="false">
      <c r="A6" s="34" t="s">
        <v>2194</v>
      </c>
      <c r="B6" s="13" t="s">
        <v>2195</v>
      </c>
      <c r="C6" s="13" t="s">
        <v>2196</v>
      </c>
      <c r="D6" s="32" t="n">
        <f aca="false">Cruce_Detalle_Mayor!F16</f>
        <v>171608255.694557</v>
      </c>
      <c r="E6" s="26" t="s">
        <v>2197</v>
      </c>
      <c r="F6" s="13" t="s">
        <v>1293</v>
      </c>
      <c r="G6" s="71" t="s">
        <v>2192</v>
      </c>
      <c r="H6" s="13" t="s">
        <v>2198</v>
      </c>
    </row>
    <row r="7" customFormat="false" ht="51.75" hidden="false" customHeight="true" outlineLevel="0" collapsed="false">
      <c r="A7" s="34" t="s">
        <v>2199</v>
      </c>
      <c r="B7" s="13" t="s">
        <v>2200</v>
      </c>
      <c r="C7" s="13" t="s">
        <v>137</v>
      </c>
      <c r="D7" s="32" t="n">
        <f aca="false">SUMIFS(Recalculo_Intereses!K24:K46,Recalculo_Intereses!A24:A46,"BBVA-0141")</f>
        <v>50972239.5760856</v>
      </c>
      <c r="E7" s="26" t="s">
        <v>2201</v>
      </c>
      <c r="F7" s="13" t="s">
        <v>2202</v>
      </c>
      <c r="G7" s="71" t="s">
        <v>2203</v>
      </c>
      <c r="H7" s="13" t="s">
        <v>2204</v>
      </c>
    </row>
    <row r="8" customFormat="false" ht="51.75" hidden="false" customHeight="true" outlineLevel="0" collapsed="false">
      <c r="A8" s="34" t="s">
        <v>2205</v>
      </c>
      <c r="B8" s="13" t="s">
        <v>2206</v>
      </c>
      <c r="C8" s="13" t="s">
        <v>135</v>
      </c>
      <c r="D8" s="32" t="n">
        <f aca="false">SUMIFS(Detalle_62!$F$14:$F$35,Detalle_62!$C$14:$C$35,"POP-631309940")</f>
        <v>287500000</v>
      </c>
      <c r="E8" s="26" t="s">
        <v>2207</v>
      </c>
      <c r="F8" s="13" t="s">
        <v>134</v>
      </c>
      <c r="G8" s="71" t="s">
        <v>2203</v>
      </c>
      <c r="H8" s="13" t="s">
        <v>2208</v>
      </c>
    </row>
    <row r="9" customFormat="false" ht="51.75" hidden="false" customHeight="true" outlineLevel="0" collapsed="false">
      <c r="A9" s="34" t="s">
        <v>2209</v>
      </c>
      <c r="B9" s="13" t="s">
        <v>2210</v>
      </c>
      <c r="C9" s="13" t="s">
        <v>127</v>
      </c>
      <c r="D9" s="32" t="n">
        <f aca="false">SUMIFS(Recalculo_Intereses!K24:K46,Recalculo_Intereses!A24:A46,"BOG-1159383796")</f>
        <v>30518760.5171553</v>
      </c>
      <c r="E9" s="26" t="s">
        <v>2201</v>
      </c>
      <c r="F9" s="13" t="s">
        <v>1289</v>
      </c>
      <c r="G9" s="71" t="s">
        <v>2203</v>
      </c>
      <c r="H9" s="13" t="s">
        <v>2211</v>
      </c>
    </row>
    <row r="10" customFormat="false" ht="51.75" hidden="false" customHeight="true" outlineLevel="0" collapsed="false">
      <c r="A10" s="34" t="s">
        <v>2212</v>
      </c>
      <c r="B10" s="13" t="s">
        <v>2213</v>
      </c>
      <c r="C10" s="13" t="s">
        <v>2214</v>
      </c>
      <c r="D10" s="32" t="n">
        <f aca="false">Recalculo_Intereses!K7+Recalculo_Intereses!K8</f>
        <v>-51336719.6488978</v>
      </c>
      <c r="E10" s="26" t="s">
        <v>1112</v>
      </c>
      <c r="F10" s="13" t="s">
        <v>1285</v>
      </c>
      <c r="G10" s="71" t="s">
        <v>2203</v>
      </c>
      <c r="H10" s="13" t="s">
        <v>2215</v>
      </c>
    </row>
    <row r="11" customFormat="false" ht="51.75" hidden="false" customHeight="true" outlineLevel="0" collapsed="false">
      <c r="A11" s="34" t="s">
        <v>2216</v>
      </c>
      <c r="B11" s="13" t="s">
        <v>2217</v>
      </c>
      <c r="C11" s="13" t="s">
        <v>118</v>
      </c>
      <c r="D11" s="39" t="n">
        <v>11973677</v>
      </c>
      <c r="E11" s="26" t="s">
        <v>2218</v>
      </c>
      <c r="F11" s="13" t="s">
        <v>2219</v>
      </c>
      <c r="G11" s="71" t="s">
        <v>2220</v>
      </c>
      <c r="H11" s="13" t="s">
        <v>2221</v>
      </c>
    </row>
    <row r="12" customFormat="false" ht="51.75" hidden="false" customHeight="true" outlineLevel="0" collapsed="false">
      <c r="A12" s="34" t="s">
        <v>2222</v>
      </c>
      <c r="B12" s="13" t="s">
        <v>2223</v>
      </c>
      <c r="C12" s="13" t="s">
        <v>2224</v>
      </c>
      <c r="D12" s="32" t="n">
        <f aca="false">Clasif_CP_LP!B11+Clasif_CP_LP!B12</f>
        <v>1576635656.01412</v>
      </c>
      <c r="E12" s="26" t="s">
        <v>2225</v>
      </c>
      <c r="F12" s="13" t="s">
        <v>2219</v>
      </c>
      <c r="G12" s="71" t="s">
        <v>2226</v>
      </c>
      <c r="H12" s="13" t="s">
        <v>2227</v>
      </c>
    </row>
    <row r="13" customFormat="false" ht="51.75" hidden="false" customHeight="true" outlineLevel="0" collapsed="false">
      <c r="A13" s="34" t="s">
        <v>2228</v>
      </c>
      <c r="B13" s="13" t="s">
        <v>2229</v>
      </c>
      <c r="C13" s="13" t="s">
        <v>2133</v>
      </c>
      <c r="D13" s="33" t="s">
        <v>2094</v>
      </c>
      <c r="E13" s="26" t="s">
        <v>2230</v>
      </c>
      <c r="F13" s="13" t="s">
        <v>2231</v>
      </c>
      <c r="G13" s="71" t="s">
        <v>2203</v>
      </c>
      <c r="H13" s="13" t="s">
        <v>2232</v>
      </c>
    </row>
    <row r="14" customFormat="false" ht="51.75" hidden="false" customHeight="true" outlineLevel="0" collapsed="false">
      <c r="A14" s="34" t="s">
        <v>2233</v>
      </c>
      <c r="B14" s="13" t="s">
        <v>2234</v>
      </c>
      <c r="C14" s="13" t="s">
        <v>2235</v>
      </c>
      <c r="D14" s="32" t="n">
        <f aca="false">SUMIFS(Recalculo_Intereses!K24:K46,Recalculo_Intereses!A24:A46,"BCL-L*")+SUMIFS(Recalculo_Intereses!K24:K46,Recalculo_Intereses!A24:A46,"POP-*")</f>
        <v>12382575.0284055</v>
      </c>
      <c r="E14" s="26" t="s">
        <v>1110</v>
      </c>
      <c r="F14" s="13" t="s">
        <v>2236</v>
      </c>
      <c r="G14" s="71" t="s">
        <v>2203</v>
      </c>
      <c r="H14" s="13" t="s">
        <v>2237</v>
      </c>
    </row>
    <row r="15" customFormat="false" ht="51.75" hidden="false" customHeight="true" outlineLevel="0" collapsed="false">
      <c r="A15" s="34" t="s">
        <v>2238</v>
      </c>
      <c r="B15" s="13" t="s">
        <v>2239</v>
      </c>
      <c r="C15" s="13" t="s">
        <v>2240</v>
      </c>
      <c r="D15" s="33" t="s">
        <v>2094</v>
      </c>
      <c r="E15" s="26" t="s">
        <v>2241</v>
      </c>
      <c r="F15" s="13" t="s">
        <v>2219</v>
      </c>
      <c r="G15" s="71" t="s">
        <v>2203</v>
      </c>
      <c r="H15" s="13" t="s">
        <v>2242</v>
      </c>
    </row>
    <row r="16" customFormat="false" ht="51.75" hidden="false" customHeight="true" outlineLevel="0" collapsed="false">
      <c r="A16" s="34" t="s">
        <v>2243</v>
      </c>
      <c r="B16" s="13" t="s">
        <v>2244</v>
      </c>
      <c r="C16" s="13" t="s">
        <v>121</v>
      </c>
      <c r="D16" s="32" t="n">
        <f aca="false">SUMIFS(Saldos_x_Obligacion!$H$5:$H$31,Saldos_x_Obligacion!$A$5:$A$31,"DAV-LGECOLSA")</f>
        <v>213861900</v>
      </c>
      <c r="E16" s="26" t="s">
        <v>2245</v>
      </c>
      <c r="F16" s="13" t="s">
        <v>2246</v>
      </c>
      <c r="G16" s="71" t="s">
        <v>2203</v>
      </c>
      <c r="H16" s="13" t="s">
        <v>2247</v>
      </c>
    </row>
    <row r="17" customFormat="false" ht="51.75" hidden="false" customHeight="true" outlineLevel="0" collapsed="false">
      <c r="A17" s="34" t="s">
        <v>2248</v>
      </c>
      <c r="B17" s="13" t="s">
        <v>2249</v>
      </c>
      <c r="C17" s="13" t="s">
        <v>1952</v>
      </c>
      <c r="D17" s="39" t="n">
        <v>72300000000</v>
      </c>
      <c r="E17" s="26" t="s">
        <v>2250</v>
      </c>
      <c r="F17" s="13" t="s">
        <v>2251</v>
      </c>
      <c r="G17" s="71" t="s">
        <v>2203</v>
      </c>
      <c r="H17" s="13" t="s">
        <v>2252</v>
      </c>
    </row>
    <row r="18" customFormat="false" ht="51.75" hidden="false" customHeight="true" outlineLevel="0" collapsed="false">
      <c r="A18" s="34" t="s">
        <v>2253</v>
      </c>
      <c r="B18" s="13" t="s">
        <v>2254</v>
      </c>
      <c r="C18" s="13" t="s">
        <v>2255</v>
      </c>
      <c r="D18" s="33" t="s">
        <v>2094</v>
      </c>
      <c r="E18" s="26" t="s">
        <v>2256</v>
      </c>
      <c r="F18" s="13" t="s">
        <v>2219</v>
      </c>
      <c r="G18" s="71" t="s">
        <v>2203</v>
      </c>
      <c r="H18" s="13" t="s">
        <v>2257</v>
      </c>
    </row>
    <row r="20" customFormat="false" ht="15" hidden="false" customHeight="false" outlineLevel="0" collapsed="false">
      <c r="B20" s="40" t="s">
        <v>2258</v>
      </c>
      <c r="D20" s="69" t="n">
        <f aca="false">COUNTIF(G5:G18,"&lt;&gt;Recibido")</f>
        <v>14</v>
      </c>
    </row>
    <row r="21" customFormat="false" ht="15" hidden="false" customHeight="false" outlineLevel="0" collapsed="false">
      <c r="B21" s="24" t="s">
        <v>2259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2026-10-01T03:13:34Z</dcterms:created>
  <dc:creator>openpyxl</dc:creator>
  <dc:description/>
  <dc:language>en-US</dc:language>
  <cp:lastModifiedBy/>
  <dcterms:modified xsi:type="dcterms:W3CDTF">2026-10-01T03:13:37Z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