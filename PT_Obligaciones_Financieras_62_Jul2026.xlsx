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T_62" sheetId="1" state="visible" r:id="rId3"/>
    <sheet name="Resumen" sheetId="2" state="visible" r:id="rId4"/>
    <sheet name="Pruebas_Auditoria" sheetId="3" state="visible" r:id="rId5"/>
    <sheet name="Tablas_Amortizacion" sheetId="4" state="visible" r:id="rId6"/>
    <sheet name="Hallazgos" sheetId="5" state="visible" r:id="rId7"/>
    <sheet name="Pendientes" sheetId="6" state="visible" r:id="rId8"/>
    <sheet name="Cruce_Detalle_Mayor" sheetId="7" state="visible" r:id="rId9"/>
    <sheet name="Intereses_x_Obligacion" sheetId="8" state="visible" r:id="rId10"/>
    <sheet name="Clasif_CP_LP" sheetId="9" state="visible" r:id="rId11"/>
    <sheet name="Gasto_Intereses" sheetId="10" state="visible" r:id="rId12"/>
    <sheet name="Detalle_62" sheetId="11" state="visible" r:id="rId13"/>
    <sheet name="Mayor_Dic25" sheetId="12" state="visible" r:id="rId14"/>
    <sheet name="Mayor_Mov" sheetId="13" state="visible" r:id="rId15"/>
    <sheet name="Balance_21" sheetId="14" state="visible" r:id="rId16"/>
    <sheet name="Int_Glosas" sheetId="15" state="visible" r:id="rId17"/>
  </sheets>
  <definedNames>
    <definedName function="false" hidden="true" localSheetId="12" name="_xlnm._FilterDatabase" vbProcedure="false">Mayor_Mov!$A$4:$P$445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Supuesto de auditoría: diferencias de hasta $1.000 se consideran redondeo. Ajustar según la materialidad del encargo.</t>
        </r>
      </text>
    </comment>
    <comment ref="C7" authorId="0">
      <text>
        <r>
          <rPr>
            <sz val="10"/>
            <rFont val="Arial"/>
            <family val="2"/>
          </rPr>
          <t xml:space="preserve">Supuesto de auditoría: ±2% por diferencias de convención (días/base, fecha de fijación del IBR/DTF).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85" authorId="0">
      <text>
        <r>
          <rPr>
            <sz val="10"/>
            <rFont val="Arial"/>
            <family val="2"/>
          </rPr>
          <t xml:space="preserve">Valor según mayor (NB-00001014, 28-jul-26), no incluido en el detalle 62.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0" authorId="0">
      <text>
        <r>
          <rPr>
            <sz val="10"/>
            <rFont val="Arial"/>
            <family val="2"/>
          </rPr>
          <t xml:space="preserve">Comparación cuenta a cuenta de las 1.268 cuentas de ambos archivos realizada por auditoría (script). Resultado: 0 diferencias.</t>
        </r>
      </text>
    </comment>
  </commentList>
</comments>
</file>

<file path=xl/sharedStrings.xml><?xml version="1.0" encoding="utf-8"?>
<sst xmlns="http://schemas.openxmlformats.org/spreadsheetml/2006/main" count="9645" uniqueCount="2332">
  <si>
    <t xml:space="preserve">GUAICARAMO S.A.S.</t>
  </si>
  <si>
    <t xml:space="preserve">CLIENTE:</t>
  </si>
  <si>
    <t xml:space="preserve">PREPARADO:</t>
  </si>
  <si>
    <t xml:space="preserve">REVISADO:</t>
  </si>
  <si>
    <t xml:space="preserve">Ref. PT</t>
  </si>
  <si>
    <t xml:space="preserve">NIT:</t>
  </si>
  <si>
    <t xml:space="preserve">860.040.584-0</t>
  </si>
  <si>
    <t xml:space="preserve">62 / 64</t>
  </si>
  <si>
    <t xml:space="preserve">PERIODO:</t>
  </si>
  <si>
    <t xml:space="preserve">1-ene-2026 a 31-jul-2026</t>
  </si>
  <si>
    <t xml:space="preserve">Fecha:</t>
  </si>
  <si>
    <t xml:space="preserve">FECHA DE CORTE:</t>
  </si>
  <si>
    <t xml:space="preserve">Iniciales y fecha del preparador / revisor</t>
  </si>
  <si>
    <t xml:space="preserve">NOMBRE P/T:</t>
  </si>
  <si>
    <t xml:space="preserve">OBLIGACIONES FINANCIERAS (cuenta 21 – papel 62/64)</t>
  </si>
  <si>
    <t xml:space="preserve">MARCO TÉCNICO:</t>
  </si>
  <si>
    <t xml:space="preserve">NIIF Plenas (Grupo 1): NIIF 9, NIIF 16, NIC 1, NIIF 7, NIC 23, NIC 24</t>
  </si>
  <si>
    <t xml:space="preserve">MONEDA:</t>
  </si>
  <si>
    <t xml:space="preserve">Pesos colombianos (COP)</t>
  </si>
  <si>
    <t xml:space="preserve">CÓMO LEER ESTE PAPEL (guía rápida)</t>
  </si>
  <si>
    <t xml:space="preserve">1. Esta hoja resume TODO el trabajo: qué se revisó, cómo y qué se encontró. Las hojas de soporte están enlazadas al final (clic en el nombre).</t>
  </si>
  <si>
    <t xml:space="preserve">2. Celdas BLANCAS = información del cliente, del balance o del banco.   Celdas AMARILLAS = cálculos y recálculos hechos por auditoría.</t>
  </si>
  <si>
    <t xml:space="preserve">3. 'OK' = la cifra cuadra.   'DIFERENCIA' = hay que revisar (la explicación está en la hoja 'Hallazgos').   [P] = falta un soporte (hoja 'Pendientes').</t>
  </si>
  <si>
    <t xml:space="preserve">4. Orden sugerido de lectura: Conclusión (al final) → secciones 1 a 5 → hoja 'Pruebas_Auditoria' → hoja 'Tablas_Amortizacion' → 'Hallazgos'.</t>
  </si>
  <si>
    <t xml:space="preserve">OBJETIVO GENERAL</t>
  </si>
  <si>
    <t xml:space="preserve">Obtener evidencia suficiente y apropiada sobre la razonabilidad de los saldos de obligaciones financieras (créditos y pasivos por arrendamiento financiero) e intereses por pagar al 31-jul-2026, y del gasto financiero asociado, verificando integridad, existencia, exactitud, valuación a costo amortizado (método del interés efectivo – NIIF 9 §4.2.1 y B5.4; NIIF 16 §36), corte y clasificación corriente/no corriente (NIC 1 §69-76), con base en el balance de prueba, el auxiliar contable, el detalle 62, las tablas de amortización (papel 64) y los extractos/certificados bancarios.</t>
  </si>
  <si>
    <t xml:space="preserve">LIMITACIONES AL ALCANCE</t>
  </si>
  <si>
    <t xml:space="preserve">ASEVERACIONES</t>
  </si>
  <si>
    <t xml:space="preserve">Aseveración</t>
  </si>
  <si>
    <t xml:space="preserve">Procedimiento principal</t>
  </si>
  <si>
    <t xml:space="preserve">Hoja soporte</t>
  </si>
  <si>
    <t xml:space="preserve">Resultado</t>
  </si>
  <si>
    <t xml:space="preserve">Existencia / Ocurrencia</t>
  </si>
  <si>
    <t xml:space="preserve">Cotejo con certificados y extractos bancarios; pagos certificados vs comprobantes.</t>
  </si>
  <si>
    <t xml:space="preserve">Pruebas_Auditoria (bloque 2)</t>
  </si>
  <si>
    <t xml:space="preserve">Integridad</t>
  </si>
  <si>
    <t xml:space="preserve">Movimiento vs balance; detalle 62 vs mayor por obligación; obligaciones del mayor no incluidas en el detalle.</t>
  </si>
  <si>
    <t xml:space="preserve">Pruebas_Auditoria (bloque 3)</t>
  </si>
  <si>
    <t xml:space="preserve">Exactitud / Valuación</t>
  </si>
  <si>
    <t xml:space="preserve">Recálculo de intereses, de las tablas de amortización y de la causación al corte (NIIF 9 B5.4, NIIF 16 §36).</t>
  </si>
  <si>
    <t xml:space="preserve">Pruebas_Auditoria (bloque 4) / Tablas_Amortizacion (resumen)</t>
  </si>
  <si>
    <t xml:space="preserve">Corte</t>
  </si>
  <si>
    <t xml:space="preserve">Causación de intereses entre el último pago y el 31-jul; prórrogas y desembolsos cercanos al cierre.</t>
  </si>
  <si>
    <t xml:space="preserve">Pruebas_Auditoria (bloque 4)</t>
  </si>
  <si>
    <t xml:space="preserve">Derechos y obligaciones</t>
  </si>
  <si>
    <t xml:space="preserve">Titularidad de las obligaciones (NIT Guaicaramo) y obligaciones de terceros incluidas en el archivo de tablas.</t>
  </si>
  <si>
    <t xml:space="preserve">Tablas_Amortizacion (resumen)</t>
  </si>
  <si>
    <t xml:space="preserve">Clasificación y presentación</t>
  </si>
  <si>
    <t xml:space="preserve">Porción corriente según tablas y vencimientos (NIC 1 §69); agrupación de tarjetas de crédito.</t>
  </si>
  <si>
    <t xml:space="preserve">Clasif_CP_LP</t>
  </si>
  <si>
    <t xml:space="preserve">Revelación</t>
  </si>
  <si>
    <t xml:space="preserve">Datos para NIIF 7 (vencimientos, tasas variables IBR/DTF) y NIIF 16 (pasivos por arrendamiento).</t>
  </si>
  <si>
    <t xml:space="preserve">Detalle_62 / Tablas_Amortizacion (resumen)</t>
  </si>
  <si>
    <t xml:space="preserve">TÉCNICAS DE AUDITORÍA APLICADAS</t>
  </si>
  <si>
    <t xml:space="preserve">☑ Análisis   ☑ Recálculo   ☑ Inspección documental (extractos/certificados)   ☑ Comparación (mayor ↔ detalle ↔ tabla ↔ banco)   ☑ Prueba analítica sustantiva   ☐ Confirmación externa (pendiente)</t>
  </si>
  <si>
    <t xml:space="preserve">PROCEDIMIENTOS</t>
  </si>
  <si>
    <t xml:space="preserve">#</t>
  </si>
  <si>
    <t xml:space="preserve">Procedimiento</t>
  </si>
  <si>
    <t xml:space="preserve">Ref. hoja</t>
  </si>
  <si>
    <t xml:space="preserve">Cruzar el auxiliar de la cuenta 21 contra el balance de prueba (débitos, créditos y saldos) y comparar las dos versiones del balance.</t>
  </si>
  <si>
    <t xml:space="preserve">Pruebas_Auditoria (bloque 1)</t>
  </si>
  <si>
    <t xml:space="preserve">Reconstruir el saldo del mayor por obligación (detalle 31-dic-25 + movimientos 2026) y cruzarlo con el detalle 62.</t>
  </si>
  <si>
    <t xml:space="preserve">Cotejar saldos, tasas, vencimientos y pagos con extractos/certificados bancarios.</t>
  </si>
  <si>
    <t xml:space="preserve">Revisar y recalcular las tablas de amortización del cliente (papel 64): aritmética, TIR, saldo al corte, porción corriente.</t>
  </si>
  <si>
    <t xml:space="preserve">Tablas_Amortizacion</t>
  </si>
  <si>
    <t xml:space="preserve">Recalcular intereses liquidados por los bancos y la causación al 31-jul (costo amortizado).</t>
  </si>
  <si>
    <t xml:space="preserve">Pruebas_Auditoria (bloque 4) / Intereses_x_Obligacion</t>
  </si>
  <si>
    <t xml:space="preserve">Cruzar las cuentas de gasto financiero (5305) y de intereses por pagar (2130) contra la suma por obligación.</t>
  </si>
  <si>
    <t xml:space="preserve">Intereses_x_Obligacion</t>
  </si>
  <si>
    <t xml:space="preserve">Prueba analítica sustantiva del gasto por intereses.</t>
  </si>
  <si>
    <t xml:space="preserve">Gasto_Intereses</t>
  </si>
  <si>
    <t xml:space="preserve">Evaluar la clasificación corriente / no corriente y la presentación.</t>
  </si>
  <si>
    <t xml:space="preserve">Concluir y documentar hallazgos, ajustes y pendientes.</t>
  </si>
  <si>
    <t xml:space="preserve">Hallazgos / Pendientes</t>
  </si>
  <si>
    <t xml:space="preserve">FUENTES DE INFORMACIÓN</t>
  </si>
  <si>
    <t xml:space="preserve">[A] Balance de prueba NIIF a jul-2026 (Balance_2026_GUUU.xlsx – 24-ago-26 – y Obl_Financieros.xlsx/Hoja1 – 29-sep-26).</t>
  </si>
  <si>
    <t xml:space="preserve">[A] Auxiliar cuenta 21 ene–jul 2026 (Obl_Financieros.xlsx/Sheet1).</t>
  </si>
  <si>
    <t xml:space="preserve">[A] Detalle de obligaciones financieras a jul-26 (62._Obligaciones_Financieras.xlsx).</t>
  </si>
  <si>
    <t xml:space="preserve">[A] Tablas de amortización (64._Tabla_amortización_obligaciones_financieras.xlsm).</t>
  </si>
  <si>
    <t xml:space="preserve">[A] PT Obligaciones Financieras al 31-dic-2025 (ejemplo.xlsx): detalle del mayor por obligación y saldos de extractos a dic-25.</t>
  </si>
  <si>
    <t xml:space="preserve">[C] Extractos/certificados bancarios (ilovepdf_merged_1.pdf; LEASING_1275-3/9441-2/9448-3_DAVIVIENDA.pdf).</t>
  </si>
  <si>
    <t xml:space="preserve">******* 1 *******   Prueba de auditoría – Cuentas del balance vs detalle 62 vs saldo por obligación</t>
  </si>
  <si>
    <t xml:space="preserve">CUENTA</t>
  </si>
  <si>
    <t xml:space="preserve">DESCRIPCIÓN</t>
  </si>
  <si>
    <t xml:space="preserve">SALDO BALANCE 31/07/2026</t>
  </si>
  <si>
    <t xml:space="preserve">SALDO DETALLE 62</t>
  </si>
  <si>
    <t xml:space="preserve">SALDO POR OBLIGACIÓN (mayor)</t>
  </si>
  <si>
    <t xml:space="preserve">DIF. BALANCE − DETALLE 62</t>
  </si>
  <si>
    <t xml:space="preserve">DIF. BALANCE − POR OBLIGACIÓN</t>
  </si>
  <si>
    <t xml:space="preserve">MARCA</t>
  </si>
  <si>
    <t xml:space="preserve">210501 + 210502</t>
  </si>
  <si>
    <t xml:space="preserve">Créditos (sin tarjetas de crédito)</t>
  </si>
  <si>
    <t xml:space="preserve">[D] [A]</t>
  </si>
  <si>
    <t xml:space="preserve">212020 + 212021</t>
  </si>
  <si>
    <t xml:space="preserve">Leasing financiero (NIIF 16)</t>
  </si>
  <si>
    <t xml:space="preserve">213001</t>
  </si>
  <si>
    <t xml:space="preserve">Intereses financieros por pagar</t>
  </si>
  <si>
    <t xml:space="preserve">No incluido</t>
  </si>
  <si>
    <t xml:space="preserve">21050301</t>
  </si>
  <si>
    <t xml:space="preserve">Tarjetas de crédito por pagar</t>
  </si>
  <si>
    <t xml:space="preserve">N/A</t>
  </si>
  <si>
    <t xml:space="preserve">TOTAL</t>
  </si>
  <si>
    <t xml:space="preserve">******* 2 *******   Validación por terceros y número de obligación financiera (saldo mayor vs detalle vs tabla vs extracto)</t>
  </si>
  <si>
    <t xml:space="preserve">Banco Davivienda</t>
  </si>
  <si>
    <t xml:space="preserve">N° obligación (ID)</t>
  </si>
  <si>
    <t xml:space="preserve">Descripción</t>
  </si>
  <si>
    <t xml:space="preserve">Saldo mayor 31-jul</t>
  </si>
  <si>
    <t xml:space="preserve">Saldo detalle 62</t>
  </si>
  <si>
    <t xml:space="preserve">Saldo tabla amort.</t>
  </si>
  <si>
    <t xml:space="preserve">Saldo extracto/banco</t>
  </si>
  <si>
    <t xml:space="preserve">Dif. mayor − banco</t>
  </si>
  <si>
    <t xml:space="preserve">Tipo tasa</t>
  </si>
  <si>
    <t xml:space="preserve">Frecuencia</t>
  </si>
  <si>
    <t xml:space="preserve">Fecha venc.</t>
  </si>
  <si>
    <t xml:space="preserve">Tasa EA banco</t>
  </si>
  <si>
    <t xml:space="preserve">Intereses 2026 registrados</t>
  </si>
  <si>
    <t xml:space="preserve">Int. por pagar 2130</t>
  </si>
  <si>
    <t xml:space="preserve">Causación recalc. 31-jul</t>
  </si>
  <si>
    <t xml:space="preserve">Marca</t>
  </si>
  <si>
    <t xml:space="preserve">DAV-8906</t>
  </si>
  <si>
    <t xml:space="preserve">DAV-569032</t>
  </si>
  <si>
    <t xml:space="preserve">DAV-830624</t>
  </si>
  <si>
    <t xml:space="preserve">DAV-607691</t>
  </si>
  <si>
    <t xml:space="preserve">DAV-L1019441</t>
  </si>
  <si>
    <t xml:space="preserve">DAV-L1019448</t>
  </si>
  <si>
    <t xml:space="preserve">DAV-L1021275</t>
  </si>
  <si>
    <t xml:space="preserve">DAV-LGECOLSA</t>
  </si>
  <si>
    <t xml:space="preserve">Subtotal</t>
  </si>
  <si>
    <t xml:space="preserve">Banco De Bogota</t>
  </si>
  <si>
    <t xml:space="preserve">BOG-453436746</t>
  </si>
  <si>
    <t xml:space="preserve">BOG-856670629</t>
  </si>
  <si>
    <t xml:space="preserve">BOG-858177259</t>
  </si>
  <si>
    <t xml:space="preserve">BOG-1159383796</t>
  </si>
  <si>
    <t xml:space="preserve">BOG-L556449224</t>
  </si>
  <si>
    <t xml:space="preserve">BOG-L556449180</t>
  </si>
  <si>
    <t xml:space="preserve">BOG-L556449117</t>
  </si>
  <si>
    <t xml:space="preserve">BOG-L556449064</t>
  </si>
  <si>
    <t xml:space="preserve">BOG-L556449288</t>
  </si>
  <si>
    <t xml:space="preserve">BOG-L557285005</t>
  </si>
  <si>
    <t xml:space="preserve">Banco Popular</t>
  </si>
  <si>
    <t xml:space="preserve">POP-631309940</t>
  </si>
  <si>
    <t xml:space="preserve">Bbva</t>
  </si>
  <si>
    <t xml:space="preserve">BBVA-0141</t>
  </si>
  <si>
    <t xml:space="preserve">Bancolombia S.A.</t>
  </si>
  <si>
    <t xml:space="preserve">BCL-1260105867</t>
  </si>
  <si>
    <t xml:space="preserve">BCL-L362095</t>
  </si>
  <si>
    <t xml:space="preserve">BCL-L336817</t>
  </si>
  <si>
    <t xml:space="preserve">BCL-L331330</t>
  </si>
  <si>
    <t xml:space="preserve">BCL-L386735</t>
  </si>
  <si>
    <t xml:space="preserve">Partidas Ajenas En 2120 (Neto Cero)</t>
  </si>
  <si>
    <t xml:space="preserve">N/A-COMISION</t>
  </si>
  <si>
    <t xml:space="preserve">N/A-CRUCE</t>
  </si>
  <si>
    <t xml:space="preserve">******* 3 *******   Cuentas de intereses del balance vs suma por obligación (causación, pagos y gasto)</t>
  </si>
  <si>
    <t xml:space="preserve">Código</t>
  </si>
  <si>
    <t xml:space="preserve">Cuenta contable</t>
  </si>
  <si>
    <t xml:space="preserve">Saldo / mov. balance</t>
  </si>
  <si>
    <t xml:space="preserve">Valor según obligaciones</t>
  </si>
  <si>
    <t xml:space="preserve">Diferencia</t>
  </si>
  <si>
    <t xml:space="preserve">******* 4 *******   Revisión y recálculo de tablas de amortización (papel 64) – ver Tablas_Amortizacion (resumen) y hoja Tablas_Amortizacion</t>
  </si>
  <si>
    <t xml:space="preserve">Concepto</t>
  </si>
  <si>
    <t xml:space="preserve">Tabla</t>
  </si>
  <si>
    <t xml:space="preserve">Detalle 62</t>
  </si>
  <si>
    <t xml:space="preserve">Banco</t>
  </si>
  <si>
    <t xml:space="preserve">Saldo al 31-jul (obligaciones con tabla en el mayor)</t>
  </si>
  <si>
    <t xml:space="preserve">Interés ene–jul 2026 (tabla vs registrado)</t>
  </si>
  <si>
    <t xml:space="preserve">Porción corriente 12 meses (tabla vs detalle)</t>
  </si>
  <si>
    <t xml:space="preserve">******* 5 *******   Ajustes y reclasificaciones propuestos (detalle en hoja Hallazgos)</t>
  </si>
  <si>
    <t xml:space="preserve">AJE</t>
  </si>
  <si>
    <t xml:space="preserve">Cuenta</t>
  </si>
  <si>
    <t xml:space="preserve">Débito</t>
  </si>
  <si>
    <t xml:space="preserve">Crédito</t>
  </si>
  <si>
    <t xml:space="preserve">CONCLUSIÓN</t>
  </si>
  <si>
    <t xml:space="preserve">MARCAS DE AUDITORÍA</t>
  </si>
  <si>
    <t xml:space="preserve">[A]</t>
  </si>
  <si>
    <t xml:space="preserve">Información suministrada por el cliente</t>
  </si>
  <si>
    <t xml:space="preserve">[B]</t>
  </si>
  <si>
    <t xml:space="preserve">Cálculos / recálculos realizados por auditoría</t>
  </si>
  <si>
    <t xml:space="preserve">[C]</t>
  </si>
  <si>
    <t xml:space="preserve">Cotejado con extracto o certificado bancario 2026</t>
  </si>
  <si>
    <t xml:space="preserve">[D]</t>
  </si>
  <si>
    <t xml:space="preserve">Cotejado con balance de prueba / mayor</t>
  </si>
  <si>
    <t xml:space="preserve">[E]</t>
  </si>
  <si>
    <t xml:space="preserve">Estimado: extracto al 31-dic-25 (PT 2025) + movimientos 2026 – pendiente certificado</t>
  </si>
  <si>
    <t xml:space="preserve">[P]</t>
  </si>
  <si>
    <t xml:space="preserve">Pendiente de soporte</t>
  </si>
  <si>
    <t xml:space="preserve">VER SOPORTES / ANEXOS (clic para abrir)</t>
  </si>
  <si>
    <t xml:space="preserve">Resumen</t>
  </si>
  <si>
    <t xml:space="preserve">Pruebas_Auditoria</t>
  </si>
  <si>
    <t xml:space="preserve">Hallazgos</t>
  </si>
  <si>
    <t xml:space="preserve">Pendientes</t>
  </si>
  <si>
    <t xml:space="preserve">Cruce_Detalle_Mayor</t>
  </si>
  <si>
    <t xml:space="preserve">Detalle_62</t>
  </si>
  <si>
    <t xml:space="preserve">Mayor_Dic25</t>
  </si>
  <si>
    <t xml:space="preserve">Mayor_Mov</t>
  </si>
  <si>
    <t xml:space="preserve">Balance_21</t>
  </si>
  <si>
    <t xml:space="preserve">Int_Glosas</t>
  </si>
  <si>
    <t xml:space="preserve">GUAICARAMO S.A.S. – Auditoría de Obligaciones Financieras (cuenta 21 / papel 62) – corte 31-jul-2026</t>
  </si>
  <si>
    <t xml:space="preserve">Cruce movimiento ↔ detalle 62 ↔ certificados bancarios ↔ balance de prueba; recálculo de intereses (NIIF 9 costo amortizado, NIIF 16, NIC 1). Cifras en pesos colombianos. Azul = dato de la fuente; negro = fórmula; verde = vínculo a otra hoja; amarillo = cifra clave.</t>
  </si>
  <si>
    <t xml:space="preserve">Parámetros</t>
  </si>
  <si>
    <t xml:space="preserve">Estado del papel</t>
  </si>
  <si>
    <t xml:space="preserve">Fecha de corte</t>
  </si>
  <si>
    <t xml:space="preserve">Umbral de diferencia trivial / redondeo (COP)</t>
  </si>
  <si>
    <t xml:space="preserve">Ver hoja 'Pendientes'</t>
  </si>
  <si>
    <t xml:space="preserve">Tolerancia recálculo de intereses (%)</t>
  </si>
  <si>
    <t xml:space="preserve">Resultados por prueba</t>
  </si>
  <si>
    <t xml:space="preserve">Prueba</t>
  </si>
  <si>
    <t xml:space="preserve">Valor A</t>
  </si>
  <si>
    <t xml:space="preserve">Valor B</t>
  </si>
  <si>
    <t xml:space="preserve">Estado</t>
  </si>
  <si>
    <t xml:space="preserve">1. Integridad: movimiento auxiliar vs balance – SF cuenta 21</t>
  </si>
  <si>
    <t xml:space="preserve">2. Integridad: balance 29-sep vs balance 24-ago – nº cuentas con diferencias</t>
  </si>
  <si>
    <t xml:space="preserve">3. Detalle 62: suma recalculada vs 'Total obligaciones' del cliente</t>
  </si>
  <si>
    <t xml:space="preserve">4. Créditos: detalle 62 vs mayor (21050100 + 21050201)</t>
  </si>
  <si>
    <t xml:space="preserve">5. Leasing: detalle 62 vs mayor (21202040 + 21202140)</t>
  </si>
  <si>
    <t xml:space="preserve">6. Certificados: capital banco 31-jul vs detalle 62 (obligaciones con saldo certificado)</t>
  </si>
  <si>
    <t xml:space="preserve">7. Certificados: pagos/intereses certificados vs registrados (comprobantes)</t>
  </si>
  <si>
    <t xml:space="preserve">8. Recálculo de intereses liquidados por el banco (Parte 1)</t>
  </si>
  <si>
    <t xml:space="preserve">9. Intereses causados al 31-jul: recalculado vs registrado en 2130</t>
  </si>
  <si>
    <t xml:space="preserve">10. Intereses por pagar: suma por obligación vs balance 2130</t>
  </si>
  <si>
    <t xml:space="preserve">Indicadores clave</t>
  </si>
  <si>
    <t xml:space="preserve">Saldo de capital según mayor 31-jul (2105 sin TC + 2120)</t>
  </si>
  <si>
    <t xml:space="preserve">Saldo según detalle 62</t>
  </si>
  <si>
    <t xml:space="preserve">Leasing 386735 omitido en el detalle 62</t>
  </si>
  <si>
    <t xml:space="preserve">Leasing GECOLSA (Davivienda) omitido en el detalle 62</t>
  </si>
  <si>
    <t xml:space="preserve">Leasings Bogotá: detalle 62 por debajo del mayor/certificados</t>
  </si>
  <si>
    <t xml:space="preserve">Diferencia de leasing sin explicar (residual)</t>
  </si>
  <si>
    <t xml:space="preserve">% del saldo del detalle 62 cubierto con certificados</t>
  </si>
  <si>
    <t xml:space="preserve">Intereses no causados al 31-jul (AJE-1)</t>
  </si>
  <si>
    <t xml:space="preserve">Reclasificación LP → CP propuesta (créditos + leasing)</t>
  </si>
  <si>
    <t xml:space="preserve">Gasto de intereses: desviación vs expectativa</t>
  </si>
  <si>
    <t xml:space="preserve">Conclusión prueba analítica</t>
  </si>
  <si>
    <t xml:space="preserve">Conclusión</t>
  </si>
  <si>
    <t xml:space="preserve">INTEGRIDAD – Mayor vs balance: el movimiento auxiliar de la cuenta 21 cuadra exactamente (débitos, créditos y saldos) con los dos balances de prueba, que son idénticos entre sí. Sin excepción.</t>
  </si>
  <si>
    <t xml:space="preserve">INTEGRIDAD – Detalle 62 vs mayor: los créditos cuadran (diferencia de redondeo $0,67). El leasing NO cuadra ($1.018 MM): leasing Bancolombia 386735 y leasing GECOLSA omitidos y saldos de tablas teóricas en el detalle; la diferencia queda explicada por obligación (Pruebas_Auditoria (bloque 3)).</t>
  </si>
  <si>
    <t xml:space="preserve">EXACTITUD – Certificados: los créditos cuadran con los extractos salvo redondeos de abonos a capital (&lt; $5.000). Los leasings de Banco de Bogotá están subvalorados en el detalle 62. Los pagos registrados coinciden con los extractos, salvo el canon 032 del leasing 1019441.</t>
  </si>
  <si>
    <t xml:space="preserve">RECÁLCULO – La liquidación bancaria es razonable en base 365 (Bogotá Finagro en base 360), excepto Davivienda 607691/569032, cuya tasa declarada no reconcilia. Hay intereses causados no registrados al 31-jul (AJE-1) por la política de causación del cliente.</t>
  </si>
  <si>
    <t xml:space="preserve">PRESENTACIÓN – Se requiere reclasificar la porción corriente (NIC 1.69) y corregir los errores CP/LP del detalle 62. Ver la hoja 'Hallazgos'.</t>
  </si>
  <si>
    <t xml:space="preserve">PENDIENTES – El papel se emite sin certificados de saldo de leasings Davivienda/Bancolombia, sin confirmaciones de BBVA, Banco Popular y del crédito Bogotá 1159383796, sin tablas de amortización y sin materialidad del encargo. Las conclusiones afectadas quedan 'Pendiente de soporte' (ver hoja 'Pendientes').</t>
  </si>
  <si>
    <t xml:space="preserve">Hojas del libro</t>
  </si>
  <si>
    <t xml:space="preserve">Movimiento auxiliar ene–jul con el ID de obligación asignado por auditoría</t>
  </si>
  <si>
    <t xml:space="preserve">Cuentas 21/5305 de ambos balances de prueba y su comparación</t>
  </si>
  <si>
    <t xml:space="preserve">Bloques 1–4: movimiento vs balance, certificados bancarios, saldo por obligación y recálculo de intereses (cálculos en amarillo)</t>
  </si>
  <si>
    <t xml:space="preserve">Revisión y recálculo de las 25 tablas de amortización del cliente (recálculo en amarillo)</t>
  </si>
  <si>
    <t xml:space="preserve">Detalle del cliente con recálculo de tasas, subtotales y CP/LP</t>
  </si>
  <si>
    <t xml:space="preserve">Detalle 62 vs mayor y roll-forward de capital por obligación</t>
  </si>
  <si>
    <t xml:space="preserve">Prueba analítica del gasto por intereses</t>
  </si>
  <si>
    <t xml:space="preserve">Clasificación corriente/no corriente (NIC 1)</t>
  </si>
  <si>
    <t xml:space="preserve">Hallazgos, normas y ajustes propuestos</t>
  </si>
  <si>
    <t xml:space="preserve">Información pendiente de soporte y tratamiento provisional</t>
  </si>
  <si>
    <t xml:space="preserve">PT_62</t>
  </si>
  <si>
    <t xml:space="preserve">Papel de trabajo principal (formato PT): aseveraciones, procedimientos, secciones 1–5 y conclusión</t>
  </si>
  <si>
    <t xml:space="preserve">Detalle del mayor al 31-dic-25 (PT 2025) por obligación</t>
  </si>
  <si>
    <t xml:space="preserve">Intereses 2026 por obligación y cruce de cuentas 2130/5305</t>
  </si>
  <si>
    <t xml:space="preserve">Intereses pagados directo al gasto según glosas</t>
  </si>
  <si>
    <t xml:space="preserve">PRUEBAS DE AUDITORÍA – OBLIGACIONES FINANCIERAS – corte 31-jul-2026</t>
  </si>
  <si>
    <t xml:space="preserve">Cómo leer esta hoja:  celdas BLANCAS = datos tomados del cliente, del balance o del banco;   celdas AMARILLAS = cálculo o recálculo hecho por auditoría.</t>
  </si>
  <si>
    <t xml:space="preserve">'OK' = la cifra cuadra;   'DIFERENCIA' = revisar (explicación en la columna de comentarios o en la hoja Hallazgos).   Cifras en pesos colombianos.</t>
  </si>
  <si>
    <t xml:space="preserve">Contenido:  BLOQUE 1 Movimiento vs balance  ·  BLOQUE 2 Certificados bancarios  ·  BLOQUE 3 Saldo por obligación  ·  BLOQUE 4 Recálculo de intereses</t>
  </si>
  <si>
    <t xml:space="preserve">BLOQUE 1 – ¿El auxiliar contable de la cuenta 21 cuadra con el balance?</t>
  </si>
  <si>
    <t xml:space="preserve">Qué se hizo: se sumaron todos los débitos y créditos del auxiliar (ene–jul 2026) y se compararon con el balance de prueba.</t>
  </si>
  <si>
    <t xml:space="preserve">Cómo se lee: saldo inicial + débitos − créditos = saldo final calculado (amarillo), que se compara con el saldo final del balance.</t>
  </si>
  <si>
    <t xml:space="preserve">Cruce movimiento auxiliar (cuenta 21) vs balance de prueba – Integridad</t>
  </si>
  <si>
    <t xml:space="preserve">SI balance + Débitos movimiento − Créditos movimiento = SF calculado; se compara con SF del balance. Signo: crédito negativo.</t>
  </si>
  <si>
    <t xml:space="preserve">Saldo inicial balance</t>
  </si>
  <si>
    <t xml:space="preserve">Débitos movimiento</t>
  </si>
  <si>
    <t xml:space="preserve">Créditos movimiento</t>
  </si>
  <si>
    <t xml:space="preserve">SF calculado</t>
  </si>
  <si>
    <t xml:space="preserve">SF balance</t>
  </si>
  <si>
    <t xml:space="preserve">Diferencia SF</t>
  </si>
  <si>
    <t xml:space="preserve">Débitos balance</t>
  </si>
  <si>
    <t xml:space="preserve">Dif. débitos</t>
  </si>
  <si>
    <t xml:space="preserve">Créditos balance</t>
  </si>
  <si>
    <t xml:space="preserve">Dif. créditos</t>
  </si>
  <si>
    <t xml:space="preserve">21050100</t>
  </si>
  <si>
    <t xml:space="preserve">21050201</t>
  </si>
  <si>
    <t xml:space="preserve">21202040</t>
  </si>
  <si>
    <t xml:space="preserve">21202140</t>
  </si>
  <si>
    <t xml:space="preserve">21300101</t>
  </si>
  <si>
    <t xml:space="preserve">21300102</t>
  </si>
  <si>
    <t xml:space="preserve">TOTAL CUENTA 21</t>
  </si>
  <si>
    <t xml:space="preserve">Total cuenta 21 según balance (mayor)</t>
  </si>
  <si>
    <t xml:space="preserve">Diferencia suma de auxiliares vs cuenta 21</t>
  </si>
  <si>
    <t xml:space="preserve">B. Integridad del archivo de movimiento ('Gran total' del reporte vs suma de líneas)</t>
  </si>
  <si>
    <t xml:space="preserve">Gran total reporte</t>
  </si>
  <si>
    <t xml:space="preserve">Suma líneas</t>
  </si>
  <si>
    <t xml:space="preserve">Débitos</t>
  </si>
  <si>
    <t xml:space="preserve">Créditos</t>
  </si>
  <si>
    <t xml:space="preserve">Neto</t>
  </si>
  <si>
    <t xml:space="preserve">Nº de líneas del movimiento</t>
  </si>
  <si>
    <t xml:space="preserve">C. Consistencia jerárquica del balance y relación pasivo–gasto</t>
  </si>
  <si>
    <t xml:space="preserve">Comentario</t>
  </si>
  <si>
    <t xml:space="preserve">SF 21 = 2105 + 2120 + 2130</t>
  </si>
  <si>
    <t xml:space="preserve">SF 2105 = 210501 + 210502</t>
  </si>
  <si>
    <t xml:space="preserve">SF 210502 = 21050201 + 21050301 (tarjeta de crédito agrupada en LP)</t>
  </si>
  <si>
    <t xml:space="preserve">Tarjeta de crédito (pasivo corriente) agrupada dentro de 'Obligaciones financieras a largo plazo' – ver hallazgo de clasificación.</t>
  </si>
  <si>
    <t xml:space="preserve">SF 2120 = 21202040 + 21202140</t>
  </si>
  <si>
    <t xml:space="preserve">SF 2130 = 21300101 + 21300102</t>
  </si>
  <si>
    <t xml:space="preserve">Ecuación: Activo + Pasivo + Patrimonio + Resultado (4+5+6+7) = 0</t>
  </si>
  <si>
    <t xml:space="preserve">Resultado del periodo ene–jul incluido vía clases 4 a 7.</t>
  </si>
  <si>
    <t xml:space="preserve">Intereses OF por pagar (21300101) = gasto causado neto (53052030)</t>
  </si>
  <si>
    <t xml:space="preserve">El cliente reversa la causación al pagar y lleva el pago a 53052020; el saldo de 53052030 debe igualar el pasivo.</t>
  </si>
  <si>
    <t xml:space="preserve">Intereses leasing por pagar (21300102) = gasto causado neto (53052040)</t>
  </si>
  <si>
    <t xml:space="preserve">SI 21300101 = créditos 53052020 (reclasificación apertura)</t>
  </si>
  <si>
    <t xml:space="preserve">Asiento de apertura: Db 53052030 / Cr 53052020 por el saldo inicial causado.</t>
  </si>
  <si>
    <t xml:space="preserve">SI 21300102 = créditos 53052010 (reclasificación apertura)</t>
  </si>
  <si>
    <t xml:space="preserve">D. Comparación de versiones del balance</t>
  </si>
  <si>
    <t xml:space="preserve">Cuentas con diferencias entre balance 24-ago y 29-sep</t>
  </si>
  <si>
    <t xml:space="preserve">BLOQUE 2 – ¿Los saldos del detalle 62 coinciden con lo que dice el banco?</t>
  </si>
  <si>
    <t xml:space="preserve">Qué se hizo: se tomó cada extracto o certificado bancario y se comparó capital, tasa y vencimiento con el detalle 62 del cliente.</t>
  </si>
  <si>
    <t xml:space="preserve">Capital banco 31-jul (amarillo) = saldo del certificado − abonos a capital pagados después de la fecha del certificado.  Sección C: cada pago del banco vs el comprobante contable.</t>
  </si>
  <si>
    <t xml:space="preserve">Cruce detalle 62 vs certificados / extractos bancarios (PDF adjunto)</t>
  </si>
  <si>
    <t xml:space="preserve">Fuente: ilovepdf_merged_1.pdf (25 págs.). Las págs. 3, 5, 7, 9, 11, 15, 23 y 25 son anexos/instructivos sin cifras. Capital banco 31-jul = capital certificado − abonos a capital entre corte y 31-jul.</t>
  </si>
  <si>
    <t xml:space="preserve">Pág. PDF</t>
  </si>
  <si>
    <t xml:space="preserve">Obligación (certificado)</t>
  </si>
  <si>
    <t xml:space="preserve">ID auditoría</t>
  </si>
  <si>
    <t xml:space="preserve">Tipo documento</t>
  </si>
  <si>
    <t xml:space="preserve">Fecha corte</t>
  </si>
  <si>
    <t xml:space="preserve">Capital s/certificado</t>
  </si>
  <si>
    <t xml:space="preserve">Abonos capital posteriores al corte (≤31-jul)</t>
  </si>
  <si>
    <t xml:space="preserve">Capital banco 31-jul-26</t>
  </si>
  <si>
    <t xml:space="preserve">Diferencia detalle − banco</t>
  </si>
  <si>
    <t xml:space="preserve">Tasa EA certificado</t>
  </si>
  <si>
    <t xml:space="preserve">Tasa EA detalle</t>
  </si>
  <si>
    <t xml:space="preserve">Dif. (pb)</t>
  </si>
  <si>
    <t xml:space="preserve">Venc. certificado</t>
  </si>
  <si>
    <t xml:space="preserve">Venc. detalle</t>
  </si>
  <si>
    <t xml:space="preserve">¿Venc. coincide?</t>
  </si>
  <si>
    <t xml:space="preserve">Observaciones</t>
  </si>
  <si>
    <t xml:space="preserve">Davivienda</t>
  </si>
  <si>
    <t xml:space="preserve">7000457300830624</t>
  </si>
  <si>
    <t xml:space="preserve">Extracto crédito corporativo</t>
  </si>
  <si>
    <t xml:space="preserve">Saldo anterior 21-sep-25 $7.499.998.630,82 − abono capital 21-mar-26 $127,57. Próximo pago 21-sep-26 sólo intereses $565.738.188,80 (IBR semestral + 3,00).</t>
  </si>
  <si>
    <t xml:space="preserve">Banco de Bogotá</t>
  </si>
  <si>
    <t xml:space="preserve">00856670629</t>
  </si>
  <si>
    <t xml:space="preserve">Extracto Sustitución Finagro</t>
  </si>
  <si>
    <t xml:space="preserve">Cuota 12 (21-jun-26): capital $182.166.667 + intereses $59.390.887,23. Valor aprobado $2.186 MM, plazo 60 meses.</t>
  </si>
  <si>
    <t xml:space="preserve">Bancolombia</t>
  </si>
  <si>
    <t xml:space="preserve">01260105867</t>
  </si>
  <si>
    <t xml:space="preserve">Detalle del crédito (Sucursal Virtual)</t>
  </si>
  <si>
    <t xml:space="preserve">Capital vigente al 11-ago-26; sin abonos entre 31-jul y 11-ago. Intereses corrientes causados $24.607.407; próximo pago 22-oct-26. IBR + 1,5.</t>
  </si>
  <si>
    <t xml:space="preserve">00453436746</t>
  </si>
  <si>
    <t xml:space="preserve">Extracto Ordinaria Comercial</t>
  </si>
  <si>
    <t xml:space="preserve">Cuota 100 (17-jul-26): capital $62.500.000 + intereses $38.894.999,71. Aprobado $7.500 MM, plazo 146 meses.</t>
  </si>
  <si>
    <t xml:space="preserve">00858177259</t>
  </si>
  <si>
    <t xml:space="preserve">Corte 31-jul-26 (fecha de auditoría). Próxima cuota 25-ago-26: capital $125.000.000 + intereses $45.166.249,86.</t>
  </si>
  <si>
    <t xml:space="preserve">01155297469 → prorrogado 1159383796</t>
  </si>
  <si>
    <t xml:space="preserve">Cuota 2 (14-jul-26) por $10.299.617.737,55 incluye capital $10.000 MM. Contabilidad registra prórroga (NB-1016, 29-jul) al crédito 1159383796 – sin certificado del nuevo crédito.</t>
  </si>
  <si>
    <t xml:space="preserve">7000457300607691</t>
  </si>
  <si>
    <t xml:space="preserve">Pago 28-jul-26 de $272.300.000 vs intereses facturados $272.299.382,05: excedente $617,95 se aplica a capital.</t>
  </si>
  <si>
    <t xml:space="preserve">7000457300569032</t>
  </si>
  <si>
    <t xml:space="preserve">Pago 28-jul-26 de $206.288.000 vs intereses facturados $206.287.213,20: excedente $786,80 se aplica a capital.</t>
  </si>
  <si>
    <t xml:space="preserve">p.14 + LEASING_1275-3_DAVIVIENDA.pdf</t>
  </si>
  <si>
    <t xml:space="preserve">Davivienda Leasing</t>
  </si>
  <si>
    <t xml:space="preserve">000030001021275-3</t>
  </si>
  <si>
    <t xml:space="preserve">Factura leasing</t>
  </si>
  <si>
    <t xml:space="preserve">Canon 006 (23-jul-26) sólo intereses $64.041.851; 16 cuotas pactadas. El extracto NO informa saldo de capital → ver saldo implícito en Pruebas_Auditoria (bloque 4).</t>
  </si>
  <si>
    <t xml:space="preserve">Banco de Bogotá Leasing</t>
  </si>
  <si>
    <t xml:space="preserve">00557285005</t>
  </si>
  <si>
    <t xml:space="preserve">Estado de cuenta leasing</t>
  </si>
  <si>
    <t xml:space="preserve">Saldo capital tras pago 22-abr-26; canon 22-jul-26 capital $62.866.117,12 / costo financiero $39.578.631,88. Opción de compra $16.220.758.</t>
  </si>
  <si>
    <t xml:space="preserve">00556449064</t>
  </si>
  <si>
    <t xml:space="preserve">Saldo tras pago 27-abr-26; canon 27-jul-26 capital $26.602.533,70 / costo financiero $9.497.274,30. DTF.</t>
  </si>
  <si>
    <t xml:space="preserve">00556449117</t>
  </si>
  <si>
    <t xml:space="preserve">Saldo tras pago 27-abr-26; canon 27-jul-26 capital $26.602.533,71 / costo financiero $9.497.274,29. DTF.</t>
  </si>
  <si>
    <t xml:space="preserve">00556449180</t>
  </si>
  <si>
    <t xml:space="preserve">Saldo tras pago 23-abr-26; canon 23-jul-26 capital $21.538.319,01 / costo financiero $14.118.857,99. DTF.</t>
  </si>
  <si>
    <t xml:space="preserve">00556449224</t>
  </si>
  <si>
    <t xml:space="preserve">Saldo tras pago 23-abr-26; canon 23-jul-26 capital $21.538.319,02 / costo financiero $14.118.857,98. DTF.</t>
  </si>
  <si>
    <t xml:space="preserve">00556449288</t>
  </si>
  <si>
    <t xml:space="preserve">Saldo tras pago 20-abr-26; canon 20-jul-26 capital $21.542.838,16 / costo financiero $14.121.779,84. DTF.</t>
  </si>
  <si>
    <t xml:space="preserve">p.22 + LEASING_9441-2_DAVIVIENDA.pdf</t>
  </si>
  <si>
    <t xml:space="preserve">000030001019441-2</t>
  </si>
  <si>
    <t xml:space="preserve">Canon 033 (13-jul-26): capital $12.327.298, intereses $5.062.372, seguro $1.263.646. Último pago 11-jun-26 canon 032 $1.029.562 (sólo intereses). Sin saldo de capital.</t>
  </si>
  <si>
    <t xml:space="preserve">p.24 + LEASING_9448-3_DAVIVIENDA.pdf</t>
  </si>
  <si>
    <t xml:space="preserve">000030001019448-3</t>
  </si>
  <si>
    <t xml:space="preserve">Canon 031 (6-jul-26): capital $8.867.342, intereses $4.177.893. Último pago 5-jun-26 canon 030: capital $8.901.235, intereses $4.402.982. Sin saldo de capital.</t>
  </si>
  <si>
    <t xml:space="preserve">TOTAL obligaciones con saldo certificado</t>
  </si>
  <si>
    <t xml:space="preserve">Diferencia detalle − banco: leasings Banco de Bogotá</t>
  </si>
  <si>
    <t xml:space="preserve">Diferencia detalle − banco: créditos (redondeos)</t>
  </si>
  <si>
    <t xml:space="preserve">B. Cobertura de confirmación – obligaciones del detalle 62 SIN certificado/extracto en el PDF</t>
  </si>
  <si>
    <t xml:space="preserve">Obligación</t>
  </si>
  <si>
    <t xml:space="preserve">Tipo</t>
  </si>
  <si>
    <t xml:space="preserve">BANCO POPULAR</t>
  </si>
  <si>
    <t xml:space="preserve">631309940-2</t>
  </si>
  <si>
    <t xml:space="preserve">BBVA</t>
  </si>
  <si>
    <t xml:space="preserve">252059</t>
  </si>
  <si>
    <t xml:space="preserve">BANCOLOMBIA S.A.</t>
  </si>
  <si>
    <t xml:space="preserve">LEASING 362095</t>
  </si>
  <si>
    <t xml:space="preserve">Leasing</t>
  </si>
  <si>
    <t xml:space="preserve">LEASING 336817</t>
  </si>
  <si>
    <t xml:space="preserve">LEASING 331330</t>
  </si>
  <si>
    <t xml:space="preserve">Leasing 386735 (no está en detalle 62)</t>
  </si>
  <si>
    <t xml:space="preserve">Total sin certificado (detalle 62)</t>
  </si>
  <si>
    <t xml:space="preserve">% del saldo del detalle 62 cubierto con certificado/extracto</t>
  </si>
  <si>
    <t xml:space="preserve">C. Cruce de pagos/intereses según certificado vs registro contable (comprobantes del mayor)</t>
  </si>
  <si>
    <t xml:space="preserve">Documento contable</t>
  </si>
  <si>
    <t xml:space="preserve">Fecha</t>
  </si>
  <si>
    <t xml:space="preserve">Valor s/certificado</t>
  </si>
  <si>
    <t xml:space="preserve">Valor s/contabilidad</t>
  </si>
  <si>
    <t xml:space="preserve">Pago 21-mar-26 total aplicado (int. 445.207.872,43 + cap. 127,57)</t>
  </si>
  <si>
    <t xml:space="preserve">NI-00004268</t>
  </si>
  <si>
    <t xml:space="preserve">El cliente reversa el total como interés; los $127,57 abonados a capital no se registran.</t>
  </si>
  <si>
    <t xml:space="preserve">Pago 28-ene-26 total aplicado (int. 243.932.730,53 + cap. 269,47)</t>
  </si>
  <si>
    <t xml:space="preserve">NI-00004061</t>
  </si>
  <si>
    <t xml:space="preserve">Capital $269,47 no registrado.</t>
  </si>
  <si>
    <t xml:space="preserve">Pago 28-ene-26 total aplicado (int. 184.797.372,21 + cap. 627,79)</t>
  </si>
  <si>
    <t xml:space="preserve">NI-00004063</t>
  </si>
  <si>
    <t xml:space="preserve">Capital $627,79 no registrado.</t>
  </si>
  <si>
    <t xml:space="preserve">Intereses 28-ene a 28-jul-26 facturados</t>
  </si>
  <si>
    <t xml:space="preserve">NI-00004743</t>
  </si>
  <si>
    <t xml:space="preserve">Contabilidad reversa $272.300.000 (pago redondeado); $617,95 corresponden a capital.</t>
  </si>
  <si>
    <t xml:space="preserve">NI-00004745</t>
  </si>
  <si>
    <t xml:space="preserve">Contabilidad reversa $206.288.000; $786,80 corresponden a capital.</t>
  </si>
  <si>
    <t xml:space="preserve">Cuota 11 – capital</t>
  </si>
  <si>
    <t xml:space="preserve">CL-00000383</t>
  </si>
  <si>
    <t xml:space="preserve">Diferencia de redondeo del banco.</t>
  </si>
  <si>
    <t xml:space="preserve">Cuota 11 – intereses</t>
  </si>
  <si>
    <t xml:space="preserve">NI-00004260</t>
  </si>
  <si>
    <t xml:space="preserve">Cuota 12 – capital</t>
  </si>
  <si>
    <t xml:space="preserve">CL-00000410</t>
  </si>
  <si>
    <t xml:space="preserve">Cuota 12 – intereses</t>
  </si>
  <si>
    <t xml:space="preserve">NI-00004662</t>
  </si>
  <si>
    <t xml:space="preserve">Cuota 99 – capital</t>
  </si>
  <si>
    <t xml:space="preserve">CL-00000409</t>
  </si>
  <si>
    <t xml:space="preserve">Cuota 100 – capital</t>
  </si>
  <si>
    <t xml:space="preserve">CL-00000422</t>
  </si>
  <si>
    <t xml:space="preserve">Intereses cuota 100 $38.894.999,71 coinciden con la descripción del CL-422 (gasto directo 53052020).</t>
  </si>
  <si>
    <t xml:space="preserve">Cuota mayo – capital</t>
  </si>
  <si>
    <t xml:space="preserve">CL-00000407</t>
  </si>
  <si>
    <t xml:space="preserve">Cuota mayo – intereses</t>
  </si>
  <si>
    <t xml:space="preserve">NI-00004526</t>
  </si>
  <si>
    <t xml:space="preserve">Crédito 1155297469 – intereses cuota 1</t>
  </si>
  <si>
    <t xml:space="preserve">NI-00004402</t>
  </si>
  <si>
    <t xml:space="preserve">Crédito 1155297469 – intereses cuota 2 (14-jul)</t>
  </si>
  <si>
    <t xml:space="preserve">NI-00004736</t>
  </si>
  <si>
    <t xml:space="preserve">Canon abr – capital</t>
  </si>
  <si>
    <t xml:space="preserve">CL-00000391</t>
  </si>
  <si>
    <t xml:space="preserve">Canon abr – costo financiero</t>
  </si>
  <si>
    <t xml:space="preserve">NI-00004396</t>
  </si>
  <si>
    <t xml:space="preserve">Canon jul – capital</t>
  </si>
  <si>
    <t xml:space="preserve">CL-00000429</t>
  </si>
  <si>
    <t xml:space="preserve">Canon jul – costo financiero</t>
  </si>
  <si>
    <t xml:space="preserve">NI-00004740</t>
  </si>
  <si>
    <t xml:space="preserve">CL-00000394</t>
  </si>
  <si>
    <t xml:space="preserve">CL-00000426</t>
  </si>
  <si>
    <t xml:space="preserve">NI-00004737</t>
  </si>
  <si>
    <t xml:space="preserve">CL-00000389</t>
  </si>
  <si>
    <t xml:space="preserve">CL-00000424</t>
  </si>
  <si>
    <t xml:space="preserve">NI-00004734</t>
  </si>
  <si>
    <t xml:space="preserve">CL-00000392</t>
  </si>
  <si>
    <t xml:space="preserve">CL-00000428</t>
  </si>
  <si>
    <t xml:space="preserve">NI-00004739</t>
  </si>
  <si>
    <t xml:space="preserve">CL-00000393</t>
  </si>
  <si>
    <t xml:space="preserve">La descripción del CL-393 indica 'CAPITAL 34.950.056' (valor total del canon) – error de glosa.</t>
  </si>
  <si>
    <t xml:space="preserve">CL-00000427</t>
  </si>
  <si>
    <t xml:space="preserve">NI-00004738</t>
  </si>
  <si>
    <t xml:space="preserve">CL-00000390</t>
  </si>
  <si>
    <t xml:space="preserve">CL-00000430</t>
  </si>
  <si>
    <t xml:space="preserve">NI-00004741</t>
  </si>
  <si>
    <t xml:space="preserve">Canon 005 (23-abr) – intereses</t>
  </si>
  <si>
    <t xml:space="preserve">NI-00004400</t>
  </si>
  <si>
    <t xml:space="preserve">Canon 006 (23-jul) – intereses</t>
  </si>
  <si>
    <t xml:space="preserve">NI-00004744</t>
  </si>
  <si>
    <t xml:space="preserve">Canon 030 (5-jun) – capital</t>
  </si>
  <si>
    <t xml:space="preserve">CL-00000415</t>
  </si>
  <si>
    <t xml:space="preserve">Canon 031 (6-jul) – capital</t>
  </si>
  <si>
    <t xml:space="preserve">CL-00000433</t>
  </si>
  <si>
    <t xml:space="preserve">Canon 032 (11-jun) – capital</t>
  </si>
  <si>
    <t xml:space="preserve">CL-00000416</t>
  </si>
  <si>
    <t xml:space="preserve">El banco reporta el canon 032 pagado el 11-jun por $1.029.562 sólo intereses (capital 0); contabilidad registró capital $11.973.677. Verificar aplicación del pago.</t>
  </si>
  <si>
    <t xml:space="preserve">Canon 033 (13-jul) – capital</t>
  </si>
  <si>
    <t xml:space="preserve">CL-00000434</t>
  </si>
  <si>
    <t xml:space="preserve">D. Documentos Davivienda Leasing recibidos por separado (LEASING_1275-3 / 9441-2 / 9448-3_DAVIVIENDA.pdf)</t>
  </si>
  <si>
    <t xml:space="preserve">Archivo</t>
  </si>
  <si>
    <t xml:space="preserve">Contrato</t>
  </si>
  <si>
    <t xml:space="preserve">Canon / fecha</t>
  </si>
  <si>
    <t xml:space="preserve">Capital canon</t>
  </si>
  <si>
    <t xml:space="preserve">Intereses canon</t>
  </si>
  <si>
    <t xml:space="preserve">Seguro</t>
  </si>
  <si>
    <t xml:space="preserve">Tasa EA cobrada</t>
  </si>
  <si>
    <t xml:space="preserve">Último pago (fecha)</t>
  </si>
  <si>
    <t xml:space="preserve">Último pago (valor)</t>
  </si>
  <si>
    <t xml:space="preserve">¿Informa saldo capital?</t>
  </si>
  <si>
    <t xml:space="preserve">Coincide intereses con papel</t>
  </si>
  <si>
    <t xml:space="preserve">Coincide capital con papel</t>
  </si>
  <si>
    <t xml:space="preserve">Coincide tasa con papel</t>
  </si>
  <si>
    <t xml:space="preserve">LEASING_1275-3_DAVIVIENDA.pdf</t>
  </si>
  <si>
    <t xml:space="preserve">006 / 2026-07-23</t>
  </si>
  <si>
    <t xml:space="preserve">NO</t>
  </si>
  <si>
    <t xml:space="preserve">Mismo documento que el PDF consolidado. Sólo factura del canon: el saldo de capital sigue sin certificar (PEND-1).</t>
  </si>
  <si>
    <t xml:space="preserve">LEASING_9441-2_DAVIVIENDA.pdf</t>
  </si>
  <si>
    <t xml:space="preserve">033 / 2026-07-13</t>
  </si>
  <si>
    <t xml:space="preserve">Mismo documento que el PDF consolidado. Sólo factura del canon: el saldo de capital sigue sin certificar (PEND-1). Reconfirma canon 032 pagado sólo con intereses $1.029.562 (PEND-7).</t>
  </si>
  <si>
    <t xml:space="preserve">LEASING_9448-3_DAVIVIENDA.pdf</t>
  </si>
  <si>
    <t xml:space="preserve">031 / 2026-07-06</t>
  </si>
  <si>
    <t xml:space="preserve">BLOQUE 3 – Saldo de cada obligación: contabilidad vs detalle 62 vs tabla vs banco</t>
  </si>
  <si>
    <t xml:space="preserve">Qué se hizo: saldo contable de cada crédito/leasing = saldo al 31-dic-25 (papel 2025) + nuevos préstamos − pagos 2026 (amarillo).</t>
  </si>
  <si>
    <t xml:space="preserve">Luego se compara con el detalle 62, con la tabla de amortización del cliente y con el banco ([C] certificado 2026; [E] estimado con el extracto de dic-25).</t>
  </si>
  <si>
    <t xml:space="preserve">Saldos de capital por obligación al 31-jul-2026 – mayor vs detalle 62 vs tabla de amortización vs banco</t>
  </si>
  <si>
    <t xml:space="preserve">Saldo mayor = detalle 31-dic-25 (PT 2025) + créditos 2026 − débitos 2026 (Mayor_Mov). Saldo banco = certificado jul-26; si no hay, extracto 31-dic-25 + movimientos 2026 (estimado, marca [E]).</t>
  </si>
  <si>
    <t xml:space="preserve">Saldo mayor 31-dic-25</t>
  </si>
  <si>
    <t xml:space="preserve">Créditos 2026 (desembolsos)</t>
  </si>
  <si>
    <t xml:space="preserve">Débitos 2026 (pagos)</t>
  </si>
  <si>
    <t xml:space="preserve">Saldo mayor 31-jul-26</t>
  </si>
  <si>
    <t xml:space="preserve">Saldo tabla amortización 31-jul</t>
  </si>
  <si>
    <t xml:space="preserve">Extracto 31-dic-25 (PT 2025)</t>
  </si>
  <si>
    <t xml:space="preserve">Saldo banco 31-jul-26</t>
  </si>
  <si>
    <t xml:space="preserve">Fuente saldo banco</t>
  </si>
  <si>
    <t xml:space="preserve">Mayor − detalle 62</t>
  </si>
  <si>
    <t xml:space="preserve">Mayor − banco</t>
  </si>
  <si>
    <t xml:space="preserve">Detalle 62 − banco</t>
  </si>
  <si>
    <t xml:space="preserve">Tabla − banco</t>
  </si>
  <si>
    <t xml:space="preserve">BANCO DAVIVIENDA</t>
  </si>
  <si>
    <t xml:space="preserve">Crédito tesorería 457300748906 (cancelado 28-ene-26)</t>
  </si>
  <si>
    <t xml:space="preserve">457300569032 – CRED TESORERIA</t>
  </si>
  <si>
    <t xml:space="preserve">[C] Certificado / extracto 2026</t>
  </si>
  <si>
    <t xml:space="preserve">457300830624 – CRED TESORERIA</t>
  </si>
  <si>
    <t xml:space="preserve">457300607691 – CRED TESORERIA</t>
  </si>
  <si>
    <t xml:space="preserve">LEASING 1019441 – CAMION LZT 927</t>
  </si>
  <si>
    <t xml:space="preserve">LEASING 1019448 – CAMION LZT 926</t>
  </si>
  <si>
    <t xml:space="preserve">LEASING 10212753 – CALDERAS-SISTEMA DE ALIMENTACION BIOMASA</t>
  </si>
  <si>
    <t xml:space="preserve">Leasing 2 motogeneradores GECOLSA (no está en detalle 62)</t>
  </si>
  <si>
    <t xml:space="preserve">N/D</t>
  </si>
  <si>
    <t xml:space="preserve">BANCO DE BOGOTA</t>
  </si>
  <si>
    <t xml:space="preserve">453436746 – CRED TESORERIA</t>
  </si>
  <si>
    <t xml:space="preserve">856670629 – CRED TESORERIA</t>
  </si>
  <si>
    <t xml:space="preserve">858177259 – CRED TESORERIA</t>
  </si>
  <si>
    <t xml:space="preserve">Crédito 1155297469 → prorrogado 1159383796</t>
  </si>
  <si>
    <t xml:space="preserve">LEASING 556449224 – POZO # 1</t>
  </si>
  <si>
    <t xml:space="preserve">LEASING 556449180 – POZO # 2</t>
  </si>
  <si>
    <t xml:space="preserve">LEASING 556449117 – POZO # 3</t>
  </si>
  <si>
    <t xml:space="preserve">LEASING 556449064 – POZO # 4</t>
  </si>
  <si>
    <t xml:space="preserve">LEASING 556449288 – POZO # 5</t>
  </si>
  <si>
    <t xml:space="preserve">LEASING 557285005 – PLANTA ELECTRICA JENBACHER</t>
  </si>
  <si>
    <t xml:space="preserve">631309940-2 – CRED TESORERIA</t>
  </si>
  <si>
    <t xml:space="preserve">252059 – CRED TESORERIA</t>
  </si>
  <si>
    <t xml:space="preserve">1260105867 – CAPITAL DE TRABAJO</t>
  </si>
  <si>
    <t xml:space="preserve">LEASING 362095 – EXCAVADORA PC130-8 KOMATSU</t>
  </si>
  <si>
    <t xml:space="preserve">LEASING 336817 – TURBINA - TURBOKRAFT </t>
  </si>
  <si>
    <t xml:space="preserve">LEASING 331330 – PLANTA ELECTRICA CATERPILLAR C32-910</t>
  </si>
  <si>
    <t xml:space="preserve">Leasing 386735 camión VW Constellation (nuevo 28-jul-26)</t>
  </si>
  <si>
    <t xml:space="preserve">PARTIDAS AJENAS EN 2120 (neto cero)</t>
  </si>
  <si>
    <t xml:space="preserve">Comisiones Valley Trading registradas y reclasificadas en 21202040</t>
  </si>
  <si>
    <t xml:space="preserve">NI-4731 cruce anticipo calderas en 21202140</t>
  </si>
  <si>
    <t xml:space="preserve">TOTAL CRÉDITO</t>
  </si>
  <si>
    <t xml:space="preserve">Balance Crédito (signo +)</t>
  </si>
  <si>
    <t xml:space="preserve">Diferencia (por obligación − balance)</t>
  </si>
  <si>
    <t xml:space="preserve">TOTAL LEASING</t>
  </si>
  <si>
    <t xml:space="preserve">Balance Leasing (signo +)</t>
  </si>
  <si>
    <t xml:space="preserve">Nota: [C] cotejado con certificado/extracto 2026; [E] estimado con el extracto al 31-dic-25 del PT 2025 más los movimientos de capital 2026 del mayor (supone que el banco aplicó los mismos abonos); [P] sin soporte bancario.</t>
  </si>
  <si>
    <t xml:space="preserve">BLOQUE 4 – Recálculo de intereses</t>
  </si>
  <si>
    <t xml:space="preserve">Fórmula: interés = capital × ((1 + tasa EA)^(días / base) − 1), con base 365 o 360 según el banco.</t>
  </si>
  <si>
    <t xml:space="preserve">Parte 1: ¿el banco cobró bien?  ·  Parte 2: intereses desde el último pago hasta el 31-jul que no están contabilizados (AJE-1)  ·  Parte 3: saldo implícito de leasings.</t>
  </si>
  <si>
    <t xml:space="preserve">Recálculo de intereses (NIIF 9 – costo amortizado, método del interés efectivo)</t>
  </si>
  <si>
    <t xml:space="preserve">Interés = Capital × ((1 + EA)^(días/base) − 1). Las fechas y tasas en azul provienen del certificado o del detalle 62 (ver columna 'Fuente').</t>
  </si>
  <si>
    <t xml:space="preserve">Parte 1. Recálculo de intereses liquidados por el banco (prueba de exactitud de la liquidación bancaria)</t>
  </si>
  <si>
    <t xml:space="preserve">Periodo / concepto</t>
  </si>
  <si>
    <t xml:space="preserve">Capital base</t>
  </si>
  <si>
    <t xml:space="preserve">Tasa EA</t>
  </si>
  <si>
    <t xml:space="preserve">Desde</t>
  </si>
  <si>
    <t xml:space="preserve">Hasta</t>
  </si>
  <si>
    <t xml:space="preserve">Días</t>
  </si>
  <si>
    <t xml:space="preserve">Recalc. base 365</t>
  </si>
  <si>
    <t xml:space="preserve">Recalc. base 360</t>
  </si>
  <si>
    <t xml:space="preserve">Interés banco</t>
  </si>
  <si>
    <t xml:space="preserve">Dif. mínima (recalc − banco)</t>
  </si>
  <si>
    <t xml:space="preserve">% dif.</t>
  </si>
  <si>
    <t xml:space="preserve">EA implícita (365)</t>
  </si>
  <si>
    <t xml:space="preserve">Intereses 21-mar a 21-sep-26 (próximo pago)</t>
  </si>
  <si>
    <t xml:space="preserve">Intereses 28-ene a 28-jul-26</t>
  </si>
  <si>
    <t xml:space="preserve">La tasa 'cobrada' de 12,58% EA del extracto no reconcilia con el interés facturado; la tasa implícita (~14,4% EA) es coherente con IBR 10,69% + 3,40 pts. Confirmar con Davivienda.</t>
  </si>
  <si>
    <t xml:space="preserve">Igual situación que 607691.</t>
  </si>
  <si>
    <t xml:space="preserve">Cuota 12: 21-mar a 21-jun-26</t>
  </si>
  <si>
    <t xml:space="preserve">Finagro: el banco liquida en base 360.</t>
  </si>
  <si>
    <t xml:space="preserve">Próxima cuota: 25-may a 25-ago-26</t>
  </si>
  <si>
    <t xml:space="preserve">Finagro: base 360.</t>
  </si>
  <si>
    <t xml:space="preserve">Cuota 100: 17-jun a 17-jul-26</t>
  </si>
  <si>
    <t xml:space="preserve">Ordinaria comercial: base 365.</t>
  </si>
  <si>
    <t xml:space="preserve">Crédito 1155297469 cuota 2: 14-abr a 14-jul-26</t>
  </si>
  <si>
    <t xml:space="preserve">Intereses causados 22-jul a 11-ago-26</t>
  </si>
  <si>
    <t xml:space="preserve">Canon jul: 22-abr a 22-jul-26</t>
  </si>
  <si>
    <t xml:space="preserve">Canon jul: 27-abr a 27-jul-26</t>
  </si>
  <si>
    <t xml:space="preserve">Canon jul: 23-abr a 23-jul-26</t>
  </si>
  <si>
    <t xml:space="preserve">Canon jul: 20-abr a 20-jul-26</t>
  </si>
  <si>
    <t xml:space="preserve">Parte 2. Causación de intereses al 31-jul-2026 – recálculo vs registrado en 2130 (prueba de corte y valuación)</t>
  </si>
  <si>
    <t xml:space="preserve">Fuente capital / tasa</t>
  </si>
  <si>
    <t xml:space="preserve">Capital 31-jul</t>
  </si>
  <si>
    <t xml:space="preserve">Inicio causación (último pago)</t>
  </si>
  <si>
    <t xml:space="preserve">Base días</t>
  </si>
  <si>
    <t xml:space="preserve">Interés causado recalculado</t>
  </si>
  <si>
    <t xml:space="preserve">Causado s/mayor (2130)</t>
  </si>
  <si>
    <t xml:space="preserve">No registrado (recalc − mayor)</t>
  </si>
  <si>
    <t xml:space="preserve">Cuenta 2130</t>
  </si>
  <si>
    <t xml:space="preserve">Último pago s/mayor</t>
  </si>
  <si>
    <t xml:space="preserve">Certificado</t>
  </si>
  <si>
    <t xml:space="preserve">Interés semestral vencido; el cliente causa cifras fijas mensuales hasta el día ~24 → subcausación.</t>
  </si>
  <si>
    <t xml:space="preserve">Cert. / tasa detalle 62</t>
  </si>
  <si>
    <t xml:space="preserve">3 días del nuevo semestre. Tasa del nuevo periodo no certificada: se usa la del detalle 62.</t>
  </si>
  <si>
    <t xml:space="preserve">Ídem.</t>
  </si>
  <si>
    <t xml:space="preserve">Detalle 62 (sin certificado)</t>
  </si>
  <si>
    <t xml:space="preserve">Renovado 30-jun-26 con intereses mensuales: no hay causación de julio en 2130. Verificar si el interés de julio se pagó y llevó a 53052020; si no, debe causarse.</t>
  </si>
  <si>
    <t xml:space="preserve">Crédito mensual: el cliente no causa entre cuotas (gasto al pago).</t>
  </si>
  <si>
    <t xml:space="preserve">Finagro, base 360.</t>
  </si>
  <si>
    <t xml:space="preserve">Cert. 1155297469 / tasa detalle</t>
  </si>
  <si>
    <t xml:space="preserve">Inicio estimado 22-jul (vencimiento 22-ene-27, 6 meses, según detalle 62). Sin certificado del nuevo crédito; confirmar si hubo intereses 14 a 22-jul.</t>
  </si>
  <si>
    <t xml:space="preserve">Inicio estimado 17-jun (cuotas trimestrales al 17; vence 17-dic-26). Pago registrado 30-jun con intereses de mora $54.242.</t>
  </si>
  <si>
    <t xml:space="preserve">El banco certifica $24.607.407 causados del 22-jul al 11-ago (ver Parte 1).</t>
  </si>
  <si>
    <t xml:space="preserve">Banco [E] / tasa extracto</t>
  </si>
  <si>
    <t xml:space="preserve">Banco [E] / tasa detalle 62</t>
  </si>
  <si>
    <t xml:space="preserve">Inicio según periodo 'ABR-MAY-JUN' del CL-414. Confirmar fechas de canon con Bancolombia (vencimientos al día 14).</t>
  </si>
  <si>
    <t xml:space="preserve">Inicio = fecha del último canon registrado (CL-421).</t>
  </si>
  <si>
    <t xml:space="preserve">Inicio = fecha del último canon registrado (CL-420).</t>
  </si>
  <si>
    <t xml:space="preserve">Mayor (no está en detalle 62)</t>
  </si>
  <si>
    <t xml:space="preserve">IBR TV + 1,35 según glosa NB-1014.</t>
  </si>
  <si>
    <t xml:space="preserve">  de los cuales créditos (21300101)</t>
  </si>
  <si>
    <t xml:space="preserve">  de los cuales leasing (21300102)</t>
  </si>
  <si>
    <t xml:space="preserve">Saldo 2130 según balance</t>
  </si>
  <si>
    <t xml:space="preserve">Diferencia causado por obligación vs balance 2130</t>
  </si>
  <si>
    <t xml:space="preserve">Redondeos de reversiones (p.ej. 556449288 $0,16).</t>
  </si>
  <si>
    <t xml:space="preserve">Parte 3. Saldo de capital implícito – leasings Davivienda sin saldo en el extracto</t>
  </si>
  <si>
    <t xml:space="preserve">Canon</t>
  </si>
  <si>
    <t xml:space="preserve">Interés del canon</t>
  </si>
  <si>
    <t xml:space="preserve">Capital implícito antes del canon</t>
  </si>
  <si>
    <t xml:space="preserve">Capital del canon</t>
  </si>
  <si>
    <t xml:space="preserve">Capital implícito después</t>
  </si>
  <si>
    <t xml:space="preserve">Dif. detalle − implícito</t>
  </si>
  <si>
    <t xml:space="preserve">Canon 006 (sólo intereses)</t>
  </si>
  <si>
    <t xml:space="preserve">Estimación indicativa (la tasa puede variar dentro del periodo). Solicitar certificado de saldo.</t>
  </si>
  <si>
    <t xml:space="preserve">Canon 033</t>
  </si>
  <si>
    <t xml:space="preserve">Canon 031</t>
  </si>
  <si>
    <t xml:space="preserve">REVISIÓN DE LAS TABLAS DE AMORTIZACIÓN DEL CLIENTE (papel 64) – 25 tablas</t>
  </si>
  <si>
    <t xml:space="preserve">Cómo leer esta hoja: primero el RESUMEN de las 25 tablas; debajo, cada tabla completa (usa los enlaces de la columna 'Anexo' del resumen).</t>
  </si>
  <si>
    <t xml:space="preserve">En cada tabla: columnas A–G BLANCAS = tabla tal como la entregó el cliente;   columnas H–P AMARILLAS = recálculo de auditoría.</t>
  </si>
  <si>
    <t xml:space="preserve">Si 'Dif. saldo' = 0 la tabla está bien calculada.   'Tabla − banco' muestra cuánto se aleja la tabla de lo que realmente cobra el banco.</t>
  </si>
  <si>
    <t xml:space="preserve">RESUMEN DE LA REVISIÓN DE TABLAS</t>
  </si>
  <si>
    <t xml:space="preserve">Cada fila es una tabla. La última columna ('Observación de auditoría') explica en palabras lo encontrado.</t>
  </si>
  <si>
    <t xml:space="preserve">Revisión y recálculo de las tablas de amortización del cliente (papel 64) – corte 31-jul-2026</t>
  </si>
  <si>
    <t xml:space="preserve">Cada fila resume un anexo Tablas_Amortizacion. Saldo banco desde Pruebas_Auditoria (bloque 3); interés registrado desde Intereses_x_Obligacion.</t>
  </si>
  <si>
    <t xml:space="preserve">Hoja cliente</t>
  </si>
  <si>
    <t xml:space="preserve">Anexo</t>
  </si>
  <si>
    <t xml:space="preserve">Valor inicial</t>
  </si>
  <si>
    <t xml:space="preserve">Fecha inicio</t>
  </si>
  <si>
    <t xml:space="preserve">Tasa pactada</t>
  </si>
  <si>
    <t xml:space="preserve">TIR tabla (periodo)</t>
  </si>
  <si>
    <t xml:space="preserve">TIR recalc.</t>
  </si>
  <si>
    <t xml:space="preserve">Dif. TIR (pb)</t>
  </si>
  <si>
    <t xml:space="preserve">Última cuota ≤ corte</t>
  </si>
  <si>
    <t xml:space="preserve">Saldo tabla 31-jul</t>
  </si>
  <si>
    <t xml:space="preserve">Tabla − detalle 62</t>
  </si>
  <si>
    <t xml:space="preserve">Saldo banco 31-jul</t>
  </si>
  <si>
    <t xml:space="preserve">Interés tabla ene–jul 26</t>
  </si>
  <si>
    <t xml:space="preserve">Interés registrado 2026</t>
  </si>
  <si>
    <t xml:space="preserve">Registrado − tabla</t>
  </si>
  <si>
    <t xml:space="preserve">CP 12m según tabla</t>
  </si>
  <si>
    <t xml:space="preserve">CP detalle 62</t>
  </si>
  <si>
    <t xml:space="preserve">CP tabla − detalle</t>
  </si>
  <si>
    <t xml:space="preserve">Máx. dif. recálculo saldo</t>
  </si>
  <si>
    <t xml:space="preserve">Costo amortizado cliente (col. W) 31-jul</t>
  </si>
  <si>
    <t xml:space="preserve">C. amortizado − saldo tabla</t>
  </si>
  <si>
    <t xml:space="preserve">Observación de auditoría</t>
  </si>
  <si>
    <t xml:space="preserve">9441</t>
  </si>
  <si>
    <t xml:space="preserve">A01-9441</t>
  </si>
  <si>
    <t xml:space="preserve">_0001019441</t>
  </si>
  <si>
    <t xml:space="preserve">Tabla teórica a tasa fija (TIR mensual constante) y cuota fija $17.681.217; el banco liquida a tasa variable (canon 033: capital $12.327.298 / interés $5.062.372). El saldo del detalle 62 es el de esta tabla, no el del banco.</t>
  </si>
  <si>
    <t xml:space="preserve">9448</t>
  </si>
  <si>
    <t xml:space="preserve">A02-9448</t>
  </si>
  <si>
    <t xml:space="preserve">_0001019448-3</t>
  </si>
  <si>
    <t xml:space="preserve">Tabla teórica a tasa fija y cuota constante; el banco liquida a tasa variable (canon 031: capital $8.867.342 / interés $4.177.893). Detalle 62 = saldo de la tabla.</t>
  </si>
  <si>
    <t xml:space="preserve">2753</t>
  </si>
  <si>
    <t xml:space="preserve">A03-2753</t>
  </si>
  <si>
    <t xml:space="preserve">30001021275-3</t>
  </si>
  <si>
    <t xml:space="preserve">La TIR de la tabla supera el canon de sólo intereses de los primeros 12 trimestres: la tabla capitaliza intereses y el saldo crece ($1.876,7 MM → $1.883,7 MM). El banco mantiene el capital en $1.876.684.264 y cobra 14,41% EA ($64,0 MM en jul-26 vs $51,5 MM en la tabla).</t>
  </si>
  <si>
    <t xml:space="preserve">D-0624</t>
  </si>
  <si>
    <t xml:space="preserve">A04-D-0624</t>
  </si>
  <si>
    <t xml:space="preserve">457300830624</t>
  </si>
  <si>
    <t xml:space="preserve">Interés mensual simple con IBR 6M + 3 pts / 12; el banco liquida semestre vencido a 15,51% EA. La columna 'medición al costo' (costo amortizado) resta los intereses del saldo: error de fórmula (ver columna Z).</t>
  </si>
  <si>
    <t xml:space="preserve">D-7691</t>
  </si>
  <si>
    <t xml:space="preserve">A05-D-7691</t>
  </si>
  <si>
    <t xml:space="preserve">457300607691</t>
  </si>
  <si>
    <t xml:space="preserve">Interés mensual simple con IBR 6M + 3 pts; el contrato es IBR + 3,40 y el banco factura semestral. Columna de costo amortizado con el mismo error de fórmula (ver columna Z).</t>
  </si>
  <si>
    <t xml:space="preserve">D-9032</t>
  </si>
  <si>
    <t xml:space="preserve">A06-D-9032</t>
  </si>
  <si>
    <t xml:space="preserve">457300569032</t>
  </si>
  <si>
    <t xml:space="preserve">Igual que 607691: puntos adicionales de la tabla (3%) distintos al contrato (3,40%); costo amortizado mal formulado.</t>
  </si>
  <si>
    <t xml:space="preserve">B-6746</t>
  </si>
  <si>
    <t xml:space="preserve">A07-B-6746</t>
  </si>
  <si>
    <t xml:space="preserve">BANCO BOGOTA</t>
  </si>
  <si>
    <t xml:space="preserve">453436746</t>
  </si>
  <si>
    <t xml:space="preserve">Capital fijo $62,5 MM mensual coincide con el banco; el interés de la tabla usa el IBR proyectado.</t>
  </si>
  <si>
    <t xml:space="preserve">B-0629</t>
  </si>
  <si>
    <t xml:space="preserve">A08-B-0629</t>
  </si>
  <si>
    <t xml:space="preserve">856670629</t>
  </si>
  <si>
    <t xml:space="preserve">Capital trimestral $182,2 MM coincide con el banco (diferencia de redondeo en el saldo).</t>
  </si>
  <si>
    <t xml:space="preserve">B-7259</t>
  </si>
  <si>
    <t xml:space="preserve">A09-B-7259</t>
  </si>
  <si>
    <t xml:space="preserve">858177259</t>
  </si>
  <si>
    <t xml:space="preserve">Capital trimestral $125 MM coincide con el banco.</t>
  </si>
  <si>
    <t xml:space="preserve">BOG-1155297469</t>
  </si>
  <si>
    <t xml:space="preserve">B-7469</t>
  </si>
  <si>
    <t xml:space="preserve">A10-B-7469</t>
  </si>
  <si>
    <t xml:space="preserve">1155297469</t>
  </si>
  <si>
    <t xml:space="preserve">Tabla del crédito cancelado/prorrogado el 14/29-jul-26.</t>
  </si>
  <si>
    <t xml:space="preserve">Hoja2</t>
  </si>
  <si>
    <t xml:space="preserve">A11-Hoja2</t>
  </si>
  <si>
    <t xml:space="preserve">1159383796</t>
  </si>
  <si>
    <t xml:space="preserve">La hoja 'Hoja2' es copia de la tabla del 1155297469: fechas feb–jul 2026 anteriores al inicio (22-jul-26) y saldo cero al 14-jul. No sirve como tabla del crédito nuevo.</t>
  </si>
  <si>
    <t xml:space="preserve">9224</t>
  </si>
  <si>
    <t xml:space="preserve">A12-9224</t>
  </si>
  <si>
    <t xml:space="preserve">556449224</t>
  </si>
  <si>
    <t xml:space="preserve">Tabla a tasa fija; el banco liquida DTF variable: saldo certificado mayor que el de la tabla.</t>
  </si>
  <si>
    <t xml:space="preserve">9180</t>
  </si>
  <si>
    <t xml:space="preserve">A13-9180</t>
  </si>
  <si>
    <t xml:space="preserve">556449180</t>
  </si>
  <si>
    <t xml:space="preserve">9117</t>
  </si>
  <si>
    <t xml:space="preserve">A14-9117</t>
  </si>
  <si>
    <t xml:space="preserve">556449117</t>
  </si>
  <si>
    <t xml:space="preserve">Tabla a tasa fija con TIR muy baja (0,59% trimestral) y capital acelerado: saldo $57 MM por debajo del banco.</t>
  </si>
  <si>
    <t xml:space="preserve">9064</t>
  </si>
  <si>
    <t xml:space="preserve">A15-9064</t>
  </si>
  <si>
    <t xml:space="preserve">556449064</t>
  </si>
  <si>
    <t xml:space="preserve">9299</t>
  </si>
  <si>
    <t xml:space="preserve">A16-9299</t>
  </si>
  <si>
    <t xml:space="preserve">556449288</t>
  </si>
  <si>
    <t xml:space="preserve">5005</t>
  </si>
  <si>
    <t xml:space="preserve">A17-5005</t>
  </si>
  <si>
    <t xml:space="preserve">557285005</t>
  </si>
  <si>
    <t xml:space="preserve">Tabla a tasa fija; el banco liquida IBR 3M variable: saldo certificado mayor que el de la tabla.</t>
  </si>
  <si>
    <t xml:space="preserve">P-9940</t>
  </si>
  <si>
    <t xml:space="preserve">A18-P-9940</t>
  </si>
  <si>
    <t xml:space="preserve">Capital trimestral $143,75 MM coincide con lo pagado; vence 17-dic-26 (todo corriente).</t>
  </si>
  <si>
    <t xml:space="preserve">BBVA-9600277262</t>
  </si>
  <si>
    <t xml:space="preserve">V-7262</t>
  </si>
  <si>
    <t xml:space="preserve">A19-V-7262</t>
  </si>
  <si>
    <t xml:space="preserve">9600277262</t>
  </si>
  <si>
    <t xml:space="preserve">Tabla del crédito anterior (11-dic-25 a 11-jun-26). No hay tabla del crédito renovado el 30-jun-26 (glosa 'crédito 0141').</t>
  </si>
  <si>
    <t xml:space="preserve">BC-5867</t>
  </si>
  <si>
    <t xml:space="preserve">A20-BC-5867</t>
  </si>
  <si>
    <t xml:space="preserve">BANCOLOMBIA</t>
  </si>
  <si>
    <t xml:space="preserve">1260105867</t>
  </si>
  <si>
    <t xml:space="preserve">Capital anual $1.666,7 MM; coincide con el certificado (capital vigente $3.333.333.334).</t>
  </si>
  <si>
    <t xml:space="preserve">362095</t>
  </si>
  <si>
    <t xml:space="preserve">A21-362095</t>
  </si>
  <si>
    <t xml:space="preserve">LEASING BANCOLOMBIA S.A.</t>
  </si>
  <si>
    <t xml:space="preserve">ERROR: el periodo 5 (14-jun-26) aumenta el saldo en $48,8 MM (capital negativo) y la última cuota deja saldo negativo. El detalle 62 usa el saldo de dic-25 ($497,2 MM) sin actualizar.</t>
  </si>
  <si>
    <t xml:space="preserve">336817</t>
  </si>
  <si>
    <t xml:space="preserve">A22-336817</t>
  </si>
  <si>
    <t xml:space="preserve">Tabla a tasa fija; detalle 62 = saldo de la tabla. Sin extracto 2026.</t>
  </si>
  <si>
    <t xml:space="preserve">331330</t>
  </si>
  <si>
    <t xml:space="preserve">A23-331330</t>
  </si>
  <si>
    <t xml:space="preserve">Tabla con amortización de capital constante $14.586.381, pero desde feb-26 se paga $17.114.382 (mayor): la tabla no refleja los pagos reales.</t>
  </si>
  <si>
    <t xml:space="preserve">DYP-482800190700</t>
  </si>
  <si>
    <t xml:space="preserve">DD-0709</t>
  </si>
  <si>
    <t xml:space="preserve">A24-DD-0709</t>
  </si>
  <si>
    <t xml:space="preserve">DAVIVIENDA DYPSIS</t>
  </si>
  <si>
    <t xml:space="preserve">7000482800190700</t>
  </si>
  <si>
    <t xml:space="preserve">Crédito Davivienda DYPSIS $72.300 MM (30-may-25 a 28-may-27) incluido en el archivo de tablas pero NO registrado en el mayor de Guaicaramo. Confirmar titular, vinculación y garantías otorgadas.</t>
  </si>
  <si>
    <t xml:space="preserve">DAV-L1013934</t>
  </si>
  <si>
    <t xml:space="preserve">3934</t>
  </si>
  <si>
    <t xml:space="preserve">A25-3934</t>
  </si>
  <si>
    <t xml:space="preserve">BANCO DAVIVIENDA INPARME</t>
  </si>
  <si>
    <t xml:space="preserve">30001013934-6</t>
  </si>
  <si>
    <t xml:space="preserve">Contrato INPARME terminado; sin saldo en el mayor 2026.</t>
  </si>
  <si>
    <t xml:space="preserve">TOTAL (obligaciones en el mayor)</t>
  </si>
  <si>
    <t xml:space="preserve">Conclusiones de la revisión de tablas</t>
  </si>
  <si>
    <t xml:space="preserve">1. Los saldos del detalle 62 se toman de estas tablas teóricas (tasa fija / IBR-DTF proyectado), no de los extractos: en leasings la diferencia con el banco proviene de la tasa variable efectivamente cobrada.</t>
  </si>
  <si>
    <t xml:space="preserve">2. El recálculo aritmético (columna Y) valida la consistencia interna de cada tabla (saldo inicial + interés − pago = saldo final). Las diferencias materiales indican fórmulas alteradas o filas pegadas como valor.</t>
  </si>
  <si>
    <t xml:space="preserve">3. Las tablas de créditos Davivienda tienen la columna de costo amortizado mal formulada (resta intereses del saldo): no deben usarse para medir el pasivo bajo NIIF 9 (B5.4.1).</t>
  </si>
  <si>
    <t xml:space="preserve">4. Faltan tablas para: leasing Bancolombia 386735, leasing GECOLSA (Davivienda), BBVA renovado (0141) y el crédito Bogotá 1159383796 ('Hoja2' es una copia del crédito anterior).</t>
  </si>
  <si>
    <t xml:space="preserve">5. El archivo incluye el crédito Davivienda DYPSIS ($72.300 MM) que no está en el mayor de Guaicaramo: confirmar titular y garantías (NIC 24, NIIF 9 §2.1(e) garantías financieras, NIC 37).</t>
  </si>
  <si>
    <t xml:space="preserve">TABLA 01 – DAV-L1019441 – BANCO DAVIVIENDA _0001019441</t>
  </si>
  <si>
    <t xml:space="preserve">Observación: Tabla teórica a tasa fija (TIR mensual constante) y cuota fija $17.681.217; el banco liquida a tasa variable (canon 033: capital $12.327.298 / interés $5.062.372). El saldo del detalle 62 es el de esta tabla, no el del banco.</t>
  </si>
  <si>
    <t xml:space="preserve">Anexo A01-9441 – Tabla de amortización del cliente vs recálculo de auditoría – DAV-L1019441</t>
  </si>
  <si>
    <t xml:space="preserve">Fuente: 64._Tabla_amortización_obligaciones_financieras.xlsm, hoja '9441'. Columnas A–G: cliente [A]; H–P: recálculo auditoría [B].</t>
  </si>
  <si>
    <t xml:space="preserve">Banco / contrato</t>
  </si>
  <si>
    <t xml:space="preserve">BANCO DAVIVIENDA – _0001019441</t>
  </si>
  <si>
    <t xml:space="preserve">Resultados al 31-jul-2026</t>
  </si>
  <si>
    <t xml:space="preserve">Fecha última cuota ≤ corte</t>
  </si>
  <si>
    <t xml:space="preserve">Saldo tabla cliente</t>
  </si>
  <si>
    <t xml:space="preserve">Plazo / tasa pactada</t>
  </si>
  <si>
    <t xml:space="preserve">60 MESES – IBR+4%</t>
  </si>
  <si>
    <t xml:space="preserve">Saldo recalculado</t>
  </si>
  <si>
    <t xml:space="preserve">Tasa periódica tabla (TIR cliente)</t>
  </si>
  <si>
    <t xml:space="preserve">TIR recalculada (flujos col. M)</t>
  </si>
  <si>
    <t xml:space="preserve">Capital siguiente 12 meses (CP)</t>
  </si>
  <si>
    <t xml:space="preserve">Tasa EA equivalente</t>
  </si>
  <si>
    <t xml:space="preserve">Máx. dif. saldo |cliente − recalc.|</t>
  </si>
  <si>
    <t xml:space="preserve">Per.</t>
  </si>
  <si>
    <t xml:space="preserve">Saldo inicial</t>
  </si>
  <si>
    <t xml:space="preserve">Interés</t>
  </si>
  <si>
    <t xml:space="preserve">Capital</t>
  </si>
  <si>
    <t xml:space="preserve">Pago / cuota</t>
  </si>
  <si>
    <t xml:space="preserve">Saldo final</t>
  </si>
  <si>
    <t xml:space="preserve">Saldo inicial recalc.</t>
  </si>
  <si>
    <t xml:space="preserve">Interés recalc.</t>
  </si>
  <si>
    <t xml:space="preserve">Saldo final recalc.</t>
  </si>
  <si>
    <t xml:space="preserve">Dif. interés</t>
  </si>
  <si>
    <t xml:space="preserve">Dif. saldo</t>
  </si>
  <si>
    <t xml:space="preserve">Flujo (TIR)</t>
  </si>
  <si>
    <t xml:space="preserve">Tasa periodo</t>
  </si>
  <si>
    <t xml:space="preserve">Ene–jul 26</t>
  </si>
  <si>
    <t xml:space="preserve">CP 12m</t>
  </si>
  <si>
    <t xml:space="preserve">TABLA 02 – DAV-L1019448 – BANCO DAVIVIENDA _0001019448-3</t>
  </si>
  <si>
    <t xml:space="preserve">Observación: Tabla teórica a tasa fija y cuota constante; el banco liquida a tasa variable (canon 031: capital $8.867.342 / interés $4.177.893). Detalle 62 = saldo de la tabla.</t>
  </si>
  <si>
    <t xml:space="preserve">Anexo A02-9448 – Tabla de amortización del cliente vs recálculo de auditoría – DAV-L1019448</t>
  </si>
  <si>
    <t xml:space="preserve">Fuente: 64._Tabla_amortización_obligaciones_financieras.xlsm, hoja '9448'. Columnas A–G: cliente [A]; H–P: recálculo auditoría [B].</t>
  </si>
  <si>
    <t xml:space="preserve">BANCO DAVIVIENDA – _0001019448-3</t>
  </si>
  <si>
    <t xml:space="preserve">TABLA 03 – DAV-L1021275 – BANCO DAVIVIENDA 30001021275-3</t>
  </si>
  <si>
    <t xml:space="preserve">Observación: La TIR de la tabla supera el canon de sólo intereses de los primeros 12 trimestres: la tabla capitaliza intereses y el saldo crece ($1.876,7 MM → $1.883,7 MM). El banco mantiene el capital en $1.876.684.264 y cobra 14,41% EA ($64,0 MM en jul-26 vs $51,5 MM en la tabla).</t>
  </si>
  <si>
    <t xml:space="preserve">Anexo A03-2753 – Tabla de amortización del cliente vs recálculo de auditoría – DAV-L1021275</t>
  </si>
  <si>
    <t xml:space="preserve">Fuente: 64._Tabla_amortización_obligaciones_financieras.xlsm, hoja '2753'. Columnas A–G: cliente [A]; H–P: recálculo auditoría [B].</t>
  </si>
  <si>
    <t xml:space="preserve">BANCO DAVIVIENDA – 30001021275-3</t>
  </si>
  <si>
    <t xml:space="preserve">84 MESES – IBR TV + 2,3</t>
  </si>
  <si>
    <t xml:space="preserve">TABLA 04 – DAV-830624 – BANCO DAVIVIENDA 457300830624</t>
  </si>
  <si>
    <t xml:space="preserve">Observación: Interés mensual simple con IBR 6M + 3 pts / 12; el banco liquida semestre vencido a 15,51% EA. La columna 'medición al costo' (costo amortizado) resta los intereses del saldo: error de fórmula (ver columna Z).</t>
  </si>
  <si>
    <t xml:space="preserve">Anexo A04-D-0624 – Tabla de amortización del cliente vs recálculo de auditoría – DAV-830624</t>
  </si>
  <si>
    <t xml:space="preserve">Fuente: 64._Tabla_amortización_obligaciones_financieras.xlsm, hoja 'D-0624'. Columnas A–G: cliente [A]; H–P: recálculo auditoría [B].</t>
  </si>
  <si>
    <t xml:space="preserve">BANCO DAVIVIENDA – 457300830624</t>
  </si>
  <si>
    <t xml:space="preserve">240 meses – IBR 6MESES + 3</t>
  </si>
  <si>
    <t xml:space="preserve">Por fila (col. N)</t>
  </si>
  <si>
    <t xml:space="preserve">TABLA 05 – DAV-607691 – BANCO DAVIVIENDA 457300607691</t>
  </si>
  <si>
    <t xml:space="preserve">Observación: Interés mensual simple con IBR 6M + 3 pts; el contrato es IBR + 3,40 y el banco factura semestral. Columna de costo amortizado con el mismo error de fórmula (ver columna Z).</t>
  </si>
  <si>
    <t xml:space="preserve">Anexo A05-D-7691 – Tabla de amortización del cliente vs recálculo de auditoría – DAV-607691</t>
  </si>
  <si>
    <t xml:space="preserve">Fuente: 64._Tabla_amortización_obligaciones_financieras.xlsm, hoja 'D-7691'. Columnas A–G: cliente [A]; H–P: recálculo auditoría [B].</t>
  </si>
  <si>
    <t xml:space="preserve">BANCO DAVIVIENDA – 457300607691</t>
  </si>
  <si>
    <t xml:space="preserve">240 meses – IBR 6MESES +3,4</t>
  </si>
  <si>
    <t xml:space="preserve">TABLA 06 – DAV-569032 – BANCO DAVIVIENDA 457300569032</t>
  </si>
  <si>
    <t xml:space="preserve">Observación: Igual que 607691: puntos adicionales de la tabla (3%) distintos al contrato (3,40%); costo amortizado mal formulado.</t>
  </si>
  <si>
    <t xml:space="preserve">Anexo A06-D-9032 – Tabla de amortización del cliente vs recálculo de auditoría – DAV-569032</t>
  </si>
  <si>
    <t xml:space="preserve">Fuente: 64._Tabla_amortización_obligaciones_financieras.xlsm, hoja 'D-9032'. Columnas A–G: cliente [A]; H–P: recálculo auditoría [B].</t>
  </si>
  <si>
    <t xml:space="preserve">BANCO DAVIVIENDA – 457300569032</t>
  </si>
  <si>
    <t xml:space="preserve">TABLA 07 – BOG-453436746 – BANCO BOGOTA 453436746</t>
  </si>
  <si>
    <t xml:space="preserve">Observación: Capital fijo $62,5 MM mensual coincide con el banco; el interés de la tabla usa el IBR proyectado.</t>
  </si>
  <si>
    <t xml:space="preserve">Anexo A07-B-6746 – Tabla de amortización del cliente vs recálculo de auditoría – BOG-453436746</t>
  </si>
  <si>
    <t xml:space="preserve">Fuente: 64._Tabla_amortización_obligaciones_financieras.xlsm, hoja 'B-6746'. Columnas A–G: cliente [A]; H–P: recálculo auditoría [B].</t>
  </si>
  <si>
    <t xml:space="preserve">BANCO BOGOTA – 453436746</t>
  </si>
  <si>
    <t xml:space="preserve">144 meses – IBR +4,70</t>
  </si>
  <si>
    <t xml:space="preserve">TABLA 08 – BOG-856670629 – BANCO DE BOGOTA 856670629</t>
  </si>
  <si>
    <t xml:space="preserve">Observación: Capital trimestral $182,2 MM coincide con el banco (diferencia de redondeo en el saldo).</t>
  </si>
  <si>
    <t xml:space="preserve">Anexo A08-B-0629 – Tabla de amortización del cliente vs recálculo de auditoría – BOG-856670629</t>
  </si>
  <si>
    <t xml:space="preserve">Fuente: 64._Tabla_amortización_obligaciones_financieras.xlsm, hoja 'B-0629'. Columnas A–G: cliente [A]; H–P: recálculo auditoría [B].</t>
  </si>
  <si>
    <t xml:space="preserve">BANCO DE BOGOTA – 856670629</t>
  </si>
  <si>
    <t xml:space="preserve">60 meses – IBR(3M) + 3,2%</t>
  </si>
  <si>
    <t xml:space="preserve">TABLA 09 – BOG-858177259 – BANCO DE BOGOTA 858177259</t>
  </si>
  <si>
    <t xml:space="preserve">Observación: Capital trimestral $125 MM coincide con el banco.</t>
  </si>
  <si>
    <t xml:space="preserve">Anexo A09-B-7259 – Tabla de amortización del cliente vs recálculo de auditoría – BOG-858177259</t>
  </si>
  <si>
    <t xml:space="preserve">Fuente: 64._Tabla_amortización_obligaciones_financieras.xlsm, hoja 'B-7259'. Columnas A–G: cliente [A]; H–P: recálculo auditoría [B].</t>
  </si>
  <si>
    <t xml:space="preserve">BANCO DE BOGOTA – 858177259</t>
  </si>
  <si>
    <t xml:space="preserve">60 meses – IBR(3M) + 4,6%</t>
  </si>
  <si>
    <t xml:space="preserve">TABLA 10 – BOG-1155297469 – BANCO DE BOGOTA 1155297469</t>
  </si>
  <si>
    <t xml:space="preserve">Observación: Tabla del crédito cancelado/prorrogado el 14/29-jul-26.</t>
  </si>
  <si>
    <t xml:space="preserve">Anexo A10-B-7469 – Tabla de amortización del cliente vs recálculo de auditoría – BOG-1155297469</t>
  </si>
  <si>
    <t xml:space="preserve">Fuente: 64._Tabla_amortización_obligaciones_financieras.xlsm, hoja 'B-7469'. Columnas A–G: cliente [A]; H–P: recálculo auditoría [B].</t>
  </si>
  <si>
    <t xml:space="preserve">BANCO DE BOGOTA – 1155297469</t>
  </si>
  <si>
    <t xml:space="preserve">6 meses – IBR(3M) + 0,8%</t>
  </si>
  <si>
    <t xml:space="preserve">TABLA 11 – BOG-1159383796 – BANCO DE BOGOTA 1159383796</t>
  </si>
  <si>
    <t xml:space="preserve">Observación: La hoja 'Hoja2' es copia de la tabla del 1155297469: fechas feb–jul 2026 anteriores al inicio (22-jul-26) y saldo cero al 14-jul. No sirve como tabla del crédito nuevo.</t>
  </si>
  <si>
    <t xml:space="preserve">Anexo A11-Hoja2 – Tabla de amortización del cliente vs recálculo de auditoría – BOG-1159383796</t>
  </si>
  <si>
    <t xml:space="preserve">Fuente: 64._Tabla_amortización_obligaciones_financieras.xlsm, hoja 'Hoja2'. Columnas A–G: cliente [A]; H–P: recálculo auditoría [B].</t>
  </si>
  <si>
    <t xml:space="preserve">BANCO DE BOGOTA – 1159383796</t>
  </si>
  <si>
    <t xml:space="preserve">TABLA 12 – BOG-L556449224 – BANCO DE BOGOTA 556449224</t>
  </si>
  <si>
    <t xml:space="preserve">Observación: Tabla a tasa fija; el banco liquida DTF variable: saldo certificado mayor que el de la tabla.</t>
  </si>
  <si>
    <t xml:space="preserve">Anexo A12-9224 – Tabla de amortización del cliente vs recálculo de auditoría – BOG-L556449224</t>
  </si>
  <si>
    <t xml:space="preserve">Fuente: 64._Tabla_amortización_obligaciones_financieras.xlsm, hoja '9224'. Columnas A–G: cliente [A]; H–P: recálculo auditoría [B].</t>
  </si>
  <si>
    <t xml:space="preserve">BANCO DE BOGOTA – 556449224</t>
  </si>
  <si>
    <t xml:space="preserve">28 TRIMESTRES – DTF+3,57%</t>
  </si>
  <si>
    <t xml:space="preserve">TABLA 13 – BOG-L556449180 – BANCO DE BOGOTA 556449180</t>
  </si>
  <si>
    <t xml:space="preserve">Anexo A13-9180 – Tabla de amortización del cliente vs recálculo de auditoría – BOG-L556449180</t>
  </si>
  <si>
    <t xml:space="preserve">Fuente: 64._Tabla_amortización_obligaciones_financieras.xlsm, hoja '9180'. Columnas A–G: cliente [A]; H–P: recálculo auditoría [B].</t>
  </si>
  <si>
    <t xml:space="preserve">BANCO DE BOGOTA – 556449180</t>
  </si>
  <si>
    <t xml:space="preserve">TABLA 14 – BOG-L556449117 – BANCO DE BOGOTA 556449117</t>
  </si>
  <si>
    <t xml:space="preserve">Observación: Tabla a tasa fija con TIR muy baja (0,59% trimestral) y capital acelerado: saldo $57 MM por debajo del banco.</t>
  </si>
  <si>
    <t xml:space="preserve">Anexo A14-9117 – Tabla de amortización del cliente vs recálculo de auditoría – BOG-L556449117</t>
  </si>
  <si>
    <t xml:space="preserve">Fuente: 64._Tabla_amortización_obligaciones_financieras.xlsm, hoja '9117'. Columnas A–G: cliente [A]; H–P: recálculo auditoría [B].</t>
  </si>
  <si>
    <t xml:space="preserve">BANCO DE BOGOTA – 556449117</t>
  </si>
  <si>
    <t xml:space="preserve">TABLA 15 – BOG-L556449064 – BANCO DE BOGOTA 556449064</t>
  </si>
  <si>
    <t xml:space="preserve">Anexo A15-9064 – Tabla de amortización del cliente vs recálculo de auditoría – BOG-L556449064</t>
  </si>
  <si>
    <t xml:space="preserve">Fuente: 64._Tabla_amortización_obligaciones_financieras.xlsm, hoja '9064'. Columnas A–G: cliente [A]; H–P: recálculo auditoría [B].</t>
  </si>
  <si>
    <t xml:space="preserve">BANCO DE BOGOTA – 556449064</t>
  </si>
  <si>
    <t xml:space="preserve">TABLA 16 – BOG-L556449288 – BANCO DE BOGOTA 556449288</t>
  </si>
  <si>
    <t xml:space="preserve">Anexo A16-9299 – Tabla de amortización del cliente vs recálculo de auditoría – BOG-L556449288</t>
  </si>
  <si>
    <t xml:space="preserve">Fuente: 64._Tabla_amortización_obligaciones_financieras.xlsm, hoja '9299'. Columnas A–G: cliente [A]; H–P: recálculo auditoría [B].</t>
  </si>
  <si>
    <t xml:space="preserve">BANCO DE BOGOTA – 556449288</t>
  </si>
  <si>
    <t xml:space="preserve">TABLA 17 – BOG-L557285005 – BANCO DE BOGOTA 557285005</t>
  </si>
  <si>
    <t xml:space="preserve">Observación: Tabla a tasa fija; el banco liquida IBR 3M variable: saldo certificado mayor que el de la tabla.</t>
  </si>
  <si>
    <t xml:space="preserve">Anexo A17-5005 – Tabla de amortización del cliente vs recálculo de auditoría – BOG-L557285005</t>
  </si>
  <si>
    <t xml:space="preserve">Fuente: 64._Tabla_amortización_obligaciones_financieras.xlsm, hoja '5005'. Columnas A–G: cliente [A]; H–P: recálculo auditoría [B].</t>
  </si>
  <si>
    <t xml:space="preserve">BANCO DE BOGOTA – 557285005</t>
  </si>
  <si>
    <t xml:space="preserve">24 TRIMESTRES – IBR(3M)+3,78%</t>
  </si>
  <si>
    <t xml:space="preserve">TABLA 18 – POP-631309940 – BANCO POPULAR 631309940-2</t>
  </si>
  <si>
    <t xml:space="preserve">Observación: Capital trimestral $143,75 MM coincide con lo pagado; vence 17-dic-26 (todo corriente).</t>
  </si>
  <si>
    <t xml:space="preserve">Anexo A18-P-9940 – Tabla de amortización del cliente vs recálculo de auditoría – POP-631309940</t>
  </si>
  <si>
    <t xml:space="preserve">Fuente: 64._Tabla_amortización_obligaciones_financieras.xlsm, hoja 'P-9940'. Columnas A–G: cliente [A]; H–P: recálculo auditoría [B].</t>
  </si>
  <si>
    <t xml:space="preserve">BANCO POPULAR – 631309940-2</t>
  </si>
  <si>
    <t xml:space="preserve">60 meses – IBR 3MESES +2,4</t>
  </si>
  <si>
    <t xml:space="preserve">TABLA 19 – BBVA-9600277262 – BBVA 9600277262</t>
  </si>
  <si>
    <t xml:space="preserve">Observación: Tabla del crédito anterior (11-dic-25 a 11-jun-26). No hay tabla del crédito renovado el 30-jun-26 (glosa 'crédito 0141').</t>
  </si>
  <si>
    <t xml:space="preserve">Anexo A19-V-7262 – Tabla de amortización del cliente vs recálculo de auditoría – BBVA-9600277262</t>
  </si>
  <si>
    <t xml:space="preserve">Fuente: 64._Tabla_amortización_obligaciones_financieras.xlsm, hoja 'V-7262'. Columnas A–G: cliente [A]; H–P: recálculo auditoría [B].</t>
  </si>
  <si>
    <t xml:space="preserve">BBVA – 9600277262</t>
  </si>
  <si>
    <t xml:space="preserve">6 meses – IBR 3 MESES + 0,95%</t>
  </si>
  <si>
    <t xml:space="preserve">TABLA 20 – BCL-1260105867 – BANCOLOMBIA 1260105867</t>
  </si>
  <si>
    <t xml:space="preserve">Observación: Capital anual $1.666,7 MM; coincide con el certificado (capital vigente $3.333.333.334).</t>
  </si>
  <si>
    <t xml:space="preserve">Anexo A20-BC-5867 – Tabla de amortización del cliente vs recálculo de auditoría – BCL-1260105867</t>
  </si>
  <si>
    <t xml:space="preserve">Fuente: 64._Tabla_amortización_obligaciones_financieras.xlsm, hoja 'BC-5867'. Columnas A–G: cliente [A]; H–P: recálculo auditoría [B].</t>
  </si>
  <si>
    <t xml:space="preserve">BANCOLOMBIA – 1260105867</t>
  </si>
  <si>
    <t xml:space="preserve">36 meses – IBR 3 MESES + 1,5%</t>
  </si>
  <si>
    <t xml:space="preserve">TABLA 21 – BCL-L362095 – LEASING BANCOLOMBIA S.A. 362095</t>
  </si>
  <si>
    <t xml:space="preserve">Observación: ERROR: el periodo 5 (14-jun-26) aumenta el saldo en $48,8 MM (capital negativo) y la última cuota deja saldo negativo. El detalle 62 usa el saldo de dic-25 ($497,2 MM) sin actualizar.</t>
  </si>
  <si>
    <t xml:space="preserve">Anexo A21-362095 – Tabla de amortización del cliente vs recálculo de auditoría – BCL-L362095</t>
  </si>
  <si>
    <t xml:space="preserve">Fuente: 64._Tabla_amortización_obligaciones_financieras.xlsm, hoja '362095'. Columnas A–G: cliente [A]; H–P: recálculo auditoría [B].</t>
  </si>
  <si>
    <t xml:space="preserve">LEASING BANCOLOMBIA S.A. – 362095</t>
  </si>
  <si>
    <t xml:space="preserve">60 MESES – IBR TV + 2,85%</t>
  </si>
  <si>
    <t xml:space="preserve">TABLA 22 – BCL-L336817 – LEASING BANCOLOMBIA S.A. 336817</t>
  </si>
  <si>
    <t xml:space="preserve">Observación: Tabla a tasa fija; detalle 62 = saldo de la tabla. Sin extracto 2026.</t>
  </si>
  <si>
    <t xml:space="preserve">Anexo A22-336817 – Tabla de amortización del cliente vs recálculo de auditoría – BCL-L336817</t>
  </si>
  <si>
    <t xml:space="preserve">Fuente: 64._Tabla_amortización_obligaciones_financieras.xlsm, hoja '336817'. Columnas A–G: cliente [A]; H–P: recálculo auditoría [B].</t>
  </si>
  <si>
    <t xml:space="preserve">LEASING BANCOLOMBIA S.A. – 336817</t>
  </si>
  <si>
    <t xml:space="preserve">72 MESES – IBR MV + 3,2%</t>
  </si>
  <si>
    <t xml:space="preserve">TABLA 23 – BCL-L331330 – LEASING BANCOLOMBIA S.A. 331330</t>
  </si>
  <si>
    <t xml:space="preserve">Observación: Tabla con amortización de capital constante $14.586.381, pero desde feb-26 se paga $17.114.382 (mayor): la tabla no refleja los pagos reales.</t>
  </si>
  <si>
    <t xml:space="preserve">Anexo A23-331330 – Tabla de amortización del cliente vs recálculo de auditoría – BCL-L331330</t>
  </si>
  <si>
    <t xml:space="preserve">Fuente: 64._Tabla_amortización_obligaciones_financieras.xlsm, hoja '331330'. Columnas A–G: cliente [A]; H–P: recálculo auditoría [B].</t>
  </si>
  <si>
    <t xml:space="preserve">LEASING BANCOLOMBIA S.A. – 331330</t>
  </si>
  <si>
    <t xml:space="preserve">60 Meses – IBR+3,75%</t>
  </si>
  <si>
    <t xml:space="preserve">TABLA 24 – DYP-482800190700 – DAVIVIENDA DYPSIS 7000482800190700</t>
  </si>
  <si>
    <t xml:space="preserve">Observación: Crédito Davivienda DYPSIS $72.300 MM (30-may-25 a 28-may-27) incluido en el archivo de tablas pero NO registrado en el mayor de Guaicaramo. Confirmar titular, vinculación y garantías otorgadas.</t>
  </si>
  <si>
    <t xml:space="preserve">Anexo A24-DD-0709 – Tabla de amortización del cliente vs recálculo de auditoría – DYP-482800190700</t>
  </si>
  <si>
    <t xml:space="preserve">Fuente: 64._Tabla_amortización_obligaciones_financieras.xlsm, hoja 'DD-0709'. Columnas A–G: cliente [A]; H–P: recálculo auditoría [B].</t>
  </si>
  <si>
    <t xml:space="preserve">DAVIVIENDA DYPSIS – 7000482800190700</t>
  </si>
  <si>
    <t xml:space="preserve">24 meses – IBR 3 MESES + 2,2%</t>
  </si>
  <si>
    <t xml:space="preserve">TABLA 25 – DAV-L1013934 – BANCO DAVIVIENDA INPARME 30001013934-6</t>
  </si>
  <si>
    <t xml:space="preserve">Observación: Contrato INPARME terminado; sin saldo en el mayor 2026.</t>
  </si>
  <si>
    <t xml:space="preserve">Anexo A25-3934 – Tabla de amortización del cliente vs recálculo de auditoría – DAV-L1013934</t>
  </si>
  <si>
    <t xml:space="preserve">Fuente: 64._Tabla_amortización_obligaciones_financieras.xlsm, hoja '3934'. Columnas A–G: cliente [A]; H–P: recálculo auditoría [B].</t>
  </si>
  <si>
    <t xml:space="preserve">BANCO DAVIVIENDA INPARME – 30001013934-6</t>
  </si>
  <si>
    <t xml:space="preserve">60 MESES – DTF MV + 6</t>
  </si>
  <si>
    <t xml:space="preserve">Hallazgos, referencias NIIF y ajustes propuestos</t>
  </si>
  <si>
    <t xml:space="preserve">Montos vinculados a las hojas de trabajo. Ajustes sujetos a la materialidad del encargo (no informada).</t>
  </si>
  <si>
    <t xml:space="preserve">Afirmación</t>
  </si>
  <si>
    <t xml:space="preserve">Hallazgo</t>
  </si>
  <si>
    <t xml:space="preserve">Monto (COP)</t>
  </si>
  <si>
    <t xml:space="preserve">Referencia normativa</t>
  </si>
  <si>
    <t xml:space="preserve">Recomendación / acción</t>
  </si>
  <si>
    <t xml:space="preserve">El leasing Bancolombia 386735 (camión VW Constellation, IBR TV + 1,35) se registró en el mayor el 28-jul-26 (NB-00001014) pero NO está en el detalle 62 del cliente.</t>
  </si>
  <si>
    <t xml:space="preserve">NIIF 16 p.26; NIC 1 p.15</t>
  </si>
  <si>
    <t xml:space="preserve">Incluir el contrato en el detalle 62 con su tabla de amortización; solicitar contrato y certificado.</t>
  </si>
  <si>
    <t xml:space="preserve">Concluido</t>
  </si>
  <si>
    <t xml:space="preserve">Exactitud / Integridad</t>
  </si>
  <si>
    <t xml:space="preserve">Diferencia de capital de leasing entre el mayor (2120) y el detalle 62, explicada obligación por obligación (Pruebas_Auditoria (bloque 3)): 386735 y GECOLSA omitidos; Bogotá, Davivienda y Bancolombia con saldos de tablas teóricas en el detalle.</t>
  </si>
  <si>
    <t xml:space="preserve">NIIF 16 p.36; NIC 1 p.15</t>
  </si>
  <si>
    <t xml:space="preserve">Actualizar el detalle 62 con los saldos del banco y conciliar mensualmente por contrato.</t>
  </si>
  <si>
    <t xml:space="preserve">Pendiente de soporte (PEND-1, PEND-2, PEND-12)</t>
  </si>
  <si>
    <t xml:space="preserve">Exactitud</t>
  </si>
  <si>
    <t xml:space="preserve">Leasings Bancolombia: el detalle 62 difiere del saldo estimado del banco (362095 conserva el saldo de dic-25; la tabla 331330 no refleja la cuota real pagada).</t>
  </si>
  <si>
    <t xml:space="preserve">NIIF 16 p.36</t>
  </si>
  <si>
    <t xml:space="preserve">Obtener certificados Bancolombia al 31-jul-26 y actualizar tablas.</t>
  </si>
  <si>
    <t xml:space="preserve">Pendiente de soporte (PEND-2)</t>
  </si>
  <si>
    <t xml:space="preserve">Leasings Banco de Bogotá (pozos 1–5 y planta Jenbacher): el detalle 62 está por debajo del saldo certificado tras el canon de julio (p.ej. pozos 3 y 4 −$57 MM c/u).</t>
  </si>
  <si>
    <t xml:space="preserve">Actualizar el detalle 62 con los saldos certificados.</t>
  </si>
  <si>
    <t xml:space="preserve">Corte / Valuación</t>
  </si>
  <si>
    <t xml:space="preserve">Intereses causados al 31-jul-26 no registrados: el cliente causa cifras fijas hasta ~el día 24 y no causa en obligaciones de pago mensual (453436746, BBVA, leasings mensuales) ni en el periodo posterior al último pago.</t>
  </si>
  <si>
    <t xml:space="preserve">NIC 1 p.27-28 (base de acumulación); NIIF 9 p.5.4.1 y B5.4 (método del interés efectivo)</t>
  </si>
  <si>
    <t xml:space="preserve">Registrar AJE-1; implementar causación diaria con tabla de amortización por obligación.</t>
  </si>
  <si>
    <t xml:space="preserve">Pendiente de soporte (PEND-3, PEND-5, PEND-10)</t>
  </si>
  <si>
    <t xml:space="preserve">Davivienda 607691 y 569032: la tasa 'cobrada' informada (12,58% EA) no reconcilia con los intereses facturados (tasa implícita ~14,4% EA). El detalle 62 usa 16,02% EA.</t>
  </si>
  <si>
    <t xml:space="preserve">NIIF 9 p.B5.4.5 (tasas variables); NIIF 7 p.39</t>
  </si>
  <si>
    <t xml:space="preserve">Solicitar a Davivienda la liquidación detallada (IBR aplicado y spread).</t>
  </si>
  <si>
    <t xml:space="preserve">Pendiente de soporte (PEND-6)</t>
  </si>
  <si>
    <t xml:space="preserve">Exactitud (detalle)</t>
  </si>
  <si>
    <t xml:space="preserve">Tasas EA del detalle 62 calculadas con periodicidad distinta a la declarada (BBVA, Bancolombia 1260105867 y 362095) y tasas del detalle distintas a las certificadas (p.ej. 453436746: 17,52% vs 16,96%; 856670629: 15,83% vs 14,94%).</t>
  </si>
  <si>
    <t xml:space="preserve">Cualitativo</t>
  </si>
  <si>
    <t xml:space="preserve">NIIF 7 p.33-40 (riesgo de tasa)</t>
  </si>
  <si>
    <t xml:space="preserve">Usar la tasa certificada por el banco y la periodicidad contractual.</t>
  </si>
  <si>
    <t xml:space="preserve">Presentación</t>
  </si>
  <si>
    <t xml:space="preserve">Clasificación CP/LP: el detalle 62 tiene errores (Banco Popular CP $575 MM &gt; saldo $287,5 MM y LP negativo; Pozo #2 CP + LP ≠ saldo) y las cuentas CP/LP del mayor no reflejan vencimientos a 12 meses.</t>
  </si>
  <si>
    <t xml:space="preserve">NIC 1 p.69-76</t>
  </si>
  <si>
    <t xml:space="preserve">Reclasificar la porción corriente (AJE-2) calculada con tablas y vencimientos; corregir el detalle 62.</t>
  </si>
  <si>
    <t xml:space="preserve">Pendiente de soporte (PEND-8)</t>
  </si>
  <si>
    <t xml:space="preserve">Las tarjetas de crédito por pagar (21050301) están agrupadas dentro de 'Obligaciones financieras a largo plazo' (210502).</t>
  </si>
  <si>
    <t xml:space="preserve">NIC 1 p.69</t>
  </si>
  <si>
    <t xml:space="preserve">Presentar como pasivo corriente.</t>
  </si>
  <si>
    <t xml:space="preserve">Abonos a capital aplicados por Davivienda por excedentes de pago (127,57 + 269,47 + 627,79 + 617,95 + 786,80) no registrados: el cliente lleva todo el pago a intereses.</t>
  </si>
  <si>
    <t xml:space="preserve">NIIF 9 p.3.3.1</t>
  </si>
  <si>
    <t xml:space="preserve">Inmaterial; registrar en el siguiente pago.</t>
  </si>
  <si>
    <t xml:space="preserve">Ocurrencia / Exactitud</t>
  </si>
  <si>
    <t xml:space="preserve">Leasing Davivienda 1019441: el banco reporta el canon 032 (11-jun) pagado por $1.029.562, sólo intereses; la contabilidad registró capital $11.973.677 (CL-416).</t>
  </si>
  <si>
    <t xml:space="preserve">Obtener el estado de cuenta del contrato y verificar la aplicación del pago.</t>
  </si>
  <si>
    <t xml:space="preserve">Pendiente de soporte (PEND-7)</t>
  </si>
  <si>
    <t xml:space="preserve">Control interno</t>
  </si>
  <si>
    <t xml:space="preserve">Partidas ajenas registradas en cuentas de obligaciones financieras: comisiones Valley Trading en 21202040 y cruce de anticipo de calderas (NI-4731) en 21202140 (netas cero).</t>
  </si>
  <si>
    <t xml:space="preserve">NIC 1 p.32 (no compensar)</t>
  </si>
  <si>
    <t xml:space="preserve">Restringir el uso de las cuentas 2120 a contratos de leasing con tercero y número de contrato.</t>
  </si>
  <si>
    <t xml:space="preserve">Integridad / Confirmación</t>
  </si>
  <si>
    <t xml:space="preserve">Obligaciones sin certificado ni extracto en el PDF: BBVA ($4.700 MM), Banco Popular, Bogotá 1159383796 (nuevo crédito) y leasings Bancolombia.</t>
  </si>
  <si>
    <t xml:space="preserve">NIA 505</t>
  </si>
  <si>
    <t xml:space="preserve">Enviar confirmaciones bancarias.</t>
  </si>
  <si>
    <t xml:space="preserve">Pendiente de soporte (PEND-1 a PEND-5)</t>
  </si>
  <si>
    <t xml:space="preserve">Vencimientos del detalle 62 distintos a los certificados: pozos 3 y 4 (abr-2028 vs 27-jul-2028), pozos 1 y 2 (20-ene vs 23-ene-2030), Bancolombia 1260105867 (21 vs 22-abr-2028).</t>
  </si>
  <si>
    <t xml:space="preserve">NIIF 7 p.39 (análisis de vencimientos)</t>
  </si>
  <si>
    <t xml:space="preserve">Corregir; afecta la clasificación CP/LP y la revelación de liquidez.</t>
  </si>
  <si>
    <t xml:space="preserve">Valuación / Revelación</t>
  </si>
  <si>
    <t xml:space="preserve">Renovaciones y refinanciaciones (BBVA 30-jun; Bogotá 1155297469 → 1159383796 el 29-jul; Davivienda 8906 pagado con el crédito Bogotá 1155297469): se registraron a la par sin costos de transacción.</t>
  </si>
  <si>
    <t xml:space="preserve">NIIF 9 p.3.3.2 y B3.3.6 (prueba del 10%)</t>
  </si>
  <si>
    <t xml:space="preserve">Documentar la prueba del 10% (modificación sustancial) y los costos de transacción, si los hubo.</t>
  </si>
  <si>
    <t xml:space="preserve">Pendiente de soporte (PEND-11)</t>
  </si>
  <si>
    <t xml:space="preserve">Causación no sistemática de intereses de leasing (p.ej. pozos 3 y 4: feb–mar $480.943 vs abr $8,6 MM) y glosas con valores errados (CL-393, NI-4397) o números de crédito errados (BBVA 252059 vs 0141; '12660105867').</t>
  </si>
  <si>
    <t xml:space="preserve">NIC 8 p.41; NIC 1 p.27</t>
  </si>
  <si>
    <t xml:space="preserve">Usar tablas de amortización por obligación; revisar las glosas.</t>
  </si>
  <si>
    <t xml:space="preserve">Mayor vs balance: los débitos, créditos y saldos de las cuentas 21 del movimiento cuadran con los dos balances de prueba (24-ago y 29-sep), que son idénticos.</t>
  </si>
  <si>
    <t xml:space="preserve">—</t>
  </si>
  <si>
    <t xml:space="preserve">Sin excepción.</t>
  </si>
  <si>
    <t xml:space="preserve">Leasing Davivienda GECOLSA (2 motogeneradores, registrado jul-25 en 21202140) incluido en el mayor pero omitido en el detalle 62 y en la validación del PT 2025; sin tabla ni extracto.</t>
  </si>
  <si>
    <t xml:space="preserve">NIIF 16 p.26 y 47; NIA 505</t>
  </si>
  <si>
    <t xml:space="preserve">Obtener contrato, tabla y certificado; incluirlo en el detalle 62.</t>
  </si>
  <si>
    <t xml:space="preserve">Pendiente de soporte (PEND-12)</t>
  </si>
  <si>
    <t xml:space="preserve">Valuación</t>
  </si>
  <si>
    <t xml:space="preserve">Las tablas de leasing del cliente son teóricas (tasa fija / índice proyectado) y no se remiden cuando cambian IBR/DTF: el saldo de la tabla difiere del saldo bancario.</t>
  </si>
  <si>
    <t xml:space="preserve">NIIF 16 p.36, 42(b) y 43 (nueva medición por cambio en índice o tasa)</t>
  </si>
  <si>
    <t xml:space="preserve">Remedir el pasivo con la tasa vigente o usar el saldo bancario; actualizar tablas cada periodo.</t>
  </si>
  <si>
    <t xml:space="preserve">Exactitud (tabla)</t>
  </si>
  <si>
    <t xml:space="preserve">Tabla Bancolombia 362095 con error: el periodo 5 (14-jun-26) aumenta el saldo (capital negativo) y la última cuota deja saldo negativo.</t>
  </si>
  <si>
    <t xml:space="preserve">Corregir la tabla con el plan de pagos del banco.</t>
  </si>
  <si>
    <t xml:space="preserve">Pendiente de soporte (PEND-14)</t>
  </si>
  <si>
    <t xml:space="preserve">La tabla 'Hoja2' del crédito Bogotá 1159383796 es copia de la del 1155297469 (fechas feb–jul 2026 y saldo cero al 14-jul): no representa el crédito vigente.</t>
  </si>
  <si>
    <t xml:space="preserve">NIIF 9 B5.4</t>
  </si>
  <si>
    <t xml:space="preserve">Elaborar la tabla del crédito nuevo (22-jul-26 a 22-ene-27).</t>
  </si>
  <si>
    <t xml:space="preserve">Pendiente de soporte (PEND-5, PEND-14)</t>
  </si>
  <si>
    <t xml:space="preserve">Valuación (tabla)</t>
  </si>
  <si>
    <t xml:space="preserve">Columna 'medición al costo' (costo amortizado) de las tablas de créditos Davivienda mal formulada: resta los intereses del saldo (830624: costo amortizado &lt; capital).</t>
  </si>
  <si>
    <t xml:space="preserve">NIIF 9 p.4.2.1, 5.4.1 y B5.4.1</t>
  </si>
  <si>
    <t xml:space="preserve">Corregir la fórmula; no usar esa columna para medir el pasivo.</t>
  </si>
  <si>
    <t xml:space="preserve">El archivo de tablas incluye el crédito Davivienda DYPSIS 7000482800190700 por $72.300 MM (may-25 a may-27) que no está en el mayor de Guaicaramo.</t>
  </si>
  <si>
    <t xml:space="preserve">NIC 24; NIIF 9 §2.1(e) y B2.5 (garantías financieras); NIC 37 p.86</t>
  </si>
  <si>
    <t xml:space="preserve">Confirmar titular, vinculación y si Guaicaramo es garante/codeudor; revelar si aplica.</t>
  </si>
  <si>
    <t xml:space="preserve">Pendiente de soporte (PEND-13)</t>
  </si>
  <si>
    <t xml:space="preserve">Integridad (tablas)</t>
  </si>
  <si>
    <t xml:space="preserve">Faltan tablas de amortización para: leasing Bancolombia 386735, leasing GECOLSA, BBVA renovado (0141) y crédito Bogotá 1159383796.</t>
  </si>
  <si>
    <t xml:space="preserve">NIIF 7 p.39; NIC 1 p.69</t>
  </si>
  <si>
    <t xml:space="preserve">Solicitar las tablas o planes de pago bancarios.</t>
  </si>
  <si>
    <t xml:space="preserve">Ajustes propuestos (AJE)</t>
  </si>
  <si>
    <t xml:space="preserve">Soporte</t>
  </si>
  <si>
    <t xml:space="preserve">AJE-1</t>
  </si>
  <si>
    <t xml:space="preserve">53052030</t>
  </si>
  <si>
    <t xml:space="preserve">Intereses sobre préstamos causados</t>
  </si>
  <si>
    <t xml:space="preserve">Causación de intereses de créditos al 31-jul-26</t>
  </si>
  <si>
    <t xml:space="preserve">Intereses financieros por pagar O.F.</t>
  </si>
  <si>
    <t xml:space="preserve">53052040</t>
  </si>
  <si>
    <t xml:space="preserve">Intereses leasing causados</t>
  </si>
  <si>
    <t xml:space="preserve">Causación de intereses de leasing al 31-jul-26</t>
  </si>
  <si>
    <t xml:space="preserve">Intereses leasing por pagar</t>
  </si>
  <si>
    <t xml:space="preserve">AJE-2</t>
  </si>
  <si>
    <t xml:space="preserve">Obligación financiera LP</t>
  </si>
  <si>
    <t xml:space="preserve">Reclasificación de la porción corriente (presentación)</t>
  </si>
  <si>
    <t xml:space="preserve">Obligación financiera CP</t>
  </si>
  <si>
    <t xml:space="preserve">Leasing LP</t>
  </si>
  <si>
    <t xml:space="preserve">Leasing CP</t>
  </si>
  <si>
    <t xml:space="preserve">Sumas iguales</t>
  </si>
  <si>
    <t xml:space="preserve">AJE-2 se calcula con tablas de amortización y vencimientos (Clasif_CP_LP); para 386735 y GECOLSA (sin tabla) se mantiene la clasificación contable. El mayor de leasing cuadra con el banco en Bogotá; en Davivienda/Bancolombia se usa el extracto de dic-25 (estimado).</t>
  </si>
  <si>
    <t xml:space="preserve">Pendientes de soporte – el papel se emite sin esta información</t>
  </si>
  <si>
    <t xml:space="preserve">Las cifras afectadas se dejan calculadas con la información disponible y supuestos documentados; se actualizarán al recibir el soporte.</t>
  </si>
  <si>
    <t xml:space="preserve">Ref.</t>
  </si>
  <si>
    <t xml:space="preserve">Pendiente / información requerida</t>
  </si>
  <si>
    <t xml:space="preserve">Obligación (ID)</t>
  </si>
  <si>
    <t xml:space="preserve">Monto afectado (COP)</t>
  </si>
  <si>
    <t xml:space="preserve">Hallazgo relacionado</t>
  </si>
  <si>
    <t xml:space="preserve">Solicitar a</t>
  </si>
  <si>
    <t xml:space="preserve">Tratamiento provisional en este papel</t>
  </si>
  <si>
    <t xml:space="preserve">PEND-1</t>
  </si>
  <si>
    <t xml:space="preserve">Certificados de saldo de capital al 31-jul-26 de los leasings Davivienda 1019441-2, 1019448-3 y 1021275-3 (los extractos sólo traen la factura del canon).</t>
  </si>
  <si>
    <t xml:space="preserve">DAV-L1019441 / L1019448 / L1021275</t>
  </si>
  <si>
    <t xml:space="preserve">2, 3, 13</t>
  </si>
  <si>
    <t xml:space="preserve">Parcial – estimado con extracto dic-25</t>
  </si>
  <si>
    <t xml:space="preserve">Saldo banco estimado = extracto 31-dic-25 (PT 2025) + movimientos 2026 [E] (Pruebas_Auditoria (bloque 3)). Facturas LEASING_1275-3/9441-2/9448-3_DAVIVIENDA.pdf recibidas sin saldo de capital.</t>
  </si>
  <si>
    <t xml:space="preserve">PEND-2</t>
  </si>
  <si>
    <t xml:space="preserve">Certificados de saldo de los leasings Bancolombia 362095, 336817, 331330 y contrato + tabla de amortización del nuevo leasing 386735.</t>
  </si>
  <si>
    <t xml:space="preserve">BCL-L362095 / L336817 / L331330 / L386735</t>
  </si>
  <si>
    <t xml:space="preserve">1, 2, 3, 13</t>
  </si>
  <si>
    <t xml:space="preserve">Saldo banco estimado con extracto dic-25 (PT 2025) [E]; 386735 se toma del mayor (NB-1014). La diferencia mayor vs detalle quedó explicada por obligación.</t>
  </si>
  <si>
    <t xml:space="preserve">PEND-3</t>
  </si>
  <si>
    <t xml:space="preserve">Confirmación BBVA del crédito renovado 30-jun-26 ($4.700 MM): número de obligación, tasa y si el interés de julio se pagó (y a qué cuenta se llevó).</t>
  </si>
  <si>
    <t xml:space="preserve">5, 13</t>
  </si>
  <si>
    <t xml:space="preserve">BBVA / cliente</t>
  </si>
  <si>
    <t xml:space="preserve">Pendiente</t>
  </si>
  <si>
    <t xml:space="preserve">Se incluye en AJE-1 la causación estimada de julio; se retira si se demuestra el pago en 53052020.</t>
  </si>
  <si>
    <t xml:space="preserve">PEND-4</t>
  </si>
  <si>
    <t xml:space="preserve">Confirmación Banco Popular del crédito 631309940-2 (saldo, tasa, fechas de cuota).</t>
  </si>
  <si>
    <t xml:space="preserve">13</t>
  </si>
  <si>
    <t xml:space="preserve">Saldo del detalle 62; inicio de causación estimado 17-jun.</t>
  </si>
  <si>
    <t xml:space="preserve">PEND-5</t>
  </si>
  <si>
    <t xml:space="preserve">Certificado del nuevo crédito Bogotá 1159383796 (prórroga del 1155297469): fecha de inicio, tasa y si hubo intereses entre el 14 y el 22-jul.</t>
  </si>
  <si>
    <t xml:space="preserve">Inicio estimado 22-jul con tasa del detalle 62 (IBR 3M + 0,8).</t>
  </si>
  <si>
    <t xml:space="preserve">PEND-6</t>
  </si>
  <si>
    <t xml:space="preserve">Liquidación detallada Davivienda créditos 607691 y 569032 (IBR aplicado y spread): la tasa declarada 12,58% EA no reconcilia con lo facturado.</t>
  </si>
  <si>
    <t xml:space="preserve">DAV-607691 / DAV-569032</t>
  </si>
  <si>
    <t xml:space="preserve">6</t>
  </si>
  <si>
    <t xml:space="preserve">Se acepta lo facturado (coincide con lo contabilizado); diferencia de tasa queda abierta.</t>
  </si>
  <si>
    <t xml:space="preserve">PEND-7</t>
  </si>
  <si>
    <t xml:space="preserve">Estado de cuenta del leasing Davivienda 1019441: aplicación del pago del canon 032 (banco: sólo intereses $1.029.562; contabilidad: capital $11.973.677).</t>
  </si>
  <si>
    <t xml:space="preserve">11</t>
  </si>
  <si>
    <t xml:space="preserve">Cliente</t>
  </si>
  <si>
    <t xml:space="preserve">Parcial – banco reconfirma</t>
  </si>
  <si>
    <t xml:space="preserve">Sin ajuste hasta verificar. LEASING_9441-2_DAVIVIENDA.pdf reconfirma el lado del banco; falta la explicación del cliente del registro CL-416.</t>
  </si>
  <si>
    <t xml:space="preserve">PEND-8</t>
  </si>
  <si>
    <t xml:space="preserve">Tablas de amortización por obligación para determinar la porción corriente a 12 meses (NIC 1.69).</t>
  </si>
  <si>
    <t xml:space="preserve">Todas</t>
  </si>
  <si>
    <t xml:space="preserve">8, 24</t>
  </si>
  <si>
    <t xml:space="preserve">Parcial – tablas recibidas</t>
  </si>
  <si>
    <t xml:space="preserve">Tablas recibidas (papel 64): CP calculado por obligación en Clasif_CP_LP. Faltan tablas de 386735, GECOLSA, BBVA 0141 y 1159383796.</t>
  </si>
  <si>
    <t xml:space="preserve">PEND-9</t>
  </si>
  <si>
    <t xml:space="preserve">Materialidad del encargo (global, de ejecución y umbral de errores triviales).</t>
  </si>
  <si>
    <t xml:space="preserve">Todos</t>
  </si>
  <si>
    <t xml:space="preserve">Socio / gerente del encargo</t>
  </si>
  <si>
    <t xml:space="preserve">Umbral de redondeo $1.000 y tolerancia de recálculo 2% (hoja Resumen, celdas amarillas).</t>
  </si>
  <si>
    <t xml:space="preserve">PEND-10</t>
  </si>
  <si>
    <t xml:space="preserve">Fechas reales de último pago/canon de Banco Popular y leasings Bancolombia (362095, 336817, 331330) para la causación al corte.</t>
  </si>
  <si>
    <t xml:space="preserve">POP / BCL-L*</t>
  </si>
  <si>
    <t xml:space="preserve">5</t>
  </si>
  <si>
    <t xml:space="preserve">Cliente / bancos</t>
  </si>
  <si>
    <t xml:space="preserve">Fechas estimadas (anotadas en Pruebas_Auditoria (bloque 4) Parte 2).</t>
  </si>
  <si>
    <t xml:space="preserve">PEND-11</t>
  </si>
  <si>
    <t xml:space="preserve">Documentación de la prueba del 10% (NIIF 9 B3.3.6) y costos de transacción de las renovaciones BBVA y Bogotá y de la refinanciación Davivienda 8906.</t>
  </si>
  <si>
    <t xml:space="preserve">BBVA-0141 / BOG-1159383796 / DAV-8906</t>
  </si>
  <si>
    <t xml:space="preserve">15</t>
  </si>
  <si>
    <t xml:space="preserve">Se asume modificación no sustancial a la par, sin costos.</t>
  </si>
  <si>
    <t xml:space="preserve">PEND-12</t>
  </si>
  <si>
    <t xml:space="preserve">Contrato, tabla de amortización y certificado del leasing Davivienda GECOLSA (2 motogeneradores) registrado en 21202140 y no incluido en el detalle 62.</t>
  </si>
  <si>
    <t xml:space="preserve">18</t>
  </si>
  <si>
    <t xml:space="preserve">Davivienda Leasing / cliente</t>
  </si>
  <si>
    <t xml:space="preserve">Se toma el saldo del mayor; sin intereses identificados en 2026.</t>
  </si>
  <si>
    <t xml:space="preserve">PEND-13</t>
  </si>
  <si>
    <t xml:space="preserve">Aclaración del crédito Davivienda DYPSIS 7000482800190700 ($72.300 MM) incluido en el archivo de tablas: titular, vinculación y garantías de Guaicaramo.</t>
  </si>
  <si>
    <t xml:space="preserve">23</t>
  </si>
  <si>
    <t xml:space="preserve">Cliente / Davivienda</t>
  </si>
  <si>
    <t xml:space="preserve">No se incluye en el pasivo de Guaicaramo; posible revelación (NIC 24 / garantías).</t>
  </si>
  <si>
    <t xml:space="preserve">PEND-14</t>
  </si>
  <si>
    <t xml:space="preserve">Tablas de amortización corregidas: 362095 (error en periodo 5), crédito 1159383796 (Hoja2 copiada) y columna de costo amortizado de créditos Davivienda.</t>
  </si>
  <si>
    <t xml:space="preserve">BCL-L362095 / BOG-1159383796 / DAV-*</t>
  </si>
  <si>
    <t xml:space="preserve">20, 21, 22</t>
  </si>
  <si>
    <t xml:space="preserve">Se usan los saldos del mayor y del banco; las tablas no se usan para medir.</t>
  </si>
  <si>
    <t xml:space="preserve">Pendientes abiertos</t>
  </si>
  <si>
    <t xml:space="preserve">Instrucción: al recibir un soporte suficiente, cambiar el Estado a 'Recibido' (se descuenta del contador), actualizar los datos de entrada (azul) en la hoja correspondiente y recalcular.</t>
  </si>
  <si>
    <t xml:space="preserve">Cruce detalle 62 vs mayor (cuentas 2105 y 2120) – Integridad y exactitud</t>
  </si>
  <si>
    <t xml:space="preserve">Saldos del mayor tomados del balance con signo invertido (pasivo positivo). Movimientos de capital por obligación desde Mayor_Mov.</t>
  </si>
  <si>
    <t xml:space="preserve">A. Totales</t>
  </si>
  <si>
    <t xml:space="preserve">Cuentas mayor</t>
  </si>
  <si>
    <t xml:space="preserve">Diferencia (mayor − detalle)</t>
  </si>
  <si>
    <t xml:space="preserve">Créditos (capital)</t>
  </si>
  <si>
    <t xml:space="preserve">21050100 + 21050201</t>
  </si>
  <si>
    <t xml:space="preserve">Leasing financiero (capital)</t>
  </si>
  <si>
    <t xml:space="preserve">21202040 + 21202140</t>
  </si>
  <si>
    <t xml:space="preserve">Comprobación: total detalle = 'Total Obligaciones' del cliente</t>
  </si>
  <si>
    <t xml:space="preserve">Tarjetas de crédito (21050301) e intereses por pagar (2130) no forman parte del detalle 62.</t>
  </si>
  <si>
    <t xml:space="preserve">B. Explicación de la diferencia en leasing (mayor − detalle) por obligación – ver Pruebas_Auditoria (bloque 3)</t>
  </si>
  <si>
    <t xml:space="preserve">Partida</t>
  </si>
  <si>
    <t xml:space="preserve">Valor</t>
  </si>
  <si>
    <t xml:space="preserve">1. Leasing Bancolombia 386735 (camión VW Constellation) registrado el 28-jul-26 y omitido en el detalle 62</t>
  </si>
  <si>
    <t xml:space="preserve">NB-00001014: Cr 21202040 $572.363.196 + Cr 21202140 $103.474.304.</t>
  </si>
  <si>
    <t xml:space="preserve">2. Leasing Davivienda GECOLSA (2 motogeneradores) en el mayor desde jul-25 y omitido en el detalle 62 (tampoco validado en el PT 2025)</t>
  </si>
  <si>
    <t xml:space="preserve">Mayor_Dic25: reintegro anticipo GECOLSA, doc. 2672, $213.861.900.</t>
  </si>
  <si>
    <t xml:space="preserve">3. Leasings Banco de Bogotá: el mayor coincide con los certificados; el detalle 62 trae saldos de tablas teóricas</t>
  </si>
  <si>
    <t xml:space="preserve">Pruebas_Auditoria (bloque 3): Mayor − banco ≈ 0 en los 6 contratos.</t>
  </si>
  <si>
    <t xml:space="preserve">4. Leasings Davivienda 1019441, 1019448 y 1021275: detalle 62 = tabla teórica; mayor = extracto dic-25 − pagos 2026</t>
  </si>
  <si>
    <t xml:space="preserve">1021275: la tabla capitaliza intereses; banco mantiene $1.876.684.264.</t>
  </si>
  <si>
    <t xml:space="preserve">5. Leasings Bancolombia 362095, 336817 y 331330: detalle 62 desactualizado (362095 con saldo de dic-25)</t>
  </si>
  <si>
    <t xml:space="preserve">Ver Tablas_Amortizacion (resumen) (error en tabla 362095).</t>
  </si>
  <si>
    <t xml:space="preserve">6. Diferencia residual no explicada</t>
  </si>
  <si>
    <t xml:space="preserve">Total diferencia leasing</t>
  </si>
  <si>
    <t xml:space="preserve">C. Roll-forward de capital por obligación (detalle 62 + movimiento ene–jul) → saldo inicial implícito al 1-ene-26</t>
  </si>
  <si>
    <t xml:space="preserve">Saldo detalle 62 (31-jul)</t>
  </si>
  <si>
    <t xml:space="preserve">Pagos de capital (débitos)</t>
  </si>
  <si>
    <t xml:space="preserve">Desembolsos / renovaciones (créditos)</t>
  </si>
  <si>
    <t xml:space="preserve">Saldo inicial implícito 1-ene</t>
  </si>
  <si>
    <t xml:space="preserve">En detalle 62?</t>
  </si>
  <si>
    <t xml:space="preserve">Incluye el crédito 1155297469 (desembolso 28-ene) y su prórroga al 1159383796 (29-jul).</t>
  </si>
  <si>
    <t xml:space="preserve">Renovación 30-jun-26 (CE-35090) a la par. El detalle 62 lo identifica como 252059; el mayor como 9600290141/0141 (y 4476 en ene–mar).</t>
  </si>
  <si>
    <t xml:space="preserve">Mayor glosa '12660105867' (error de digitación).</t>
  </si>
  <si>
    <t xml:space="preserve">Crédito Davivienda $10.000 MM cancelado el 28-ene-26 con el crédito Bogotá 1155297469 (refinanciación con otro banco: baja en cuentas NIIF 9.3.3.1).</t>
  </si>
  <si>
    <t xml:space="preserve">Leasing nuevo 28-jul-26 no incluido en el detalle 62 → saldo inicial implícito negativo = omisión.</t>
  </si>
  <si>
    <t xml:space="preserve">Leasing GECOLSA: sin movimiento 2026 y fuera del detalle 62; su saldo ($213,9 MM) está en el saldo inicial del mayor.</t>
  </si>
  <si>
    <t xml:space="preserve">Comisiones Valley Trading registradas y reclasificadas en 21202040 (neto 0). Partida ajena a obligaciones.</t>
  </si>
  <si>
    <t xml:space="preserve">NI-4731 'cruce anticipo calderas' en 21202140 Davivienda (neto 0). Partida ajena a obligaciones.</t>
  </si>
  <si>
    <t xml:space="preserve">Total Crédito</t>
  </si>
  <si>
    <t xml:space="preserve">Mayor Crédito (SI / Déb / Créd / —)</t>
  </si>
  <si>
    <t xml:space="preserve">Diferencia Crédito (detalle implícito − mayor)</t>
  </si>
  <si>
    <t xml:space="preserve">Total Leasing</t>
  </si>
  <si>
    <t xml:space="preserve">Mayor Leasing (SI / Déb / Créd / —)</t>
  </si>
  <si>
    <t xml:space="preserve">Diferencia Leasing (detalle implícito − mayor)</t>
  </si>
  <si>
    <t xml:space="preserve">Intereses por obligación 2026 – causación (2130), pagos, gasto y recálculo al corte</t>
  </si>
  <si>
    <t xml:space="preserve">Saldo 2130 por obligación = detalle 31-dic-25 + causaciones 2026 − reversiones 2026. Gasto 2026 = causaciones 2130 + intereses pagados directo al gasto (Int_Glosas).</t>
  </si>
  <si>
    <t xml:space="preserve">2130 al 31-dic-25</t>
  </si>
  <si>
    <t xml:space="preserve">Causaciones 2026 (Cr 2130)</t>
  </si>
  <si>
    <t xml:space="preserve">Reversiones 2026 (Db 2130)</t>
  </si>
  <si>
    <t xml:space="preserve">2130 al 31-jul-26 por obligación</t>
  </si>
  <si>
    <t xml:space="preserve">Pagado directo a gasto (glosas)</t>
  </si>
  <si>
    <t xml:space="preserve">Cuotas sin dato</t>
  </si>
  <si>
    <t xml:space="preserve">Gasto intereses 2026 registrado</t>
  </si>
  <si>
    <t xml:space="preserve">Interés según tabla ene–jul 26</t>
  </si>
  <si>
    <t xml:space="preserve">Causación recalculada 31-jul</t>
  </si>
  <si>
    <t xml:space="preserve">Causación no registrada</t>
  </si>
  <si>
    <t xml:space="preserve">Cancelado ene-26: causación de 2025 reversada con el pago.</t>
  </si>
  <si>
    <t xml:space="preserve">Sin tabla ni extracto: intereses no identificados en 2026 (PEND-12).</t>
  </si>
  <si>
    <t xml:space="preserve">Paga mensual; el cliente no causa entre cuotas.</t>
  </si>
  <si>
    <t xml:space="preserve">Sin causación de julio tras la renovación (PEND-3).</t>
  </si>
  <si>
    <t xml:space="preserve">Balance 2130 (signo +)</t>
  </si>
  <si>
    <t xml:space="preserve">B. Cruce de cuentas de intereses del balance contra la suma por obligación</t>
  </si>
  <si>
    <t xml:space="preserve">Saldo / movimiento balance</t>
  </si>
  <si>
    <t xml:space="preserve">Intereses financieros por pagar O.F. (SF)</t>
  </si>
  <si>
    <t xml:space="preserve">Intereses leasing por pagar (SF)</t>
  </si>
  <si>
    <t xml:space="preserve">Intereses sobre préstamos causados (SF)</t>
  </si>
  <si>
    <t xml:space="preserve">El saldo debe igualar los intereses por pagar de créditos.</t>
  </si>
  <si>
    <t xml:space="preserve">Intereses leasing causados (SF)</t>
  </si>
  <si>
    <t xml:space="preserve">53052020</t>
  </si>
  <si>
    <t xml:space="preserve">Intereses préstamos efectivamente pagados (débitos)</t>
  </si>
  <si>
    <t xml:space="preserve">Débitos = reversiones de 2130 + intereses pagados directo. La diferencia corresponde a pagos sin dato en glosa u otros intereses.</t>
  </si>
  <si>
    <t xml:space="preserve">53052010</t>
  </si>
  <si>
    <t xml:space="preserve">Intereses leasing efectivamente pagados (débitos)</t>
  </si>
  <si>
    <t xml:space="preserve">Ídem para leasing.</t>
  </si>
  <si>
    <t xml:space="preserve">5305</t>
  </si>
  <si>
    <t xml:space="preserve">Gasto de intereses neto ene–jul (10+20+30+40)</t>
  </si>
  <si>
    <t xml:space="preserve">Gasto registrado vs suma por obligación (causaciones + pagos directos).</t>
  </si>
  <si>
    <t xml:space="preserve">Clasificación corriente / no corriente (NIC 1 párr. 69–76) – por obligación con tablas de amortización</t>
  </si>
  <si>
    <t xml:space="preserve">CP auditoría = saldo total si vence ≤ 31-jul-27; si no, capital de los próximos 12 meses según la tabla (papel 64), acotado al saldo del mayor. Sin tabla: se mantiene la clasificación contable.</t>
  </si>
  <si>
    <t xml:space="preserve">CP auditoría (tablas / vencimiento)</t>
  </si>
  <si>
    <t xml:space="preserve">CP detalle 62 corregido</t>
  </si>
  <si>
    <t xml:space="preserve">Cuenta CP mayor</t>
  </si>
  <si>
    <t xml:space="preserve">Cuenta LP mayor</t>
  </si>
  <si>
    <t xml:space="preserve">Saldo total mayor</t>
  </si>
  <si>
    <t xml:space="preserve">Las cuentas CP/LP del mayor se asignan por origen del crédito, no por vencimiento.</t>
  </si>
  <si>
    <t xml:space="preserve">Leasings</t>
  </si>
  <si>
    <t xml:space="preserve">Incluye 386735 y GECOLSA sin tabla (se mantiene su clasificación contable).</t>
  </si>
  <si>
    <t xml:space="preserve">Reclasificación propuesta LP → CP (CP auditoría − cuenta CP del mayor)</t>
  </si>
  <si>
    <t xml:space="preserve">Reclasificación</t>
  </si>
  <si>
    <t xml:space="preserve">Créditos: 21050201 → 21050100</t>
  </si>
  <si>
    <t xml:space="preserve">Leasing: 21202140 → 21202040</t>
  </si>
  <si>
    <t xml:space="preserve">Negativo = el mayor tiene más corto plazo que el calculado (reclasificar CP → LP).</t>
  </si>
  <si>
    <t xml:space="preserve">Tarjetas de crédito: agrupadas en 210502 (LP) → presentar como corriente</t>
  </si>
  <si>
    <t xml:space="preserve">Porción corriente por obligación</t>
  </si>
  <si>
    <t xml:space="preserve">Vencimiento final</t>
  </si>
  <si>
    <t xml:space="preserve">CP registrado (sin tabla)</t>
  </si>
  <si>
    <t xml:space="preserve">CP auditoría</t>
  </si>
  <si>
    <t xml:space="preserve">CP auditoría − detalle</t>
  </si>
  <si>
    <t xml:space="preserve">Criterio</t>
  </si>
  <si>
    <t xml:space="preserve">Errores de clasificación en el detalle 62</t>
  </si>
  <si>
    <t xml:space="preserve">Saldo</t>
  </si>
  <si>
    <t xml:space="preserve">CP cliente</t>
  </si>
  <si>
    <t xml:space="preserve">LP cliente</t>
  </si>
  <si>
    <t xml:space="preserve">CP+LP − saldo</t>
  </si>
  <si>
    <t xml:space="preserve">Error</t>
  </si>
  <si>
    <t xml:space="preserve">CP + LP no suma el saldo (LP posiblemente copiado de otra fila).</t>
  </si>
  <si>
    <t xml:space="preserve">CP mayor que el saldo y LP negativo.</t>
  </si>
  <si>
    <t xml:space="preserve">Prueba analítica sustantiva – gasto por intereses ene–jul 2026</t>
  </si>
  <si>
    <t xml:space="preserve">Expectativa = deuda promedio × ((1 + tasa promedio ponderada)^(días/365) − 1).</t>
  </si>
  <si>
    <t xml:space="preserve">Fuente / comentario</t>
  </si>
  <si>
    <t xml:space="preserve">Deuda financiera 1-ene-26 (2105 sin TC + 2120)</t>
  </si>
  <si>
    <t xml:space="preserve">Balance de prueba.</t>
  </si>
  <si>
    <t xml:space="preserve">Deuda financiera 31-jul-26 (2105 sin TC + 2120)</t>
  </si>
  <si>
    <t xml:space="preserve">Deuda promedio simple</t>
  </si>
  <si>
    <t xml:space="preserve">Tasa EA promedio ponderada (detalle 62, tasas del cliente)</t>
  </si>
  <si>
    <t xml:space="preserve">Detalle_62.</t>
  </si>
  <si>
    <t xml:space="preserve">Días del periodo (1-ene a 31-jul-26)</t>
  </si>
  <si>
    <t xml:space="preserve">Gasto de intereses esperado</t>
  </si>
  <si>
    <t xml:space="preserve">Intereses leasing pagados (53052010)</t>
  </si>
  <si>
    <t xml:space="preserve">Intereses préstamos pagados (53052020)</t>
  </si>
  <si>
    <t xml:space="preserve">Intereses préstamos causados (53052030)</t>
  </si>
  <si>
    <t xml:space="preserve">Intereses leasing causados (53052040)</t>
  </si>
  <si>
    <t xml:space="preserve">Gasto de intereses registrado</t>
  </si>
  <si>
    <t xml:space="preserve">Excluye mora (53052002) y sobregiros (53052001).</t>
  </si>
  <si>
    <t xml:space="preserve">Causación no registrada al 31-jul (Pruebas_Auditoria (bloque 4) Parte 2)</t>
  </si>
  <si>
    <t xml:space="preserve">Gasto de intereses ajustado</t>
  </si>
  <si>
    <t xml:space="preserve">Diferencia ajustado − esperado</t>
  </si>
  <si>
    <t xml:space="preserve">% diferencia</t>
  </si>
  <si>
    <t xml:space="preserve">Umbral de expectativa (±)</t>
  </si>
  <si>
    <t xml:space="preserve">Supuesto de auditoría: ±10% para una prueba analítica de precisión moderada (tasas variables IBR/DTF).</t>
  </si>
  <si>
    <t xml:space="preserve">Intereses de mora registrados (53052002)</t>
  </si>
  <si>
    <t xml:space="preserve">Incluye $54.242 Banco Popular (CL-411).</t>
  </si>
  <si>
    <t xml:space="preserve">Detalle de obligaciones financieras del cliente (papel 62) a 31-jul-2026 – recálculo</t>
  </si>
  <si>
    <t xml:space="preserve">Fuente: 62._Obligaciones_Financieras.xlsx. Columnas A–Q: datos del cliente (azul). Columnas R en adelante: recálculo de auditoría.</t>
  </si>
  <si>
    <t xml:space="preserve">Tasas de referencia 31-jul-26 (cliente)</t>
  </si>
  <si>
    <t xml:space="preserve">IBR</t>
  </si>
  <si>
    <t xml:space="preserve">IBR 3 MESES</t>
  </si>
  <si>
    <t xml:space="preserve">IBR 6 MESES</t>
  </si>
  <si>
    <t xml:space="preserve">DTF</t>
  </si>
  <si>
    <t xml:space="preserve">SOFR</t>
  </si>
  <si>
    <t xml:space="preserve">TRM</t>
  </si>
  <si>
    <t xml:space="preserve">Nº obligación (cliente)</t>
  </si>
  <si>
    <t xml:space="preserve">Saldo deuda jul-26</t>
  </si>
  <si>
    <t xml:space="preserve">% deuda (cliente)</t>
  </si>
  <si>
    <t xml:space="preserve">Puntos adic.</t>
  </si>
  <si>
    <t xml:space="preserve">Tasa EA cliente</t>
  </si>
  <si>
    <t xml:space="preserve">Veces año</t>
  </si>
  <si>
    <t xml:space="preserve">Tipo pago</t>
  </si>
  <si>
    <t xml:space="preserve">Corto plazo (cliente)</t>
  </si>
  <si>
    <t xml:space="preserve">Largo plazo (cliente)</t>
  </si>
  <si>
    <t xml:space="preserve">Cuotas rest.</t>
  </si>
  <si>
    <t xml:space="preserve">Vencimiento</t>
  </si>
  <si>
    <t xml:space="preserve">Tasa pond. cliente</t>
  </si>
  <si>
    <t xml:space="preserve">Índice aplicado</t>
  </si>
  <si>
    <t xml:space="preserve">Tasa EA recalculada</t>
  </si>
  <si>
    <t xml:space="preserve">Dif. EA (pb)</t>
  </si>
  <si>
    <t xml:space="preserve">CP + LP − Saldo</t>
  </si>
  <si>
    <t xml:space="preserve">Estado CP/LP</t>
  </si>
  <si>
    <t xml:space="preserve">CP corregido</t>
  </si>
  <si>
    <t xml:space="preserve">LP corregido</t>
  </si>
  <si>
    <t xml:space="preserve">% deuda recalc.</t>
  </si>
  <si>
    <t xml:space="preserve">LEASING 1019441</t>
  </si>
  <si>
    <t xml:space="preserve">CAMION LZT 927</t>
  </si>
  <si>
    <t xml:space="preserve">MENSUAL</t>
  </si>
  <si>
    <t xml:space="preserve">LEASING 1019448</t>
  </si>
  <si>
    <t xml:space="preserve">CAMION LZT 926</t>
  </si>
  <si>
    <t xml:space="preserve">LEASING 10212753</t>
  </si>
  <si>
    <t xml:space="preserve">CALDERAS-SISTEMA DE ALIMENTACION BIOMASA</t>
  </si>
  <si>
    <t xml:space="preserve">TRIMESTRAL</t>
  </si>
  <si>
    <t xml:space="preserve">CRED TESORERIA</t>
  </si>
  <si>
    <t xml:space="preserve">SEMESTRAL</t>
  </si>
  <si>
    <t xml:space="preserve">LEASING 556449224</t>
  </si>
  <si>
    <t xml:space="preserve">POZO # 1</t>
  </si>
  <si>
    <t xml:space="preserve">LEASING 556449180</t>
  </si>
  <si>
    <t xml:space="preserve">POZO # 2</t>
  </si>
  <si>
    <t xml:space="preserve">LEASING 556449117</t>
  </si>
  <si>
    <t xml:space="preserve">POZO # 3</t>
  </si>
  <si>
    <t xml:space="preserve">LEASING 556449064</t>
  </si>
  <si>
    <t xml:space="preserve">POZO # 4</t>
  </si>
  <si>
    <t xml:space="preserve">LEASING 556449288</t>
  </si>
  <si>
    <t xml:space="preserve">POZO # 5</t>
  </si>
  <si>
    <t xml:space="preserve">LEASING 557285005</t>
  </si>
  <si>
    <t xml:space="preserve">PLANTA ELECTRICA JENBACHER</t>
  </si>
  <si>
    <t xml:space="preserve">IBR 6 MESES/tri INT</t>
  </si>
  <si>
    <t xml:space="preserve">CAPITAL DE TRABAJO</t>
  </si>
  <si>
    <t xml:space="preserve">EXCAVADORA PC130-8 KOMATSU</t>
  </si>
  <si>
    <t xml:space="preserve">TURBINA - TURBOKRAFT </t>
  </si>
  <si>
    <t xml:space="preserve">PLANTA ELECTRICA CATERPILLAR C32-910</t>
  </si>
  <si>
    <t xml:space="preserve">TOTAL OBLIGACIONES (recalculado)</t>
  </si>
  <si>
    <t xml:space="preserve">Total obligaciones según cliente</t>
  </si>
  <si>
    <t xml:space="preserve">Diferencia (recalculado − cliente)</t>
  </si>
  <si>
    <t xml:space="preserve">Subtotales por banco – recálculo vs cliente</t>
  </si>
  <si>
    <t xml:space="preserve">Subtotal recalculado</t>
  </si>
  <si>
    <t xml:space="preserve">Subtotal cliente</t>
  </si>
  <si>
    <t xml:space="preserve">Tasa pond. recalc.</t>
  </si>
  <si>
    <t xml:space="preserve">Tasa EA promedio ponderada total (cliente)</t>
  </si>
  <si>
    <t xml:space="preserve">Tasa EA promedio ponderada total (recalculada)</t>
  </si>
  <si>
    <t xml:space="preserve">Nota: la tasa EA recalculada usa la convención del cliente (1 + (índice + puntos)/n)^n − 1 con n = 'Veces año'. Diferencias indican que el cliente usó una periodicidad distinta a la declarada.</t>
  </si>
  <si>
    <t xml:space="preserve">Detalle del mayor por obligación al 31-dic-2025 (saldo inicial 2026)</t>
  </si>
  <si>
    <t xml:space="preserve">Fuente: ejemplo.xlsx (PT Obligaciones Financieras al 31-dic-2025, sección 2 'Detalle suministrado por Cliente'). ID asignado por auditoría según la nota y el documento cruce.</t>
  </si>
  <si>
    <t xml:space="preserve">Fila PT 2025</t>
  </si>
  <si>
    <t xml:space="preserve">Auxiliar 2025</t>
  </si>
  <si>
    <t xml:space="preserve">Cuenta 2026</t>
  </si>
  <si>
    <t xml:space="preserve">NIT</t>
  </si>
  <si>
    <t xml:space="preserve">Razón social</t>
  </si>
  <si>
    <t xml:space="preserve">Fecha docto.</t>
  </si>
  <si>
    <t xml:space="preserve">Total COP (crédito +)</t>
  </si>
  <si>
    <t xml:space="preserve">Notas</t>
  </si>
  <si>
    <t xml:space="preserve">Doc. cruce</t>
  </si>
  <si>
    <t xml:space="preserve">ID obligación</t>
  </si>
  <si>
    <t xml:space="preserve">Clase</t>
  </si>
  <si>
    <t xml:space="preserve">RECLASIFICACION SALDO DE LARGO PLAZO A CORTO PLAZO</t>
  </si>
  <si>
    <t xml:space="preserve">00000000</t>
  </si>
  <si>
    <t xml:space="preserve">Capital crédito CP</t>
  </si>
  <si>
    <t xml:space="preserve">CRED 1260105867 POR 5.000 MM PAGO CAPITAL ANUAL Y PAGO DE INTERESES TRIMESTRAL A TSA IBR TV + 1.5%</t>
  </si>
  <si>
    <t xml:space="preserve">BANCO DAVIVIENDA S.A.</t>
  </si>
  <si>
    <t xml:space="preserve">PRORROGA CREDITO 457300858906 POR 10.000MM A SEIS MESE VENCIMIENTO DE INTERESES SEMESTRALES</t>
  </si>
  <si>
    <t xml:space="preserve">00008906</t>
  </si>
  <si>
    <t xml:space="preserve">BANCO BILBAO VIZCAYA ARGENTARIA COLOMBIA S A PUDIENDO UTILIZAR INDISTINTAMENTE PARA TODOS LOS EFECTO</t>
  </si>
  <si>
    <t xml:space="preserve">RENOVACION CREDITO 9600277262 6MESES CON VENCIMIENTO TRIMESTRAL DE INTERESES CON TASA DE 0.95 TV</t>
  </si>
  <si>
    <t xml:space="preserve">00277262</t>
  </si>
  <si>
    <t xml:space="preserve">SI 31/12/2021 BBVA Obf.158009 IBR+2.94% Mensual 12 Cuotas</t>
  </si>
  <si>
    <t xml:space="preserve">53436746</t>
  </si>
  <si>
    <t xml:space="preserve">858177259 CAPITAL DE TRABAJO K TRIMESTRAL POR 5 AÑOS</t>
  </si>
  <si>
    <t xml:space="preserve">85817725</t>
  </si>
  <si>
    <t xml:space="preserve">RECLASIFICACION RC 1572 - 457300830624</t>
  </si>
  <si>
    <t xml:space="preserve">Capital crédito LP</t>
  </si>
  <si>
    <t xml:space="preserve">856670629 K 2.186.000.000 2 AÑOS DE GRACIA PAGO TRIMESTRAL</t>
  </si>
  <si>
    <t xml:space="preserve">00001026</t>
  </si>
  <si>
    <t xml:space="preserve">SI 31/12/2021 Davivienda Obl 569032 $3.000 Obl 607691 $3.960 Largo Plazo</t>
  </si>
  <si>
    <t xml:space="preserve">00569032</t>
  </si>
  <si>
    <t xml:space="preserve">SI 31/12/2021 Davivienda Obl 607691 $3.960 IBR 6 Meses+3.40% Semestral</t>
  </si>
  <si>
    <t xml:space="preserve">00607691</t>
  </si>
  <si>
    <t xml:space="preserve">BANCO POPULAR S. A.</t>
  </si>
  <si>
    <t xml:space="preserve">SI 31/12/2021 POPULAR Obf.3099402 IBR 3 Meses+2.40% Trimestral</t>
  </si>
  <si>
    <t xml:space="preserve">13099402</t>
  </si>
  <si>
    <t xml:space="preserve">2105020103</t>
  </si>
  <si>
    <t xml:space="preserve">N4004526B      </t>
  </si>
  <si>
    <t xml:space="preserve">Bloomberg Finance Lp</t>
  </si>
  <si>
    <t xml:space="preserve">N4004526B/DSF5608877226 LEI RENEWAL SUBSCRIPTION Pagado con TC JMH /Reclasifico de la cta 2335 a la cta 2105 TC</t>
  </si>
  <si>
    <t xml:space="preserve">TC</t>
  </si>
  <si>
    <t xml:space="preserve">Tarjeta de crédito</t>
  </si>
  <si>
    <t xml:space="preserve">DEKORATION HOME S.A.S</t>
  </si>
  <si>
    <t xml:space="preserve">FR-464 MACROMADERA CON ESCALERILLA REF.RUSTICA DARK NATURAL CON CENEFA Y LATERALES DE PENTAGRAMA</t>
  </si>
  <si>
    <t xml:space="preserve">00000464</t>
  </si>
  <si>
    <t xml:space="preserve">INVERSIONES JOPAFA SAS</t>
  </si>
  <si>
    <t xml:space="preserve">FR-583 ALIMENTACION SR. CATALINA HERRERA</t>
  </si>
  <si>
    <t xml:space="preserve">00000583</t>
  </si>
  <si>
    <t xml:space="preserve">GRUPO HBB SAS</t>
  </si>
  <si>
    <t xml:space="preserve">FR-650 RECLASIFICACION CUENTAS POR PAGAR</t>
  </si>
  <si>
    <t xml:space="preserve">00000650</t>
  </si>
  <si>
    <t xml:space="preserve">LYL HOTELS SAS</t>
  </si>
  <si>
    <t xml:space="preserve">FR-813 RECLASIFICACION CUENTAS POR PAGAR</t>
  </si>
  <si>
    <t xml:space="preserve">00000813</t>
  </si>
  <si>
    <t xml:space="preserve">OPUS 3 S.A.S</t>
  </si>
  <si>
    <t xml:space="preserve">FR-981 JUEGO AJEDREZ CUERO,JUEGO CACHO CUERO  ATENCION CLIENTES</t>
  </si>
  <si>
    <t xml:space="preserve">00000981</t>
  </si>
  <si>
    <t xml:space="preserve">DAVIS INSTRUMENTS CORPORATION</t>
  </si>
  <si>
    <t xml:space="preserve">RECLASIFICACION CTA X PAGAR TARJETA DE CREDITO</t>
  </si>
  <si>
    <t xml:space="preserve">00002306</t>
  </si>
  <si>
    <t xml:space="preserve">CENTRO DE DIAGNOSTICO AUTOMOTRIZ CAJICA S.A.S</t>
  </si>
  <si>
    <t xml:space="preserve">00002311</t>
  </si>
  <si>
    <t xml:space="preserve">CLUB COLOMBO-LIBANES</t>
  </si>
  <si>
    <t xml:space="preserve">RECLASIFICACION CTS X PAGAR A TGARJETA DE CREDITO</t>
  </si>
  <si>
    <t xml:space="preserve">00002336</t>
  </si>
  <si>
    <t xml:space="preserve">SOCIEDAD PORTUARIA REGIONAL DE BUENAVENTURA S.A. S.P.R. BUN</t>
  </si>
  <si>
    <t xml:space="preserve">RECLASIFICACION CTA POR PAGAR A TARJETA DE CREDITO</t>
  </si>
  <si>
    <t xml:space="preserve">00002387</t>
  </si>
  <si>
    <t xml:space="preserve">VILLEGAS ASOCIADOS S.A.</t>
  </si>
  <si>
    <t xml:space="preserve">FR3093, PARAISO DE COLOMBIA, BOGOTA, COLOMBIA SECRETA</t>
  </si>
  <si>
    <t xml:space="preserve">00003093</t>
  </si>
  <si>
    <t xml:space="preserve">GRUPO FRACOTEX S.A.S</t>
  </si>
  <si>
    <t xml:space="preserve">FR-3295 RECLASIFICACION CUENTAS POR PAGAR</t>
  </si>
  <si>
    <t xml:space="preserve">00003295</t>
  </si>
  <si>
    <t xml:space="preserve">DUCATTOS S.A.S</t>
  </si>
  <si>
    <t xml:space="preserve">fr-43020 reclasificacion cuentas por pagar</t>
  </si>
  <si>
    <t xml:space="preserve">00043020</t>
  </si>
  <si>
    <t xml:space="preserve">DH COLOMBIA S A S -</t>
  </si>
  <si>
    <t xml:space="preserve">FR147066, BANDEJA PLAST, BANDEJA ACACIA RECTANGULAR, BOLSA SACO TIENDA</t>
  </si>
  <si>
    <t xml:space="preserve">00147066</t>
  </si>
  <si>
    <t xml:space="preserve">CREPES Y WAFFLES S.A.</t>
  </si>
  <si>
    <t xml:space="preserve">FR-190397 RECLASIFICACION CUENTA POR PAGAR A CUENTA 21050301 TRAJETAS DE CREDITO</t>
  </si>
  <si>
    <t xml:space="preserve">00190397</t>
  </si>
  <si>
    <t xml:space="preserve">DIRECTV COLOMBIA LTDA</t>
  </si>
  <si>
    <t xml:space="preserve">FR-250063 1/NOV/2025 AL 30/NOV/2025  SERVICIO DE TELEVISION POR CABLE</t>
  </si>
  <si>
    <t xml:space="preserve">00250063</t>
  </si>
  <si>
    <t xml:space="preserve">FR-250272 SERVICIO TELEVISION POR CABLE</t>
  </si>
  <si>
    <t xml:space="preserve">00250272</t>
  </si>
  <si>
    <t xml:space="preserve">PONQUES CASCABEL REPOSTERIA LTDA</t>
  </si>
  <si>
    <t xml:space="preserve">FR-440139 COMPRA ANCHETA PONQUE NAVIDAD</t>
  </si>
  <si>
    <t xml:space="preserve">00440139</t>
  </si>
  <si>
    <t xml:space="preserve">FR-522655 SERVICIO DE TELEVISION POR CABLE 1 DIC/ AL 31 DIC 2025</t>
  </si>
  <si>
    <t xml:space="preserve">00522655</t>
  </si>
  <si>
    <t xml:space="preserve">FR-138651700 SERVICIO DE TELEVISION POR CABLE</t>
  </si>
  <si>
    <t xml:space="preserve">00651700</t>
  </si>
  <si>
    <t xml:space="preserve">FR-790761 SERVICIO DE TELEVISION POR CABLE</t>
  </si>
  <si>
    <t xml:space="preserve">00790761</t>
  </si>
  <si>
    <t xml:space="preserve">FR-790762 SERVICIO DE TELEVISION POR CABLE ENE/2026 AL 31/ENE/2026</t>
  </si>
  <si>
    <t xml:space="preserve">00790762</t>
  </si>
  <si>
    <t xml:space="preserve">FR-138799505 SERVICIO DE TELEVISION POR CABLE 1/ENE/2026 AL 31/ENE/2026</t>
  </si>
  <si>
    <t xml:space="preserve">00799505</t>
  </si>
  <si>
    <t xml:space="preserve">FR-138802378 SERVICIO DE TELEVICION POR CABLE</t>
  </si>
  <si>
    <t xml:space="preserve">00802378</t>
  </si>
  <si>
    <t xml:space="preserve">FR-926701 SERVICIO DE TELEVISION POR CABLE</t>
  </si>
  <si>
    <t xml:space="preserve">00926701</t>
  </si>
  <si>
    <t xml:space="preserve">FR-8927327 SERVICIO DE TELEVISION POR CABLE</t>
  </si>
  <si>
    <t xml:space="preserve">00927327</t>
  </si>
  <si>
    <t xml:space="preserve">FR-138652316 SERVICIO DE RTELEVISION POR CABLE  16-DIC AL 15/ENE</t>
  </si>
  <si>
    <t xml:space="preserve">06522316</t>
  </si>
  <si>
    <t xml:space="preserve">COMUNICACION CELULAR S A COMCEL S A</t>
  </si>
  <si>
    <t xml:space="preserve">FR-9197849 FACTURA SERVICIO DE INTERNET Y TELEFONIA PLANTA</t>
  </si>
  <si>
    <t xml:space="preserve">09197849</t>
  </si>
  <si>
    <t xml:space="preserve">COLOMBIA TELECOMUNICACIONES S.A. E.S.P. BIC</t>
  </si>
  <si>
    <t xml:space="preserve">FR-494681006 SERVICIO DE TELEFONIA PLAN  DEL 6/DIC/2026 - 05/ENE/ 2026</t>
  </si>
  <si>
    <t xml:space="preserve">49467100</t>
  </si>
  <si>
    <t xml:space="preserve">RECONOCIMIENTO SALDO PDTE LEASING 336817 Y ACTIVACION LEASING CON 72 MESES 6 DE GRACIA Y UNA TASA DE IBR MV + 3.2%</t>
  </si>
  <si>
    <t xml:space="preserve">Capital leasing CP</t>
  </si>
  <si>
    <t xml:space="preserve">LEASING 331330 PLANTA CATERPILAR C32-2</t>
  </si>
  <si>
    <t xml:space="preserve">00002362</t>
  </si>
  <si>
    <t xml:space="preserve">LEASING 0001019441 CAMION CON VOLCO PLACA LZT927</t>
  </si>
  <si>
    <t xml:space="preserve">00002507</t>
  </si>
  <si>
    <t xml:space="preserve">LEASING 1019448-3 CAMION CON GANCHO PLACA LZT936</t>
  </si>
  <si>
    <t xml:space="preserve">01019448</t>
  </si>
  <si>
    <t xml:space="preserve">RECONOCIMIENTO ANTICIPOS BANCOLOMBIA A TURBOKRAFT PARA LEASING ANT-CT-336817</t>
  </si>
  <si>
    <t xml:space="preserve">00000518</t>
  </si>
  <si>
    <t xml:space="preserve">Capital leasing LP</t>
  </si>
  <si>
    <t xml:space="preserve">RECONOCIMIENTO LEASING 362095 EXCAVADORA KOMATSU PC-130-8 // IBR TV +1.85 2 AÑOS DE GRACIA</t>
  </si>
  <si>
    <t xml:space="preserve">00000626</t>
  </si>
  <si>
    <t xml:space="preserve">LEASING 336817 CESION ANTICIPO TURBOKRAFT,  MAQUINA STEAM TURBINE GENERATING SET</t>
  </si>
  <si>
    <t xml:space="preserve">00001304</t>
  </si>
  <si>
    <t xml:space="preserve">DEVOLUCION DE ANTICIPO A CALDERAS JCT Y ANTICIPO DE LEASING</t>
  </si>
  <si>
    <t xml:space="preserve">00002188</t>
  </si>
  <si>
    <t xml:space="preserve">REINTEGRO ANTICIPO REALIZADO A GECOLSA POR 2 MOTOGENERADORES CG132B-16 MARCA CATERPILLAR</t>
  </si>
  <si>
    <t xml:space="preserve">00002672</t>
  </si>
  <si>
    <t xml:space="preserve">SI 31/12/2021 OBF 556449064 Pozo 4 DTF+3.57% Trimestral</t>
  </si>
  <si>
    <t xml:space="preserve">56449064</t>
  </si>
  <si>
    <t xml:space="preserve">SI 31/12/2021 OBF 556449117 Pozo 3 DTF+3.57% Trimestral</t>
  </si>
  <si>
    <t xml:space="preserve">56449117</t>
  </si>
  <si>
    <t xml:space="preserve">OBLIGACION LEASING 556449180 DTF+3,57</t>
  </si>
  <si>
    <t xml:space="preserve">56449180</t>
  </si>
  <si>
    <t xml:space="preserve">OBLIGACION LEASING 556449224 DTF+3,57</t>
  </si>
  <si>
    <t xml:space="preserve">56449224</t>
  </si>
  <si>
    <t xml:space="preserve">OBLIGACION LEASING 556449288</t>
  </si>
  <si>
    <t xml:space="preserve">56449288</t>
  </si>
  <si>
    <t xml:space="preserve">SI 31/12/2021 OBF 557285005 Planta Jenbacher IBR 3 Meses 3.78% Trimestral</t>
  </si>
  <si>
    <t xml:space="preserve">57285005</t>
  </si>
  <si>
    <t xml:space="preserve">INTERESES CAUSADOS OCTUBRE CRED 0624 OCT</t>
  </si>
  <si>
    <t xml:space="preserve">00000624</t>
  </si>
  <si>
    <t xml:space="preserve">Interés OF por pagar</t>
  </si>
  <si>
    <t xml:space="preserve">INTERESES CAUSADOS NOVIEMBRE CRED 0624 NOV</t>
  </si>
  <si>
    <t xml:space="preserve">INTERESES CAUSADOS DICIEMBRE CRED 0624</t>
  </si>
  <si>
    <t xml:space="preserve">INTERESES CAUSADOS AGOSTO CRED-7691</t>
  </si>
  <si>
    <t xml:space="preserve">00003638</t>
  </si>
  <si>
    <t xml:space="preserve">INTERESES CAUSADOS AGOSTO CRED-8906</t>
  </si>
  <si>
    <t xml:space="preserve">INTERESES CAUSADOS AGOSTO CRED-9032</t>
  </si>
  <si>
    <t xml:space="preserve">INTERESES CAUSADOS SEPTIEMBRE CRED 5867</t>
  </si>
  <si>
    <t xml:space="preserve">00005867</t>
  </si>
  <si>
    <t xml:space="preserve">INTERESES CAUSADOS DICIEMBRE CRED 5867</t>
  </si>
  <si>
    <t xml:space="preserve">INTERESES CAUSADOS DICIEMBRE CRED 7259</t>
  </si>
  <si>
    <t xml:space="preserve">00007259</t>
  </si>
  <si>
    <t xml:space="preserve">INTERESES CAUSADOS SEPTIEMBRE CRED 7691</t>
  </si>
  <si>
    <t xml:space="preserve">00007691</t>
  </si>
  <si>
    <t xml:space="preserve">INTERESES CAUSADOS OCTUBRE CRED 7691 OCT</t>
  </si>
  <si>
    <t xml:space="preserve">INTERESES CAUSADOS NOVIEMBRE CRED 7691 NOV</t>
  </si>
  <si>
    <t xml:space="preserve">INTERESES CAUSADOS DICIEMBRE CRED 7691</t>
  </si>
  <si>
    <t xml:space="preserve">INTERESES CAUSADOS SEPTIEMBRE CRED 8906</t>
  </si>
  <si>
    <t xml:space="preserve">INTERESES CAUSADOS OCTUBRE CRED 8906 OCT</t>
  </si>
  <si>
    <t xml:space="preserve">INTERESES CAUSADOS NOVIEMBRE CRED 8906 NOV</t>
  </si>
  <si>
    <t xml:space="preserve">INTERESES CAUSADOS DICIEMBRE CRED 8906</t>
  </si>
  <si>
    <t xml:space="preserve">INTERESES CAUSADOS SEPTIEMBRE CRED 9032</t>
  </si>
  <si>
    <t xml:space="preserve">00009032</t>
  </si>
  <si>
    <t xml:space="preserve">INTERESES CAUSADOS OCTUBRE CRED 9032 OCT</t>
  </si>
  <si>
    <t xml:space="preserve">INTERESES CAUSADOS NOVIEMBRE CRED 9032 NOV</t>
  </si>
  <si>
    <t xml:space="preserve">INTERESES CAUSADOS DICIEMBRE CRED 9032</t>
  </si>
  <si>
    <t xml:space="preserve">INTERESES CAUSADOS NOVIEMBRE LEAS 1275 NOV</t>
  </si>
  <si>
    <t xml:space="preserve">00001275</t>
  </si>
  <si>
    <t xml:space="preserve">Interés leasing por pagar</t>
  </si>
  <si>
    <t xml:space="preserve">INTERESES CAUSADOS DICIEMBRE LEAS 1275-3</t>
  </si>
  <si>
    <t xml:space="preserve">INTERESES CAUSADOS SEPTIEMBRE LEAS 5005</t>
  </si>
  <si>
    <t xml:space="preserve">00005005</t>
  </si>
  <si>
    <t xml:space="preserve">INTERESES CAUSADOS DICIEMBRE LEAS 5005</t>
  </si>
  <si>
    <t xml:space="preserve">INTERESES CAUSADOS SEPTIEMBRE LEAS 9064</t>
  </si>
  <si>
    <t xml:space="preserve">00009064</t>
  </si>
  <si>
    <t xml:space="preserve">INTERESES CAUSADOS DICIEMBRE LEAS 9064</t>
  </si>
  <si>
    <t xml:space="preserve">INTERESES CAUSADOS SEPTIEMBRE LEAS 9117</t>
  </si>
  <si>
    <t xml:space="preserve">00009117</t>
  </si>
  <si>
    <t xml:space="preserve">INTERESES CAUSADOS DICIEMBRE LEAS 9117</t>
  </si>
  <si>
    <t xml:space="preserve">INTERESES CAUSADOS SEPTIEMBRE LEAS 9180</t>
  </si>
  <si>
    <t xml:space="preserve">00009180</t>
  </si>
  <si>
    <t xml:space="preserve">INTERESES CAUSADOS DICIEMBRE LEAS 9180</t>
  </si>
  <si>
    <t xml:space="preserve">INTERESES CAUSADOS SEPTIEMBRE LEAS 9224</t>
  </si>
  <si>
    <t xml:space="preserve">00009224</t>
  </si>
  <si>
    <t xml:space="preserve">INTERESES CAUSADOS DICIEMBRE LEAS 9224</t>
  </si>
  <si>
    <t xml:space="preserve">INTERESES CAUSADOS SEPTIEMBRE LEAS 9288</t>
  </si>
  <si>
    <t xml:space="preserve">00009288</t>
  </si>
  <si>
    <t xml:space="preserve">INTERESES CAUSADOS DICIEMBRE LEAS 9288</t>
  </si>
  <si>
    <t xml:space="preserve">Cuadre del detalle 31-dic-25 contra el saldo inicial del balance 2026</t>
  </si>
  <si>
    <t xml:space="preserve">Detalle 31-dic-25</t>
  </si>
  <si>
    <t xml:space="preserve">Saldo inicial balance (signo +)</t>
  </si>
  <si>
    <t xml:space="preserve">Obl.Financiera Corto Plazo</t>
  </si>
  <si>
    <t xml:space="preserve">Obg.Financiera Largo Plazo</t>
  </si>
  <si>
    <t xml:space="preserve">Tarjeta de Credito por Pagar</t>
  </si>
  <si>
    <t xml:space="preserve">Leasing Corto Plazo</t>
  </si>
  <si>
    <t xml:space="preserve">Leasing Largo Plazo</t>
  </si>
  <si>
    <t xml:space="preserve">Intereses Financieros por Pagar O.F.</t>
  </si>
  <si>
    <t xml:space="preserve">Intereses Leasing por Pagar</t>
  </si>
  <si>
    <t xml:space="preserve">Partidas sin ID de obligación</t>
  </si>
  <si>
    <t xml:space="preserve">Movimiento auxiliar cuenta 21 – Obligaciones financieras (ene–jul 2026)</t>
  </si>
  <si>
    <t xml:space="preserve">Fuente: Obl_Financieros.xlsx / Sheet1 (Siesa). Columnas N–P asignadas por auditoría (ID de obligación, clase y tipo de movimiento).</t>
  </si>
  <si>
    <t xml:space="preserve">Fila origen</t>
  </si>
  <si>
    <t xml:space="preserve">Nombre cuenta</t>
  </si>
  <si>
    <t xml:space="preserve">Tercero</t>
  </si>
  <si>
    <t xml:space="preserve">Neto (D-C)</t>
  </si>
  <si>
    <t xml:space="preserve">Documento</t>
  </si>
  <si>
    <t xml:space="preserve">Usuario</t>
  </si>
  <si>
    <t xml:space="preserve">ID obligación (auditoría)</t>
  </si>
  <si>
    <t xml:space="preserve">Tipo movimiento</t>
  </si>
  <si>
    <t xml:space="preserve">860003020</t>
  </si>
  <si>
    <t xml:space="preserve">CE-00035090</t>
  </si>
  <si>
    <t xml:space="preserve">Comprobante de Egreso</t>
  </si>
  <si>
    <t xml:space="preserve">RENOVACION CREDITO 0141 PLAZO 6 MESES - AMORTIZACION AL VENCIMIENTO -INTERESES MENSUALES - IBR + 1 EA 4.700.000.000</t>
  </si>
  <si>
    <t xml:space="preserve">yan.lopez</t>
  </si>
  <si>
    <t xml:space="preserve">Renovación / prórroga</t>
  </si>
  <si>
    <t xml:space="preserve">860002964</t>
  </si>
  <si>
    <t xml:space="preserve">NB-00000892</t>
  </si>
  <si>
    <t xml:space="preserve">Notas Bancarias</t>
  </si>
  <si>
    <t xml:space="preserve">PRESTAMO (1155297469) DE 10.000MM PARA PAGO CREDI 8906 DE DAVIVIENDA POR EL MISMO VALOR</t>
  </si>
  <si>
    <t xml:space="preserve">Pago de capital</t>
  </si>
  <si>
    <t xml:space="preserve">Desembolso / nueva obligación</t>
  </si>
  <si>
    <t xml:space="preserve">NB-00001016</t>
  </si>
  <si>
    <t xml:space="preserve">PRORROGA CREDITO 7469 POR EL CREDITO 1159383796 IBR TM + 0.8 VENCIMIENTO 6 MESES</t>
  </si>
  <si>
    <t xml:space="preserve">CL-00000354</t>
  </si>
  <si>
    <t xml:space="preserve">Causación Obligaciones Financieras</t>
  </si>
  <si>
    <t xml:space="preserve">CUOTA 94 CREDITO 453436746 MENSUAL CAPITAL 62.500.000 INTERESES 41.849.155.99</t>
  </si>
  <si>
    <t xml:space="preserve">valentina.olea</t>
  </si>
  <si>
    <t xml:space="preserve">CL-00000371</t>
  </si>
  <si>
    <t xml:space="preserve">CANON 95 CREDITO 453436746 MES DE FEBRERO 2026 CAPITAL 62.500.000 INTERESES 36.701.211.58</t>
  </si>
  <si>
    <t xml:space="preserve">CL-00000372</t>
  </si>
  <si>
    <t xml:space="preserve">CANON 10 CREDITO 858177259 TRIMESTRAL (DIC-ENE-FEB) GASTOS BANCARIOS 238 INTERESES 47.641.305.47</t>
  </si>
  <si>
    <t xml:space="preserve">CUOTA 11 CREDITO 856670629 TRIMESTRAL (ENE-FEB-MAR) CAPITAL 182.166.667 INTERESES 56.089.116.47 GASTOS BANCARIOS 238</t>
  </si>
  <si>
    <t xml:space="preserve">CL-00000384</t>
  </si>
  <si>
    <t xml:space="preserve">CANON 96 CREDITO 453436746 MENSUAL CAPITAL 62.500.000 INTERESES 36.314.055.32</t>
  </si>
  <si>
    <t xml:space="preserve">CL-00000395</t>
  </si>
  <si>
    <t xml:space="preserve">CANON 97 CREDITO 453436746 MENSUAL CAPITAL 62.500.000 INTERESES 40.669.577.85</t>
  </si>
  <si>
    <t xml:space="preserve">CANON 11 CREDITO 858177259 TRIMESTRAL</t>
  </si>
  <si>
    <t xml:space="preserve">CL-00000408</t>
  </si>
  <si>
    <t xml:space="preserve">CANON 98 CREDITO 453436746 MENSUAL</t>
  </si>
  <si>
    <t xml:space="preserve">CANON 99 CREDITO 453436746 CAPITAL 62.500.000 INTERESES 37.868.662.91 MENSUAL</t>
  </si>
  <si>
    <t xml:space="preserve">CANON 12 CREDITO 856670629 TRIMESTRAL (ABR-MAY-JUN) CAPITAL 182.166.667, INTERESES 59.390.887.23, GASTOS BANCARIOS 238</t>
  </si>
  <si>
    <t xml:space="preserve">CANON 100 CREDITO 453436746 CAPITAL 62.500.000 INTERESES 38.894.999.71</t>
  </si>
  <si>
    <t xml:space="preserve">860007738</t>
  </si>
  <si>
    <t xml:space="preserve">CL-00000375</t>
  </si>
  <si>
    <t xml:space="preserve">CANON CREDITO 631309940 (ENE-FEB-MAR)</t>
  </si>
  <si>
    <t xml:space="preserve">CL-00000411</t>
  </si>
  <si>
    <t xml:space="preserve">CANON CREDITO 631309940 TRIMESTRAL (ABR-MAY-JUN) CAPITAL 143.750.000 INTERESES 14.419.922 INTERESES MORA 54.242</t>
  </si>
  <si>
    <t xml:space="preserve">890903938</t>
  </si>
  <si>
    <t xml:space="preserve">CL-00000399</t>
  </si>
  <si>
    <t xml:space="preserve">CANON CREDITO 12660105867 TRIMESTRAL (FEB-MAR-ABR) CAPITAL 1.666.666.666 INTERESES 137.225.000</t>
  </si>
  <si>
    <t xml:space="preserve">AIRTABLE WORKPACE</t>
  </si>
  <si>
    <t xml:space="preserve">FC-00008721</t>
  </si>
  <si>
    <t xml:space="preserve">Factura Compra</t>
  </si>
  <si>
    <t xml:space="preserve">CE-34717 LEGALIZACION TC JUAN MANUL HERRERA</t>
  </si>
  <si>
    <t xml:space="preserve">ALPINA PRODUCTOS ALIMEN</t>
  </si>
  <si>
    <t xml:space="preserve">860025900</t>
  </si>
  <si>
    <t xml:space="preserve">FC-00008215</t>
  </si>
  <si>
    <t xml:space="preserve">FR-38590 COMPRA VASO DE HELADO</t>
  </si>
  <si>
    <t xml:space="preserve">FC-00008521</t>
  </si>
  <si>
    <t xml:space="preserve">CE-33825 LEGALIZACION TC CATALINA HERRERA MES DE MAYO 2026</t>
  </si>
  <si>
    <t xml:space="preserve">AMERICA TENIS CLUB</t>
  </si>
  <si>
    <t xml:space="preserve">860006788</t>
  </si>
  <si>
    <t xml:space="preserve">NI-00004518</t>
  </si>
  <si>
    <t xml:space="preserve">Nota Interna de Contabilidad</t>
  </si>
  <si>
    <t xml:space="preserve">AJUSTE 2335 A 2105 PAGADA POR TC Y AJUSTE DE IMPUESTOS ASUMIDOS</t>
  </si>
  <si>
    <t xml:space="preserve">FC-00008536</t>
  </si>
  <si>
    <t xml:space="preserve">CE-34026 LEGALIZACION TC JUAN MANUEL HERRERA</t>
  </si>
  <si>
    <t xml:space="preserve">FC-00008874</t>
  </si>
  <si>
    <t xml:space="preserve">FR-3374 GASTOS REUSTARANTE</t>
  </si>
  <si>
    <t xml:space="preserve">ANTHROPIC, PBC, INC</t>
  </si>
  <si>
    <t xml:space="preserve">FC-00008719</t>
  </si>
  <si>
    <t xml:space="preserve">CE-34718 LEGALIZACION TC LUIS HERRERA</t>
  </si>
  <si>
    <t xml:space="preserve">N4004526B</t>
  </si>
  <si>
    <t xml:space="preserve">DSF-00002201</t>
  </si>
  <si>
    <t xml:space="preserve">Documento soporte adq efectuadas financ</t>
  </si>
  <si>
    <t xml:space="preserve">DSF-2201 90183122 SUSCRIPCION RENOVACION LICENCIA LEI (PAGADA CON TC JUAM MANUEL HERRERA)</t>
  </si>
  <si>
    <t xml:space="preserve">NI-00004566</t>
  </si>
  <si>
    <t xml:space="preserve">CRUCE DE CUENTAS CxP TARJETAS DE CREDITO CON ANTICIPO BANCO DE BOGOTA</t>
  </si>
  <si>
    <t xml:space="preserve">jennifer.velasquez</t>
  </si>
  <si>
    <t xml:space="preserve">BORDA CLAVIJO RENE FRANCISO</t>
  </si>
  <si>
    <t xml:space="preserve">79140050</t>
  </si>
  <si>
    <t xml:space="preserve">FC-00007996</t>
  </si>
  <si>
    <t xml:space="preserve">FR-438206 COMBUSTIBLE</t>
  </si>
  <si>
    <t xml:space="preserve">FC-00008070</t>
  </si>
  <si>
    <t xml:space="preserve">CE-31964 LEGALIZACION TC ROBERTO HERRERA</t>
  </si>
  <si>
    <t xml:space="preserve">860006864</t>
  </si>
  <si>
    <t xml:space="preserve">NI-00004085</t>
  </si>
  <si>
    <t xml:space="preserve">AJUSTE A MILES CUENTAS POR PAGAR</t>
  </si>
  <si>
    <t xml:space="preserve">830122566</t>
  </si>
  <si>
    <t xml:space="preserve">FC-00007891</t>
  </si>
  <si>
    <t xml:space="preserve">FR-335758 PLAN DE 6/01/2026 AL 5/02/2026</t>
  </si>
  <si>
    <t xml:space="preserve">FC-00007968</t>
  </si>
  <si>
    <t xml:space="preserve">CE-31422 LEGALIZACION TC TESORERIA ENERO 2026</t>
  </si>
  <si>
    <t xml:space="preserve">FC-00008018</t>
  </si>
  <si>
    <t xml:space="preserve">FR-60380887 PLAN DE TELEFONIA DEL 6/02/2026 AL 5/03/2026</t>
  </si>
  <si>
    <t xml:space="preserve">FC-00008072</t>
  </si>
  <si>
    <t xml:space="preserve">CE-31896 LEGALIZACION TC TESORERIA</t>
  </si>
  <si>
    <t xml:space="preserve">FC-00008172</t>
  </si>
  <si>
    <t xml:space="preserve">FR-511676175 PLAN DE TELEFONIA DE 6 MAR AL 5 ABRI 2026</t>
  </si>
  <si>
    <t xml:space="preserve">FC-00008326</t>
  </si>
  <si>
    <t xml:space="preserve">FR-517447290 PLAN TELEFONICO DEL 06/04/2026 AL5/05/2026</t>
  </si>
  <si>
    <t xml:space="preserve">FC-00008363</t>
  </si>
  <si>
    <t xml:space="preserve">CE-32642 LEGALIZACION GASTOS TC TESORERIA MARZO</t>
  </si>
  <si>
    <t xml:space="preserve">FC-00008402</t>
  </si>
  <si>
    <t xml:space="preserve">CE-33151 LEGALIZACION TC TESORERIA ABRIL 2026</t>
  </si>
  <si>
    <t xml:space="preserve">FC-00008484</t>
  </si>
  <si>
    <t xml:space="preserve">FR-523179753 SERVICIO DE TELEFONO PLAN 6/06/2026 AL 5/06/2026</t>
  </si>
  <si>
    <t xml:space="preserve">FC-00008520</t>
  </si>
  <si>
    <t xml:space="preserve">CE-33826 LEGALIZACION TC TESORERIA MES DE MAYO 2026</t>
  </si>
  <si>
    <t xml:space="preserve">860040584</t>
  </si>
  <si>
    <t xml:space="preserve">FC-00008619</t>
  </si>
  <si>
    <t xml:space="preserve">AJUSTES A CUENTA TC CREDITO GUSICARAMO</t>
  </si>
  <si>
    <t xml:space="preserve">FC-00008645</t>
  </si>
  <si>
    <t xml:space="preserve">FR-528986182 PLAN DE TELEFONIA 6/06/2026 AL 5/07/2026</t>
  </si>
  <si>
    <t xml:space="preserve">FC-00008724</t>
  </si>
  <si>
    <t xml:space="preserve">CE-34714 LEGALIZACION TC TESORERIA</t>
  </si>
  <si>
    <t xml:space="preserve">FC-00008788</t>
  </si>
  <si>
    <t xml:space="preserve">FR-534674049 PLAN TELEFONICO DEL 6 JUL AL 5 DE AGOSTO 2026</t>
  </si>
  <si>
    <t xml:space="preserve">FC-00008902</t>
  </si>
  <si>
    <t xml:space="preserve">CE-35438 LEGALIZACION TESORERIA JULIO 2026</t>
  </si>
  <si>
    <t xml:space="preserve">COLOMBIANA DE COMERCIO S.A.</t>
  </si>
  <si>
    <t xml:space="preserve">890900943</t>
  </si>
  <si>
    <t xml:space="preserve">FC-00007982</t>
  </si>
  <si>
    <t xml:space="preserve">FR-8472523107 SECADORA PARA SRA. BEATRIZ</t>
  </si>
  <si>
    <t xml:space="preserve">FC-00008359</t>
  </si>
  <si>
    <t xml:space="preserve">CE-32643 LEGALIZACION TC CATALINA HERRERA MARZO</t>
  </si>
  <si>
    <t xml:space="preserve">COMBUSTIBLES H &amp; R LTDA.</t>
  </si>
  <si>
    <t xml:space="preserve">FC-00008138</t>
  </si>
  <si>
    <t xml:space="preserve">LEGALIZACION TC ROBERTO HERRERA</t>
  </si>
  <si>
    <t xml:space="preserve">900078103</t>
  </si>
  <si>
    <t xml:space="preserve">FC-00008139</t>
  </si>
  <si>
    <t xml:space="preserve">FR-188055 COMBUSTIBLE</t>
  </si>
  <si>
    <t xml:space="preserve">FC-00008892</t>
  </si>
  <si>
    <t xml:space="preserve">FR-474341 ACPM COMBUSTIBLE JUZ461</t>
  </si>
  <si>
    <t xml:space="preserve">COMERCIALIZADORA RUMBOS S A S</t>
  </si>
  <si>
    <t xml:space="preserve">830508167</t>
  </si>
  <si>
    <t xml:space="preserve">FC-00007981</t>
  </si>
  <si>
    <t xml:space="preserve">FR-1151468 COMBUSTIBLE</t>
  </si>
  <si>
    <t xml:space="preserve">FC-00008395</t>
  </si>
  <si>
    <t xml:space="preserve">FR-1171494 COMBUSTIBLE</t>
  </si>
  <si>
    <t xml:space="preserve">FC-00008400</t>
  </si>
  <si>
    <t xml:space="preserve">CE-33349 LEGALIZACION TC ROBERTO HERRERA</t>
  </si>
  <si>
    <t xml:space="preserve">FC-00008898</t>
  </si>
  <si>
    <t xml:space="preserve">FR-1197737 COMBUSTIBLE</t>
  </si>
  <si>
    <t xml:space="preserve">FC-00008897</t>
  </si>
  <si>
    <t xml:space="preserve">CE35442 LEGALIZACION ROBERTO HERRERA MES DE JULIO 2026</t>
  </si>
  <si>
    <t xml:space="preserve">800153993</t>
  </si>
  <si>
    <t xml:space="preserve">DSF-00002138</t>
  </si>
  <si>
    <t xml:space="preserve">FR-6017494410 SERVICIO DE TELEFONIA BOGOTA Y ROAMING INTERNACIONAL</t>
  </si>
  <si>
    <t xml:space="preserve">FC-00007979</t>
  </si>
  <si>
    <t xml:space="preserve">FR-E6019887913 SERVICIO TE DETEFONIA PLANTA</t>
  </si>
  <si>
    <t xml:space="preserve">NSF-00000033</t>
  </si>
  <si>
    <t xml:space="preserve">Documento soporte adq Financ</t>
  </si>
  <si>
    <t xml:space="preserve">ANULACION DE DUCUMENTO ERROR</t>
  </si>
  <si>
    <t xml:space="preserve">FC-00007980</t>
  </si>
  <si>
    <t xml:space="preserve">FR-6017494410 SERVICIO DE TELEFONIA Y ROAMING INTERNACIONAL</t>
  </si>
  <si>
    <t xml:space="preserve">FC-00008041</t>
  </si>
  <si>
    <t xml:space="preserve">FR-003292488062 SERVICIO DE INTERNET OFIC BOGOTA</t>
  </si>
  <si>
    <t xml:space="preserve">CE-00031970</t>
  </si>
  <si>
    <t xml:space="preserve">liliana.celi</t>
  </si>
  <si>
    <t xml:space="preserve">NI-00004150</t>
  </si>
  <si>
    <t xml:space="preserve">RECLASIFICACION FACTURA COMCEL PAGADA CON TC</t>
  </si>
  <si>
    <t xml:space="preserve">FC-00008074</t>
  </si>
  <si>
    <t xml:space="preserve">FR-E6028262112 SERVICIO DE TELEFONIA Y ROAMING INTERNACIONAL - FACTURA BOGOTA</t>
  </si>
  <si>
    <t xml:space="preserve">899999115</t>
  </si>
  <si>
    <t xml:space="preserve">NI-00004168</t>
  </si>
  <si>
    <t xml:space="preserve">FC-00008124</t>
  </si>
  <si>
    <t xml:space="preserve">SERVICIO DE TELEFONIA PLATAN</t>
  </si>
  <si>
    <t xml:space="preserve">FC-00008253</t>
  </si>
  <si>
    <t xml:space="preserve">FR-E6041698038 SERVICIO DE TELEFONIA PLANTA</t>
  </si>
  <si>
    <t xml:space="preserve">FC-00008280</t>
  </si>
  <si>
    <t xml:space="preserve">FR-6039281858 SERVICIO DE TELEFONIA CONSUMO ROAMING</t>
  </si>
  <si>
    <t xml:space="preserve">FC-00008443</t>
  </si>
  <si>
    <t xml:space="preserve">FR-E60552578840 SERVICIO TELEFONIA PLANTA</t>
  </si>
  <si>
    <t xml:space="preserve">FC-00008501</t>
  </si>
  <si>
    <t xml:space="preserve">FR-292587204 SERVICIO DE INTERNET OFICINA BOGOTA</t>
  </si>
  <si>
    <t xml:space="preserve">FC-00008602</t>
  </si>
  <si>
    <t xml:space="preserve">FR-E6063483637 SERVICIO TELEFONICO PLANTA MAYO 2026 PAGADO TC</t>
  </si>
  <si>
    <t xml:space="preserve">FC-00008605</t>
  </si>
  <si>
    <t xml:space="preserve">FR-6061056858 ASISTENCIA CLARO, CARGO FIJO MES DE MAYO 2026</t>
  </si>
  <si>
    <t xml:space="preserve">FC-00008681</t>
  </si>
  <si>
    <t xml:space="preserve">FR-3-292619785 SERVICIO DE INTERNED DEDICADO BOGOTA</t>
  </si>
  <si>
    <t xml:space="preserve">FC-00008762</t>
  </si>
  <si>
    <t xml:space="preserve">FR-6071980820 SERVICIO DE CARGO FIJO CLARO MES DE JUNIO 2026</t>
  </si>
  <si>
    <t xml:space="preserve">FC-00008803</t>
  </si>
  <si>
    <t xml:space="preserve">FR-3292652029 SERVICIO DE INTERNET BOGOTA</t>
  </si>
  <si>
    <t xml:space="preserve">FC-00008844</t>
  </si>
  <si>
    <t xml:space="preserve">FR-6084008670  SERVICIO DE CARGO FIJO CLARO MES D JULIO 2026</t>
  </si>
  <si>
    <t xml:space="preserve">FC-00008882</t>
  </si>
  <si>
    <t xml:space="preserve">FR-E6086448534 SERVICIO DE LINEAS TELEFONICAS PLANTA JULIO 2026</t>
  </si>
  <si>
    <t xml:space="preserve">COSMETIKA S.A.S.</t>
  </si>
  <si>
    <t xml:space="preserve">830137660</t>
  </si>
  <si>
    <t xml:space="preserve">NI-00004080</t>
  </si>
  <si>
    <t xml:space="preserve">FR-46357 AJUSTE</t>
  </si>
  <si>
    <t xml:space="preserve">FC-00007969</t>
  </si>
  <si>
    <t xml:space="preserve">CE-31545 LEGALIZACION TC CATALINA HERRERA ENERO 2026</t>
  </si>
  <si>
    <t xml:space="preserve">805006014</t>
  </si>
  <si>
    <t xml:space="preserve">FC-00007900</t>
  </si>
  <si>
    <t xml:space="preserve">FR-139054161 SERVICIO DE TELEVISION POR CABLE 1-02-2026 AL 28-02-2026</t>
  </si>
  <si>
    <t xml:space="preserve">FC-00007901</t>
  </si>
  <si>
    <t xml:space="preserve">FR-139045457 SERVICIO DE TELEVISION POR CABLE 1/02/2026 AL 28/02/2026</t>
  </si>
  <si>
    <t xml:space="preserve">FC-00007917</t>
  </si>
  <si>
    <t xml:space="preserve">FR-139056701 SERVICIO DE TELEVISION POR CABLE 1/02/2026-28/02/2026</t>
  </si>
  <si>
    <t xml:space="preserve">FC-00007941</t>
  </si>
  <si>
    <t xml:space="preserve">FR-156870 SERVICIO DE TELEVISION POR CABLE</t>
  </si>
  <si>
    <t xml:space="preserve">FC-00007942</t>
  </si>
  <si>
    <t xml:space="preserve">FR-139156612 SERVICIO DE TRELEVISION POR CABLE</t>
  </si>
  <si>
    <t xml:space="preserve">FC-00007964</t>
  </si>
  <si>
    <t xml:space="preserve">FR-139045842 SERVICIO DE TELEVISION POR CABLE</t>
  </si>
  <si>
    <t xml:space="preserve">FC-00008054</t>
  </si>
  <si>
    <t xml:space="preserve">FR-295850 SERVICIO DE TELEVISION POR CABLE</t>
  </si>
  <si>
    <t xml:space="preserve">FC-00008055</t>
  </si>
  <si>
    <t xml:space="preserve">FR-304844 SERVICIO DE TELEVISION POR CABLE</t>
  </si>
  <si>
    <t xml:space="preserve">FC-00008063</t>
  </si>
  <si>
    <t xml:space="preserve">FR-139307535 SERVICIO DE TELEVISION POR CABLE</t>
  </si>
  <si>
    <t xml:space="preserve">FC-00008064</t>
  </si>
  <si>
    <t xml:space="preserve">FR-139295906 SERVICIO DE TELEVISION POIR CABLE</t>
  </si>
  <si>
    <t xml:space="preserve">FC-00008110</t>
  </si>
  <si>
    <t xml:space="preserve">FR-139428243 SERVICIO DE TELEVISION POR CABLE</t>
  </si>
  <si>
    <t xml:space="preserve">FC-00008111</t>
  </si>
  <si>
    <t xml:space="preserve">FR-139427691 SERVICIO DE TELEVICION POR CABLE</t>
  </si>
  <si>
    <t xml:space="preserve">FC-00008196</t>
  </si>
  <si>
    <t xml:space="preserve">FR-139542355 SEVICIO DE TELEVISION POR CABLE</t>
  </si>
  <si>
    <t xml:space="preserve">FC-00008197</t>
  </si>
  <si>
    <t xml:space="preserve">FR-139551443 SERVICIO DE TELEVISION POR CABLE</t>
  </si>
  <si>
    <t xml:space="preserve">FC-00008222</t>
  </si>
  <si>
    <t xml:space="preserve">FR-139553829 SERVICIO DE TELEVISION POR CABLE</t>
  </si>
  <si>
    <t xml:space="preserve">FC-00008285</t>
  </si>
  <si>
    <t xml:space="preserve">FR-139542926 SERVICIO DE TELEFONIA</t>
  </si>
  <si>
    <t xml:space="preserve">FC-00008235</t>
  </si>
  <si>
    <t xml:space="preserve">FR-139673663 SERVICIO DE TELEVISION POR CABLE</t>
  </si>
  <si>
    <t xml:space="preserve">FC-00008237</t>
  </si>
  <si>
    <t xml:space="preserve">FR-139673150 SERVICIO DE TELEVISION POR CABLE</t>
  </si>
  <si>
    <t xml:space="preserve">FC-00008366</t>
  </si>
  <si>
    <t xml:space="preserve">FR-139795674 SERVICIO DE TELEVISION POR CABLE</t>
  </si>
  <si>
    <t xml:space="preserve">FC-00008386</t>
  </si>
  <si>
    <t xml:space="preserve">FR-139798156 SERVICIO DE TELEVISION POR CABLE</t>
  </si>
  <si>
    <t xml:space="preserve">FC-00008387</t>
  </si>
  <si>
    <t xml:space="preserve">FR-139785291 SERVICIO TELEVISION POR CABLE</t>
  </si>
  <si>
    <t xml:space="preserve">FC-00008388</t>
  </si>
  <si>
    <t xml:space="preserve">FR-139785567 SERVICIO DE TELEVISION POR CABLE</t>
  </si>
  <si>
    <t xml:space="preserve">FC-00008425</t>
  </si>
  <si>
    <t xml:space="preserve">FR-139917099  SERVICIO DE TELEVISION POR CABLE</t>
  </si>
  <si>
    <t xml:space="preserve">FC-00008426</t>
  </si>
  <si>
    <t xml:space="preserve">FR-139917807 SERVICIO DE TELEVISION POR CABLE</t>
  </si>
  <si>
    <t xml:space="preserve">FC-00008496</t>
  </si>
  <si>
    <t xml:space="preserve">FR-140030947 SERVICIO DE TELEVICION POR CABLE</t>
  </si>
  <si>
    <t xml:space="preserve">FC-00008497</t>
  </si>
  <si>
    <t xml:space="preserve">FR-140039760 SERVICIO DE TELEVICION POR CABLE</t>
  </si>
  <si>
    <t xml:space="preserve">FC-00008603</t>
  </si>
  <si>
    <t xml:space="preserve">FR-140031136 SERVICIO DE TV POR CABLE PLANTA</t>
  </si>
  <si>
    <t xml:space="preserve">FC-00008604</t>
  </si>
  <si>
    <t xml:space="preserve">FR-14041916 SERVICIO DE TV POR CABLE PLAANTACION</t>
  </si>
  <si>
    <t xml:space="preserve">FC-00008567</t>
  </si>
  <si>
    <t xml:space="preserve">FR-140160296 SERVICIO DE TELEVISION POR CABLE</t>
  </si>
  <si>
    <t xml:space="preserve">FC-00008568</t>
  </si>
  <si>
    <t xml:space="preserve">FR-140160719 SERVICIO DE TELEVISION POR CABLE</t>
  </si>
  <si>
    <t xml:space="preserve">FC-00008680</t>
  </si>
  <si>
    <t xml:space="preserve">FR-140279349 SERVICIO DE TELEVISION POR CABLE</t>
  </si>
  <si>
    <t xml:space="preserve">FC-00008693</t>
  </si>
  <si>
    <t xml:space="preserve">FR-140290741 SERVICIO DE TELEVISION POR CABLE</t>
  </si>
  <si>
    <t xml:space="preserve">FC-00008694</t>
  </si>
  <si>
    <t xml:space="preserve">FR-140288338  SERVICIO DE TELEVISION POR CABLE</t>
  </si>
  <si>
    <t xml:space="preserve">FC-00008695</t>
  </si>
  <si>
    <t xml:space="preserve">FR-140279560  SERVICIO DE TELEVISION POR CABLE</t>
  </si>
  <si>
    <t xml:space="preserve">FC-00008731</t>
  </si>
  <si>
    <t xml:space="preserve">FR-140412871 SERVICIO DE TELEVISION POR CABLE</t>
  </si>
  <si>
    <t xml:space="preserve">FC-00008732</t>
  </si>
  <si>
    <t xml:space="preserve">FR-140413339 SERVICIO DE TELEVISION POR CABLE</t>
  </si>
  <si>
    <t xml:space="preserve">FC-00008820</t>
  </si>
  <si>
    <t xml:space="preserve">FR-140537118 SERVICIO DE TELEVISION POR CABLE</t>
  </si>
  <si>
    <t xml:space="preserve">FC-00008821</t>
  </si>
  <si>
    <t xml:space="preserve">FR-140528279 SERVICIO DE TELEVISION POR CABLE</t>
  </si>
  <si>
    <t xml:space="preserve">FC-00008860</t>
  </si>
  <si>
    <t xml:space="preserve">FR-140660984 SERVICIO DE TELEVISION POR CABLE</t>
  </si>
  <si>
    <t xml:space="preserve">FC-00008861</t>
  </si>
  <si>
    <t xml:space="preserve">FR-140660717 SERVICIO DE TELEVISION POR CABLE</t>
  </si>
  <si>
    <t xml:space="preserve">FC-00008883</t>
  </si>
  <si>
    <t xml:space="preserve">FR-140539394 SERVICIO DE TELEVISION POR CABLE</t>
  </si>
  <si>
    <t xml:space="preserve">FC-00008884</t>
  </si>
  <si>
    <t xml:space="preserve">FR-140528458 TELEVISION POR CABLE</t>
  </si>
  <si>
    <t xml:space="preserve">DISIL SERVICES SAS</t>
  </si>
  <si>
    <t xml:space="preserve">901310017</t>
  </si>
  <si>
    <t xml:space="preserve">FC-00008401</t>
  </si>
  <si>
    <t xml:space="preserve">FR-196063 GASOLINA CORRIENTE</t>
  </si>
  <si>
    <t xml:space="preserve">DISTRACOM S.A.</t>
  </si>
  <si>
    <t xml:space="preserve">811009788</t>
  </si>
  <si>
    <t xml:space="preserve">FC-00008137</t>
  </si>
  <si>
    <t xml:space="preserve">FR-419425 COMBUSTIBLE</t>
  </si>
  <si>
    <t xml:space="preserve">ESTACION DE SERVICIO AUTOMOTRIZ EL CAIRO SAS</t>
  </si>
  <si>
    <t xml:space="preserve">901536938</t>
  </si>
  <si>
    <t xml:space="preserve">FC-00008697</t>
  </si>
  <si>
    <t xml:space="preserve">FR-3055110 COMBUSTIBLE</t>
  </si>
  <si>
    <t xml:space="preserve">ESTACION DE SERVICIO MOBIL CODI 5 S.A.S.</t>
  </si>
  <si>
    <t xml:space="preserve">FC-00007985</t>
  </si>
  <si>
    <t xml:space="preserve">CE-31546 LEGALIZACION TC ROBERTO HERRERA</t>
  </si>
  <si>
    <t xml:space="preserve">900406613</t>
  </si>
  <si>
    <t xml:space="preserve">FC-00007984</t>
  </si>
  <si>
    <t xml:space="preserve">FR-1247168 COMBUSTIBLE</t>
  </si>
  <si>
    <t xml:space="preserve">FC-00008136</t>
  </si>
  <si>
    <t xml:space="preserve">FR-1216808 COMBUSTIBLE PAGADO CON TC</t>
  </si>
  <si>
    <t xml:space="preserve">FC-00008450</t>
  </si>
  <si>
    <t xml:space="preserve">FR-1304880 COMBUSTIBLE PAGADO TC</t>
  </si>
  <si>
    <t xml:space="preserve">FC-00008535</t>
  </si>
  <si>
    <t xml:space="preserve">CE-34028 LEGALIZACION TC ROBERTO HERRERA MES DE MAYO 2026</t>
  </si>
  <si>
    <t xml:space="preserve">FC-00008764</t>
  </si>
  <si>
    <t xml:space="preserve">FR-1324793 COMBUSTIBLE</t>
  </si>
  <si>
    <t xml:space="preserve">NI-00004728</t>
  </si>
  <si>
    <t xml:space="preserve">RECLASIFICACION 2135 A 2105 PAGADA CON TC</t>
  </si>
  <si>
    <t xml:space="preserve">FUNDACION PROVIDA COLOMBIA</t>
  </si>
  <si>
    <t xml:space="preserve">860058176</t>
  </si>
  <si>
    <t xml:space="preserve">FC-00008392</t>
  </si>
  <si>
    <t xml:space="preserve">FR-13300 BONO ALIMENTOS</t>
  </si>
  <si>
    <t xml:space="preserve">FC-00008734</t>
  </si>
  <si>
    <t xml:space="preserve">FR-13531 BONO PAN</t>
  </si>
  <si>
    <t xml:space="preserve">GEMA TOURS SAS</t>
  </si>
  <si>
    <t xml:space="preserve">890404365</t>
  </si>
  <si>
    <t xml:space="preserve">FC-00007932</t>
  </si>
  <si>
    <t xml:space="preserve">FR-19908  TIQUETES AEREOS MAURELLO GLORIA ALEJANDRA AV-55274174806 SALIDA 14/02/2026 LLEGADA 14/02/2026</t>
  </si>
  <si>
    <t xml:space="preserve">FC-00007933</t>
  </si>
  <si>
    <t xml:space="preserve">FR-19904 MEDINA POLANIA FABIO FRANCISCO AV-5527474786 SALIDA:8/02/2026 LLEGADA: 14/02/2026</t>
  </si>
  <si>
    <t xml:space="preserve">FC-00007935</t>
  </si>
  <si>
    <t xml:space="preserve">FR-19901 MEDINA POLANIA FRANCISCO AV5527474786 SALIDA 08/02/2026 LLEGADA 14/02/2026</t>
  </si>
  <si>
    <t xml:space="preserve">FC-00007936</t>
  </si>
  <si>
    <t xml:space="preserve">FR-19900 RONDON CARLOS IVAN AV-5527474784 LLEGADA 12/02/2026 SALIDA 8/02/2026</t>
  </si>
  <si>
    <t xml:space="preserve">FC-00007955</t>
  </si>
  <si>
    <t xml:space="preserve">FR-19917 MARCELA RAMIREZ 4C-2269119846 SALIDA 4/2/2026 LLEGADA 7/2/2026</t>
  </si>
  <si>
    <t xml:space="preserve">FC-00008019</t>
  </si>
  <si>
    <t xml:space="preserve">FR-20053 TIQUETES AEREOS MAURELLO GLORIA ALEJANDRA</t>
  </si>
  <si>
    <t xml:space="preserve">FC-00008083</t>
  </si>
  <si>
    <t xml:space="preserve">FR-20209 GOMEZ DE CORTES JULIETA, RUA OSPINA CLAUDIA LORENA TIQUETES</t>
  </si>
  <si>
    <t xml:space="preserve">FC-00008089</t>
  </si>
  <si>
    <t xml:space="preserve">FR-20237 HERRERA LARA MARTIN</t>
  </si>
  <si>
    <t xml:space="preserve">CE-00032103</t>
  </si>
  <si>
    <t xml:space="preserve">FC-00008195</t>
  </si>
  <si>
    <t xml:space="preserve">FR-20525 PASAJES DE AVION MONICA DURAN AUDITORA ISCC</t>
  </si>
  <si>
    <t xml:space="preserve">FC-00008225</t>
  </si>
  <si>
    <t xml:space="preserve">FR-20661 TIQUETES RAMIREZ TORRES FRANCY MILENA Y WILLIAM RODRIGUEZ</t>
  </si>
  <si>
    <t xml:space="preserve">FC-00008399</t>
  </si>
  <si>
    <t xml:space="preserve">FR-21057 GARZON LEON JUAN CAMILO (LEHERIA FORSOZA)</t>
  </si>
  <si>
    <t xml:space="preserve">FC-00008543</t>
  </si>
  <si>
    <t xml:space="preserve">FR-21394 TIQUETE DE AVION MARTIN HERRERA LARA</t>
  </si>
  <si>
    <t xml:space="preserve">FC-00008606</t>
  </si>
  <si>
    <t xml:space="preserve">FR-21448 GOMEZ JARAMILLO TIQUETES</t>
  </si>
  <si>
    <t xml:space="preserve">FC-00008607</t>
  </si>
  <si>
    <t xml:space="preserve">FR-21447 GOMEZ JARAMILLO PABLO TIQUETES</t>
  </si>
  <si>
    <t xml:space="preserve">FC-00008647</t>
  </si>
  <si>
    <t xml:space="preserve">FR-21496 HERRERA JUAN MANUEL</t>
  </si>
  <si>
    <t xml:space="preserve">FC-00008674</t>
  </si>
  <si>
    <t xml:space="preserve">FR-21634 TIQUETES HERRERA LARA MARTIN</t>
  </si>
  <si>
    <t xml:space="preserve">FC-00008675</t>
  </si>
  <si>
    <t xml:space="preserve">FR-21628 HERRERA TOMAS TIQUETES</t>
  </si>
  <si>
    <t xml:space="preserve">FC-00008676</t>
  </si>
  <si>
    <t xml:space="preserve">FR-21627 HERRERA JUAN MANUEL TIQUETES</t>
  </si>
  <si>
    <t xml:space="preserve">FC-00008727</t>
  </si>
  <si>
    <t xml:space="preserve">FR-21706 ESPINOSA MAZO MELIZA TIQUETES AEREOS</t>
  </si>
  <si>
    <t xml:space="preserve">FC-00008876</t>
  </si>
  <si>
    <t xml:space="preserve">FR-22012 NIÑO ESTUPIÑAN ANDRES TIQUETES AEREOS</t>
  </si>
  <si>
    <t xml:space="preserve">GRUPO BDC S.A.S</t>
  </si>
  <si>
    <t xml:space="preserve">900371268</t>
  </si>
  <si>
    <t xml:space="preserve">FC-00008544</t>
  </si>
  <si>
    <t xml:space="preserve">FR-33353 GASTOS DE ALIMENTACION</t>
  </si>
  <si>
    <t xml:space="preserve">FC-00008682</t>
  </si>
  <si>
    <t xml:space="preserve">FR-34412 RESTAURANTE ATENCION A CLIENTE (CATALINA HERRERA)</t>
  </si>
  <si>
    <t xml:space="preserve">GUAYMARAL 234 SAS</t>
  </si>
  <si>
    <t xml:space="preserve">FC-00008361</t>
  </si>
  <si>
    <t xml:space="preserve">CE-32641 LEGALIZACION DE GASTOS TC ROBERTO HERRERA</t>
  </si>
  <si>
    <t xml:space="preserve">900590247</t>
  </si>
  <si>
    <t xml:space="preserve">FC-00008362</t>
  </si>
  <si>
    <t xml:space="preserve">FR-111769 COMBUSTIBLE PAGADO CON TC ROBERTO HERRERA</t>
  </si>
  <si>
    <t xml:space="preserve">H&amp;G OIL PETROLEUM COMPANY S A S</t>
  </si>
  <si>
    <t xml:space="preserve">900783202</t>
  </si>
  <si>
    <t xml:space="preserve">FC-00008142</t>
  </si>
  <si>
    <t xml:space="preserve">FR-183642 COMBUSTIBLE</t>
  </si>
  <si>
    <t xml:space="preserve">HERMOLUX S.A.S</t>
  </si>
  <si>
    <t xml:space="preserve">900185820</t>
  </si>
  <si>
    <t xml:space="preserve">FC-00008396</t>
  </si>
  <si>
    <t xml:space="preserve">FR-116536 COMBUSTIBLE</t>
  </si>
  <si>
    <t xml:space="preserve">FC-00008435</t>
  </si>
  <si>
    <t xml:space="preserve">FR-126518 COMBUSTIBLE</t>
  </si>
  <si>
    <t xml:space="preserve">HOTEL BARRANQUILLA BUENAVISTA SAS</t>
  </si>
  <si>
    <t xml:space="preserve">900902403</t>
  </si>
  <si>
    <t xml:space="preserve">FC-00008678</t>
  </si>
  <si>
    <t xml:space="preserve">FR-137089 ALIMENTACION HOTEL</t>
  </si>
  <si>
    <t xml:space="preserve">J E RUEDA &amp; CIA S.A.</t>
  </si>
  <si>
    <t xml:space="preserve">860508988</t>
  </si>
  <si>
    <t xml:space="preserve">FC-00008024</t>
  </si>
  <si>
    <t xml:space="preserve">FR-6168 GASTO ALIMENTACION PAGADO TC LUIS HERRERA</t>
  </si>
  <si>
    <t xml:space="preserve">FC-00008043</t>
  </si>
  <si>
    <t xml:space="preserve">FR-6210 GASTO ALIMENTACION TC JUAN HERRERA</t>
  </si>
  <si>
    <t xml:space="preserve">FC-00008358</t>
  </si>
  <si>
    <t xml:space="preserve">CE-32641 LEGALIZACION TC MES DE MARZO JUAN MANUEL HERRERA</t>
  </si>
  <si>
    <t xml:space="preserve">FC-00008360</t>
  </si>
  <si>
    <t xml:space="preserve">CE-32640 LEGALIZACION TC LUIS HERRERA MARZO</t>
  </si>
  <si>
    <t xml:space="preserve">JOCKEY CLUB</t>
  </si>
  <si>
    <t xml:space="preserve">860006302</t>
  </si>
  <si>
    <t xml:space="preserve">FC-00007975</t>
  </si>
  <si>
    <t xml:space="preserve">FR-3350 GASTOS INCURRIDOS REPRESENTACION TC LUIS HERRERA OBREGON</t>
  </si>
  <si>
    <t xml:space="preserve">FC-00008069</t>
  </si>
  <si>
    <t xml:space="preserve">CE-31966 LEGALIZACION TC LUIS HERRERA</t>
  </si>
  <si>
    <t xml:space="preserve">MALAGON PINZON VICTOR MANUEL</t>
  </si>
  <si>
    <t xml:space="preserve">3264700</t>
  </si>
  <si>
    <t xml:space="preserve">FC-00008140</t>
  </si>
  <si>
    <t xml:space="preserve">FR-827556 COMBUSTIBLE</t>
  </si>
  <si>
    <t xml:space="preserve">FC-00008894</t>
  </si>
  <si>
    <t xml:space="preserve">FR-1301937 COMBUSTIBLE</t>
  </si>
  <si>
    <t xml:space="preserve">FC-00008895</t>
  </si>
  <si>
    <t xml:space="preserve">FR-1339335 COMBUSTIBLE</t>
  </si>
  <si>
    <t xml:space="preserve">NOGA S.A.S.</t>
  </si>
  <si>
    <t xml:space="preserve">832001168</t>
  </si>
  <si>
    <t xml:space="preserve">FC-00008212</t>
  </si>
  <si>
    <t xml:space="preserve">FR-97171 CALM, JERINGA, NOVABRONCOL</t>
  </si>
  <si>
    <t xml:space="preserve">FC-00008397</t>
  </si>
  <si>
    <t xml:space="preserve">CE-33328 LEGALIZACION TC LUIS FERNANDO HERRERA</t>
  </si>
  <si>
    <t xml:space="preserve">PIZZA JOINT SAS</t>
  </si>
  <si>
    <t xml:space="preserve">901341732</t>
  </si>
  <si>
    <t xml:space="preserve">FC-00008278</t>
  </si>
  <si>
    <t xml:space="preserve">FR-29012 ALIMENTACION JUNTA</t>
  </si>
  <si>
    <t xml:space="preserve">SODIMAC COLOMBIA S A</t>
  </si>
  <si>
    <t xml:space="preserve">800242106</t>
  </si>
  <si>
    <t xml:space="preserve">FC-00007983</t>
  </si>
  <si>
    <t xml:space="preserve">FR-1205-100389609 SET X 5 TOALLA FACIAL</t>
  </si>
  <si>
    <t xml:space="preserve">800016505</t>
  </si>
  <si>
    <t xml:space="preserve">CIN-00000061</t>
  </si>
  <si>
    <t xml:space="preserve">Cruce Interno Intercompañias</t>
  </si>
  <si>
    <t xml:space="preserve">PRESTAMO PAGO ANTICIPO SODIMAC</t>
  </si>
  <si>
    <t xml:space="preserve">VERCEL INC</t>
  </si>
  <si>
    <t xml:space="preserve">NB-00001014</t>
  </si>
  <si>
    <t xml:space="preserve">LEASING 386735 CAMION VOLKSWAGEN CONSTELLATION 31320 DOBLE TROQUE MOD 2027 IBRTV + 1.35 TRIMESTRAL</t>
  </si>
  <si>
    <t xml:space="preserve">VALLEY TRADING SERVICES SAS</t>
  </si>
  <si>
    <t xml:space="preserve">NIC-00000565</t>
  </si>
  <si>
    <t xml:space="preserve">Nota Interna Contable</t>
  </si>
  <si>
    <t xml:space="preserve">RECLASIFICAION CUENTA COMISIONES NO BANCARIAS</t>
  </si>
  <si>
    <t xml:space="preserve">Reclasificación / no obligación</t>
  </si>
  <si>
    <t xml:space="preserve">901835673</t>
  </si>
  <si>
    <t xml:space="preserve">FC-00008621</t>
  </si>
  <si>
    <t xml:space="preserve">FR-4 COMISION DE CORRETAJE CORRESPONDIENTE A NEGOCIO DE GOKLEN AGRI DE PKO MARZO Y ABRIL CANTIDAD PKO 300.670KG A 30USD POR TONELADA DE 3.79</t>
  </si>
  <si>
    <t xml:space="preserve">FC-00008881</t>
  </si>
  <si>
    <t xml:space="preserve">FR-7 CORRETAJE COMERCIAL</t>
  </si>
  <si>
    <t xml:space="preserve">NI-00004851</t>
  </si>
  <si>
    <t xml:space="preserve">RECLASIFICACION A CUENTA POR PAGAR ES UNA COMISION</t>
  </si>
  <si>
    <t xml:space="preserve">860034313</t>
  </si>
  <si>
    <t xml:space="preserve">CL-00000355</t>
  </si>
  <si>
    <t xml:space="preserve">CANON 25 LEASING 1019448-3 MES DE ENERO 2026 CAPITAL 8.322.590 INTERESES 4.321.722 SEGURO 1.263.646</t>
  </si>
  <si>
    <t xml:space="preserve">CL-00000356</t>
  </si>
  <si>
    <t xml:space="preserve">CANON 27 LEASING 1019441-2 MES DE ENERO 2026 CAPITAL 11.155.627 INTERES 5.303.404 SEGURO 1.263.646</t>
  </si>
  <si>
    <t xml:space="preserve">CL-00000373</t>
  </si>
  <si>
    <t xml:space="preserve">CANON 28 LEASING 1019441-2 MES DE FEBRERO 2026 CAPITAL 11.524.297 INTERESES 5.239.806 SEGURO 1.263.646</t>
  </si>
  <si>
    <t xml:space="preserve">CL-00000374</t>
  </si>
  <si>
    <t xml:space="preserve">CANON 26 LEASING 1019448-3 MES DE FEBRERO 2026</t>
  </si>
  <si>
    <t xml:space="preserve">CL-00000379</t>
  </si>
  <si>
    <t xml:space="preserve">CANON 27 LEASING 30001019448-3 MENSUAL CAPITAL 8.547.937 INTERESES 4.004.121 SEGURO 1.263.646</t>
  </si>
  <si>
    <t xml:space="preserve">CL-00000380</t>
  </si>
  <si>
    <t xml:space="preserve">CANON 29 LEASING MENSUAL 30001019441-2 CAPITAL 11.474.507 INTERESES 4.882.578 SEGURO 1.263.646</t>
  </si>
  <si>
    <t xml:space="preserve">CL-00000397</t>
  </si>
  <si>
    <t xml:space="preserve">CANON 30 LEASING 3000101441 MENSUAL CAPITAL 11.635.838 INTERESES 5.382.049 SEGURO 1.263.646|</t>
  </si>
  <si>
    <t xml:space="preserve">CL-00000398</t>
  </si>
  <si>
    <t xml:space="preserve">CANON 28 LEASING 30001019448 MENSUAL CAPITAL 8.830.873 INTERESES 4.369.021 SEGURO 1.263.646</t>
  </si>
  <si>
    <t xml:space="preserve">CL-00000404</t>
  </si>
  <si>
    <t xml:space="preserve">CANON 29 LEASING 1019448-3 CAPITAL 8.621.303 INTERESES 4.368.074 SEGURO 1.263.646</t>
  </si>
  <si>
    <t xml:space="preserve">CL-00000405</t>
  </si>
  <si>
    <t xml:space="preserve">CANON 31 LEASING 1019441 CAPITAL 12.392.508 INTERESES 5.335.810 SEGURO 1.263.646</t>
  </si>
  <si>
    <t xml:space="preserve">CANON 30 LEASING 1019448 MENSUAL CAPITAL 8.901.235, INTERESES 4.402.982, SEGURO 1.263.646</t>
  </si>
  <si>
    <t xml:space="preserve">CANON 32 LEASING 1019441 MENSUAL CAPITAL 11.973677 INTERESES 5.319.404, SEGURO 1.263.646</t>
  </si>
  <si>
    <t xml:space="preserve">NI-00004731</t>
  </si>
  <si>
    <t xml:space="preserve">CRUCE DE DOCUMENTOS INTERNOS EC-2188 DEVOLUCION ANTICIPO A CALDERAS JCT Y ANTICIPO CALDERAS</t>
  </si>
  <si>
    <t xml:space="preserve">CANON 31 LEASING 1019448 CAPITAL 8.867.342 INTERESES 4.177.893 SEGURO 1.263.646</t>
  </si>
  <si>
    <t xml:space="preserve">CANON 33 LEASING 1019441 CAPITAL 12.327.298 INTERESES 5.062.372 SEGURO 1.263.646</t>
  </si>
  <si>
    <t xml:space="preserve">CL-00000358</t>
  </si>
  <si>
    <t xml:space="preserve">CANON LEASING 556449117 TRIMESTRAL (NOV-DIC-ENE) CAPITAL 25.421.164,99 INTRESES 10.049.649.01</t>
  </si>
  <si>
    <t xml:space="preserve">CL-00000359</t>
  </si>
  <si>
    <t xml:space="preserve">CANON LEASING 556449064 TRIMESTRAL (NOV-DIC-ENE) CAPITAL 25.421.164.99 INTERESES 10.049.649.01</t>
  </si>
  <si>
    <t xml:space="preserve">CL-00000363</t>
  </si>
  <si>
    <t xml:space="preserve">CANON LEASING 556449288 MES DE ENERO 2026 TRIMESTRAL (NOV-DIC-ENE) CAPITAL 20.809.569.69 INTERESES 13.954.010.31</t>
  </si>
  <si>
    <t xml:space="preserve">CL-00000364</t>
  </si>
  <si>
    <t xml:space="preserve">CANON LEASING 557285005 TRIMESTRAL (NOV-DIC-ENE)</t>
  </si>
  <si>
    <t xml:space="preserve">CL-00000365</t>
  </si>
  <si>
    <t xml:space="preserve">CANON LEASING 556449180 TRIMESTRAL (NOV-DIC-ENE)  CAPITAL 20.805.204.47 INTERESES 13.951.119.53</t>
  </si>
  <si>
    <t xml:space="preserve">CL-00000366</t>
  </si>
  <si>
    <t xml:space="preserve">CANON LEASNG 556449224 TRIMESTRAL (NOV-DIC-ENE) CAPITAL 20.805.204.47 INTERESES 13.951.119.53</t>
  </si>
  <si>
    <t xml:space="preserve">CANON LEASING 556449117 TRIMESTRAL (FEB-MAR-ABRL) CAPITAL 26.079.255.16 INTERESES 9.564.429.84</t>
  </si>
  <si>
    <t xml:space="preserve">CANON LEASING 556449288 TRIMESTRAL (FEB-MAR-ABRI) CAPITAL 21.319.941.88 INTERES 13.637.409.12</t>
  </si>
  <si>
    <t xml:space="preserve">CANON LEASING 557285005 TRIMESTRAL (FEB-MAR-ABR) CAPITAL 62.648.860.03 INTERESES 36.783.056.97</t>
  </si>
  <si>
    <t xml:space="preserve">CANON LEASING 556449180 TRIMESTRAL (FEB-MAR-ABR) CAPITAL 21.315.470.38 INTERESES 13.634.585.62</t>
  </si>
  <si>
    <t xml:space="preserve">CANON LEASING 556449224 TRIMESTRAL (FEB-MAR-ABR) CAPITAL 34.950.056 INTERESES 13.634.585.61</t>
  </si>
  <si>
    <t xml:space="preserve">CANON LEASING 556449064 TRIMESTRAL (FEB-MAR-ABR) CAPITAL 26079255,17 INTERESES 9.564.429.83</t>
  </si>
  <si>
    <t xml:space="preserve">CANON LEASING 556449117 CAPITAL 26.602.533.71 INTERESES 9.497.274.29</t>
  </si>
  <si>
    <t xml:space="preserve">CANON LEASING 556449064 TRIMESTRAL (MAY-JUN-JUL) CAPITAL  26.602.533.70, INTERESES 9.497.274.30</t>
  </si>
  <si>
    <t xml:space="preserve">CANON LEASING 556449224 TRIMESTRAL (MAY-JUN-JUL) CAPITAL 21.538.319.02 INTERESES 14.118.857.98</t>
  </si>
  <si>
    <t xml:space="preserve">CANON LEASING 556449180 TRIMESTRAL (MAY-JUN-JUL) CAPITAL 21.538.319.01 INTERESES 14.118.857.99</t>
  </si>
  <si>
    <t xml:space="preserve">CANON LEASING 557285005 (MAY-JUN-JUL) CAPITAL 62.866.117.12 INTERESES 39.578.631.88</t>
  </si>
  <si>
    <t xml:space="preserve">CANON LEASING 556449288 (MY-JUN-JUL) CAPITAL 21.542.838.16 INTERESES 14.121.779.84</t>
  </si>
  <si>
    <t xml:space="preserve">CL-00000352</t>
  </si>
  <si>
    <t xml:space="preserve">CANON 30 LEASING 331330 MES DE ENERO 2026</t>
  </si>
  <si>
    <t xml:space="preserve">CL-00000353</t>
  </si>
  <si>
    <t xml:space="preserve">CANON 8 LEASING 336817 MES DE ENERO 2026</t>
  </si>
  <si>
    <t xml:space="preserve">CL-00000369</t>
  </si>
  <si>
    <t xml:space="preserve">CANON 9 LEASING 336817 MES DE FEBRERO 2026</t>
  </si>
  <si>
    <t xml:space="preserve">CL-00000370</t>
  </si>
  <si>
    <t xml:space="preserve">CANON 31 LEASING 331330 MES DE FEBRERO 2026</t>
  </si>
  <si>
    <t xml:space="preserve">CL-00000376</t>
  </si>
  <si>
    <t xml:space="preserve">CANON 32 LEASING 331330 MENSUAL</t>
  </si>
  <si>
    <t xml:space="preserve">CL-00000377</t>
  </si>
  <si>
    <t xml:space="preserve">CANON 10 LEASING 336817 MENSUAL</t>
  </si>
  <si>
    <t xml:space="preserve">CL-00000385</t>
  </si>
  <si>
    <t xml:space="preserve">CANON 4 LEASING 362095 TRIMESTRAL (ENE-FEB-MAR)</t>
  </si>
  <si>
    <t xml:space="preserve">CL-00000387</t>
  </si>
  <si>
    <t xml:space="preserve">CANON 33 LEASING 331330 MENSUAL CAPITAL 17.114.382 INTERESES 6.762.702 SEGURO 280.510</t>
  </si>
  <si>
    <t xml:space="preserve">CL-00000388</t>
  </si>
  <si>
    <t xml:space="preserve">CANON 11 LEASING 336817 MENSUAL CAPITAL 8.838.594 INTERES 9.646.317 SEGURO 263.047</t>
  </si>
  <si>
    <t xml:space="preserve">CL-00000402</t>
  </si>
  <si>
    <t xml:space="preserve">CANON 12 LEASING  336817  MENSUAL CAPITAL 8.838.594 INTERESES 9.575.527 SEGURO 263.047</t>
  </si>
  <si>
    <t xml:space="preserve">CL-00000403</t>
  </si>
  <si>
    <t xml:space="preserve">CANON 34 LEASING 331330 MENSUAL CAPITAL 17.114.382 INTERESES 6.615.640 SEGURO 280.510</t>
  </si>
  <si>
    <t xml:space="preserve">CL-00000413</t>
  </si>
  <si>
    <t xml:space="preserve">CANON 13 CREDITO 336817 MENSUAL CAPITAL 8.838.594, SEGURO 263.047, INTERESES 9548725</t>
  </si>
  <si>
    <t xml:space="preserve">CL-00000414</t>
  </si>
  <si>
    <t xml:space="preserve">CANON LEASING 362095 TRIMESTRAL (ABR-MAY-JUN) CAPITAL 23.832.145, INTERESES 15.043.006 SEGURO 1.013.571</t>
  </si>
  <si>
    <t xml:space="preserve">CL-00000417</t>
  </si>
  <si>
    <t xml:space="preserve">CANON CREDITO 331330 MENSUAL CAPITAL 17.114.382, INTERESES 6.446.141, SEGURO 280.510</t>
  </si>
  <si>
    <t xml:space="preserve">CL-00000420</t>
  </si>
  <si>
    <t xml:space="preserve">CANON 36 LEASING 331330 MENSUAL CAPITAL 17.114.382, INTERESES 6.236.225, SEGUROS 280.510</t>
  </si>
  <si>
    <t xml:space="preserve">CL-00000421</t>
  </si>
  <si>
    <t xml:space="preserve">CANON 14 LEASING 336817 MENSUAL CAPITAL 8.838.594, INTERESES 9.459.248, SEGURO 263.047</t>
  </si>
  <si>
    <t xml:space="preserve">NB-00000893</t>
  </si>
  <si>
    <t xml:space="preserve">INTERESES CAUSADOS ENERO CRED 4476</t>
  </si>
  <si>
    <t xml:space="preserve">Causación</t>
  </si>
  <si>
    <t xml:space="preserve">NB-00000913</t>
  </si>
  <si>
    <t xml:space="preserve">INTERESES CAUSADOS FEBRERO CRED 4476 FEB</t>
  </si>
  <si>
    <t xml:space="preserve">NB-00000931</t>
  </si>
  <si>
    <t xml:space="preserve">INTERESES CAUSADOS MARZO CRED 4476</t>
  </si>
  <si>
    <t xml:space="preserve">NI-00004282</t>
  </si>
  <si>
    <t xml:space="preserve">REVERSION PROVISION INTERESES CREDITO 9600290141 ENE-FEB-MAR</t>
  </si>
  <si>
    <t xml:space="preserve">Reversión por pago</t>
  </si>
  <si>
    <t xml:space="preserve">NB-00000954</t>
  </si>
  <si>
    <t xml:space="preserve">INTERESES CAUSADOS ABRIL CRED 0141</t>
  </si>
  <si>
    <t xml:space="preserve">NB-00000972</t>
  </si>
  <si>
    <t xml:space="preserve">INTERESES CAUSADOS MAYO CRED 0141</t>
  </si>
  <si>
    <t xml:space="preserve">NI-00004668</t>
  </si>
  <si>
    <t xml:space="preserve">REVERSION PROVISION INTERESES CREDITO 9600290141 TRIMESTRAL (ABR-MAY-JUN) 141.154.577.78</t>
  </si>
  <si>
    <t xml:space="preserve">NI-00004723</t>
  </si>
  <si>
    <t xml:space="preserve">AJUSTE A MILES OBLIGACIONES FINANCIERAS</t>
  </si>
  <si>
    <t xml:space="preserve">SIN-ID</t>
  </si>
  <si>
    <t xml:space="preserve">Ajuste redondeo</t>
  </si>
  <si>
    <t xml:space="preserve">NB-00000995</t>
  </si>
  <si>
    <t xml:space="preserve">INTERESES CAUSADOS JUNIO CRED 0141</t>
  </si>
  <si>
    <t xml:space="preserve">INTERESES CAUSADOS ENERO CRED 0624</t>
  </si>
  <si>
    <t xml:space="preserve">INTERESES CAUSADOS ENERO CRED 7691</t>
  </si>
  <si>
    <t xml:space="preserve">INTERESES CAUSADOS ENERO CRED 8906</t>
  </si>
  <si>
    <t xml:space="preserve">INTERESES CAUSADOS ENERO CRED 9032</t>
  </si>
  <si>
    <t xml:space="preserve">REVERSION PROVISION INTERESES CEDITO 300607691 (AGO-SEP-OCT-NOV-DIC-ENE)</t>
  </si>
  <si>
    <t xml:space="preserve">REVERSION PROVISION INTERESES CREDITO 300569032 (AGO-SEP-OCT-NOV-DIC-ENE)</t>
  </si>
  <si>
    <t xml:space="preserve">NIC-00000301</t>
  </si>
  <si>
    <t xml:space="preserve">CANON CREDITO 457300748906 (AGO-SEP-OCT-NOV-DIC-ENE)</t>
  </si>
  <si>
    <t xml:space="preserve">NB-00000912</t>
  </si>
  <si>
    <t xml:space="preserve">INTERESES CAUSADOS ENERO CRED 8906 ENE</t>
  </si>
  <si>
    <t xml:space="preserve">INTERESES CAUSADOS FEBRERO CRED 0624 FEB</t>
  </si>
  <si>
    <t xml:space="preserve">INTERESES CAUSADOS FEBRERO CRED 7691 FEB</t>
  </si>
  <si>
    <t xml:space="preserve">INTERESES CAUSADOS FEBRERO CRED 9032 FEB</t>
  </si>
  <si>
    <t xml:space="preserve">INTERESES CAUSADOS MARZO CRED 0624</t>
  </si>
  <si>
    <t xml:space="preserve">INTERESES CAUSADOS MARZO CRED 7691</t>
  </si>
  <si>
    <t xml:space="preserve">INTERESES CAUSADOS MARZO CRED 9032</t>
  </si>
  <si>
    <t xml:space="preserve">REVERSION PROVISION INTERESES CREDITO 457300830624 SEMESTRAL (OCT-NOV-DIC-ENE-FEB-MAR)</t>
  </si>
  <si>
    <t xml:space="preserve">INTERESES CAUSADOS ABRIL CRED 0624</t>
  </si>
  <si>
    <t xml:space="preserve">INTERESES CAUSADOS ABRIL CRED 7691</t>
  </si>
  <si>
    <t xml:space="preserve">INTERESES CAUSADOS ABRIL CRED 9032</t>
  </si>
  <si>
    <t xml:space="preserve">INTERESES CAUSADOS MAYO CRED 0624</t>
  </si>
  <si>
    <t xml:space="preserve">INTERESES CAUSADOS MAYO CRED 7691</t>
  </si>
  <si>
    <t xml:space="preserve">INTERESES CAUSADOS MAYO CRED 9032</t>
  </si>
  <si>
    <t xml:space="preserve">INTERESES CAUSADOS JUNIO CRED 0624</t>
  </si>
  <si>
    <t xml:space="preserve">INTERESES CAUSADOS JUNIO CRED 7691</t>
  </si>
  <si>
    <t xml:space="preserve">INTERESES CAUSADOS JUNIO CRED 9032</t>
  </si>
  <si>
    <t xml:space="preserve">NB-00001013</t>
  </si>
  <si>
    <t xml:space="preserve">INTERESES CAUSADOS JULIO CRED 0624 JUL</t>
  </si>
  <si>
    <t xml:space="preserve">INTERESES CAUSADOS JULIO CRED 7691 JUL</t>
  </si>
  <si>
    <t xml:space="preserve">INTERESES CAUSADOS JULIO CRED 9032 JUL</t>
  </si>
  <si>
    <t xml:space="preserve">REVERSION PROVISION INTERESES CAUSADOS CREDITO  457300607691 (AGO-SEP-OCT-NOV-DIC-ENE) INTERESES 272.300.000</t>
  </si>
  <si>
    <t xml:space="preserve">REVERSION PROVISION INTERESES CAUSADOS CREDITO 300569032 (FEB-MER-ABR-MAY-JUN-JUL) INTERESES 206.288.000</t>
  </si>
  <si>
    <t xml:space="preserve">INTERESES CAUSADOS ENERO CRED 0629</t>
  </si>
  <si>
    <t xml:space="preserve">INTERESES CAUSADOS ENERO CRED 7259</t>
  </si>
  <si>
    <t xml:space="preserve">NI-00004151</t>
  </si>
  <si>
    <t xml:space="preserve">REVERSION PROVISION INTERESES CREDITO 858177259 (DIC-ENE-FEB)</t>
  </si>
  <si>
    <t xml:space="preserve">INTERESES CAUSADOS FEBRERO CRED 0629 FEB</t>
  </si>
  <si>
    <t xml:space="preserve">INTERESES CAUSADOS FEBRERO CRED 7259 FEB</t>
  </si>
  <si>
    <t xml:space="preserve">INTERESES CAUSADOS FEBRERO CRED 7469 FEB</t>
  </si>
  <si>
    <t xml:space="preserve">INTERESES CAUSADOS MARZO CRED 0629</t>
  </si>
  <si>
    <t xml:space="preserve">INTERESES CAUSADOS MARZO CRED 7259</t>
  </si>
  <si>
    <t xml:space="preserve">INTERESES CAUSADOS MARZO CRED 7469</t>
  </si>
  <si>
    <t xml:space="preserve">REVERSION PROVISION INTERESES CAUSADOS CREDITO 856670629 (ENE-FEB-MER) $56.089.116</t>
  </si>
  <si>
    <t xml:space="preserve">INTERESES CAUSADOS ABRIL CRED 0629</t>
  </si>
  <si>
    <t xml:space="preserve">INTERESES CAUSADOS ABRIL CRED 7259</t>
  </si>
  <si>
    <t xml:space="preserve">INTERESES CAUSADOS ABRIL CRED 7469</t>
  </si>
  <si>
    <t xml:space="preserve">REVERSION CREDITO 115297469 TRIMESTRAL (FEB-MAR-ABR) 254.610.556</t>
  </si>
  <si>
    <t xml:space="preserve">INTERESES CAUSADOS MAYO CRED 0629</t>
  </si>
  <si>
    <t xml:space="preserve">INTERESES CAUSADOS MAYO CRED 7259</t>
  </si>
  <si>
    <t xml:space="preserve">INTERESES CAUSADOS MAYO CRED 7469</t>
  </si>
  <si>
    <t xml:space="preserve">REVERSION PROVISION INTERESES 858177259 TRIMESTRAL (MAR-ABR-MAY)</t>
  </si>
  <si>
    <t xml:space="preserve">REVERSION PROVISION CREDITO 856670629 TRIMESTRAL (ABR-MAY-JUN)</t>
  </si>
  <si>
    <t xml:space="preserve">INTERESES CAUSADOS JUNIO CRED 0629</t>
  </si>
  <si>
    <t xml:space="preserve">INTERESES CAUSADOS JUNIO CRED 7259</t>
  </si>
  <si>
    <t xml:space="preserve">INTERESES CAUSADOS JUNIO CRED 7469</t>
  </si>
  <si>
    <t xml:space="preserve">INTERESES CAUSADOS JULIO CRED 0629 JUL</t>
  </si>
  <si>
    <t xml:space="preserve">INTERESES CAUSADOS JULIO CRED 7259 JUL</t>
  </si>
  <si>
    <t xml:space="preserve">INTERESES CAUSADOS JULIO CRED 7469 JUL</t>
  </si>
  <si>
    <t xml:space="preserve">REVERSION PROVISION INTERESES CREDITO 1155297469 INTERESES 299.617.500</t>
  </si>
  <si>
    <t xml:space="preserve">INTERESES CAUSADOS ENERO CRED 9940</t>
  </si>
  <si>
    <t xml:space="preserve">INTERESES CAUSADOS FEBRERO CRED 9940 FEB</t>
  </si>
  <si>
    <t xml:space="preserve">INTERESES CAUSADOS MARZO CRED 9940</t>
  </si>
  <si>
    <t xml:space="preserve">NI-00004261</t>
  </si>
  <si>
    <t xml:space="preserve">REVERSION PROVISION DE INTERESES CREDITO 63130940-2 (ENE-FEB-MER)</t>
  </si>
  <si>
    <t xml:space="preserve">INTERESES CAUSADOS ABRIL CRED 9940</t>
  </si>
  <si>
    <t xml:space="preserve">INTERESES CAUSADOS MAYO CRED 9940</t>
  </si>
  <si>
    <t xml:space="preserve">NI-00004663</t>
  </si>
  <si>
    <t xml:space="preserve">REVERSION PROVISION CREDITO 631309940 TRIMESTRAL (ABR-MAY-JUN)</t>
  </si>
  <si>
    <t xml:space="preserve">INTERESES CAUSADOS JUNIO CRED 9940</t>
  </si>
  <si>
    <t xml:space="preserve">INTERESES CAUSADOS JULIO CRED 9940 JUL</t>
  </si>
  <si>
    <t xml:space="preserve">INTERESES CAUSADOS ENERO CRED 5867</t>
  </si>
  <si>
    <t xml:space="preserve">NIC-00000546</t>
  </si>
  <si>
    <t xml:space="preserve">REVERSION PROVISION CREDITO 1260105867  (NOV-DIC-ENE)</t>
  </si>
  <si>
    <t xml:space="preserve">INTERESES CAUSADOS FEBRERO CRED 5867 FEB</t>
  </si>
  <si>
    <t xml:space="preserve">INTERESES CAUSADOS MARZO CRED 5867</t>
  </si>
  <si>
    <t xml:space="preserve">INTERESES CAUSADOS ABRIL CRED 5867</t>
  </si>
  <si>
    <t xml:space="preserve">NI-00004401</t>
  </si>
  <si>
    <t xml:space="preserve">REVERSION INTERESES CREDITO 1260105867 TRIMESTRAL (FEB-MAR-ABR) 137.225.000</t>
  </si>
  <si>
    <t xml:space="preserve">INTERESES CAUSADOS MAYO CRED 5867</t>
  </si>
  <si>
    <t xml:space="preserve">INTERESES CAUSADOS JUNIO CRED 5867</t>
  </si>
  <si>
    <t xml:space="preserve">INTERESES CAUSADOS JULIO CRED 5867 JUL</t>
  </si>
  <si>
    <t xml:space="preserve">NI-00004746</t>
  </si>
  <si>
    <t xml:space="preserve">REVERSION ROVISION INTERESES CAUSADOS CREDITO 1260105867</t>
  </si>
  <si>
    <t xml:space="preserve">INTERESES CAUSADOS ENERO LEAS 1275-3</t>
  </si>
  <si>
    <t xml:space="preserve">NI-00004064</t>
  </si>
  <si>
    <t xml:space="preserve">REVERSION PROVISION INTERESES LEASING 1021275-3 (NOV-DIC-ENE)</t>
  </si>
  <si>
    <t xml:space="preserve">INTERESES CAUSADOS FEBRERO LEAS 1275-3 FEB</t>
  </si>
  <si>
    <t xml:space="preserve">INTERESES CAUSADOS MARZO LEAS 1275-3</t>
  </si>
  <si>
    <t xml:space="preserve">INTERESES CAUSADOS ABRIL LEAS 1275-3</t>
  </si>
  <si>
    <t xml:space="preserve">REVERSION INTERESES CAUSADOS LEASING 3001021275-3 TRIMESTRAL (FEB-MAR-ABR) 55.427.870</t>
  </si>
  <si>
    <t xml:space="preserve">INTERESES CAUSADOS MAYO LEAS 1275-3</t>
  </si>
  <si>
    <t xml:space="preserve">INTERESES CAUSADOS JUNIO LEAS 1275-3</t>
  </si>
  <si>
    <t xml:space="preserve">INTERESES CAUSADOS JULIO LEAS 1275-3 JUL</t>
  </si>
  <si>
    <t xml:space="preserve">REVERSION PROVISION INTERESES CAUSADOS LEASING 1021275 (MAY-JUN-JUL)</t>
  </si>
  <si>
    <t xml:space="preserve">INTERESES CAUSADOS ENERO LEAS 5005</t>
  </si>
  <si>
    <t xml:space="preserve">INTERESES CAUSADOS ENERO LEAS 9064</t>
  </si>
  <si>
    <t xml:space="preserve">INTERESES CAUSADOS ENERO LEAS 9117</t>
  </si>
  <si>
    <t xml:space="preserve">INTERESES CAUSADOS ENERO LEAS 9180</t>
  </si>
  <si>
    <t xml:space="preserve">INTERESES CAUSADOS ENERO LEAS 9224</t>
  </si>
  <si>
    <t xml:space="preserve">INTERESES CAUSADOS ENERO LEAS 9288</t>
  </si>
  <si>
    <t xml:space="preserve">NI-00004055</t>
  </si>
  <si>
    <t xml:space="preserve">REVERSION PROVISION INTERESES LEASING 556449288 (NOV-DIC-ENE)</t>
  </si>
  <si>
    <t xml:space="preserve">NI-00004056</t>
  </si>
  <si>
    <t xml:space="preserve">REVERSION PROVISION INTERESES LEASING 557285005 (NOV-DIC-ENE)</t>
  </si>
  <si>
    <t xml:space="preserve">NI-00004057</t>
  </si>
  <si>
    <t xml:space="preserve">REVERSION PROVISION INTERESES LEASING 556449180 (NOV-DIC-ENE)</t>
  </si>
  <si>
    <t xml:space="preserve">NI-00004058</t>
  </si>
  <si>
    <t xml:space="preserve">REVERSION PROVISION INTERESES LEASING 556449224 (NOV-DIC-ENE)</t>
  </si>
  <si>
    <t xml:space="preserve">NI-00004059</t>
  </si>
  <si>
    <t xml:space="preserve">REVERSION PROVISION INTERESES LEASING 556449064 (NOV-DIC-ENE)</t>
  </si>
  <si>
    <t xml:space="preserve">NI-00004060</t>
  </si>
  <si>
    <t xml:space="preserve">REVERSION PROVISION INTERESES LEASING 556449117 (NOV-DIC-ENE)</t>
  </si>
  <si>
    <t xml:space="preserve">INTERESES CAUSADOS FEBRERO LEAS 5005 FEB</t>
  </si>
  <si>
    <t xml:space="preserve">INTERESES CAUSADOS FEBRERO LEAS 9064 FEB</t>
  </si>
  <si>
    <t xml:space="preserve">INTERESES CAUSADOS FEBRERO LEAS 9117 FEB</t>
  </si>
  <si>
    <t xml:space="preserve">INTERESES CAUSADOS FEBRERO LEAS 9180 FEB</t>
  </si>
  <si>
    <t xml:space="preserve">INTERESES CAUSADOS FEBRERO LEAS 9224 FEB</t>
  </si>
  <si>
    <t xml:space="preserve">INTERESES CAUSADOS FEBRERO LEAS 9288 FEB</t>
  </si>
  <si>
    <t xml:space="preserve">INTERESES CAUSADOS MARZO LEAS 5005</t>
  </si>
  <si>
    <t xml:space="preserve">INTERESES CAUSADOS MARZO LEAS 9064</t>
  </si>
  <si>
    <t xml:space="preserve">INTERESES CAUSADOS MARZO LEAS 9117</t>
  </si>
  <si>
    <t xml:space="preserve">INTERESES CAUSADOS MARZO LEAS 9180</t>
  </si>
  <si>
    <t xml:space="preserve">INTERESES CAUSADOS MARZO LEAS 9224</t>
  </si>
  <si>
    <t xml:space="preserve">INTERESES CAUSADOS MARZO LEAS 9288</t>
  </si>
  <si>
    <t xml:space="preserve">INTERESES CAUSADOS ABRIL LEAS 5005</t>
  </si>
  <si>
    <t xml:space="preserve">INTERESES CAUSADOS ABRIL LEAS 9064</t>
  </si>
  <si>
    <t xml:space="preserve">INTERESES CAUSADOS ABRIL LEAS 9117</t>
  </si>
  <si>
    <t xml:space="preserve">INTERESES CAUSADOS ABRIL LEAS 9180</t>
  </si>
  <si>
    <t xml:space="preserve">INTERESES CAUSADOS ABRIL LEAS 9224</t>
  </si>
  <si>
    <t xml:space="preserve">INTERESES CAUSADOS ABRIL LEAS 9288</t>
  </si>
  <si>
    <t xml:space="preserve">NI-00004394</t>
  </si>
  <si>
    <t xml:space="preserve">REVERSION DE INTERESES LEASING 556449117 TRIMESTRAL (FEB-MRZ-ABRI)</t>
  </si>
  <si>
    <t xml:space="preserve">NI-00004395</t>
  </si>
  <si>
    <t xml:space="preserve">REVERSION INTERESES LEASING 556449288 (FEB-MAR-ABR) $13.637.409.12</t>
  </si>
  <si>
    <t xml:space="preserve">REVERSION INTERESES LEASING 55728505 (FEB-MAR-ABR) $36.783.056</t>
  </si>
  <si>
    <t xml:space="preserve">NI-00004397</t>
  </si>
  <si>
    <t xml:space="preserve">REVERSION INTERESES LEASING 556449180 (FEB-MAR-ABR) $13.637.409.12</t>
  </si>
  <si>
    <t xml:space="preserve">NI-00004398</t>
  </si>
  <si>
    <t xml:space="preserve">REVERSION INTRESES LEASING 556449224 TRIMESTRAL (FEB-MER-ABR) $13.634.585</t>
  </si>
  <si>
    <t xml:space="preserve">NI-00004399</t>
  </si>
  <si>
    <t xml:space="preserve">REVERSION INTERESE CAUSADOS LEASING 556449064 TRIMESTRAL (FEB-MAR-ABR) $9.564.430</t>
  </si>
  <si>
    <t xml:space="preserve">INTERESES CAUSADOS MAYO LEAS 5005</t>
  </si>
  <si>
    <t xml:space="preserve">INTERESES CAUSADOS MAYO LEAS 9064</t>
  </si>
  <si>
    <t xml:space="preserve">INTERESES CAUSADOS MAYO LEAS 9117</t>
  </si>
  <si>
    <t xml:space="preserve">INTERESES CAUSADOS MAYO LEAS 9180</t>
  </si>
  <si>
    <t xml:space="preserve">INTERESES CAUSADOS MAYO LEAS 9224</t>
  </si>
  <si>
    <t xml:space="preserve">INTERESES CAUSADOS MAYO LEAS 9288</t>
  </si>
  <si>
    <t xml:space="preserve">INTERESES CAUSADOS JUNIO LEAS 5005</t>
  </si>
  <si>
    <t xml:space="preserve">INTERESES CAUSADOS JUNIO LEAS 9064</t>
  </si>
  <si>
    <t xml:space="preserve">INTERESES CAUSADOS JUNIO LEAS 9117</t>
  </si>
  <si>
    <t xml:space="preserve">INTERESES CAUSADOS JUNIO LEAS 9180</t>
  </si>
  <si>
    <t xml:space="preserve">INTERESES CAUSADOS JUNIO LEAS 9224</t>
  </si>
  <si>
    <t xml:space="preserve">INTERESES CAUSADOS JUNIO LEAS 9288</t>
  </si>
  <si>
    <t xml:space="preserve">INTERESES CAUSADOS JULIO LEAS 5005 JUL</t>
  </si>
  <si>
    <t xml:space="preserve">INTERESES CAUSADOS JULIO LEAS 9064 JUL</t>
  </si>
  <si>
    <t xml:space="preserve">INTERESES CAUSADOS JULIO LEAS 9117 JUL</t>
  </si>
  <si>
    <t xml:space="preserve">INTERESES CAUSADOS JULIO LEAS 9180 JUL</t>
  </si>
  <si>
    <t xml:space="preserve">INTERESES CAUSADOS JULIO LEAS 9224 JUL</t>
  </si>
  <si>
    <t xml:space="preserve">INTERESES CAUSADOS JULIO LEAS 9288 JUL</t>
  </si>
  <si>
    <t xml:space="preserve">REVERSION PROVISION DE INTERESES CAUSADOS (MAY, JUN,JUL) LEASING 556449117 INTERESES 9.497.274.29</t>
  </si>
  <si>
    <t xml:space="preserve">REVERSION PROVISION INTERESES CAUSADOS LEASING 556449064 INTERESES 9.497.274.30</t>
  </si>
  <si>
    <t xml:space="preserve">REVERSION PROVISION INTERESES CAUSADOS LEASING 556449224 (MAY-JUN-JUL) INTERESES 14.118.857.98</t>
  </si>
  <si>
    <t xml:space="preserve">REVERSION PROVISION INTERESES LEASING 556449180 (MAY-JUN-JUL) INTERESES 14.118.857.99</t>
  </si>
  <si>
    <t xml:space="preserve">REVERSION PROVISION INTERESES LEASING 557285005 (MY-JUN-JUL) INTERESES 39.578.631.88</t>
  </si>
  <si>
    <t xml:space="preserve">REVERSION PROVISION INTERESES LEASING 556449288 (MAY-JUN-JUL) INTERESES 14.121.779.84</t>
  </si>
  <si>
    <t xml:space="preserve">INTERESES CAUSADOS ENERO LEAS 2095</t>
  </si>
  <si>
    <t xml:space="preserve">INTERESES CAUSADOS FEBRERO LEAS 2095 FEB</t>
  </si>
  <si>
    <t xml:space="preserve">INTERESES CAUSADOS MARZO</t>
  </si>
  <si>
    <t xml:space="preserve">NI-00004262</t>
  </si>
  <si>
    <t xml:space="preserve">CANON 4 CREDITO 362095 TRIMESTRAL (ENE-FEB-MER)</t>
  </si>
  <si>
    <t xml:space="preserve">INTERESES CAUSADOS ABRIL LEAS 2095</t>
  </si>
  <si>
    <t xml:space="preserve">INTERESES CAUSADOS MAYO LEAS 2095</t>
  </si>
  <si>
    <t xml:space="preserve">INTERESES CAUSADOS JUNIO LEAS 2095</t>
  </si>
  <si>
    <t xml:space="preserve">NI-00004667</t>
  </si>
  <si>
    <t xml:space="preserve">REVERSION PROVISION INTERESES CAUSADOS LEASING 362095 TRIMESTRAL (ABR-MAY-JUN)</t>
  </si>
  <si>
    <t xml:space="preserve">INTERESES CAUSADOS JULIO LEAS 2095 JUL</t>
  </si>
  <si>
    <t xml:space="preserve">TOTAL MOVIMIENTO</t>
  </si>
  <si>
    <t xml:space="preserve">Balances de prueba – cuentas 21, 5305 y totales de clase</t>
  </si>
  <si>
    <t xml:space="preserve">Fuentes: Obl_Financieros.xlsx/Hoja1 (emitido 29-sep-2026) y Balance_2026_GUUU.xlsx (emitido 24-ago-2026). Libro NIIF, cifras en pesos; saldos crédito con signo negativo.</t>
  </si>
  <si>
    <t xml:space="preserve">Balance 29-sep-2026 (Obl_Financieros/Hoja1)</t>
  </si>
  <si>
    <t xml:space="preserve">Balance 24-ago-2026 (Balance_2026_GUUU)</t>
  </si>
  <si>
    <t xml:space="preserve">Diferencias (29-sep menos 24-ago)</t>
  </si>
  <si>
    <t xml:space="preserve">Saldo inicial 2026/01</t>
  </si>
  <si>
    <t xml:space="preserve">Saldo final 2026/07</t>
  </si>
  <si>
    <t xml:space="preserve">Dif. SI</t>
  </si>
  <si>
    <t xml:space="preserve">Dif. Déb.</t>
  </si>
  <si>
    <t xml:space="preserve">Dif. Créd.</t>
  </si>
  <si>
    <t xml:space="preserve">Dif. SF</t>
  </si>
  <si>
    <t xml:space="preserve">1</t>
  </si>
  <si>
    <t xml:space="preserve">ACTIVO</t>
  </si>
  <si>
    <t xml:space="preserve">2</t>
  </si>
  <si>
    <t xml:space="preserve">PASIVOS</t>
  </si>
  <si>
    <t xml:space="preserve">3</t>
  </si>
  <si>
    <t xml:space="preserve">PATRIMONIO</t>
  </si>
  <si>
    <t xml:space="preserve">4</t>
  </si>
  <si>
    <t xml:space="preserve">INGRESOS</t>
  </si>
  <si>
    <t xml:space="preserve">GASTOS</t>
  </si>
  <si>
    <t xml:space="preserve">COSTOS DE VENTAS</t>
  </si>
  <si>
    <t xml:space="preserve">7</t>
  </si>
  <si>
    <t xml:space="preserve">COSTO  DE PRODUCCION O DE OPERACION</t>
  </si>
  <si>
    <t xml:space="preserve">21</t>
  </si>
  <si>
    <t xml:space="preserve">OBLIGACIONES FINANCIERAS</t>
  </si>
  <si>
    <t xml:space="preserve">2105</t>
  </si>
  <si>
    <t xml:space="preserve">210501</t>
  </si>
  <si>
    <t xml:space="preserve">Obligaciones Financieras a Corto Plazo</t>
  </si>
  <si>
    <t xml:space="preserve">210502</t>
  </si>
  <si>
    <t xml:space="preserve">Obligaciones Financieras a Largo  Plazo</t>
  </si>
  <si>
    <t xml:space="preserve">2120</t>
  </si>
  <si>
    <t xml:space="preserve">LEASING</t>
  </si>
  <si>
    <t xml:space="preserve">212020</t>
  </si>
  <si>
    <t xml:space="preserve">212021</t>
  </si>
  <si>
    <t xml:space="preserve">Leasing Largo  Plazo</t>
  </si>
  <si>
    <t xml:space="preserve">2130</t>
  </si>
  <si>
    <t xml:space="preserve">INTERESES FINANCIEROS POR PAGAR</t>
  </si>
  <si>
    <t xml:space="preserve">Intereses Financieros por Pagar</t>
  </si>
  <si>
    <t xml:space="preserve">FINANCIEROS</t>
  </si>
  <si>
    <t xml:space="preserve">530520</t>
  </si>
  <si>
    <t xml:space="preserve">intereses financieros</t>
  </si>
  <si>
    <t xml:space="preserve">53052001</t>
  </si>
  <si>
    <t xml:space="preserve">Intereses de Sobregiro</t>
  </si>
  <si>
    <t xml:space="preserve">53052002</t>
  </si>
  <si>
    <t xml:space="preserve">Intereses de Mora</t>
  </si>
  <si>
    <t xml:space="preserve">Intereses de Leasing Efectivamen Pagados</t>
  </si>
  <si>
    <t xml:space="preserve">Intereses Préstamos Efectivamente Pagado</t>
  </si>
  <si>
    <t xml:space="preserve">Intereses sobre Préstamos Causados</t>
  </si>
  <si>
    <t xml:space="preserve">Intereses Leasing Causados</t>
  </si>
  <si>
    <t xml:space="preserve">Comparación integral de las dos versiones del balance (todas las cuentas):</t>
  </si>
  <si>
    <t xml:space="preserve">Cuentas comparadas</t>
  </si>
  <si>
    <t xml:space="preserve">Cuentas con alguna diferencia (SI, Déb., Créd. o SF)</t>
  </si>
  <si>
    <t xml:space="preserve">Intereses pagados directamente al gasto (obligaciones sin causación en 2130) – según glosa del comprobante</t>
  </si>
  <si>
    <t xml:space="preserve">Fuente: descripción de los comprobantes CL del Mayor_Mov. Aplica a obligaciones de pago mensual que el cliente no causa en 2130.</t>
  </si>
  <si>
    <t xml:space="preserve">Interés según glosa</t>
  </si>
  <si>
    <t xml:space="preserve">¿Dato?</t>
  </si>
  <si>
    <t xml:space="preserve">Sí</t>
  </si>
  <si>
    <t xml:space="preserve">Sin dato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</si>
</sst>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"/>
    <numFmt numFmtId="166" formatCode="_-* #,##0_-;\-* #,##0_-;_-* \-??_-;_-@_-"/>
    <numFmt numFmtId="167" formatCode="0.00%;\-0.00%;\-"/>
    <numFmt numFmtId="168" formatCode="#,##0.0&quot; pb&quot;;\-#,##0.0&quot; pb&quot;;\-"/>
    <numFmt numFmtId="169" formatCode="yyyy\-mm\-dd;;&quot;sin reversión&quot;"/>
    <numFmt numFmtId="170" formatCode="0.000%"/>
    <numFmt numFmtId="171" formatCode="0.0000%"/>
    <numFmt numFmtId="172" formatCode="0.00%"/>
    <numFmt numFmtId="173" formatCode="0.00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2060"/>
      <name val="Arial Narrow"/>
      <family val="0"/>
      <charset val="1"/>
    </font>
    <font>
      <b val="true"/>
      <sz val="8"/>
      <name val="Arial Narrow"/>
      <family val="0"/>
      <charset val="1"/>
    </font>
    <font>
      <sz val="8"/>
      <name val="Arial Narrow"/>
      <family val="0"/>
      <charset val="1"/>
    </font>
    <font>
      <b val="true"/>
      <sz val="8"/>
      <color rgb="FFFFFFFF"/>
      <name val="Arial Narrow"/>
      <family val="0"/>
      <charset val="1"/>
    </font>
    <font>
      <b val="true"/>
      <sz val="8"/>
      <color rgb="FFFF0000"/>
      <name val="Arial Narrow"/>
      <family val="0"/>
      <charset val="1"/>
    </font>
    <font>
      <i val="true"/>
      <sz val="8"/>
      <color rgb="FF595959"/>
      <name val="Arial Narrow"/>
      <family val="0"/>
      <charset val="1"/>
    </font>
    <font>
      <b val="true"/>
      <sz val="8"/>
      <color rgb="FF0070C0"/>
      <name val="Arial Narrow"/>
      <family val="0"/>
      <charset val="1"/>
    </font>
    <font>
      <b val="true"/>
      <sz val="9"/>
      <color rgb="FF1F3864"/>
      <name val="Arial Narrow"/>
      <family val="0"/>
      <charset val="1"/>
    </font>
    <font>
      <u val="single"/>
      <sz val="9"/>
      <color rgb="FF0563C1"/>
      <name val="Arial Narrow"/>
      <family val="0"/>
      <charset val="1"/>
    </font>
    <font>
      <sz val="10"/>
      <name val="Arial"/>
      <family val="2"/>
    </font>
    <font>
      <b val="true"/>
      <sz val="11"/>
      <color rgb="FF002060"/>
      <name val="Arial Narrow"/>
      <family val="0"/>
      <charset val="1"/>
    </font>
    <font>
      <sz val="8"/>
      <color rgb="FF000000"/>
      <name val="Arial Narrow"/>
      <family val="0"/>
      <charset val="1"/>
    </font>
    <font>
      <b val="true"/>
      <sz val="10"/>
      <color rgb="FFFF0000"/>
      <name val="Arial Narrow"/>
      <family val="0"/>
      <charset val="1"/>
    </font>
    <font>
      <i val="true"/>
      <sz val="8"/>
      <color rgb="FF002060"/>
      <name val="Arial Narrow"/>
      <family val="0"/>
      <charset val="1"/>
    </font>
    <font>
      <b val="true"/>
      <sz val="8"/>
      <color rgb="FF002060"/>
      <name val="Arial Narro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0206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Q1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9" min="5" style="0" width="17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3" min="12" style="0" width="13"/>
    <col collapsed="false" customWidth="true" hidden="false" outlineLevel="0" max="14" min="14" style="0" width="18"/>
    <col collapsed="false" customWidth="true" hidden="false" outlineLevel="0" max="18" min="15" style="0" width="16"/>
  </cols>
  <sheetData>
    <row r="2" customFormat="false" ht="15" hidden="false" customHeight="true" outlineLevel="0" collapsed="false">
      <c r="C2" s="1" t="s">
        <v>0</v>
      </c>
      <c r="D2" s="1"/>
      <c r="E2" s="1"/>
      <c r="F2" s="1"/>
      <c r="G2" s="1"/>
      <c r="H2" s="1"/>
      <c r="I2" s="1"/>
    </row>
    <row r="4" customFormat="false" ht="15" hidden="false" customHeight="true" outlineLevel="0" collapsed="false">
      <c r="C4" s="2" t="s">
        <v>1</v>
      </c>
      <c r="D4" s="3" t="s">
        <v>0</v>
      </c>
      <c r="E4" s="3"/>
      <c r="F4" s="3"/>
      <c r="G4" s="3"/>
      <c r="H4" s="3"/>
      <c r="I4" s="3"/>
      <c r="N4" s="4" t="s">
        <v>2</v>
      </c>
      <c r="O4" s="4" t="s">
        <v>3</v>
      </c>
      <c r="P4" s="4" t="s">
        <v>4</v>
      </c>
    </row>
    <row r="5" customFormat="false" ht="15" hidden="false" customHeight="true" outlineLevel="0" collapsed="false">
      <c r="C5" s="2" t="s">
        <v>5</v>
      </c>
      <c r="D5" s="3" t="s">
        <v>6</v>
      </c>
      <c r="E5" s="3"/>
      <c r="F5" s="3"/>
      <c r="G5" s="3"/>
      <c r="H5" s="3"/>
      <c r="I5" s="3"/>
      <c r="N5" s="5"/>
      <c r="O5" s="5"/>
      <c r="P5" s="5" t="s">
        <v>7</v>
      </c>
    </row>
    <row r="6" customFormat="false" ht="15" hidden="false" customHeight="true" outlineLevel="0" collapsed="false">
      <c r="C6" s="2" t="s">
        <v>8</v>
      </c>
      <c r="D6" s="3" t="s">
        <v>9</v>
      </c>
      <c r="E6" s="3"/>
      <c r="F6" s="3"/>
      <c r="G6" s="3"/>
      <c r="H6" s="3"/>
      <c r="I6" s="3"/>
      <c r="N6" s="6" t="s">
        <v>10</v>
      </c>
      <c r="O6" s="6" t="s">
        <v>10</v>
      </c>
    </row>
    <row r="7" customFormat="false" ht="15" hidden="false" customHeight="true" outlineLevel="0" collapsed="false">
      <c r="C7" s="2" t="s">
        <v>11</v>
      </c>
      <c r="D7" s="7" t="n">
        <f aca="false">Resumen!C5</f>
        <v>46234</v>
      </c>
      <c r="E7" s="7"/>
      <c r="F7" s="7"/>
      <c r="G7" s="7"/>
      <c r="H7" s="7"/>
      <c r="I7" s="7"/>
      <c r="N7" s="8" t="s">
        <v>12</v>
      </c>
      <c r="O7" s="8"/>
      <c r="P7" s="8"/>
    </row>
    <row r="8" customFormat="false" ht="15" hidden="false" customHeight="true" outlineLevel="0" collapsed="false">
      <c r="C8" s="2" t="s">
        <v>13</v>
      </c>
      <c r="D8" s="3" t="s">
        <v>14</v>
      </c>
      <c r="E8" s="3"/>
      <c r="F8" s="3"/>
      <c r="G8" s="3"/>
      <c r="H8" s="3"/>
      <c r="I8" s="3"/>
    </row>
    <row r="9" customFormat="false" ht="15" hidden="false" customHeight="true" outlineLevel="0" collapsed="false">
      <c r="C9" s="2" t="s">
        <v>15</v>
      </c>
      <c r="D9" s="3" t="s">
        <v>16</v>
      </c>
      <c r="E9" s="3"/>
      <c r="F9" s="3"/>
      <c r="G9" s="3"/>
      <c r="H9" s="3"/>
      <c r="I9" s="3"/>
    </row>
    <row r="10" customFormat="false" ht="15" hidden="false" customHeight="true" outlineLevel="0" collapsed="false">
      <c r="C10" s="2" t="s">
        <v>17</v>
      </c>
      <c r="D10" s="3" t="s">
        <v>18</v>
      </c>
      <c r="E10" s="3"/>
      <c r="F10" s="3"/>
      <c r="G10" s="3"/>
      <c r="H10" s="3"/>
      <c r="I10" s="3"/>
    </row>
    <row r="12" customFormat="false" ht="15" hidden="false" customHeight="true" outlineLevel="0" collapsed="false">
      <c r="C12" s="9" t="s">
        <v>19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customFormat="false" ht="13.5" hidden="false" customHeight="true" outlineLevel="0" collapsed="false">
      <c r="C13" s="3" t="s">
        <v>20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customFormat="false" ht="13.5" hidden="false" customHeight="true" outlineLevel="0" collapsed="false">
      <c r="C14" s="3" t="s">
        <v>21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customFormat="false" ht="13.5" hidden="false" customHeight="true" outlineLevel="0" collapsed="false">
      <c r="C15" s="3" t="s">
        <v>22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customFormat="false" ht="13.5" hidden="false" customHeight="true" outlineLevel="0" collapsed="false">
      <c r="C16" s="3" t="s">
        <v>23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8" customFormat="false" ht="15" hidden="false" customHeight="true" outlineLevel="0" collapsed="false">
      <c r="C18" s="9" t="s">
        <v>24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customFormat="false" ht="51.75" hidden="false" customHeight="true" outlineLevel="0" collapsed="false">
      <c r="C19" s="3" t="s">
        <v>25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1" customFormat="false" ht="15" hidden="false" customHeight="true" outlineLevel="0" collapsed="false">
      <c r="C21" s="9" t="s">
        <v>26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customFormat="false" ht="39.75" hidden="false" customHeight="true" outlineLevel="0" collapsed="false">
      <c r="C22" s="3" t="str">
        <f aca="false">"Se emite con "&amp;Pendientes!$D$20&amp;" pendientes de soporte (hoja Pendientes): certificados de saldo al 31-jul-26 de leasings Davivienda y Bancolombia, confirmaciones BBVA y Banco Popular, certificado del crédito Bogotá 1159383796, tablas del leasing 386735/GECOLSA y materialidad del encargo. Las conclusiones afectadas se marcan [P]."</f>
        <v>Se emite con 14 pendientes de soporte (hoja Pendientes): certificados de saldo al 31-jul-26 de leasings Davivienda y Bancolombia, confirmaciones BBVA y Banco Popular, certificado del crédito Bogotá 1159383796, tablas del leasing 386735/GECOLSA y materialidad del encargo. Las conclusiones afectadas se marcan [P].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4" customFormat="false" ht="15" hidden="false" customHeight="true" outlineLevel="0" collapsed="false">
      <c r="C24" s="9" t="s">
        <v>27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customFormat="false" ht="15" hidden="false" customHeight="true" outlineLevel="0" collapsed="false">
      <c r="C25" s="4" t="s">
        <v>28</v>
      </c>
      <c r="D25" s="4" t="s">
        <v>29</v>
      </c>
      <c r="E25" s="4" t="s">
        <v>30</v>
      </c>
      <c r="F25" s="4"/>
      <c r="G25" s="4"/>
      <c r="H25" s="4"/>
      <c r="I25" s="4" t="s">
        <v>31</v>
      </c>
      <c r="J25" s="4"/>
      <c r="K25" s="4"/>
      <c r="L25" s="4"/>
      <c r="M25" s="4"/>
      <c r="N25" s="4"/>
      <c r="O25" s="4"/>
      <c r="P25" s="4"/>
    </row>
    <row r="26" customFormat="false" ht="36" hidden="false" customHeight="true" outlineLevel="0" collapsed="false">
      <c r="C26" s="10" t="s">
        <v>32</v>
      </c>
      <c r="D26" s="11" t="s">
        <v>33</v>
      </c>
      <c r="E26" s="11" t="s">
        <v>34</v>
      </c>
      <c r="F26" s="11"/>
      <c r="G26" s="11"/>
      <c r="H26" s="11"/>
      <c r="I26" s="11" t="str">
        <f aca="false">"Cobertura con extracto 2026: "&amp;TEXT(Pruebas_Auditoria!$K$87,"0%")&amp;"; diferencias de pagos: "&amp;TEXT(Pruebas_Auditoria!J131,"#,##0")</f>
        <v>Cobertura con extracto 2026: 85%; diferencias de pagos: 11,975,072</v>
      </c>
      <c r="J26" s="11"/>
      <c r="K26" s="11"/>
      <c r="L26" s="11"/>
      <c r="M26" s="11"/>
      <c r="N26" s="11"/>
      <c r="O26" s="11"/>
      <c r="P26" s="11"/>
    </row>
    <row r="27" customFormat="false" ht="36" hidden="false" customHeight="true" outlineLevel="0" collapsed="false">
      <c r="C27" s="10" t="s">
        <v>35</v>
      </c>
      <c r="D27" s="11" t="s">
        <v>36</v>
      </c>
      <c r="E27" s="11" t="s">
        <v>37</v>
      </c>
      <c r="F27" s="11"/>
      <c r="G27" s="11"/>
      <c r="H27" s="11"/>
      <c r="I27" s="11" t="str">
        <f aca="false">"Mayor vs balance: "&amp;Resumen!F11&amp;". Leasing mayor − detalle 62: "&amp;TEXT(Cruce_Detalle_Mayor!F7,"#,##0")&amp;" (386735 y GECOLSA no están en el detalle)."</f>
        <v>Mayor vs balance: OK. Leasing mayor − detalle 62: 1,018,266,177 (386735 y GECOLSA no están en el detalle).</v>
      </c>
      <c r="J27" s="11"/>
      <c r="K27" s="11"/>
      <c r="L27" s="11"/>
      <c r="M27" s="11"/>
      <c r="N27" s="11"/>
      <c r="O27" s="11"/>
      <c r="P27" s="11"/>
    </row>
    <row r="28" customFormat="false" ht="36" hidden="false" customHeight="true" outlineLevel="0" collapsed="false">
      <c r="C28" s="10" t="s">
        <v>38</v>
      </c>
      <c r="D28" s="11" t="s">
        <v>39</v>
      </c>
      <c r="E28" s="11" t="s">
        <v>40</v>
      </c>
      <c r="F28" s="11"/>
      <c r="G28" s="11"/>
      <c r="H28" s="11"/>
      <c r="I28" s="11" t="str">
        <f aca="false">"Causación no registrada al 31-jul: "&amp;TEXT(Pruebas_Auditoria!K236,"#,##0")&amp;"; tablas con error: 362095, Hoja2 (1159383796), costo amortizado Davivienda."</f>
        <v>Causación no registrada al 31-jul: 187,705,390; tablas con error: 362095, Hoja2 (1159383796), costo amortizado Davivienda.</v>
      </c>
      <c r="J28" s="11"/>
      <c r="K28" s="11"/>
      <c r="L28" s="11"/>
      <c r="M28" s="11"/>
      <c r="N28" s="11"/>
      <c r="O28" s="11"/>
      <c r="P28" s="11"/>
    </row>
    <row r="29" customFormat="false" ht="36" hidden="false" customHeight="true" outlineLevel="0" collapsed="false">
      <c r="C29" s="10" t="s">
        <v>41</v>
      </c>
      <c r="D29" s="11" t="s">
        <v>42</v>
      </c>
      <c r="E29" s="11" t="s">
        <v>43</v>
      </c>
      <c r="F29" s="11"/>
      <c r="G29" s="11"/>
      <c r="H29" s="11"/>
      <c r="I29" s="11" t="str">
        <f aca="false">"AJE-1 por "&amp;TEXT(Pruebas_Auditoria!K236,"#,##0")</f>
        <v>AJE-1 por 187,705,390</v>
      </c>
      <c r="J29" s="11"/>
      <c r="K29" s="11"/>
      <c r="L29" s="11"/>
      <c r="M29" s="11"/>
      <c r="N29" s="11"/>
      <c r="O29" s="11"/>
      <c r="P29" s="11"/>
    </row>
    <row r="30" customFormat="false" ht="36" hidden="false" customHeight="true" outlineLevel="0" collapsed="false">
      <c r="C30" s="10" t="s">
        <v>44</v>
      </c>
      <c r="D30" s="11" t="s">
        <v>45</v>
      </c>
      <c r="E30" s="11" t="s">
        <v>46</v>
      </c>
      <c r="F30" s="11"/>
      <c r="G30" s="11"/>
      <c r="H30" s="11"/>
      <c r="I30" s="11" t="str">
        <f aca="false">"Crédito DYPSIS $72.300 MM en el archivo de tablas no está en el mayor: confirmar titular/garantías [P]."</f>
        <v>Crédito DYPSIS $72.300 MM en el archivo de tablas no está en el mayor: confirmar titular/garantías [P].</v>
      </c>
      <c r="J30" s="11"/>
      <c r="K30" s="11"/>
      <c r="L30" s="11"/>
      <c r="M30" s="11"/>
      <c r="N30" s="11"/>
      <c r="O30" s="11"/>
      <c r="P30" s="11"/>
    </row>
    <row r="31" customFormat="false" ht="36" hidden="false" customHeight="true" outlineLevel="0" collapsed="false">
      <c r="C31" s="10" t="s">
        <v>47</v>
      </c>
      <c r="D31" s="11" t="s">
        <v>48</v>
      </c>
      <c r="E31" s="11" t="s">
        <v>49</v>
      </c>
      <c r="F31" s="11"/>
      <c r="G31" s="11"/>
      <c r="H31" s="11"/>
      <c r="I31" s="11" t="str">
        <f aca="false">"Reclasificación LP→CP propuesta: "&amp;TEXT(Clasif_CP_LP!B11+Clasif_CP_LP!B12,"#,##0")</f>
        <v>Reclasificación LP→CP propuesta: 1,576,635,656</v>
      </c>
      <c r="J31" s="11"/>
      <c r="K31" s="11"/>
      <c r="L31" s="11"/>
      <c r="M31" s="11"/>
      <c r="N31" s="11"/>
      <c r="O31" s="11"/>
      <c r="P31" s="11"/>
    </row>
    <row r="32" customFormat="false" ht="36" hidden="false" customHeight="true" outlineLevel="0" collapsed="false">
      <c r="C32" s="10" t="s">
        <v>50</v>
      </c>
      <c r="D32" s="11" t="s">
        <v>51</v>
      </c>
      <c r="E32" s="11" t="s">
        <v>52</v>
      </c>
      <c r="F32" s="11"/>
      <c r="G32" s="11"/>
      <c r="H32" s="11"/>
      <c r="I32" s="11" t="str">
        <f aca="false">"Tasas y vencimientos del detalle 62 difieren de los certificados en varias obligaciones (hallazgos 7 y 14)."</f>
        <v>Tasas y vencimientos del detalle 62 difieren de los certificados en varias obligaciones (hallazgos 7 y 14).</v>
      </c>
      <c r="J32" s="11"/>
      <c r="K32" s="11"/>
      <c r="L32" s="11"/>
      <c r="M32" s="11"/>
      <c r="N32" s="11"/>
      <c r="O32" s="11"/>
      <c r="P32" s="11"/>
    </row>
    <row r="34" customFormat="false" ht="15" hidden="false" customHeight="true" outlineLevel="0" collapsed="false">
      <c r="C34" s="9" t="s">
        <v>53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customFormat="false" ht="18" hidden="false" customHeight="true" outlineLevel="0" collapsed="false">
      <c r="C35" s="3" t="s">
        <v>54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7" customFormat="false" ht="15" hidden="false" customHeight="true" outlineLevel="0" collapsed="false">
      <c r="C37" s="9" t="s">
        <v>55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customFormat="false" ht="15" hidden="false" customHeight="true" outlineLevel="0" collapsed="false">
      <c r="B38" s="4" t="s">
        <v>56</v>
      </c>
      <c r="C38" s="4" t="s">
        <v>57</v>
      </c>
      <c r="D38" s="4"/>
      <c r="E38" s="4"/>
      <c r="F38" s="4"/>
      <c r="G38" s="4"/>
      <c r="H38" s="4"/>
      <c r="I38" s="4" t="s">
        <v>58</v>
      </c>
      <c r="J38" s="4"/>
      <c r="K38" s="4"/>
      <c r="L38" s="4" t="s">
        <v>31</v>
      </c>
      <c r="M38" s="4"/>
      <c r="N38" s="4"/>
      <c r="O38" s="4"/>
      <c r="P38" s="4"/>
    </row>
    <row r="39" customFormat="false" ht="27.75" hidden="false" customHeight="true" outlineLevel="0" collapsed="false">
      <c r="B39" s="11" t="n">
        <v>1</v>
      </c>
      <c r="C39" s="11" t="s">
        <v>59</v>
      </c>
      <c r="D39" s="11"/>
      <c r="E39" s="11"/>
      <c r="F39" s="11"/>
      <c r="G39" s="11"/>
      <c r="H39" s="11"/>
      <c r="I39" s="11" t="s">
        <v>60</v>
      </c>
      <c r="J39" s="11"/>
      <c r="K39" s="11"/>
      <c r="L39" s="10" t="str">
        <f aca="false">Resumen!F11</f>
        <v>OK</v>
      </c>
      <c r="M39" s="10"/>
      <c r="N39" s="10"/>
      <c r="O39" s="10"/>
      <c r="P39" s="10"/>
    </row>
    <row r="40" customFormat="false" ht="27.75" hidden="false" customHeight="true" outlineLevel="0" collapsed="false">
      <c r="B40" s="11" t="n">
        <v>2</v>
      </c>
      <c r="C40" s="11" t="s">
        <v>61</v>
      </c>
      <c r="D40" s="11"/>
      <c r="E40" s="11"/>
      <c r="F40" s="11"/>
      <c r="G40" s="11"/>
      <c r="H40" s="11"/>
      <c r="I40" s="11" t="s">
        <v>37</v>
      </c>
      <c r="J40" s="11"/>
      <c r="K40" s="11"/>
      <c r="L40" s="10" t="str">
        <f aca="false">IF(ABS(Pruebas_Auditoria!H177)+ABS(Pruebas_Auditoria!H181)&lt;=Resumen!$C$6,"Por obligación cuadra con balance","Revisar")</f>
        <v>Por obligación cuadra con balance</v>
      </c>
      <c r="M40" s="10"/>
      <c r="N40" s="10"/>
      <c r="O40" s="10"/>
      <c r="P40" s="10"/>
    </row>
    <row r="41" customFormat="false" ht="27.75" hidden="false" customHeight="true" outlineLevel="0" collapsed="false">
      <c r="B41" s="11" t="n">
        <v>3</v>
      </c>
      <c r="C41" s="11" t="s">
        <v>62</v>
      </c>
      <c r="D41" s="11"/>
      <c r="E41" s="11"/>
      <c r="F41" s="11"/>
      <c r="G41" s="11"/>
      <c r="H41" s="11"/>
      <c r="I41" s="11" t="s">
        <v>34</v>
      </c>
      <c r="J41" s="11"/>
      <c r="K41" s="11"/>
      <c r="L41" s="10" t="str">
        <f aca="false">Resumen!F16</f>
        <v>DIFERENCIA</v>
      </c>
      <c r="M41" s="10"/>
      <c r="N41" s="10"/>
      <c r="O41" s="10"/>
      <c r="P41" s="10"/>
    </row>
    <row r="42" customFormat="false" ht="27.75" hidden="false" customHeight="true" outlineLevel="0" collapsed="false">
      <c r="B42" s="11" t="n">
        <v>4</v>
      </c>
      <c r="C42" s="11" t="s">
        <v>63</v>
      </c>
      <c r="D42" s="11"/>
      <c r="E42" s="11"/>
      <c r="F42" s="11"/>
      <c r="G42" s="11"/>
      <c r="H42" s="11"/>
      <c r="I42" s="11" t="s">
        <v>64</v>
      </c>
      <c r="J42" s="11"/>
      <c r="K42" s="11"/>
      <c r="L42" s="10" t="str">
        <f aca="false">"Tablas con hallazgos: 362095, Hoja2 (1159383796), costo amortizado Davivienda; "&amp;COUNTIF(Tablas_Amortizacion!R12:R36,"N/D")&amp;" sin saldo banco"</f>
        <v>Tablas con hallazgos: 362095, Hoja2 (1159383796), costo amortizado Davivienda; 4 sin saldo banco</v>
      </c>
      <c r="M42" s="10"/>
      <c r="N42" s="10"/>
      <c r="O42" s="10"/>
      <c r="P42" s="10"/>
    </row>
    <row r="43" customFormat="false" ht="27.75" hidden="false" customHeight="true" outlineLevel="0" collapsed="false">
      <c r="B43" s="11" t="n">
        <v>5</v>
      </c>
      <c r="C43" s="11" t="s">
        <v>65</v>
      </c>
      <c r="D43" s="11"/>
      <c r="E43" s="11"/>
      <c r="F43" s="11"/>
      <c r="G43" s="11"/>
      <c r="H43" s="11"/>
      <c r="I43" s="11" t="s">
        <v>66</v>
      </c>
      <c r="J43" s="11"/>
      <c r="K43" s="11"/>
      <c r="L43" s="10" t="str">
        <f aca="false">Resumen!F18</f>
        <v>DIFERENCIA</v>
      </c>
      <c r="M43" s="10"/>
      <c r="N43" s="10"/>
      <c r="O43" s="10"/>
      <c r="P43" s="10"/>
    </row>
    <row r="44" customFormat="false" ht="27.75" hidden="false" customHeight="true" outlineLevel="0" collapsed="false">
      <c r="B44" s="11" t="n">
        <v>6</v>
      </c>
      <c r="C44" s="11" t="s">
        <v>67</v>
      </c>
      <c r="D44" s="11"/>
      <c r="E44" s="11"/>
      <c r="F44" s="11"/>
      <c r="G44" s="11"/>
      <c r="H44" s="11"/>
      <c r="I44" s="11" t="s">
        <v>68</v>
      </c>
      <c r="J44" s="11"/>
      <c r="K44" s="11"/>
      <c r="L44" s="10" t="str">
        <f aca="false">IF(ABS(Intereses_x_Obligacion!E38)&lt;=Resumen!$C$6,"2130 cuadra por obligación","Revisar")</f>
        <v>2130 cuadra por obligación</v>
      </c>
      <c r="M44" s="10"/>
      <c r="N44" s="10"/>
      <c r="O44" s="10"/>
      <c r="P44" s="10"/>
    </row>
    <row r="45" customFormat="false" ht="27.75" hidden="false" customHeight="true" outlineLevel="0" collapsed="false">
      <c r="B45" s="11" t="n">
        <v>7</v>
      </c>
      <c r="C45" s="11" t="s">
        <v>69</v>
      </c>
      <c r="D45" s="11"/>
      <c r="E45" s="11"/>
      <c r="F45" s="11"/>
      <c r="G45" s="11"/>
      <c r="H45" s="11"/>
      <c r="I45" s="11" t="s">
        <v>70</v>
      </c>
      <c r="J45" s="11"/>
      <c r="K45" s="11"/>
      <c r="L45" s="10" t="str">
        <f aca="false">Gasto_Intereses!B20</f>
        <v>Gasto razonable dentro del umbral</v>
      </c>
      <c r="M45" s="10"/>
      <c r="N45" s="10"/>
      <c r="O45" s="10"/>
      <c r="P45" s="10"/>
    </row>
    <row r="46" customFormat="false" ht="27.75" hidden="false" customHeight="true" outlineLevel="0" collapsed="false">
      <c r="B46" s="11" t="n">
        <v>8</v>
      </c>
      <c r="C46" s="11" t="s">
        <v>71</v>
      </c>
      <c r="D46" s="11"/>
      <c r="E46" s="11"/>
      <c r="F46" s="11"/>
      <c r="G46" s="11"/>
      <c r="H46" s="11"/>
      <c r="I46" s="11" t="s">
        <v>49</v>
      </c>
      <c r="J46" s="11"/>
      <c r="K46" s="11"/>
      <c r="L46" s="10" t="str">
        <f aca="false">"Ver reclasificación AJE-2"</f>
        <v>Ver reclasificación AJE-2</v>
      </c>
      <c r="M46" s="10"/>
      <c r="N46" s="10"/>
      <c r="O46" s="10"/>
      <c r="P46" s="10"/>
    </row>
    <row r="47" customFormat="false" ht="27.75" hidden="false" customHeight="true" outlineLevel="0" collapsed="false">
      <c r="B47" s="11" t="n">
        <v>9</v>
      </c>
      <c r="C47" s="11" t="s">
        <v>72</v>
      </c>
      <c r="D47" s="11"/>
      <c r="E47" s="11"/>
      <c r="F47" s="11"/>
      <c r="G47" s="11"/>
      <c r="H47" s="11"/>
      <c r="I47" s="11" t="s">
        <v>73</v>
      </c>
      <c r="J47" s="11"/>
      <c r="K47" s="11"/>
      <c r="L47" s="10" t="str">
        <f aca="false">Pendientes!$D$20&amp;" pendientes abiertos"</f>
        <v>14 pendientes abiertos</v>
      </c>
      <c r="M47" s="10"/>
      <c r="N47" s="10"/>
      <c r="O47" s="10"/>
      <c r="P47" s="10"/>
    </row>
    <row r="49" customFormat="false" ht="15" hidden="false" customHeight="true" outlineLevel="0" collapsed="false">
      <c r="C49" s="9" t="s">
        <v>74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customFormat="false" ht="15" hidden="false" customHeight="true" outlineLevel="0" collapsed="false">
      <c r="C50" s="3" t="s">
        <v>75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customFormat="false" ht="15" hidden="false" customHeight="true" outlineLevel="0" collapsed="false">
      <c r="C51" s="3" t="s">
        <v>76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customFormat="false" ht="15" hidden="false" customHeight="true" outlineLevel="0" collapsed="false">
      <c r="C52" s="3" t="s">
        <v>77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customFormat="false" ht="15" hidden="false" customHeight="true" outlineLevel="0" collapsed="false">
      <c r="C53" s="3" t="s">
        <v>78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customFormat="false" ht="15" hidden="false" customHeight="true" outlineLevel="0" collapsed="false">
      <c r="C54" s="3" t="s">
        <v>79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customFormat="false" ht="15" hidden="false" customHeight="true" outlineLevel="0" collapsed="false">
      <c r="C55" s="3" t="s">
        <v>80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7" customFormat="false" ht="15" hidden="false" customHeight="true" outlineLevel="0" collapsed="false">
      <c r="C57" s="9" t="s">
        <v>81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customFormat="false" ht="30" hidden="false" customHeight="true" outlineLevel="0" collapsed="false">
      <c r="C58" s="4" t="s">
        <v>82</v>
      </c>
      <c r="D58" s="4" t="s">
        <v>83</v>
      </c>
      <c r="E58" s="4" t="s">
        <v>84</v>
      </c>
      <c r="F58" s="4" t="s">
        <v>85</v>
      </c>
      <c r="G58" s="4" t="s">
        <v>86</v>
      </c>
      <c r="H58" s="4" t="s">
        <v>87</v>
      </c>
      <c r="I58" s="4" t="s">
        <v>88</v>
      </c>
      <c r="J58" s="4" t="s">
        <v>89</v>
      </c>
    </row>
    <row r="59" customFormat="false" ht="15" hidden="false" customHeight="false" outlineLevel="0" collapsed="false">
      <c r="C59" s="11" t="s">
        <v>90</v>
      </c>
      <c r="D59" s="11" t="s">
        <v>91</v>
      </c>
      <c r="E59" s="12" t="n">
        <f aca="false">-(Balance_21!$F$16+Balance_21!$F$18)</f>
        <v>38300666666</v>
      </c>
      <c r="F59" s="12" t="n">
        <f aca="false">SUMIFS(Detalle_62!$F$14:$F$35,Detalle_62!$D$14:$D$35,"Crédito")</f>
        <v>38300666665.3333</v>
      </c>
      <c r="G59" s="12" t="n">
        <f aca="false">Pruebas_Auditoria!H175</f>
        <v>38300666666</v>
      </c>
      <c r="H59" s="12" t="n">
        <f aca="false">IF(AND(ISNUMBER(E59),ISNUMBER(F59)),E59-F59,"N/A")</f>
        <v>0.666664123535156</v>
      </c>
      <c r="I59" s="12" t="n">
        <f aca="false">IF(AND(ISNUMBER(E59),ISNUMBER(G59)),E59-G59,"N/A")</f>
        <v>0</v>
      </c>
      <c r="J59" s="6" t="s">
        <v>92</v>
      </c>
    </row>
    <row r="60" customFormat="false" ht="15" hidden="false" customHeight="false" outlineLevel="0" collapsed="false">
      <c r="C60" s="11" t="s">
        <v>93</v>
      </c>
      <c r="D60" s="11" t="s">
        <v>94</v>
      </c>
      <c r="E60" s="12" t="n">
        <f aca="false">-(Balance_21!$F$22+Balance_21!$F$24)</f>
        <v>7903511628.33</v>
      </c>
      <c r="F60" s="12" t="n">
        <f aca="false">SUMIFS(Detalle_62!$F$14:$F$35,Detalle_62!$D$14:$D$35,"Leasing")</f>
        <v>6885245451.62914</v>
      </c>
      <c r="G60" s="12" t="n">
        <f aca="false">Pruebas_Auditoria!H179</f>
        <v>7903511628.33</v>
      </c>
      <c r="H60" s="12" t="n">
        <f aca="false">IF(AND(ISNUMBER(E60),ISNUMBER(F60)),E60-F60,"N/A")</f>
        <v>1018266176.70086</v>
      </c>
      <c r="I60" s="12" t="n">
        <f aca="false">IF(AND(ISNUMBER(E60),ISNUMBER(G60)),E60-G60,"N/A")</f>
        <v>0</v>
      </c>
      <c r="J60" s="6" t="s">
        <v>92</v>
      </c>
    </row>
    <row r="61" customFormat="false" ht="15" hidden="false" customHeight="false" outlineLevel="0" collapsed="false">
      <c r="C61" s="11" t="s">
        <v>95</v>
      </c>
      <c r="D61" s="11" t="s">
        <v>96</v>
      </c>
      <c r="E61" s="12" t="n">
        <f aca="false">-Balance_21!$F$25</f>
        <v>427389017.16</v>
      </c>
      <c r="F61" s="12" t="s">
        <v>97</v>
      </c>
      <c r="G61" s="12" t="n">
        <f aca="false">Intereses_x_Obligacion!F32</f>
        <v>427389018.38</v>
      </c>
      <c r="H61" s="12" t="str">
        <f aca="false">IF(AND(ISNUMBER(E61),ISNUMBER(F61)),E61-F61,"N/A")</f>
        <v>N/A</v>
      </c>
      <c r="I61" s="12" t="n">
        <f aca="false">IF(AND(ISNUMBER(E61),ISNUMBER(G61)),E61-G61,"N/A")</f>
        <v>-1.21999996900558</v>
      </c>
      <c r="J61" s="6" t="s">
        <v>92</v>
      </c>
    </row>
    <row r="62" customFormat="false" ht="15" hidden="false" customHeight="false" outlineLevel="0" collapsed="false">
      <c r="C62" s="11" t="s">
        <v>98</v>
      </c>
      <c r="D62" s="11" t="s">
        <v>99</v>
      </c>
      <c r="E62" s="12" t="n">
        <f aca="false">-Balance_21!$F$19</f>
        <v>31135731.73</v>
      </c>
      <c r="F62" s="12" t="s">
        <v>97</v>
      </c>
      <c r="G62" s="12" t="s">
        <v>100</v>
      </c>
      <c r="H62" s="12" t="str">
        <f aca="false">IF(AND(ISNUMBER(E62),ISNUMBER(F62)),E62-F62,"N/A")</f>
        <v>N/A</v>
      </c>
      <c r="I62" s="12" t="str">
        <f aca="false">IF(AND(ISNUMBER(E62),ISNUMBER(G62)),E62-G62,"N/A")</f>
        <v>N/A</v>
      </c>
      <c r="J62" s="6" t="s">
        <v>92</v>
      </c>
    </row>
    <row r="63" customFormat="false" ht="15" hidden="false" customHeight="false" outlineLevel="0" collapsed="false">
      <c r="D63" s="13" t="s">
        <v>101</v>
      </c>
      <c r="E63" s="14" t="n">
        <f aca="false">SUM(E59:E62)</f>
        <v>46662703043.22</v>
      </c>
      <c r="F63" s="14" t="n">
        <f aca="false">SUM(F59:F62)</f>
        <v>45185912116.9625</v>
      </c>
      <c r="G63" s="14" t="n">
        <f aca="false">SUM(G59:G62)</f>
        <v>46631567312.71</v>
      </c>
      <c r="H63" s="14" t="n">
        <f aca="false">SUM(H59:H62)</f>
        <v>1018266177.36753</v>
      </c>
      <c r="I63" s="14" t="n">
        <f aca="false">SUM(I59:I62)</f>
        <v>-1.21999996900558</v>
      </c>
    </row>
    <row r="65" customFormat="false" ht="15" hidden="false" customHeight="true" outlineLevel="0" collapsed="false">
      <c r="C65" s="9" t="s">
        <v>102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customFormat="false" ht="15" hidden="false" customHeight="false" outlineLevel="0" collapsed="false">
      <c r="C66" s="15" t="s">
        <v>103</v>
      </c>
    </row>
    <row r="67" customFormat="false" ht="30" hidden="false" customHeight="true" outlineLevel="0" collapsed="false">
      <c r="C67" s="4" t="s">
        <v>104</v>
      </c>
      <c r="D67" s="4" t="s">
        <v>105</v>
      </c>
      <c r="E67" s="4" t="s">
        <v>106</v>
      </c>
      <c r="F67" s="4" t="s">
        <v>107</v>
      </c>
      <c r="G67" s="4" t="s">
        <v>108</v>
      </c>
      <c r="H67" s="4" t="s">
        <v>109</v>
      </c>
      <c r="I67" s="4" t="s">
        <v>110</v>
      </c>
      <c r="J67" s="4" t="s">
        <v>111</v>
      </c>
      <c r="K67" s="4" t="s">
        <v>112</v>
      </c>
      <c r="L67" s="4" t="s">
        <v>113</v>
      </c>
      <c r="M67" s="4" t="s">
        <v>114</v>
      </c>
      <c r="N67" s="4" t="s">
        <v>115</v>
      </c>
      <c r="O67" s="4" t="s">
        <v>116</v>
      </c>
      <c r="P67" s="4" t="s">
        <v>117</v>
      </c>
      <c r="Q67" s="4" t="s">
        <v>118</v>
      </c>
    </row>
    <row r="68" customFormat="false" ht="20.85" hidden="false" customHeight="false" outlineLevel="0" collapsed="false">
      <c r="C68" s="10" t="s">
        <v>119</v>
      </c>
      <c r="D68" s="11" t="str">
        <f aca="false">Pruebas_Auditoria!D148</f>
        <v>Crédito tesorería 457300748906 (cancelado 28-ene-26)</v>
      </c>
      <c r="E68" s="12" t="n">
        <f aca="false">Pruebas_Auditoria!H148</f>
        <v>0</v>
      </c>
      <c r="F68" s="12" t="n">
        <f aca="false">Pruebas_Auditoria!I148</f>
        <v>0</v>
      </c>
      <c r="G68" s="12" t="str">
        <f aca="false">Pruebas_Auditoria!J148</f>
        <v>Sin tabla</v>
      </c>
      <c r="H68" s="12" t="n">
        <f aca="false">Pruebas_Auditoria!L148</f>
        <v>0</v>
      </c>
      <c r="I68" s="12" t="n">
        <f aca="false">Pruebas_Auditoria!O148</f>
        <v>0</v>
      </c>
      <c r="J68" s="11" t="str">
        <f aca="false">IFERROR(INDEX(Detalle_62!$H$14:$H$35,MATCH(C68,Detalle_62!$C$14:$C$35,0)),"—")</f>
        <v>—</v>
      </c>
      <c r="K68" s="11" t="str">
        <f aca="false">IFERROR(INDEX(Detalle_62!$L$14:$L$35,MATCH(C68,Detalle_62!$C$14:$C$35,0)),"—")</f>
        <v>—</v>
      </c>
      <c r="L68" s="16" t="str">
        <f aca="false">IFERROR(INDEX(Detalle_62!$P$14:$P$35,MATCH(C68,Detalle_62!$C$14:$C$35,0)),"—")</f>
        <v>—</v>
      </c>
      <c r="M68" s="17" t="str">
        <f aca="false">IFERROR(INDEX(Pruebas_Auditoria!$M$53:$M$137,MATCH(C68,Pruebas_Auditoria!$E$53:$E$137,0)),"—")</f>
        <v>—</v>
      </c>
      <c r="N68" s="12" t="n">
        <f aca="false">INDEX(Intereses_x_Obligacion!$I:$I,MATCH(C68,Intereses_x_Obligacion!$A:$A,0))</f>
        <v>66026667</v>
      </c>
      <c r="O68" s="12" t="n">
        <f aca="false">INDEX(Intereses_x_Obligacion!$F:$F,MATCH(C68,Intereses_x_Obligacion!$A:$A,0))</f>
        <v>0</v>
      </c>
      <c r="P68" s="12" t="n">
        <f aca="false">INDEX(Intereses_x_Obligacion!$L:$L,MATCH(C68,Intereses_x_Obligacion!$A:$A,0))</f>
        <v>0</v>
      </c>
      <c r="Q68" s="11" t="str">
        <f aca="false">IF(LEFT(Pruebas_Auditoria!M148,3)="[C]","[C] [B]",IF(LEFT(Pruebas_Auditoria!M148,3)="[E]","[E] [B]","[P]"))</f>
        <v>[E] [B]</v>
      </c>
    </row>
    <row r="69" customFormat="false" ht="15" hidden="false" customHeight="false" outlineLevel="0" collapsed="false">
      <c r="C69" s="10" t="s">
        <v>120</v>
      </c>
      <c r="D69" s="11" t="str">
        <f aca="false">Pruebas_Auditoria!D149</f>
        <v>457300569032 – CRED TESORERIA</v>
      </c>
      <c r="E69" s="12" t="n">
        <f aca="false">Pruebas_Auditoria!H149</f>
        <v>3000000000</v>
      </c>
      <c r="F69" s="12" t="n">
        <f aca="false">Pruebas_Auditoria!I149</f>
        <v>3000000000</v>
      </c>
      <c r="G69" s="12" t="n">
        <f aca="false">Pruebas_Auditoria!J149</f>
        <v>3000000000</v>
      </c>
      <c r="H69" s="12" t="n">
        <f aca="false">Pruebas_Auditoria!L149</f>
        <v>2999995157</v>
      </c>
      <c r="I69" s="12" t="n">
        <f aca="false">Pruebas_Auditoria!O149</f>
        <v>4843</v>
      </c>
      <c r="J69" s="11" t="str">
        <f aca="false">IFERROR(INDEX(Detalle_62!$H$14:$H$35,MATCH(C69,Detalle_62!$C$14:$C$35,0)),"—")</f>
        <v>IBR 6 MESES</v>
      </c>
      <c r="K69" s="11" t="str">
        <f aca="false">IFERROR(INDEX(Detalle_62!$L$14:$L$35,MATCH(C69,Detalle_62!$C$14:$C$35,0)),"—")</f>
        <v>SEMESTRAL</v>
      </c>
      <c r="L69" s="16" t="n">
        <f aca="false">IFERROR(INDEX(Detalle_62!$P$14:$P$35,MATCH(C69,Detalle_62!$C$14:$C$35,0)),"—")</f>
        <v>51710</v>
      </c>
      <c r="M69" s="17" t="n">
        <f aca="false">IFERROR(INDEX(Pruebas_Auditoria!$M$53:$M$137,MATCH(C69,Pruebas_Auditoria!$E$53:$E$137,0)),"—")</f>
        <v>0.1258</v>
      </c>
      <c r="N69" s="12" t="n">
        <f aca="false">INDEX(Intereses_x_Obligacion!$I:$I,MATCH(C69,Intereses_x_Obligacion!$A:$A,0))</f>
        <v>234581000</v>
      </c>
      <c r="O69" s="12" t="n">
        <f aca="false">INDEX(Intereses_x_Obligacion!$F:$F,MATCH(C69,Intereses_x_Obligacion!$A:$A,0))</f>
        <v>0</v>
      </c>
      <c r="P69" s="12" t="n">
        <f aca="false">INDEX(Intereses_x_Obligacion!$L:$L,MATCH(C69,Intereses_x_Obligacion!$A:$A,0))</f>
        <v>3666117.76672668</v>
      </c>
      <c r="Q69" s="11" t="str">
        <f aca="false">IF(LEFT(Pruebas_Auditoria!M149,3)="[C]","[C] [B]",IF(LEFT(Pruebas_Auditoria!M149,3)="[E]","[E] [B]","[P]"))</f>
        <v>[C] [B]</v>
      </c>
    </row>
    <row r="70" customFormat="false" ht="15" hidden="false" customHeight="false" outlineLevel="0" collapsed="false">
      <c r="C70" s="10" t="s">
        <v>121</v>
      </c>
      <c r="D70" s="11" t="str">
        <f aca="false">Pruebas_Auditoria!D150</f>
        <v>457300830624 – CRED TESORERIA</v>
      </c>
      <c r="E70" s="12" t="n">
        <f aca="false">Pruebas_Auditoria!H150</f>
        <v>7500000000</v>
      </c>
      <c r="F70" s="12" t="n">
        <f aca="false">Pruebas_Auditoria!I150</f>
        <v>7500000000</v>
      </c>
      <c r="G70" s="12" t="n">
        <f aca="false">Pruebas_Auditoria!J150</f>
        <v>7500000000</v>
      </c>
      <c r="H70" s="12" t="n">
        <f aca="false">Pruebas_Auditoria!L150</f>
        <v>7499998503.25</v>
      </c>
      <c r="I70" s="12" t="n">
        <f aca="false">Pruebas_Auditoria!O150</f>
        <v>1496.75</v>
      </c>
      <c r="J70" s="11" t="str">
        <f aca="false">IFERROR(INDEX(Detalle_62!$H$14:$H$35,MATCH(C70,Detalle_62!$C$14:$C$35,0)),"—")</f>
        <v>IBR 6 MESES</v>
      </c>
      <c r="K70" s="11" t="str">
        <f aca="false">IFERROR(INDEX(Detalle_62!$L$14:$L$35,MATCH(C70,Detalle_62!$C$14:$C$35,0)),"—")</f>
        <v>SEMESTRAL</v>
      </c>
      <c r="L70" s="16" t="n">
        <f aca="false">IFERROR(INDEX(Detalle_62!$P$14:$P$35,MATCH(C70,Detalle_62!$C$14:$C$35,0)),"—")</f>
        <v>52677</v>
      </c>
      <c r="M70" s="17" t="n">
        <f aca="false">IFERROR(INDEX(Pruebas_Auditoria!$M$53:$M$137,MATCH(C70,Pruebas_Auditoria!$E$53:$E$137,0)),"—")</f>
        <v>0.1551</v>
      </c>
      <c r="N70" s="12" t="n">
        <f aca="false">INDEX(Intereses_x_Obligacion!$I:$I,MATCH(C70,Intereses_x_Obligacion!$A:$A,0))</f>
        <v>586251750</v>
      </c>
      <c r="O70" s="12" t="n">
        <f aca="false">INDEX(Intereses_x_Obligacion!$F:$F,MATCH(C70,Intereses_x_Obligacion!$A:$A,0))</f>
        <v>372400000</v>
      </c>
      <c r="P70" s="12" t="n">
        <f aca="false">INDEX(Intereses_x_Obligacion!$L:$L,MATCH(C70,Intereses_x_Obligacion!$A:$A,0))</f>
        <v>401458173.071409</v>
      </c>
      <c r="Q70" s="11" t="str">
        <f aca="false">IF(LEFT(Pruebas_Auditoria!M150,3)="[C]","[C] [B]",IF(LEFT(Pruebas_Auditoria!M150,3)="[E]","[E] [B]","[P]"))</f>
        <v>[C] [B]</v>
      </c>
    </row>
    <row r="71" customFormat="false" ht="15" hidden="false" customHeight="false" outlineLevel="0" collapsed="false">
      <c r="C71" s="10" t="s">
        <v>122</v>
      </c>
      <c r="D71" s="11" t="str">
        <f aca="false">Pruebas_Auditoria!D151</f>
        <v>457300607691 – CRED TESORERIA</v>
      </c>
      <c r="E71" s="12" t="n">
        <f aca="false">Pruebas_Auditoria!H151</f>
        <v>3960000000</v>
      </c>
      <c r="F71" s="12" t="n">
        <f aca="false">Pruebas_Auditoria!I151</f>
        <v>3960000000</v>
      </c>
      <c r="G71" s="12" t="n">
        <f aca="false">Pruebas_Auditoria!J151</f>
        <v>3960000000</v>
      </c>
      <c r="H71" s="12" t="n">
        <f aca="false">Pruebas_Auditoria!L151</f>
        <v>3959997817.95</v>
      </c>
      <c r="I71" s="12" t="n">
        <f aca="false">Pruebas_Auditoria!O151</f>
        <v>2182.0499997139</v>
      </c>
      <c r="J71" s="11" t="str">
        <f aca="false">IFERROR(INDEX(Detalle_62!$H$14:$H$35,MATCH(C71,Detalle_62!$C$14:$C$35,0)),"—")</f>
        <v>IBR 6 MESES</v>
      </c>
      <c r="K71" s="11" t="str">
        <f aca="false">IFERROR(INDEX(Detalle_62!$L$14:$L$35,MATCH(C71,Detalle_62!$C$14:$C$35,0)),"—")</f>
        <v>SEMESTRAL</v>
      </c>
      <c r="L71" s="16" t="n">
        <f aca="false">IFERROR(INDEX(Detalle_62!$P$14:$P$35,MATCH(C71,Detalle_62!$C$14:$C$35,0)),"—")</f>
        <v>51710</v>
      </c>
      <c r="M71" s="17" t="n">
        <f aca="false">IFERROR(INDEX(Pruebas_Auditoria!$M$53:$M$137,MATCH(C71,Pruebas_Auditoria!$E$53:$E$137,0)),"—")</f>
        <v>0.1258</v>
      </c>
      <c r="N71" s="12" t="n">
        <f aca="false">INDEX(Intereses_x_Obligacion!$I:$I,MATCH(C71,Intereses_x_Obligacion!$A:$A,0))</f>
        <v>309646400</v>
      </c>
      <c r="O71" s="12" t="n">
        <f aca="false">INDEX(Intereses_x_Obligacion!$F:$F,MATCH(C71,Intereses_x_Obligacion!$A:$A,0))</f>
        <v>0</v>
      </c>
      <c r="P71" s="12" t="n">
        <f aca="false">INDEX(Intereses_x_Obligacion!$L:$L,MATCH(C71,Intereses_x_Obligacion!$A:$A,0))</f>
        <v>4839280.59774044</v>
      </c>
      <c r="Q71" s="11" t="str">
        <f aca="false">IF(LEFT(Pruebas_Auditoria!M151,3)="[C]","[C] [B]",IF(LEFT(Pruebas_Auditoria!M151,3)="[E]","[E] [B]","[P]"))</f>
        <v>[C] [B]</v>
      </c>
    </row>
    <row r="72" customFormat="false" ht="15" hidden="false" customHeight="false" outlineLevel="0" collapsed="false">
      <c r="C72" s="10" t="s">
        <v>123</v>
      </c>
      <c r="D72" s="11" t="str">
        <f aca="false">Pruebas_Auditoria!D152</f>
        <v>LEASING 1019441 – CAMION LZT 927</v>
      </c>
      <c r="E72" s="12" t="n">
        <f aca="false">Pruebas_Auditoria!H152</f>
        <v>399387154</v>
      </c>
      <c r="F72" s="12" t="n">
        <f aca="false">Pruebas_Auditoria!I152</f>
        <v>398582167.21439</v>
      </c>
      <c r="G72" s="12" t="n">
        <f aca="false">Pruebas_Auditoria!J152</f>
        <v>398582167.21439</v>
      </c>
      <c r="H72" s="12" t="n">
        <f aca="false">Pruebas_Auditoria!L152</f>
        <v>399387154</v>
      </c>
      <c r="I72" s="12" t="n">
        <f aca="false">Pruebas_Auditoria!O152</f>
        <v>0</v>
      </c>
      <c r="J72" s="11" t="str">
        <f aca="false">IFERROR(INDEX(Detalle_62!$H$14:$H$35,MATCH(C72,Detalle_62!$C$14:$C$35,0)),"—")</f>
        <v>IBR</v>
      </c>
      <c r="K72" s="11" t="str">
        <f aca="false">IFERROR(INDEX(Detalle_62!$L$14:$L$35,MATCH(C72,Detalle_62!$C$14:$C$35,0)),"—")</f>
        <v>MENSUAL</v>
      </c>
      <c r="L72" s="16" t="n">
        <f aca="false">IFERROR(INDEX(Detalle_62!$P$14:$P$35,MATCH(C72,Detalle_62!$C$14:$C$35,0)),"—")</f>
        <v>47037</v>
      </c>
      <c r="M72" s="17" t="n">
        <f aca="false">IFERROR(INDEX(Pruebas_Auditoria!$M$53:$M$137,MATCH(C72,Pruebas_Auditoria!$E$53:$E$137,0)),"—")</f>
        <v>0.1603</v>
      </c>
      <c r="N72" s="12" t="n">
        <f aca="false">INDEX(Intereses_x_Obligacion!$I:$I,MATCH(C72,Intereses_x_Obligacion!$A:$A,0))</f>
        <v>31222019</v>
      </c>
      <c r="O72" s="12" t="n">
        <f aca="false">INDEX(Intereses_x_Obligacion!$F:$F,MATCH(C72,Intereses_x_Obligacion!$A:$A,0))</f>
        <v>0</v>
      </c>
      <c r="P72" s="12" t="n">
        <f aca="false">INDEX(Intereses_x_Obligacion!$L:$L,MATCH(C72,Intereses_x_Obligacion!$A:$A,0))</f>
        <v>2939106.2775128</v>
      </c>
      <c r="Q72" s="11" t="str">
        <f aca="false">IF(LEFT(Pruebas_Auditoria!M152,3)="[C]","[C] [B]",IF(LEFT(Pruebas_Auditoria!M152,3)="[E]","[E] [B]","[P]"))</f>
        <v>[E] [B]</v>
      </c>
    </row>
    <row r="73" customFormat="false" ht="15" hidden="false" customHeight="false" outlineLevel="0" collapsed="false">
      <c r="C73" s="10" t="s">
        <v>124</v>
      </c>
      <c r="D73" s="11" t="str">
        <f aca="false">Pruebas_Auditoria!D153</f>
        <v>LEASING 1019448 – CAMION LZT 926</v>
      </c>
      <c r="E73" s="12" t="n">
        <f aca="false">Pruebas_Auditoria!H153</f>
        <v>332999135</v>
      </c>
      <c r="F73" s="12" t="n">
        <f aca="false">Pruebas_Auditoria!I153</f>
        <v>323529688.533944</v>
      </c>
      <c r="G73" s="12" t="n">
        <f aca="false">Pruebas_Auditoria!J153</f>
        <v>323529688.533944</v>
      </c>
      <c r="H73" s="12" t="n">
        <f aca="false">Pruebas_Auditoria!L153</f>
        <v>332999135</v>
      </c>
      <c r="I73" s="12" t="n">
        <f aca="false">Pruebas_Auditoria!O153</f>
        <v>0</v>
      </c>
      <c r="J73" s="11" t="str">
        <f aca="false">IFERROR(INDEX(Detalle_62!$H$14:$H$35,MATCH(C73,Detalle_62!$C$14:$C$35,0)),"—")</f>
        <v>IBR</v>
      </c>
      <c r="K73" s="11" t="str">
        <f aca="false">IFERROR(INDEX(Detalle_62!$L$14:$L$35,MATCH(C73,Detalle_62!$C$14:$C$35,0)),"—")</f>
        <v>MENSUAL</v>
      </c>
      <c r="L73" s="16" t="n">
        <f aca="false">IFERROR(INDEX(Detalle_62!$P$14:$P$35,MATCH(C73,Detalle_62!$C$14:$C$35,0)),"—")</f>
        <v>47098</v>
      </c>
      <c r="M73" s="17" t="n">
        <f aca="false">IFERROR(INDEX(Pruebas_Auditoria!$M$53:$M$137,MATCH(C73,Pruebas_Auditoria!$E$53:$E$137,0)),"—")</f>
        <v>0.1593</v>
      </c>
      <c r="N73" s="12" t="n">
        <f aca="false">INDEX(Intereses_x_Obligacion!$I:$I,MATCH(C73,Intereses_x_Obligacion!$A:$A,0))</f>
        <v>25643813</v>
      </c>
      <c r="O73" s="12" t="n">
        <f aca="false">INDEX(Intereses_x_Obligacion!$F:$F,MATCH(C73,Intereses_x_Obligacion!$A:$A,0))</f>
        <v>0</v>
      </c>
      <c r="P73" s="12" t="n">
        <f aca="false">INDEX(Intereses_x_Obligacion!$L:$L,MATCH(C73,Intereses_x_Obligacion!$A:$A,0))</f>
        <v>3388544.07316055</v>
      </c>
      <c r="Q73" s="11" t="str">
        <f aca="false">IF(LEFT(Pruebas_Auditoria!M153,3)="[C]","[C] [B]",IF(LEFT(Pruebas_Auditoria!M153,3)="[E]","[E] [B]","[P]"))</f>
        <v>[E] [B]</v>
      </c>
    </row>
    <row r="74" customFormat="false" ht="20.85" hidden="false" customHeight="false" outlineLevel="0" collapsed="false">
      <c r="C74" s="10" t="s">
        <v>125</v>
      </c>
      <c r="D74" s="11" t="str">
        <f aca="false">Pruebas_Auditoria!D154</f>
        <v>LEASING 10212753 – CALDERAS-SISTEMA DE ALIMENTACION BIOMASA</v>
      </c>
      <c r="E74" s="12" t="n">
        <f aca="false">Pruebas_Auditoria!H154</f>
        <v>1876684264</v>
      </c>
      <c r="F74" s="12" t="n">
        <f aca="false">Pruebas_Auditoria!I154</f>
        <v>1883712218.08706</v>
      </c>
      <c r="G74" s="12" t="n">
        <f aca="false">Pruebas_Auditoria!J154</f>
        <v>1883712218.08706</v>
      </c>
      <c r="H74" s="12" t="n">
        <f aca="false">Pruebas_Auditoria!L154</f>
        <v>1876684264</v>
      </c>
      <c r="I74" s="12" t="n">
        <f aca="false">Pruebas_Auditoria!O154</f>
        <v>0</v>
      </c>
      <c r="J74" s="11" t="str">
        <f aca="false">IFERROR(INDEX(Detalle_62!$H$14:$H$35,MATCH(C74,Detalle_62!$C$14:$C$35,0)),"—")</f>
        <v>IBR 3 MESES</v>
      </c>
      <c r="K74" s="11" t="str">
        <f aca="false">IFERROR(INDEX(Detalle_62!$L$14:$L$35,MATCH(C74,Detalle_62!$C$14:$C$35,0)),"—")</f>
        <v>TRIMESTRAL</v>
      </c>
      <c r="L74" s="16" t="n">
        <f aca="false">IFERROR(INDEX(Detalle_62!$P$14:$P$35,MATCH(C74,Detalle_62!$C$14:$C$35,0)),"—")</f>
        <v>48235</v>
      </c>
      <c r="M74" s="17" t="n">
        <f aca="false">IFERROR(INDEX(Pruebas_Auditoria!$M$53:$M$137,MATCH(C74,Pruebas_Auditoria!$E$53:$E$137,0)),"—")</f>
        <v>0.1441</v>
      </c>
      <c r="N74" s="12" t="n">
        <f aca="false">INDEX(Intereses_x_Obligacion!$I:$I,MATCH(C74,Intereses_x_Obligacion!$A:$A,0))</f>
        <v>138538864</v>
      </c>
      <c r="O74" s="12" t="n">
        <f aca="false">INDEX(Intereses_x_Obligacion!$F:$F,MATCH(C74,Intereses_x_Obligacion!$A:$A,0))</f>
        <v>0</v>
      </c>
      <c r="P74" s="12" t="n">
        <f aca="false">INDEX(Intereses_x_Obligacion!$L:$L,MATCH(C74,Intereses_x_Obligacion!$A:$A,0))</f>
        <v>5545405.40210023</v>
      </c>
      <c r="Q74" s="11" t="str">
        <f aca="false">IF(LEFT(Pruebas_Auditoria!M154,3)="[C]","[C] [B]",IF(LEFT(Pruebas_Auditoria!M154,3)="[E]","[E] [B]","[P]"))</f>
        <v>[E] [B]</v>
      </c>
    </row>
    <row r="75" customFormat="false" ht="20.85" hidden="false" customHeight="false" outlineLevel="0" collapsed="false">
      <c r="C75" s="10" t="s">
        <v>126</v>
      </c>
      <c r="D75" s="11" t="str">
        <f aca="false">Pruebas_Auditoria!D155</f>
        <v>Leasing 2 motogeneradores GECOLSA (no está en detalle 62)</v>
      </c>
      <c r="E75" s="12" t="n">
        <f aca="false">Pruebas_Auditoria!H155</f>
        <v>213861900</v>
      </c>
      <c r="F75" s="12" t="n">
        <f aca="false">Pruebas_Auditoria!I155</f>
        <v>0</v>
      </c>
      <c r="G75" s="12" t="str">
        <f aca="false">Pruebas_Auditoria!J155</f>
        <v>Sin tabla</v>
      </c>
      <c r="H75" s="12" t="str">
        <f aca="false">Pruebas_Auditoria!L155</f>
        <v>N/D</v>
      </c>
      <c r="I75" s="12" t="str">
        <f aca="false">Pruebas_Auditoria!O155</f>
        <v>N/D</v>
      </c>
      <c r="J75" s="11" t="str">
        <f aca="false">IFERROR(INDEX(Detalle_62!$H$14:$H$35,MATCH(C75,Detalle_62!$C$14:$C$35,0)),"—")</f>
        <v>—</v>
      </c>
      <c r="K75" s="11" t="str">
        <f aca="false">IFERROR(INDEX(Detalle_62!$L$14:$L$35,MATCH(C75,Detalle_62!$C$14:$C$35,0)),"—")</f>
        <v>—</v>
      </c>
      <c r="L75" s="16" t="str">
        <f aca="false">IFERROR(INDEX(Detalle_62!$P$14:$P$35,MATCH(C75,Detalle_62!$C$14:$C$35,0)),"—")</f>
        <v>—</v>
      </c>
      <c r="M75" s="17" t="str">
        <f aca="false">IFERROR(INDEX(Pruebas_Auditoria!$M$53:$M$137,MATCH(C75,Pruebas_Auditoria!$E$53:$E$137,0)),"—")</f>
        <v>—</v>
      </c>
      <c r="N75" s="12" t="n">
        <f aca="false">INDEX(Intereses_x_Obligacion!$I:$I,MATCH(C75,Intereses_x_Obligacion!$A:$A,0))</f>
        <v>0</v>
      </c>
      <c r="O75" s="12" t="n">
        <f aca="false">INDEX(Intereses_x_Obligacion!$F:$F,MATCH(C75,Intereses_x_Obligacion!$A:$A,0))</f>
        <v>0</v>
      </c>
      <c r="P75" s="12" t="n">
        <f aca="false">INDEX(Intereses_x_Obligacion!$L:$L,MATCH(C75,Intereses_x_Obligacion!$A:$A,0))</f>
        <v>0</v>
      </c>
      <c r="Q75" s="11" t="str">
        <f aca="false">IF(LEFT(Pruebas_Auditoria!M155,3)="[C]","[C] [B]",IF(LEFT(Pruebas_Auditoria!M155,3)="[E]","[E] [B]","[P]"))</f>
        <v>[P]</v>
      </c>
    </row>
    <row r="76" customFormat="false" ht="15" hidden="false" customHeight="false" outlineLevel="0" collapsed="false">
      <c r="D76" s="13" t="s">
        <v>127</v>
      </c>
      <c r="E76" s="14" t="n">
        <f aca="false">SUM(E68:E75)</f>
        <v>17282932453</v>
      </c>
      <c r="F76" s="14" t="n">
        <f aca="false">SUM(F68:F75)</f>
        <v>17065824073.8354</v>
      </c>
      <c r="G76" s="14" t="n">
        <f aca="false">SUM(G68:G75)</f>
        <v>17065824073.8354</v>
      </c>
      <c r="H76" s="14" t="n">
        <f aca="false">SUM(H68:H75)</f>
        <v>17069062031.2</v>
      </c>
      <c r="I76" s="14" t="n">
        <f aca="false">SUM(I68:I75)</f>
        <v>8521.7999997139</v>
      </c>
      <c r="N76" s="14" t="n">
        <f aca="false">SUM(N68:N75)</f>
        <v>1391910513</v>
      </c>
      <c r="O76" s="14" t="n">
        <f aca="false">SUM(O68:O75)</f>
        <v>372400000</v>
      </c>
      <c r="P76" s="14" t="n">
        <f aca="false">SUM(P68:P75)</f>
        <v>421836627.18865</v>
      </c>
    </row>
    <row r="78" customFormat="false" ht="15" hidden="false" customHeight="false" outlineLevel="0" collapsed="false">
      <c r="C78" s="15" t="s">
        <v>128</v>
      </c>
    </row>
    <row r="79" customFormat="false" ht="30" hidden="false" customHeight="true" outlineLevel="0" collapsed="false">
      <c r="C79" s="4" t="s">
        <v>104</v>
      </c>
      <c r="D79" s="4" t="s">
        <v>105</v>
      </c>
      <c r="E79" s="4" t="s">
        <v>106</v>
      </c>
      <c r="F79" s="4" t="s">
        <v>107</v>
      </c>
      <c r="G79" s="4" t="s">
        <v>108</v>
      </c>
      <c r="H79" s="4" t="s">
        <v>109</v>
      </c>
      <c r="I79" s="4" t="s">
        <v>110</v>
      </c>
      <c r="J79" s="4" t="s">
        <v>111</v>
      </c>
      <c r="K79" s="4" t="s">
        <v>112</v>
      </c>
      <c r="L79" s="4" t="s">
        <v>113</v>
      </c>
      <c r="M79" s="4" t="s">
        <v>114</v>
      </c>
      <c r="N79" s="4" t="s">
        <v>115</v>
      </c>
      <c r="O79" s="4" t="s">
        <v>116</v>
      </c>
      <c r="P79" s="4" t="s">
        <v>117</v>
      </c>
      <c r="Q79" s="4" t="s">
        <v>118</v>
      </c>
    </row>
    <row r="80" customFormat="false" ht="15" hidden="false" customHeight="false" outlineLevel="0" collapsed="false">
      <c r="C80" s="10" t="s">
        <v>129</v>
      </c>
      <c r="D80" s="11" t="str">
        <f aca="false">Pruebas_Auditoria!D156</f>
        <v>453436746 – CRED TESORERIA</v>
      </c>
      <c r="E80" s="12" t="n">
        <f aca="false">Pruebas_Auditoria!H156</f>
        <v>2937500000</v>
      </c>
      <c r="F80" s="12" t="n">
        <f aca="false">Pruebas_Auditoria!I156</f>
        <v>2937500000</v>
      </c>
      <c r="G80" s="12" t="n">
        <f aca="false">Pruebas_Auditoria!J156</f>
        <v>2937500000</v>
      </c>
      <c r="H80" s="12" t="n">
        <f aca="false">Pruebas_Auditoria!L156</f>
        <v>2937499977.39</v>
      </c>
      <c r="I80" s="12" t="n">
        <f aca="false">Pruebas_Auditoria!O156</f>
        <v>22.6100001335144</v>
      </c>
      <c r="J80" s="11" t="str">
        <f aca="false">IFERROR(INDEX(Detalle_62!$H$14:$H$35,MATCH(C80,Detalle_62!$C$14:$C$35,0)),"—")</f>
        <v>IBR</v>
      </c>
      <c r="K80" s="11" t="str">
        <f aca="false">IFERROR(INDEX(Detalle_62!$L$14:$L$35,MATCH(C80,Detalle_62!$C$14:$C$35,0)),"—")</f>
        <v>MENSUAL</v>
      </c>
      <c r="L80" s="16" t="n">
        <f aca="false">IFERROR(INDEX(Detalle_62!$P$14:$P$35,MATCH(C80,Detalle_62!$C$14:$C$35,0)),"—")</f>
        <v>47651</v>
      </c>
      <c r="M80" s="17" t="n">
        <f aca="false">IFERROR(INDEX(Pruebas_Auditoria!$M$53:$M$137,MATCH(C80,Pruebas_Auditoria!$E$53:$E$137,0)),"—")</f>
        <v>0.1696</v>
      </c>
      <c r="N80" s="12" t="n">
        <f aca="false">INDEX(Intereses_x_Obligacion!$I:$I,MATCH(C80,Intereses_x_Obligacion!$A:$A,0))</f>
        <v>232297663.36</v>
      </c>
      <c r="O80" s="12" t="n">
        <f aca="false">INDEX(Intereses_x_Obligacion!$F:$F,MATCH(C80,Intereses_x_Obligacion!$A:$A,0))</f>
        <v>0</v>
      </c>
      <c r="P80" s="12" t="n">
        <f aca="false">INDEX(Intereses_x_Obligacion!$L:$L,MATCH(C80,Intereses_x_Obligacion!$A:$A,0))</f>
        <v>17704418.3193534</v>
      </c>
      <c r="Q80" s="11" t="str">
        <f aca="false">IF(LEFT(Pruebas_Auditoria!M156,3)="[C]","[C] [B]",IF(LEFT(Pruebas_Auditoria!M156,3)="[E]","[E] [B]","[P]"))</f>
        <v>[C] [B]</v>
      </c>
    </row>
    <row r="81" customFormat="false" ht="15" hidden="false" customHeight="false" outlineLevel="0" collapsed="false">
      <c r="C81" s="10" t="s">
        <v>130</v>
      </c>
      <c r="D81" s="11" t="str">
        <f aca="false">Pruebas_Auditoria!D157</f>
        <v>856670629 – CRED TESORERIA</v>
      </c>
      <c r="E81" s="12" t="n">
        <f aca="false">Pruebas_Auditoria!H157</f>
        <v>1457333332</v>
      </c>
      <c r="F81" s="12" t="n">
        <f aca="false">Pruebas_Auditoria!I157</f>
        <v>1457333332</v>
      </c>
      <c r="G81" s="12" t="n">
        <f aca="false">Pruebas_Auditoria!J157</f>
        <v>1457333336</v>
      </c>
      <c r="H81" s="12" t="n">
        <f aca="false">Pruebas_Auditoria!L157</f>
        <v>1457333325.59</v>
      </c>
      <c r="I81" s="12" t="n">
        <f aca="false">Pruebas_Auditoria!O157</f>
        <v>6.41000008583069</v>
      </c>
      <c r="J81" s="11" t="str">
        <f aca="false">IFERROR(INDEX(Detalle_62!$H$14:$H$35,MATCH(C81,Detalle_62!$C$14:$C$35,0)),"—")</f>
        <v>IBR 3 MESES</v>
      </c>
      <c r="K81" s="11" t="str">
        <f aca="false">IFERROR(INDEX(Detalle_62!$L$14:$L$35,MATCH(C81,Detalle_62!$C$14:$C$35,0)),"—")</f>
        <v>TRIMESTRAL</v>
      </c>
      <c r="L81" s="16" t="n">
        <f aca="false">IFERROR(INDEX(Detalle_62!$P$14:$P$35,MATCH(C81,Detalle_62!$C$14:$C$35,0)),"—")</f>
        <v>46925</v>
      </c>
      <c r="M81" s="17" t="n">
        <f aca="false">IFERROR(INDEX(Pruebas_Auditoria!$M$53:$M$137,MATCH(C81,Pruebas_Auditoria!$E$53:$E$137,0)),"—")</f>
        <v>0.1494</v>
      </c>
      <c r="N81" s="12" t="n">
        <f aca="false">INDEX(Intereses_x_Obligacion!$I:$I,MATCH(C81,Intereses_x_Obligacion!$A:$A,0))</f>
        <v>133305619</v>
      </c>
      <c r="O81" s="12" t="n">
        <f aca="false">INDEX(Intereses_x_Obligacion!$F:$F,MATCH(C81,Intereses_x_Obligacion!$A:$A,0))</f>
        <v>17825616</v>
      </c>
      <c r="P81" s="12" t="n">
        <f aca="false">INDEX(Intereses_x_Obligacion!$L:$L,MATCH(C81,Intereses_x_Obligacion!$A:$A,0))</f>
        <v>22721889.9812955</v>
      </c>
      <c r="Q81" s="11" t="str">
        <f aca="false">IF(LEFT(Pruebas_Auditoria!M157,3)="[C]","[C] [B]",IF(LEFT(Pruebas_Auditoria!M157,3)="[E]","[E] [B]","[P]"))</f>
        <v>[C] [B]</v>
      </c>
    </row>
    <row r="82" customFormat="false" ht="15" hidden="false" customHeight="false" outlineLevel="0" collapsed="false">
      <c r="C82" s="10" t="s">
        <v>131</v>
      </c>
      <c r="D82" s="11" t="str">
        <f aca="false">Pruebas_Auditoria!D158</f>
        <v>858177259 – CRED TESORERIA</v>
      </c>
      <c r="E82" s="12" t="n">
        <f aca="false">Pruebas_Auditoria!H158</f>
        <v>1125000000</v>
      </c>
      <c r="F82" s="12" t="n">
        <f aca="false">Pruebas_Auditoria!I158</f>
        <v>1125000000</v>
      </c>
      <c r="G82" s="12" t="n">
        <f aca="false">Pruebas_Auditoria!J158</f>
        <v>1125000000</v>
      </c>
      <c r="H82" s="12" t="n">
        <f aca="false">Pruebas_Auditoria!L158</f>
        <v>1124999996.41</v>
      </c>
      <c r="I82" s="12" t="n">
        <f aca="false">Pruebas_Auditoria!O158</f>
        <v>3.58999991416931</v>
      </c>
      <c r="J82" s="11" t="str">
        <f aca="false">IFERROR(INDEX(Detalle_62!$H$14:$H$35,MATCH(C82,Detalle_62!$C$14:$C$35,0)),"—")</f>
        <v>IBR 3 MESES</v>
      </c>
      <c r="K82" s="11" t="str">
        <f aca="false">IFERROR(INDEX(Detalle_62!$L$14:$L$35,MATCH(C82,Detalle_62!$C$14:$C$35,0)),"—")</f>
        <v>TRIMESTRAL</v>
      </c>
      <c r="L82" s="16" t="n">
        <f aca="false">IFERROR(INDEX(Detalle_62!$P$14:$P$35,MATCH(C82,Detalle_62!$C$14:$C$35,0)),"—")</f>
        <v>46990</v>
      </c>
      <c r="M82" s="17" t="n">
        <f aca="false">IFERROR(INDEX(Pruebas_Auditoria!$M$53:$M$137,MATCH(C82,Pruebas_Auditoria!$E$53:$E$137,0)),"—")</f>
        <v>0.1665</v>
      </c>
      <c r="N82" s="12" t="n">
        <f aca="false">INDEX(Intereses_x_Obligacion!$I:$I,MATCH(C82,Intereses_x_Obligacion!$A:$A,0))</f>
        <v>108941341</v>
      </c>
      <c r="O82" s="12" t="n">
        <f aca="false">INDEX(Intereses_x_Obligacion!$F:$F,MATCH(C82,Intereses_x_Obligacion!$A:$A,0))</f>
        <v>30088126</v>
      </c>
      <c r="P82" s="12" t="n">
        <f aca="false">INDEX(Intereses_x_Obligacion!$L:$L,MATCH(C82,Intereses_x_Obligacion!$A:$A,0))</f>
        <v>32711950.3469859</v>
      </c>
      <c r="Q82" s="11" t="str">
        <f aca="false">IF(LEFT(Pruebas_Auditoria!M158,3)="[C]","[C] [B]",IF(LEFT(Pruebas_Auditoria!M158,3)="[E]","[E] [B]","[P]"))</f>
        <v>[C] [B]</v>
      </c>
    </row>
    <row r="83" customFormat="false" ht="15" hidden="false" customHeight="false" outlineLevel="0" collapsed="false">
      <c r="C83" s="10" t="s">
        <v>132</v>
      </c>
      <c r="D83" s="11" t="str">
        <f aca="false">Pruebas_Auditoria!D159</f>
        <v>Crédito 1155297469 → prorrogado 1159383796</v>
      </c>
      <c r="E83" s="12" t="n">
        <f aca="false">Pruebas_Auditoria!H159</f>
        <v>10000000000</v>
      </c>
      <c r="F83" s="12" t="n">
        <f aca="false">Pruebas_Auditoria!I159</f>
        <v>10000000000</v>
      </c>
      <c r="G83" s="12" t="n">
        <f aca="false">Pruebas_Auditoria!J159</f>
        <v>10000000000</v>
      </c>
      <c r="H83" s="12" t="n">
        <f aca="false">Pruebas_Auditoria!L159</f>
        <v>10000000000</v>
      </c>
      <c r="I83" s="12" t="n">
        <f aca="false">Pruebas_Auditoria!O159</f>
        <v>0</v>
      </c>
      <c r="J83" s="11" t="str">
        <f aca="false">IFERROR(INDEX(Detalle_62!$H$14:$H$35,MATCH(C83,Detalle_62!$C$14:$C$35,0)),"—")</f>
        <v>IBR 3 MESES</v>
      </c>
      <c r="K83" s="11" t="str">
        <f aca="false">IFERROR(INDEX(Detalle_62!$L$14:$L$35,MATCH(C83,Detalle_62!$C$14:$C$35,0)),"—")</f>
        <v>SEMESTRAL</v>
      </c>
      <c r="L83" s="16" t="n">
        <f aca="false">IFERROR(INDEX(Detalle_62!$P$14:$P$35,MATCH(C83,Detalle_62!$C$14:$C$35,0)),"—")</f>
        <v>46409</v>
      </c>
      <c r="M83" s="17" t="n">
        <f aca="false">IFERROR(INDEX(Pruebas_Auditoria!$M$53:$M$137,MATCH(C83,Pruebas_Auditoria!$E$53:$E$137,0)),"—")</f>
        <v>0.1239</v>
      </c>
      <c r="N83" s="12" t="n">
        <f aca="false">INDEX(Intereses_x_Obligacion!$I:$I,MATCH(C83,Intereses_x_Obligacion!$A:$A,0))</f>
        <v>554228055</v>
      </c>
      <c r="O83" s="12" t="n">
        <f aca="false">INDEX(Intereses_x_Obligacion!$F:$F,MATCH(C83,Intereses_x_Obligacion!$A:$A,0))</f>
        <v>0</v>
      </c>
      <c r="P83" s="12" t="n">
        <f aca="false">INDEX(Intereses_x_Obligacion!$L:$L,MATCH(C83,Intereses_x_Obligacion!$A:$A,0))</f>
        <v>30518760.5171553</v>
      </c>
      <c r="Q83" s="11" t="str">
        <f aca="false">IF(LEFT(Pruebas_Auditoria!M159,3)="[C]","[C] [B]",IF(LEFT(Pruebas_Auditoria!M159,3)="[E]","[E] [B]","[P]"))</f>
        <v>[C] [B]</v>
      </c>
    </row>
    <row r="84" customFormat="false" ht="15" hidden="false" customHeight="false" outlineLevel="0" collapsed="false">
      <c r="C84" s="10" t="s">
        <v>133</v>
      </c>
      <c r="D84" s="11" t="str">
        <f aca="false">Pruebas_Auditoria!D160</f>
        <v>LEASING 556449224 – POZO # 1</v>
      </c>
      <c r="E84" s="12" t="n">
        <f aca="false">Pruebas_Auditoria!H160</f>
        <v>396112029.98</v>
      </c>
      <c r="F84" s="12" t="n">
        <f aca="false">Pruebas_Auditoria!I160</f>
        <v>381845387.419314</v>
      </c>
      <c r="G84" s="12" t="n">
        <f aca="false">Pruebas_Auditoria!J160</f>
        <v>381845387.419314</v>
      </c>
      <c r="H84" s="12" t="n">
        <f aca="false">Pruebas_Auditoria!L160</f>
        <v>396112029.65</v>
      </c>
      <c r="I84" s="12" t="n">
        <f aca="false">Pruebas_Auditoria!O160</f>
        <v>0.329999983310699</v>
      </c>
      <c r="J84" s="11" t="str">
        <f aca="false">IFERROR(INDEX(Detalle_62!$H$14:$H$35,MATCH(C84,Detalle_62!$C$14:$C$35,0)),"—")</f>
        <v>DTF</v>
      </c>
      <c r="K84" s="11" t="str">
        <f aca="false">IFERROR(INDEX(Detalle_62!$L$14:$L$35,MATCH(C84,Detalle_62!$C$14:$C$35,0)),"—")</f>
        <v>TRIMESTRAL</v>
      </c>
      <c r="L84" s="16" t="n">
        <f aca="false">IFERROR(INDEX(Detalle_62!$P$14:$P$35,MATCH(C84,Detalle_62!$C$14:$C$35,0)),"—")</f>
        <v>47503</v>
      </c>
      <c r="M84" s="17" t="n">
        <f aca="false">IFERROR(INDEX(Pruebas_Auditoria!$M$53:$M$137,MATCH(C84,Pruebas_Auditoria!$E$53:$E$137,0)),"—")</f>
        <v>0.1422</v>
      </c>
      <c r="N84" s="12" t="n">
        <f aca="false">INDEX(Intereses_x_Obligacion!$I:$I,MATCH(C84,Intereses_x_Obligacion!$A:$A,0))</f>
        <v>31068671</v>
      </c>
      <c r="O84" s="12" t="n">
        <f aca="false">INDEX(Intereses_x_Obligacion!$F:$F,MATCH(C84,Intereses_x_Obligacion!$A:$A,0))</f>
        <v>0</v>
      </c>
      <c r="P84" s="12" t="n">
        <f aca="false">INDEX(Intereses_x_Obligacion!$L:$L,MATCH(C84,Intereses_x_Obligacion!$A:$A,0))</f>
        <v>1155997.19932213</v>
      </c>
      <c r="Q84" s="11" t="str">
        <f aca="false">IF(LEFT(Pruebas_Auditoria!M160,3)="[C]","[C] [B]",IF(LEFT(Pruebas_Auditoria!M160,3)="[E]","[E] [B]","[P]"))</f>
        <v>[C] [B]</v>
      </c>
    </row>
    <row r="85" customFormat="false" ht="15" hidden="false" customHeight="false" outlineLevel="0" collapsed="false">
      <c r="C85" s="10" t="s">
        <v>134</v>
      </c>
      <c r="D85" s="11" t="str">
        <f aca="false">Pruebas_Auditoria!D161</f>
        <v>LEASING 556449180 – POZO # 2</v>
      </c>
      <c r="E85" s="12" t="n">
        <f aca="false">Pruebas_Auditoria!H161</f>
        <v>396112030.02</v>
      </c>
      <c r="F85" s="12" t="n">
        <f aca="false">Pruebas_Auditoria!I161</f>
        <v>381845387.419314</v>
      </c>
      <c r="G85" s="12" t="n">
        <f aca="false">Pruebas_Auditoria!J161</f>
        <v>381845387.419314</v>
      </c>
      <c r="H85" s="12" t="n">
        <f aca="false">Pruebas_Auditoria!L161</f>
        <v>396112029.8</v>
      </c>
      <c r="I85" s="12" t="n">
        <f aca="false">Pruebas_Auditoria!O161</f>
        <v>0.219999969005585</v>
      </c>
      <c r="J85" s="11" t="str">
        <f aca="false">IFERROR(INDEX(Detalle_62!$H$14:$H$35,MATCH(C85,Detalle_62!$C$14:$C$35,0)),"—")</f>
        <v>DTF</v>
      </c>
      <c r="K85" s="11" t="str">
        <f aca="false">IFERROR(INDEX(Detalle_62!$L$14:$L$35,MATCH(C85,Detalle_62!$C$14:$C$35,0)),"—")</f>
        <v>TRIMESTRAL</v>
      </c>
      <c r="L85" s="16" t="n">
        <f aca="false">IFERROR(INDEX(Detalle_62!$P$14:$P$35,MATCH(C85,Detalle_62!$C$14:$C$35,0)),"—")</f>
        <v>47503</v>
      </c>
      <c r="M85" s="17" t="n">
        <f aca="false">IFERROR(INDEX(Pruebas_Auditoria!$M$53:$M$137,MATCH(C85,Pruebas_Auditoria!$E$53:$E$137,0)),"—")</f>
        <v>0.1422</v>
      </c>
      <c r="N85" s="12" t="n">
        <f aca="false">INDEX(Intereses_x_Obligacion!$I:$I,MATCH(C85,Intereses_x_Obligacion!$A:$A,0))</f>
        <v>31068672</v>
      </c>
      <c r="O85" s="12" t="n">
        <f aca="false">INDEX(Intereses_x_Obligacion!$F:$F,MATCH(C85,Intereses_x_Obligacion!$A:$A,0))</f>
        <v>0</v>
      </c>
      <c r="P85" s="12" t="n">
        <f aca="false">INDEX(Intereses_x_Obligacion!$L:$L,MATCH(C85,Intereses_x_Obligacion!$A:$A,0))</f>
        <v>1155997.19975989</v>
      </c>
      <c r="Q85" s="11" t="str">
        <f aca="false">IF(LEFT(Pruebas_Auditoria!M161,3)="[C]","[C] [B]",IF(LEFT(Pruebas_Auditoria!M161,3)="[E]","[E] [B]","[P]"))</f>
        <v>[C] [B]</v>
      </c>
    </row>
    <row r="86" customFormat="false" ht="15" hidden="false" customHeight="false" outlineLevel="0" collapsed="false">
      <c r="C86" s="10" t="s">
        <v>135</v>
      </c>
      <c r="D86" s="11" t="str">
        <f aca="false">Pruebas_Auditoria!D162</f>
        <v>LEASING 556449117 – POZO # 3</v>
      </c>
      <c r="E86" s="12" t="n">
        <f aca="false">Pruebas_Auditoria!H162</f>
        <v>253672104.96</v>
      </c>
      <c r="F86" s="12" t="n">
        <f aca="false">Pruebas_Auditoria!I162</f>
        <v>196720178.445431</v>
      </c>
      <c r="G86" s="12" t="n">
        <f aca="false">Pruebas_Auditoria!J162</f>
        <v>196720178.445431</v>
      </c>
      <c r="H86" s="12" t="n">
        <f aca="false">Pruebas_Auditoria!L162</f>
        <v>253672105.02</v>
      </c>
      <c r="I86" s="12" t="n">
        <f aca="false">Pruebas_Auditoria!O162</f>
        <v>-0.0600000321865082</v>
      </c>
      <c r="J86" s="11" t="str">
        <f aca="false">IFERROR(INDEX(Detalle_62!$H$14:$H$35,MATCH(C86,Detalle_62!$C$14:$C$35,0)),"—")</f>
        <v>DTF</v>
      </c>
      <c r="K86" s="11" t="str">
        <f aca="false">IFERROR(INDEX(Detalle_62!$L$14:$L$35,MATCH(C86,Detalle_62!$C$14:$C$35,0)),"—")</f>
        <v>TRIMESTRAL</v>
      </c>
      <c r="L86" s="16" t="n">
        <f aca="false">IFERROR(INDEX(Detalle_62!$P$14:$P$35,MATCH(C86,Detalle_62!$C$14:$C$35,0)),"—")</f>
        <v>46870</v>
      </c>
      <c r="M86" s="17" t="n">
        <f aca="false">IFERROR(INDEX(Pruebas_Auditoria!$M$53:$M$137,MATCH(C86,Pruebas_Auditoria!$E$53:$E$137,0)),"—")</f>
        <v>0.1425</v>
      </c>
      <c r="N86" s="12" t="n">
        <f aca="false">INDEX(Intereses_x_Obligacion!$I:$I,MATCH(C86,Intereses_x_Obligacion!$A:$A,0))</f>
        <v>28058555</v>
      </c>
      <c r="O86" s="12" t="n">
        <f aca="false">INDEX(Intereses_x_Obligacion!$F:$F,MATCH(C86,Intereses_x_Obligacion!$A:$A,0))</f>
        <v>0</v>
      </c>
      <c r="P86" s="12" t="n">
        <f aca="false">INDEX(Intereses_x_Obligacion!$L:$L,MATCH(C86,Intereses_x_Obligacion!$A:$A,0))</f>
        <v>370614.629600578</v>
      </c>
      <c r="Q86" s="11" t="str">
        <f aca="false">IF(LEFT(Pruebas_Auditoria!M162,3)="[C]","[C] [B]",IF(LEFT(Pruebas_Auditoria!M162,3)="[E]","[E] [B]","[P]"))</f>
        <v>[C] [B]</v>
      </c>
    </row>
    <row r="87" customFormat="false" ht="15" hidden="false" customHeight="false" outlineLevel="0" collapsed="false">
      <c r="C87" s="10" t="s">
        <v>136</v>
      </c>
      <c r="D87" s="11" t="str">
        <f aca="false">Pruebas_Auditoria!D163</f>
        <v>LEASING 556449064 – POZO # 4</v>
      </c>
      <c r="E87" s="12" t="n">
        <f aca="false">Pruebas_Auditoria!H163</f>
        <v>253672104.16</v>
      </c>
      <c r="F87" s="12" t="n">
        <f aca="false">Pruebas_Auditoria!I163</f>
        <v>196720178.445431</v>
      </c>
      <c r="G87" s="12" t="n">
        <f aca="false">Pruebas_Auditoria!J163</f>
        <v>196720178.445431</v>
      </c>
      <c r="H87" s="12" t="n">
        <f aca="false">Pruebas_Auditoria!L163</f>
        <v>253672104.94</v>
      </c>
      <c r="I87" s="12" t="n">
        <f aca="false">Pruebas_Auditoria!O163</f>
        <v>-0.780000030994415</v>
      </c>
      <c r="J87" s="11" t="str">
        <f aca="false">IFERROR(INDEX(Detalle_62!$H$14:$H$35,MATCH(C87,Detalle_62!$C$14:$C$35,0)),"—")</f>
        <v>DTF</v>
      </c>
      <c r="K87" s="11" t="str">
        <f aca="false">IFERROR(INDEX(Detalle_62!$L$14:$L$35,MATCH(C87,Detalle_62!$C$14:$C$35,0)),"—")</f>
        <v>TRIMESTRAL</v>
      </c>
      <c r="L87" s="16" t="n">
        <f aca="false">IFERROR(INDEX(Detalle_62!$P$14:$P$35,MATCH(C87,Detalle_62!$C$14:$C$35,0)),"—")</f>
        <v>46870</v>
      </c>
      <c r="M87" s="17" t="n">
        <f aca="false">IFERROR(INDEX(Pruebas_Auditoria!$M$53:$M$137,MATCH(C87,Pruebas_Auditoria!$E$53:$E$137,0)),"—")</f>
        <v>0.1425</v>
      </c>
      <c r="N87" s="12" t="n">
        <f aca="false">INDEX(Intereses_x_Obligacion!$I:$I,MATCH(C87,Intereses_x_Obligacion!$A:$A,0))</f>
        <v>28058555</v>
      </c>
      <c r="O87" s="12" t="n">
        <f aca="false">INDEX(Intereses_x_Obligacion!$F:$F,MATCH(C87,Intereses_x_Obligacion!$A:$A,0))</f>
        <v>0</v>
      </c>
      <c r="P87" s="12" t="n">
        <f aca="false">INDEX(Intereses_x_Obligacion!$L:$L,MATCH(C87,Intereses_x_Obligacion!$A:$A,0))</f>
        <v>370614.629483698</v>
      </c>
      <c r="Q87" s="11" t="str">
        <f aca="false">IF(LEFT(Pruebas_Auditoria!M163,3)="[C]","[C] [B]",IF(LEFT(Pruebas_Auditoria!M163,3)="[E]","[E] [B]","[P]"))</f>
        <v>[C] [B]</v>
      </c>
    </row>
    <row r="88" customFormat="false" ht="15" hidden="false" customHeight="false" outlineLevel="0" collapsed="false">
      <c r="C88" s="10" t="s">
        <v>137</v>
      </c>
      <c r="D88" s="11" t="str">
        <f aca="false">Pruebas_Auditoria!D164</f>
        <v>LEASING 556449288 – POZO # 5</v>
      </c>
      <c r="E88" s="12" t="n">
        <f aca="false">Pruebas_Auditoria!H164</f>
        <v>396193943.4</v>
      </c>
      <c r="F88" s="12" t="n">
        <f aca="false">Pruebas_Auditoria!I164</f>
        <v>382649239.487494</v>
      </c>
      <c r="G88" s="12" t="n">
        <f aca="false">Pruebas_Auditoria!J164</f>
        <v>382649239.487494</v>
      </c>
      <c r="H88" s="12" t="n">
        <f aca="false">Pruebas_Auditoria!L164</f>
        <v>396193942.08</v>
      </c>
      <c r="I88" s="12" t="n">
        <f aca="false">Pruebas_Auditoria!O164</f>
        <v>1.31999999284744</v>
      </c>
      <c r="J88" s="11" t="str">
        <f aca="false">IFERROR(INDEX(Detalle_62!$H$14:$H$35,MATCH(C88,Detalle_62!$C$14:$C$35,0)),"—")</f>
        <v>DTF</v>
      </c>
      <c r="K88" s="11" t="str">
        <f aca="false">IFERROR(INDEX(Detalle_62!$L$14:$L$35,MATCH(C88,Detalle_62!$C$14:$C$35,0)),"—")</f>
        <v>TRIMESTRAL</v>
      </c>
      <c r="L88" s="16" t="n">
        <f aca="false">IFERROR(INDEX(Detalle_62!$P$14:$P$35,MATCH(C88,Detalle_62!$C$14:$C$35,0)),"—")</f>
        <v>47503</v>
      </c>
      <c r="M88" s="17" t="n">
        <f aca="false">IFERROR(INDEX(Pruebas_Auditoria!$M$53:$M$137,MATCH(C88,Pruebas_Auditoria!$E$53:$E$137,0)),"—")</f>
        <v>0.1422</v>
      </c>
      <c r="N88" s="12" t="n">
        <f aca="false">INDEX(Intereses_x_Obligacion!$I:$I,MATCH(C88,Intereses_x_Obligacion!$A:$A,0))</f>
        <v>30902950</v>
      </c>
      <c r="O88" s="12" t="n">
        <f aca="false">INDEX(Intereses_x_Obligacion!$F:$F,MATCH(C88,Intereses_x_Obligacion!$A:$A,0))</f>
        <v>0.159999996423721</v>
      </c>
      <c r="P88" s="12" t="n">
        <f aca="false">INDEX(Intereses_x_Obligacion!$L:$L,MATCH(C88,Intereses_x_Obligacion!$A:$A,0))</f>
        <v>1590694.25438737</v>
      </c>
      <c r="Q88" s="11" t="str">
        <f aca="false">IF(LEFT(Pruebas_Auditoria!M164,3)="[C]","[C] [B]",IF(LEFT(Pruebas_Auditoria!M164,3)="[E]","[E] [B]","[P]"))</f>
        <v>[C] [B]</v>
      </c>
    </row>
    <row r="89" customFormat="false" ht="20.85" hidden="false" customHeight="false" outlineLevel="0" collapsed="false">
      <c r="C89" s="10" t="s">
        <v>138</v>
      </c>
      <c r="D89" s="11" t="str">
        <f aca="false">Pruebas_Auditoria!D165</f>
        <v>LEASING 557285005 – PLANTA ELECTRICA JENBACHER</v>
      </c>
      <c r="E89" s="12" t="n">
        <f aca="false">Pruebas_Auditoria!H165</f>
        <v>984246886.81</v>
      </c>
      <c r="F89" s="12" t="n">
        <f aca="false">Pruebas_Auditoria!I165</f>
        <v>968620472.418459</v>
      </c>
      <c r="G89" s="12" t="n">
        <f aca="false">Pruebas_Auditoria!J165</f>
        <v>968620472.418459</v>
      </c>
      <c r="H89" s="12" t="n">
        <f aca="false">Pruebas_Auditoria!L165</f>
        <v>984246886.51</v>
      </c>
      <c r="I89" s="12" t="n">
        <f aca="false">Pruebas_Auditoria!O165</f>
        <v>0.300000190734863</v>
      </c>
      <c r="J89" s="11" t="str">
        <f aca="false">IFERROR(INDEX(Detalle_62!$H$14:$H$35,MATCH(C89,Detalle_62!$C$14:$C$35,0)),"—")</f>
        <v>IBR 3 MESES</v>
      </c>
      <c r="K89" s="11" t="str">
        <f aca="false">IFERROR(INDEX(Detalle_62!$L$14:$L$35,MATCH(C89,Detalle_62!$C$14:$C$35,0)),"—")</f>
        <v>TRIMESTRAL</v>
      </c>
      <c r="L89" s="16" t="n">
        <f aca="false">IFERROR(INDEX(Detalle_62!$P$14:$P$35,MATCH(C89,Detalle_62!$C$14:$C$35,0)),"—")</f>
        <v>47321</v>
      </c>
      <c r="M89" s="17" t="n">
        <f aca="false">IFERROR(INDEX(Pruebas_Auditoria!$M$53:$M$137,MATCH(C89,Pruebas_Auditoria!$E$53:$E$137,0)),"—")</f>
        <v>0.1604</v>
      </c>
      <c r="N89" s="12" t="n">
        <f aca="false">INDEX(Intereses_x_Obligacion!$I:$I,MATCH(C89,Intereses_x_Obligacion!$A:$A,0))</f>
        <v>89512386</v>
      </c>
      <c r="O89" s="12" t="n">
        <f aca="false">INDEX(Intereses_x_Obligacion!$F:$F,MATCH(C89,Intereses_x_Obligacion!$A:$A,0))</f>
        <v>0</v>
      </c>
      <c r="P89" s="12" t="n">
        <f aca="false">INDEX(Intereses_x_Obligacion!$L:$L,MATCH(C89,Intereses_x_Obligacion!$A:$A,0))</f>
        <v>3617017.21971566</v>
      </c>
      <c r="Q89" s="11" t="str">
        <f aca="false">IF(LEFT(Pruebas_Auditoria!M165,3)="[C]","[C] [B]",IF(LEFT(Pruebas_Auditoria!M165,3)="[E]","[E] [B]","[P]"))</f>
        <v>[C] [B]</v>
      </c>
    </row>
    <row r="90" customFormat="false" ht="15" hidden="false" customHeight="false" outlineLevel="0" collapsed="false">
      <c r="D90" s="13" t="s">
        <v>127</v>
      </c>
      <c r="E90" s="14" t="n">
        <f aca="false">SUM(E80:E89)</f>
        <v>18199842431.33</v>
      </c>
      <c r="F90" s="14" t="n">
        <f aca="false">SUM(F80:F89)</f>
        <v>18028234175.6354</v>
      </c>
      <c r="G90" s="14" t="n">
        <f aca="false">SUM(G80:G89)</f>
        <v>18028234179.6354</v>
      </c>
      <c r="H90" s="14" t="n">
        <f aca="false">SUM(H80:H89)</f>
        <v>18199842397.39</v>
      </c>
      <c r="I90" s="14" t="n">
        <f aca="false">SUM(I80:I89)</f>
        <v>33.9400002062321</v>
      </c>
      <c r="N90" s="14" t="n">
        <f aca="false">SUM(N80:N89)</f>
        <v>1267442467.36</v>
      </c>
      <c r="O90" s="14" t="n">
        <f aca="false">SUM(O80:O89)</f>
        <v>47913742.16</v>
      </c>
      <c r="P90" s="14" t="n">
        <f aca="false">SUM(P80:P89)</f>
        <v>111917954.297059</v>
      </c>
    </row>
    <row r="92" customFormat="false" ht="15" hidden="false" customHeight="false" outlineLevel="0" collapsed="false">
      <c r="C92" s="15" t="s">
        <v>139</v>
      </c>
    </row>
    <row r="93" customFormat="false" ht="30" hidden="false" customHeight="true" outlineLevel="0" collapsed="false">
      <c r="C93" s="4" t="s">
        <v>104</v>
      </c>
      <c r="D93" s="4" t="s">
        <v>105</v>
      </c>
      <c r="E93" s="4" t="s">
        <v>106</v>
      </c>
      <c r="F93" s="4" t="s">
        <v>107</v>
      </c>
      <c r="G93" s="4" t="s">
        <v>108</v>
      </c>
      <c r="H93" s="4" t="s">
        <v>109</v>
      </c>
      <c r="I93" s="4" t="s">
        <v>110</v>
      </c>
      <c r="J93" s="4" t="s">
        <v>111</v>
      </c>
      <c r="K93" s="4" t="s">
        <v>112</v>
      </c>
      <c r="L93" s="4" t="s">
        <v>113</v>
      </c>
      <c r="M93" s="4" t="s">
        <v>114</v>
      </c>
      <c r="N93" s="4" t="s">
        <v>115</v>
      </c>
      <c r="O93" s="4" t="s">
        <v>116</v>
      </c>
      <c r="P93" s="4" t="s">
        <v>117</v>
      </c>
      <c r="Q93" s="4" t="s">
        <v>118</v>
      </c>
    </row>
    <row r="94" customFormat="false" ht="15" hidden="false" customHeight="false" outlineLevel="0" collapsed="false">
      <c r="C94" s="10" t="s">
        <v>140</v>
      </c>
      <c r="D94" s="11" t="str">
        <f aca="false">Pruebas_Auditoria!D166</f>
        <v>631309940-2 – CRED TESORERIA</v>
      </c>
      <c r="E94" s="12" t="n">
        <f aca="false">Pruebas_Auditoria!H166</f>
        <v>287500000</v>
      </c>
      <c r="F94" s="12" t="n">
        <f aca="false">Pruebas_Auditoria!I166</f>
        <v>287500000</v>
      </c>
      <c r="G94" s="12" t="n">
        <f aca="false">Pruebas_Auditoria!J166</f>
        <v>287500000</v>
      </c>
      <c r="H94" s="12" t="n">
        <f aca="false">Pruebas_Auditoria!L166</f>
        <v>287500000</v>
      </c>
      <c r="I94" s="12" t="n">
        <f aca="false">Pruebas_Auditoria!O166</f>
        <v>0</v>
      </c>
      <c r="J94" s="11" t="str">
        <f aca="false">IFERROR(INDEX(Detalle_62!$H$14:$H$35,MATCH(C94,Detalle_62!$C$14:$C$35,0)),"—")</f>
        <v>IBR 3 MESES</v>
      </c>
      <c r="K94" s="11" t="str">
        <f aca="false">IFERROR(INDEX(Detalle_62!$L$14:$L$35,MATCH(C94,Detalle_62!$C$14:$C$35,0)),"—")</f>
        <v>TRIMESTRAL</v>
      </c>
      <c r="L94" s="16" t="n">
        <f aca="false">IFERROR(INDEX(Detalle_62!$P$14:$P$35,MATCH(C94,Detalle_62!$C$14:$C$35,0)),"—")</f>
        <v>46373</v>
      </c>
      <c r="M94" s="17" t="n">
        <f aca="false">IFERROR(INDEX(Pruebas_Auditoria!$M$53:$M$137,MATCH(C94,Pruebas_Auditoria!$E$53:$E$137,0)),"—")</f>
        <v>0</v>
      </c>
      <c r="N94" s="12" t="n">
        <f aca="false">INDEX(Intereses_x_Obligacion!$I:$I,MATCH(C94,Intereses_x_Obligacion!$A:$A,0))</f>
        <v>34304862</v>
      </c>
      <c r="O94" s="12" t="n">
        <f aca="false">INDEX(Intereses_x_Obligacion!$F:$F,MATCH(C94,Intereses_x_Obligacion!$A:$A,0))</f>
        <v>3324939</v>
      </c>
      <c r="P94" s="12" t="n">
        <f aca="false">INDEX(Intereses_x_Obligacion!$L:$L,MATCH(C94,Intereses_x_Obligacion!$A:$A,0))</f>
        <v>4866039.68585017</v>
      </c>
      <c r="Q94" s="11" t="str">
        <f aca="false">IF(LEFT(Pruebas_Auditoria!M166,3)="[C]","[C] [B]",IF(LEFT(Pruebas_Auditoria!M166,3)="[E]","[E] [B]","[P]"))</f>
        <v>[E] [B]</v>
      </c>
    </row>
    <row r="95" customFormat="false" ht="15" hidden="false" customHeight="false" outlineLevel="0" collapsed="false">
      <c r="D95" s="13" t="s">
        <v>127</v>
      </c>
      <c r="E95" s="14" t="n">
        <f aca="false">SUM(E94:E94)</f>
        <v>287500000</v>
      </c>
      <c r="F95" s="14" t="n">
        <f aca="false">SUM(F94:F94)</f>
        <v>287500000</v>
      </c>
      <c r="G95" s="14" t="n">
        <f aca="false">SUM(G94:G94)</f>
        <v>287500000</v>
      </c>
      <c r="H95" s="14" t="n">
        <f aca="false">SUM(H94:H94)</f>
        <v>287500000</v>
      </c>
      <c r="I95" s="14" t="n">
        <f aca="false">SUM(I94:I94)</f>
        <v>0</v>
      </c>
      <c r="N95" s="14" t="n">
        <f aca="false">SUM(N94:N94)</f>
        <v>34304862</v>
      </c>
      <c r="O95" s="14" t="n">
        <f aca="false">SUM(O94:O94)</f>
        <v>3324939</v>
      </c>
      <c r="P95" s="14" t="n">
        <f aca="false">SUM(P94:P94)</f>
        <v>4866039.68585017</v>
      </c>
    </row>
    <row r="97" customFormat="false" ht="15" hidden="false" customHeight="false" outlineLevel="0" collapsed="false">
      <c r="C97" s="15" t="s">
        <v>141</v>
      </c>
    </row>
    <row r="98" customFormat="false" ht="30" hidden="false" customHeight="true" outlineLevel="0" collapsed="false">
      <c r="C98" s="4" t="s">
        <v>104</v>
      </c>
      <c r="D98" s="4" t="s">
        <v>105</v>
      </c>
      <c r="E98" s="4" t="s">
        <v>106</v>
      </c>
      <c r="F98" s="4" t="s">
        <v>107</v>
      </c>
      <c r="G98" s="4" t="s">
        <v>108</v>
      </c>
      <c r="H98" s="4" t="s">
        <v>109</v>
      </c>
      <c r="I98" s="4" t="s">
        <v>110</v>
      </c>
      <c r="J98" s="4" t="s">
        <v>111</v>
      </c>
      <c r="K98" s="4" t="s">
        <v>112</v>
      </c>
      <c r="L98" s="4" t="s">
        <v>113</v>
      </c>
      <c r="M98" s="4" t="s">
        <v>114</v>
      </c>
      <c r="N98" s="4" t="s">
        <v>115</v>
      </c>
      <c r="O98" s="4" t="s">
        <v>116</v>
      </c>
      <c r="P98" s="4" t="s">
        <v>117</v>
      </c>
      <c r="Q98" s="4" t="s">
        <v>118</v>
      </c>
    </row>
    <row r="99" customFormat="false" ht="15" hidden="false" customHeight="false" outlineLevel="0" collapsed="false">
      <c r="C99" s="10" t="s">
        <v>142</v>
      </c>
      <c r="D99" s="11" t="str">
        <f aca="false">Pruebas_Auditoria!D167</f>
        <v>252059 – CRED TESORERIA</v>
      </c>
      <c r="E99" s="12" t="n">
        <f aca="false">Pruebas_Auditoria!H167</f>
        <v>4700000000</v>
      </c>
      <c r="F99" s="12" t="n">
        <f aca="false">Pruebas_Auditoria!I167</f>
        <v>4700000000</v>
      </c>
      <c r="G99" s="12" t="str">
        <f aca="false">Pruebas_Auditoria!J167</f>
        <v>Sin tabla</v>
      </c>
      <c r="H99" s="12" t="n">
        <f aca="false">Pruebas_Auditoria!L167</f>
        <v>4700000000</v>
      </c>
      <c r="I99" s="12" t="n">
        <f aca="false">Pruebas_Auditoria!O167</f>
        <v>0</v>
      </c>
      <c r="J99" s="11" t="str">
        <f aca="false">IFERROR(INDEX(Detalle_62!$H$14:$H$35,MATCH(C99,Detalle_62!$C$14:$C$35,0)),"—")</f>
        <v>IBR 6 MESES/tri INT</v>
      </c>
      <c r="K99" s="11" t="str">
        <f aca="false">IFERROR(INDEX(Detalle_62!$L$14:$L$35,MATCH(C99,Detalle_62!$C$14:$C$35,0)),"—")</f>
        <v>SEMESTRAL</v>
      </c>
      <c r="L99" s="16" t="n">
        <f aca="false">IFERROR(INDEX(Detalle_62!$P$14:$P$35,MATCH(C99,Detalle_62!$C$14:$C$35,0)),"—")</f>
        <v>46367</v>
      </c>
      <c r="M99" s="17" t="n">
        <f aca="false">IFERROR(INDEX(Pruebas_Auditoria!$M$53:$M$137,MATCH(C99,Pruebas_Auditoria!$E$53:$E$137,0)),"—")</f>
        <v>0</v>
      </c>
      <c r="N99" s="12" t="n">
        <f aca="false">INDEX(Intereses_x_Obligacion!$I:$I,MATCH(C99,Intereses_x_Obligacion!$A:$A,0))</f>
        <v>258396078</v>
      </c>
      <c r="O99" s="12" t="n">
        <f aca="false">INDEX(Intereses_x_Obligacion!$F:$F,MATCH(C99,Intereses_x_Obligacion!$A:$A,0))</f>
        <v>0.219999998807907</v>
      </c>
      <c r="P99" s="12" t="n">
        <f aca="false">INDEX(Intereses_x_Obligacion!$L:$L,MATCH(C99,Intereses_x_Obligacion!$A:$A,0))</f>
        <v>50972239.5760856</v>
      </c>
      <c r="Q99" s="11" t="str">
        <f aca="false">IF(LEFT(Pruebas_Auditoria!M167,3)="[C]","[C] [B]",IF(LEFT(Pruebas_Auditoria!M167,3)="[E]","[E] [B]","[P]"))</f>
        <v>[E] [B]</v>
      </c>
    </row>
    <row r="100" customFormat="false" ht="15" hidden="false" customHeight="false" outlineLevel="0" collapsed="false">
      <c r="D100" s="13" t="s">
        <v>127</v>
      </c>
      <c r="E100" s="14" t="n">
        <f aca="false">SUM(E99:E99)</f>
        <v>4700000000</v>
      </c>
      <c r="F100" s="14" t="n">
        <f aca="false">SUM(F99:F99)</f>
        <v>4700000000</v>
      </c>
      <c r="G100" s="14" t="n">
        <f aca="false">SUM(G99:G99)</f>
        <v>0</v>
      </c>
      <c r="H100" s="14" t="n">
        <f aca="false">SUM(H99:H99)</f>
        <v>4700000000</v>
      </c>
      <c r="I100" s="14" t="n">
        <f aca="false">SUM(I99:I99)</f>
        <v>0</v>
      </c>
      <c r="N100" s="14" t="n">
        <f aca="false">SUM(N99:N99)</f>
        <v>258396078</v>
      </c>
      <c r="O100" s="14" t="n">
        <f aca="false">SUM(O99:O99)</f>
        <v>0.219999998807907</v>
      </c>
      <c r="P100" s="14" t="n">
        <f aca="false">SUM(P99:P99)</f>
        <v>50972239.5760856</v>
      </c>
    </row>
    <row r="102" customFormat="false" ht="15" hidden="false" customHeight="false" outlineLevel="0" collapsed="false">
      <c r="C102" s="15" t="s">
        <v>143</v>
      </c>
    </row>
    <row r="103" customFormat="false" ht="30" hidden="false" customHeight="true" outlineLevel="0" collapsed="false">
      <c r="C103" s="4" t="s">
        <v>104</v>
      </c>
      <c r="D103" s="4" t="s">
        <v>105</v>
      </c>
      <c r="E103" s="4" t="s">
        <v>106</v>
      </c>
      <c r="F103" s="4" t="s">
        <v>107</v>
      </c>
      <c r="G103" s="4" t="s">
        <v>108</v>
      </c>
      <c r="H103" s="4" t="s">
        <v>109</v>
      </c>
      <c r="I103" s="4" t="s">
        <v>110</v>
      </c>
      <c r="J103" s="4" t="s">
        <v>111</v>
      </c>
      <c r="K103" s="4" t="s">
        <v>112</v>
      </c>
      <c r="L103" s="4" t="s">
        <v>113</v>
      </c>
      <c r="M103" s="4" t="s">
        <v>114</v>
      </c>
      <c r="N103" s="4" t="s">
        <v>115</v>
      </c>
      <c r="O103" s="4" t="s">
        <v>116</v>
      </c>
      <c r="P103" s="4" t="s">
        <v>117</v>
      </c>
      <c r="Q103" s="4" t="s">
        <v>118</v>
      </c>
    </row>
    <row r="104" customFormat="false" ht="15" hidden="false" customHeight="false" outlineLevel="0" collapsed="false">
      <c r="C104" s="10" t="s">
        <v>144</v>
      </c>
      <c r="D104" s="11" t="str">
        <f aca="false">Pruebas_Auditoria!D168</f>
        <v>1260105867 – CAPITAL DE TRABAJO</v>
      </c>
      <c r="E104" s="12" t="n">
        <f aca="false">Pruebas_Auditoria!H168</f>
        <v>3333333334</v>
      </c>
      <c r="F104" s="12" t="n">
        <f aca="false">Pruebas_Auditoria!I168</f>
        <v>3333333333.33333</v>
      </c>
      <c r="G104" s="12" t="n">
        <f aca="false">Pruebas_Auditoria!J168</f>
        <v>3333333333.33333</v>
      </c>
      <c r="H104" s="12" t="n">
        <f aca="false">Pruebas_Auditoria!L168</f>
        <v>3333333334</v>
      </c>
      <c r="I104" s="12" t="n">
        <f aca="false">Pruebas_Auditoria!O168</f>
        <v>0</v>
      </c>
      <c r="J104" s="11" t="str">
        <f aca="false">IFERROR(INDEX(Detalle_62!$H$14:$H$35,MATCH(C104,Detalle_62!$C$14:$C$35,0)),"—")</f>
        <v>IBR 3 MESES</v>
      </c>
      <c r="K104" s="11" t="str">
        <f aca="false">IFERROR(INDEX(Detalle_62!$L$14:$L$35,MATCH(C104,Detalle_62!$C$14:$C$35,0)),"—")</f>
        <v>TRIMESTRAL</v>
      </c>
      <c r="L104" s="16" t="n">
        <f aca="false">IFERROR(INDEX(Detalle_62!$P$14:$P$35,MATCH(C104,Detalle_62!$C$14:$C$35,0)),"—")</f>
        <v>46864</v>
      </c>
      <c r="M104" s="17" t="n">
        <f aca="false">IFERROR(INDEX(Pruebas_Auditoria!$M$53:$M$137,MATCH(C104,Pruebas_Auditoria!$E$53:$E$137,0)),"—")</f>
        <v>0.1417</v>
      </c>
      <c r="N104" s="12" t="n">
        <f aca="false">INDEX(Intereses_x_Obligacion!$I:$I,MATCH(C104,Intereses_x_Obligacion!$A:$A,0))</f>
        <v>287833704</v>
      </c>
      <c r="O104" s="12" t="n">
        <f aca="false">INDEX(Intereses_x_Obligacion!$F:$F,MATCH(C104,Intereses_x_Obligacion!$A:$A,0))</f>
        <v>0</v>
      </c>
      <c r="P104" s="12" t="n">
        <f aca="false">INDEX(Intereses_x_Obligacion!$L:$L,MATCH(C104,Intereses_x_Obligacion!$A:$A,0))</f>
        <v>10909736.1129754</v>
      </c>
      <c r="Q104" s="11" t="str">
        <f aca="false">IF(LEFT(Pruebas_Auditoria!M168,3)="[C]","[C] [B]",IF(LEFT(Pruebas_Auditoria!M168,3)="[E]","[E] [B]","[P]"))</f>
        <v>[C] [B]</v>
      </c>
    </row>
    <row r="105" customFormat="false" ht="20.85" hidden="false" customHeight="false" outlineLevel="0" collapsed="false">
      <c r="C105" s="10" t="s">
        <v>145</v>
      </c>
      <c r="D105" s="11" t="str">
        <f aca="false">Pruebas_Auditoria!D169</f>
        <v>LEASING 362095 – EXCAVADORA PC130-8 KOMATSU</v>
      </c>
      <c r="E105" s="12" t="n">
        <f aca="false">Pruebas_Auditoria!H169</f>
        <v>448477372</v>
      </c>
      <c r="F105" s="12" t="n">
        <f aca="false">Pruebas_Auditoria!I169</f>
        <v>497241599</v>
      </c>
      <c r="G105" s="12" t="n">
        <f aca="false">Pruebas_Auditoria!J169</f>
        <v>524519291.134113</v>
      </c>
      <c r="H105" s="12" t="n">
        <f aca="false">Pruebas_Auditoria!L169</f>
        <v>448477372</v>
      </c>
      <c r="I105" s="12" t="n">
        <f aca="false">Pruebas_Auditoria!O169</f>
        <v>0</v>
      </c>
      <c r="J105" s="11" t="str">
        <f aca="false">IFERROR(INDEX(Detalle_62!$H$14:$H$35,MATCH(C105,Detalle_62!$C$14:$C$35,0)),"—")</f>
        <v>IBR 3 MESES</v>
      </c>
      <c r="K105" s="11" t="str">
        <f aca="false">IFERROR(INDEX(Detalle_62!$L$14:$L$35,MATCH(C105,Detalle_62!$C$14:$C$35,0)),"—")</f>
        <v>TRIMESTRAL</v>
      </c>
      <c r="L105" s="16" t="n">
        <f aca="false">IFERROR(INDEX(Detalle_62!$P$14:$P$35,MATCH(C105,Detalle_62!$C$14:$C$35,0)),"—")</f>
        <v>47528</v>
      </c>
      <c r="M105" s="17" t="n">
        <f aca="false">IFERROR(INDEX(Pruebas_Auditoria!$M$53:$M$137,MATCH(C105,Pruebas_Auditoria!$E$53:$E$137,0)),"—")</f>
        <v>0</v>
      </c>
      <c r="N105" s="12" t="n">
        <f aca="false">INDEX(Intereses_x_Obligacion!$I:$I,MATCH(C105,Intereses_x_Obligacion!$A:$A,0))</f>
        <v>32199918</v>
      </c>
      <c r="O105" s="12" t="n">
        <f aca="false">INDEX(Intereses_x_Obligacion!$F:$F,MATCH(C105,Intereses_x_Obligacion!$A:$A,0))</f>
        <v>3750337</v>
      </c>
      <c r="P105" s="12" t="n">
        <f aca="false">INDEX(Intereses_x_Obligacion!$L:$L,MATCH(C105,Intereses_x_Obligacion!$A:$A,0))</f>
        <v>5568623.41062859</v>
      </c>
      <c r="Q105" s="11" t="str">
        <f aca="false">IF(LEFT(Pruebas_Auditoria!M169,3)="[C]","[C] [B]",IF(LEFT(Pruebas_Auditoria!M169,3)="[E]","[E] [B]","[P]"))</f>
        <v>[E] [B]</v>
      </c>
    </row>
    <row r="106" customFormat="false" ht="15" hidden="false" customHeight="false" outlineLevel="0" collapsed="false">
      <c r="C106" s="10" t="s">
        <v>146</v>
      </c>
      <c r="D106" s="11" t="str">
        <f aca="false">Pruebas_Auditoria!D170</f>
        <v>LEASING 336817 – TURBINA - TURBOKRAFT </v>
      </c>
      <c r="E106" s="12" t="n">
        <f aca="false">Pruebas_Auditoria!H170</f>
        <v>787729700</v>
      </c>
      <c r="F106" s="12" t="n">
        <f aca="false">Pruebas_Auditoria!I170</f>
        <v>770085425.158301</v>
      </c>
      <c r="G106" s="12" t="n">
        <f aca="false">Pruebas_Auditoria!J170</f>
        <v>770085425.158301</v>
      </c>
      <c r="H106" s="12" t="n">
        <f aca="false">Pruebas_Auditoria!L170</f>
        <v>787729700</v>
      </c>
      <c r="I106" s="12" t="n">
        <f aca="false">Pruebas_Auditoria!O170</f>
        <v>0</v>
      </c>
      <c r="J106" s="11" t="str">
        <f aca="false">IFERROR(INDEX(Detalle_62!$H$14:$H$35,MATCH(C106,Detalle_62!$C$14:$C$35,0)),"—")</f>
        <v>IBR</v>
      </c>
      <c r="K106" s="11" t="str">
        <f aca="false">IFERROR(INDEX(Detalle_62!$L$14:$L$35,MATCH(C106,Detalle_62!$C$14:$C$35,0)),"—")</f>
        <v>MENSUAL</v>
      </c>
      <c r="L106" s="16" t="n">
        <f aca="false">IFERROR(INDEX(Detalle_62!$P$14:$P$35,MATCH(C106,Detalle_62!$C$14:$C$35,0)),"—")</f>
        <v>47995</v>
      </c>
      <c r="M106" s="17" t="n">
        <f aca="false">IFERROR(INDEX(Pruebas_Auditoria!$M$53:$M$137,MATCH(C106,Pruebas_Auditoria!$E$53:$E$137,0)),"—")</f>
        <v>0</v>
      </c>
      <c r="N106" s="12" t="n">
        <f aca="false">INDEX(Intereses_x_Obligacion!$I:$I,MATCH(C106,Intereses_x_Obligacion!$A:$A,0))</f>
        <v>28583500</v>
      </c>
      <c r="O106" s="12" t="n">
        <f aca="false">INDEX(Intereses_x_Obligacion!$F:$F,MATCH(C106,Intereses_x_Obligacion!$A:$A,0))</f>
        <v>0</v>
      </c>
      <c r="P106" s="12" t="n">
        <f aca="false">INDEX(Intereses_x_Obligacion!$L:$L,MATCH(C106,Intereses_x_Obligacion!$A:$A,0))</f>
        <v>3807112.91633949</v>
      </c>
      <c r="Q106" s="11" t="str">
        <f aca="false">IF(LEFT(Pruebas_Auditoria!M170,3)="[C]","[C] [B]",IF(LEFT(Pruebas_Auditoria!M170,3)="[E]","[E] [B]","[P]"))</f>
        <v>[E] [B]</v>
      </c>
    </row>
    <row r="107" customFormat="false" ht="20.85" hidden="false" customHeight="false" outlineLevel="0" collapsed="false">
      <c r="C107" s="10" t="s">
        <v>147</v>
      </c>
      <c r="D107" s="11" t="str">
        <f aca="false">Pruebas_Auditoria!D171</f>
        <v>LEASING 331330 – PLANTA ELECTRICA CATERPILLAR C32-910</v>
      </c>
      <c r="E107" s="12" t="n">
        <f aca="false">Pruebas_Auditoria!H171</f>
        <v>488525504</v>
      </c>
      <c r="F107" s="12" t="n">
        <f aca="false">Pruebas_Auditoria!I171</f>
        <v>503693510</v>
      </c>
      <c r="G107" s="12" t="n">
        <f aca="false">Pruebas_Auditoria!J171</f>
        <v>503693510</v>
      </c>
      <c r="H107" s="12" t="n">
        <f aca="false">Pruebas_Auditoria!L171</f>
        <v>488525504</v>
      </c>
      <c r="I107" s="12" t="n">
        <f aca="false">Pruebas_Auditoria!O171</f>
        <v>0</v>
      </c>
      <c r="J107" s="11" t="str">
        <f aca="false">IFERROR(INDEX(Detalle_62!$H$14:$H$35,MATCH(C107,Detalle_62!$C$14:$C$35,0)),"—")</f>
        <v>IBR</v>
      </c>
      <c r="K107" s="11" t="str">
        <f aca="false">IFERROR(INDEX(Detalle_62!$L$14:$L$35,MATCH(C107,Detalle_62!$C$14:$C$35,0)),"—")</f>
        <v>MENSUAL</v>
      </c>
      <c r="L107" s="16" t="n">
        <f aca="false">IFERROR(INDEX(Detalle_62!$P$14:$P$35,MATCH(C107,Detalle_62!$C$14:$C$35,0)),"—")</f>
        <v>46960</v>
      </c>
      <c r="M107" s="17" t="n">
        <f aca="false">IFERROR(INDEX(Pruebas_Auditoria!$M$53:$M$137,MATCH(C107,Pruebas_Auditoria!$E$53:$E$137,0)),"—")</f>
        <v>0</v>
      </c>
      <c r="N107" s="12" t="n">
        <f aca="false">INDEX(Intereses_x_Obligacion!$I:$I,MATCH(C107,Intereses_x_Obligacion!$A:$A,0))</f>
        <v>26060708</v>
      </c>
      <c r="O107" s="12" t="n">
        <f aca="false">INDEX(Intereses_x_Obligacion!$F:$F,MATCH(C107,Intereses_x_Obligacion!$A:$A,0))</f>
        <v>0</v>
      </c>
      <c r="P107" s="12" t="n">
        <f aca="false">INDEX(Intereses_x_Obligacion!$L:$L,MATCH(C107,Intereses_x_Obligacion!$A:$A,0))</f>
        <v>4498704.71647143</v>
      </c>
      <c r="Q107" s="11" t="str">
        <f aca="false">IF(LEFT(Pruebas_Auditoria!M171,3)="[C]","[C] [B]",IF(LEFT(Pruebas_Auditoria!M171,3)="[E]","[E] [B]","[P]"))</f>
        <v>[E] [B]</v>
      </c>
    </row>
    <row r="108" customFormat="false" ht="20.85" hidden="false" customHeight="false" outlineLevel="0" collapsed="false">
      <c r="C108" s="10" t="s">
        <v>148</v>
      </c>
      <c r="D108" s="11" t="str">
        <f aca="false">Pruebas_Auditoria!D172</f>
        <v>Leasing 386735 camión VW Constellation (nuevo 28-jul-26)</v>
      </c>
      <c r="E108" s="12" t="n">
        <f aca="false">Pruebas_Auditoria!H172</f>
        <v>675837500</v>
      </c>
      <c r="F108" s="12" t="n">
        <f aca="false">Pruebas_Auditoria!I172</f>
        <v>0</v>
      </c>
      <c r="G108" s="12" t="str">
        <f aca="false">Pruebas_Auditoria!J172</f>
        <v>Sin tabla</v>
      </c>
      <c r="H108" s="12" t="str">
        <f aca="false">Pruebas_Auditoria!L172</f>
        <v>N/D</v>
      </c>
      <c r="I108" s="12" t="str">
        <f aca="false">Pruebas_Auditoria!O172</f>
        <v>N/D</v>
      </c>
      <c r="J108" s="11" t="str">
        <f aca="false">IFERROR(INDEX(Detalle_62!$H$14:$H$35,MATCH(C108,Detalle_62!$C$14:$C$35,0)),"—")</f>
        <v>—</v>
      </c>
      <c r="K108" s="11" t="str">
        <f aca="false">IFERROR(INDEX(Detalle_62!$L$14:$L$35,MATCH(C108,Detalle_62!$C$14:$C$35,0)),"—")</f>
        <v>—</v>
      </c>
      <c r="L108" s="16" t="str">
        <f aca="false">IFERROR(INDEX(Detalle_62!$P$14:$P$35,MATCH(C108,Detalle_62!$C$14:$C$35,0)),"—")</f>
        <v>—</v>
      </c>
      <c r="M108" s="17" t="n">
        <f aca="false">IFERROR(INDEX(Pruebas_Auditoria!$M$53:$M$137,MATCH(C108,Pruebas_Auditoria!$E$53:$E$137,0)),"—")</f>
        <v>0</v>
      </c>
      <c r="N108" s="12" t="n">
        <f aca="false">INDEX(Intereses_x_Obligacion!$I:$I,MATCH(C108,Intereses_x_Obligacion!$A:$A,0))</f>
        <v>0</v>
      </c>
      <c r="O108" s="12" t="n">
        <f aca="false">INDEX(Intereses_x_Obligacion!$F:$F,MATCH(C108,Intereses_x_Obligacion!$A:$A,0))</f>
        <v>0</v>
      </c>
      <c r="P108" s="12" t="n">
        <f aca="false">INDEX(Intereses_x_Obligacion!$L:$L,MATCH(C108,Intereses_x_Obligacion!$A:$A,0))</f>
        <v>717369.299115863</v>
      </c>
      <c r="Q108" s="11" t="str">
        <f aca="false">IF(LEFT(Pruebas_Auditoria!M172,3)="[C]","[C] [B]",IF(LEFT(Pruebas_Auditoria!M172,3)="[E]","[E] [B]","[P]"))</f>
        <v>[P]</v>
      </c>
    </row>
    <row r="109" customFormat="false" ht="15" hidden="false" customHeight="false" outlineLevel="0" collapsed="false">
      <c r="D109" s="13" t="s">
        <v>127</v>
      </c>
      <c r="E109" s="14" t="n">
        <f aca="false">SUM(E104:E108)</f>
        <v>5733903410</v>
      </c>
      <c r="F109" s="14" t="n">
        <f aca="false">SUM(F104:F108)</f>
        <v>5104353867.49163</v>
      </c>
      <c r="G109" s="14" t="n">
        <f aca="false">SUM(G104:G108)</f>
        <v>5131631559.62575</v>
      </c>
      <c r="H109" s="14" t="n">
        <f aca="false">SUM(H104:H108)</f>
        <v>5058065910</v>
      </c>
      <c r="I109" s="14" t="n">
        <f aca="false">SUM(I104:I108)</f>
        <v>0</v>
      </c>
      <c r="N109" s="14" t="n">
        <f aca="false">SUM(N104:N108)</f>
        <v>374677830</v>
      </c>
      <c r="O109" s="14" t="n">
        <f aca="false">SUM(O104:O108)</f>
        <v>3750337</v>
      </c>
      <c r="P109" s="14" t="n">
        <f aca="false">SUM(P104:P108)</f>
        <v>25501546.4555308</v>
      </c>
    </row>
    <row r="111" customFormat="false" ht="22.35" hidden="false" customHeight="false" outlineLevel="0" collapsed="false">
      <c r="C111" s="15" t="s">
        <v>149</v>
      </c>
    </row>
    <row r="112" customFormat="false" ht="30" hidden="false" customHeight="true" outlineLevel="0" collapsed="false">
      <c r="C112" s="4" t="s">
        <v>104</v>
      </c>
      <c r="D112" s="4" t="s">
        <v>105</v>
      </c>
      <c r="E112" s="4" t="s">
        <v>106</v>
      </c>
      <c r="F112" s="4" t="s">
        <v>107</v>
      </c>
      <c r="G112" s="4" t="s">
        <v>108</v>
      </c>
      <c r="H112" s="4" t="s">
        <v>109</v>
      </c>
      <c r="I112" s="4" t="s">
        <v>110</v>
      </c>
      <c r="J112" s="4" t="s">
        <v>111</v>
      </c>
      <c r="K112" s="4" t="s">
        <v>112</v>
      </c>
      <c r="L112" s="4" t="s">
        <v>113</v>
      </c>
      <c r="M112" s="4" t="s">
        <v>114</v>
      </c>
      <c r="N112" s="4" t="s">
        <v>115</v>
      </c>
      <c r="O112" s="4" t="s">
        <v>116</v>
      </c>
      <c r="P112" s="4" t="s">
        <v>117</v>
      </c>
      <c r="Q112" s="4" t="s">
        <v>118</v>
      </c>
    </row>
    <row r="113" customFormat="false" ht="20.85" hidden="false" customHeight="false" outlineLevel="0" collapsed="false">
      <c r="C113" s="10" t="s">
        <v>150</v>
      </c>
      <c r="D113" s="11" t="str">
        <f aca="false">Pruebas_Auditoria!D173</f>
        <v>Comisiones Valley Trading registradas y reclasificadas en 21202040</v>
      </c>
      <c r="E113" s="12" t="n">
        <f aca="false">Pruebas_Auditoria!H173</f>
        <v>0</v>
      </c>
      <c r="F113" s="12" t="n">
        <f aca="false">Pruebas_Auditoria!I173</f>
        <v>0</v>
      </c>
      <c r="G113" s="12" t="str">
        <f aca="false">Pruebas_Auditoria!J173</f>
        <v>Sin tabla</v>
      </c>
      <c r="H113" s="12" t="str">
        <f aca="false">Pruebas_Auditoria!L173</f>
        <v>N/D</v>
      </c>
      <c r="I113" s="12" t="str">
        <f aca="false">Pruebas_Auditoria!O173</f>
        <v>N/D</v>
      </c>
      <c r="J113" s="11" t="str">
        <f aca="false">IFERROR(INDEX(Detalle_62!$H$14:$H$35,MATCH(C113,Detalle_62!$C$14:$C$35,0)),"—")</f>
        <v>—</v>
      </c>
      <c r="K113" s="11" t="str">
        <f aca="false">IFERROR(INDEX(Detalle_62!$L$14:$L$35,MATCH(C113,Detalle_62!$C$14:$C$35,0)),"—")</f>
        <v>—</v>
      </c>
      <c r="L113" s="16" t="str">
        <f aca="false">IFERROR(INDEX(Detalle_62!$P$14:$P$35,MATCH(C113,Detalle_62!$C$14:$C$35,0)),"—")</f>
        <v>—</v>
      </c>
      <c r="M113" s="17" t="str">
        <f aca="false">IFERROR(INDEX(Pruebas_Auditoria!$M$53:$M$137,MATCH(C113,Pruebas_Auditoria!$E$53:$E$137,0)),"—")</f>
        <v>—</v>
      </c>
      <c r="N113" s="12" t="n">
        <f aca="false">INDEX(Intereses_x_Obligacion!$I:$I,MATCH(C113,Intereses_x_Obligacion!$A:$A,0))</f>
        <v>0</v>
      </c>
      <c r="O113" s="12" t="n">
        <f aca="false">INDEX(Intereses_x_Obligacion!$F:$F,MATCH(C113,Intereses_x_Obligacion!$A:$A,0))</f>
        <v>0</v>
      </c>
      <c r="P113" s="12" t="n">
        <f aca="false">INDEX(Intereses_x_Obligacion!$L:$L,MATCH(C113,Intereses_x_Obligacion!$A:$A,0))</f>
        <v>0</v>
      </c>
      <c r="Q113" s="11" t="str">
        <f aca="false">IF(LEFT(Pruebas_Auditoria!M173,3)="[C]","[C] [B]",IF(LEFT(Pruebas_Auditoria!M173,3)="[E]","[E] [B]","[P]"))</f>
        <v>[P]</v>
      </c>
    </row>
    <row r="114" customFormat="false" ht="15" hidden="false" customHeight="false" outlineLevel="0" collapsed="false">
      <c r="C114" s="10" t="s">
        <v>151</v>
      </c>
      <c r="D114" s="11" t="str">
        <f aca="false">Pruebas_Auditoria!D174</f>
        <v>NI-4731 cruce anticipo calderas en 21202140</v>
      </c>
      <c r="E114" s="12" t="n">
        <f aca="false">Pruebas_Auditoria!H174</f>
        <v>0</v>
      </c>
      <c r="F114" s="12" t="n">
        <f aca="false">Pruebas_Auditoria!I174</f>
        <v>0</v>
      </c>
      <c r="G114" s="12" t="str">
        <f aca="false">Pruebas_Auditoria!J174</f>
        <v>Sin tabla</v>
      </c>
      <c r="H114" s="12" t="str">
        <f aca="false">Pruebas_Auditoria!L174</f>
        <v>N/D</v>
      </c>
      <c r="I114" s="12" t="str">
        <f aca="false">Pruebas_Auditoria!O174</f>
        <v>N/D</v>
      </c>
      <c r="J114" s="11" t="str">
        <f aca="false">IFERROR(INDEX(Detalle_62!$H$14:$H$35,MATCH(C114,Detalle_62!$C$14:$C$35,0)),"—")</f>
        <v>—</v>
      </c>
      <c r="K114" s="11" t="str">
        <f aca="false">IFERROR(INDEX(Detalle_62!$L$14:$L$35,MATCH(C114,Detalle_62!$C$14:$C$35,0)),"—")</f>
        <v>—</v>
      </c>
      <c r="L114" s="16" t="str">
        <f aca="false">IFERROR(INDEX(Detalle_62!$P$14:$P$35,MATCH(C114,Detalle_62!$C$14:$C$35,0)),"—")</f>
        <v>—</v>
      </c>
      <c r="M114" s="17" t="str">
        <f aca="false">IFERROR(INDEX(Pruebas_Auditoria!$M$53:$M$137,MATCH(C114,Pruebas_Auditoria!$E$53:$E$137,0)),"—")</f>
        <v>—</v>
      </c>
      <c r="N114" s="12" t="n">
        <f aca="false">INDEX(Intereses_x_Obligacion!$I:$I,MATCH(C114,Intereses_x_Obligacion!$A:$A,0))</f>
        <v>0</v>
      </c>
      <c r="O114" s="12" t="n">
        <f aca="false">INDEX(Intereses_x_Obligacion!$F:$F,MATCH(C114,Intereses_x_Obligacion!$A:$A,0))</f>
        <v>0</v>
      </c>
      <c r="P114" s="12" t="n">
        <f aca="false">INDEX(Intereses_x_Obligacion!$L:$L,MATCH(C114,Intereses_x_Obligacion!$A:$A,0))</f>
        <v>0</v>
      </c>
      <c r="Q114" s="11" t="str">
        <f aca="false">IF(LEFT(Pruebas_Auditoria!M174,3)="[C]","[C] [B]",IF(LEFT(Pruebas_Auditoria!M174,3)="[E]","[E] [B]","[P]"))</f>
        <v>[P]</v>
      </c>
    </row>
    <row r="115" customFormat="false" ht="15" hidden="false" customHeight="false" outlineLevel="0" collapsed="false">
      <c r="D115" s="13" t="s">
        <v>127</v>
      </c>
      <c r="E115" s="14" t="n">
        <f aca="false">SUM(E113:E114)</f>
        <v>0</v>
      </c>
      <c r="F115" s="14" t="n">
        <f aca="false">SUM(F113:F114)</f>
        <v>0</v>
      </c>
      <c r="G115" s="14" t="n">
        <f aca="false">SUM(G113:G114)</f>
        <v>0</v>
      </c>
      <c r="H115" s="14" t="n">
        <f aca="false">SUM(H113:H114)</f>
        <v>0</v>
      </c>
      <c r="I115" s="14" t="n">
        <f aca="false">SUM(I113:I114)</f>
        <v>0</v>
      </c>
      <c r="N115" s="14" t="n">
        <f aca="false">SUM(N113:N114)</f>
        <v>0</v>
      </c>
      <c r="O115" s="14" t="n">
        <f aca="false">SUM(O113:O114)</f>
        <v>0</v>
      </c>
      <c r="P115" s="14" t="n">
        <f aca="false">SUM(P113:P114)</f>
        <v>0</v>
      </c>
    </row>
    <row r="117" customFormat="false" ht="15" hidden="false" customHeight="true" outlineLevel="0" collapsed="false">
      <c r="C117" s="9" t="s">
        <v>152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customFormat="false" ht="20.85" hidden="false" customHeight="false" outlineLevel="0" collapsed="false">
      <c r="C118" s="4" t="s">
        <v>153</v>
      </c>
      <c r="D118" s="4" t="s">
        <v>154</v>
      </c>
      <c r="E118" s="4" t="s">
        <v>155</v>
      </c>
      <c r="F118" s="4" t="s">
        <v>156</v>
      </c>
      <c r="G118" s="4" t="s">
        <v>157</v>
      </c>
    </row>
    <row r="119" customFormat="false" ht="15" hidden="false" customHeight="false" outlineLevel="0" collapsed="false">
      <c r="C119" s="11" t="str">
        <f aca="false">Intereses_x_Obligacion!A38</f>
        <v>21300101</v>
      </c>
      <c r="D119" s="11" t="str">
        <f aca="false">Intereses_x_Obligacion!B38</f>
        <v>Intereses financieros por pagar O.F. (SF)</v>
      </c>
      <c r="E119" s="12" t="n">
        <f aca="false">Intereses_x_Obligacion!C38</f>
        <v>423638680</v>
      </c>
      <c r="F119" s="12" t="n">
        <f aca="false">Intereses_x_Obligacion!D38</f>
        <v>423638681.22</v>
      </c>
      <c r="G119" s="12" t="n">
        <f aca="false">Intereses_x_Obligacion!E38</f>
        <v>-1.22000002861023</v>
      </c>
    </row>
    <row r="120" customFormat="false" ht="15" hidden="false" customHeight="false" outlineLevel="0" collapsed="false">
      <c r="C120" s="11" t="str">
        <f aca="false">Intereses_x_Obligacion!A39</f>
        <v>21300102</v>
      </c>
      <c r="D120" s="11" t="str">
        <f aca="false">Intereses_x_Obligacion!B39</f>
        <v>Intereses leasing por pagar (SF)</v>
      </c>
      <c r="E120" s="12" t="n">
        <f aca="false">Intereses_x_Obligacion!C39</f>
        <v>3750337.16</v>
      </c>
      <c r="F120" s="12" t="n">
        <f aca="false">Intereses_x_Obligacion!D39</f>
        <v>3750337.16</v>
      </c>
      <c r="G120" s="12" t="n">
        <f aca="false">Intereses_x_Obligacion!E39</f>
        <v>0</v>
      </c>
    </row>
    <row r="121" customFormat="false" ht="15" hidden="false" customHeight="false" outlineLevel="0" collapsed="false">
      <c r="C121" s="11" t="str">
        <f aca="false">Intereses_x_Obligacion!A40</f>
        <v>53052030</v>
      </c>
      <c r="D121" s="11" t="str">
        <f aca="false">Intereses_x_Obligacion!B40</f>
        <v>Intereses sobre préstamos causados (SF)</v>
      </c>
      <c r="E121" s="12" t="n">
        <f aca="false">Intereses_x_Obligacion!C40</f>
        <v>423638680</v>
      </c>
      <c r="F121" s="12" t="n">
        <f aca="false">Intereses_x_Obligacion!D40</f>
        <v>423638681.22</v>
      </c>
      <c r="G121" s="12" t="n">
        <f aca="false">Intereses_x_Obligacion!E40</f>
        <v>-1.22000002861023</v>
      </c>
    </row>
    <row r="122" customFormat="false" ht="15" hidden="false" customHeight="false" outlineLevel="0" collapsed="false">
      <c r="C122" s="11" t="str">
        <f aca="false">Intereses_x_Obligacion!A41</f>
        <v>53052040</v>
      </c>
      <c r="D122" s="11" t="str">
        <f aca="false">Intereses_x_Obligacion!B41</f>
        <v>Intereses leasing causados (SF)</v>
      </c>
      <c r="E122" s="12" t="n">
        <f aca="false">Intereses_x_Obligacion!C41</f>
        <v>3750337.32</v>
      </c>
      <c r="F122" s="12" t="n">
        <f aca="false">Intereses_x_Obligacion!D41</f>
        <v>3750337.16</v>
      </c>
      <c r="G122" s="12" t="n">
        <f aca="false">Intereses_x_Obligacion!E41</f>
        <v>0.160000003408641</v>
      </c>
    </row>
    <row r="123" customFormat="false" ht="20.85" hidden="false" customHeight="false" outlineLevel="0" collapsed="false">
      <c r="C123" s="11" t="str">
        <f aca="false">Intereses_x_Obligacion!A42</f>
        <v>53052020</v>
      </c>
      <c r="D123" s="11" t="str">
        <f aca="false">Intereses_x_Obligacion!B42</f>
        <v>Intereses préstamos efectivamente pagados (débitos)</v>
      </c>
      <c r="E123" s="12" t="n">
        <f aca="false">Intereses_x_Obligacion!C42</f>
        <v>3610639745.89</v>
      </c>
      <c r="F123" s="12" t="n">
        <f aca="false">Intereses_x_Obligacion!D42</f>
        <v>3489342828.14</v>
      </c>
      <c r="G123" s="12" t="n">
        <f aca="false">Intereses_x_Obligacion!E42</f>
        <v>121296917.75</v>
      </c>
    </row>
    <row r="124" customFormat="false" ht="20.85" hidden="false" customHeight="false" outlineLevel="0" collapsed="false">
      <c r="C124" s="11" t="str">
        <f aca="false">Intereses_x_Obligacion!A43</f>
        <v>53052010</v>
      </c>
      <c r="D124" s="11" t="str">
        <f aca="false">Intereses_x_Obligacion!B43</f>
        <v>Intereses leasing efectivamente pagados (débitos)</v>
      </c>
      <c r="E124" s="12" t="n">
        <f aca="false">Intereses_x_Obligacion!C43</f>
        <v>708087053.99</v>
      </c>
      <c r="F124" s="12" t="n">
        <f aca="false">Intereses_x_Obligacion!D43</f>
        <v>610222787.84</v>
      </c>
      <c r="G124" s="12" t="n">
        <f aca="false">Intereses_x_Obligacion!E43</f>
        <v>97864266.15</v>
      </c>
    </row>
    <row r="125" customFormat="false" ht="20.85" hidden="false" customHeight="false" outlineLevel="0" collapsed="false">
      <c r="C125" s="11" t="str">
        <f aca="false">Intereses_x_Obligacion!A44</f>
        <v>5305</v>
      </c>
      <c r="D125" s="11" t="str">
        <f aca="false">Intereses_x_Obligacion!B44</f>
        <v>Gasto de intereses neto ene–jul (10+20+30+40)</v>
      </c>
      <c r="E125" s="12" t="n">
        <f aca="false">Intereses_x_Obligacion!C44</f>
        <v>3545892933.2</v>
      </c>
      <c r="F125" s="12" t="n">
        <f aca="false">Intereses_x_Obligacion!D44</f>
        <v>3326731750.36</v>
      </c>
      <c r="G125" s="12" t="n">
        <f aca="false">Intereses_x_Obligacion!E44</f>
        <v>219161182.84</v>
      </c>
    </row>
    <row r="127" customFormat="false" ht="15" hidden="false" customHeight="true" outlineLevel="0" collapsed="false">
      <c r="C127" s="9" t="s">
        <v>158</v>
      </c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  <row r="128" customFormat="false" ht="15" hidden="false" customHeight="false" outlineLevel="0" collapsed="false">
      <c r="C128" s="4" t="s">
        <v>159</v>
      </c>
      <c r="D128" s="4"/>
      <c r="E128" s="4" t="s">
        <v>160</v>
      </c>
      <c r="F128" s="4" t="s">
        <v>161</v>
      </c>
      <c r="G128" s="4" t="s">
        <v>162</v>
      </c>
      <c r="H128" s="4" t="s">
        <v>157</v>
      </c>
    </row>
    <row r="129" customFormat="false" ht="15" hidden="false" customHeight="true" outlineLevel="0" collapsed="false">
      <c r="C129" s="11" t="s">
        <v>163</v>
      </c>
      <c r="D129" s="11"/>
      <c r="E129" s="12" t="n">
        <f aca="false">Tablas_Amortizacion!N37</f>
        <v>40513189813.0966</v>
      </c>
      <c r="F129" s="12" t="n">
        <f aca="false">Tablas_Amortizacion!O37</f>
        <v>40485912116.9625</v>
      </c>
      <c r="G129" s="12" t="n">
        <f aca="false">Tablas_Amortizacion!Q37</f>
        <v>40614470338.59</v>
      </c>
      <c r="H129" s="12" t="n">
        <f aca="false">IF(ISNUMBER(G129),E129-G129,IF(ISNUMBER(F129),E129-F129,"N/A"))</f>
        <v>-101280525.493423</v>
      </c>
    </row>
    <row r="130" customFormat="false" ht="15" hidden="false" customHeight="true" outlineLevel="0" collapsed="false">
      <c r="C130" s="11" t="s">
        <v>164</v>
      </c>
      <c r="D130" s="11"/>
      <c r="E130" s="12" t="n">
        <f aca="false">Tablas_Amortizacion!S37</f>
        <v>3379246978.79818</v>
      </c>
      <c r="F130" s="12"/>
      <c r="G130" s="12" t="n">
        <f aca="false">Tablas_Amortizacion!T37</f>
        <v>3002309005.36</v>
      </c>
      <c r="H130" s="12" t="n">
        <f aca="false">IF(ISNUMBER(G130),E130-G130,IF(ISNUMBER(F130),E130-F130,"N/A"))</f>
        <v>376937973.438176</v>
      </c>
    </row>
    <row r="131" customFormat="false" ht="15" hidden="false" customHeight="true" outlineLevel="0" collapsed="false">
      <c r="C131" s="11" t="s">
        <v>165</v>
      </c>
      <c r="D131" s="11"/>
      <c r="E131" s="12" t="n">
        <f aca="false">Tablas_Amortizacion!V37</f>
        <v>5400849180.41412</v>
      </c>
      <c r="F131" s="12" t="n">
        <f aca="false">Tablas_Amortizacion!W37</f>
        <v>16928998619.5403</v>
      </c>
      <c r="G131" s="12"/>
      <c r="H131" s="12" t="n">
        <f aca="false">IF(ISNUMBER(G131),E131-G131,IF(ISNUMBER(F131),E131-F131,"N/A"))</f>
        <v>-11528149439.1262</v>
      </c>
    </row>
    <row r="133" customFormat="false" ht="15" hidden="false" customHeight="true" outlineLevel="0" collapsed="false">
      <c r="C133" s="9" t="s">
        <v>166</v>
      </c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</row>
    <row r="134" customFormat="false" ht="15" hidden="false" customHeight="false" outlineLevel="0" collapsed="false">
      <c r="C134" s="4" t="s">
        <v>167</v>
      </c>
      <c r="D134" s="4" t="s">
        <v>168</v>
      </c>
      <c r="E134" s="4" t="s">
        <v>105</v>
      </c>
      <c r="F134" s="4" t="s">
        <v>169</v>
      </c>
      <c r="G134" s="4" t="s">
        <v>170</v>
      </c>
    </row>
    <row r="135" customFormat="false" ht="20.85" hidden="false" customHeight="false" outlineLevel="0" collapsed="false">
      <c r="C135" s="11" t="str">
        <f aca="false">IF(Hallazgos!A32="","",Hallazgos!A32)</f>
        <v>AJE-1</v>
      </c>
      <c r="D135" s="11" t="str">
        <f aca="false">IF(Hallazgos!B32="","",Hallazgos!B32)</f>
        <v>53052030</v>
      </c>
      <c r="E135" s="11" t="str">
        <f aca="false">IF(Hallazgos!C32="","",Hallazgos!C32)</f>
        <v>Intereses sobre préstamos causados</v>
      </c>
      <c r="F135" s="12" t="n">
        <f aca="false">IF(Hallazgos!D32="","",Hallazgos!D32)</f>
        <v>156729925.975577</v>
      </c>
      <c r="G135" s="12" t="str">
        <f aca="false">IF(Hallazgos!E32="","",Hallazgos!E32)</f>
        <v/>
      </c>
    </row>
    <row r="136" customFormat="false" ht="20.85" hidden="false" customHeight="false" outlineLevel="0" collapsed="false">
      <c r="C136" s="11" t="str">
        <f aca="false">IF(Hallazgos!A33="","",Hallazgos!A33)</f>
        <v>AJE-1</v>
      </c>
      <c r="D136" s="11" t="str">
        <f aca="false">IF(Hallazgos!B33="","",Hallazgos!B33)</f>
        <v>21300101</v>
      </c>
      <c r="E136" s="11" t="str">
        <f aca="false">IF(Hallazgos!C33="","",Hallazgos!C33)</f>
        <v>Intereses financieros por pagar O.F.</v>
      </c>
      <c r="F136" s="12" t="str">
        <f aca="false">IF(Hallazgos!D33="","",Hallazgos!D33)</f>
        <v/>
      </c>
      <c r="G136" s="12" t="n">
        <f aca="false">IF(Hallazgos!E33="","",Hallazgos!E33)</f>
        <v>156729925.975577</v>
      </c>
    </row>
    <row r="137" customFormat="false" ht="15" hidden="false" customHeight="false" outlineLevel="0" collapsed="false">
      <c r="C137" s="11" t="str">
        <f aca="false">IF(Hallazgos!A34="","",Hallazgos!A34)</f>
        <v>AJE-1</v>
      </c>
      <c r="D137" s="11" t="str">
        <f aca="false">IF(Hallazgos!B34="","",Hallazgos!B34)</f>
        <v>53052040</v>
      </c>
      <c r="E137" s="11" t="str">
        <f aca="false">IF(Hallazgos!C34="","",Hallazgos!C34)</f>
        <v>Intereses leasing causados</v>
      </c>
      <c r="F137" s="12" t="n">
        <f aca="false">IF(Hallazgos!D34="","",Hallazgos!D34)</f>
        <v>30975464.2275983</v>
      </c>
      <c r="G137" s="12" t="str">
        <f aca="false">IF(Hallazgos!E34="","",Hallazgos!E34)</f>
        <v/>
      </c>
    </row>
    <row r="138" customFormat="false" ht="15" hidden="false" customHeight="false" outlineLevel="0" collapsed="false">
      <c r="C138" s="11" t="str">
        <f aca="false">IF(Hallazgos!A35="","",Hallazgos!A35)</f>
        <v>AJE-1</v>
      </c>
      <c r="D138" s="11" t="str">
        <f aca="false">IF(Hallazgos!B35="","",Hallazgos!B35)</f>
        <v>21300102</v>
      </c>
      <c r="E138" s="11" t="str">
        <f aca="false">IF(Hallazgos!C35="","",Hallazgos!C35)</f>
        <v>Intereses leasing por pagar</v>
      </c>
      <c r="F138" s="12" t="str">
        <f aca="false">IF(Hallazgos!D35="","",Hallazgos!D35)</f>
        <v/>
      </c>
      <c r="G138" s="12" t="n">
        <f aca="false">IF(Hallazgos!E35="","",Hallazgos!E35)</f>
        <v>30975464.2275983</v>
      </c>
    </row>
    <row r="139" customFormat="false" ht="15" hidden="false" customHeight="false" outlineLevel="0" collapsed="false">
      <c r="C139" s="11" t="str">
        <f aca="false">IF(Hallazgos!A36="","",Hallazgos!A36)</f>
        <v>AJE-2</v>
      </c>
      <c r="D139" s="11" t="str">
        <f aca="false">IF(Hallazgos!B36="","",Hallazgos!B36)</f>
        <v>21050201</v>
      </c>
      <c r="E139" s="11" t="str">
        <f aca="false">IF(Hallazgos!C36="","",Hallazgos!C36)</f>
        <v>Obligación financiera LP</v>
      </c>
      <c r="F139" s="12" t="n">
        <f aca="false">IF(Hallazgos!D36="","",Hallazgos!D36)</f>
        <v>694500001.666668</v>
      </c>
      <c r="G139" s="12" t="str">
        <f aca="false">IF(Hallazgos!E36="","",Hallazgos!E36)</f>
        <v/>
      </c>
    </row>
    <row r="140" customFormat="false" ht="15" hidden="false" customHeight="false" outlineLevel="0" collapsed="false">
      <c r="C140" s="11" t="str">
        <f aca="false">IF(Hallazgos!A37="","",Hallazgos!A37)</f>
        <v>AJE-2</v>
      </c>
      <c r="D140" s="11" t="str">
        <f aca="false">IF(Hallazgos!B37="","",Hallazgos!B37)</f>
        <v>21050100</v>
      </c>
      <c r="E140" s="11" t="str">
        <f aca="false">IF(Hallazgos!C37="","",Hallazgos!C37)</f>
        <v>Obligación financiera CP</v>
      </c>
      <c r="F140" s="12" t="str">
        <f aca="false">IF(Hallazgos!D37="","",Hallazgos!D37)</f>
        <v/>
      </c>
      <c r="G140" s="12" t="n">
        <f aca="false">IF(Hallazgos!E37="","",Hallazgos!E37)</f>
        <v>694500001.666668</v>
      </c>
    </row>
    <row r="141" customFormat="false" ht="15" hidden="false" customHeight="false" outlineLevel="0" collapsed="false">
      <c r="C141" s="11" t="str">
        <f aca="false">IF(Hallazgos!A38="","",Hallazgos!A38)</f>
        <v>AJE-2</v>
      </c>
      <c r="D141" s="11" t="str">
        <f aca="false">IF(Hallazgos!B38="","",Hallazgos!B38)</f>
        <v>21202140</v>
      </c>
      <c r="E141" s="11" t="str">
        <f aca="false">IF(Hallazgos!C38="","",Hallazgos!C38)</f>
        <v>Leasing LP</v>
      </c>
      <c r="F141" s="12" t="n">
        <f aca="false">IF(Hallazgos!D38="","",Hallazgos!D38)</f>
        <v>882135654.347453</v>
      </c>
      <c r="G141" s="12" t="str">
        <f aca="false">IF(Hallazgos!E38="","",Hallazgos!E38)</f>
        <v/>
      </c>
    </row>
    <row r="142" customFormat="false" ht="15" hidden="false" customHeight="false" outlineLevel="0" collapsed="false">
      <c r="C142" s="11" t="str">
        <f aca="false">IF(Hallazgos!A39="","",Hallazgos!A39)</f>
        <v>AJE-2</v>
      </c>
      <c r="D142" s="11" t="str">
        <f aca="false">IF(Hallazgos!B39="","",Hallazgos!B39)</f>
        <v>21202040</v>
      </c>
      <c r="E142" s="11" t="str">
        <f aca="false">IF(Hallazgos!C39="","",Hallazgos!C39)</f>
        <v>Leasing CP</v>
      </c>
      <c r="F142" s="12" t="str">
        <f aca="false">IF(Hallazgos!D39="","",Hallazgos!D39)</f>
        <v/>
      </c>
      <c r="G142" s="12" t="n">
        <f aca="false">IF(Hallazgos!E39="","",Hallazgos!E39)</f>
        <v>882135654.347453</v>
      </c>
    </row>
    <row r="144" customFormat="false" ht="15" hidden="false" customHeight="true" outlineLevel="0" collapsed="false">
      <c r="C144" s="9" t="s">
        <v>171</v>
      </c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</row>
    <row r="145" customFormat="false" ht="69.75" hidden="false" customHeight="true" outlineLevel="0" collapsed="false">
      <c r="C145" s="3" t="str">
        <f aca="false">"Con base en los procedimientos aplicados, el auxiliar de la cuenta 21 cuadra con el balance y el saldo reconstruido por obligación explica el 100% del balance. El detalle 62 del cliente NO es confiable para leasing: proviene de tablas teóricas (tasa fija) y omite el leasing Bancolombia 386735 y el leasing GECOLSA (Davivienda). Los créditos cuadran con los extractos (redondeos). Se proponen el AJE-1 por "&amp;TEXT(Pruebas_Auditoria!K236,"$#,##0")&amp;" de intereses no causados al corte y el AJE-2 de reclasificación a corto plazo. La conclusión queda sujeta a los "&amp;Pendientes!$D$20&amp;" pendientes de soporte."</f>
        <v>Con base en los procedimientos aplicados, el auxiliar de la cuenta 21 cuadra con el balance y el saldo reconstruido por obligación explica el 100% del balance. El detalle 62 del cliente NO es confiable para leasing: proviene de tablas teóricas (tasa fija) y omite el leasing Bancolombia 386735 y el leasing GECOLSA (Davivienda). Los créditos cuadran con los extractos (redondeos). Se proponen el AJE-1 por $187,705,390 de intereses no causados al corte y el AJE-2 de reclasificación a corto plazo. La conclusión queda sujeta a los 14 pendientes de soporte.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7" customFormat="false" ht="15" hidden="false" customHeight="true" outlineLevel="0" collapsed="false">
      <c r="C147" s="9" t="s">
        <v>172</v>
      </c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</row>
    <row r="148" customFormat="false" ht="15" hidden="false" customHeight="true" outlineLevel="0" collapsed="false">
      <c r="B148" s="2" t="s">
        <v>173</v>
      </c>
      <c r="C148" s="3" t="s">
        <v>174</v>
      </c>
      <c r="D148" s="3"/>
      <c r="E148" s="3"/>
      <c r="F148" s="3"/>
      <c r="G148" s="3"/>
      <c r="H148" s="3"/>
      <c r="I148" s="3"/>
      <c r="J148" s="3"/>
    </row>
    <row r="149" customFormat="false" ht="15" hidden="false" customHeight="true" outlineLevel="0" collapsed="false">
      <c r="B149" s="2" t="s">
        <v>175</v>
      </c>
      <c r="C149" s="3" t="s">
        <v>176</v>
      </c>
      <c r="D149" s="3"/>
      <c r="E149" s="3"/>
      <c r="F149" s="3"/>
      <c r="G149" s="3"/>
      <c r="H149" s="3"/>
      <c r="I149" s="3"/>
      <c r="J149" s="3"/>
    </row>
    <row r="150" customFormat="false" ht="15" hidden="false" customHeight="true" outlineLevel="0" collapsed="false">
      <c r="B150" s="2" t="s">
        <v>177</v>
      </c>
      <c r="C150" s="3" t="s">
        <v>178</v>
      </c>
      <c r="D150" s="3"/>
      <c r="E150" s="3"/>
      <c r="F150" s="3"/>
      <c r="G150" s="3"/>
      <c r="H150" s="3"/>
      <c r="I150" s="3"/>
      <c r="J150" s="3"/>
    </row>
    <row r="151" customFormat="false" ht="15" hidden="false" customHeight="true" outlineLevel="0" collapsed="false">
      <c r="B151" s="2" t="s">
        <v>179</v>
      </c>
      <c r="C151" s="3" t="s">
        <v>180</v>
      </c>
      <c r="D151" s="3"/>
      <c r="E151" s="3"/>
      <c r="F151" s="3"/>
      <c r="G151" s="3"/>
      <c r="H151" s="3"/>
      <c r="I151" s="3"/>
      <c r="J151" s="3"/>
    </row>
    <row r="152" customFormat="false" ht="15" hidden="false" customHeight="true" outlineLevel="0" collapsed="false">
      <c r="B152" s="2" t="s">
        <v>181</v>
      </c>
      <c r="C152" s="3" t="s">
        <v>182</v>
      </c>
      <c r="D152" s="3"/>
      <c r="E152" s="3"/>
      <c r="F152" s="3"/>
      <c r="G152" s="3"/>
      <c r="H152" s="3"/>
      <c r="I152" s="3"/>
      <c r="J152" s="3"/>
    </row>
    <row r="153" customFormat="false" ht="15" hidden="false" customHeight="true" outlineLevel="0" collapsed="false">
      <c r="B153" s="2" t="s">
        <v>183</v>
      </c>
      <c r="C153" s="3" t="s">
        <v>184</v>
      </c>
      <c r="D153" s="3"/>
      <c r="E153" s="3"/>
      <c r="F153" s="3"/>
      <c r="G153" s="3"/>
      <c r="H153" s="3"/>
      <c r="I153" s="3"/>
      <c r="J153" s="3"/>
    </row>
    <row r="155" customFormat="false" ht="15" hidden="false" customHeight="true" outlineLevel="0" collapsed="false">
      <c r="C155" s="9" t="s">
        <v>185</v>
      </c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</row>
    <row r="156" customFormat="false" ht="15" hidden="false" customHeight="false" outlineLevel="0" collapsed="false">
      <c r="C156" s="18" t="s">
        <v>186</v>
      </c>
      <c r="F156" s="18" t="s">
        <v>187</v>
      </c>
      <c r="I156" s="18" t="s">
        <v>64</v>
      </c>
      <c r="L156" s="18" t="s">
        <v>188</v>
      </c>
    </row>
    <row r="157" customFormat="false" ht="15" hidden="false" customHeight="false" outlineLevel="0" collapsed="false">
      <c r="C157" s="18" t="s">
        <v>189</v>
      </c>
      <c r="F157" s="18" t="s">
        <v>190</v>
      </c>
      <c r="I157" s="18" t="s">
        <v>68</v>
      </c>
      <c r="L157" s="18" t="s">
        <v>49</v>
      </c>
    </row>
    <row r="158" customFormat="false" ht="15" hidden="false" customHeight="false" outlineLevel="0" collapsed="false">
      <c r="C158" s="18" t="s">
        <v>70</v>
      </c>
      <c r="F158" s="18" t="s">
        <v>191</v>
      </c>
      <c r="I158" s="18" t="s">
        <v>192</v>
      </c>
      <c r="L158" s="18" t="s">
        <v>193</v>
      </c>
    </row>
    <row r="159" customFormat="false" ht="15" hidden="false" customHeight="false" outlineLevel="0" collapsed="false">
      <c r="C159" s="18" t="s">
        <v>194</v>
      </c>
      <c r="F159" s="18" t="s">
        <v>195</v>
      </c>
    </row>
  </sheetData>
  <mergeCells count="93">
    <mergeCell ref="C2:I2"/>
    <mergeCell ref="D4:I4"/>
    <mergeCell ref="D5:I5"/>
    <mergeCell ref="D6:I6"/>
    <mergeCell ref="D7:I7"/>
    <mergeCell ref="N7:P7"/>
    <mergeCell ref="D8:I8"/>
    <mergeCell ref="D9:I9"/>
    <mergeCell ref="D10:I10"/>
    <mergeCell ref="C12:P12"/>
    <mergeCell ref="C13:P13"/>
    <mergeCell ref="C14:P14"/>
    <mergeCell ref="C15:P15"/>
    <mergeCell ref="C16:P16"/>
    <mergeCell ref="C18:P18"/>
    <mergeCell ref="C19:P19"/>
    <mergeCell ref="C21:P21"/>
    <mergeCell ref="C22:P22"/>
    <mergeCell ref="C24:P24"/>
    <mergeCell ref="E25:H25"/>
    <mergeCell ref="I25:P25"/>
    <mergeCell ref="E26:H26"/>
    <mergeCell ref="I26:P26"/>
    <mergeCell ref="E27:H27"/>
    <mergeCell ref="I27:P27"/>
    <mergeCell ref="E28:H28"/>
    <mergeCell ref="I28:P28"/>
    <mergeCell ref="E29:H29"/>
    <mergeCell ref="I29:P29"/>
    <mergeCell ref="E30:H30"/>
    <mergeCell ref="I30:P30"/>
    <mergeCell ref="E31:H31"/>
    <mergeCell ref="I31:P31"/>
    <mergeCell ref="E32:H32"/>
    <mergeCell ref="I32:P32"/>
    <mergeCell ref="C34:P34"/>
    <mergeCell ref="C35:P35"/>
    <mergeCell ref="C37:P37"/>
    <mergeCell ref="C38:H38"/>
    <mergeCell ref="I38:K38"/>
    <mergeCell ref="L38:P38"/>
    <mergeCell ref="C39:H39"/>
    <mergeCell ref="I39:K39"/>
    <mergeCell ref="L39:P39"/>
    <mergeCell ref="C40:H40"/>
    <mergeCell ref="I40:K40"/>
    <mergeCell ref="L40:P40"/>
    <mergeCell ref="C41:H41"/>
    <mergeCell ref="I41:K41"/>
    <mergeCell ref="L41:P41"/>
    <mergeCell ref="C42:H42"/>
    <mergeCell ref="I42:K42"/>
    <mergeCell ref="L42:P42"/>
    <mergeCell ref="C43:H43"/>
    <mergeCell ref="I43:K43"/>
    <mergeCell ref="L43:P43"/>
    <mergeCell ref="C44:H44"/>
    <mergeCell ref="I44:K44"/>
    <mergeCell ref="L44:P44"/>
    <mergeCell ref="C45:H45"/>
    <mergeCell ref="I45:K45"/>
    <mergeCell ref="L45:P45"/>
    <mergeCell ref="C46:H46"/>
    <mergeCell ref="I46:K46"/>
    <mergeCell ref="L46:P46"/>
    <mergeCell ref="C47:H47"/>
    <mergeCell ref="I47:K47"/>
    <mergeCell ref="L47:P47"/>
    <mergeCell ref="C49:P49"/>
    <mergeCell ref="C50:P50"/>
    <mergeCell ref="C51:P51"/>
    <mergeCell ref="C52:P52"/>
    <mergeCell ref="C53:P53"/>
    <mergeCell ref="C54:P54"/>
    <mergeCell ref="C55:P55"/>
    <mergeCell ref="C57:P57"/>
    <mergeCell ref="C65:P65"/>
    <mergeCell ref="C117:P117"/>
    <mergeCell ref="C127:P127"/>
    <mergeCell ref="C129:D129"/>
    <mergeCell ref="C130:D130"/>
    <mergeCell ref="C131:D131"/>
    <mergeCell ref="C133:P133"/>
    <mergeCell ref="C144:P144"/>
    <mergeCell ref="C145:P145"/>
    <mergeCell ref="C147:P147"/>
    <mergeCell ref="C148:J148"/>
    <mergeCell ref="C149:J149"/>
    <mergeCell ref="C150:J150"/>
    <mergeCell ref="C151:J151"/>
    <mergeCell ref="C152:J152"/>
    <mergeCell ref="C153:J153"/>
    <mergeCell ref="C155:P155"/>
  </mergeCells>
  <hyperlinks>
    <hyperlink ref="C156" location="'Resumen'!A1" display="Resumen"/>
    <hyperlink ref="F156" location="'Pruebas_Auditoria'!A1" display="Pruebas_Auditoria"/>
    <hyperlink ref="I156" location="'Tablas_Amortizacion'!A1" display="Tablas_Amortizacion"/>
    <hyperlink ref="L156" location="'Hallazgos'!A1" display="Hallazgos"/>
    <hyperlink ref="C157" location="'Pendientes'!A1" display="Pendientes"/>
    <hyperlink ref="F157" location="'Cruce_Detalle_Mayor'!A1" display="Cruce_Detalle_Mayor"/>
    <hyperlink ref="I157" location="'Intereses_x_Obligacion'!A1" display="Intereses_x_Obligacion"/>
    <hyperlink ref="L157" location="'Clasif_CP_LP'!A1" display="Clasif_CP_LP"/>
    <hyperlink ref="C158" location="'Gasto_Intereses'!A1" display="Gasto_Intereses"/>
    <hyperlink ref="F158" location="'Detalle_62'!A1" display="Detalle_62"/>
    <hyperlink ref="I158" location="'Mayor_Dic25'!A1" display="Mayor_Dic25"/>
    <hyperlink ref="L158" location="'Mayor_Mov'!A1" display="Mayor_Mov"/>
    <hyperlink ref="C159" location="'Balance_21'!A1" display="Balance_21"/>
    <hyperlink ref="F159" location="'Int_Glosas'!A1" display="Int_Glosa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2"/>
    <col collapsed="false" customWidth="true" hidden="false" outlineLevel="0" max="5" min="3" style="0" width="2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9" t="s">
        <v>196</v>
      </c>
    </row>
    <row r="2" customFormat="false" ht="15" hidden="false" customHeight="false" outlineLevel="0" collapsed="false">
      <c r="A2" s="20" t="s">
        <v>197</v>
      </c>
    </row>
    <row r="4" customFormat="false" ht="15" hidden="false" customHeight="false" outlineLevel="0" collapsed="false">
      <c r="B4" s="21" t="s">
        <v>198</v>
      </c>
      <c r="E4" s="21" t="s">
        <v>199</v>
      </c>
    </row>
    <row r="5" customFormat="false" ht="15" hidden="false" customHeight="false" outlineLevel="0" collapsed="false">
      <c r="B5" s="22" t="s">
        <v>200</v>
      </c>
      <c r="C5" s="23" t="n">
        <v>46234</v>
      </c>
      <c r="E5" s="24" t="str">
        <f aca="false">"Emitido con " &amp; Pendientes!$D$20 &amp; " pendientes"</f>
        <v>Emitido con 14 pendientes</v>
      </c>
      <c r="F5" s="24"/>
    </row>
    <row r="6" customFormat="false" ht="15" hidden="false" customHeight="false" outlineLevel="0" collapsed="false">
      <c r="B6" s="22" t="s">
        <v>201</v>
      </c>
      <c r="C6" s="25" t="n">
        <v>1000</v>
      </c>
      <c r="E6" s="20" t="s">
        <v>202</v>
      </c>
    </row>
    <row r="7" customFormat="false" ht="15" hidden="false" customHeight="false" outlineLevel="0" collapsed="false">
      <c r="B7" s="22" t="s">
        <v>203</v>
      </c>
      <c r="C7" s="26" t="n">
        <v>0.02</v>
      </c>
    </row>
    <row r="9" customFormat="false" ht="15" hidden="false" customHeight="false" outlineLevel="0" collapsed="false">
      <c r="B9" s="21" t="s">
        <v>204</v>
      </c>
    </row>
    <row r="10" customFormat="false" ht="30" hidden="false" customHeight="true" outlineLevel="0" collapsed="false">
      <c r="A10" s="27"/>
      <c r="B10" s="27" t="s">
        <v>205</v>
      </c>
      <c r="C10" s="27" t="s">
        <v>206</v>
      </c>
      <c r="D10" s="27" t="s">
        <v>207</v>
      </c>
      <c r="E10" s="27" t="s">
        <v>157</v>
      </c>
      <c r="F10" s="27" t="s">
        <v>208</v>
      </c>
    </row>
    <row r="11" customFormat="false" ht="25.5" hidden="false" customHeight="true" outlineLevel="0" collapsed="false">
      <c r="B11" s="11" t="s">
        <v>209</v>
      </c>
      <c r="C11" s="28" t="n">
        <f aca="false">Pruebas_Auditoria!F21</f>
        <v>-46662703043.22</v>
      </c>
      <c r="D11" s="28" t="n">
        <f aca="false">Pruebas_Auditoria!G21</f>
        <v>-46662703043.22</v>
      </c>
      <c r="E11" s="28" t="n">
        <f aca="false">C11-D11</f>
        <v>0</v>
      </c>
      <c r="F11" s="29" t="str">
        <f aca="false">IF(ABS(E11)&lt;=$C$6,"OK","DIFERENCIA")</f>
        <v>OK</v>
      </c>
    </row>
    <row r="12" customFormat="false" ht="25.5" hidden="false" customHeight="true" outlineLevel="0" collapsed="false">
      <c r="B12" s="11" t="s">
        <v>210</v>
      </c>
      <c r="C12" s="28" t="n">
        <f aca="false">Balance_21!$C$40</f>
        <v>0</v>
      </c>
      <c r="D12" s="28" t="n">
        <f aca="false">0</f>
        <v>0</v>
      </c>
      <c r="E12" s="28" t="n">
        <f aca="false">C12-D12</f>
        <v>0</v>
      </c>
      <c r="F12" s="29" t="str">
        <f aca="false">IF(ABS(E12)&lt;=$C$6,"OK","DIFERENCIA")</f>
        <v>OK</v>
      </c>
    </row>
    <row r="13" customFormat="false" ht="25.5" hidden="false" customHeight="true" outlineLevel="0" collapsed="false">
      <c r="B13" s="11" t="s">
        <v>211</v>
      </c>
      <c r="C13" s="28" t="n">
        <f aca="false">Detalle_62!F36</f>
        <v>45185912116.9625</v>
      </c>
      <c r="D13" s="28" t="n">
        <f aca="false">Detalle_62!F37</f>
        <v>45185912116.9625</v>
      </c>
      <c r="E13" s="28" t="n">
        <f aca="false">C13-D13</f>
        <v>0</v>
      </c>
      <c r="F13" s="29" t="str">
        <f aca="false">IF(ABS(E13)&lt;=$C$6,"OK","DIFERENCIA")</f>
        <v>OK</v>
      </c>
    </row>
    <row r="14" customFormat="false" ht="25.5" hidden="false" customHeight="true" outlineLevel="0" collapsed="false">
      <c r="B14" s="11" t="s">
        <v>212</v>
      </c>
      <c r="C14" s="28" t="n">
        <f aca="false">Cruce_Detalle_Mayor!D6</f>
        <v>38300666665.3333</v>
      </c>
      <c r="D14" s="28" t="n">
        <f aca="false">Cruce_Detalle_Mayor!E6</f>
        <v>38300666666</v>
      </c>
      <c r="E14" s="28" t="n">
        <f aca="false">C14-D14</f>
        <v>-0.666664123535156</v>
      </c>
      <c r="F14" s="29" t="str">
        <f aca="false">IF(ABS(E14)&lt;=$C$6,"OK","DIFERENCIA")</f>
        <v>OK</v>
      </c>
    </row>
    <row r="15" customFormat="false" ht="25.5" hidden="false" customHeight="true" outlineLevel="0" collapsed="false">
      <c r="B15" s="11" t="s">
        <v>213</v>
      </c>
      <c r="C15" s="28" t="n">
        <f aca="false">Cruce_Detalle_Mayor!D7</f>
        <v>6885245451.62914</v>
      </c>
      <c r="D15" s="28" t="n">
        <f aca="false">Cruce_Detalle_Mayor!E7</f>
        <v>7903511628.33</v>
      </c>
      <c r="E15" s="28" t="n">
        <f aca="false">C15-D15</f>
        <v>-1018266176.70086</v>
      </c>
      <c r="F15" s="29" t="str">
        <f aca="false">IF(ABS(E15)&lt;=$C$6,"OK","DIFERENCIA")</f>
        <v>DIFERENCIA</v>
      </c>
    </row>
    <row r="16" customFormat="false" ht="25.5" hidden="false" customHeight="true" outlineLevel="0" collapsed="false">
      <c r="B16" s="11" t="s">
        <v>214</v>
      </c>
      <c r="C16" s="28" t="n">
        <f aca="false">SUMIFS(Pruebas_Auditoria!J57:J73,Pruebas_Auditoria!H57:H73,"&lt;&gt;")</f>
        <v>35993167209.59</v>
      </c>
      <c r="D16" s="28" t="n">
        <f aca="false">SUMIFS(Pruebas_Auditoria!K57:K73,Pruebas_Auditoria!H57:H73,"&lt;&gt;")</f>
        <v>35821567508.9688</v>
      </c>
      <c r="E16" s="28" t="n">
        <f aca="false">C16-D16</f>
        <v>171599700.621231</v>
      </c>
      <c r="F16" s="29" t="str">
        <f aca="false">IF(ABS(E16)&lt;=$C$6,"OK","DIFERENCIA")</f>
        <v>DIFERENCIA</v>
      </c>
    </row>
    <row r="17" customFormat="false" ht="25.5" hidden="false" customHeight="true" outlineLevel="0" collapsed="false">
      <c r="B17" s="11" t="s">
        <v>215</v>
      </c>
      <c r="C17" s="28" t="n">
        <f aca="false">Pruebas_Auditoria!H131</f>
        <v>3329917163.1</v>
      </c>
      <c r="D17" s="28" t="n">
        <f aca="false">Pruebas_Auditoria!I131</f>
        <v>3341892235.57</v>
      </c>
      <c r="E17" s="28" t="n">
        <f aca="false">C17-D17</f>
        <v>-11975072.4700003</v>
      </c>
      <c r="F17" s="29" t="str">
        <f aca="false">IF(ABS(E17)&lt;=$C$6,"OK","DIFERENCIA")</f>
        <v>DIFERENCIA</v>
      </c>
    </row>
    <row r="18" customFormat="false" ht="25.5" hidden="false" customHeight="true" outlineLevel="0" collapsed="false">
      <c r="B18" s="11" t="s">
        <v>216</v>
      </c>
      <c r="C18" s="28" t="n">
        <f aca="false">Pruebas_Auditoria!J209+Pruebas_Auditoria!K209</f>
        <v>1561142009.06015</v>
      </c>
      <c r="D18" s="28" t="n">
        <f aca="false">Pruebas_Auditoria!J209</f>
        <v>1612934504.13</v>
      </c>
      <c r="E18" s="28" t="n">
        <f aca="false">C18-D18</f>
        <v>-51792495.0698545</v>
      </c>
      <c r="F18" s="29" t="str">
        <f aca="false">IF(ABS(E18)&lt;=$C$6,"OK","DIFERENCIA")</f>
        <v>DIFERENCIA</v>
      </c>
    </row>
    <row r="19" customFormat="false" ht="25.5" hidden="false" customHeight="true" outlineLevel="0" collapsed="false">
      <c r="B19" s="11" t="s">
        <v>217</v>
      </c>
      <c r="C19" s="28" t="n">
        <f aca="false">Pruebas_Auditoria!I236</f>
        <v>615094407.203176</v>
      </c>
      <c r="D19" s="28" t="n">
        <f aca="false">Pruebas_Auditoria!J236</f>
        <v>427389017</v>
      </c>
      <c r="E19" s="28" t="n">
        <f aca="false">C19-D19</f>
        <v>187705390.203176</v>
      </c>
      <c r="F19" s="29" t="str">
        <f aca="false">IF(ABS(E19)&lt;=$C$6,"OK","DIFERENCIA")</f>
        <v>DIFERENCIA</v>
      </c>
    </row>
    <row r="20" customFormat="false" ht="25.5" hidden="false" customHeight="true" outlineLevel="0" collapsed="false">
      <c r="B20" s="11" t="s">
        <v>218</v>
      </c>
      <c r="C20" s="28" t="n">
        <f aca="false">Pruebas_Auditoria!J236</f>
        <v>427389017</v>
      </c>
      <c r="D20" s="28" t="n">
        <f aca="false">-Balance_21!$F$25</f>
        <v>427389017.16</v>
      </c>
      <c r="E20" s="28" t="n">
        <f aca="false">C20-D20</f>
        <v>-0.160000026226044</v>
      </c>
      <c r="F20" s="29" t="str">
        <f aca="false">IF(ABS(E20)&lt;=$C$6,"OK","DIFERENCIA")</f>
        <v>OK</v>
      </c>
    </row>
    <row r="22" customFormat="false" ht="15" hidden="false" customHeight="false" outlineLevel="0" collapsed="false">
      <c r="B22" s="21" t="s">
        <v>219</v>
      </c>
    </row>
    <row r="23" customFormat="false" ht="15" hidden="false" customHeight="false" outlineLevel="0" collapsed="false">
      <c r="B23" s="22" t="s">
        <v>220</v>
      </c>
      <c r="C23" s="25" t="n">
        <f aca="false">Gasto_Intereses!B5</f>
        <v>46204178294.33</v>
      </c>
    </row>
    <row r="24" customFormat="false" ht="15" hidden="false" customHeight="false" outlineLevel="0" collapsed="false">
      <c r="B24" s="22" t="s">
        <v>221</v>
      </c>
      <c r="C24" s="25" t="n">
        <f aca="false">Detalle_62!F36</f>
        <v>45185912116.9625</v>
      </c>
    </row>
    <row r="25" customFormat="false" ht="15" hidden="false" customHeight="false" outlineLevel="0" collapsed="false">
      <c r="B25" s="22" t="s">
        <v>222</v>
      </c>
      <c r="C25" s="25" t="n">
        <f aca="false">Cruce_Detalle_Mayor!F14</f>
        <v>675837500</v>
      </c>
    </row>
    <row r="26" customFormat="false" ht="15" hidden="false" customHeight="false" outlineLevel="0" collapsed="false">
      <c r="B26" s="22" t="s">
        <v>223</v>
      </c>
      <c r="C26" s="25" t="n">
        <f aca="false">Cruce_Detalle_Mayor!F15</f>
        <v>213861900</v>
      </c>
    </row>
    <row r="27" customFormat="false" ht="15" hidden="false" customHeight="false" outlineLevel="0" collapsed="false">
      <c r="B27" s="22" t="s">
        <v>224</v>
      </c>
      <c r="C27" s="25" t="n">
        <f aca="false">Cruce_Detalle_Mayor!F16</f>
        <v>171608255.694557</v>
      </c>
    </row>
    <row r="28" customFormat="false" ht="15" hidden="false" customHeight="false" outlineLevel="0" collapsed="false">
      <c r="B28" s="22" t="s">
        <v>225</v>
      </c>
      <c r="C28" s="25" t="n">
        <f aca="false">Cruce_Detalle_Mayor!F19</f>
        <v>0</v>
      </c>
    </row>
    <row r="29" customFormat="false" ht="15" hidden="false" customHeight="false" outlineLevel="0" collapsed="false">
      <c r="B29" s="22" t="s">
        <v>226</v>
      </c>
      <c r="C29" s="26" t="n">
        <f aca="false">Pruebas_Auditoria!$K$87</f>
        <v>0.850428591179834</v>
      </c>
    </row>
    <row r="30" customFormat="false" ht="15" hidden="false" customHeight="false" outlineLevel="0" collapsed="false">
      <c r="B30" s="22" t="s">
        <v>227</v>
      </c>
      <c r="C30" s="25" t="n">
        <f aca="false">Pruebas_Auditoria!K236</f>
        <v>187705390.203176</v>
      </c>
    </row>
    <row r="31" customFormat="false" ht="15" hidden="false" customHeight="false" outlineLevel="0" collapsed="false">
      <c r="B31" s="22" t="s">
        <v>228</v>
      </c>
      <c r="C31" s="25" t="n">
        <f aca="false">Clasif_CP_LP!B11+Clasif_CP_LP!B12</f>
        <v>1576635656.01412</v>
      </c>
    </row>
    <row r="32" customFormat="false" ht="15" hidden="false" customHeight="false" outlineLevel="0" collapsed="false">
      <c r="B32" s="22" t="s">
        <v>229</v>
      </c>
      <c r="C32" s="26" t="n">
        <f aca="false">Gasto_Intereses!$B$18</f>
        <v>-0.0712621527718563</v>
      </c>
    </row>
    <row r="33" customFormat="false" ht="15" hidden="false" customHeight="false" outlineLevel="0" collapsed="false">
      <c r="B33" s="22" t="s">
        <v>230</v>
      </c>
      <c r="C33" s="30" t="str">
        <f aca="false">Gasto_Intereses!$B$20</f>
        <v>Gasto razonable dentro del umbral</v>
      </c>
    </row>
    <row r="35" customFormat="false" ht="15" hidden="false" customHeight="false" outlineLevel="0" collapsed="false">
      <c r="B35" s="21" t="s">
        <v>231</v>
      </c>
    </row>
    <row r="36" customFormat="false" ht="39.75" hidden="false" customHeight="true" outlineLevel="0" collapsed="false">
      <c r="B36" s="11" t="s">
        <v>232</v>
      </c>
      <c r="C36" s="11"/>
      <c r="D36" s="11"/>
      <c r="E36" s="11"/>
      <c r="F36" s="11"/>
    </row>
    <row r="37" customFormat="false" ht="39.75" hidden="false" customHeight="true" outlineLevel="0" collapsed="false">
      <c r="B37" s="11" t="s">
        <v>233</v>
      </c>
      <c r="C37" s="11"/>
      <c r="D37" s="11"/>
      <c r="E37" s="11"/>
      <c r="F37" s="11"/>
    </row>
    <row r="38" customFormat="false" ht="39.75" hidden="false" customHeight="true" outlineLevel="0" collapsed="false">
      <c r="B38" s="11" t="s">
        <v>234</v>
      </c>
      <c r="C38" s="11"/>
      <c r="D38" s="11"/>
      <c r="E38" s="11"/>
      <c r="F38" s="11"/>
    </row>
    <row r="39" customFormat="false" ht="39.75" hidden="false" customHeight="true" outlineLevel="0" collapsed="false">
      <c r="B39" s="11" t="s">
        <v>235</v>
      </c>
      <c r="C39" s="11"/>
      <c r="D39" s="11"/>
      <c r="E39" s="11"/>
      <c r="F39" s="11"/>
    </row>
    <row r="40" customFormat="false" ht="39.75" hidden="false" customHeight="true" outlineLevel="0" collapsed="false">
      <c r="B40" s="11" t="s">
        <v>236</v>
      </c>
      <c r="C40" s="11"/>
      <c r="D40" s="11"/>
      <c r="E40" s="11"/>
      <c r="F40" s="11"/>
    </row>
    <row r="41" customFormat="false" ht="39.75" hidden="false" customHeight="true" outlineLevel="0" collapsed="false">
      <c r="B41" s="11" t="s">
        <v>237</v>
      </c>
      <c r="C41" s="11"/>
      <c r="D41" s="11"/>
      <c r="E41" s="11"/>
      <c r="F41" s="11"/>
    </row>
    <row r="43" customFormat="false" ht="15" hidden="false" customHeight="false" outlineLevel="0" collapsed="false">
      <c r="B43" s="21" t="s">
        <v>238</v>
      </c>
    </row>
    <row r="44" customFormat="false" ht="15" hidden="false" customHeight="false" outlineLevel="0" collapsed="false">
      <c r="B44" s="29" t="s">
        <v>193</v>
      </c>
      <c r="C44" s="22" t="s">
        <v>239</v>
      </c>
      <c r="D44" s="22"/>
      <c r="E44" s="22"/>
      <c r="F44" s="22"/>
    </row>
    <row r="45" customFormat="false" ht="15" hidden="false" customHeight="false" outlineLevel="0" collapsed="false">
      <c r="B45" s="29" t="s">
        <v>194</v>
      </c>
      <c r="C45" s="22" t="s">
        <v>240</v>
      </c>
      <c r="D45" s="22"/>
      <c r="E45" s="22"/>
      <c r="F45" s="22"/>
    </row>
    <row r="46" customFormat="false" ht="15" hidden="false" customHeight="false" outlineLevel="0" collapsed="false">
      <c r="B46" s="29" t="s">
        <v>187</v>
      </c>
      <c r="C46" s="22" t="s">
        <v>241</v>
      </c>
      <c r="D46" s="22"/>
      <c r="E46" s="22"/>
      <c r="F46" s="22"/>
    </row>
    <row r="47" customFormat="false" ht="15" hidden="false" customHeight="false" outlineLevel="0" collapsed="false">
      <c r="B47" s="29" t="s">
        <v>64</v>
      </c>
      <c r="C47" s="22" t="s">
        <v>242</v>
      </c>
      <c r="D47" s="22"/>
      <c r="E47" s="22"/>
      <c r="F47" s="22"/>
    </row>
    <row r="48" customFormat="false" ht="15" hidden="false" customHeight="false" outlineLevel="0" collapsed="false">
      <c r="B48" s="29" t="s">
        <v>191</v>
      </c>
      <c r="C48" s="22" t="s">
        <v>243</v>
      </c>
      <c r="D48" s="22"/>
      <c r="E48" s="22"/>
      <c r="F48" s="22"/>
    </row>
    <row r="49" customFormat="false" ht="15" hidden="false" customHeight="false" outlineLevel="0" collapsed="false">
      <c r="B49" s="29" t="s">
        <v>190</v>
      </c>
      <c r="C49" s="22" t="s">
        <v>244</v>
      </c>
      <c r="D49" s="22"/>
      <c r="E49" s="22"/>
      <c r="F49" s="22"/>
    </row>
    <row r="50" customFormat="false" ht="15" hidden="false" customHeight="false" outlineLevel="0" collapsed="false">
      <c r="B50" s="29" t="s">
        <v>70</v>
      </c>
      <c r="C50" s="22" t="s">
        <v>245</v>
      </c>
      <c r="D50" s="22"/>
      <c r="E50" s="22"/>
      <c r="F50" s="22"/>
    </row>
    <row r="51" customFormat="false" ht="15" hidden="false" customHeight="false" outlineLevel="0" collapsed="false">
      <c r="B51" s="29" t="s">
        <v>49</v>
      </c>
      <c r="C51" s="22" t="s">
        <v>246</v>
      </c>
      <c r="D51" s="22"/>
      <c r="E51" s="22"/>
      <c r="F51" s="22"/>
    </row>
    <row r="52" customFormat="false" ht="15" hidden="false" customHeight="false" outlineLevel="0" collapsed="false">
      <c r="B52" s="29" t="s">
        <v>188</v>
      </c>
      <c r="C52" s="22" t="s">
        <v>247</v>
      </c>
      <c r="D52" s="22"/>
      <c r="E52" s="22"/>
      <c r="F52" s="22"/>
    </row>
    <row r="53" customFormat="false" ht="15" hidden="false" customHeight="false" outlineLevel="0" collapsed="false">
      <c r="B53" s="29" t="s">
        <v>189</v>
      </c>
      <c r="C53" s="22" t="s">
        <v>248</v>
      </c>
      <c r="D53" s="22"/>
      <c r="E53" s="22"/>
      <c r="F53" s="22"/>
    </row>
    <row r="54" customFormat="false" ht="15" hidden="false" customHeight="false" outlineLevel="0" collapsed="false">
      <c r="B54" s="29" t="s">
        <v>249</v>
      </c>
      <c r="C54" s="22" t="s">
        <v>250</v>
      </c>
      <c r="D54" s="22"/>
      <c r="E54" s="22"/>
      <c r="F54" s="22"/>
    </row>
    <row r="55" customFormat="false" ht="15" hidden="false" customHeight="false" outlineLevel="0" collapsed="false">
      <c r="B55" s="29" t="s">
        <v>192</v>
      </c>
      <c r="C55" s="22" t="s">
        <v>251</v>
      </c>
      <c r="D55" s="22"/>
      <c r="E55" s="22"/>
      <c r="F55" s="22"/>
    </row>
    <row r="56" customFormat="false" ht="15" hidden="false" customHeight="false" outlineLevel="0" collapsed="false">
      <c r="B56" s="29" t="s">
        <v>68</v>
      </c>
      <c r="C56" s="22" t="s">
        <v>252</v>
      </c>
      <c r="D56" s="22"/>
      <c r="E56" s="22"/>
      <c r="F56" s="22"/>
    </row>
    <row r="57" customFormat="false" ht="15" hidden="false" customHeight="false" outlineLevel="0" collapsed="false">
      <c r="B57" s="29" t="s">
        <v>195</v>
      </c>
      <c r="C57" s="22" t="s">
        <v>253</v>
      </c>
      <c r="D57" s="22"/>
      <c r="E57" s="22"/>
      <c r="F57" s="22"/>
    </row>
  </sheetData>
  <mergeCells count="21">
    <mergeCell ref="E5:F5"/>
    <mergeCell ref="B36:F36"/>
    <mergeCell ref="B37:F37"/>
    <mergeCell ref="B38:F38"/>
    <mergeCell ref="B39:F39"/>
    <mergeCell ref="B40:F40"/>
    <mergeCell ref="B41:F41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  <mergeCell ref="C56:F56"/>
    <mergeCell ref="C57:F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17"/>
    <col collapsed="false" customWidth="true" hidden="false" outlineLevel="0" max="9" min="9" style="0" width="18"/>
    <col collapsed="false" customWidth="true" hidden="false" outlineLevel="0" max="10" min="10" style="0" width="17"/>
    <col collapsed="false" customWidth="true" hidden="false" outlineLevel="0" max="11" min="11" style="0" width="18"/>
    <col collapsed="false" customWidth="true" hidden="false" outlineLevel="0" max="12" min="12" style="0" width="17"/>
    <col collapsed="false" customWidth="true" hidden="false" outlineLevel="0" max="13" min="13" style="0" width="22"/>
    <col collapsed="false" customWidth="true" hidden="false" outlineLevel="0" max="14" min="14" style="0" width="15"/>
    <col collapsed="false" customWidth="true" hidden="false" outlineLevel="0" max="15" min="15" style="0" width="50"/>
    <col collapsed="false" customWidth="true" hidden="false" outlineLevel="0" max="17" min="16" style="0" width="15"/>
    <col collapsed="false" customWidth="true" hidden="false" outlineLevel="0" max="18" min="18" style="0" width="30"/>
    <col collapsed="false" customWidth="true" hidden="false" outlineLevel="0" max="19" min="19" style="0" width="70"/>
  </cols>
  <sheetData>
    <row r="1" customFormat="false" ht="15" hidden="false" customHeight="false" outlineLevel="0" collapsed="false">
      <c r="A1" s="31" t="s">
        <v>254</v>
      </c>
    </row>
    <row r="2" customFormat="false" ht="15" hidden="false" customHeight="false" outlineLevel="0" collapsed="false">
      <c r="A2" s="32" t="s">
        <v>255</v>
      </c>
    </row>
    <row r="3" customFormat="false" ht="15" hidden="false" customHeight="false" outlineLevel="0" collapsed="false">
      <c r="A3" s="32" t="s">
        <v>256</v>
      </c>
    </row>
    <row r="4" customFormat="false" ht="15" hidden="false" customHeight="false" outlineLevel="0" collapsed="false">
      <c r="A4" s="32" t="s">
        <v>257</v>
      </c>
    </row>
    <row r="6" customFormat="false" ht="15" hidden="false" customHeight="false" outlineLevel="0" collapsed="false">
      <c r="A6" s="33" t="s">
        <v>258</v>
      </c>
    </row>
    <row r="7" customFormat="false" ht="15" hidden="false" customHeight="false" outlineLevel="0" collapsed="false">
      <c r="A7" s="34" t="s">
        <v>259</v>
      </c>
    </row>
    <row r="8" customFormat="false" ht="15" hidden="false" customHeight="false" outlineLevel="0" collapsed="false">
      <c r="A8" s="34" t="s">
        <v>260</v>
      </c>
    </row>
    <row r="9" customFormat="false" ht="15" hidden="false" customHeight="false" outlineLevel="0" collapsed="false">
      <c r="A9" s="35" t="str">
        <f aca="false">"Resultado: "&amp;M21&amp;"  –  diferencia total en saldos: "&amp;TEXT(H21,"#,##0")</f>
        <v>Resultado: OK  –  diferencia total en saldos: 0</v>
      </c>
    </row>
    <row r="10" customFormat="false" ht="15" hidden="false" customHeight="false" outlineLevel="0" collapsed="false">
      <c r="A10" s="19" t="s">
        <v>261</v>
      </c>
    </row>
    <row r="11" customFormat="false" ht="15" hidden="false" customHeight="false" outlineLevel="0" collapsed="false">
      <c r="A11" s="20" t="s">
        <v>262</v>
      </c>
    </row>
    <row r="13" customFormat="false" ht="30" hidden="false" customHeight="true" outlineLevel="0" collapsed="false">
      <c r="A13" s="27" t="s">
        <v>168</v>
      </c>
      <c r="B13" s="27" t="s">
        <v>105</v>
      </c>
      <c r="C13" s="27" t="s">
        <v>263</v>
      </c>
      <c r="D13" s="27" t="s">
        <v>264</v>
      </c>
      <c r="E13" s="27" t="s">
        <v>265</v>
      </c>
      <c r="F13" s="27" t="s">
        <v>266</v>
      </c>
      <c r="G13" s="27" t="s">
        <v>267</v>
      </c>
      <c r="H13" s="27" t="s">
        <v>268</v>
      </c>
      <c r="I13" s="27" t="s">
        <v>269</v>
      </c>
      <c r="J13" s="27" t="s">
        <v>270</v>
      </c>
      <c r="K13" s="27" t="s">
        <v>271</v>
      </c>
      <c r="L13" s="27" t="s">
        <v>272</v>
      </c>
      <c r="M13" s="27" t="s">
        <v>208</v>
      </c>
    </row>
    <row r="14" customFormat="false" ht="15" hidden="false" customHeight="false" outlineLevel="0" collapsed="false">
      <c r="A14" s="22" t="s">
        <v>273</v>
      </c>
      <c r="B14" s="30" t="str">
        <f aca="false">INDEX(Balance_21!$B$6:$B$36,MATCH(A14,Balance_21!$A$6:$A$36,0))</f>
        <v>Obl.Financiera Corto Plazo</v>
      </c>
      <c r="C14" s="25" t="n">
        <f aca="false">Balance_21!$C$16</f>
        <v>-17938333333</v>
      </c>
      <c r="D14" s="25" t="n">
        <f aca="false">SUMIFS(Mayor_Mov!$E$5:$E$445,Mayor_Mov!$B$5:$B$445,A14)</f>
        <v>24700000000</v>
      </c>
      <c r="E14" s="25" t="n">
        <f aca="false">SUMIFS(Mayor_Mov!$F$5:$F$445,Mayor_Mov!$B$5:$B$445,A14)</f>
        <v>24700000000</v>
      </c>
      <c r="F14" s="25" t="n">
        <f aca="false">C14+D14-E14</f>
        <v>-17938333333</v>
      </c>
      <c r="G14" s="25" t="n">
        <f aca="false">Balance_21!$F$16</f>
        <v>-17938333333</v>
      </c>
      <c r="H14" s="25" t="n">
        <f aca="false">F14-G14</f>
        <v>0</v>
      </c>
      <c r="I14" s="25" t="n">
        <f aca="false">Balance_21!$D$16</f>
        <v>24700000000</v>
      </c>
      <c r="J14" s="25" t="n">
        <f aca="false">D14-I14</f>
        <v>0</v>
      </c>
      <c r="K14" s="25" t="n">
        <f aca="false">Balance_21!$E$16</f>
        <v>24700000000</v>
      </c>
      <c r="L14" s="25" t="n">
        <f aca="false">E14-K14</f>
        <v>0</v>
      </c>
      <c r="M14" s="30" t="str">
        <f aca="false">IF(MAX(ABS(H14),ABS(J14),ABS(L14))&lt;=Resumen!$C$6,"OK","DIFERENCIA")</f>
        <v>OK</v>
      </c>
    </row>
    <row r="15" customFormat="false" ht="15" hidden="false" customHeight="false" outlineLevel="0" collapsed="false">
      <c r="A15" s="22" t="s">
        <v>274</v>
      </c>
      <c r="B15" s="30" t="str">
        <f aca="false">INDEX(Balance_21!$B$6:$B$36,MATCH(A15,Balance_21!$A$6:$A$36,0))</f>
        <v>Obg.Financiera Largo Plazo</v>
      </c>
      <c r="C15" s="25" t="n">
        <f aca="false">Balance_21!$C$18</f>
        <v>-23368333333</v>
      </c>
      <c r="D15" s="25" t="n">
        <f aca="false">SUMIFS(Mayor_Mov!$E$5:$E$445,Mayor_Mov!$B$5:$B$445,A15)</f>
        <v>3006000000</v>
      </c>
      <c r="E15" s="25" t="n">
        <f aca="false">SUMIFS(Mayor_Mov!$F$5:$F$445,Mayor_Mov!$B$5:$B$445,A15)</f>
        <v>0</v>
      </c>
      <c r="F15" s="25" t="n">
        <f aca="false">C15+D15-E15</f>
        <v>-20362333333</v>
      </c>
      <c r="G15" s="25" t="n">
        <f aca="false">Balance_21!$F$18</f>
        <v>-20362333333</v>
      </c>
      <c r="H15" s="25" t="n">
        <f aca="false">F15-G15</f>
        <v>0</v>
      </c>
      <c r="I15" s="25" t="n">
        <f aca="false">Balance_21!$D$18</f>
        <v>3006000000</v>
      </c>
      <c r="J15" s="25" t="n">
        <f aca="false">D15-I15</f>
        <v>0</v>
      </c>
      <c r="K15" s="25" t="n">
        <f aca="false">Balance_21!$E$18</f>
        <v>0</v>
      </c>
      <c r="L15" s="25" t="n">
        <f aca="false">E15-K15</f>
        <v>0</v>
      </c>
      <c r="M15" s="30" t="str">
        <f aca="false">IF(MAX(ABS(H15),ABS(J15),ABS(L15))&lt;=Resumen!$C$6,"OK","DIFERENCIA")</f>
        <v>OK</v>
      </c>
    </row>
    <row r="16" customFormat="false" ht="15" hidden="false" customHeight="false" outlineLevel="0" collapsed="false">
      <c r="A16" s="22" t="s">
        <v>98</v>
      </c>
      <c r="B16" s="30" t="str">
        <f aca="false">INDEX(Balance_21!$B$6:$B$36,MATCH(A16,Balance_21!$A$6:$A$36,0))</f>
        <v>Tarjeta de Credito por Pagar</v>
      </c>
      <c r="C16" s="25" t="n">
        <f aca="false">Balance_21!$C$19</f>
        <v>-25364582.42</v>
      </c>
      <c r="D16" s="25" t="n">
        <f aca="false">SUMIFS(Mayor_Mov!$E$5:$E$445,Mayor_Mov!$B$5:$B$445,A16)</f>
        <v>117935570.11</v>
      </c>
      <c r="E16" s="25" t="n">
        <f aca="false">SUMIFS(Mayor_Mov!$F$5:$F$445,Mayor_Mov!$B$5:$B$445,A16)</f>
        <v>123706719.42</v>
      </c>
      <c r="F16" s="25" t="n">
        <f aca="false">C16+D16-E16</f>
        <v>-31135731.73</v>
      </c>
      <c r="G16" s="25" t="n">
        <f aca="false">Balance_21!$F$19</f>
        <v>-31135731.73</v>
      </c>
      <c r="H16" s="25" t="n">
        <f aca="false">F16-G16</f>
        <v>0</v>
      </c>
      <c r="I16" s="25" t="n">
        <f aca="false">Balance_21!$D$19</f>
        <v>117935570.11</v>
      </c>
      <c r="J16" s="25" t="n">
        <f aca="false">D16-I16</f>
        <v>0</v>
      </c>
      <c r="K16" s="25" t="n">
        <f aca="false">Balance_21!$E$19</f>
        <v>123706719.42</v>
      </c>
      <c r="L16" s="25" t="n">
        <f aca="false">E16-K16</f>
        <v>0</v>
      </c>
      <c r="M16" s="30" t="str">
        <f aca="false">IF(MAX(ABS(H16),ABS(J16),ABS(L16))&lt;=Resumen!$C$6,"OK","DIFERENCIA")</f>
        <v>OK</v>
      </c>
    </row>
    <row r="17" customFormat="false" ht="15" hidden="false" customHeight="false" outlineLevel="0" collapsed="false">
      <c r="A17" s="22" t="s">
        <v>275</v>
      </c>
      <c r="B17" s="30" t="str">
        <f aca="false">INDEX(Balance_21!$B$6:$B$36,MATCH(A17,Balance_21!$A$6:$A$36,0))</f>
        <v>Leasing Corto Plazo</v>
      </c>
      <c r="C17" s="25" t="n">
        <f aca="false">Balance_21!$C$22</f>
        <v>-585880191.4</v>
      </c>
      <c r="D17" s="25" t="n">
        <f aca="false">SUMIFS(Mayor_Mov!$E$5:$E$445,Mayor_Mov!$B$5:$B$445,A17)</f>
        <v>35428634</v>
      </c>
      <c r="E17" s="25" t="n">
        <f aca="false">SUMIFS(Mayor_Mov!$F$5:$F$445,Mayor_Mov!$B$5:$B$445,A17)</f>
        <v>607791830</v>
      </c>
      <c r="F17" s="25" t="n">
        <f aca="false">C17+D17-E17</f>
        <v>-1158243387.4</v>
      </c>
      <c r="G17" s="25" t="n">
        <f aca="false">Balance_21!$F$22</f>
        <v>-1158243387.4</v>
      </c>
      <c r="H17" s="25" t="n">
        <f aca="false">F17-G17</f>
        <v>0</v>
      </c>
      <c r="I17" s="25" t="n">
        <f aca="false">Balance_21!$D$22</f>
        <v>35428634</v>
      </c>
      <c r="J17" s="25" t="n">
        <f aca="false">D17-I17</f>
        <v>0</v>
      </c>
      <c r="K17" s="25" t="n">
        <f aca="false">Balance_21!$E$22</f>
        <v>607791830</v>
      </c>
      <c r="L17" s="25" t="n">
        <f aca="false">E17-K17</f>
        <v>0</v>
      </c>
      <c r="M17" s="30" t="str">
        <f aca="false">IF(MAX(ABS(H17),ABS(J17),ABS(L17))&lt;=Resumen!$C$6,"OK","DIFERENCIA")</f>
        <v>OK</v>
      </c>
    </row>
    <row r="18" customFormat="false" ht="15" hidden="false" customHeight="false" outlineLevel="0" collapsed="false">
      <c r="A18" s="22" t="s">
        <v>276</v>
      </c>
      <c r="B18" s="30" t="str">
        <f aca="false">INDEX(Balance_21!$B$6:$B$36,MATCH(A18,Balance_21!$A$6:$A$36,0))</f>
        <v>Leasing Largo Plazo</v>
      </c>
      <c r="C18" s="25" t="n">
        <f aca="false">Balance_21!$C$24</f>
        <v>-7544614551.94</v>
      </c>
      <c r="D18" s="25" t="n">
        <f aca="false">SUMIFS(Mayor_Mov!$E$5:$E$445,Mayor_Mov!$B$5:$B$445,A18)</f>
        <v>911081898.01</v>
      </c>
      <c r="E18" s="25" t="n">
        <f aca="false">SUMIFS(Mayor_Mov!$F$5:$F$445,Mayor_Mov!$B$5:$B$445,A18)</f>
        <v>111735587</v>
      </c>
      <c r="F18" s="25" t="n">
        <f aca="false">C18+D18-E18</f>
        <v>-6745268240.93</v>
      </c>
      <c r="G18" s="25" t="n">
        <f aca="false">Balance_21!$F$24</f>
        <v>-6745268240.93</v>
      </c>
      <c r="H18" s="25" t="n">
        <f aca="false">F18-G18</f>
        <v>0</v>
      </c>
      <c r="I18" s="25" t="n">
        <f aca="false">Balance_21!$D$24</f>
        <v>911081898.01</v>
      </c>
      <c r="J18" s="25" t="n">
        <f aca="false">D18-I18</f>
        <v>0</v>
      </c>
      <c r="K18" s="25" t="n">
        <f aca="false">Balance_21!$E$24</f>
        <v>111735587</v>
      </c>
      <c r="L18" s="25" t="n">
        <f aca="false">E18-K18</f>
        <v>0</v>
      </c>
      <c r="M18" s="30" t="str">
        <f aca="false">IF(MAX(ABS(H18),ABS(J18),ABS(L18))&lt;=Resumen!$C$6,"OK","DIFERENCIA")</f>
        <v>OK</v>
      </c>
    </row>
    <row r="19" customFormat="false" ht="15" hidden="false" customHeight="false" outlineLevel="0" collapsed="false">
      <c r="A19" s="22" t="s">
        <v>277</v>
      </c>
      <c r="B19" s="30" t="str">
        <f aca="false">INDEX(Balance_21!$B$6:$B$36,MATCH(A19,Balance_21!$A$6:$A$36,0))</f>
        <v>Intereses Financieros por Pagar O.F.</v>
      </c>
      <c r="C19" s="25" t="n">
        <f aca="false">Balance_21!$C$27</f>
        <v>-1107168370</v>
      </c>
      <c r="D19" s="25" t="n">
        <f aca="false">SUMIFS(Mayor_Mov!$E$5:$E$445,Mayor_Mov!$B$5:$B$445,A19)</f>
        <v>3257045166</v>
      </c>
      <c r="E19" s="25" t="n">
        <f aca="false">SUMIFS(Mayor_Mov!$F$5:$F$445,Mayor_Mov!$B$5:$B$445,A19)</f>
        <v>2573515476</v>
      </c>
      <c r="F19" s="25" t="n">
        <f aca="false">C19+D19-E19</f>
        <v>-423638680</v>
      </c>
      <c r="G19" s="25" t="n">
        <f aca="false">Balance_21!$F$27</f>
        <v>-423638680</v>
      </c>
      <c r="H19" s="25" t="n">
        <f aca="false">F19-G19</f>
        <v>0</v>
      </c>
      <c r="I19" s="25" t="n">
        <f aca="false">Balance_21!$D$27</f>
        <v>3257045166</v>
      </c>
      <c r="J19" s="25" t="n">
        <f aca="false">D19-I19</f>
        <v>0</v>
      </c>
      <c r="K19" s="25" t="n">
        <f aca="false">Balance_21!$E$27</f>
        <v>2573515476</v>
      </c>
      <c r="L19" s="25" t="n">
        <f aca="false">E19-K19</f>
        <v>0</v>
      </c>
      <c r="M19" s="30" t="str">
        <f aca="false">IF(MAX(ABS(H19),ABS(J19),ABS(L19))&lt;=Resumen!$C$6,"OK","DIFERENCIA")</f>
        <v>OK</v>
      </c>
    </row>
    <row r="20" customFormat="false" ht="15" hidden="false" customHeight="false" outlineLevel="0" collapsed="false">
      <c r="A20" s="22" t="s">
        <v>278</v>
      </c>
      <c r="B20" s="30" t="str">
        <f aca="false">INDEX(Balance_21!$B$6:$B$36,MATCH(A20,Balance_21!$A$6:$A$36,0))</f>
        <v>Intereses Leasing por Pagar</v>
      </c>
      <c r="C20" s="25" t="n">
        <f aca="false">Balance_21!$C$28</f>
        <v>-93054514</v>
      </c>
      <c r="D20" s="25" t="n">
        <f aca="false">SUMIFS(Mayor_Mov!$E$5:$E$445,Mayor_Mov!$B$5:$B$445,A20)</f>
        <v>498712747.84</v>
      </c>
      <c r="E20" s="25" t="n">
        <f aca="false">SUMIFS(Mayor_Mov!$F$5:$F$445,Mayor_Mov!$B$5:$B$445,A20)</f>
        <v>409408571</v>
      </c>
      <c r="F20" s="25" t="n">
        <f aca="false">C20+D20-E20</f>
        <v>-3750337.16000003</v>
      </c>
      <c r="G20" s="25" t="n">
        <f aca="false">Balance_21!$F$28</f>
        <v>-3750337.16</v>
      </c>
      <c r="H20" s="25" t="n">
        <f aca="false">F20-G20</f>
        <v>-2.60770320892334E-008</v>
      </c>
      <c r="I20" s="25" t="n">
        <f aca="false">Balance_21!$D$28</f>
        <v>498712747.84</v>
      </c>
      <c r="J20" s="25" t="n">
        <f aca="false">D20-I20</f>
        <v>0</v>
      </c>
      <c r="K20" s="25" t="n">
        <f aca="false">Balance_21!$E$28</f>
        <v>409408571</v>
      </c>
      <c r="L20" s="25" t="n">
        <f aca="false">E20-K20</f>
        <v>0</v>
      </c>
      <c r="M20" s="30" t="str">
        <f aca="false">IF(MAX(ABS(H20),ABS(J20),ABS(L20))&lt;=Resumen!$C$6,"OK","DIFERENCIA")</f>
        <v>OK</v>
      </c>
    </row>
    <row r="21" customFormat="false" ht="15" hidden="false" customHeight="false" outlineLevel="0" collapsed="false">
      <c r="B21" s="36" t="s">
        <v>279</v>
      </c>
      <c r="C21" s="37" t="n">
        <f aca="false">SUM(C14:C20)</f>
        <v>-50662748875.76</v>
      </c>
      <c r="D21" s="37" t="n">
        <f aca="false">SUM(D14:D20)</f>
        <v>32526204015.96</v>
      </c>
      <c r="E21" s="37" t="n">
        <f aca="false">SUM(E14:E20)</f>
        <v>28526158183.42</v>
      </c>
      <c r="F21" s="37" t="n">
        <f aca="false">SUM(F14:F20)</f>
        <v>-46662703043.22</v>
      </c>
      <c r="G21" s="37" t="n">
        <f aca="false">SUM(G14:G20)</f>
        <v>-46662703043.22</v>
      </c>
      <c r="H21" s="37" t="n">
        <f aca="false">SUM(H14:H20)</f>
        <v>-2.60770320892334E-008</v>
      </c>
      <c r="I21" s="37" t="n">
        <f aca="false">SUM(I14:I20)</f>
        <v>32526204015.96</v>
      </c>
      <c r="J21" s="37" t="n">
        <f aca="false">SUM(J14:J20)</f>
        <v>0</v>
      </c>
      <c r="K21" s="37" t="n">
        <f aca="false">SUM(K14:K20)</f>
        <v>28526158183.42</v>
      </c>
      <c r="L21" s="37" t="n">
        <f aca="false">SUM(L14:L20)</f>
        <v>0</v>
      </c>
      <c r="M21" s="38" t="str">
        <f aca="false">IF(MAX(ABS(H21),ABS(J21),ABS(L21))&lt;=Resumen!$C$6,"OK","DIFERENCIA")</f>
        <v>OK</v>
      </c>
    </row>
    <row r="22" customFormat="false" ht="15" hidden="false" customHeight="false" outlineLevel="0" collapsed="false">
      <c r="B22" s="22" t="s">
        <v>280</v>
      </c>
      <c r="C22" s="25" t="n">
        <f aca="false">Balance_21!$C$13</f>
        <v>-50662748875.76</v>
      </c>
      <c r="G22" s="25" t="n">
        <f aca="false">Balance_21!$F$13</f>
        <v>-46662703043.22</v>
      </c>
      <c r="I22" s="25" t="n">
        <f aca="false">Balance_21!$D$13</f>
        <v>32526204015.96</v>
      </c>
      <c r="K22" s="25" t="n">
        <f aca="false">Balance_21!$E$13</f>
        <v>28526158183.42</v>
      </c>
    </row>
    <row r="23" customFormat="false" ht="15" hidden="false" customHeight="false" outlineLevel="0" collapsed="false">
      <c r="B23" s="22" t="s">
        <v>281</v>
      </c>
      <c r="C23" s="25" t="n">
        <f aca="false">C21-C22</f>
        <v>0</v>
      </c>
      <c r="G23" s="25" t="n">
        <f aca="false">G21-G22</f>
        <v>0</v>
      </c>
      <c r="I23" s="25" t="n">
        <f aca="false">I21-I22</f>
        <v>0</v>
      </c>
      <c r="K23" s="25" t="n">
        <f aca="false">K21-K22</f>
        <v>0</v>
      </c>
    </row>
    <row r="25" customFormat="false" ht="15" hidden="false" customHeight="false" outlineLevel="0" collapsed="false">
      <c r="A25" s="21" t="s">
        <v>282</v>
      </c>
    </row>
    <row r="26" customFormat="false" ht="30" hidden="false" customHeight="true" outlineLevel="0" collapsed="false">
      <c r="A26" s="27"/>
      <c r="B26" s="27" t="s">
        <v>159</v>
      </c>
      <c r="C26" s="27" t="s">
        <v>283</v>
      </c>
      <c r="D26" s="27" t="s">
        <v>284</v>
      </c>
      <c r="E26" s="27" t="s">
        <v>157</v>
      </c>
    </row>
    <row r="27" customFormat="false" ht="15" hidden="false" customHeight="false" outlineLevel="0" collapsed="false">
      <c r="B27" s="22" t="s">
        <v>285</v>
      </c>
      <c r="C27" s="28" t="n">
        <v>32526204015.96</v>
      </c>
      <c r="D27" s="25" t="n">
        <f aca="false">Mayor_Mov!E446</f>
        <v>32526204015.96</v>
      </c>
      <c r="E27" s="25" t="n">
        <f aca="false">C27-D27</f>
        <v>0</v>
      </c>
    </row>
    <row r="28" customFormat="false" ht="15" hidden="false" customHeight="false" outlineLevel="0" collapsed="false">
      <c r="B28" s="22" t="s">
        <v>286</v>
      </c>
      <c r="C28" s="28" t="n">
        <v>28526158183.42</v>
      </c>
      <c r="D28" s="25" t="n">
        <f aca="false">Mayor_Mov!F446</f>
        <v>28526158183.42</v>
      </c>
      <c r="E28" s="25" t="n">
        <f aca="false">C28-D28</f>
        <v>0</v>
      </c>
    </row>
    <row r="29" customFormat="false" ht="15" hidden="false" customHeight="false" outlineLevel="0" collapsed="false">
      <c r="B29" s="22" t="s">
        <v>287</v>
      </c>
      <c r="C29" s="28" t="n">
        <v>4000045832.54</v>
      </c>
      <c r="D29" s="25" t="n">
        <f aca="false">Mayor_Mov!G446</f>
        <v>4000045832.54</v>
      </c>
      <c r="E29" s="25" t="n">
        <f aca="false">C29-D29</f>
        <v>0</v>
      </c>
    </row>
    <row r="30" customFormat="false" ht="15" hidden="false" customHeight="false" outlineLevel="0" collapsed="false">
      <c r="B30" s="22" t="s">
        <v>288</v>
      </c>
      <c r="D30" s="25" t="n">
        <f aca="false">COUNTA(Mayor_Mov!$B$5:$B$445)</f>
        <v>441</v>
      </c>
    </row>
    <row r="32" customFormat="false" ht="15" hidden="false" customHeight="false" outlineLevel="0" collapsed="false">
      <c r="A32" s="21" t="s">
        <v>289</v>
      </c>
    </row>
    <row r="33" customFormat="false" ht="30" hidden="false" customHeight="true" outlineLevel="0" collapsed="false">
      <c r="A33" s="27"/>
      <c r="B33" s="27" t="s">
        <v>205</v>
      </c>
      <c r="C33" s="27" t="s">
        <v>206</v>
      </c>
      <c r="D33" s="27" t="s">
        <v>207</v>
      </c>
      <c r="E33" s="27" t="s">
        <v>157</v>
      </c>
      <c r="F33" s="27"/>
      <c r="G33" s="27" t="s">
        <v>290</v>
      </c>
    </row>
    <row r="34" customFormat="false" ht="25.5" hidden="false" customHeight="true" outlineLevel="0" collapsed="false">
      <c r="B34" s="11" t="s">
        <v>291</v>
      </c>
      <c r="C34" s="25" t="n">
        <f aca="false">Balance_21!$F$13</f>
        <v>-46662703043.22</v>
      </c>
      <c r="D34" s="25" t="n">
        <f aca="false">Balance_21!$F$14+Balance_21!$F$20+Balance_21!$F$25</f>
        <v>-46662703043.22</v>
      </c>
      <c r="E34" s="25" t="n">
        <f aca="false">C34-D34</f>
        <v>0</v>
      </c>
      <c r="G34" s="11"/>
      <c r="H34" s="11"/>
      <c r="I34" s="11"/>
      <c r="J34" s="11"/>
      <c r="K34" s="11"/>
      <c r="L34" s="11"/>
      <c r="M34" s="11"/>
    </row>
    <row r="35" customFormat="false" ht="25.5" hidden="false" customHeight="true" outlineLevel="0" collapsed="false">
      <c r="B35" s="11" t="s">
        <v>292</v>
      </c>
      <c r="C35" s="25" t="n">
        <f aca="false">Balance_21!$F$14</f>
        <v>-38331802397.73</v>
      </c>
      <c r="D35" s="25" t="n">
        <f aca="false">Balance_21!$F$15+Balance_21!$F$17</f>
        <v>-38331802397.73</v>
      </c>
      <c r="E35" s="25" t="n">
        <f aca="false">C35-D35</f>
        <v>0</v>
      </c>
      <c r="G35" s="11"/>
      <c r="H35" s="11"/>
      <c r="I35" s="11"/>
      <c r="J35" s="11"/>
      <c r="K35" s="11"/>
      <c r="L35" s="11"/>
      <c r="M35" s="11"/>
    </row>
    <row r="36" customFormat="false" ht="25.5" hidden="false" customHeight="true" outlineLevel="0" collapsed="false">
      <c r="B36" s="11" t="s">
        <v>293</v>
      </c>
      <c r="C36" s="25" t="n">
        <f aca="false">Balance_21!$F$17</f>
        <v>-20393469064.73</v>
      </c>
      <c r="D36" s="25" t="n">
        <f aca="false">Balance_21!$F$18+Balance_21!$F$19</f>
        <v>-20393469064.73</v>
      </c>
      <c r="E36" s="25" t="n">
        <f aca="false">C36-D36</f>
        <v>0</v>
      </c>
      <c r="G36" s="11" t="s">
        <v>294</v>
      </c>
      <c r="H36" s="11"/>
      <c r="I36" s="11"/>
      <c r="J36" s="11"/>
      <c r="K36" s="11"/>
      <c r="L36" s="11"/>
      <c r="M36" s="11"/>
    </row>
    <row r="37" customFormat="false" ht="25.5" hidden="false" customHeight="true" outlineLevel="0" collapsed="false">
      <c r="B37" s="11" t="s">
        <v>295</v>
      </c>
      <c r="C37" s="25" t="n">
        <f aca="false">Balance_21!$F$20</f>
        <v>-7903511628.33</v>
      </c>
      <c r="D37" s="25" t="n">
        <f aca="false">Balance_21!$F$22+Balance_21!$F$24</f>
        <v>-7903511628.33</v>
      </c>
      <c r="E37" s="25" t="n">
        <f aca="false">C37-D37</f>
        <v>0</v>
      </c>
      <c r="G37" s="11"/>
      <c r="H37" s="11"/>
      <c r="I37" s="11"/>
      <c r="J37" s="11"/>
      <c r="K37" s="11"/>
      <c r="L37" s="11"/>
      <c r="M37" s="11"/>
    </row>
    <row r="38" customFormat="false" ht="25.5" hidden="false" customHeight="true" outlineLevel="0" collapsed="false">
      <c r="B38" s="11" t="s">
        <v>296</v>
      </c>
      <c r="C38" s="25" t="n">
        <f aca="false">Balance_21!$F$25</f>
        <v>-427389017.16</v>
      </c>
      <c r="D38" s="25" t="n">
        <f aca="false">Balance_21!$F$27+Balance_21!$F$28</f>
        <v>-427389017.16</v>
      </c>
      <c r="E38" s="25" t="n">
        <f aca="false">C38-D38</f>
        <v>0</v>
      </c>
      <c r="G38" s="11"/>
      <c r="H38" s="11"/>
      <c r="I38" s="11"/>
      <c r="J38" s="11"/>
      <c r="K38" s="11"/>
      <c r="L38" s="11"/>
      <c r="M38" s="11"/>
    </row>
    <row r="39" customFormat="false" ht="25.5" hidden="false" customHeight="true" outlineLevel="0" collapsed="false">
      <c r="B39" s="11" t="s">
        <v>297</v>
      </c>
      <c r="C39" s="25" t="n">
        <f aca="false">Balance_21!$F$6+Balance_21!$F$7+Balance_21!$F$8</f>
        <v>18399439273.3699</v>
      </c>
      <c r="D39" s="25" t="n">
        <f aca="false">-(Balance_21!$F$9+Balance_21!$F$10+Balance_21!$F$11+Balance_21!$F$12)</f>
        <v>18399439273.37</v>
      </c>
      <c r="E39" s="25" t="n">
        <f aca="false">C39-D39</f>
        <v>0</v>
      </c>
      <c r="G39" s="11" t="s">
        <v>298</v>
      </c>
      <c r="H39" s="11"/>
      <c r="I39" s="11"/>
      <c r="J39" s="11"/>
      <c r="K39" s="11"/>
      <c r="L39" s="11"/>
      <c r="M39" s="11"/>
    </row>
    <row r="40" customFormat="false" ht="25.5" hidden="false" customHeight="true" outlineLevel="0" collapsed="false">
      <c r="B40" s="11" t="s">
        <v>299</v>
      </c>
      <c r="C40" s="25" t="n">
        <f aca="false">-Balance_21!$F$27</f>
        <v>423638680</v>
      </c>
      <c r="D40" s="25" t="n">
        <f aca="false">Balance_21!$F$35</f>
        <v>423638680</v>
      </c>
      <c r="E40" s="25" t="n">
        <f aca="false">C40-D40</f>
        <v>0</v>
      </c>
      <c r="G40" s="11" t="s">
        <v>300</v>
      </c>
      <c r="H40" s="11"/>
      <c r="I40" s="11"/>
      <c r="J40" s="11"/>
      <c r="K40" s="11"/>
      <c r="L40" s="11"/>
      <c r="M40" s="11"/>
    </row>
    <row r="41" customFormat="false" ht="25.5" hidden="false" customHeight="true" outlineLevel="0" collapsed="false">
      <c r="B41" s="11" t="s">
        <v>301</v>
      </c>
      <c r="C41" s="25" t="n">
        <f aca="false">-Balance_21!$F$28</f>
        <v>3750337.16</v>
      </c>
      <c r="D41" s="25" t="n">
        <f aca="false">Balance_21!$F$36</f>
        <v>3750337.32</v>
      </c>
      <c r="E41" s="25" t="n">
        <f aca="false">C41-D41</f>
        <v>-0.15999999968335</v>
      </c>
      <c r="G41" s="11"/>
      <c r="H41" s="11"/>
      <c r="I41" s="11"/>
      <c r="J41" s="11"/>
      <c r="K41" s="11"/>
      <c r="L41" s="11"/>
      <c r="M41" s="11"/>
    </row>
    <row r="42" customFormat="false" ht="25.5" hidden="false" customHeight="true" outlineLevel="0" collapsed="false">
      <c r="B42" s="11" t="s">
        <v>302</v>
      </c>
      <c r="C42" s="25" t="n">
        <f aca="false">-Balance_21!$C$27</f>
        <v>1107168370</v>
      </c>
      <c r="D42" s="25" t="n">
        <f aca="false">Balance_21!$E$34</f>
        <v>1107168370</v>
      </c>
      <c r="E42" s="25" t="n">
        <f aca="false">C42-D42</f>
        <v>0</v>
      </c>
      <c r="G42" s="11" t="s">
        <v>303</v>
      </c>
      <c r="H42" s="11"/>
      <c r="I42" s="11"/>
      <c r="J42" s="11"/>
      <c r="K42" s="11"/>
      <c r="L42" s="11"/>
      <c r="M42" s="11"/>
    </row>
    <row r="43" customFormat="false" ht="25.5" hidden="false" customHeight="true" outlineLevel="0" collapsed="false">
      <c r="B43" s="11" t="s">
        <v>304</v>
      </c>
      <c r="C43" s="25" t="n">
        <f aca="false">-Balance_21!$C$28</f>
        <v>93054514</v>
      </c>
      <c r="D43" s="25" t="n">
        <f aca="false">Balance_21!$E$33</f>
        <v>93054514</v>
      </c>
      <c r="E43" s="25" t="n">
        <f aca="false">C43-D43</f>
        <v>0</v>
      </c>
      <c r="G43" s="11"/>
      <c r="H43" s="11"/>
      <c r="I43" s="11"/>
      <c r="J43" s="11"/>
      <c r="K43" s="11"/>
      <c r="L43" s="11"/>
      <c r="M43" s="11"/>
    </row>
    <row r="45" customFormat="false" ht="15" hidden="false" customHeight="false" outlineLevel="0" collapsed="false">
      <c r="A45" s="21" t="s">
        <v>305</v>
      </c>
    </row>
    <row r="46" customFormat="false" ht="15" hidden="false" customHeight="false" outlineLevel="0" collapsed="false">
      <c r="B46" s="22" t="s">
        <v>306</v>
      </c>
      <c r="C46" s="25" t="n">
        <f aca="false">Balance_21!$C$40</f>
        <v>0</v>
      </c>
      <c r="D46" s="30" t="str">
        <f aca="false">IF(C46=0,"Sin cambios posteriores al cierre de jul-26","Revisar ajustes posteriores")</f>
        <v>Sin cambios posteriores al cierre de jul-26</v>
      </c>
      <c r="E46" s="30"/>
      <c r="F46" s="30"/>
      <c r="G46" s="30"/>
      <c r="H46" s="30"/>
    </row>
    <row r="49" customFormat="false" ht="15" hidden="false" customHeight="false" outlineLevel="0" collapsed="false">
      <c r="A49" s="33" t="s">
        <v>307</v>
      </c>
    </row>
    <row r="50" customFormat="false" ht="15" hidden="false" customHeight="false" outlineLevel="0" collapsed="false">
      <c r="A50" s="34" t="s">
        <v>308</v>
      </c>
    </row>
    <row r="51" customFormat="false" ht="15" hidden="false" customHeight="false" outlineLevel="0" collapsed="false">
      <c r="A51" s="34" t="s">
        <v>309</v>
      </c>
    </row>
    <row r="52" customFormat="false" ht="15" hidden="false" customHeight="false" outlineLevel="0" collapsed="false">
      <c r="A52" s="35" t="str">
        <f aca="false">"Resultado: diferencia detalle 62 − banco "&amp;TEXT(L74,"#,##0")&amp;";  saldo cubierto con certificados: "&amp;TEXT($K$87,"0%")</f>
        <v>Resultado: diferencia detalle 62 − banco -171,599,701;  saldo cubierto con certificados: 85%</v>
      </c>
    </row>
    <row r="53" customFormat="false" ht="15" hidden="false" customHeight="false" outlineLevel="0" collapsed="false">
      <c r="A53" s="19" t="s">
        <v>310</v>
      </c>
    </row>
    <row r="54" customFormat="false" ht="15" hidden="false" customHeight="false" outlineLevel="0" collapsed="false">
      <c r="A54" s="20" t="s">
        <v>311</v>
      </c>
    </row>
    <row r="56" customFormat="false" ht="48" hidden="false" customHeight="true" outlineLevel="0" collapsed="false">
      <c r="A56" s="27" t="s">
        <v>56</v>
      </c>
      <c r="B56" s="27" t="s">
        <v>312</v>
      </c>
      <c r="C56" s="27" t="s">
        <v>162</v>
      </c>
      <c r="D56" s="27" t="s">
        <v>313</v>
      </c>
      <c r="E56" s="27" t="s">
        <v>314</v>
      </c>
      <c r="F56" s="27" t="s">
        <v>315</v>
      </c>
      <c r="G56" s="27" t="s">
        <v>316</v>
      </c>
      <c r="H56" s="27" t="s">
        <v>317</v>
      </c>
      <c r="I56" s="27" t="s">
        <v>318</v>
      </c>
      <c r="J56" s="27" t="s">
        <v>319</v>
      </c>
      <c r="K56" s="27" t="s">
        <v>107</v>
      </c>
      <c r="L56" s="27" t="s">
        <v>320</v>
      </c>
      <c r="M56" s="27" t="s">
        <v>321</v>
      </c>
      <c r="N56" s="27" t="s">
        <v>322</v>
      </c>
      <c r="O56" s="27" t="s">
        <v>323</v>
      </c>
      <c r="P56" s="27" t="s">
        <v>324</v>
      </c>
      <c r="Q56" s="27" t="s">
        <v>325</v>
      </c>
      <c r="R56" s="27" t="s">
        <v>326</v>
      </c>
      <c r="S56" s="27" t="s">
        <v>327</v>
      </c>
    </row>
    <row r="57" customFormat="false" ht="36" hidden="false" customHeight="true" outlineLevel="0" collapsed="false">
      <c r="A57" s="22" t="n">
        <v>1</v>
      </c>
      <c r="B57" s="11" t="n">
        <v>1</v>
      </c>
      <c r="C57" s="22" t="s">
        <v>328</v>
      </c>
      <c r="D57" s="22" t="s">
        <v>329</v>
      </c>
      <c r="E57" s="29" t="s">
        <v>121</v>
      </c>
      <c r="F57" s="22" t="s">
        <v>330</v>
      </c>
      <c r="G57" s="23" t="n">
        <v>46102</v>
      </c>
      <c r="H57" s="25" t="n">
        <f aca="false">7499998630.82-127.57</f>
        <v>7499998503.25</v>
      </c>
      <c r="I57" s="28" t="n">
        <v>0</v>
      </c>
      <c r="J57" s="25" t="n">
        <f aca="false">IF(H57="","N/D",H57-I57)</f>
        <v>7499998503.25</v>
      </c>
      <c r="K57" s="25" t="n">
        <f aca="false">SUMIFS(Detalle_62!$F$14:$F$35,Detalle_62!$C$14:$C$35,E57)</f>
        <v>7500000000</v>
      </c>
      <c r="L57" s="25" t="n">
        <f aca="false">IF(H57="","N/D",K57-J57)</f>
        <v>1496.75</v>
      </c>
      <c r="M57" s="39" t="n">
        <v>0.1551</v>
      </c>
      <c r="N57" s="26" t="n">
        <f aca="false">INDEX(Detalle_62!$J$14:$J$35,MATCH(E57,Detalle_62!$C$14:$C$35,0))</f>
        <v>0.155893765625</v>
      </c>
      <c r="O57" s="40" t="n">
        <f aca="false">(N57-M57)*10000</f>
        <v>7.93765624999721</v>
      </c>
      <c r="P57" s="23" t="n">
        <v>52677</v>
      </c>
      <c r="Q57" s="41" t="n">
        <f aca="false">INDEX(Detalle_62!$P$14:$P$35,MATCH(E57,Detalle_62!$C$14:$C$35,0))</f>
        <v>52677</v>
      </c>
      <c r="R57" s="30" t="str">
        <f aca="false">IF(P57="","N/D",IF(P57=Q57,"Sí","NO"))</f>
        <v>Sí</v>
      </c>
      <c r="S57" s="11" t="s">
        <v>331</v>
      </c>
    </row>
    <row r="58" customFormat="false" ht="36" hidden="false" customHeight="true" outlineLevel="0" collapsed="false">
      <c r="A58" s="22" t="n">
        <v>2</v>
      </c>
      <c r="B58" s="11" t="n">
        <v>2</v>
      </c>
      <c r="C58" s="22" t="s">
        <v>332</v>
      </c>
      <c r="D58" s="22" t="s">
        <v>333</v>
      </c>
      <c r="E58" s="29" t="s">
        <v>130</v>
      </c>
      <c r="F58" s="22" t="s">
        <v>334</v>
      </c>
      <c r="G58" s="23" t="n">
        <v>46169</v>
      </c>
      <c r="H58" s="28" t="n">
        <v>1639499992.59</v>
      </c>
      <c r="I58" s="28" t="n">
        <v>182166667</v>
      </c>
      <c r="J58" s="25" t="n">
        <f aca="false">IF(H58="","N/D",H58-I58)</f>
        <v>1457333325.59</v>
      </c>
      <c r="K58" s="25" t="n">
        <f aca="false">SUMIFS(Detalle_62!$F$14:$F$35,Detalle_62!$C$14:$C$35,E58)</f>
        <v>1457333332</v>
      </c>
      <c r="L58" s="25" t="n">
        <f aca="false">IF(H58="","N/D",K58-J58)</f>
        <v>6.41000008583069</v>
      </c>
      <c r="M58" s="39" t="n">
        <v>0.1494</v>
      </c>
      <c r="N58" s="26" t="n">
        <f aca="false">INDEX(Detalle_62!$J$14:$J$35,MATCH(E58,Detalle_62!$C$14:$C$35,0))</f>
        <v>0.158293089495938</v>
      </c>
      <c r="O58" s="40" t="n">
        <f aca="false">(N58-M58)*10000</f>
        <v>88.9308949593778</v>
      </c>
      <c r="P58" s="23"/>
      <c r="Q58" s="41" t="n">
        <f aca="false">INDEX(Detalle_62!$P$14:$P$35,MATCH(E58,Detalle_62!$C$14:$C$35,0))</f>
        <v>46925</v>
      </c>
      <c r="R58" s="30" t="str">
        <f aca="false">IF(P58="","N/D",IF(P58=Q58,"Sí","NO"))</f>
        <v>N/D</v>
      </c>
      <c r="S58" s="11" t="s">
        <v>335</v>
      </c>
    </row>
    <row r="59" customFormat="false" ht="36" hidden="false" customHeight="true" outlineLevel="0" collapsed="false">
      <c r="A59" s="22" t="n">
        <v>3</v>
      </c>
      <c r="B59" s="11" t="n">
        <v>4</v>
      </c>
      <c r="C59" s="22" t="s">
        <v>336</v>
      </c>
      <c r="D59" s="22" t="s">
        <v>337</v>
      </c>
      <c r="E59" s="29" t="s">
        <v>144</v>
      </c>
      <c r="F59" s="22" t="s">
        <v>338</v>
      </c>
      <c r="G59" s="23" t="n">
        <v>46245</v>
      </c>
      <c r="H59" s="28" t="n">
        <v>3333333334</v>
      </c>
      <c r="I59" s="28" t="n">
        <v>0</v>
      </c>
      <c r="J59" s="25" t="n">
        <f aca="false">IF(H59="","N/D",H59-I59)</f>
        <v>3333333334</v>
      </c>
      <c r="K59" s="25" t="n">
        <f aca="false">SUMIFS(Detalle_62!$F$14:$F$35,Detalle_62!$C$14:$C$35,E59)</f>
        <v>3333333333.33333</v>
      </c>
      <c r="L59" s="25" t="n">
        <f aca="false">IF(H59="","N/D",K59-J59)</f>
        <v>-0.666666984558106</v>
      </c>
      <c r="M59" s="39" t="n">
        <v>0.1417</v>
      </c>
      <c r="N59" s="26" t="n">
        <f aca="false">INDEX(Detalle_62!$J$14:$J$35,MATCH(E59,Detalle_62!$C$14:$C$35,0))</f>
        <v>0.141053391053319</v>
      </c>
      <c r="O59" s="40" t="n">
        <f aca="false">(N59-M59)*10000</f>
        <v>-6.46608946680588</v>
      </c>
      <c r="P59" s="23" t="n">
        <v>46865</v>
      </c>
      <c r="Q59" s="41" t="n">
        <f aca="false">INDEX(Detalle_62!$P$14:$P$35,MATCH(E59,Detalle_62!$C$14:$C$35,0))</f>
        <v>46864</v>
      </c>
      <c r="R59" s="30" t="str">
        <f aca="false">IF(P59="","N/D",IF(P59=Q59,"Sí","NO"))</f>
        <v>NO</v>
      </c>
      <c r="S59" s="11" t="s">
        <v>339</v>
      </c>
    </row>
    <row r="60" customFormat="false" ht="36" hidden="false" customHeight="true" outlineLevel="0" collapsed="false">
      <c r="A60" s="22" t="n">
        <v>4</v>
      </c>
      <c r="B60" s="11" t="n">
        <v>6</v>
      </c>
      <c r="C60" s="22" t="s">
        <v>332</v>
      </c>
      <c r="D60" s="22" t="s">
        <v>340</v>
      </c>
      <c r="E60" s="29" t="s">
        <v>129</v>
      </c>
      <c r="F60" s="22" t="s">
        <v>341</v>
      </c>
      <c r="G60" s="23" t="n">
        <v>46195</v>
      </c>
      <c r="H60" s="28" t="n">
        <v>2999999977.39</v>
      </c>
      <c r="I60" s="28" t="n">
        <v>62500000</v>
      </c>
      <c r="J60" s="25" t="n">
        <f aca="false">IF(H60="","N/D",H60-I60)</f>
        <v>2937499977.39</v>
      </c>
      <c r="K60" s="25" t="n">
        <f aca="false">SUMIFS(Detalle_62!$F$14:$F$35,Detalle_62!$C$14:$C$35,E60)</f>
        <v>2937500000</v>
      </c>
      <c r="L60" s="25" t="n">
        <f aca="false">IF(H60="","N/D",K60-J60)</f>
        <v>22.6100001335144</v>
      </c>
      <c r="M60" s="39" t="n">
        <v>0.1696</v>
      </c>
      <c r="N60" s="26" t="n">
        <f aca="false">INDEX(Detalle_62!$J$14:$J$35,MATCH(E60,Detalle_62!$C$14:$C$35,0))</f>
        <v>0.175224160801509</v>
      </c>
      <c r="O60" s="40" t="n">
        <f aca="false">(N60-M60)*10000</f>
        <v>56.241608015086</v>
      </c>
      <c r="P60" s="23"/>
      <c r="Q60" s="41" t="n">
        <f aca="false">INDEX(Detalle_62!$P$14:$P$35,MATCH(E60,Detalle_62!$C$14:$C$35,0))</f>
        <v>47651</v>
      </c>
      <c r="R60" s="30" t="str">
        <f aca="false">IF(P60="","N/D",IF(P60=Q60,"Sí","NO"))</f>
        <v>N/D</v>
      </c>
      <c r="S60" s="11" t="s">
        <v>342</v>
      </c>
    </row>
    <row r="61" customFormat="false" ht="36" hidden="false" customHeight="true" outlineLevel="0" collapsed="false">
      <c r="A61" s="22" t="n">
        <v>5</v>
      </c>
      <c r="B61" s="11" t="n">
        <v>8</v>
      </c>
      <c r="C61" s="22" t="s">
        <v>332</v>
      </c>
      <c r="D61" s="22" t="s">
        <v>343</v>
      </c>
      <c r="E61" s="29" t="s">
        <v>131</v>
      </c>
      <c r="F61" s="22" t="s">
        <v>334</v>
      </c>
      <c r="G61" s="23" t="n">
        <v>46234</v>
      </c>
      <c r="H61" s="28" t="n">
        <v>1124999996.41</v>
      </c>
      <c r="I61" s="28" t="n">
        <v>0</v>
      </c>
      <c r="J61" s="25" t="n">
        <f aca="false">IF(H61="","N/D",H61-I61)</f>
        <v>1124999996.41</v>
      </c>
      <c r="K61" s="25" t="n">
        <f aca="false">SUMIFS(Detalle_62!$F$14:$F$35,Detalle_62!$C$14:$C$35,E61)</f>
        <v>1125000000</v>
      </c>
      <c r="L61" s="25" t="n">
        <f aca="false">IF(H61="","N/D",K61-J61)</f>
        <v>3.58999991416931</v>
      </c>
      <c r="M61" s="39" t="n">
        <v>0.1665</v>
      </c>
      <c r="N61" s="26" t="n">
        <f aca="false">INDEX(Detalle_62!$J$14:$J$35,MATCH(E61,Detalle_62!$C$14:$C$35,0))</f>
        <v>0.174003555557499</v>
      </c>
      <c r="O61" s="40" t="n">
        <f aca="false">(N61-M61)*10000</f>
        <v>75.0355555749879</v>
      </c>
      <c r="P61" s="23"/>
      <c r="Q61" s="41" t="n">
        <f aca="false">INDEX(Detalle_62!$P$14:$P$35,MATCH(E61,Detalle_62!$C$14:$C$35,0))</f>
        <v>46990</v>
      </c>
      <c r="R61" s="30" t="str">
        <f aca="false">IF(P61="","N/D",IF(P61=Q61,"Sí","NO"))</f>
        <v>N/D</v>
      </c>
      <c r="S61" s="11" t="s">
        <v>344</v>
      </c>
    </row>
    <row r="62" customFormat="false" ht="36" hidden="false" customHeight="true" outlineLevel="0" collapsed="false">
      <c r="A62" s="22" t="n">
        <v>6</v>
      </c>
      <c r="B62" s="11" t="n">
        <v>10</v>
      </c>
      <c r="C62" s="22" t="s">
        <v>332</v>
      </c>
      <c r="D62" s="22" t="s">
        <v>345</v>
      </c>
      <c r="E62" s="29" t="s">
        <v>132</v>
      </c>
      <c r="F62" s="22" t="s">
        <v>334</v>
      </c>
      <c r="G62" s="23" t="n">
        <v>46190</v>
      </c>
      <c r="H62" s="28" t="n">
        <v>10000000000</v>
      </c>
      <c r="I62" s="28" t="n">
        <v>0</v>
      </c>
      <c r="J62" s="25" t="n">
        <f aca="false">IF(H62="","N/D",H62-I62)</f>
        <v>10000000000</v>
      </c>
      <c r="K62" s="25" t="n">
        <f aca="false">SUMIFS(Detalle_62!$F$14:$F$35,Detalle_62!$C$14:$C$35,E62)</f>
        <v>10000000000</v>
      </c>
      <c r="L62" s="25" t="n">
        <f aca="false">IF(H62="","N/D",K62-J62)</f>
        <v>0</v>
      </c>
      <c r="M62" s="39" t="n">
        <v>0.1239</v>
      </c>
      <c r="N62" s="26" t="n">
        <f aca="false">INDEX(Detalle_62!$J$14:$J$35,MATCH(E62,Detalle_62!$C$14:$C$35,0))</f>
        <v>0.1296288656</v>
      </c>
      <c r="O62" s="40" t="n">
        <f aca="false">(N62-M62)*10000</f>
        <v>57.2886560000001</v>
      </c>
      <c r="P62" s="23"/>
      <c r="Q62" s="41" t="n">
        <f aca="false">INDEX(Detalle_62!$P$14:$P$35,MATCH(E62,Detalle_62!$C$14:$C$35,0))</f>
        <v>46409</v>
      </c>
      <c r="R62" s="30" t="str">
        <f aca="false">IF(P62="","N/D",IF(P62=Q62,"Sí","NO"))</f>
        <v>N/D</v>
      </c>
      <c r="S62" s="11" t="s">
        <v>346</v>
      </c>
    </row>
    <row r="63" customFormat="false" ht="36" hidden="false" customHeight="true" outlineLevel="0" collapsed="false">
      <c r="A63" s="22" t="n">
        <v>7</v>
      </c>
      <c r="B63" s="11" t="n">
        <v>12</v>
      </c>
      <c r="C63" s="22" t="s">
        <v>328</v>
      </c>
      <c r="D63" s="22" t="s">
        <v>347</v>
      </c>
      <c r="E63" s="29" t="s">
        <v>122</v>
      </c>
      <c r="F63" s="22" t="s">
        <v>330</v>
      </c>
      <c r="G63" s="23" t="n">
        <v>46050</v>
      </c>
      <c r="H63" s="28" t="n">
        <v>3959998435.9</v>
      </c>
      <c r="I63" s="25" t="n">
        <f aca="false">272300000-272299382.05</f>
        <v>617.949999988079</v>
      </c>
      <c r="J63" s="25" t="n">
        <f aca="false">IF(H63="","N/D",H63-I63)</f>
        <v>3959997817.95</v>
      </c>
      <c r="K63" s="25" t="n">
        <f aca="false">SUMIFS(Detalle_62!$F$14:$F$35,Detalle_62!$C$14:$C$35,E63)</f>
        <v>3960000000</v>
      </c>
      <c r="L63" s="25" t="n">
        <f aca="false">IF(H63="","N/D",K63-J63)</f>
        <v>2182.0499997139</v>
      </c>
      <c r="M63" s="39" t="n">
        <v>0.1258</v>
      </c>
      <c r="N63" s="26" t="n">
        <f aca="false">INDEX(Detalle_62!$J$14:$J$35,MATCH(E63,Detalle_62!$C$14:$C$35,0))</f>
        <v>0.160198265625</v>
      </c>
      <c r="O63" s="40" t="n">
        <f aca="false">(N63-M63)*10000</f>
        <v>343.982656250003</v>
      </c>
      <c r="P63" s="23" t="n">
        <v>51710</v>
      </c>
      <c r="Q63" s="41" t="n">
        <f aca="false">INDEX(Detalle_62!$P$14:$P$35,MATCH(E63,Detalle_62!$C$14:$C$35,0))</f>
        <v>51710</v>
      </c>
      <c r="R63" s="30" t="str">
        <f aca="false">IF(P63="","N/D",IF(P63=Q63,"Sí","NO"))</f>
        <v>Sí</v>
      </c>
      <c r="S63" s="11" t="s">
        <v>348</v>
      </c>
    </row>
    <row r="64" customFormat="false" ht="36" hidden="false" customHeight="true" outlineLevel="0" collapsed="false">
      <c r="A64" s="22" t="n">
        <v>8</v>
      </c>
      <c r="B64" s="11" t="n">
        <v>13</v>
      </c>
      <c r="C64" s="22" t="s">
        <v>328</v>
      </c>
      <c r="D64" s="22" t="s">
        <v>349</v>
      </c>
      <c r="E64" s="29" t="s">
        <v>120</v>
      </c>
      <c r="F64" s="22" t="s">
        <v>330</v>
      </c>
      <c r="G64" s="23" t="n">
        <v>46050</v>
      </c>
      <c r="H64" s="28" t="n">
        <v>2999995943.8</v>
      </c>
      <c r="I64" s="25" t="n">
        <f aca="false">206288000-206287213.2</f>
        <v>786.800000011921</v>
      </c>
      <c r="J64" s="25" t="n">
        <f aca="false">IF(H64="","N/D",H64-I64)</f>
        <v>2999995157</v>
      </c>
      <c r="K64" s="25" t="n">
        <f aca="false">SUMIFS(Detalle_62!$F$14:$F$35,Detalle_62!$C$14:$C$35,E64)</f>
        <v>3000000000</v>
      </c>
      <c r="L64" s="25" t="n">
        <f aca="false">IF(H64="","N/D",K64-J64)</f>
        <v>4843</v>
      </c>
      <c r="M64" s="39" t="n">
        <v>0.1258</v>
      </c>
      <c r="N64" s="26" t="n">
        <f aca="false">INDEX(Detalle_62!$J$14:$J$35,MATCH(E64,Detalle_62!$C$14:$C$35,0))</f>
        <v>0.160198265625</v>
      </c>
      <c r="O64" s="40" t="n">
        <f aca="false">(N64-M64)*10000</f>
        <v>343.982656250003</v>
      </c>
      <c r="P64" s="23" t="n">
        <v>51710</v>
      </c>
      <c r="Q64" s="41" t="n">
        <f aca="false">INDEX(Detalle_62!$P$14:$P$35,MATCH(E64,Detalle_62!$C$14:$C$35,0))</f>
        <v>51710</v>
      </c>
      <c r="R64" s="30" t="str">
        <f aca="false">IF(P64="","N/D",IF(P64=Q64,"Sí","NO"))</f>
        <v>Sí</v>
      </c>
      <c r="S64" s="11" t="s">
        <v>350</v>
      </c>
    </row>
    <row r="65" customFormat="false" ht="36" hidden="false" customHeight="true" outlineLevel="0" collapsed="false">
      <c r="A65" s="22" t="n">
        <v>9</v>
      </c>
      <c r="B65" s="11" t="s">
        <v>351</v>
      </c>
      <c r="C65" s="22" t="s">
        <v>352</v>
      </c>
      <c r="D65" s="22" t="s">
        <v>353</v>
      </c>
      <c r="E65" s="29" t="s">
        <v>125</v>
      </c>
      <c r="F65" s="22" t="s">
        <v>354</v>
      </c>
      <c r="G65" s="23" t="n">
        <v>46209</v>
      </c>
      <c r="H65" s="28"/>
      <c r="I65" s="28" t="n">
        <v>0</v>
      </c>
      <c r="J65" s="25" t="str">
        <f aca="false">IF(H65="","N/D",H65-I65)</f>
        <v>N/D</v>
      </c>
      <c r="K65" s="25" t="n">
        <f aca="false">SUMIFS(Detalle_62!$F$14:$F$35,Detalle_62!$C$14:$C$35,E65)</f>
        <v>1883712218.08706</v>
      </c>
      <c r="L65" s="25" t="str">
        <f aca="false">IF(H65="","N/D",K65-J65)</f>
        <v>N/D</v>
      </c>
      <c r="M65" s="39" t="n">
        <v>0.1441</v>
      </c>
      <c r="N65" s="26" t="n">
        <f aca="false">INDEX(Detalle_62!$J$14:$J$35,MATCH(E65,Detalle_62!$C$14:$C$35,0))</f>
        <v>0.148277114550755</v>
      </c>
      <c r="O65" s="40" t="n">
        <f aca="false">(N65-M65)*10000</f>
        <v>41.7711455075528</v>
      </c>
      <c r="P65" s="23"/>
      <c r="Q65" s="41" t="n">
        <f aca="false">INDEX(Detalle_62!$P$14:$P$35,MATCH(E65,Detalle_62!$C$14:$C$35,0))</f>
        <v>48235</v>
      </c>
      <c r="R65" s="30" t="str">
        <f aca="false">IF(P65="","N/D",IF(P65=Q65,"Sí","NO"))</f>
        <v>N/D</v>
      </c>
      <c r="S65" s="11" t="s">
        <v>355</v>
      </c>
    </row>
    <row r="66" customFormat="false" ht="36" hidden="false" customHeight="true" outlineLevel="0" collapsed="false">
      <c r="A66" s="22" t="n">
        <v>10</v>
      </c>
      <c r="B66" s="11" t="n">
        <v>16</v>
      </c>
      <c r="C66" s="22" t="s">
        <v>356</v>
      </c>
      <c r="D66" s="22" t="s">
        <v>357</v>
      </c>
      <c r="E66" s="29" t="s">
        <v>138</v>
      </c>
      <c r="F66" s="22" t="s">
        <v>358</v>
      </c>
      <c r="G66" s="23" t="n">
        <v>46215</v>
      </c>
      <c r="H66" s="28" t="n">
        <v>1047113003.63</v>
      </c>
      <c r="I66" s="28" t="n">
        <v>62866117.12</v>
      </c>
      <c r="J66" s="25" t="n">
        <f aca="false">IF(H66="","N/D",H66-I66)</f>
        <v>984246886.51</v>
      </c>
      <c r="K66" s="25" t="n">
        <f aca="false">SUMIFS(Detalle_62!$F$14:$F$35,Detalle_62!$C$14:$C$35,E66)</f>
        <v>968620472.418459</v>
      </c>
      <c r="L66" s="25" t="n">
        <f aca="false">IF(H66="","N/D",K66-J66)</f>
        <v>-15626414.0915414</v>
      </c>
      <c r="M66" s="39" t="n">
        <v>0.1604</v>
      </c>
      <c r="N66" s="26" t="n">
        <f aca="false">INDEX(Detalle_62!$J$14:$J$35,MATCH(E66,Detalle_62!$C$14:$C$35,0))</f>
        <v>0.164782455289419</v>
      </c>
      <c r="O66" s="40" t="n">
        <f aca="false">(N66-M66)*10000</f>
        <v>43.8245528941902</v>
      </c>
      <c r="P66" s="23" t="n">
        <v>47321</v>
      </c>
      <c r="Q66" s="41" t="n">
        <f aca="false">INDEX(Detalle_62!$P$14:$P$35,MATCH(E66,Detalle_62!$C$14:$C$35,0))</f>
        <v>47321</v>
      </c>
      <c r="R66" s="30" t="str">
        <f aca="false">IF(P66="","N/D",IF(P66=Q66,"Sí","NO"))</f>
        <v>Sí</v>
      </c>
      <c r="S66" s="11" t="s">
        <v>359</v>
      </c>
    </row>
    <row r="67" customFormat="false" ht="36" hidden="false" customHeight="true" outlineLevel="0" collapsed="false">
      <c r="A67" s="22" t="n">
        <v>11</v>
      </c>
      <c r="B67" s="11" t="n">
        <v>17</v>
      </c>
      <c r="C67" s="22" t="s">
        <v>356</v>
      </c>
      <c r="D67" s="22" t="s">
        <v>360</v>
      </c>
      <c r="E67" s="29" t="s">
        <v>136</v>
      </c>
      <c r="F67" s="22" t="s">
        <v>358</v>
      </c>
      <c r="G67" s="23" t="n">
        <v>46220</v>
      </c>
      <c r="H67" s="28" t="n">
        <v>280274638.64</v>
      </c>
      <c r="I67" s="28" t="n">
        <v>26602533.7</v>
      </c>
      <c r="J67" s="25" t="n">
        <f aca="false">IF(H67="","N/D",H67-I67)</f>
        <v>253672104.94</v>
      </c>
      <c r="K67" s="25" t="n">
        <f aca="false">SUMIFS(Detalle_62!$F$14:$F$35,Detalle_62!$C$14:$C$35,E67)</f>
        <v>196720178.445431</v>
      </c>
      <c r="L67" s="25" t="n">
        <f aca="false">IF(H67="","N/D",K67-J67)</f>
        <v>-56951926.4945686</v>
      </c>
      <c r="M67" s="39" t="n">
        <v>0.1425</v>
      </c>
      <c r="N67" s="26" t="n">
        <f aca="false">INDEX(Detalle_62!$J$14:$J$35,MATCH(E67,Detalle_62!$C$14:$C$35,0))</f>
        <v>0.145417886389703</v>
      </c>
      <c r="O67" s="40" t="n">
        <f aca="false">(N67-M67)*10000</f>
        <v>29.1788638970292</v>
      </c>
      <c r="P67" s="23" t="n">
        <v>46961</v>
      </c>
      <c r="Q67" s="41" t="n">
        <f aca="false">INDEX(Detalle_62!$P$14:$P$35,MATCH(E67,Detalle_62!$C$14:$C$35,0))</f>
        <v>46870</v>
      </c>
      <c r="R67" s="30" t="str">
        <f aca="false">IF(P67="","N/D",IF(P67=Q67,"Sí","NO"))</f>
        <v>NO</v>
      </c>
      <c r="S67" s="11" t="s">
        <v>361</v>
      </c>
    </row>
    <row r="68" customFormat="false" ht="36" hidden="false" customHeight="true" outlineLevel="0" collapsed="false">
      <c r="A68" s="22" t="n">
        <v>12</v>
      </c>
      <c r="B68" s="11" t="n">
        <v>18</v>
      </c>
      <c r="C68" s="22" t="s">
        <v>356</v>
      </c>
      <c r="D68" s="22" t="s">
        <v>362</v>
      </c>
      <c r="E68" s="29" t="s">
        <v>135</v>
      </c>
      <c r="F68" s="22" t="s">
        <v>358</v>
      </c>
      <c r="G68" s="23" t="n">
        <v>46220</v>
      </c>
      <c r="H68" s="28" t="n">
        <v>280274638.73</v>
      </c>
      <c r="I68" s="28" t="n">
        <v>26602533.71</v>
      </c>
      <c r="J68" s="25" t="n">
        <f aca="false">IF(H68="","N/D",H68-I68)</f>
        <v>253672105.02</v>
      </c>
      <c r="K68" s="25" t="n">
        <f aca="false">SUMIFS(Detalle_62!$F$14:$F$35,Detalle_62!$C$14:$C$35,E68)</f>
        <v>196720178.445431</v>
      </c>
      <c r="L68" s="25" t="n">
        <f aca="false">IF(H68="","N/D",K68-J68)</f>
        <v>-56951926.5745686</v>
      </c>
      <c r="M68" s="39" t="n">
        <v>0.1425</v>
      </c>
      <c r="N68" s="26" t="n">
        <f aca="false">INDEX(Detalle_62!$J$14:$J$35,MATCH(E68,Detalle_62!$C$14:$C$35,0))</f>
        <v>0.145417886389703</v>
      </c>
      <c r="O68" s="40" t="n">
        <f aca="false">(N68-M68)*10000</f>
        <v>29.1788638970292</v>
      </c>
      <c r="P68" s="23" t="n">
        <v>46961</v>
      </c>
      <c r="Q68" s="41" t="n">
        <f aca="false">INDEX(Detalle_62!$P$14:$P$35,MATCH(E68,Detalle_62!$C$14:$C$35,0))</f>
        <v>46870</v>
      </c>
      <c r="R68" s="30" t="str">
        <f aca="false">IF(P68="","N/D",IF(P68=Q68,"Sí","NO"))</f>
        <v>NO</v>
      </c>
      <c r="S68" s="11" t="s">
        <v>363</v>
      </c>
    </row>
    <row r="69" customFormat="false" ht="36" hidden="false" customHeight="true" outlineLevel="0" collapsed="false">
      <c r="A69" s="22" t="n">
        <v>13</v>
      </c>
      <c r="B69" s="11" t="n">
        <v>19</v>
      </c>
      <c r="C69" s="22" t="s">
        <v>356</v>
      </c>
      <c r="D69" s="22" t="s">
        <v>364</v>
      </c>
      <c r="E69" s="29" t="s">
        <v>134</v>
      </c>
      <c r="F69" s="22" t="s">
        <v>358</v>
      </c>
      <c r="G69" s="23" t="n">
        <v>46216</v>
      </c>
      <c r="H69" s="28" t="n">
        <v>417650348.81</v>
      </c>
      <c r="I69" s="28" t="n">
        <v>21538319.01</v>
      </c>
      <c r="J69" s="25" t="n">
        <f aca="false">IF(H69="","N/D",H69-I69)</f>
        <v>396112029.8</v>
      </c>
      <c r="K69" s="25" t="n">
        <f aca="false">SUMIFS(Detalle_62!$F$14:$F$35,Detalle_62!$C$14:$C$35,E69)</f>
        <v>381845387.419314</v>
      </c>
      <c r="L69" s="25" t="n">
        <f aca="false">IF(H69="","N/D",K69-J69)</f>
        <v>-14266642.3806862</v>
      </c>
      <c r="M69" s="39" t="n">
        <v>0.1422</v>
      </c>
      <c r="N69" s="26" t="n">
        <f aca="false">INDEX(Detalle_62!$J$14:$J$35,MATCH(E69,Detalle_62!$C$14:$C$35,0))</f>
        <v>0.145417886389703</v>
      </c>
      <c r="O69" s="40" t="n">
        <f aca="false">(N69-M69)*10000</f>
        <v>32.1788638970291</v>
      </c>
      <c r="P69" s="23" t="n">
        <v>47506</v>
      </c>
      <c r="Q69" s="41" t="n">
        <f aca="false">INDEX(Detalle_62!$P$14:$P$35,MATCH(E69,Detalle_62!$C$14:$C$35,0))</f>
        <v>47503</v>
      </c>
      <c r="R69" s="30" t="str">
        <f aca="false">IF(P69="","N/D",IF(P69=Q69,"Sí","NO"))</f>
        <v>NO</v>
      </c>
      <c r="S69" s="11" t="s">
        <v>365</v>
      </c>
    </row>
    <row r="70" customFormat="false" ht="36" hidden="false" customHeight="true" outlineLevel="0" collapsed="false">
      <c r="A70" s="22" t="n">
        <v>14</v>
      </c>
      <c r="B70" s="11" t="n">
        <v>20</v>
      </c>
      <c r="C70" s="22" t="s">
        <v>356</v>
      </c>
      <c r="D70" s="22" t="s">
        <v>366</v>
      </c>
      <c r="E70" s="29" t="s">
        <v>133</v>
      </c>
      <c r="F70" s="22" t="s">
        <v>358</v>
      </c>
      <c r="G70" s="23" t="n">
        <v>46216</v>
      </c>
      <c r="H70" s="28" t="n">
        <v>417650348.67</v>
      </c>
      <c r="I70" s="28" t="n">
        <v>21538319.02</v>
      </c>
      <c r="J70" s="25" t="n">
        <f aca="false">IF(H70="","N/D",H70-I70)</f>
        <v>396112029.65</v>
      </c>
      <c r="K70" s="25" t="n">
        <f aca="false">SUMIFS(Detalle_62!$F$14:$F$35,Detalle_62!$C$14:$C$35,E70)</f>
        <v>381845387.419314</v>
      </c>
      <c r="L70" s="25" t="n">
        <f aca="false">IF(H70="","N/D",K70-J70)</f>
        <v>-14266642.2306862</v>
      </c>
      <c r="M70" s="39" t="n">
        <v>0.1422</v>
      </c>
      <c r="N70" s="26" t="n">
        <f aca="false">INDEX(Detalle_62!$J$14:$J$35,MATCH(E70,Detalle_62!$C$14:$C$35,0))</f>
        <v>0.145417886389703</v>
      </c>
      <c r="O70" s="40" t="n">
        <f aca="false">(N70-M70)*10000</f>
        <v>32.1788638970291</v>
      </c>
      <c r="P70" s="23" t="n">
        <v>47506</v>
      </c>
      <c r="Q70" s="41" t="n">
        <f aca="false">INDEX(Detalle_62!$P$14:$P$35,MATCH(E70,Detalle_62!$C$14:$C$35,0))</f>
        <v>47503</v>
      </c>
      <c r="R70" s="30" t="str">
        <f aca="false">IF(P70="","N/D",IF(P70=Q70,"Sí","NO"))</f>
        <v>NO</v>
      </c>
      <c r="S70" s="11" t="s">
        <v>367</v>
      </c>
    </row>
    <row r="71" customFormat="false" ht="36" hidden="false" customHeight="true" outlineLevel="0" collapsed="false">
      <c r="A71" s="22" t="n">
        <v>15</v>
      </c>
      <c r="B71" s="11" t="n">
        <v>21</v>
      </c>
      <c r="C71" s="22" t="s">
        <v>356</v>
      </c>
      <c r="D71" s="22" t="s">
        <v>368</v>
      </c>
      <c r="E71" s="29" t="s">
        <v>137</v>
      </c>
      <c r="F71" s="22" t="s">
        <v>358</v>
      </c>
      <c r="G71" s="23" t="n">
        <v>46213</v>
      </c>
      <c r="H71" s="28" t="n">
        <v>417736780.24</v>
      </c>
      <c r="I71" s="28" t="n">
        <v>21542838.16</v>
      </c>
      <c r="J71" s="25" t="n">
        <f aca="false">IF(H71="","N/D",H71-I71)</f>
        <v>396193942.08</v>
      </c>
      <c r="K71" s="25" t="n">
        <f aca="false">SUMIFS(Detalle_62!$F$14:$F$35,Detalle_62!$C$14:$C$35,E71)</f>
        <v>382649239.487494</v>
      </c>
      <c r="L71" s="25" t="n">
        <f aca="false">IF(H71="","N/D",K71-J71)</f>
        <v>-13544702.592506</v>
      </c>
      <c r="M71" s="39" t="n">
        <v>0.1422</v>
      </c>
      <c r="N71" s="26" t="n">
        <f aca="false">INDEX(Detalle_62!$J$14:$J$35,MATCH(E71,Detalle_62!$C$14:$C$35,0))</f>
        <v>0.145417886389703</v>
      </c>
      <c r="O71" s="40" t="n">
        <f aca="false">(N71-M71)*10000</f>
        <v>32.1788638970291</v>
      </c>
      <c r="P71" s="23" t="n">
        <v>47503</v>
      </c>
      <c r="Q71" s="41" t="n">
        <f aca="false">INDEX(Detalle_62!$P$14:$P$35,MATCH(E71,Detalle_62!$C$14:$C$35,0))</f>
        <v>47503</v>
      </c>
      <c r="R71" s="30" t="str">
        <f aca="false">IF(P71="","N/D",IF(P71=Q71,"Sí","NO"))</f>
        <v>Sí</v>
      </c>
      <c r="S71" s="11" t="s">
        <v>369</v>
      </c>
    </row>
    <row r="72" customFormat="false" ht="36" hidden="false" customHeight="true" outlineLevel="0" collapsed="false">
      <c r="A72" s="22" t="n">
        <v>16</v>
      </c>
      <c r="B72" s="11" t="s">
        <v>370</v>
      </c>
      <c r="C72" s="22" t="s">
        <v>352</v>
      </c>
      <c r="D72" s="22" t="s">
        <v>371</v>
      </c>
      <c r="E72" s="29" t="s">
        <v>123</v>
      </c>
      <c r="F72" s="22" t="s">
        <v>354</v>
      </c>
      <c r="G72" s="23" t="n">
        <v>46198</v>
      </c>
      <c r="H72" s="28"/>
      <c r="I72" s="28" t="n">
        <v>0</v>
      </c>
      <c r="J72" s="25" t="str">
        <f aca="false">IF(H72="","N/D",H72-I72)</f>
        <v>N/D</v>
      </c>
      <c r="K72" s="25" t="n">
        <f aca="false">SUMIFS(Detalle_62!$F$14:$F$35,Detalle_62!$C$14:$C$35,E72)</f>
        <v>398582167.21439</v>
      </c>
      <c r="L72" s="25" t="str">
        <f aca="false">IF(H72="","N/D",K72-J72)</f>
        <v>N/D</v>
      </c>
      <c r="M72" s="39" t="n">
        <v>0.1603</v>
      </c>
      <c r="N72" s="26" t="n">
        <f aca="false">INDEX(Detalle_62!$J$14:$J$35,MATCH(E72,Detalle_62!$C$14:$C$35,0))</f>
        <v>0.167133181668336</v>
      </c>
      <c r="O72" s="40" t="n">
        <f aca="false">(N72-M72)*10000</f>
        <v>68.3318166833549</v>
      </c>
      <c r="P72" s="23"/>
      <c r="Q72" s="41" t="n">
        <f aca="false">INDEX(Detalle_62!$P$14:$P$35,MATCH(E72,Detalle_62!$C$14:$C$35,0))</f>
        <v>47037</v>
      </c>
      <c r="R72" s="30" t="str">
        <f aca="false">IF(P72="","N/D",IF(P72=Q72,"Sí","NO"))</f>
        <v>N/D</v>
      </c>
      <c r="S72" s="11" t="s">
        <v>372</v>
      </c>
    </row>
    <row r="73" customFormat="false" ht="36" hidden="false" customHeight="true" outlineLevel="0" collapsed="false">
      <c r="A73" s="22" t="n">
        <v>17</v>
      </c>
      <c r="B73" s="11" t="s">
        <v>373</v>
      </c>
      <c r="C73" s="22" t="s">
        <v>352</v>
      </c>
      <c r="D73" s="22" t="s">
        <v>374</v>
      </c>
      <c r="E73" s="29" t="s">
        <v>124</v>
      </c>
      <c r="F73" s="22" t="s">
        <v>354</v>
      </c>
      <c r="G73" s="23" t="n">
        <v>46191</v>
      </c>
      <c r="H73" s="28"/>
      <c r="I73" s="28" t="n">
        <v>0</v>
      </c>
      <c r="J73" s="25" t="str">
        <f aca="false">IF(H73="","N/D",H73-I73)</f>
        <v>N/D</v>
      </c>
      <c r="K73" s="25" t="n">
        <f aca="false">SUMIFS(Detalle_62!$F$14:$F$35,Detalle_62!$C$14:$C$35,E73)</f>
        <v>323529688.533944</v>
      </c>
      <c r="L73" s="25" t="str">
        <f aca="false">IF(H73="","N/D",K73-J73)</f>
        <v>N/D</v>
      </c>
      <c r="M73" s="39" t="n">
        <v>0.1593</v>
      </c>
      <c r="N73" s="26" t="n">
        <f aca="false">INDEX(Detalle_62!$J$14:$J$35,MATCH(E73,Detalle_62!$C$14:$C$35,0))</f>
        <v>0.167133181668336</v>
      </c>
      <c r="O73" s="40" t="n">
        <f aca="false">(N73-M73)*10000</f>
        <v>78.3318166833549</v>
      </c>
      <c r="P73" s="23"/>
      <c r="Q73" s="41" t="n">
        <f aca="false">INDEX(Detalle_62!$P$14:$P$35,MATCH(E73,Detalle_62!$C$14:$C$35,0))</f>
        <v>47098</v>
      </c>
      <c r="R73" s="30" t="str">
        <f aca="false">IF(P73="","N/D",IF(P73=Q73,"Sí","NO"))</f>
        <v>N/D</v>
      </c>
      <c r="S73" s="11" t="s">
        <v>375</v>
      </c>
    </row>
    <row r="74" customFormat="false" ht="15" hidden="false" customHeight="false" outlineLevel="0" collapsed="false">
      <c r="F74" s="36" t="s">
        <v>376</v>
      </c>
      <c r="J74" s="37" t="n">
        <f aca="false">SUMIFS(J57:J73,$H$57:$H$73,"&lt;&gt;")</f>
        <v>35993167209.59</v>
      </c>
      <c r="K74" s="37" t="n">
        <f aca="false">SUMIFS(K57:K73,$H$57:$H$73,"&lt;&gt;")</f>
        <v>35821567508.9688</v>
      </c>
      <c r="L74" s="37" t="n">
        <f aca="false">SUM(L57:L73)</f>
        <v>-171599700.621224</v>
      </c>
    </row>
    <row r="75" customFormat="false" ht="15" hidden="false" customHeight="false" outlineLevel="0" collapsed="false">
      <c r="F75" s="22" t="s">
        <v>377</v>
      </c>
      <c r="L75" s="25" t="n">
        <f aca="false">SUMIFS(L57:L73,E57:E73,"BOG-L*")</f>
        <v>-171608254.364557</v>
      </c>
    </row>
    <row r="76" customFormat="false" ht="15" hidden="false" customHeight="false" outlineLevel="0" collapsed="false">
      <c r="F76" s="22" t="s">
        <v>378</v>
      </c>
      <c r="L76" s="25" t="n">
        <f aca="false">L74-L75</f>
        <v>8553.74333286285</v>
      </c>
    </row>
    <row r="78" customFormat="false" ht="15" hidden="false" customHeight="false" outlineLevel="0" collapsed="false">
      <c r="A78" s="21" t="s">
        <v>379</v>
      </c>
    </row>
    <row r="79" customFormat="false" ht="30" hidden="false" customHeight="true" outlineLevel="0" collapsed="false">
      <c r="A79" s="27"/>
      <c r="B79" s="27"/>
      <c r="C79" s="27" t="s">
        <v>162</v>
      </c>
      <c r="D79" s="27" t="s">
        <v>380</v>
      </c>
      <c r="E79" s="27" t="s">
        <v>314</v>
      </c>
      <c r="F79" s="27" t="s">
        <v>381</v>
      </c>
      <c r="G79" s="27"/>
      <c r="H79" s="27"/>
      <c r="I79" s="27"/>
      <c r="J79" s="27"/>
      <c r="K79" s="27" t="s">
        <v>107</v>
      </c>
    </row>
    <row r="80" customFormat="false" ht="15" hidden="false" customHeight="false" outlineLevel="0" collapsed="false">
      <c r="C80" s="22" t="s">
        <v>382</v>
      </c>
      <c r="D80" s="22" t="s">
        <v>383</v>
      </c>
      <c r="E80" s="29" t="s">
        <v>140</v>
      </c>
      <c r="F80" s="22" t="s">
        <v>170</v>
      </c>
      <c r="K80" s="25" t="n">
        <f aca="false">SUMIFS(Detalle_62!$F$14:$F$35,Detalle_62!$C$14:$C$35,E80)</f>
        <v>287500000</v>
      </c>
    </row>
    <row r="81" customFormat="false" ht="15" hidden="false" customHeight="false" outlineLevel="0" collapsed="false">
      <c r="C81" s="22" t="s">
        <v>384</v>
      </c>
      <c r="D81" s="22" t="s">
        <v>385</v>
      </c>
      <c r="E81" s="29" t="s">
        <v>142</v>
      </c>
      <c r="F81" s="22" t="s">
        <v>170</v>
      </c>
      <c r="K81" s="25" t="n">
        <f aca="false">SUMIFS(Detalle_62!$F$14:$F$35,Detalle_62!$C$14:$C$35,E81)</f>
        <v>4700000000</v>
      </c>
    </row>
    <row r="82" customFormat="false" ht="15" hidden="false" customHeight="false" outlineLevel="0" collapsed="false">
      <c r="C82" s="22" t="s">
        <v>386</v>
      </c>
      <c r="D82" s="22" t="s">
        <v>387</v>
      </c>
      <c r="E82" s="29" t="s">
        <v>145</v>
      </c>
      <c r="F82" s="22" t="s">
        <v>388</v>
      </c>
      <c r="K82" s="25" t="n">
        <f aca="false">SUMIFS(Detalle_62!$F$14:$F$35,Detalle_62!$C$14:$C$35,E82)</f>
        <v>497241599</v>
      </c>
    </row>
    <row r="83" customFormat="false" ht="15" hidden="false" customHeight="false" outlineLevel="0" collapsed="false">
      <c r="C83" s="22" t="s">
        <v>386</v>
      </c>
      <c r="D83" s="22" t="s">
        <v>389</v>
      </c>
      <c r="E83" s="29" t="s">
        <v>146</v>
      </c>
      <c r="F83" s="22" t="s">
        <v>388</v>
      </c>
      <c r="K83" s="25" t="n">
        <f aca="false">SUMIFS(Detalle_62!$F$14:$F$35,Detalle_62!$C$14:$C$35,E83)</f>
        <v>770085425.158301</v>
      </c>
    </row>
    <row r="84" customFormat="false" ht="15" hidden="false" customHeight="false" outlineLevel="0" collapsed="false">
      <c r="C84" s="22" t="s">
        <v>386</v>
      </c>
      <c r="D84" s="22" t="s">
        <v>390</v>
      </c>
      <c r="E84" s="29" t="s">
        <v>147</v>
      </c>
      <c r="F84" s="22" t="s">
        <v>388</v>
      </c>
      <c r="K84" s="25" t="n">
        <f aca="false">SUMIFS(Detalle_62!$F$14:$F$35,Detalle_62!$C$14:$C$35,E84)</f>
        <v>503693510</v>
      </c>
    </row>
    <row r="85" customFormat="false" ht="15" hidden="false" customHeight="false" outlineLevel="0" collapsed="false">
      <c r="C85" s="22" t="s">
        <v>336</v>
      </c>
      <c r="D85" s="22" t="s">
        <v>391</v>
      </c>
      <c r="E85" s="29" t="s">
        <v>148</v>
      </c>
      <c r="F85" s="22" t="s">
        <v>388</v>
      </c>
      <c r="K85" s="25" t="n">
        <f aca="false">SUMIFS(Mayor_Mov!$F$5:$F$445,Mayor_Mov!$N$5:$N$445,E85)-SUMIFS(Mayor_Mov!$E$5:$E$445,Mayor_Mov!$N$5:$N$445,E85)</f>
        <v>675837500</v>
      </c>
    </row>
    <row r="86" customFormat="false" ht="15" hidden="false" customHeight="false" outlineLevel="0" collapsed="false">
      <c r="F86" s="36" t="s">
        <v>392</v>
      </c>
      <c r="K86" s="37" t="n">
        <f aca="false">SUM(K80:K84)</f>
        <v>6758520534.1583</v>
      </c>
    </row>
    <row r="87" customFormat="false" ht="15" hidden="false" customHeight="false" outlineLevel="0" collapsed="false">
      <c r="F87" s="22" t="s">
        <v>393</v>
      </c>
      <c r="K87" s="26" t="n">
        <f aca="false">1-K86/Detalle_62!$F$36</f>
        <v>0.850428591179834</v>
      </c>
    </row>
    <row r="89" customFormat="false" ht="15" hidden="false" customHeight="false" outlineLevel="0" collapsed="false">
      <c r="A89" s="21" t="s">
        <v>394</v>
      </c>
    </row>
    <row r="90" customFormat="false" ht="30" hidden="false" customHeight="true" outlineLevel="0" collapsed="false">
      <c r="A90" s="27"/>
      <c r="B90" s="27"/>
      <c r="C90" s="27" t="s">
        <v>314</v>
      </c>
      <c r="D90" s="27" t="s">
        <v>159</v>
      </c>
      <c r="E90" s="27" t="s">
        <v>395</v>
      </c>
      <c r="F90" s="27" t="s">
        <v>396</v>
      </c>
      <c r="G90" s="27"/>
      <c r="H90" s="27" t="s">
        <v>397</v>
      </c>
      <c r="I90" s="27" t="s">
        <v>398</v>
      </c>
      <c r="J90" s="27" t="s">
        <v>157</v>
      </c>
      <c r="K90" s="27"/>
      <c r="L90" s="27"/>
      <c r="M90" s="27"/>
      <c r="N90" s="27"/>
      <c r="O90" s="27"/>
      <c r="P90" s="27"/>
      <c r="Q90" s="27"/>
      <c r="R90" s="27"/>
      <c r="S90" s="27" t="s">
        <v>290</v>
      </c>
    </row>
    <row r="91" customFormat="false" ht="24" hidden="false" customHeight="true" outlineLevel="0" collapsed="false">
      <c r="C91" s="29" t="s">
        <v>121</v>
      </c>
      <c r="D91" s="11" t="s">
        <v>399</v>
      </c>
      <c r="E91" s="22" t="s">
        <v>400</v>
      </c>
      <c r="F91" s="41" t="n">
        <f aca="false">INDEX(Mayor_Mov!$H$5:$H$445,MATCH(E91,Mayor_Mov!$J$5:$J$445,0))</f>
        <v>46105</v>
      </c>
      <c r="H91" s="28" t="n">
        <v>445208000</v>
      </c>
      <c r="I91" s="25" t="n">
        <f aca="false">SUMIFS(Mayor_Mov!$E$5:$E$445,Mayor_Mov!$J$5:$J$445,E91,Mayor_Mov!$N$5:$N$445,C91)</f>
        <v>445208000</v>
      </c>
      <c r="J91" s="25" t="n">
        <f aca="false">I91-H91</f>
        <v>0</v>
      </c>
      <c r="S91" s="11" t="s">
        <v>401</v>
      </c>
    </row>
    <row r="92" customFormat="false" ht="24" hidden="false" customHeight="true" outlineLevel="0" collapsed="false">
      <c r="C92" s="29" t="s">
        <v>122</v>
      </c>
      <c r="D92" s="11" t="s">
        <v>402</v>
      </c>
      <c r="E92" s="22" t="s">
        <v>403</v>
      </c>
      <c r="F92" s="41" t="n">
        <f aca="false">INDEX(Mayor_Mov!$H$5:$H$445,MATCH(E92,Mayor_Mov!$J$5:$J$445,0))</f>
        <v>46051</v>
      </c>
      <c r="H92" s="28" t="n">
        <v>243933000</v>
      </c>
      <c r="I92" s="25" t="n">
        <f aca="false">SUMIFS(Mayor_Mov!$E$5:$E$445,Mayor_Mov!$J$5:$J$445,E92,Mayor_Mov!$N$5:$N$445,C92)</f>
        <v>243933000</v>
      </c>
      <c r="J92" s="25" t="n">
        <f aca="false">I92-H92</f>
        <v>0</v>
      </c>
      <c r="S92" s="11" t="s">
        <v>404</v>
      </c>
    </row>
    <row r="93" customFormat="false" ht="24" hidden="false" customHeight="true" outlineLevel="0" collapsed="false">
      <c r="C93" s="29" t="s">
        <v>120</v>
      </c>
      <c r="D93" s="11" t="s">
        <v>405</v>
      </c>
      <c r="E93" s="22" t="s">
        <v>406</v>
      </c>
      <c r="F93" s="41" t="n">
        <f aca="false">INDEX(Mayor_Mov!$H$5:$H$445,MATCH(E93,Mayor_Mov!$J$5:$J$445,0))</f>
        <v>46051</v>
      </c>
      <c r="H93" s="28" t="n">
        <v>184798000</v>
      </c>
      <c r="I93" s="25" t="n">
        <f aca="false">SUMIFS(Mayor_Mov!$E$5:$E$445,Mayor_Mov!$J$5:$J$445,E93,Mayor_Mov!$N$5:$N$445,C93)</f>
        <v>184798000</v>
      </c>
      <c r="J93" s="25" t="n">
        <f aca="false">I93-H93</f>
        <v>0</v>
      </c>
      <c r="S93" s="11" t="s">
        <v>407</v>
      </c>
    </row>
    <row r="94" customFormat="false" ht="24" hidden="false" customHeight="true" outlineLevel="0" collapsed="false">
      <c r="C94" s="29" t="s">
        <v>122</v>
      </c>
      <c r="D94" s="11" t="s">
        <v>408</v>
      </c>
      <c r="E94" s="22" t="s">
        <v>409</v>
      </c>
      <c r="F94" s="41" t="n">
        <f aca="false">INDEX(Mayor_Mov!$H$5:$H$445,MATCH(E94,Mayor_Mov!$J$5:$J$445,0))</f>
        <v>46231</v>
      </c>
      <c r="H94" s="28" t="n">
        <v>272299382.05</v>
      </c>
      <c r="I94" s="25" t="n">
        <f aca="false">SUMIFS(Mayor_Mov!$E$5:$E$445,Mayor_Mov!$J$5:$J$445,E94,Mayor_Mov!$N$5:$N$445,C94)</f>
        <v>272300000</v>
      </c>
      <c r="J94" s="25" t="n">
        <f aca="false">I94-H94</f>
        <v>617.949999988079</v>
      </c>
      <c r="S94" s="11" t="s">
        <v>410</v>
      </c>
    </row>
    <row r="95" customFormat="false" ht="24" hidden="false" customHeight="true" outlineLevel="0" collapsed="false">
      <c r="C95" s="29" t="s">
        <v>120</v>
      </c>
      <c r="D95" s="11" t="s">
        <v>408</v>
      </c>
      <c r="E95" s="22" t="s">
        <v>411</v>
      </c>
      <c r="F95" s="41" t="n">
        <f aca="false">INDEX(Mayor_Mov!$H$5:$H$445,MATCH(E95,Mayor_Mov!$J$5:$J$445,0))</f>
        <v>46231</v>
      </c>
      <c r="H95" s="28" t="n">
        <v>206287213.2</v>
      </c>
      <c r="I95" s="25" t="n">
        <f aca="false">SUMIFS(Mayor_Mov!$E$5:$E$445,Mayor_Mov!$J$5:$J$445,E95,Mayor_Mov!$N$5:$N$445,C95)</f>
        <v>206288000</v>
      </c>
      <c r="J95" s="25" t="n">
        <f aca="false">I95-H95</f>
        <v>786.800000011921</v>
      </c>
      <c r="S95" s="11" t="s">
        <v>412</v>
      </c>
    </row>
    <row r="96" customFormat="false" ht="24" hidden="false" customHeight="true" outlineLevel="0" collapsed="false">
      <c r="C96" s="29" t="s">
        <v>130</v>
      </c>
      <c r="D96" s="11" t="s">
        <v>413</v>
      </c>
      <c r="E96" s="22" t="s">
        <v>414</v>
      </c>
      <c r="F96" s="41" t="n">
        <f aca="false">INDEX(Mayor_Mov!$H$5:$H$445,MATCH(E96,Mayor_Mov!$J$5:$J$445,0))</f>
        <v>46100</v>
      </c>
      <c r="H96" s="28" t="n">
        <v>182166667.53</v>
      </c>
      <c r="I96" s="25" t="n">
        <f aca="false">SUMIFS(Mayor_Mov!$E$5:$E$445,Mayor_Mov!$J$5:$J$445,E96,Mayor_Mov!$N$5:$N$445,C96)</f>
        <v>182166667</v>
      </c>
      <c r="J96" s="25" t="n">
        <f aca="false">I96-H96</f>
        <v>-0.530000001192093</v>
      </c>
      <c r="S96" s="11" t="s">
        <v>415</v>
      </c>
    </row>
    <row r="97" customFormat="false" ht="24" hidden="false" customHeight="true" outlineLevel="0" collapsed="false">
      <c r="C97" s="29" t="s">
        <v>130</v>
      </c>
      <c r="D97" s="11" t="s">
        <v>416</v>
      </c>
      <c r="E97" s="22" t="s">
        <v>417</v>
      </c>
      <c r="F97" s="41" t="n">
        <f aca="false">INDEX(Mayor_Mov!$H$5:$H$445,MATCH(E97,Mayor_Mov!$J$5:$J$445,0))</f>
        <v>46100</v>
      </c>
      <c r="H97" s="28" t="n">
        <v>56089116.47</v>
      </c>
      <c r="I97" s="25" t="n">
        <f aca="false">SUMIFS(Mayor_Mov!$E$5:$E$445,Mayor_Mov!$J$5:$J$445,E97,Mayor_Mov!$N$5:$N$445,C97)</f>
        <v>56089116</v>
      </c>
      <c r="J97" s="25" t="n">
        <f aca="false">I97-H97</f>
        <v>-0.469999998807907</v>
      </c>
      <c r="S97" s="11"/>
    </row>
    <row r="98" customFormat="false" ht="24" hidden="false" customHeight="true" outlineLevel="0" collapsed="false">
      <c r="C98" s="29" t="s">
        <v>130</v>
      </c>
      <c r="D98" s="11" t="s">
        <v>418</v>
      </c>
      <c r="E98" s="22" t="s">
        <v>419</v>
      </c>
      <c r="F98" s="41" t="n">
        <f aca="false">INDEX(Mayor_Mov!$H$5:$H$445,MATCH(E98,Mayor_Mov!$J$5:$J$445,0))</f>
        <v>46197</v>
      </c>
      <c r="H98" s="28" t="n">
        <v>182166667</v>
      </c>
      <c r="I98" s="25" t="n">
        <f aca="false">SUMIFS(Mayor_Mov!$E$5:$E$445,Mayor_Mov!$J$5:$J$445,E98,Mayor_Mov!$N$5:$N$445,C98)</f>
        <v>182166667</v>
      </c>
      <c r="J98" s="25" t="n">
        <f aca="false">I98-H98</f>
        <v>0</v>
      </c>
      <c r="S98" s="11"/>
    </row>
    <row r="99" customFormat="false" ht="24" hidden="false" customHeight="true" outlineLevel="0" collapsed="false">
      <c r="C99" s="29" t="s">
        <v>130</v>
      </c>
      <c r="D99" s="11" t="s">
        <v>420</v>
      </c>
      <c r="E99" s="22" t="s">
        <v>421</v>
      </c>
      <c r="F99" s="41" t="n">
        <f aca="false">INDEX(Mayor_Mov!$H$5:$H$445,MATCH(E99,Mayor_Mov!$J$5:$J$445,0))</f>
        <v>46203</v>
      </c>
      <c r="H99" s="28" t="n">
        <v>59390887.23</v>
      </c>
      <c r="I99" s="25" t="n">
        <f aca="false">SUMIFS(Mayor_Mov!$E$5:$E$445,Mayor_Mov!$J$5:$J$445,E99,Mayor_Mov!$N$5:$N$445,C99)</f>
        <v>59390887</v>
      </c>
      <c r="J99" s="25" t="n">
        <f aca="false">I99-H99</f>
        <v>-0.229999996721745</v>
      </c>
      <c r="S99" s="11"/>
    </row>
    <row r="100" customFormat="false" ht="24" hidden="false" customHeight="true" outlineLevel="0" collapsed="false">
      <c r="C100" s="29" t="s">
        <v>129</v>
      </c>
      <c r="D100" s="11" t="s">
        <v>422</v>
      </c>
      <c r="E100" s="22" t="s">
        <v>423</v>
      </c>
      <c r="F100" s="41" t="n">
        <f aca="false">INDEX(Mayor_Mov!$H$5:$H$445,MATCH(E100,Mayor_Mov!$J$5:$J$445,0))</f>
        <v>46197</v>
      </c>
      <c r="H100" s="28" t="n">
        <v>62500000.09</v>
      </c>
      <c r="I100" s="25" t="n">
        <f aca="false">SUMIFS(Mayor_Mov!$E$5:$E$445,Mayor_Mov!$J$5:$J$445,E100,Mayor_Mov!$N$5:$N$445,C100)</f>
        <v>62500000</v>
      </c>
      <c r="J100" s="25" t="n">
        <f aca="false">I100-H100</f>
        <v>-0.0900000035762787</v>
      </c>
      <c r="S100" s="11"/>
    </row>
    <row r="101" customFormat="false" ht="24" hidden="false" customHeight="true" outlineLevel="0" collapsed="false">
      <c r="C101" s="29" t="s">
        <v>129</v>
      </c>
      <c r="D101" s="11" t="s">
        <v>424</v>
      </c>
      <c r="E101" s="22" t="s">
        <v>425</v>
      </c>
      <c r="F101" s="41" t="n">
        <f aca="false">INDEX(Mayor_Mov!$H$5:$H$445,MATCH(E101,Mayor_Mov!$J$5:$J$445,0))</f>
        <v>46230</v>
      </c>
      <c r="H101" s="28" t="n">
        <v>62500000</v>
      </c>
      <c r="I101" s="25" t="n">
        <f aca="false">SUMIFS(Mayor_Mov!$E$5:$E$445,Mayor_Mov!$J$5:$J$445,E101,Mayor_Mov!$N$5:$N$445,C101)</f>
        <v>62500000</v>
      </c>
      <c r="J101" s="25" t="n">
        <f aca="false">I101-H101</f>
        <v>0</v>
      </c>
      <c r="S101" s="11" t="s">
        <v>426</v>
      </c>
    </row>
    <row r="102" customFormat="false" ht="24" hidden="false" customHeight="true" outlineLevel="0" collapsed="false">
      <c r="C102" s="29" t="s">
        <v>131</v>
      </c>
      <c r="D102" s="11" t="s">
        <v>427</v>
      </c>
      <c r="E102" s="22" t="s">
        <v>428</v>
      </c>
      <c r="F102" s="41" t="n">
        <f aca="false">INDEX(Mayor_Mov!$H$5:$H$445,MATCH(E102,Mayor_Mov!$J$5:$J$445,0))</f>
        <v>46164</v>
      </c>
      <c r="H102" s="28" t="n">
        <v>125000000.56</v>
      </c>
      <c r="I102" s="25" t="n">
        <f aca="false">SUMIFS(Mayor_Mov!$E$5:$E$445,Mayor_Mov!$J$5:$J$445,E102,Mayor_Mov!$N$5:$N$445,C102)</f>
        <v>125000000</v>
      </c>
      <c r="J102" s="25" t="n">
        <f aca="false">I102-H102</f>
        <v>-0.560000002384186</v>
      </c>
      <c r="S102" s="11"/>
    </row>
    <row r="103" customFormat="false" ht="24" hidden="false" customHeight="true" outlineLevel="0" collapsed="false">
      <c r="C103" s="29" t="s">
        <v>131</v>
      </c>
      <c r="D103" s="11" t="s">
        <v>429</v>
      </c>
      <c r="E103" s="22" t="s">
        <v>430</v>
      </c>
      <c r="F103" s="41" t="n">
        <f aca="false">INDEX(Mayor_Mov!$H$5:$H$445,MATCH(E103,Mayor_Mov!$J$5:$J$445,0))</f>
        <v>46164</v>
      </c>
      <c r="H103" s="28" t="n">
        <v>46619930.44</v>
      </c>
      <c r="I103" s="25" t="n">
        <f aca="false">SUMIFS(Mayor_Mov!$E$5:$E$445,Mayor_Mov!$J$5:$J$445,E103,Mayor_Mov!$N$5:$N$445,C103)</f>
        <v>46619930</v>
      </c>
      <c r="J103" s="25" t="n">
        <f aca="false">I103-H103</f>
        <v>-0.439999997615814</v>
      </c>
      <c r="S103" s="11"/>
    </row>
    <row r="104" customFormat="false" ht="24" hidden="false" customHeight="true" outlineLevel="0" collapsed="false">
      <c r="C104" s="29" t="s">
        <v>132</v>
      </c>
      <c r="D104" s="11" t="s">
        <v>431</v>
      </c>
      <c r="E104" s="22" t="s">
        <v>432</v>
      </c>
      <c r="F104" s="41" t="n">
        <f aca="false">INDEX(Mayor_Mov!$H$5:$H$445,MATCH(E104,Mayor_Mov!$J$5:$J$445,0))</f>
        <v>46136</v>
      </c>
      <c r="H104" s="28" t="n">
        <v>254610555.55</v>
      </c>
      <c r="I104" s="25" t="n">
        <f aca="false">SUMIFS(Mayor_Mov!$E$5:$E$445,Mayor_Mov!$J$5:$J$445,E104,Mayor_Mov!$N$5:$N$445,C104)</f>
        <v>254610556</v>
      </c>
      <c r="J104" s="25" t="n">
        <f aca="false">I104-H104</f>
        <v>0.449999988079071</v>
      </c>
      <c r="S104" s="11"/>
    </row>
    <row r="105" customFormat="false" ht="24" hidden="false" customHeight="true" outlineLevel="0" collapsed="false">
      <c r="C105" s="29" t="s">
        <v>132</v>
      </c>
      <c r="D105" s="11" t="s">
        <v>433</v>
      </c>
      <c r="E105" s="22" t="s">
        <v>434</v>
      </c>
      <c r="F105" s="41" t="n">
        <f aca="false">INDEX(Mayor_Mov!$H$5:$H$445,MATCH(E105,Mayor_Mov!$J$5:$J$445,0))</f>
        <v>46230</v>
      </c>
      <c r="H105" s="28" t="n">
        <v>299617500</v>
      </c>
      <c r="I105" s="25" t="n">
        <f aca="false">SUMIFS(Mayor_Mov!$E$5:$E$445,Mayor_Mov!$J$5:$J$445,E105,Mayor_Mov!$N$5:$N$445,C105)</f>
        <v>299617499</v>
      </c>
      <c r="J105" s="25" t="n">
        <f aca="false">I105-H105</f>
        <v>-1</v>
      </c>
      <c r="S105" s="11"/>
    </row>
    <row r="106" customFormat="false" ht="24" hidden="false" customHeight="true" outlineLevel="0" collapsed="false">
      <c r="C106" s="29" t="s">
        <v>138</v>
      </c>
      <c r="D106" s="11" t="s">
        <v>435</v>
      </c>
      <c r="E106" s="22" t="s">
        <v>436</v>
      </c>
      <c r="F106" s="41" t="n">
        <f aca="false">INDEX(Mayor_Mov!$H$5:$H$445,MATCH(E106,Mayor_Mov!$J$5:$J$445,0))</f>
        <v>46136</v>
      </c>
      <c r="H106" s="28" t="n">
        <v>62648860.03</v>
      </c>
      <c r="I106" s="25" t="n">
        <f aca="false">SUMIFS(Mayor_Mov!$E$5:$E$445,Mayor_Mov!$J$5:$J$445,E106,Mayor_Mov!$N$5:$N$445,C106)</f>
        <v>62648860.03</v>
      </c>
      <c r="J106" s="25" t="n">
        <f aca="false">I106-H106</f>
        <v>0</v>
      </c>
      <c r="S106" s="11"/>
    </row>
    <row r="107" customFormat="false" ht="24" hidden="false" customHeight="true" outlineLevel="0" collapsed="false">
      <c r="C107" s="29" t="s">
        <v>138</v>
      </c>
      <c r="D107" s="11" t="s">
        <v>437</v>
      </c>
      <c r="E107" s="22" t="s">
        <v>438</v>
      </c>
      <c r="F107" s="41" t="n">
        <f aca="false">INDEX(Mayor_Mov!$H$5:$H$445,MATCH(E107,Mayor_Mov!$J$5:$J$445,0))</f>
        <v>46136</v>
      </c>
      <c r="H107" s="28" t="n">
        <v>36783056.97</v>
      </c>
      <c r="I107" s="25" t="n">
        <f aca="false">SUMIFS(Mayor_Mov!$E$5:$E$445,Mayor_Mov!$J$5:$J$445,E107,Mayor_Mov!$N$5:$N$445,C107)</f>
        <v>36783056</v>
      </c>
      <c r="J107" s="25" t="n">
        <f aca="false">I107-H107</f>
        <v>-0.969999998807907</v>
      </c>
      <c r="S107" s="11"/>
    </row>
    <row r="108" customFormat="false" ht="24" hidden="false" customHeight="true" outlineLevel="0" collapsed="false">
      <c r="C108" s="29" t="s">
        <v>138</v>
      </c>
      <c r="D108" s="11" t="s">
        <v>439</v>
      </c>
      <c r="E108" s="22" t="s">
        <v>440</v>
      </c>
      <c r="F108" s="41" t="n">
        <f aca="false">INDEX(Mayor_Mov!$H$5:$H$445,MATCH(E108,Mayor_Mov!$J$5:$J$445,0))</f>
        <v>46231</v>
      </c>
      <c r="H108" s="28" t="n">
        <v>62866117.12</v>
      </c>
      <c r="I108" s="25" t="n">
        <f aca="false">SUMIFS(Mayor_Mov!$E$5:$E$445,Mayor_Mov!$J$5:$J$445,E108,Mayor_Mov!$N$5:$N$445,C108)</f>
        <v>62866117.12</v>
      </c>
      <c r="J108" s="25" t="n">
        <f aca="false">I108-H108</f>
        <v>0</v>
      </c>
      <c r="S108" s="11"/>
    </row>
    <row r="109" customFormat="false" ht="24" hidden="false" customHeight="true" outlineLevel="0" collapsed="false">
      <c r="C109" s="29" t="s">
        <v>138</v>
      </c>
      <c r="D109" s="11" t="s">
        <v>441</v>
      </c>
      <c r="E109" s="22" t="s">
        <v>442</v>
      </c>
      <c r="F109" s="41" t="n">
        <f aca="false">INDEX(Mayor_Mov!$H$5:$H$445,MATCH(E109,Mayor_Mov!$J$5:$J$445,0))</f>
        <v>46231</v>
      </c>
      <c r="H109" s="28" t="n">
        <v>39578631.88</v>
      </c>
      <c r="I109" s="25" t="n">
        <f aca="false">SUMIFS(Mayor_Mov!$E$5:$E$445,Mayor_Mov!$J$5:$J$445,E109,Mayor_Mov!$N$5:$N$445,C109)</f>
        <v>39578631</v>
      </c>
      <c r="J109" s="25" t="n">
        <f aca="false">I109-H109</f>
        <v>-0.880000002682209</v>
      </c>
      <c r="S109" s="11"/>
    </row>
    <row r="110" customFormat="false" ht="24" hidden="false" customHeight="true" outlineLevel="0" collapsed="false">
      <c r="C110" s="29" t="s">
        <v>136</v>
      </c>
      <c r="D110" s="11" t="s">
        <v>435</v>
      </c>
      <c r="E110" s="22" t="s">
        <v>443</v>
      </c>
      <c r="F110" s="41" t="n">
        <f aca="false">INDEX(Mayor_Mov!$H$5:$H$445,MATCH(E110,Mayor_Mov!$J$5:$J$445,0))</f>
        <v>46136</v>
      </c>
      <c r="H110" s="28" t="n">
        <v>26079255.17</v>
      </c>
      <c r="I110" s="25" t="n">
        <f aca="false">SUMIFS(Mayor_Mov!$E$5:$E$445,Mayor_Mov!$J$5:$J$445,E110,Mayor_Mov!$N$5:$N$445,C110)</f>
        <v>26079255.17</v>
      </c>
      <c r="J110" s="25" t="n">
        <f aca="false">I110-H110</f>
        <v>0</v>
      </c>
      <c r="S110" s="11"/>
    </row>
    <row r="111" customFormat="false" ht="24" hidden="false" customHeight="true" outlineLevel="0" collapsed="false">
      <c r="C111" s="29" t="s">
        <v>136</v>
      </c>
      <c r="D111" s="11" t="s">
        <v>439</v>
      </c>
      <c r="E111" s="22" t="s">
        <v>444</v>
      </c>
      <c r="F111" s="41" t="n">
        <f aca="false">INDEX(Mayor_Mov!$H$5:$H$445,MATCH(E111,Mayor_Mov!$J$5:$J$445,0))</f>
        <v>46230</v>
      </c>
      <c r="H111" s="28" t="n">
        <v>26602533.7</v>
      </c>
      <c r="I111" s="25" t="n">
        <f aca="false">SUMIFS(Mayor_Mov!$E$5:$E$445,Mayor_Mov!$J$5:$J$445,E111,Mayor_Mov!$N$5:$N$445,C111)</f>
        <v>26602533.7</v>
      </c>
      <c r="J111" s="25" t="n">
        <f aca="false">I111-H111</f>
        <v>0</v>
      </c>
      <c r="S111" s="11"/>
    </row>
    <row r="112" customFormat="false" ht="24" hidden="false" customHeight="true" outlineLevel="0" collapsed="false">
      <c r="C112" s="29" t="s">
        <v>136</v>
      </c>
      <c r="D112" s="11" t="s">
        <v>441</v>
      </c>
      <c r="E112" s="22" t="s">
        <v>445</v>
      </c>
      <c r="F112" s="41" t="n">
        <f aca="false">INDEX(Mayor_Mov!$H$5:$H$445,MATCH(E112,Mayor_Mov!$J$5:$J$445,0))</f>
        <v>46230</v>
      </c>
      <c r="H112" s="28" t="n">
        <v>9497274.3</v>
      </c>
      <c r="I112" s="25" t="n">
        <f aca="false">SUMIFS(Mayor_Mov!$E$5:$E$445,Mayor_Mov!$J$5:$J$445,E112,Mayor_Mov!$N$5:$N$445,C112)</f>
        <v>9497274</v>
      </c>
      <c r="J112" s="25" t="n">
        <f aca="false">I112-H112</f>
        <v>-0.300000000745058</v>
      </c>
      <c r="S112" s="11"/>
    </row>
    <row r="113" customFormat="false" ht="24" hidden="false" customHeight="true" outlineLevel="0" collapsed="false">
      <c r="C113" s="29" t="s">
        <v>135</v>
      </c>
      <c r="D113" s="11" t="s">
        <v>435</v>
      </c>
      <c r="E113" s="22" t="s">
        <v>446</v>
      </c>
      <c r="F113" s="41" t="n">
        <f aca="false">INDEX(Mayor_Mov!$H$5:$H$445,MATCH(E113,Mayor_Mov!$J$5:$J$445,0))</f>
        <v>46136</v>
      </c>
      <c r="H113" s="28" t="n">
        <v>26079255.16</v>
      </c>
      <c r="I113" s="25" t="n">
        <f aca="false">SUMIFS(Mayor_Mov!$E$5:$E$445,Mayor_Mov!$J$5:$J$445,E113,Mayor_Mov!$N$5:$N$445,C113)</f>
        <v>26079255.16</v>
      </c>
      <c r="J113" s="25" t="n">
        <f aca="false">I113-H113</f>
        <v>0</v>
      </c>
      <c r="S113" s="11"/>
    </row>
    <row r="114" customFormat="false" ht="24" hidden="false" customHeight="true" outlineLevel="0" collapsed="false">
      <c r="C114" s="29" t="s">
        <v>135</v>
      </c>
      <c r="D114" s="11" t="s">
        <v>439</v>
      </c>
      <c r="E114" s="22" t="s">
        <v>447</v>
      </c>
      <c r="F114" s="41" t="n">
        <f aca="false">INDEX(Mayor_Mov!$H$5:$H$445,MATCH(E114,Mayor_Mov!$J$5:$J$445,0))</f>
        <v>46230</v>
      </c>
      <c r="H114" s="28" t="n">
        <v>26602533.71</v>
      </c>
      <c r="I114" s="25" t="n">
        <f aca="false">SUMIFS(Mayor_Mov!$E$5:$E$445,Mayor_Mov!$J$5:$J$445,E114,Mayor_Mov!$N$5:$N$445,C114)</f>
        <v>26602533.71</v>
      </c>
      <c r="J114" s="25" t="n">
        <f aca="false">I114-H114</f>
        <v>0</v>
      </c>
      <c r="S114" s="11"/>
    </row>
    <row r="115" customFormat="false" ht="24" hidden="false" customHeight="true" outlineLevel="0" collapsed="false">
      <c r="C115" s="29" t="s">
        <v>135</v>
      </c>
      <c r="D115" s="11" t="s">
        <v>441</v>
      </c>
      <c r="E115" s="22" t="s">
        <v>448</v>
      </c>
      <c r="F115" s="41" t="n">
        <f aca="false">INDEX(Mayor_Mov!$H$5:$H$445,MATCH(E115,Mayor_Mov!$J$5:$J$445,0))</f>
        <v>46230</v>
      </c>
      <c r="H115" s="28" t="n">
        <v>9497274.29</v>
      </c>
      <c r="I115" s="25" t="n">
        <f aca="false">SUMIFS(Mayor_Mov!$E$5:$E$445,Mayor_Mov!$J$5:$J$445,E115,Mayor_Mov!$N$5:$N$445,C115)</f>
        <v>9497274</v>
      </c>
      <c r="J115" s="25" t="n">
        <f aca="false">I115-H115</f>
        <v>-0.28999999910593</v>
      </c>
      <c r="S115" s="11"/>
    </row>
    <row r="116" customFormat="false" ht="24" hidden="false" customHeight="true" outlineLevel="0" collapsed="false">
      <c r="C116" s="29" t="s">
        <v>134</v>
      </c>
      <c r="D116" s="11" t="s">
        <v>435</v>
      </c>
      <c r="E116" s="22" t="s">
        <v>449</v>
      </c>
      <c r="F116" s="41" t="n">
        <f aca="false">INDEX(Mayor_Mov!$H$5:$H$445,MATCH(E116,Mayor_Mov!$J$5:$J$445,0))</f>
        <v>46136</v>
      </c>
      <c r="H116" s="28" t="n">
        <v>21315470.38</v>
      </c>
      <c r="I116" s="25" t="n">
        <f aca="false">SUMIFS(Mayor_Mov!$E$5:$E$445,Mayor_Mov!$J$5:$J$445,E116,Mayor_Mov!$N$5:$N$445,C116)</f>
        <v>21315470.38</v>
      </c>
      <c r="J116" s="25" t="n">
        <f aca="false">I116-H116</f>
        <v>0</v>
      </c>
      <c r="S116" s="11"/>
    </row>
    <row r="117" customFormat="false" ht="24" hidden="false" customHeight="true" outlineLevel="0" collapsed="false">
      <c r="C117" s="29" t="s">
        <v>134</v>
      </c>
      <c r="D117" s="11" t="s">
        <v>439</v>
      </c>
      <c r="E117" s="22" t="s">
        <v>450</v>
      </c>
      <c r="F117" s="41" t="n">
        <f aca="false">INDEX(Mayor_Mov!$H$5:$H$445,MATCH(E117,Mayor_Mov!$J$5:$J$445,0))</f>
        <v>46231</v>
      </c>
      <c r="H117" s="28" t="n">
        <v>21538319.01</v>
      </c>
      <c r="I117" s="25" t="n">
        <f aca="false">SUMIFS(Mayor_Mov!$E$5:$E$445,Mayor_Mov!$J$5:$J$445,E117,Mayor_Mov!$N$5:$N$445,C117)</f>
        <v>21538319.01</v>
      </c>
      <c r="J117" s="25" t="n">
        <f aca="false">I117-H117</f>
        <v>0</v>
      </c>
      <c r="S117" s="11"/>
    </row>
    <row r="118" customFormat="false" ht="24" hidden="false" customHeight="true" outlineLevel="0" collapsed="false">
      <c r="C118" s="29" t="s">
        <v>134</v>
      </c>
      <c r="D118" s="11" t="s">
        <v>441</v>
      </c>
      <c r="E118" s="22" t="s">
        <v>451</v>
      </c>
      <c r="F118" s="41" t="n">
        <f aca="false">INDEX(Mayor_Mov!$H$5:$H$445,MATCH(E118,Mayor_Mov!$J$5:$J$445,0))</f>
        <v>46231</v>
      </c>
      <c r="H118" s="28" t="n">
        <v>14118857.99</v>
      </c>
      <c r="I118" s="25" t="n">
        <f aca="false">SUMIFS(Mayor_Mov!$E$5:$E$445,Mayor_Mov!$J$5:$J$445,E118,Mayor_Mov!$N$5:$N$445,C118)</f>
        <v>14118857</v>
      </c>
      <c r="J118" s="25" t="n">
        <f aca="false">I118-H118</f>
        <v>-0.990000000223517</v>
      </c>
      <c r="S118" s="11"/>
    </row>
    <row r="119" customFormat="false" ht="24" hidden="false" customHeight="true" outlineLevel="0" collapsed="false">
      <c r="C119" s="29" t="s">
        <v>133</v>
      </c>
      <c r="D119" s="11" t="s">
        <v>435</v>
      </c>
      <c r="E119" s="22" t="s">
        <v>452</v>
      </c>
      <c r="F119" s="41" t="n">
        <f aca="false">INDEX(Mayor_Mov!$H$5:$H$445,MATCH(E119,Mayor_Mov!$J$5:$J$445,0))</f>
        <v>46136</v>
      </c>
      <c r="H119" s="28" t="n">
        <v>21315470.39</v>
      </c>
      <c r="I119" s="25" t="n">
        <f aca="false">SUMIFS(Mayor_Mov!$E$5:$E$445,Mayor_Mov!$J$5:$J$445,E119,Mayor_Mov!$N$5:$N$445,C119)</f>
        <v>21315470.39</v>
      </c>
      <c r="J119" s="25" t="n">
        <f aca="false">I119-H119</f>
        <v>0</v>
      </c>
      <c r="S119" s="11" t="s">
        <v>453</v>
      </c>
    </row>
    <row r="120" customFormat="false" ht="24" hidden="false" customHeight="true" outlineLevel="0" collapsed="false">
      <c r="C120" s="29" t="s">
        <v>133</v>
      </c>
      <c r="D120" s="11" t="s">
        <v>439</v>
      </c>
      <c r="E120" s="22" t="s">
        <v>454</v>
      </c>
      <c r="F120" s="41" t="n">
        <f aca="false">INDEX(Mayor_Mov!$H$5:$H$445,MATCH(E120,Mayor_Mov!$J$5:$J$445,0))</f>
        <v>46231</v>
      </c>
      <c r="H120" s="28" t="n">
        <v>21538319.02</v>
      </c>
      <c r="I120" s="25" t="n">
        <f aca="false">SUMIFS(Mayor_Mov!$E$5:$E$445,Mayor_Mov!$J$5:$J$445,E120,Mayor_Mov!$N$5:$N$445,C120)</f>
        <v>21538319.02</v>
      </c>
      <c r="J120" s="25" t="n">
        <f aca="false">I120-H120</f>
        <v>0</v>
      </c>
      <c r="S120" s="11"/>
    </row>
    <row r="121" customFormat="false" ht="24" hidden="false" customHeight="true" outlineLevel="0" collapsed="false">
      <c r="C121" s="29" t="s">
        <v>133</v>
      </c>
      <c r="D121" s="11" t="s">
        <v>441</v>
      </c>
      <c r="E121" s="22" t="s">
        <v>455</v>
      </c>
      <c r="F121" s="41" t="n">
        <f aca="false">INDEX(Mayor_Mov!$H$5:$H$445,MATCH(E121,Mayor_Mov!$J$5:$J$445,0))</f>
        <v>46231</v>
      </c>
      <c r="H121" s="28" t="n">
        <v>14118857.98</v>
      </c>
      <c r="I121" s="25" t="n">
        <f aca="false">SUMIFS(Mayor_Mov!$E$5:$E$445,Mayor_Mov!$J$5:$J$445,E121,Mayor_Mov!$N$5:$N$445,C121)</f>
        <v>14118856</v>
      </c>
      <c r="J121" s="25" t="n">
        <f aca="false">I121-H121</f>
        <v>-1.98000000044703</v>
      </c>
      <c r="S121" s="11"/>
    </row>
    <row r="122" customFormat="false" ht="24" hidden="false" customHeight="true" outlineLevel="0" collapsed="false">
      <c r="C122" s="29" t="s">
        <v>137</v>
      </c>
      <c r="D122" s="11" t="s">
        <v>435</v>
      </c>
      <c r="E122" s="22" t="s">
        <v>456</v>
      </c>
      <c r="F122" s="41" t="n">
        <f aca="false">INDEX(Mayor_Mov!$H$5:$H$445,MATCH(E122,Mayor_Mov!$J$5:$J$445,0))</f>
        <v>46136</v>
      </c>
      <c r="H122" s="28" t="n">
        <v>21319941.88</v>
      </c>
      <c r="I122" s="25" t="n">
        <f aca="false">SUMIFS(Mayor_Mov!$E$5:$E$445,Mayor_Mov!$J$5:$J$445,E122,Mayor_Mov!$N$5:$N$445,C122)</f>
        <v>21319941.88</v>
      </c>
      <c r="J122" s="25" t="n">
        <f aca="false">I122-H122</f>
        <v>0</v>
      </c>
      <c r="S122" s="11"/>
    </row>
    <row r="123" customFormat="false" ht="24" hidden="false" customHeight="true" outlineLevel="0" collapsed="false">
      <c r="C123" s="29" t="s">
        <v>137</v>
      </c>
      <c r="D123" s="11" t="s">
        <v>439</v>
      </c>
      <c r="E123" s="22" t="s">
        <v>457</v>
      </c>
      <c r="F123" s="41" t="n">
        <f aca="false">INDEX(Mayor_Mov!$H$5:$H$445,MATCH(E123,Mayor_Mov!$J$5:$J$445,0))</f>
        <v>46231</v>
      </c>
      <c r="H123" s="28" t="n">
        <v>21542838.16</v>
      </c>
      <c r="I123" s="25" t="n">
        <f aca="false">SUMIFS(Mayor_Mov!$E$5:$E$445,Mayor_Mov!$J$5:$J$445,E123,Mayor_Mov!$N$5:$N$445,C123)</f>
        <v>21542838.16</v>
      </c>
      <c r="J123" s="25" t="n">
        <f aca="false">I123-H123</f>
        <v>0</v>
      </c>
      <c r="S123" s="11"/>
    </row>
    <row r="124" customFormat="false" ht="24" hidden="false" customHeight="true" outlineLevel="0" collapsed="false">
      <c r="C124" s="29" t="s">
        <v>137</v>
      </c>
      <c r="D124" s="11" t="s">
        <v>441</v>
      </c>
      <c r="E124" s="22" t="s">
        <v>458</v>
      </c>
      <c r="F124" s="41" t="n">
        <f aca="false">INDEX(Mayor_Mov!$H$5:$H$445,MATCH(E124,Mayor_Mov!$J$5:$J$445,0))</f>
        <v>46231</v>
      </c>
      <c r="H124" s="28" t="n">
        <v>14121779.84</v>
      </c>
      <c r="I124" s="25" t="n">
        <f aca="false">SUMIFS(Mayor_Mov!$E$5:$E$445,Mayor_Mov!$J$5:$J$445,E124,Mayor_Mov!$N$5:$N$445,C124)</f>
        <v>14121779.84</v>
      </c>
      <c r="J124" s="25" t="n">
        <f aca="false">I124-H124</f>
        <v>0</v>
      </c>
      <c r="S124" s="11"/>
    </row>
    <row r="125" customFormat="false" ht="24" hidden="false" customHeight="true" outlineLevel="0" collapsed="false">
      <c r="C125" s="29" t="s">
        <v>125</v>
      </c>
      <c r="D125" s="11" t="s">
        <v>459</v>
      </c>
      <c r="E125" s="22" t="s">
        <v>460</v>
      </c>
      <c r="F125" s="41" t="n">
        <f aca="false">INDEX(Mayor_Mov!$H$5:$H$445,MATCH(E125,Mayor_Mov!$J$5:$J$445,0))</f>
        <v>46136</v>
      </c>
      <c r="H125" s="28" t="n">
        <v>55427870</v>
      </c>
      <c r="I125" s="25" t="n">
        <f aca="false">SUMIFS(Mayor_Mov!$E$5:$E$445,Mayor_Mov!$J$5:$J$445,E125,Mayor_Mov!$N$5:$N$445,C125)</f>
        <v>55427870</v>
      </c>
      <c r="J125" s="25" t="n">
        <f aca="false">I125-H125</f>
        <v>0</v>
      </c>
      <c r="S125" s="11"/>
    </row>
    <row r="126" customFormat="false" ht="24" hidden="false" customHeight="true" outlineLevel="0" collapsed="false">
      <c r="C126" s="29" t="s">
        <v>125</v>
      </c>
      <c r="D126" s="11" t="s">
        <v>461</v>
      </c>
      <c r="E126" s="22" t="s">
        <v>462</v>
      </c>
      <c r="F126" s="41" t="n">
        <f aca="false">INDEX(Mayor_Mov!$H$5:$H$445,MATCH(E126,Mayor_Mov!$J$5:$J$445,0))</f>
        <v>46231</v>
      </c>
      <c r="H126" s="28" t="n">
        <v>64041851</v>
      </c>
      <c r="I126" s="25" t="n">
        <f aca="false">SUMIFS(Mayor_Mov!$E$5:$E$445,Mayor_Mov!$J$5:$J$445,E126,Mayor_Mov!$N$5:$N$445,C126)</f>
        <v>64041850</v>
      </c>
      <c r="J126" s="25" t="n">
        <f aca="false">I126-H126</f>
        <v>-1</v>
      </c>
      <c r="S126" s="11"/>
    </row>
    <row r="127" customFormat="false" ht="24" hidden="false" customHeight="true" outlineLevel="0" collapsed="false">
      <c r="C127" s="29" t="s">
        <v>124</v>
      </c>
      <c r="D127" s="11" t="s">
        <v>463</v>
      </c>
      <c r="E127" s="22" t="s">
        <v>464</v>
      </c>
      <c r="F127" s="41" t="n">
        <f aca="false">INDEX(Mayor_Mov!$H$5:$H$445,MATCH(E127,Mayor_Mov!$J$5:$J$445,0))</f>
        <v>46203</v>
      </c>
      <c r="H127" s="28" t="n">
        <v>8901235</v>
      </c>
      <c r="I127" s="25" t="n">
        <f aca="false">SUMIFS(Mayor_Mov!$E$5:$E$445,Mayor_Mov!$J$5:$J$445,E127,Mayor_Mov!$N$5:$N$445,C127)</f>
        <v>8901235</v>
      </c>
      <c r="J127" s="25" t="n">
        <f aca="false">I127-H127</f>
        <v>0</v>
      </c>
      <c r="S127" s="11"/>
    </row>
    <row r="128" customFormat="false" ht="24" hidden="false" customHeight="true" outlineLevel="0" collapsed="false">
      <c r="C128" s="29" t="s">
        <v>124</v>
      </c>
      <c r="D128" s="11" t="s">
        <v>465</v>
      </c>
      <c r="E128" s="22" t="s">
        <v>466</v>
      </c>
      <c r="F128" s="41" t="n">
        <f aca="false">INDEX(Mayor_Mov!$H$5:$H$445,MATCH(E128,Mayor_Mov!$J$5:$J$445,0))</f>
        <v>46231</v>
      </c>
      <c r="H128" s="28" t="n">
        <v>8867342</v>
      </c>
      <c r="I128" s="25" t="n">
        <f aca="false">SUMIFS(Mayor_Mov!$E$5:$E$445,Mayor_Mov!$J$5:$J$445,E128,Mayor_Mov!$N$5:$N$445,C128)</f>
        <v>8867342</v>
      </c>
      <c r="J128" s="25" t="n">
        <f aca="false">I128-H128</f>
        <v>0</v>
      </c>
      <c r="S128" s="11"/>
    </row>
    <row r="129" customFormat="false" ht="24" hidden="false" customHeight="true" outlineLevel="0" collapsed="false">
      <c r="C129" s="29" t="s">
        <v>123</v>
      </c>
      <c r="D129" s="11" t="s">
        <v>467</v>
      </c>
      <c r="E129" s="22" t="s">
        <v>468</v>
      </c>
      <c r="F129" s="41" t="n">
        <f aca="false">INDEX(Mayor_Mov!$H$5:$H$445,MATCH(E129,Mayor_Mov!$J$5:$J$445,0))</f>
        <v>46203</v>
      </c>
      <c r="H129" s="28" t="n">
        <v>0</v>
      </c>
      <c r="I129" s="25" t="n">
        <f aca="false">SUMIFS(Mayor_Mov!$E$5:$E$445,Mayor_Mov!$J$5:$J$445,E129,Mayor_Mov!$N$5:$N$445,C129)</f>
        <v>11973677</v>
      </c>
      <c r="J129" s="25" t="n">
        <f aca="false">I129-H129</f>
        <v>11973677</v>
      </c>
      <c r="S129" s="11" t="s">
        <v>469</v>
      </c>
    </row>
    <row r="130" customFormat="false" ht="24" hidden="false" customHeight="true" outlineLevel="0" collapsed="false">
      <c r="C130" s="29" t="s">
        <v>123</v>
      </c>
      <c r="D130" s="11" t="s">
        <v>470</v>
      </c>
      <c r="E130" s="22" t="s">
        <v>471</v>
      </c>
      <c r="F130" s="41" t="n">
        <f aca="false">INDEX(Mayor_Mov!$H$5:$H$445,MATCH(E130,Mayor_Mov!$J$5:$J$445,0))</f>
        <v>46231</v>
      </c>
      <c r="H130" s="28" t="n">
        <v>12327298</v>
      </c>
      <c r="I130" s="25" t="n">
        <f aca="false">SUMIFS(Mayor_Mov!$E$5:$E$445,Mayor_Mov!$J$5:$J$445,E130,Mayor_Mov!$N$5:$N$445,C130)</f>
        <v>12327298</v>
      </c>
      <c r="J130" s="25" t="n">
        <f aca="false">I130-H130</f>
        <v>0</v>
      </c>
      <c r="S130" s="11"/>
    </row>
    <row r="131" customFormat="false" ht="15" hidden="false" customHeight="false" outlineLevel="0" collapsed="false">
      <c r="D131" s="36" t="s">
        <v>101</v>
      </c>
      <c r="H131" s="37" t="n">
        <f aca="false">SUM(H91:H130)</f>
        <v>3329917163.1</v>
      </c>
      <c r="I131" s="37" t="n">
        <f aca="false">SUM(I91:I130)</f>
        <v>3341892235.57</v>
      </c>
      <c r="J131" s="37" t="n">
        <f aca="false">SUM(J91:J130)</f>
        <v>11975072.47</v>
      </c>
    </row>
    <row r="133" customFormat="false" ht="15" hidden="false" customHeight="false" outlineLevel="0" collapsed="false">
      <c r="A133" s="21" t="s">
        <v>472</v>
      </c>
    </row>
    <row r="134" customFormat="false" ht="39.75" hidden="false" customHeight="true" outlineLevel="0" collapsed="false">
      <c r="A134" s="27"/>
      <c r="B134" s="27" t="s">
        <v>473</v>
      </c>
      <c r="C134" s="27" t="s">
        <v>474</v>
      </c>
      <c r="D134" s="27" t="s">
        <v>314</v>
      </c>
      <c r="E134" s="27" t="s">
        <v>316</v>
      </c>
      <c r="F134" s="27" t="s">
        <v>475</v>
      </c>
      <c r="G134" s="27" t="s">
        <v>476</v>
      </c>
      <c r="H134" s="27" t="s">
        <v>477</v>
      </c>
      <c r="I134" s="27" t="s">
        <v>478</v>
      </c>
      <c r="J134" s="27" t="s">
        <v>479</v>
      </c>
      <c r="K134" s="27" t="s">
        <v>480</v>
      </c>
      <c r="L134" s="27" t="s">
        <v>481</v>
      </c>
      <c r="M134" s="27" t="s">
        <v>482</v>
      </c>
      <c r="N134" s="27" t="s">
        <v>483</v>
      </c>
      <c r="O134" s="27" t="s">
        <v>484</v>
      </c>
      <c r="P134" s="27" t="s">
        <v>485</v>
      </c>
      <c r="Q134" s="27"/>
      <c r="R134" s="27"/>
      <c r="S134" s="27" t="s">
        <v>231</v>
      </c>
    </row>
    <row r="135" customFormat="false" ht="36" hidden="false" customHeight="true" outlineLevel="0" collapsed="false">
      <c r="B135" s="11" t="s">
        <v>486</v>
      </c>
      <c r="C135" s="22" t="s">
        <v>353</v>
      </c>
      <c r="D135" s="29" t="s">
        <v>125</v>
      </c>
      <c r="E135" s="23" t="n">
        <v>46209</v>
      </c>
      <c r="F135" s="22" t="s">
        <v>487</v>
      </c>
      <c r="G135" s="28" t="n">
        <v>0</v>
      </c>
      <c r="H135" s="28" t="n">
        <v>64041851</v>
      </c>
      <c r="I135" s="28" t="n">
        <v>0</v>
      </c>
      <c r="J135" s="39" t="n">
        <v>0.1441</v>
      </c>
      <c r="K135" s="23" t="n">
        <v>46135</v>
      </c>
      <c r="L135" s="28" t="n">
        <v>55427870</v>
      </c>
      <c r="M135" s="24" t="s">
        <v>488</v>
      </c>
      <c r="N135" s="30" t="str">
        <f aca="false">IF(H135=C244,"Sí","NO")</f>
        <v>Sí</v>
      </c>
      <c r="O135" s="30" t="str">
        <f aca="false">IF(G135=I244,"Sí","NO")</f>
        <v>Sí</v>
      </c>
      <c r="P135" s="30" t="str">
        <f aca="false">IF(J135=M65,"Sí","NO")</f>
        <v>Sí</v>
      </c>
      <c r="S135" s="11" t="s">
        <v>489</v>
      </c>
    </row>
    <row r="136" customFormat="false" ht="36" hidden="false" customHeight="true" outlineLevel="0" collapsed="false">
      <c r="B136" s="11" t="s">
        <v>490</v>
      </c>
      <c r="C136" s="22" t="s">
        <v>371</v>
      </c>
      <c r="D136" s="29" t="s">
        <v>123</v>
      </c>
      <c r="E136" s="23" t="n">
        <v>46198</v>
      </c>
      <c r="F136" s="22" t="s">
        <v>491</v>
      </c>
      <c r="G136" s="28" t="n">
        <v>12327298</v>
      </c>
      <c r="H136" s="28" t="n">
        <v>5062372</v>
      </c>
      <c r="I136" s="28" t="n">
        <v>1263646</v>
      </c>
      <c r="J136" s="39" t="n">
        <v>0.1603</v>
      </c>
      <c r="K136" s="23" t="n">
        <v>46184</v>
      </c>
      <c r="L136" s="28" t="n">
        <v>1029562</v>
      </c>
      <c r="M136" s="24" t="s">
        <v>488</v>
      </c>
      <c r="N136" s="30" t="str">
        <f aca="false">IF(H136=C245,"Sí","NO")</f>
        <v>Sí</v>
      </c>
      <c r="O136" s="30" t="str">
        <f aca="false">IF(G136=I245,"Sí","NO")</f>
        <v>Sí</v>
      </c>
      <c r="P136" s="30" t="str">
        <f aca="false">IF(J136=M72,"Sí","NO")</f>
        <v>Sí</v>
      </c>
      <c r="S136" s="11" t="s">
        <v>492</v>
      </c>
    </row>
    <row r="137" customFormat="false" ht="36" hidden="false" customHeight="true" outlineLevel="0" collapsed="false">
      <c r="B137" s="11" t="s">
        <v>493</v>
      </c>
      <c r="C137" s="22" t="s">
        <v>374</v>
      </c>
      <c r="D137" s="29" t="s">
        <v>124</v>
      </c>
      <c r="E137" s="23" t="n">
        <v>46191</v>
      </c>
      <c r="F137" s="22" t="s">
        <v>494</v>
      </c>
      <c r="G137" s="28" t="n">
        <v>8867342</v>
      </c>
      <c r="H137" s="28" t="n">
        <v>4177893</v>
      </c>
      <c r="I137" s="28" t="n">
        <v>1263646</v>
      </c>
      <c r="J137" s="39" t="n">
        <v>0.1593</v>
      </c>
      <c r="K137" s="23" t="n">
        <v>46178</v>
      </c>
      <c r="L137" s="28" t="n">
        <v>14567863</v>
      </c>
      <c r="M137" s="24" t="s">
        <v>488</v>
      </c>
      <c r="N137" s="30" t="str">
        <f aca="false">IF(H137=C246,"Sí","NO")</f>
        <v>Sí</v>
      </c>
      <c r="O137" s="30" t="str">
        <f aca="false">IF(G137=I246,"Sí","NO")</f>
        <v>Sí</v>
      </c>
      <c r="P137" s="30" t="str">
        <f aca="false">IF(J137=M73,"Sí","NO")</f>
        <v>Sí</v>
      </c>
      <c r="S137" s="11" t="s">
        <v>489</v>
      </c>
    </row>
    <row r="140" customFormat="false" ht="15" hidden="false" customHeight="false" outlineLevel="0" collapsed="false">
      <c r="A140" s="33" t="s">
        <v>495</v>
      </c>
    </row>
    <row r="141" customFormat="false" ht="15" hidden="false" customHeight="false" outlineLevel="0" collapsed="false">
      <c r="A141" s="34" t="s">
        <v>496</v>
      </c>
    </row>
    <row r="142" customFormat="false" ht="15" hidden="false" customHeight="false" outlineLevel="0" collapsed="false">
      <c r="A142" s="34" t="s">
        <v>497</v>
      </c>
    </row>
    <row r="143" customFormat="false" ht="15" hidden="false" customHeight="false" outlineLevel="0" collapsed="false">
      <c r="A143" s="35" t="str">
        <f aca="false">"Resultado: la suma por obligación cuadra con el balance (diferencia "&amp;TEXT(H177+H181,"#,##0")&amp;"); el detalle 62 está desactualizado en leasing."</f>
        <v>Resultado: la suma por obligación cuadra con el balance (diferencia 0); el detalle 62 está desactualizado en leasing.</v>
      </c>
    </row>
    <row r="144" customFormat="false" ht="15" hidden="false" customHeight="false" outlineLevel="0" collapsed="false">
      <c r="A144" s="19" t="s">
        <v>498</v>
      </c>
    </row>
    <row r="145" customFormat="false" ht="15" hidden="false" customHeight="false" outlineLevel="0" collapsed="false">
      <c r="A145" s="20" t="s">
        <v>499</v>
      </c>
    </row>
    <row r="147" customFormat="false" ht="48" hidden="false" customHeight="true" outlineLevel="0" collapsed="false">
      <c r="A147" s="27" t="s">
        <v>314</v>
      </c>
      <c r="B147" s="27" t="s">
        <v>162</v>
      </c>
      <c r="C147" s="27" t="s">
        <v>381</v>
      </c>
      <c r="D147" s="27" t="s">
        <v>105</v>
      </c>
      <c r="E147" s="27" t="s">
        <v>500</v>
      </c>
      <c r="F147" s="27" t="s">
        <v>501</v>
      </c>
      <c r="G147" s="27" t="s">
        <v>502</v>
      </c>
      <c r="H147" s="27" t="s">
        <v>503</v>
      </c>
      <c r="I147" s="27" t="s">
        <v>107</v>
      </c>
      <c r="J147" s="27" t="s">
        <v>504</v>
      </c>
      <c r="K147" s="27" t="s">
        <v>505</v>
      </c>
      <c r="L147" s="27" t="s">
        <v>506</v>
      </c>
      <c r="M147" s="27" t="s">
        <v>507</v>
      </c>
      <c r="N147" s="27" t="s">
        <v>508</v>
      </c>
      <c r="O147" s="27" t="s">
        <v>509</v>
      </c>
      <c r="P147" s="27" t="s">
        <v>510</v>
      </c>
      <c r="Q147" s="27" t="s">
        <v>511</v>
      </c>
      <c r="R147" s="27" t="s">
        <v>231</v>
      </c>
    </row>
    <row r="148" customFormat="false" ht="15" hidden="false" customHeight="false" outlineLevel="0" collapsed="false">
      <c r="A148" s="29" t="s">
        <v>119</v>
      </c>
      <c r="B148" s="22" t="s">
        <v>512</v>
      </c>
      <c r="C148" s="22" t="s">
        <v>170</v>
      </c>
      <c r="D148" s="22" t="s">
        <v>513</v>
      </c>
      <c r="E148" s="25" t="n">
        <f aca="false">SUMIFS(Mayor_Dic25!$G$5:$G$200,Mayor_Dic25!$J$5:$J$200,A148,Mayor_Dic25!$C$5:$C$200,"&lt;&gt;2130*",Mayor_Dic25!$C$5:$C$200,"&lt;&gt;21050301")</f>
        <v>10000000000</v>
      </c>
      <c r="F148" s="25" t="n">
        <f aca="false">SUMIFS(Mayor_Mov!$F$5:$F$445,Mayor_Mov!$N$5:$N$445,$A148,Mayor_Mov!$B$5:$B$445,"21050100")+SUMIFS(Mayor_Mov!$F$5:$F$445,Mayor_Mov!$N$5:$N$445,$A148,Mayor_Mov!$B$5:$B$445,"21050201")+SUMIFS(Mayor_Mov!$F$5:$F$445,Mayor_Mov!$N$5:$N$445,$A148,Mayor_Mov!$B$5:$B$445,"21202040")+SUMIFS(Mayor_Mov!$F$5:$F$445,Mayor_Mov!$N$5:$N$445,$A148,Mayor_Mov!$B$5:$B$445,"21202140")</f>
        <v>0</v>
      </c>
      <c r="G148" s="25" t="n">
        <f aca="false">SUMIFS(Mayor_Mov!$E$5:$E$445,Mayor_Mov!$N$5:$N$445,$A148,Mayor_Mov!$B$5:$B$445,"21050100")+SUMIFS(Mayor_Mov!$E$5:$E$445,Mayor_Mov!$N$5:$N$445,$A148,Mayor_Mov!$B$5:$B$445,"21050201")+SUMIFS(Mayor_Mov!$E$5:$E$445,Mayor_Mov!$N$5:$N$445,$A148,Mayor_Mov!$B$5:$B$445,"21202040")+SUMIFS(Mayor_Mov!$E$5:$E$445,Mayor_Mov!$N$5:$N$445,$A148,Mayor_Mov!$B$5:$B$445,"21202140")</f>
        <v>10000000000</v>
      </c>
      <c r="H148" s="25" t="n">
        <f aca="false">E148+F148-G148</f>
        <v>0</v>
      </c>
      <c r="I148" s="25" t="n">
        <f aca="false">SUMIFS(Detalle_62!$F$14:$F$35,Detalle_62!$C$14:$C$35,A148)</f>
        <v>0</v>
      </c>
      <c r="J148" s="25" t="str">
        <f aca="false">IFERROR(INDEX(Tablas_Amortizacion!$N$8:$N$44,MATCH(A148,Tablas_Amortizacion!$A$8:$A$44,0)),"Sin tabla")</f>
        <v>Sin tabla</v>
      </c>
      <c r="K148" s="28" t="n">
        <v>10000000000</v>
      </c>
      <c r="L148" s="25" t="n">
        <f aca="false">IF(ISNUMBER(K148),K148+F148-G148,"N/D")</f>
        <v>0</v>
      </c>
      <c r="M148" s="30" t="str">
        <f aca="false">IF(ISNUMBER(K148),"[E] Extracto dic-25 + mov. 2026","[P] Sin soporte bancario")</f>
        <v>[E] Extracto dic-25 + mov. 2026</v>
      </c>
      <c r="N148" s="25" t="n">
        <f aca="false">H148-I148</f>
        <v>0</v>
      </c>
      <c r="O148" s="25" t="n">
        <f aca="false">IF(ISNUMBER(L148),H148-L148,"N/D")</f>
        <v>0</v>
      </c>
      <c r="P148" s="25" t="n">
        <f aca="false">IF(ISNUMBER(L148),I148-L148,"N/D")</f>
        <v>0</v>
      </c>
      <c r="Q148" s="25" t="str">
        <f aca="false">IF(AND(ISNUMBER(J148),ISNUMBER(L148)),J148-L148,"N/D")</f>
        <v>N/D</v>
      </c>
      <c r="R148" s="42" t="str">
        <f aca="false">IF(NOT(ISNUMBER(L148)),"Pendiente soporte bancario",IF(ABS(O148)&lt;=Resumen!$C$6,IF(ABS(N148)&lt;=Resumen!$C$6,"OK","Mayor OK – detalle 62 desactualizado"),"Diferencia mayor vs banco"))</f>
        <v>OK</v>
      </c>
    </row>
    <row r="149" customFormat="false" ht="15" hidden="false" customHeight="false" outlineLevel="0" collapsed="false">
      <c r="A149" s="29" t="s">
        <v>120</v>
      </c>
      <c r="B149" s="22" t="s">
        <v>512</v>
      </c>
      <c r="C149" s="22" t="s">
        <v>170</v>
      </c>
      <c r="D149" s="22" t="s">
        <v>514</v>
      </c>
      <c r="E149" s="25" t="n">
        <f aca="false">SUMIFS(Mayor_Dic25!$G$5:$G$200,Mayor_Dic25!$J$5:$J$200,A149,Mayor_Dic25!$C$5:$C$200,"&lt;&gt;2130*",Mayor_Dic25!$C$5:$C$200,"&lt;&gt;21050301")</f>
        <v>3000000000</v>
      </c>
      <c r="F149" s="25" t="n">
        <f aca="false">SUMIFS(Mayor_Mov!$F$5:$F$445,Mayor_Mov!$N$5:$N$445,$A149,Mayor_Mov!$B$5:$B$445,"21050100")+SUMIFS(Mayor_Mov!$F$5:$F$445,Mayor_Mov!$N$5:$N$445,$A149,Mayor_Mov!$B$5:$B$445,"21050201")+SUMIFS(Mayor_Mov!$F$5:$F$445,Mayor_Mov!$N$5:$N$445,$A149,Mayor_Mov!$B$5:$B$445,"21202040")+SUMIFS(Mayor_Mov!$F$5:$F$445,Mayor_Mov!$N$5:$N$445,$A149,Mayor_Mov!$B$5:$B$445,"21202140")</f>
        <v>0</v>
      </c>
      <c r="G149" s="25" t="n">
        <f aca="false">SUMIFS(Mayor_Mov!$E$5:$E$445,Mayor_Mov!$N$5:$N$445,$A149,Mayor_Mov!$B$5:$B$445,"21050100")+SUMIFS(Mayor_Mov!$E$5:$E$445,Mayor_Mov!$N$5:$N$445,$A149,Mayor_Mov!$B$5:$B$445,"21050201")+SUMIFS(Mayor_Mov!$E$5:$E$445,Mayor_Mov!$N$5:$N$445,$A149,Mayor_Mov!$B$5:$B$445,"21202040")+SUMIFS(Mayor_Mov!$E$5:$E$445,Mayor_Mov!$N$5:$N$445,$A149,Mayor_Mov!$B$5:$B$445,"21202140")</f>
        <v>0</v>
      </c>
      <c r="H149" s="25" t="n">
        <f aca="false">E149+F149-G149</f>
        <v>3000000000</v>
      </c>
      <c r="I149" s="25" t="n">
        <f aca="false">SUMIFS(Detalle_62!$F$14:$F$35,Detalle_62!$C$14:$C$35,A149)</f>
        <v>3000000000</v>
      </c>
      <c r="J149" s="25" t="n">
        <f aca="false">IFERROR(INDEX(Tablas_Amortizacion!$N$8:$N$44,MATCH(A149,Tablas_Amortizacion!$A$8:$A$44,0)),"Sin tabla")</f>
        <v>3000000000</v>
      </c>
      <c r="K149" s="28" t="n">
        <v>2999996571.59</v>
      </c>
      <c r="L149" s="25" t="n">
        <f aca="false">J64</f>
        <v>2999995157</v>
      </c>
      <c r="M149" s="22" t="s">
        <v>515</v>
      </c>
      <c r="N149" s="25" t="n">
        <f aca="false">H149-I149</f>
        <v>0</v>
      </c>
      <c r="O149" s="25" t="n">
        <f aca="false">IF(ISNUMBER(L149),H149-L149,"N/D")</f>
        <v>4843</v>
      </c>
      <c r="P149" s="25" t="n">
        <f aca="false">IF(ISNUMBER(L149),I149-L149,"N/D")</f>
        <v>4843</v>
      </c>
      <c r="Q149" s="25" t="n">
        <f aca="false">IF(AND(ISNUMBER(J149),ISNUMBER(L149)),J149-L149,"N/D")</f>
        <v>4843</v>
      </c>
      <c r="R149" s="42" t="str">
        <f aca="false">IF(NOT(ISNUMBER(L149)),"Pendiente soporte bancario",IF(ABS(O149)&lt;=Resumen!$C$6,IF(ABS(N149)&lt;=Resumen!$C$6,"OK","Mayor OK – detalle 62 desactualizado"),"Diferencia mayor vs banco"))</f>
        <v>Diferencia mayor vs banco</v>
      </c>
    </row>
    <row r="150" customFormat="false" ht="15" hidden="false" customHeight="false" outlineLevel="0" collapsed="false">
      <c r="A150" s="29" t="s">
        <v>121</v>
      </c>
      <c r="B150" s="22" t="s">
        <v>512</v>
      </c>
      <c r="C150" s="22" t="s">
        <v>170</v>
      </c>
      <c r="D150" s="22" t="s">
        <v>516</v>
      </c>
      <c r="E150" s="25" t="n">
        <f aca="false">SUMIFS(Mayor_Dic25!$G$5:$G$200,Mayor_Dic25!$J$5:$J$200,A150,Mayor_Dic25!$C$5:$C$200,"&lt;&gt;2130*",Mayor_Dic25!$C$5:$C$200,"&lt;&gt;21050301")</f>
        <v>7500000000</v>
      </c>
      <c r="F150" s="25" t="n">
        <f aca="false">SUMIFS(Mayor_Mov!$F$5:$F$445,Mayor_Mov!$N$5:$N$445,$A150,Mayor_Mov!$B$5:$B$445,"21050100")+SUMIFS(Mayor_Mov!$F$5:$F$445,Mayor_Mov!$N$5:$N$445,$A150,Mayor_Mov!$B$5:$B$445,"21050201")+SUMIFS(Mayor_Mov!$F$5:$F$445,Mayor_Mov!$N$5:$N$445,$A150,Mayor_Mov!$B$5:$B$445,"21202040")+SUMIFS(Mayor_Mov!$F$5:$F$445,Mayor_Mov!$N$5:$N$445,$A150,Mayor_Mov!$B$5:$B$445,"21202140")</f>
        <v>0</v>
      </c>
      <c r="G150" s="25" t="n">
        <f aca="false">SUMIFS(Mayor_Mov!$E$5:$E$445,Mayor_Mov!$N$5:$N$445,$A150,Mayor_Mov!$B$5:$B$445,"21050100")+SUMIFS(Mayor_Mov!$E$5:$E$445,Mayor_Mov!$N$5:$N$445,$A150,Mayor_Mov!$B$5:$B$445,"21050201")+SUMIFS(Mayor_Mov!$E$5:$E$445,Mayor_Mov!$N$5:$N$445,$A150,Mayor_Mov!$B$5:$B$445,"21202040")+SUMIFS(Mayor_Mov!$E$5:$E$445,Mayor_Mov!$N$5:$N$445,$A150,Mayor_Mov!$B$5:$B$445,"21202140")</f>
        <v>0</v>
      </c>
      <c r="H150" s="25" t="n">
        <f aca="false">E150+F150-G150</f>
        <v>7500000000</v>
      </c>
      <c r="I150" s="25" t="n">
        <f aca="false">SUMIFS(Detalle_62!$F$14:$F$35,Detalle_62!$C$14:$C$35,A150)</f>
        <v>7500000000</v>
      </c>
      <c r="J150" s="25" t="n">
        <f aca="false">IFERROR(INDEX(Tablas_Amortizacion!$N$8:$N$44,MATCH(A150,Tablas_Amortizacion!$A$8:$A$44,0)),"Sin tabla")</f>
        <v>7500000000</v>
      </c>
      <c r="K150" s="28" t="n">
        <v>7499998630.82</v>
      </c>
      <c r="L150" s="25" t="n">
        <f aca="false">J57</f>
        <v>7499998503.25</v>
      </c>
      <c r="M150" s="22" t="s">
        <v>515</v>
      </c>
      <c r="N150" s="25" t="n">
        <f aca="false">H150-I150</f>
        <v>0</v>
      </c>
      <c r="O150" s="25" t="n">
        <f aca="false">IF(ISNUMBER(L150),H150-L150,"N/D")</f>
        <v>1496.75</v>
      </c>
      <c r="P150" s="25" t="n">
        <f aca="false">IF(ISNUMBER(L150),I150-L150,"N/D")</f>
        <v>1496.75</v>
      </c>
      <c r="Q150" s="25" t="n">
        <f aca="false">IF(AND(ISNUMBER(J150),ISNUMBER(L150)),J150-L150,"N/D")</f>
        <v>1496.75</v>
      </c>
      <c r="R150" s="42" t="str">
        <f aca="false">IF(NOT(ISNUMBER(L150)),"Pendiente soporte bancario",IF(ABS(O150)&lt;=Resumen!$C$6,IF(ABS(N150)&lt;=Resumen!$C$6,"OK","Mayor OK – detalle 62 desactualizado"),"Diferencia mayor vs banco"))</f>
        <v>Diferencia mayor vs banco</v>
      </c>
    </row>
    <row r="151" customFormat="false" ht="15" hidden="false" customHeight="false" outlineLevel="0" collapsed="false">
      <c r="A151" s="29" t="s">
        <v>122</v>
      </c>
      <c r="B151" s="22" t="s">
        <v>512</v>
      </c>
      <c r="C151" s="22" t="s">
        <v>170</v>
      </c>
      <c r="D151" s="22" t="s">
        <v>517</v>
      </c>
      <c r="E151" s="25" t="n">
        <f aca="false">SUMIFS(Mayor_Dic25!$G$5:$G$200,Mayor_Dic25!$J$5:$J$200,A151,Mayor_Dic25!$C$5:$C$200,"&lt;&gt;2130*",Mayor_Dic25!$C$5:$C$200,"&lt;&gt;21050301")</f>
        <v>3960000000</v>
      </c>
      <c r="F151" s="25" t="n">
        <f aca="false">SUMIFS(Mayor_Mov!$F$5:$F$445,Mayor_Mov!$N$5:$N$445,$A151,Mayor_Mov!$B$5:$B$445,"21050100")+SUMIFS(Mayor_Mov!$F$5:$F$445,Mayor_Mov!$N$5:$N$445,$A151,Mayor_Mov!$B$5:$B$445,"21050201")+SUMIFS(Mayor_Mov!$F$5:$F$445,Mayor_Mov!$N$5:$N$445,$A151,Mayor_Mov!$B$5:$B$445,"21202040")+SUMIFS(Mayor_Mov!$F$5:$F$445,Mayor_Mov!$N$5:$N$445,$A151,Mayor_Mov!$B$5:$B$445,"21202140")</f>
        <v>0</v>
      </c>
      <c r="G151" s="25" t="n">
        <f aca="false">SUMIFS(Mayor_Mov!$E$5:$E$445,Mayor_Mov!$N$5:$N$445,$A151,Mayor_Mov!$B$5:$B$445,"21050100")+SUMIFS(Mayor_Mov!$E$5:$E$445,Mayor_Mov!$N$5:$N$445,$A151,Mayor_Mov!$B$5:$B$445,"21050201")+SUMIFS(Mayor_Mov!$E$5:$E$445,Mayor_Mov!$N$5:$N$445,$A151,Mayor_Mov!$B$5:$B$445,"21202040")+SUMIFS(Mayor_Mov!$E$5:$E$445,Mayor_Mov!$N$5:$N$445,$A151,Mayor_Mov!$B$5:$B$445,"21202140")</f>
        <v>0</v>
      </c>
      <c r="H151" s="25" t="n">
        <f aca="false">E151+F151-G151</f>
        <v>3960000000</v>
      </c>
      <c r="I151" s="25" t="n">
        <f aca="false">SUMIFS(Detalle_62!$F$14:$F$35,Detalle_62!$C$14:$C$35,A151)</f>
        <v>3960000000</v>
      </c>
      <c r="J151" s="25" t="n">
        <f aca="false">IFERROR(INDEX(Tablas_Amortizacion!$N$8:$N$44,MATCH(A151,Tablas_Amortizacion!$A$8:$A$44,0)),"Sin tabla")</f>
        <v>3960000000</v>
      </c>
      <c r="K151" s="28" t="n">
        <v>3959998705.37</v>
      </c>
      <c r="L151" s="25" t="n">
        <f aca="false">J63</f>
        <v>3959997817.95</v>
      </c>
      <c r="M151" s="22" t="s">
        <v>515</v>
      </c>
      <c r="N151" s="25" t="n">
        <f aca="false">H151-I151</f>
        <v>0</v>
      </c>
      <c r="O151" s="25" t="n">
        <f aca="false">IF(ISNUMBER(L151),H151-L151,"N/D")</f>
        <v>2182.0499997139</v>
      </c>
      <c r="P151" s="25" t="n">
        <f aca="false">IF(ISNUMBER(L151),I151-L151,"N/D")</f>
        <v>2182.0499997139</v>
      </c>
      <c r="Q151" s="25" t="n">
        <f aca="false">IF(AND(ISNUMBER(J151),ISNUMBER(L151)),J151-L151,"N/D")</f>
        <v>2182.0499997139</v>
      </c>
      <c r="R151" s="42" t="str">
        <f aca="false">IF(NOT(ISNUMBER(L151)),"Pendiente soporte bancario",IF(ABS(O151)&lt;=Resumen!$C$6,IF(ABS(N151)&lt;=Resumen!$C$6,"OK","Mayor OK – detalle 62 desactualizado"),"Diferencia mayor vs banco"))</f>
        <v>Diferencia mayor vs banco</v>
      </c>
    </row>
    <row r="152" customFormat="false" ht="15" hidden="false" customHeight="false" outlineLevel="0" collapsed="false">
      <c r="A152" s="29" t="s">
        <v>123</v>
      </c>
      <c r="B152" s="22" t="s">
        <v>512</v>
      </c>
      <c r="C152" s="22" t="s">
        <v>388</v>
      </c>
      <c r="D152" s="22" t="s">
        <v>518</v>
      </c>
      <c r="E152" s="25" t="n">
        <f aca="false">SUMIFS(Mayor_Dic25!$G$5:$G$200,Mayor_Dic25!$J$5:$J$200,A152,Mayor_Dic25!$C$5:$C$200,"&lt;&gt;2130*",Mayor_Dic25!$C$5:$C$200,"&lt;&gt;21050301")</f>
        <v>481870906</v>
      </c>
      <c r="F152" s="25" t="n">
        <f aca="false">SUMIFS(Mayor_Mov!$F$5:$F$445,Mayor_Mov!$N$5:$N$445,$A152,Mayor_Mov!$B$5:$B$445,"21050100")+SUMIFS(Mayor_Mov!$F$5:$F$445,Mayor_Mov!$N$5:$N$445,$A152,Mayor_Mov!$B$5:$B$445,"21050201")+SUMIFS(Mayor_Mov!$F$5:$F$445,Mayor_Mov!$N$5:$N$445,$A152,Mayor_Mov!$B$5:$B$445,"21202040")+SUMIFS(Mayor_Mov!$F$5:$F$445,Mayor_Mov!$N$5:$N$445,$A152,Mayor_Mov!$B$5:$B$445,"21202140")</f>
        <v>0</v>
      </c>
      <c r="G152" s="25" t="n">
        <f aca="false">SUMIFS(Mayor_Mov!$E$5:$E$445,Mayor_Mov!$N$5:$N$445,$A152,Mayor_Mov!$B$5:$B$445,"21050100")+SUMIFS(Mayor_Mov!$E$5:$E$445,Mayor_Mov!$N$5:$N$445,$A152,Mayor_Mov!$B$5:$B$445,"21050201")+SUMIFS(Mayor_Mov!$E$5:$E$445,Mayor_Mov!$N$5:$N$445,$A152,Mayor_Mov!$B$5:$B$445,"21202040")+SUMIFS(Mayor_Mov!$E$5:$E$445,Mayor_Mov!$N$5:$N$445,$A152,Mayor_Mov!$B$5:$B$445,"21202140")</f>
        <v>82483752</v>
      </c>
      <c r="H152" s="25" t="n">
        <f aca="false">E152+F152-G152</f>
        <v>399387154</v>
      </c>
      <c r="I152" s="25" t="n">
        <f aca="false">SUMIFS(Detalle_62!$F$14:$F$35,Detalle_62!$C$14:$C$35,A152)</f>
        <v>398582167.21439</v>
      </c>
      <c r="J152" s="25" t="n">
        <f aca="false">IFERROR(INDEX(Tablas_Amortizacion!$N$8:$N$44,MATCH(A152,Tablas_Amortizacion!$A$8:$A$44,0)),"Sin tabla")</f>
        <v>398582167.21439</v>
      </c>
      <c r="K152" s="28" t="n">
        <v>481870906</v>
      </c>
      <c r="L152" s="25" t="n">
        <f aca="false">IF(ISNUMBER(K152),K152+F152-G152,"N/D")</f>
        <v>399387154</v>
      </c>
      <c r="M152" s="30" t="str">
        <f aca="false">IF(ISNUMBER(K152),"[E] Extracto dic-25 + mov. 2026","[P] Sin soporte bancario")</f>
        <v>[E] Extracto dic-25 + mov. 2026</v>
      </c>
      <c r="N152" s="25" t="n">
        <f aca="false">H152-I152</f>
        <v>804986.78561002</v>
      </c>
      <c r="O152" s="25" t="n">
        <f aca="false">IF(ISNUMBER(L152),H152-L152,"N/D")</f>
        <v>0</v>
      </c>
      <c r="P152" s="25" t="n">
        <f aca="false">IF(ISNUMBER(L152),I152-L152,"N/D")</f>
        <v>-804986.78561002</v>
      </c>
      <c r="Q152" s="25" t="n">
        <f aca="false">IF(AND(ISNUMBER(J152),ISNUMBER(L152)),J152-L152,"N/D")</f>
        <v>-804986.78561002</v>
      </c>
      <c r="R152" s="42" t="str">
        <f aca="false">IF(NOT(ISNUMBER(L152)),"Pendiente soporte bancario",IF(ABS(O152)&lt;=Resumen!$C$6,IF(ABS(N152)&lt;=Resumen!$C$6,"OK","Mayor OK – detalle 62 desactualizado"),"Diferencia mayor vs banco"))</f>
        <v>Mayor OK – detalle 62 desactualizado</v>
      </c>
    </row>
    <row r="153" customFormat="false" ht="15" hidden="false" customHeight="false" outlineLevel="0" collapsed="false">
      <c r="A153" s="29" t="s">
        <v>124</v>
      </c>
      <c r="B153" s="22" t="s">
        <v>512</v>
      </c>
      <c r="C153" s="22" t="s">
        <v>388</v>
      </c>
      <c r="D153" s="22" t="s">
        <v>519</v>
      </c>
      <c r="E153" s="25" t="n">
        <f aca="false">SUMIFS(Mayor_Dic25!$G$5:$G$200,Mayor_Dic25!$J$5:$J$200,A153,Mayor_Dic25!$C$5:$C$200,"&lt;&gt;2130*",Mayor_Dic25!$C$5:$C$200,"&lt;&gt;21050301")</f>
        <v>393351698</v>
      </c>
      <c r="F153" s="25" t="n">
        <f aca="false">SUMIFS(Mayor_Mov!$F$5:$F$445,Mayor_Mov!$N$5:$N$445,$A153,Mayor_Mov!$B$5:$B$445,"21050100")+SUMIFS(Mayor_Mov!$F$5:$F$445,Mayor_Mov!$N$5:$N$445,$A153,Mayor_Mov!$B$5:$B$445,"21050201")+SUMIFS(Mayor_Mov!$F$5:$F$445,Mayor_Mov!$N$5:$N$445,$A153,Mayor_Mov!$B$5:$B$445,"21202040")+SUMIFS(Mayor_Mov!$F$5:$F$445,Mayor_Mov!$N$5:$N$445,$A153,Mayor_Mov!$B$5:$B$445,"21202140")</f>
        <v>0</v>
      </c>
      <c r="G153" s="25" t="n">
        <f aca="false">SUMIFS(Mayor_Mov!$E$5:$E$445,Mayor_Mov!$N$5:$N$445,$A153,Mayor_Mov!$B$5:$B$445,"21050100")+SUMIFS(Mayor_Mov!$E$5:$E$445,Mayor_Mov!$N$5:$N$445,$A153,Mayor_Mov!$B$5:$B$445,"21050201")+SUMIFS(Mayor_Mov!$E$5:$E$445,Mayor_Mov!$N$5:$N$445,$A153,Mayor_Mov!$B$5:$B$445,"21202040")+SUMIFS(Mayor_Mov!$E$5:$E$445,Mayor_Mov!$N$5:$N$445,$A153,Mayor_Mov!$B$5:$B$445,"21202140")</f>
        <v>60352563</v>
      </c>
      <c r="H153" s="25" t="n">
        <f aca="false">E153+F153-G153</f>
        <v>332999135</v>
      </c>
      <c r="I153" s="25" t="n">
        <f aca="false">SUMIFS(Detalle_62!$F$14:$F$35,Detalle_62!$C$14:$C$35,A153)</f>
        <v>323529688.533944</v>
      </c>
      <c r="J153" s="25" t="n">
        <f aca="false">IFERROR(INDEX(Tablas_Amortizacion!$N$8:$N$44,MATCH(A153,Tablas_Amortizacion!$A$8:$A$44,0)),"Sin tabla")</f>
        <v>323529688.533944</v>
      </c>
      <c r="K153" s="28" t="n">
        <v>393351698</v>
      </c>
      <c r="L153" s="25" t="n">
        <f aca="false">IF(ISNUMBER(K153),K153+F153-G153,"N/D")</f>
        <v>332999135</v>
      </c>
      <c r="M153" s="30" t="str">
        <f aca="false">IF(ISNUMBER(K153),"[E] Extracto dic-25 + mov. 2026","[P] Sin soporte bancario")</f>
        <v>[E] Extracto dic-25 + mov. 2026</v>
      </c>
      <c r="N153" s="25" t="n">
        <f aca="false">H153-I153</f>
        <v>9469446.46605557</v>
      </c>
      <c r="O153" s="25" t="n">
        <f aca="false">IF(ISNUMBER(L153),H153-L153,"N/D")</f>
        <v>0</v>
      </c>
      <c r="P153" s="25" t="n">
        <f aca="false">IF(ISNUMBER(L153),I153-L153,"N/D")</f>
        <v>-9469446.46605557</v>
      </c>
      <c r="Q153" s="25" t="n">
        <f aca="false">IF(AND(ISNUMBER(J153),ISNUMBER(L153)),J153-L153,"N/D")</f>
        <v>-9469446.46605557</v>
      </c>
      <c r="R153" s="42" t="str">
        <f aca="false">IF(NOT(ISNUMBER(L153)),"Pendiente soporte bancario",IF(ABS(O153)&lt;=Resumen!$C$6,IF(ABS(N153)&lt;=Resumen!$C$6,"OK","Mayor OK – detalle 62 desactualizado"),"Diferencia mayor vs banco"))</f>
        <v>Mayor OK – detalle 62 desactualizado</v>
      </c>
    </row>
    <row r="154" customFormat="false" ht="15" hidden="false" customHeight="false" outlineLevel="0" collapsed="false">
      <c r="A154" s="29" t="s">
        <v>125</v>
      </c>
      <c r="B154" s="22" t="s">
        <v>512</v>
      </c>
      <c r="C154" s="22" t="s">
        <v>388</v>
      </c>
      <c r="D154" s="22" t="s">
        <v>520</v>
      </c>
      <c r="E154" s="25" t="n">
        <f aca="false">SUMIFS(Mayor_Dic25!$G$5:$G$200,Mayor_Dic25!$J$5:$J$200,A154,Mayor_Dic25!$C$5:$C$200,"&lt;&gt;2130*",Mayor_Dic25!$C$5:$C$200,"&lt;&gt;21050301")</f>
        <v>1876684264</v>
      </c>
      <c r="F154" s="25" t="n">
        <f aca="false">SUMIFS(Mayor_Mov!$F$5:$F$445,Mayor_Mov!$N$5:$N$445,$A154,Mayor_Mov!$B$5:$B$445,"21050100")+SUMIFS(Mayor_Mov!$F$5:$F$445,Mayor_Mov!$N$5:$N$445,$A154,Mayor_Mov!$B$5:$B$445,"21050201")+SUMIFS(Mayor_Mov!$F$5:$F$445,Mayor_Mov!$N$5:$N$445,$A154,Mayor_Mov!$B$5:$B$445,"21202040")+SUMIFS(Mayor_Mov!$F$5:$F$445,Mayor_Mov!$N$5:$N$445,$A154,Mayor_Mov!$B$5:$B$445,"21202140")</f>
        <v>0</v>
      </c>
      <c r="G154" s="25" t="n">
        <f aca="false">SUMIFS(Mayor_Mov!$E$5:$E$445,Mayor_Mov!$N$5:$N$445,$A154,Mayor_Mov!$B$5:$B$445,"21050100")+SUMIFS(Mayor_Mov!$E$5:$E$445,Mayor_Mov!$N$5:$N$445,$A154,Mayor_Mov!$B$5:$B$445,"21050201")+SUMIFS(Mayor_Mov!$E$5:$E$445,Mayor_Mov!$N$5:$N$445,$A154,Mayor_Mov!$B$5:$B$445,"21202040")+SUMIFS(Mayor_Mov!$E$5:$E$445,Mayor_Mov!$N$5:$N$445,$A154,Mayor_Mov!$B$5:$B$445,"21202140")</f>
        <v>0</v>
      </c>
      <c r="H154" s="25" t="n">
        <f aca="false">E154+F154-G154</f>
        <v>1876684264</v>
      </c>
      <c r="I154" s="25" t="n">
        <f aca="false">SUMIFS(Detalle_62!$F$14:$F$35,Detalle_62!$C$14:$C$35,A154)</f>
        <v>1883712218.08706</v>
      </c>
      <c r="J154" s="25" t="n">
        <f aca="false">IFERROR(INDEX(Tablas_Amortizacion!$N$8:$N$44,MATCH(A154,Tablas_Amortizacion!$A$8:$A$44,0)),"Sin tabla")</f>
        <v>1883712218.08706</v>
      </c>
      <c r="K154" s="28" t="n">
        <v>1876684264</v>
      </c>
      <c r="L154" s="25" t="n">
        <f aca="false">IF(ISNUMBER(K154),K154+F154-G154,"N/D")</f>
        <v>1876684264</v>
      </c>
      <c r="M154" s="30" t="str">
        <f aca="false">IF(ISNUMBER(K154),"[E] Extracto dic-25 + mov. 2026","[P] Sin soporte bancario")</f>
        <v>[E] Extracto dic-25 + mov. 2026</v>
      </c>
      <c r="N154" s="25" t="n">
        <f aca="false">H154-I154</f>
        <v>-7027954.08705711</v>
      </c>
      <c r="O154" s="25" t="n">
        <f aca="false">IF(ISNUMBER(L154),H154-L154,"N/D")</f>
        <v>0</v>
      </c>
      <c r="P154" s="25" t="n">
        <f aca="false">IF(ISNUMBER(L154),I154-L154,"N/D")</f>
        <v>7027954.08705711</v>
      </c>
      <c r="Q154" s="25" t="n">
        <f aca="false">IF(AND(ISNUMBER(J154),ISNUMBER(L154)),J154-L154,"N/D")</f>
        <v>7027954.08705711</v>
      </c>
      <c r="R154" s="42" t="str">
        <f aca="false">IF(NOT(ISNUMBER(L154)),"Pendiente soporte bancario",IF(ABS(O154)&lt;=Resumen!$C$6,IF(ABS(N154)&lt;=Resumen!$C$6,"OK","Mayor OK – detalle 62 desactualizado"),"Diferencia mayor vs banco"))</f>
        <v>Mayor OK – detalle 62 desactualizado</v>
      </c>
    </row>
    <row r="155" customFormat="false" ht="15" hidden="false" customHeight="false" outlineLevel="0" collapsed="false">
      <c r="A155" s="29" t="s">
        <v>126</v>
      </c>
      <c r="B155" s="22" t="s">
        <v>512</v>
      </c>
      <c r="C155" s="22" t="s">
        <v>388</v>
      </c>
      <c r="D155" s="22" t="s">
        <v>521</v>
      </c>
      <c r="E155" s="25" t="n">
        <f aca="false">SUMIFS(Mayor_Dic25!$G$5:$G$200,Mayor_Dic25!$J$5:$J$200,A155,Mayor_Dic25!$C$5:$C$200,"&lt;&gt;2130*",Mayor_Dic25!$C$5:$C$200,"&lt;&gt;21050301")</f>
        <v>213861900</v>
      </c>
      <c r="F155" s="25" t="n">
        <f aca="false">SUMIFS(Mayor_Mov!$F$5:$F$445,Mayor_Mov!$N$5:$N$445,$A155,Mayor_Mov!$B$5:$B$445,"21050100")+SUMIFS(Mayor_Mov!$F$5:$F$445,Mayor_Mov!$N$5:$N$445,$A155,Mayor_Mov!$B$5:$B$445,"21050201")+SUMIFS(Mayor_Mov!$F$5:$F$445,Mayor_Mov!$N$5:$N$445,$A155,Mayor_Mov!$B$5:$B$445,"21202040")+SUMIFS(Mayor_Mov!$F$5:$F$445,Mayor_Mov!$N$5:$N$445,$A155,Mayor_Mov!$B$5:$B$445,"21202140")</f>
        <v>0</v>
      </c>
      <c r="G155" s="25" t="n">
        <f aca="false">SUMIFS(Mayor_Mov!$E$5:$E$445,Mayor_Mov!$N$5:$N$445,$A155,Mayor_Mov!$B$5:$B$445,"21050100")+SUMIFS(Mayor_Mov!$E$5:$E$445,Mayor_Mov!$N$5:$N$445,$A155,Mayor_Mov!$B$5:$B$445,"21050201")+SUMIFS(Mayor_Mov!$E$5:$E$445,Mayor_Mov!$N$5:$N$445,$A155,Mayor_Mov!$B$5:$B$445,"21202040")+SUMIFS(Mayor_Mov!$E$5:$E$445,Mayor_Mov!$N$5:$N$445,$A155,Mayor_Mov!$B$5:$B$445,"21202140")</f>
        <v>0</v>
      </c>
      <c r="H155" s="25" t="n">
        <f aca="false">E155+F155-G155</f>
        <v>213861900</v>
      </c>
      <c r="I155" s="25" t="n">
        <f aca="false">SUMIFS(Detalle_62!$F$14:$F$35,Detalle_62!$C$14:$C$35,A155)</f>
        <v>0</v>
      </c>
      <c r="J155" s="25" t="str">
        <f aca="false">IFERROR(INDEX(Tablas_Amortizacion!$N$8:$N$44,MATCH(A155,Tablas_Amortizacion!$A$8:$A$44,0)),"Sin tabla")</f>
        <v>Sin tabla</v>
      </c>
      <c r="K155" s="28" t="s">
        <v>522</v>
      </c>
      <c r="L155" s="25" t="str">
        <f aca="false">IF(ISNUMBER(K155),K155+F155-G155,"N/D")</f>
        <v>N/D</v>
      </c>
      <c r="M155" s="30" t="str">
        <f aca="false">IF(ISNUMBER(K155),"[E] Extracto dic-25 + mov. 2026","[P] Sin soporte bancario")</f>
        <v>[P] Sin soporte bancario</v>
      </c>
      <c r="N155" s="25" t="n">
        <f aca="false">H155-I155</f>
        <v>213861900</v>
      </c>
      <c r="O155" s="25" t="str">
        <f aca="false">IF(ISNUMBER(L155),H155-L155,"N/D")</f>
        <v>N/D</v>
      </c>
      <c r="P155" s="25" t="str">
        <f aca="false">IF(ISNUMBER(L155),I155-L155,"N/D")</f>
        <v>N/D</v>
      </c>
      <c r="Q155" s="25" t="str">
        <f aca="false">IF(AND(ISNUMBER(J155),ISNUMBER(L155)),J155-L155,"N/D")</f>
        <v>N/D</v>
      </c>
      <c r="R155" s="42" t="str">
        <f aca="false">IF(NOT(ISNUMBER(L155)),"Pendiente soporte bancario",IF(ABS(O155)&lt;=Resumen!$C$6,IF(ABS(N155)&lt;=Resumen!$C$6,"OK","Mayor OK – detalle 62 desactualizado"),"Diferencia mayor vs banco"))</f>
        <v>Pendiente soporte bancario</v>
      </c>
    </row>
    <row r="156" customFormat="false" ht="15" hidden="false" customHeight="false" outlineLevel="0" collapsed="false">
      <c r="A156" s="29" t="s">
        <v>129</v>
      </c>
      <c r="B156" s="22" t="s">
        <v>523</v>
      </c>
      <c r="C156" s="22" t="s">
        <v>170</v>
      </c>
      <c r="D156" s="22" t="s">
        <v>524</v>
      </c>
      <c r="E156" s="25" t="n">
        <f aca="false">SUMIFS(Mayor_Dic25!$G$5:$G$200,Mayor_Dic25!$J$5:$J$200,A156,Mayor_Dic25!$C$5:$C$200,"&lt;&gt;2130*",Mayor_Dic25!$C$5:$C$200,"&lt;&gt;21050301")</f>
        <v>3375000000</v>
      </c>
      <c r="F156" s="25" t="n">
        <f aca="false">SUMIFS(Mayor_Mov!$F$5:$F$445,Mayor_Mov!$N$5:$N$445,$A156,Mayor_Mov!$B$5:$B$445,"21050100")+SUMIFS(Mayor_Mov!$F$5:$F$445,Mayor_Mov!$N$5:$N$445,$A156,Mayor_Mov!$B$5:$B$445,"21050201")+SUMIFS(Mayor_Mov!$F$5:$F$445,Mayor_Mov!$N$5:$N$445,$A156,Mayor_Mov!$B$5:$B$445,"21202040")+SUMIFS(Mayor_Mov!$F$5:$F$445,Mayor_Mov!$N$5:$N$445,$A156,Mayor_Mov!$B$5:$B$445,"21202140")</f>
        <v>0</v>
      </c>
      <c r="G156" s="25" t="n">
        <f aca="false">SUMIFS(Mayor_Mov!$E$5:$E$445,Mayor_Mov!$N$5:$N$445,$A156,Mayor_Mov!$B$5:$B$445,"21050100")+SUMIFS(Mayor_Mov!$E$5:$E$445,Mayor_Mov!$N$5:$N$445,$A156,Mayor_Mov!$B$5:$B$445,"21050201")+SUMIFS(Mayor_Mov!$E$5:$E$445,Mayor_Mov!$N$5:$N$445,$A156,Mayor_Mov!$B$5:$B$445,"21202040")+SUMIFS(Mayor_Mov!$E$5:$E$445,Mayor_Mov!$N$5:$N$445,$A156,Mayor_Mov!$B$5:$B$445,"21202140")</f>
        <v>437500000</v>
      </c>
      <c r="H156" s="25" t="n">
        <f aca="false">E156+F156-G156</f>
        <v>2937500000</v>
      </c>
      <c r="I156" s="25" t="n">
        <f aca="false">SUMIFS(Detalle_62!$F$14:$F$35,Detalle_62!$C$14:$C$35,A156)</f>
        <v>2937500000</v>
      </c>
      <c r="J156" s="25" t="n">
        <f aca="false">IFERROR(INDEX(Tablas_Amortizacion!$N$8:$N$44,MATCH(A156,Tablas_Amortizacion!$A$8:$A$44,0)),"Sin tabla")</f>
        <v>2937500000</v>
      </c>
      <c r="K156" s="28" t="n">
        <v>3374999979</v>
      </c>
      <c r="L156" s="25" t="n">
        <f aca="false">J60</f>
        <v>2937499977.39</v>
      </c>
      <c r="M156" s="22" t="s">
        <v>515</v>
      </c>
      <c r="N156" s="25" t="n">
        <f aca="false">H156-I156</f>
        <v>0</v>
      </c>
      <c r="O156" s="25" t="n">
        <f aca="false">IF(ISNUMBER(L156),H156-L156,"N/D")</f>
        <v>22.6100001335144</v>
      </c>
      <c r="P156" s="25" t="n">
        <f aca="false">IF(ISNUMBER(L156),I156-L156,"N/D")</f>
        <v>22.6100001335144</v>
      </c>
      <c r="Q156" s="25" t="n">
        <f aca="false">IF(AND(ISNUMBER(J156),ISNUMBER(L156)),J156-L156,"N/D")</f>
        <v>22.6100001335144</v>
      </c>
      <c r="R156" s="42" t="str">
        <f aca="false">IF(NOT(ISNUMBER(L156)),"Pendiente soporte bancario",IF(ABS(O156)&lt;=Resumen!$C$6,IF(ABS(N156)&lt;=Resumen!$C$6,"OK","Mayor OK – detalle 62 desactualizado"),"Diferencia mayor vs banco"))</f>
        <v>OK</v>
      </c>
    </row>
    <row r="157" customFormat="false" ht="15" hidden="false" customHeight="false" outlineLevel="0" collapsed="false">
      <c r="A157" s="29" t="s">
        <v>130</v>
      </c>
      <c r="B157" s="22" t="s">
        <v>523</v>
      </c>
      <c r="C157" s="22" t="s">
        <v>170</v>
      </c>
      <c r="D157" s="22" t="s">
        <v>525</v>
      </c>
      <c r="E157" s="25" t="n">
        <f aca="false">SUMIFS(Mayor_Dic25!$G$5:$G$200,Mayor_Dic25!$J$5:$J$200,A157,Mayor_Dic25!$C$5:$C$200,"&lt;&gt;2130*",Mayor_Dic25!$C$5:$C$200,"&lt;&gt;21050301")</f>
        <v>1821666666</v>
      </c>
      <c r="F157" s="25" t="n">
        <f aca="false">SUMIFS(Mayor_Mov!$F$5:$F$445,Mayor_Mov!$N$5:$N$445,$A157,Mayor_Mov!$B$5:$B$445,"21050100")+SUMIFS(Mayor_Mov!$F$5:$F$445,Mayor_Mov!$N$5:$N$445,$A157,Mayor_Mov!$B$5:$B$445,"21050201")+SUMIFS(Mayor_Mov!$F$5:$F$445,Mayor_Mov!$N$5:$N$445,$A157,Mayor_Mov!$B$5:$B$445,"21202040")+SUMIFS(Mayor_Mov!$F$5:$F$445,Mayor_Mov!$N$5:$N$445,$A157,Mayor_Mov!$B$5:$B$445,"21202140")</f>
        <v>0</v>
      </c>
      <c r="G157" s="25" t="n">
        <f aca="false">SUMIFS(Mayor_Mov!$E$5:$E$445,Mayor_Mov!$N$5:$N$445,$A157,Mayor_Mov!$B$5:$B$445,"21050100")+SUMIFS(Mayor_Mov!$E$5:$E$445,Mayor_Mov!$N$5:$N$445,$A157,Mayor_Mov!$B$5:$B$445,"21050201")+SUMIFS(Mayor_Mov!$E$5:$E$445,Mayor_Mov!$N$5:$N$445,$A157,Mayor_Mov!$B$5:$B$445,"21202040")+SUMIFS(Mayor_Mov!$E$5:$E$445,Mayor_Mov!$N$5:$N$445,$A157,Mayor_Mov!$B$5:$B$445,"21202140")</f>
        <v>364333334</v>
      </c>
      <c r="H157" s="25" t="n">
        <f aca="false">E157+F157-G157</f>
        <v>1457333332</v>
      </c>
      <c r="I157" s="25" t="n">
        <f aca="false">SUMIFS(Detalle_62!$F$14:$F$35,Detalle_62!$C$14:$C$35,A157)</f>
        <v>1457333332</v>
      </c>
      <c r="J157" s="25" t="n">
        <f aca="false">IFERROR(INDEX(Tablas_Amortizacion!$N$8:$N$44,MATCH(A157,Tablas_Amortizacion!$A$8:$A$44,0)),"Sin tabla")</f>
        <v>1457333336</v>
      </c>
      <c r="K157" s="25" t="n">
        <f aca="false">2003833327.94-182166667</f>
        <v>1821666660.94</v>
      </c>
      <c r="L157" s="25" t="n">
        <f aca="false">J58</f>
        <v>1457333325.59</v>
      </c>
      <c r="M157" s="22" t="s">
        <v>515</v>
      </c>
      <c r="N157" s="25" t="n">
        <f aca="false">H157-I157</f>
        <v>0</v>
      </c>
      <c r="O157" s="25" t="n">
        <f aca="false">IF(ISNUMBER(L157),H157-L157,"N/D")</f>
        <v>6.41000008583069</v>
      </c>
      <c r="P157" s="25" t="n">
        <f aca="false">IF(ISNUMBER(L157),I157-L157,"N/D")</f>
        <v>6.41000008583069</v>
      </c>
      <c r="Q157" s="25" t="n">
        <f aca="false">IF(AND(ISNUMBER(J157),ISNUMBER(L157)),J157-L157,"N/D")</f>
        <v>10.4100000858307</v>
      </c>
      <c r="R157" s="42" t="str">
        <f aca="false">IF(NOT(ISNUMBER(L157)),"Pendiente soporte bancario",IF(ABS(O157)&lt;=Resumen!$C$6,IF(ABS(N157)&lt;=Resumen!$C$6,"OK","Mayor OK – detalle 62 desactualizado"),"Diferencia mayor vs banco"))</f>
        <v>OK</v>
      </c>
    </row>
    <row r="158" customFormat="false" ht="15" hidden="false" customHeight="false" outlineLevel="0" collapsed="false">
      <c r="A158" s="29" t="s">
        <v>131</v>
      </c>
      <c r="B158" s="22" t="s">
        <v>523</v>
      </c>
      <c r="C158" s="22" t="s">
        <v>170</v>
      </c>
      <c r="D158" s="22" t="s">
        <v>526</v>
      </c>
      <c r="E158" s="25" t="n">
        <f aca="false">SUMIFS(Mayor_Dic25!$G$5:$G$200,Mayor_Dic25!$J$5:$J$200,A158,Mayor_Dic25!$C$5:$C$200,"&lt;&gt;2130*",Mayor_Dic25!$C$5:$C$200,"&lt;&gt;21050301")</f>
        <v>1375000000</v>
      </c>
      <c r="F158" s="25" t="n">
        <f aca="false">SUMIFS(Mayor_Mov!$F$5:$F$445,Mayor_Mov!$N$5:$N$445,$A158,Mayor_Mov!$B$5:$B$445,"21050100")+SUMIFS(Mayor_Mov!$F$5:$F$445,Mayor_Mov!$N$5:$N$445,$A158,Mayor_Mov!$B$5:$B$445,"21050201")+SUMIFS(Mayor_Mov!$F$5:$F$445,Mayor_Mov!$N$5:$N$445,$A158,Mayor_Mov!$B$5:$B$445,"21202040")+SUMIFS(Mayor_Mov!$F$5:$F$445,Mayor_Mov!$N$5:$N$445,$A158,Mayor_Mov!$B$5:$B$445,"21202140")</f>
        <v>0</v>
      </c>
      <c r="G158" s="25" t="n">
        <f aca="false">SUMIFS(Mayor_Mov!$E$5:$E$445,Mayor_Mov!$N$5:$N$445,$A158,Mayor_Mov!$B$5:$B$445,"21050100")+SUMIFS(Mayor_Mov!$E$5:$E$445,Mayor_Mov!$N$5:$N$445,$A158,Mayor_Mov!$B$5:$B$445,"21050201")+SUMIFS(Mayor_Mov!$E$5:$E$445,Mayor_Mov!$N$5:$N$445,$A158,Mayor_Mov!$B$5:$B$445,"21202040")+SUMIFS(Mayor_Mov!$E$5:$E$445,Mayor_Mov!$N$5:$N$445,$A158,Mayor_Mov!$B$5:$B$445,"21202140")</f>
        <v>250000000</v>
      </c>
      <c r="H158" s="25" t="n">
        <f aca="false">E158+F158-G158</f>
        <v>1125000000</v>
      </c>
      <c r="I158" s="25" t="n">
        <f aca="false">SUMIFS(Detalle_62!$F$14:$F$35,Detalle_62!$C$14:$C$35,A158)</f>
        <v>1125000000</v>
      </c>
      <c r="J158" s="25" t="n">
        <f aca="false">IFERROR(INDEX(Tablas_Amortizacion!$N$8:$N$44,MATCH(A158,Tablas_Amortizacion!$A$8:$A$44,0)),"Sin tabla")</f>
        <v>1125000000</v>
      </c>
      <c r="K158" s="28" t="n">
        <v>1375000000</v>
      </c>
      <c r="L158" s="25" t="n">
        <f aca="false">J61</f>
        <v>1124999996.41</v>
      </c>
      <c r="M158" s="22" t="s">
        <v>515</v>
      </c>
      <c r="N158" s="25" t="n">
        <f aca="false">H158-I158</f>
        <v>0</v>
      </c>
      <c r="O158" s="25" t="n">
        <f aca="false">IF(ISNUMBER(L158),H158-L158,"N/D")</f>
        <v>3.58999991416931</v>
      </c>
      <c r="P158" s="25" t="n">
        <f aca="false">IF(ISNUMBER(L158),I158-L158,"N/D")</f>
        <v>3.58999991416931</v>
      </c>
      <c r="Q158" s="25" t="n">
        <f aca="false">IF(AND(ISNUMBER(J158),ISNUMBER(L158)),J158-L158,"N/D")</f>
        <v>3.58999991416931</v>
      </c>
      <c r="R158" s="42" t="str">
        <f aca="false">IF(NOT(ISNUMBER(L158)),"Pendiente soporte bancario",IF(ABS(O158)&lt;=Resumen!$C$6,IF(ABS(N158)&lt;=Resumen!$C$6,"OK","Mayor OK – detalle 62 desactualizado"),"Diferencia mayor vs banco"))</f>
        <v>OK</v>
      </c>
    </row>
    <row r="159" customFormat="false" ht="15" hidden="false" customHeight="false" outlineLevel="0" collapsed="false">
      <c r="A159" s="29" t="s">
        <v>132</v>
      </c>
      <c r="B159" s="22" t="s">
        <v>523</v>
      </c>
      <c r="C159" s="22" t="s">
        <v>170</v>
      </c>
      <c r="D159" s="22" t="s">
        <v>527</v>
      </c>
      <c r="E159" s="25" t="n">
        <f aca="false">SUMIFS(Mayor_Dic25!$G$5:$G$200,Mayor_Dic25!$J$5:$J$200,A159,Mayor_Dic25!$C$5:$C$200,"&lt;&gt;2130*",Mayor_Dic25!$C$5:$C$200,"&lt;&gt;21050301")</f>
        <v>0</v>
      </c>
      <c r="F159" s="25" t="n">
        <f aca="false">SUMIFS(Mayor_Mov!$F$5:$F$445,Mayor_Mov!$N$5:$N$445,$A159,Mayor_Mov!$B$5:$B$445,"21050100")+SUMIFS(Mayor_Mov!$F$5:$F$445,Mayor_Mov!$N$5:$N$445,$A159,Mayor_Mov!$B$5:$B$445,"21050201")+SUMIFS(Mayor_Mov!$F$5:$F$445,Mayor_Mov!$N$5:$N$445,$A159,Mayor_Mov!$B$5:$B$445,"21202040")+SUMIFS(Mayor_Mov!$F$5:$F$445,Mayor_Mov!$N$5:$N$445,$A159,Mayor_Mov!$B$5:$B$445,"21202140")</f>
        <v>20000000000</v>
      </c>
      <c r="G159" s="25" t="n">
        <f aca="false">SUMIFS(Mayor_Mov!$E$5:$E$445,Mayor_Mov!$N$5:$N$445,$A159,Mayor_Mov!$B$5:$B$445,"21050100")+SUMIFS(Mayor_Mov!$E$5:$E$445,Mayor_Mov!$N$5:$N$445,$A159,Mayor_Mov!$B$5:$B$445,"21050201")+SUMIFS(Mayor_Mov!$E$5:$E$445,Mayor_Mov!$N$5:$N$445,$A159,Mayor_Mov!$B$5:$B$445,"21202040")+SUMIFS(Mayor_Mov!$E$5:$E$445,Mayor_Mov!$N$5:$N$445,$A159,Mayor_Mov!$B$5:$B$445,"21202140")</f>
        <v>10000000000</v>
      </c>
      <c r="H159" s="25" t="n">
        <f aca="false">E159+F159-G159</f>
        <v>10000000000</v>
      </c>
      <c r="I159" s="25" t="n">
        <f aca="false">SUMIFS(Detalle_62!$F$14:$F$35,Detalle_62!$C$14:$C$35,A159)</f>
        <v>10000000000</v>
      </c>
      <c r="J159" s="25" t="n">
        <f aca="false">IFERROR(INDEX(Tablas_Amortizacion!$N$8:$N$44,MATCH(A159,Tablas_Amortizacion!$A$8:$A$44,0)),"Sin tabla")</f>
        <v>10000000000</v>
      </c>
      <c r="K159" s="28" t="n">
        <v>0</v>
      </c>
      <c r="L159" s="25" t="n">
        <f aca="false">J62</f>
        <v>10000000000</v>
      </c>
      <c r="M159" s="22" t="s">
        <v>515</v>
      </c>
      <c r="N159" s="25" t="n">
        <f aca="false">H159-I159</f>
        <v>0</v>
      </c>
      <c r="O159" s="25" t="n">
        <f aca="false">IF(ISNUMBER(L159),H159-L159,"N/D")</f>
        <v>0</v>
      </c>
      <c r="P159" s="25" t="n">
        <f aca="false">IF(ISNUMBER(L159),I159-L159,"N/D")</f>
        <v>0</v>
      </c>
      <c r="Q159" s="25" t="n">
        <f aca="false">IF(AND(ISNUMBER(J159),ISNUMBER(L159)),J159-L159,"N/D")</f>
        <v>0</v>
      </c>
      <c r="R159" s="42" t="str">
        <f aca="false">IF(NOT(ISNUMBER(L159)),"Pendiente soporte bancario",IF(ABS(O159)&lt;=Resumen!$C$6,IF(ABS(N159)&lt;=Resumen!$C$6,"OK","Mayor OK – detalle 62 desactualizado"),"Diferencia mayor vs banco"))</f>
        <v>OK</v>
      </c>
    </row>
    <row r="160" customFormat="false" ht="15" hidden="false" customHeight="false" outlineLevel="0" collapsed="false">
      <c r="A160" s="29" t="s">
        <v>133</v>
      </c>
      <c r="B160" s="22" t="s">
        <v>523</v>
      </c>
      <c r="C160" s="22" t="s">
        <v>388</v>
      </c>
      <c r="D160" s="22" t="s">
        <v>528</v>
      </c>
      <c r="E160" s="25" t="n">
        <f aca="false">SUMIFS(Mayor_Dic25!$G$5:$G$200,Mayor_Dic25!$J$5:$J$200,A160,Mayor_Dic25!$C$5:$C$200,"&lt;&gt;2130*",Mayor_Dic25!$C$5:$C$200,"&lt;&gt;21050301")</f>
        <v>459771023.86</v>
      </c>
      <c r="F160" s="25" t="n">
        <f aca="false">SUMIFS(Mayor_Mov!$F$5:$F$445,Mayor_Mov!$N$5:$N$445,$A160,Mayor_Mov!$B$5:$B$445,"21050100")+SUMIFS(Mayor_Mov!$F$5:$F$445,Mayor_Mov!$N$5:$N$445,$A160,Mayor_Mov!$B$5:$B$445,"21050201")+SUMIFS(Mayor_Mov!$F$5:$F$445,Mayor_Mov!$N$5:$N$445,$A160,Mayor_Mov!$B$5:$B$445,"21202040")+SUMIFS(Mayor_Mov!$F$5:$F$445,Mayor_Mov!$N$5:$N$445,$A160,Mayor_Mov!$B$5:$B$445,"21202140")</f>
        <v>0</v>
      </c>
      <c r="G160" s="25" t="n">
        <f aca="false">SUMIFS(Mayor_Mov!$E$5:$E$445,Mayor_Mov!$N$5:$N$445,$A160,Mayor_Mov!$B$5:$B$445,"21050100")+SUMIFS(Mayor_Mov!$E$5:$E$445,Mayor_Mov!$N$5:$N$445,$A160,Mayor_Mov!$B$5:$B$445,"21050201")+SUMIFS(Mayor_Mov!$E$5:$E$445,Mayor_Mov!$N$5:$N$445,$A160,Mayor_Mov!$B$5:$B$445,"21202040")+SUMIFS(Mayor_Mov!$E$5:$E$445,Mayor_Mov!$N$5:$N$445,$A160,Mayor_Mov!$B$5:$B$445,"21202140")</f>
        <v>63658993.88</v>
      </c>
      <c r="H160" s="25" t="n">
        <f aca="false">E160+F160-G160</f>
        <v>396112029.98</v>
      </c>
      <c r="I160" s="25" t="n">
        <f aca="false">SUMIFS(Detalle_62!$F$14:$F$35,Detalle_62!$C$14:$C$35,A160)</f>
        <v>381845387.419314</v>
      </c>
      <c r="J160" s="25" t="n">
        <f aca="false">IFERROR(INDEX(Tablas_Amortizacion!$N$8:$N$44,MATCH(A160,Tablas_Amortizacion!$A$8:$A$44,0)),"Sin tabla")</f>
        <v>381845387.419314</v>
      </c>
      <c r="K160" s="28" t="n">
        <v>459771024</v>
      </c>
      <c r="L160" s="25" t="n">
        <f aca="false">J70</f>
        <v>396112029.65</v>
      </c>
      <c r="M160" s="22" t="s">
        <v>515</v>
      </c>
      <c r="N160" s="25" t="n">
        <f aca="false">H160-I160</f>
        <v>14266642.5606862</v>
      </c>
      <c r="O160" s="25" t="n">
        <f aca="false">IF(ISNUMBER(L160),H160-L160,"N/D")</f>
        <v>0.329999983310699</v>
      </c>
      <c r="P160" s="25" t="n">
        <f aca="false">IF(ISNUMBER(L160),I160-L160,"N/D")</f>
        <v>-14266642.2306862</v>
      </c>
      <c r="Q160" s="25" t="n">
        <f aca="false">IF(AND(ISNUMBER(J160),ISNUMBER(L160)),J160-L160,"N/D")</f>
        <v>-14266642.2306862</v>
      </c>
      <c r="R160" s="42" t="str">
        <f aca="false">IF(NOT(ISNUMBER(L160)),"Pendiente soporte bancario",IF(ABS(O160)&lt;=Resumen!$C$6,IF(ABS(N160)&lt;=Resumen!$C$6,"OK","Mayor OK – detalle 62 desactualizado"),"Diferencia mayor vs banco"))</f>
        <v>Mayor OK – detalle 62 desactualizado</v>
      </c>
    </row>
    <row r="161" customFormat="false" ht="15" hidden="false" customHeight="false" outlineLevel="0" collapsed="false">
      <c r="A161" s="29" t="s">
        <v>134</v>
      </c>
      <c r="B161" s="22" t="s">
        <v>523</v>
      </c>
      <c r="C161" s="22" t="s">
        <v>388</v>
      </c>
      <c r="D161" s="22" t="s">
        <v>529</v>
      </c>
      <c r="E161" s="25" t="n">
        <f aca="false">SUMIFS(Mayor_Dic25!$G$5:$G$200,Mayor_Dic25!$J$5:$J$200,A161,Mayor_Dic25!$C$5:$C$200,"&lt;&gt;2130*",Mayor_Dic25!$C$5:$C$200,"&lt;&gt;21050301")</f>
        <v>459771023.88</v>
      </c>
      <c r="F161" s="25" t="n">
        <f aca="false">SUMIFS(Mayor_Mov!$F$5:$F$445,Mayor_Mov!$N$5:$N$445,$A161,Mayor_Mov!$B$5:$B$445,"21050100")+SUMIFS(Mayor_Mov!$F$5:$F$445,Mayor_Mov!$N$5:$N$445,$A161,Mayor_Mov!$B$5:$B$445,"21050201")+SUMIFS(Mayor_Mov!$F$5:$F$445,Mayor_Mov!$N$5:$N$445,$A161,Mayor_Mov!$B$5:$B$445,"21202040")+SUMIFS(Mayor_Mov!$F$5:$F$445,Mayor_Mov!$N$5:$N$445,$A161,Mayor_Mov!$B$5:$B$445,"21202140")</f>
        <v>0</v>
      </c>
      <c r="G161" s="25" t="n">
        <f aca="false">SUMIFS(Mayor_Mov!$E$5:$E$445,Mayor_Mov!$N$5:$N$445,$A161,Mayor_Mov!$B$5:$B$445,"21050100")+SUMIFS(Mayor_Mov!$E$5:$E$445,Mayor_Mov!$N$5:$N$445,$A161,Mayor_Mov!$B$5:$B$445,"21050201")+SUMIFS(Mayor_Mov!$E$5:$E$445,Mayor_Mov!$N$5:$N$445,$A161,Mayor_Mov!$B$5:$B$445,"21202040")+SUMIFS(Mayor_Mov!$E$5:$E$445,Mayor_Mov!$N$5:$N$445,$A161,Mayor_Mov!$B$5:$B$445,"21202140")</f>
        <v>63658993.86</v>
      </c>
      <c r="H161" s="25" t="n">
        <f aca="false">E161+F161-G161</f>
        <v>396112030.02</v>
      </c>
      <c r="I161" s="25" t="n">
        <f aca="false">SUMIFS(Detalle_62!$F$14:$F$35,Detalle_62!$C$14:$C$35,A161)</f>
        <v>381845387.419314</v>
      </c>
      <c r="J161" s="25" t="n">
        <f aca="false">IFERROR(INDEX(Tablas_Amortizacion!$N$8:$N$44,MATCH(A161,Tablas_Amortizacion!$A$8:$A$44,0)),"Sin tabla")</f>
        <v>381845387.419314</v>
      </c>
      <c r="K161" s="28" t="n">
        <v>459771024</v>
      </c>
      <c r="L161" s="25" t="n">
        <f aca="false">J69</f>
        <v>396112029.8</v>
      </c>
      <c r="M161" s="22" t="s">
        <v>515</v>
      </c>
      <c r="N161" s="25" t="n">
        <f aca="false">H161-I161</f>
        <v>14266642.6006862</v>
      </c>
      <c r="O161" s="25" t="n">
        <f aca="false">IF(ISNUMBER(L161),H161-L161,"N/D")</f>
        <v>0.219999969005585</v>
      </c>
      <c r="P161" s="25" t="n">
        <f aca="false">IF(ISNUMBER(L161),I161-L161,"N/D")</f>
        <v>-14266642.3806862</v>
      </c>
      <c r="Q161" s="25" t="n">
        <f aca="false">IF(AND(ISNUMBER(J161),ISNUMBER(L161)),J161-L161,"N/D")</f>
        <v>-14266642.3806862</v>
      </c>
      <c r="R161" s="42" t="str">
        <f aca="false">IF(NOT(ISNUMBER(L161)),"Pendiente soporte bancario",IF(ABS(O161)&lt;=Resumen!$C$6,IF(ABS(N161)&lt;=Resumen!$C$6,"OK","Mayor OK – detalle 62 desactualizado"),"Diferencia mayor vs banco"))</f>
        <v>Mayor OK – detalle 62 desactualizado</v>
      </c>
    </row>
    <row r="162" customFormat="false" ht="15" hidden="false" customHeight="false" outlineLevel="0" collapsed="false">
      <c r="A162" s="29" t="s">
        <v>135</v>
      </c>
      <c r="B162" s="22" t="s">
        <v>523</v>
      </c>
      <c r="C162" s="22" t="s">
        <v>388</v>
      </c>
      <c r="D162" s="22" t="s">
        <v>530</v>
      </c>
      <c r="E162" s="25" t="n">
        <f aca="false">SUMIFS(Mayor_Dic25!$G$5:$G$200,Mayor_Dic25!$J$5:$J$200,A162,Mayor_Dic25!$C$5:$C$200,"&lt;&gt;2130*",Mayor_Dic25!$C$5:$C$200,"&lt;&gt;21050301")</f>
        <v>331775058.82</v>
      </c>
      <c r="F162" s="25" t="n">
        <f aca="false">SUMIFS(Mayor_Mov!$F$5:$F$445,Mayor_Mov!$N$5:$N$445,$A162,Mayor_Mov!$B$5:$B$445,"21050100")+SUMIFS(Mayor_Mov!$F$5:$F$445,Mayor_Mov!$N$5:$N$445,$A162,Mayor_Mov!$B$5:$B$445,"21050201")+SUMIFS(Mayor_Mov!$F$5:$F$445,Mayor_Mov!$N$5:$N$445,$A162,Mayor_Mov!$B$5:$B$445,"21202040")+SUMIFS(Mayor_Mov!$F$5:$F$445,Mayor_Mov!$N$5:$N$445,$A162,Mayor_Mov!$B$5:$B$445,"21202140")</f>
        <v>0</v>
      </c>
      <c r="G162" s="25" t="n">
        <f aca="false">SUMIFS(Mayor_Mov!$E$5:$E$445,Mayor_Mov!$N$5:$N$445,$A162,Mayor_Mov!$B$5:$B$445,"21050100")+SUMIFS(Mayor_Mov!$E$5:$E$445,Mayor_Mov!$N$5:$N$445,$A162,Mayor_Mov!$B$5:$B$445,"21050201")+SUMIFS(Mayor_Mov!$E$5:$E$445,Mayor_Mov!$N$5:$N$445,$A162,Mayor_Mov!$B$5:$B$445,"21202040")+SUMIFS(Mayor_Mov!$E$5:$E$445,Mayor_Mov!$N$5:$N$445,$A162,Mayor_Mov!$B$5:$B$445,"21202140")</f>
        <v>78102953.86</v>
      </c>
      <c r="H162" s="25" t="n">
        <f aca="false">E162+F162-G162</f>
        <v>253672104.96</v>
      </c>
      <c r="I162" s="25" t="n">
        <f aca="false">SUMIFS(Detalle_62!$F$14:$F$35,Detalle_62!$C$14:$C$35,A162)</f>
        <v>196720178.445431</v>
      </c>
      <c r="J162" s="25" t="n">
        <f aca="false">IFERROR(INDEX(Tablas_Amortizacion!$N$8:$N$44,MATCH(A162,Tablas_Amortizacion!$A$8:$A$44,0)),"Sin tabla")</f>
        <v>196720178.445431</v>
      </c>
      <c r="K162" s="28" t="n">
        <v>331775059</v>
      </c>
      <c r="L162" s="25" t="n">
        <f aca="false">J68</f>
        <v>253672105.02</v>
      </c>
      <c r="M162" s="22" t="s">
        <v>515</v>
      </c>
      <c r="N162" s="25" t="n">
        <f aca="false">H162-I162</f>
        <v>56951926.5145686</v>
      </c>
      <c r="O162" s="25" t="n">
        <f aca="false">IF(ISNUMBER(L162),H162-L162,"N/D")</f>
        <v>-0.0600000321865082</v>
      </c>
      <c r="P162" s="25" t="n">
        <f aca="false">IF(ISNUMBER(L162),I162-L162,"N/D")</f>
        <v>-56951926.5745686</v>
      </c>
      <c r="Q162" s="25" t="n">
        <f aca="false">IF(AND(ISNUMBER(J162),ISNUMBER(L162)),J162-L162,"N/D")</f>
        <v>-56951926.5745686</v>
      </c>
      <c r="R162" s="42" t="str">
        <f aca="false">IF(NOT(ISNUMBER(L162)),"Pendiente soporte bancario",IF(ABS(O162)&lt;=Resumen!$C$6,IF(ABS(N162)&lt;=Resumen!$C$6,"OK","Mayor OK – detalle 62 desactualizado"),"Diferencia mayor vs banco"))</f>
        <v>Mayor OK – detalle 62 desactualizado</v>
      </c>
    </row>
    <row r="163" customFormat="false" ht="15" hidden="false" customHeight="false" outlineLevel="0" collapsed="false">
      <c r="A163" s="29" t="s">
        <v>136</v>
      </c>
      <c r="B163" s="22" t="s">
        <v>523</v>
      </c>
      <c r="C163" s="22" t="s">
        <v>388</v>
      </c>
      <c r="D163" s="22" t="s">
        <v>531</v>
      </c>
      <c r="E163" s="25" t="n">
        <f aca="false">SUMIFS(Mayor_Dic25!$G$5:$G$200,Mayor_Dic25!$J$5:$J$200,A163,Mayor_Dic25!$C$5:$C$200,"&lt;&gt;2130*",Mayor_Dic25!$C$5:$C$200,"&lt;&gt;21050301")</f>
        <v>331775058.02</v>
      </c>
      <c r="F163" s="25" t="n">
        <f aca="false">SUMIFS(Mayor_Mov!$F$5:$F$445,Mayor_Mov!$N$5:$N$445,$A163,Mayor_Mov!$B$5:$B$445,"21050100")+SUMIFS(Mayor_Mov!$F$5:$F$445,Mayor_Mov!$N$5:$N$445,$A163,Mayor_Mov!$B$5:$B$445,"21050201")+SUMIFS(Mayor_Mov!$F$5:$F$445,Mayor_Mov!$N$5:$N$445,$A163,Mayor_Mov!$B$5:$B$445,"21202040")+SUMIFS(Mayor_Mov!$F$5:$F$445,Mayor_Mov!$N$5:$N$445,$A163,Mayor_Mov!$B$5:$B$445,"21202140")</f>
        <v>0</v>
      </c>
      <c r="G163" s="25" t="n">
        <f aca="false">SUMIFS(Mayor_Mov!$E$5:$E$445,Mayor_Mov!$N$5:$N$445,$A163,Mayor_Mov!$B$5:$B$445,"21050100")+SUMIFS(Mayor_Mov!$E$5:$E$445,Mayor_Mov!$N$5:$N$445,$A163,Mayor_Mov!$B$5:$B$445,"21050201")+SUMIFS(Mayor_Mov!$E$5:$E$445,Mayor_Mov!$N$5:$N$445,$A163,Mayor_Mov!$B$5:$B$445,"21202040")+SUMIFS(Mayor_Mov!$E$5:$E$445,Mayor_Mov!$N$5:$N$445,$A163,Mayor_Mov!$B$5:$B$445,"21202140")</f>
        <v>78102953.86</v>
      </c>
      <c r="H163" s="25" t="n">
        <f aca="false">E163+F163-G163</f>
        <v>253672104.16</v>
      </c>
      <c r="I163" s="25" t="n">
        <f aca="false">SUMIFS(Detalle_62!$F$14:$F$35,Detalle_62!$C$14:$C$35,A163)</f>
        <v>196720178.445431</v>
      </c>
      <c r="J163" s="25" t="n">
        <f aca="false">IFERROR(INDEX(Tablas_Amortizacion!$N$8:$N$44,MATCH(A163,Tablas_Amortizacion!$A$8:$A$44,0)),"Sin tabla")</f>
        <v>196720178.445431</v>
      </c>
      <c r="K163" s="28" t="n">
        <v>331775059</v>
      </c>
      <c r="L163" s="25" t="n">
        <f aca="false">J67</f>
        <v>253672104.94</v>
      </c>
      <c r="M163" s="22" t="s">
        <v>515</v>
      </c>
      <c r="N163" s="25" t="n">
        <f aca="false">H163-I163</f>
        <v>56951925.7145686</v>
      </c>
      <c r="O163" s="25" t="n">
        <f aca="false">IF(ISNUMBER(L163),H163-L163,"N/D")</f>
        <v>-0.780000030994415</v>
      </c>
      <c r="P163" s="25" t="n">
        <f aca="false">IF(ISNUMBER(L163),I163-L163,"N/D")</f>
        <v>-56951926.4945686</v>
      </c>
      <c r="Q163" s="25" t="n">
        <f aca="false">IF(AND(ISNUMBER(J163),ISNUMBER(L163)),J163-L163,"N/D")</f>
        <v>-56951926.4945686</v>
      </c>
      <c r="R163" s="42" t="str">
        <f aca="false">IF(NOT(ISNUMBER(L163)),"Pendiente soporte bancario",IF(ABS(O163)&lt;=Resumen!$C$6,IF(ABS(N163)&lt;=Resumen!$C$6,"OK","Mayor OK – detalle 62 desactualizado"),"Diferencia mayor vs banco"))</f>
        <v>Mayor OK – detalle 62 desactualizado</v>
      </c>
    </row>
    <row r="164" customFormat="false" ht="15" hidden="false" customHeight="false" outlineLevel="0" collapsed="false">
      <c r="A164" s="29" t="s">
        <v>137</v>
      </c>
      <c r="B164" s="22" t="s">
        <v>523</v>
      </c>
      <c r="C164" s="22" t="s">
        <v>388</v>
      </c>
      <c r="D164" s="22" t="s">
        <v>532</v>
      </c>
      <c r="E164" s="25" t="n">
        <f aca="false">SUMIFS(Mayor_Dic25!$G$5:$G$200,Mayor_Dic25!$J$5:$J$200,A164,Mayor_Dic25!$C$5:$C$200,"&lt;&gt;2130*",Mayor_Dic25!$C$5:$C$200,"&lt;&gt;21050301")</f>
        <v>459866293.13</v>
      </c>
      <c r="F164" s="25" t="n">
        <f aca="false">SUMIFS(Mayor_Mov!$F$5:$F$445,Mayor_Mov!$N$5:$N$445,$A164,Mayor_Mov!$B$5:$B$445,"21050100")+SUMIFS(Mayor_Mov!$F$5:$F$445,Mayor_Mov!$N$5:$N$445,$A164,Mayor_Mov!$B$5:$B$445,"21050201")+SUMIFS(Mayor_Mov!$F$5:$F$445,Mayor_Mov!$N$5:$N$445,$A164,Mayor_Mov!$B$5:$B$445,"21202040")+SUMIFS(Mayor_Mov!$F$5:$F$445,Mayor_Mov!$N$5:$N$445,$A164,Mayor_Mov!$B$5:$B$445,"21202140")</f>
        <v>0</v>
      </c>
      <c r="G164" s="25" t="n">
        <f aca="false">SUMIFS(Mayor_Mov!$E$5:$E$445,Mayor_Mov!$N$5:$N$445,$A164,Mayor_Mov!$B$5:$B$445,"21050100")+SUMIFS(Mayor_Mov!$E$5:$E$445,Mayor_Mov!$N$5:$N$445,$A164,Mayor_Mov!$B$5:$B$445,"21050201")+SUMIFS(Mayor_Mov!$E$5:$E$445,Mayor_Mov!$N$5:$N$445,$A164,Mayor_Mov!$B$5:$B$445,"21202040")+SUMIFS(Mayor_Mov!$E$5:$E$445,Mayor_Mov!$N$5:$N$445,$A164,Mayor_Mov!$B$5:$B$445,"21202140")</f>
        <v>63672349.73</v>
      </c>
      <c r="H164" s="25" t="n">
        <f aca="false">E164+F164-G164</f>
        <v>396193943.4</v>
      </c>
      <c r="I164" s="25" t="n">
        <f aca="false">SUMIFS(Detalle_62!$F$14:$F$35,Detalle_62!$C$14:$C$35,A164)</f>
        <v>382649239.487494</v>
      </c>
      <c r="J164" s="25" t="n">
        <f aca="false">IFERROR(INDEX(Tablas_Amortizacion!$N$8:$N$44,MATCH(A164,Tablas_Amortizacion!$A$8:$A$44,0)),"Sin tabla")</f>
        <v>382649239.487494</v>
      </c>
      <c r="K164" s="28" t="n">
        <v>459866292</v>
      </c>
      <c r="L164" s="25" t="n">
        <f aca="false">J71</f>
        <v>396193942.08</v>
      </c>
      <c r="M164" s="22" t="s">
        <v>515</v>
      </c>
      <c r="N164" s="25" t="n">
        <f aca="false">H164-I164</f>
        <v>13544703.912506</v>
      </c>
      <c r="O164" s="25" t="n">
        <f aca="false">IF(ISNUMBER(L164),H164-L164,"N/D")</f>
        <v>1.31999999284744</v>
      </c>
      <c r="P164" s="25" t="n">
        <f aca="false">IF(ISNUMBER(L164),I164-L164,"N/D")</f>
        <v>-13544702.592506</v>
      </c>
      <c r="Q164" s="25" t="n">
        <f aca="false">IF(AND(ISNUMBER(J164),ISNUMBER(L164)),J164-L164,"N/D")</f>
        <v>-13544702.592506</v>
      </c>
      <c r="R164" s="42" t="str">
        <f aca="false">IF(NOT(ISNUMBER(L164)),"Pendiente soporte bancario",IF(ABS(O164)&lt;=Resumen!$C$6,IF(ABS(N164)&lt;=Resumen!$C$6,"OK","Mayor OK – detalle 62 desactualizado"),"Diferencia mayor vs banco"))</f>
        <v>Mayor OK – detalle 62 desactualizado</v>
      </c>
    </row>
    <row r="165" customFormat="false" ht="15" hidden="false" customHeight="false" outlineLevel="0" collapsed="false">
      <c r="A165" s="29" t="s">
        <v>138</v>
      </c>
      <c r="B165" s="22" t="s">
        <v>523</v>
      </c>
      <c r="C165" s="22" t="s">
        <v>388</v>
      </c>
      <c r="D165" s="22" t="s">
        <v>533</v>
      </c>
      <c r="E165" s="25" t="n">
        <f aca="false">SUMIFS(Mayor_Dic25!$G$5:$G$200,Mayor_Dic25!$J$5:$J$200,A165,Mayor_Dic25!$C$5:$C$200,"&lt;&gt;2130*",Mayor_Dic25!$C$5:$C$200,"&lt;&gt;21050301")</f>
        <v>1170839109.63</v>
      </c>
      <c r="F165" s="25" t="n">
        <f aca="false">SUMIFS(Mayor_Mov!$F$5:$F$445,Mayor_Mov!$N$5:$N$445,$A165,Mayor_Mov!$B$5:$B$445,"21050100")+SUMIFS(Mayor_Mov!$F$5:$F$445,Mayor_Mov!$N$5:$N$445,$A165,Mayor_Mov!$B$5:$B$445,"21050201")+SUMIFS(Mayor_Mov!$F$5:$F$445,Mayor_Mov!$N$5:$N$445,$A165,Mayor_Mov!$B$5:$B$445,"21202040")+SUMIFS(Mayor_Mov!$F$5:$F$445,Mayor_Mov!$N$5:$N$445,$A165,Mayor_Mov!$B$5:$B$445,"21202140")</f>
        <v>0</v>
      </c>
      <c r="G165" s="25" t="n">
        <f aca="false">SUMIFS(Mayor_Mov!$E$5:$E$445,Mayor_Mov!$N$5:$N$445,$A165,Mayor_Mov!$B$5:$B$445,"21050100")+SUMIFS(Mayor_Mov!$E$5:$E$445,Mayor_Mov!$N$5:$N$445,$A165,Mayor_Mov!$B$5:$B$445,"21050201")+SUMIFS(Mayor_Mov!$E$5:$E$445,Mayor_Mov!$N$5:$N$445,$A165,Mayor_Mov!$B$5:$B$445,"21202040")+SUMIFS(Mayor_Mov!$E$5:$E$445,Mayor_Mov!$N$5:$N$445,$A165,Mayor_Mov!$B$5:$B$445,"21202140")</f>
        <v>186592222.82</v>
      </c>
      <c r="H165" s="25" t="n">
        <f aca="false">E165+F165-G165</f>
        <v>984246886.81</v>
      </c>
      <c r="I165" s="25" t="n">
        <f aca="false">SUMIFS(Detalle_62!$F$14:$F$35,Detalle_62!$C$14:$C$35,A165)</f>
        <v>968620472.418459</v>
      </c>
      <c r="J165" s="25" t="n">
        <f aca="false">IFERROR(INDEX(Tablas_Amortizacion!$N$8:$N$44,MATCH(A165,Tablas_Amortizacion!$A$8:$A$44,0)),"Sin tabla")</f>
        <v>968620472.418459</v>
      </c>
      <c r="K165" s="28" t="n">
        <v>1170839109</v>
      </c>
      <c r="L165" s="25" t="n">
        <f aca="false">J66</f>
        <v>984246886.51</v>
      </c>
      <c r="M165" s="22" t="s">
        <v>515</v>
      </c>
      <c r="N165" s="25" t="n">
        <f aca="false">H165-I165</f>
        <v>15626414.3915416</v>
      </c>
      <c r="O165" s="25" t="n">
        <f aca="false">IF(ISNUMBER(L165),H165-L165,"N/D")</f>
        <v>0.300000190734863</v>
      </c>
      <c r="P165" s="25" t="n">
        <f aca="false">IF(ISNUMBER(L165),I165-L165,"N/D")</f>
        <v>-15626414.0915414</v>
      </c>
      <c r="Q165" s="25" t="n">
        <f aca="false">IF(AND(ISNUMBER(J165),ISNUMBER(L165)),J165-L165,"N/D")</f>
        <v>-15626414.0915414</v>
      </c>
      <c r="R165" s="42" t="str">
        <f aca="false">IF(NOT(ISNUMBER(L165)),"Pendiente soporte bancario",IF(ABS(O165)&lt;=Resumen!$C$6,IF(ABS(N165)&lt;=Resumen!$C$6,"OK","Mayor OK – detalle 62 desactualizado"),"Diferencia mayor vs banco"))</f>
        <v>Mayor OK – detalle 62 desactualizado</v>
      </c>
    </row>
    <row r="166" customFormat="false" ht="15" hidden="false" customHeight="false" outlineLevel="0" collapsed="false">
      <c r="A166" s="29" t="s">
        <v>140</v>
      </c>
      <c r="B166" s="22" t="s">
        <v>382</v>
      </c>
      <c r="C166" s="22" t="s">
        <v>170</v>
      </c>
      <c r="D166" s="22" t="s">
        <v>534</v>
      </c>
      <c r="E166" s="25" t="n">
        <f aca="false">SUMIFS(Mayor_Dic25!$G$5:$G$200,Mayor_Dic25!$J$5:$J$200,A166,Mayor_Dic25!$C$5:$C$200,"&lt;&gt;2130*",Mayor_Dic25!$C$5:$C$200,"&lt;&gt;21050301")</f>
        <v>575000000</v>
      </c>
      <c r="F166" s="25" t="n">
        <f aca="false">SUMIFS(Mayor_Mov!$F$5:$F$445,Mayor_Mov!$N$5:$N$445,$A166,Mayor_Mov!$B$5:$B$445,"21050100")+SUMIFS(Mayor_Mov!$F$5:$F$445,Mayor_Mov!$N$5:$N$445,$A166,Mayor_Mov!$B$5:$B$445,"21050201")+SUMIFS(Mayor_Mov!$F$5:$F$445,Mayor_Mov!$N$5:$N$445,$A166,Mayor_Mov!$B$5:$B$445,"21202040")+SUMIFS(Mayor_Mov!$F$5:$F$445,Mayor_Mov!$N$5:$N$445,$A166,Mayor_Mov!$B$5:$B$445,"21202140")</f>
        <v>0</v>
      </c>
      <c r="G166" s="25" t="n">
        <f aca="false">SUMIFS(Mayor_Mov!$E$5:$E$445,Mayor_Mov!$N$5:$N$445,$A166,Mayor_Mov!$B$5:$B$445,"21050100")+SUMIFS(Mayor_Mov!$E$5:$E$445,Mayor_Mov!$N$5:$N$445,$A166,Mayor_Mov!$B$5:$B$445,"21050201")+SUMIFS(Mayor_Mov!$E$5:$E$445,Mayor_Mov!$N$5:$N$445,$A166,Mayor_Mov!$B$5:$B$445,"21202040")+SUMIFS(Mayor_Mov!$E$5:$E$445,Mayor_Mov!$N$5:$N$445,$A166,Mayor_Mov!$B$5:$B$445,"21202140")</f>
        <v>287500000</v>
      </c>
      <c r="H166" s="25" t="n">
        <f aca="false">E166+F166-G166</f>
        <v>287500000</v>
      </c>
      <c r="I166" s="25" t="n">
        <f aca="false">SUMIFS(Detalle_62!$F$14:$F$35,Detalle_62!$C$14:$C$35,A166)</f>
        <v>287500000</v>
      </c>
      <c r="J166" s="25" t="n">
        <f aca="false">IFERROR(INDEX(Tablas_Amortizacion!$N$8:$N$44,MATCH(A166,Tablas_Amortizacion!$A$8:$A$44,0)),"Sin tabla")</f>
        <v>287500000</v>
      </c>
      <c r="K166" s="28" t="n">
        <v>575000000</v>
      </c>
      <c r="L166" s="25" t="n">
        <f aca="false">IF(ISNUMBER(K166),K166+F166-G166,"N/D")</f>
        <v>287500000</v>
      </c>
      <c r="M166" s="30" t="str">
        <f aca="false">IF(ISNUMBER(K166),"[E] Extracto dic-25 + mov. 2026","[P] Sin soporte bancario")</f>
        <v>[E] Extracto dic-25 + mov. 2026</v>
      </c>
      <c r="N166" s="25" t="n">
        <f aca="false">H166-I166</f>
        <v>0</v>
      </c>
      <c r="O166" s="25" t="n">
        <f aca="false">IF(ISNUMBER(L166),H166-L166,"N/D")</f>
        <v>0</v>
      </c>
      <c r="P166" s="25" t="n">
        <f aca="false">IF(ISNUMBER(L166),I166-L166,"N/D")</f>
        <v>0</v>
      </c>
      <c r="Q166" s="25" t="n">
        <f aca="false">IF(AND(ISNUMBER(J166),ISNUMBER(L166)),J166-L166,"N/D")</f>
        <v>0</v>
      </c>
      <c r="R166" s="42" t="str">
        <f aca="false">IF(NOT(ISNUMBER(L166)),"Pendiente soporte bancario",IF(ABS(O166)&lt;=Resumen!$C$6,IF(ABS(N166)&lt;=Resumen!$C$6,"OK","Mayor OK – detalle 62 desactualizado"),"Diferencia mayor vs banco"))</f>
        <v>OK</v>
      </c>
    </row>
    <row r="167" customFormat="false" ht="15" hidden="false" customHeight="false" outlineLevel="0" collapsed="false">
      <c r="A167" s="29" t="s">
        <v>142</v>
      </c>
      <c r="B167" s="22" t="s">
        <v>384</v>
      </c>
      <c r="C167" s="22" t="s">
        <v>170</v>
      </c>
      <c r="D167" s="22" t="s">
        <v>535</v>
      </c>
      <c r="E167" s="25" t="n">
        <f aca="false">SUMIFS(Mayor_Dic25!$G$5:$G$200,Mayor_Dic25!$J$5:$J$200,A167,Mayor_Dic25!$C$5:$C$200,"&lt;&gt;2130*",Mayor_Dic25!$C$5:$C$200,"&lt;&gt;21050301")</f>
        <v>4700000000</v>
      </c>
      <c r="F167" s="25" t="n">
        <f aca="false">SUMIFS(Mayor_Mov!$F$5:$F$445,Mayor_Mov!$N$5:$N$445,$A167,Mayor_Mov!$B$5:$B$445,"21050100")+SUMIFS(Mayor_Mov!$F$5:$F$445,Mayor_Mov!$N$5:$N$445,$A167,Mayor_Mov!$B$5:$B$445,"21050201")+SUMIFS(Mayor_Mov!$F$5:$F$445,Mayor_Mov!$N$5:$N$445,$A167,Mayor_Mov!$B$5:$B$445,"21202040")+SUMIFS(Mayor_Mov!$F$5:$F$445,Mayor_Mov!$N$5:$N$445,$A167,Mayor_Mov!$B$5:$B$445,"21202140")</f>
        <v>4700000000</v>
      </c>
      <c r="G167" s="25" t="n">
        <f aca="false">SUMIFS(Mayor_Mov!$E$5:$E$445,Mayor_Mov!$N$5:$N$445,$A167,Mayor_Mov!$B$5:$B$445,"21050100")+SUMIFS(Mayor_Mov!$E$5:$E$445,Mayor_Mov!$N$5:$N$445,$A167,Mayor_Mov!$B$5:$B$445,"21050201")+SUMIFS(Mayor_Mov!$E$5:$E$445,Mayor_Mov!$N$5:$N$445,$A167,Mayor_Mov!$B$5:$B$445,"21202040")+SUMIFS(Mayor_Mov!$E$5:$E$445,Mayor_Mov!$N$5:$N$445,$A167,Mayor_Mov!$B$5:$B$445,"21202140")</f>
        <v>4700000000</v>
      </c>
      <c r="H167" s="25" t="n">
        <f aca="false">E167+F167-G167</f>
        <v>4700000000</v>
      </c>
      <c r="I167" s="25" t="n">
        <f aca="false">SUMIFS(Detalle_62!$F$14:$F$35,Detalle_62!$C$14:$C$35,A167)</f>
        <v>4700000000</v>
      </c>
      <c r="J167" s="25" t="str">
        <f aca="false">IFERROR(INDEX(Tablas_Amortizacion!$N$8:$N$44,MATCH(A167,Tablas_Amortizacion!$A$8:$A$44,0)),"Sin tabla")</f>
        <v>Sin tabla</v>
      </c>
      <c r="K167" s="28" t="n">
        <v>4700000000</v>
      </c>
      <c r="L167" s="25" t="n">
        <f aca="false">IF(ISNUMBER(K167),K167+F167-G167,"N/D")</f>
        <v>4700000000</v>
      </c>
      <c r="M167" s="30" t="str">
        <f aca="false">IF(ISNUMBER(K167),"[E] Extracto dic-25 + mov. 2026","[P] Sin soporte bancario")</f>
        <v>[E] Extracto dic-25 + mov. 2026</v>
      </c>
      <c r="N167" s="25" t="n">
        <f aca="false">H167-I167</f>
        <v>0</v>
      </c>
      <c r="O167" s="25" t="n">
        <f aca="false">IF(ISNUMBER(L167),H167-L167,"N/D")</f>
        <v>0</v>
      </c>
      <c r="P167" s="25" t="n">
        <f aca="false">IF(ISNUMBER(L167),I167-L167,"N/D")</f>
        <v>0</v>
      </c>
      <c r="Q167" s="25" t="str">
        <f aca="false">IF(AND(ISNUMBER(J167),ISNUMBER(L167)),J167-L167,"N/D")</f>
        <v>N/D</v>
      </c>
      <c r="R167" s="42" t="str">
        <f aca="false">IF(NOT(ISNUMBER(L167)),"Pendiente soporte bancario",IF(ABS(O167)&lt;=Resumen!$C$6,IF(ABS(N167)&lt;=Resumen!$C$6,"OK","Mayor OK – detalle 62 desactualizado"),"Diferencia mayor vs banco"))</f>
        <v>OK</v>
      </c>
    </row>
    <row r="168" customFormat="false" ht="15" hidden="false" customHeight="false" outlineLevel="0" collapsed="false">
      <c r="A168" s="29" t="s">
        <v>144</v>
      </c>
      <c r="B168" s="22" t="s">
        <v>386</v>
      </c>
      <c r="C168" s="22" t="s">
        <v>170</v>
      </c>
      <c r="D168" s="22" t="s">
        <v>536</v>
      </c>
      <c r="E168" s="25" t="n">
        <f aca="false">SUMIFS(Mayor_Dic25!$G$5:$G$200,Mayor_Dic25!$J$5:$J$200,A168,Mayor_Dic25!$C$5:$C$200,"&lt;&gt;2130*",Mayor_Dic25!$C$5:$C$200,"&lt;&gt;21050301")</f>
        <v>5000000000</v>
      </c>
      <c r="F168" s="25" t="n">
        <f aca="false">SUMIFS(Mayor_Mov!$F$5:$F$445,Mayor_Mov!$N$5:$N$445,$A168,Mayor_Mov!$B$5:$B$445,"21050100")+SUMIFS(Mayor_Mov!$F$5:$F$445,Mayor_Mov!$N$5:$N$445,$A168,Mayor_Mov!$B$5:$B$445,"21050201")+SUMIFS(Mayor_Mov!$F$5:$F$445,Mayor_Mov!$N$5:$N$445,$A168,Mayor_Mov!$B$5:$B$445,"21202040")+SUMIFS(Mayor_Mov!$F$5:$F$445,Mayor_Mov!$N$5:$N$445,$A168,Mayor_Mov!$B$5:$B$445,"21202140")</f>
        <v>0</v>
      </c>
      <c r="G168" s="25" t="n">
        <f aca="false">SUMIFS(Mayor_Mov!$E$5:$E$445,Mayor_Mov!$N$5:$N$445,$A168,Mayor_Mov!$B$5:$B$445,"21050100")+SUMIFS(Mayor_Mov!$E$5:$E$445,Mayor_Mov!$N$5:$N$445,$A168,Mayor_Mov!$B$5:$B$445,"21050201")+SUMIFS(Mayor_Mov!$E$5:$E$445,Mayor_Mov!$N$5:$N$445,$A168,Mayor_Mov!$B$5:$B$445,"21202040")+SUMIFS(Mayor_Mov!$E$5:$E$445,Mayor_Mov!$N$5:$N$445,$A168,Mayor_Mov!$B$5:$B$445,"21202140")</f>
        <v>1666666666</v>
      </c>
      <c r="H168" s="25" t="n">
        <f aca="false">E168+F168-G168</f>
        <v>3333333334</v>
      </c>
      <c r="I168" s="25" t="n">
        <f aca="false">SUMIFS(Detalle_62!$F$14:$F$35,Detalle_62!$C$14:$C$35,A168)</f>
        <v>3333333333.33333</v>
      </c>
      <c r="J168" s="25" t="n">
        <f aca="false">IFERROR(INDEX(Tablas_Amortizacion!$N$8:$N$44,MATCH(A168,Tablas_Amortizacion!$A$8:$A$44,0)),"Sin tabla")</f>
        <v>3333333333.33333</v>
      </c>
      <c r="K168" s="28" t="n">
        <v>5000000000</v>
      </c>
      <c r="L168" s="25" t="n">
        <f aca="false">J59</f>
        <v>3333333334</v>
      </c>
      <c r="M168" s="22" t="s">
        <v>515</v>
      </c>
      <c r="N168" s="25" t="n">
        <f aca="false">H168-I168</f>
        <v>0.666666984558106</v>
      </c>
      <c r="O168" s="25" t="n">
        <f aca="false">IF(ISNUMBER(L168),H168-L168,"N/D")</f>
        <v>0</v>
      </c>
      <c r="P168" s="25" t="n">
        <f aca="false">IF(ISNUMBER(L168),I168-L168,"N/D")</f>
        <v>-0.666666984558106</v>
      </c>
      <c r="Q168" s="25" t="n">
        <f aca="false">IF(AND(ISNUMBER(J168),ISNUMBER(L168)),J168-L168,"N/D")</f>
        <v>-0.666666984558106</v>
      </c>
      <c r="R168" s="42" t="str">
        <f aca="false">IF(NOT(ISNUMBER(L168)),"Pendiente soporte bancario",IF(ABS(O168)&lt;=Resumen!$C$6,IF(ABS(N168)&lt;=Resumen!$C$6,"OK","Mayor OK – detalle 62 desactualizado"),"Diferencia mayor vs banco"))</f>
        <v>OK</v>
      </c>
    </row>
    <row r="169" customFormat="false" ht="15" hidden="false" customHeight="false" outlineLevel="0" collapsed="false">
      <c r="A169" s="29" t="s">
        <v>145</v>
      </c>
      <c r="B169" s="22" t="s">
        <v>386</v>
      </c>
      <c r="C169" s="22" t="s">
        <v>388</v>
      </c>
      <c r="D169" s="22" t="s">
        <v>537</v>
      </c>
      <c r="E169" s="25" t="n">
        <f aca="false">SUMIFS(Mayor_Dic25!$G$5:$G$200,Mayor_Dic25!$J$5:$J$200,A169,Mayor_Dic25!$C$5:$C$200,"&lt;&gt;2130*",Mayor_Dic25!$C$5:$C$200,"&lt;&gt;21050301")</f>
        <v>495530373</v>
      </c>
      <c r="F169" s="25" t="n">
        <f aca="false">SUMIFS(Mayor_Mov!$F$5:$F$445,Mayor_Mov!$N$5:$N$445,$A169,Mayor_Mov!$B$5:$B$445,"21050100")+SUMIFS(Mayor_Mov!$F$5:$F$445,Mayor_Mov!$N$5:$N$445,$A169,Mayor_Mov!$B$5:$B$445,"21050201")+SUMIFS(Mayor_Mov!$F$5:$F$445,Mayor_Mov!$N$5:$N$445,$A169,Mayor_Mov!$B$5:$B$445,"21202040")+SUMIFS(Mayor_Mov!$F$5:$F$445,Mayor_Mov!$N$5:$N$445,$A169,Mayor_Mov!$B$5:$B$445,"21202140")</f>
        <v>0</v>
      </c>
      <c r="G169" s="25" t="n">
        <f aca="false">SUMIFS(Mayor_Mov!$E$5:$E$445,Mayor_Mov!$N$5:$N$445,$A169,Mayor_Mov!$B$5:$B$445,"21050100")+SUMIFS(Mayor_Mov!$E$5:$E$445,Mayor_Mov!$N$5:$N$445,$A169,Mayor_Mov!$B$5:$B$445,"21050201")+SUMIFS(Mayor_Mov!$E$5:$E$445,Mayor_Mov!$N$5:$N$445,$A169,Mayor_Mov!$B$5:$B$445,"21202040")+SUMIFS(Mayor_Mov!$E$5:$E$445,Mayor_Mov!$N$5:$N$445,$A169,Mayor_Mov!$B$5:$B$445,"21202140")</f>
        <v>47053001</v>
      </c>
      <c r="H169" s="25" t="n">
        <f aca="false">E169+F169-G169</f>
        <v>448477372</v>
      </c>
      <c r="I169" s="25" t="n">
        <f aca="false">SUMIFS(Detalle_62!$F$14:$F$35,Detalle_62!$C$14:$C$35,A169)</f>
        <v>497241599</v>
      </c>
      <c r="J169" s="25" t="n">
        <f aca="false">IFERROR(INDEX(Tablas_Amortizacion!$N$8:$N$44,MATCH(A169,Tablas_Amortizacion!$A$8:$A$44,0)),"Sin tabla")</f>
        <v>524519291.134113</v>
      </c>
      <c r="K169" s="28" t="n">
        <v>495530373</v>
      </c>
      <c r="L169" s="25" t="n">
        <f aca="false">IF(ISNUMBER(K169),K169+F169-G169,"N/D")</f>
        <v>448477372</v>
      </c>
      <c r="M169" s="30" t="str">
        <f aca="false">IF(ISNUMBER(K169),"[E] Extracto dic-25 + mov. 2026","[P] Sin soporte bancario")</f>
        <v>[E] Extracto dic-25 + mov. 2026</v>
      </c>
      <c r="N169" s="25" t="n">
        <f aca="false">H169-I169</f>
        <v>-48764227</v>
      </c>
      <c r="O169" s="25" t="n">
        <f aca="false">IF(ISNUMBER(L169),H169-L169,"N/D")</f>
        <v>0</v>
      </c>
      <c r="P169" s="25" t="n">
        <f aca="false">IF(ISNUMBER(L169),I169-L169,"N/D")</f>
        <v>48764227</v>
      </c>
      <c r="Q169" s="25" t="n">
        <f aca="false">IF(AND(ISNUMBER(J169),ISNUMBER(L169)),J169-L169,"N/D")</f>
        <v>76041919.1341134</v>
      </c>
      <c r="R169" s="42" t="str">
        <f aca="false">IF(NOT(ISNUMBER(L169)),"Pendiente soporte bancario",IF(ABS(O169)&lt;=Resumen!$C$6,IF(ABS(N169)&lt;=Resumen!$C$6,"OK","Mayor OK – detalle 62 desactualizado"),"Diferencia mayor vs banco"))</f>
        <v>Mayor OK – detalle 62 desactualizado</v>
      </c>
    </row>
    <row r="170" customFormat="false" ht="15" hidden="false" customHeight="false" outlineLevel="0" collapsed="false">
      <c r="A170" s="29" t="s">
        <v>146</v>
      </c>
      <c r="B170" s="22" t="s">
        <v>386</v>
      </c>
      <c r="C170" s="22" t="s">
        <v>388</v>
      </c>
      <c r="D170" s="22" t="s">
        <v>538</v>
      </c>
      <c r="E170" s="25" t="n">
        <f aca="false">SUMIFS(Mayor_Dic25!$G$5:$G$200,Mayor_Dic25!$J$5:$J$200,A170,Mayor_Dic25!$C$5:$C$200,"&lt;&gt;2130*",Mayor_Dic25!$C$5:$C$200,"&lt;&gt;21050301")</f>
        <v>849599858</v>
      </c>
      <c r="F170" s="25" t="n">
        <f aca="false">SUMIFS(Mayor_Mov!$F$5:$F$445,Mayor_Mov!$N$5:$N$445,$A170,Mayor_Mov!$B$5:$B$445,"21050100")+SUMIFS(Mayor_Mov!$F$5:$F$445,Mayor_Mov!$N$5:$N$445,$A170,Mayor_Mov!$B$5:$B$445,"21050201")+SUMIFS(Mayor_Mov!$F$5:$F$445,Mayor_Mov!$N$5:$N$445,$A170,Mayor_Mov!$B$5:$B$445,"21202040")+SUMIFS(Mayor_Mov!$F$5:$F$445,Mayor_Mov!$N$5:$N$445,$A170,Mayor_Mov!$B$5:$B$445,"21202140")</f>
        <v>0</v>
      </c>
      <c r="G170" s="25" t="n">
        <f aca="false">SUMIFS(Mayor_Mov!$E$5:$E$445,Mayor_Mov!$N$5:$N$445,$A170,Mayor_Mov!$B$5:$B$445,"21050100")+SUMIFS(Mayor_Mov!$E$5:$E$445,Mayor_Mov!$N$5:$N$445,$A170,Mayor_Mov!$B$5:$B$445,"21050201")+SUMIFS(Mayor_Mov!$E$5:$E$445,Mayor_Mov!$N$5:$N$445,$A170,Mayor_Mov!$B$5:$B$445,"21202040")+SUMIFS(Mayor_Mov!$E$5:$E$445,Mayor_Mov!$N$5:$N$445,$A170,Mayor_Mov!$B$5:$B$445,"21202140")</f>
        <v>61870158</v>
      </c>
      <c r="H170" s="25" t="n">
        <f aca="false">E170+F170-G170</f>
        <v>787729700</v>
      </c>
      <c r="I170" s="25" t="n">
        <f aca="false">SUMIFS(Detalle_62!$F$14:$F$35,Detalle_62!$C$14:$C$35,A170)</f>
        <v>770085425.158301</v>
      </c>
      <c r="J170" s="25" t="n">
        <f aca="false">IFERROR(INDEX(Tablas_Amortizacion!$N$8:$N$44,MATCH(A170,Tablas_Amortizacion!$A$8:$A$44,0)),"Sin tabla")</f>
        <v>770085425.158301</v>
      </c>
      <c r="K170" s="28" t="n">
        <v>849599858</v>
      </c>
      <c r="L170" s="25" t="n">
        <f aca="false">IF(ISNUMBER(K170),K170+F170-G170,"N/D")</f>
        <v>787729700</v>
      </c>
      <c r="M170" s="30" t="str">
        <f aca="false">IF(ISNUMBER(K170),"[E] Extracto dic-25 + mov. 2026","[P] Sin soporte bancario")</f>
        <v>[E] Extracto dic-25 + mov. 2026</v>
      </c>
      <c r="N170" s="25" t="n">
        <f aca="false">H170-I170</f>
        <v>17644274.8416994</v>
      </c>
      <c r="O170" s="25" t="n">
        <f aca="false">IF(ISNUMBER(L170),H170-L170,"N/D")</f>
        <v>0</v>
      </c>
      <c r="P170" s="25" t="n">
        <f aca="false">IF(ISNUMBER(L170),I170-L170,"N/D")</f>
        <v>-17644274.8416994</v>
      </c>
      <c r="Q170" s="25" t="n">
        <f aca="false">IF(AND(ISNUMBER(J170),ISNUMBER(L170)),J170-L170,"N/D")</f>
        <v>-17644274.8416994</v>
      </c>
      <c r="R170" s="42" t="str">
        <f aca="false">IF(NOT(ISNUMBER(L170)),"Pendiente soporte bancario",IF(ABS(O170)&lt;=Resumen!$C$6,IF(ABS(N170)&lt;=Resumen!$C$6,"OK","Mayor OK – detalle 62 desactualizado"),"Diferencia mayor vs banco"))</f>
        <v>Mayor OK – detalle 62 desactualizado</v>
      </c>
    </row>
    <row r="171" customFormat="false" ht="15" hidden="false" customHeight="false" outlineLevel="0" collapsed="false">
      <c r="A171" s="29" t="s">
        <v>147</v>
      </c>
      <c r="B171" s="22" t="s">
        <v>386</v>
      </c>
      <c r="C171" s="22" t="s">
        <v>388</v>
      </c>
      <c r="D171" s="22" t="s">
        <v>539</v>
      </c>
      <c r="E171" s="25" t="n">
        <f aca="false">SUMIFS(Mayor_Dic25!$G$5:$G$200,Mayor_Dic25!$J$5:$J$200,A171,Mayor_Dic25!$C$5:$C$200,"&lt;&gt;2130*",Mayor_Dic25!$C$5:$C$200,"&lt;&gt;21050301")</f>
        <v>605798177</v>
      </c>
      <c r="F171" s="25" t="n">
        <f aca="false">SUMIFS(Mayor_Mov!$F$5:$F$445,Mayor_Mov!$N$5:$N$445,$A171,Mayor_Mov!$B$5:$B$445,"21050100")+SUMIFS(Mayor_Mov!$F$5:$F$445,Mayor_Mov!$N$5:$N$445,$A171,Mayor_Mov!$B$5:$B$445,"21050201")+SUMIFS(Mayor_Mov!$F$5:$F$445,Mayor_Mov!$N$5:$N$445,$A171,Mayor_Mov!$B$5:$B$445,"21202040")+SUMIFS(Mayor_Mov!$F$5:$F$445,Mayor_Mov!$N$5:$N$445,$A171,Mayor_Mov!$B$5:$B$445,"21202140")</f>
        <v>0</v>
      </c>
      <c r="G171" s="25" t="n">
        <f aca="false">SUMIFS(Mayor_Mov!$E$5:$E$445,Mayor_Mov!$N$5:$N$445,$A171,Mayor_Mov!$B$5:$B$445,"21050100")+SUMIFS(Mayor_Mov!$E$5:$E$445,Mayor_Mov!$N$5:$N$445,$A171,Mayor_Mov!$B$5:$B$445,"21050201")+SUMIFS(Mayor_Mov!$E$5:$E$445,Mayor_Mov!$N$5:$N$445,$A171,Mayor_Mov!$B$5:$B$445,"21202040")+SUMIFS(Mayor_Mov!$E$5:$E$445,Mayor_Mov!$N$5:$N$445,$A171,Mayor_Mov!$B$5:$B$445,"21202140")</f>
        <v>117272673</v>
      </c>
      <c r="H171" s="25" t="n">
        <f aca="false">E171+F171-G171</f>
        <v>488525504</v>
      </c>
      <c r="I171" s="25" t="n">
        <f aca="false">SUMIFS(Detalle_62!$F$14:$F$35,Detalle_62!$C$14:$C$35,A171)</f>
        <v>503693510</v>
      </c>
      <c r="J171" s="25" t="n">
        <f aca="false">IFERROR(INDEX(Tablas_Amortizacion!$N$8:$N$44,MATCH(A171,Tablas_Amortizacion!$A$8:$A$44,0)),"Sin tabla")</f>
        <v>503693510</v>
      </c>
      <c r="K171" s="28" t="n">
        <v>605798177</v>
      </c>
      <c r="L171" s="25" t="n">
        <f aca="false">IF(ISNUMBER(K171),K171+F171-G171,"N/D")</f>
        <v>488525504</v>
      </c>
      <c r="M171" s="30" t="str">
        <f aca="false">IF(ISNUMBER(K171),"[E] Extracto dic-25 + mov. 2026","[P] Sin soporte bancario")</f>
        <v>[E] Extracto dic-25 + mov. 2026</v>
      </c>
      <c r="N171" s="25" t="n">
        <f aca="false">H171-I171</f>
        <v>-15168006</v>
      </c>
      <c r="O171" s="25" t="n">
        <f aca="false">IF(ISNUMBER(L171),H171-L171,"N/D")</f>
        <v>0</v>
      </c>
      <c r="P171" s="25" t="n">
        <f aca="false">IF(ISNUMBER(L171),I171-L171,"N/D")</f>
        <v>15168006</v>
      </c>
      <c r="Q171" s="25" t="n">
        <f aca="false">IF(AND(ISNUMBER(J171),ISNUMBER(L171)),J171-L171,"N/D")</f>
        <v>15168006</v>
      </c>
      <c r="R171" s="42" t="str">
        <f aca="false">IF(NOT(ISNUMBER(L171)),"Pendiente soporte bancario",IF(ABS(O171)&lt;=Resumen!$C$6,IF(ABS(N171)&lt;=Resumen!$C$6,"OK","Mayor OK – detalle 62 desactualizado"),"Diferencia mayor vs banco"))</f>
        <v>Mayor OK – detalle 62 desactualizado</v>
      </c>
    </row>
    <row r="172" customFormat="false" ht="15" hidden="false" customHeight="false" outlineLevel="0" collapsed="false">
      <c r="A172" s="29" t="s">
        <v>148</v>
      </c>
      <c r="B172" s="22" t="s">
        <v>386</v>
      </c>
      <c r="C172" s="22" t="s">
        <v>388</v>
      </c>
      <c r="D172" s="22" t="s">
        <v>540</v>
      </c>
      <c r="E172" s="25" t="n">
        <f aca="false">SUMIFS(Mayor_Dic25!$G$5:$G$200,Mayor_Dic25!$J$5:$J$200,A172,Mayor_Dic25!$C$5:$C$200,"&lt;&gt;2130*",Mayor_Dic25!$C$5:$C$200,"&lt;&gt;21050301")</f>
        <v>0</v>
      </c>
      <c r="F172" s="25" t="n">
        <f aca="false">SUMIFS(Mayor_Mov!$F$5:$F$445,Mayor_Mov!$N$5:$N$445,$A172,Mayor_Mov!$B$5:$B$445,"21050100")+SUMIFS(Mayor_Mov!$F$5:$F$445,Mayor_Mov!$N$5:$N$445,$A172,Mayor_Mov!$B$5:$B$445,"21050201")+SUMIFS(Mayor_Mov!$F$5:$F$445,Mayor_Mov!$N$5:$N$445,$A172,Mayor_Mov!$B$5:$B$445,"21202040")+SUMIFS(Mayor_Mov!$F$5:$F$445,Mayor_Mov!$N$5:$N$445,$A172,Mayor_Mov!$B$5:$B$445,"21202140")</f>
        <v>675837500</v>
      </c>
      <c r="G172" s="25" t="n">
        <f aca="false">SUMIFS(Mayor_Mov!$E$5:$E$445,Mayor_Mov!$N$5:$N$445,$A172,Mayor_Mov!$B$5:$B$445,"21050100")+SUMIFS(Mayor_Mov!$E$5:$E$445,Mayor_Mov!$N$5:$N$445,$A172,Mayor_Mov!$B$5:$B$445,"21050201")+SUMIFS(Mayor_Mov!$E$5:$E$445,Mayor_Mov!$N$5:$N$445,$A172,Mayor_Mov!$B$5:$B$445,"21202040")+SUMIFS(Mayor_Mov!$E$5:$E$445,Mayor_Mov!$N$5:$N$445,$A172,Mayor_Mov!$B$5:$B$445,"21202140")</f>
        <v>0</v>
      </c>
      <c r="H172" s="25" t="n">
        <f aca="false">E172+F172-G172</f>
        <v>675837500</v>
      </c>
      <c r="I172" s="25" t="n">
        <f aca="false">SUMIFS(Detalle_62!$F$14:$F$35,Detalle_62!$C$14:$C$35,A172)</f>
        <v>0</v>
      </c>
      <c r="J172" s="25" t="str">
        <f aca="false">IFERROR(INDEX(Tablas_Amortizacion!$N$8:$N$44,MATCH(A172,Tablas_Amortizacion!$A$8:$A$44,0)),"Sin tabla")</f>
        <v>Sin tabla</v>
      </c>
      <c r="K172" s="28" t="s">
        <v>522</v>
      </c>
      <c r="L172" s="25" t="str">
        <f aca="false">IF(ISNUMBER(K172),K172+F172-G172,"N/D")</f>
        <v>N/D</v>
      </c>
      <c r="M172" s="30" t="str">
        <f aca="false">IF(ISNUMBER(K172),"[E] Extracto dic-25 + mov. 2026","[P] Sin soporte bancario")</f>
        <v>[P] Sin soporte bancario</v>
      </c>
      <c r="N172" s="25" t="n">
        <f aca="false">H172-I172</f>
        <v>675837500</v>
      </c>
      <c r="O172" s="25" t="str">
        <f aca="false">IF(ISNUMBER(L172),H172-L172,"N/D")</f>
        <v>N/D</v>
      </c>
      <c r="P172" s="25" t="str">
        <f aca="false">IF(ISNUMBER(L172),I172-L172,"N/D")</f>
        <v>N/D</v>
      </c>
      <c r="Q172" s="25" t="str">
        <f aca="false">IF(AND(ISNUMBER(J172),ISNUMBER(L172)),J172-L172,"N/D")</f>
        <v>N/D</v>
      </c>
      <c r="R172" s="42" t="str">
        <f aca="false">IF(NOT(ISNUMBER(L172)),"Pendiente soporte bancario",IF(ABS(O172)&lt;=Resumen!$C$6,IF(ABS(N172)&lt;=Resumen!$C$6,"OK","Mayor OK – detalle 62 desactualizado"),"Diferencia mayor vs banco"))</f>
        <v>Pendiente soporte bancario</v>
      </c>
    </row>
    <row r="173" customFormat="false" ht="15" hidden="false" customHeight="false" outlineLevel="0" collapsed="false">
      <c r="A173" s="29" t="s">
        <v>150</v>
      </c>
      <c r="B173" s="22" t="s">
        <v>541</v>
      </c>
      <c r="C173" s="22" t="s">
        <v>388</v>
      </c>
      <c r="D173" s="22" t="s">
        <v>542</v>
      </c>
      <c r="E173" s="25" t="n">
        <f aca="false">SUMIFS(Mayor_Dic25!$G$5:$G$200,Mayor_Dic25!$J$5:$J$200,A173,Mayor_Dic25!$C$5:$C$200,"&lt;&gt;2130*",Mayor_Dic25!$C$5:$C$200,"&lt;&gt;21050301")</f>
        <v>0</v>
      </c>
      <c r="F173" s="25" t="n">
        <f aca="false">SUMIFS(Mayor_Mov!$F$5:$F$445,Mayor_Mov!$N$5:$N$445,$A173,Mayor_Mov!$B$5:$B$445,"21050100")+SUMIFS(Mayor_Mov!$F$5:$F$445,Mayor_Mov!$N$5:$N$445,$A173,Mayor_Mov!$B$5:$B$445,"21050201")+SUMIFS(Mayor_Mov!$F$5:$F$445,Mayor_Mov!$N$5:$N$445,$A173,Mayor_Mov!$B$5:$B$445,"21202040")+SUMIFS(Mayor_Mov!$F$5:$F$445,Mayor_Mov!$N$5:$N$445,$A173,Mayor_Mov!$B$5:$B$445,"21202140")</f>
        <v>35428634</v>
      </c>
      <c r="G173" s="25" t="n">
        <f aca="false">SUMIFS(Mayor_Mov!$E$5:$E$445,Mayor_Mov!$N$5:$N$445,$A173,Mayor_Mov!$B$5:$B$445,"21050100")+SUMIFS(Mayor_Mov!$E$5:$E$445,Mayor_Mov!$N$5:$N$445,$A173,Mayor_Mov!$B$5:$B$445,"21050201")+SUMIFS(Mayor_Mov!$E$5:$E$445,Mayor_Mov!$N$5:$N$445,$A173,Mayor_Mov!$B$5:$B$445,"21202040")+SUMIFS(Mayor_Mov!$E$5:$E$445,Mayor_Mov!$N$5:$N$445,$A173,Mayor_Mov!$B$5:$B$445,"21202140")</f>
        <v>35428634</v>
      </c>
      <c r="H173" s="25" t="n">
        <f aca="false">E173+F173-G173</f>
        <v>0</v>
      </c>
      <c r="I173" s="25" t="n">
        <f aca="false">SUMIFS(Detalle_62!$F$14:$F$35,Detalle_62!$C$14:$C$35,A173)</f>
        <v>0</v>
      </c>
      <c r="J173" s="25" t="str">
        <f aca="false">IFERROR(INDEX(Tablas_Amortizacion!$N$8:$N$44,MATCH(A173,Tablas_Amortizacion!$A$8:$A$44,0)),"Sin tabla")</f>
        <v>Sin tabla</v>
      </c>
      <c r="K173" s="28" t="s">
        <v>522</v>
      </c>
      <c r="L173" s="25" t="str">
        <f aca="false">IF(ISNUMBER(K173),K173+F173-G173,"N/D")</f>
        <v>N/D</v>
      </c>
      <c r="M173" s="30" t="str">
        <f aca="false">IF(ISNUMBER(K173),"[E] Extracto dic-25 + mov. 2026","[P] Sin soporte bancario")</f>
        <v>[P] Sin soporte bancario</v>
      </c>
      <c r="N173" s="25" t="n">
        <f aca="false">H173-I173</f>
        <v>0</v>
      </c>
      <c r="O173" s="25" t="str">
        <f aca="false">IF(ISNUMBER(L173),H173-L173,"N/D")</f>
        <v>N/D</v>
      </c>
      <c r="P173" s="25" t="str">
        <f aca="false">IF(ISNUMBER(L173),I173-L173,"N/D")</f>
        <v>N/D</v>
      </c>
      <c r="Q173" s="25" t="str">
        <f aca="false">IF(AND(ISNUMBER(J173),ISNUMBER(L173)),J173-L173,"N/D")</f>
        <v>N/D</v>
      </c>
      <c r="R173" s="42" t="str">
        <f aca="false">IF(NOT(ISNUMBER(L173)),"Pendiente soporte bancario",IF(ABS(O173)&lt;=Resumen!$C$6,IF(ABS(N173)&lt;=Resumen!$C$6,"OK","Mayor OK – detalle 62 desactualizado"),"Diferencia mayor vs banco"))</f>
        <v>Pendiente soporte bancario</v>
      </c>
    </row>
    <row r="174" customFormat="false" ht="15" hidden="false" customHeight="false" outlineLevel="0" collapsed="false">
      <c r="A174" s="29" t="s">
        <v>151</v>
      </c>
      <c r="B174" s="22" t="s">
        <v>541</v>
      </c>
      <c r="C174" s="22" t="s">
        <v>388</v>
      </c>
      <c r="D174" s="22" t="s">
        <v>543</v>
      </c>
      <c r="E174" s="25" t="n">
        <f aca="false">SUMIFS(Mayor_Dic25!$G$5:$G$200,Mayor_Dic25!$J$5:$J$200,A174,Mayor_Dic25!$C$5:$C$200,"&lt;&gt;2130*",Mayor_Dic25!$C$5:$C$200,"&lt;&gt;21050301")</f>
        <v>0</v>
      </c>
      <c r="F174" s="25" t="n">
        <f aca="false">SUMIFS(Mayor_Mov!$F$5:$F$445,Mayor_Mov!$N$5:$N$445,$A174,Mayor_Mov!$B$5:$B$445,"21050100")+SUMIFS(Mayor_Mov!$F$5:$F$445,Mayor_Mov!$N$5:$N$445,$A174,Mayor_Mov!$B$5:$B$445,"21050201")+SUMIFS(Mayor_Mov!$F$5:$F$445,Mayor_Mov!$N$5:$N$445,$A174,Mayor_Mov!$B$5:$B$445,"21202040")+SUMIFS(Mayor_Mov!$F$5:$F$445,Mayor_Mov!$N$5:$N$445,$A174,Mayor_Mov!$B$5:$B$445,"21202140")</f>
        <v>8261283</v>
      </c>
      <c r="G174" s="25" t="n">
        <f aca="false">SUMIFS(Mayor_Mov!$E$5:$E$445,Mayor_Mov!$N$5:$N$445,$A174,Mayor_Mov!$B$5:$B$445,"21050100")+SUMIFS(Mayor_Mov!$E$5:$E$445,Mayor_Mov!$N$5:$N$445,$A174,Mayor_Mov!$B$5:$B$445,"21050201")+SUMIFS(Mayor_Mov!$E$5:$E$445,Mayor_Mov!$N$5:$N$445,$A174,Mayor_Mov!$B$5:$B$445,"21202040")+SUMIFS(Mayor_Mov!$E$5:$E$445,Mayor_Mov!$N$5:$N$445,$A174,Mayor_Mov!$B$5:$B$445,"21202140")</f>
        <v>8261283</v>
      </c>
      <c r="H174" s="25" t="n">
        <f aca="false">E174+F174-G174</f>
        <v>0</v>
      </c>
      <c r="I174" s="25" t="n">
        <f aca="false">SUMIFS(Detalle_62!$F$14:$F$35,Detalle_62!$C$14:$C$35,A174)</f>
        <v>0</v>
      </c>
      <c r="J174" s="25" t="str">
        <f aca="false">IFERROR(INDEX(Tablas_Amortizacion!$N$8:$N$44,MATCH(A174,Tablas_Amortizacion!$A$8:$A$44,0)),"Sin tabla")</f>
        <v>Sin tabla</v>
      </c>
      <c r="K174" s="28" t="s">
        <v>522</v>
      </c>
      <c r="L174" s="25" t="str">
        <f aca="false">IF(ISNUMBER(K174),K174+F174-G174,"N/D")</f>
        <v>N/D</v>
      </c>
      <c r="M174" s="30" t="str">
        <f aca="false">IF(ISNUMBER(K174),"[E] Extracto dic-25 + mov. 2026","[P] Sin soporte bancario")</f>
        <v>[P] Sin soporte bancario</v>
      </c>
      <c r="N174" s="25" t="n">
        <f aca="false">H174-I174</f>
        <v>0</v>
      </c>
      <c r="O174" s="25" t="str">
        <f aca="false">IF(ISNUMBER(L174),H174-L174,"N/D")</f>
        <v>N/D</v>
      </c>
      <c r="P174" s="25" t="str">
        <f aca="false">IF(ISNUMBER(L174),I174-L174,"N/D")</f>
        <v>N/D</v>
      </c>
      <c r="Q174" s="25" t="str">
        <f aca="false">IF(AND(ISNUMBER(J174),ISNUMBER(L174)),J174-L174,"N/D")</f>
        <v>N/D</v>
      </c>
      <c r="R174" s="42" t="str">
        <f aca="false">IF(NOT(ISNUMBER(L174)),"Pendiente soporte bancario",IF(ABS(O174)&lt;=Resumen!$C$6,IF(ABS(N174)&lt;=Resumen!$C$6,"OK","Mayor OK – detalle 62 desactualizado"),"Diferencia mayor vs banco"))</f>
        <v>Pendiente soporte bancario</v>
      </c>
    </row>
    <row r="175" customFormat="false" ht="15" hidden="false" customHeight="false" outlineLevel="0" collapsed="false">
      <c r="A175" s="36" t="s">
        <v>544</v>
      </c>
      <c r="E175" s="37" t="n">
        <f aca="false">SUMIFS(E148:E174,$C$148:$C$174,"Crédito")</f>
        <v>41306666666</v>
      </c>
      <c r="F175" s="37" t="n">
        <f aca="false">SUMIFS(F148:F174,$C$148:$C$174,"Crédito")</f>
        <v>24700000000</v>
      </c>
      <c r="G175" s="37" t="n">
        <f aca="false">SUMIFS(G148:G174,$C$148:$C$174,"Crédito")</f>
        <v>27706000000</v>
      </c>
      <c r="H175" s="37" t="n">
        <f aca="false">SUMIFS(H148:H174,$C$148:$C$174,"Crédito")</f>
        <v>38300666666</v>
      </c>
      <c r="I175" s="37" t="n">
        <f aca="false">SUMIFS(I148:I174,$C$148:$C$174,"Crédito")</f>
        <v>38300666665.3333</v>
      </c>
      <c r="J175" s="37" t="n">
        <f aca="false">SUMIFS(J148:J174,$C$148:$C$174,"Crédito")</f>
        <v>33600666669.3333</v>
      </c>
      <c r="L175" s="37" t="n">
        <f aca="false">SUMIFS(L148:L174,$C$148:$C$174,"Crédito")</f>
        <v>38300658111.59</v>
      </c>
      <c r="N175" s="37" t="n">
        <f aca="false">SUMIFS(N148:N174,$C$148:$C$174,"Crédito")</f>
        <v>0.666666984558106</v>
      </c>
      <c r="O175" s="37" t="n">
        <f aca="false">SUMIFS(O148:O174,$C$148:$C$174,"Crédito")</f>
        <v>8554.40999984741</v>
      </c>
      <c r="P175" s="37" t="n">
        <f aca="false">SUMIFS(P148:P174,$C$148:$C$174,"Crédito")</f>
        <v>8553.74333286285</v>
      </c>
      <c r="Q175" s="37" t="n">
        <f aca="false">SUMIFS(Q148:Q174,$C$148:$C$174,"Crédito")</f>
        <v>8557.74333286285</v>
      </c>
    </row>
    <row r="176" customFormat="false" ht="15" hidden="false" customHeight="false" outlineLevel="0" collapsed="false">
      <c r="A176" s="22" t="s">
        <v>545</v>
      </c>
      <c r="E176" s="25" t="n">
        <f aca="false">-(Balance_21!$C$16+Balance_21!$C$18)</f>
        <v>41306666666</v>
      </c>
      <c r="F176" s="25" t="n">
        <f aca="false">Balance_21!$E$16+Balance_21!$E$18</f>
        <v>24700000000</v>
      </c>
      <c r="G176" s="25" t="n">
        <f aca="false">Balance_21!$D$16+Balance_21!$D$18</f>
        <v>27706000000</v>
      </c>
      <c r="H176" s="25" t="n">
        <f aca="false">-(Balance_21!$F$16+Balance_21!$F$18)</f>
        <v>38300666666</v>
      </c>
    </row>
    <row r="177" customFormat="false" ht="15" hidden="false" customHeight="false" outlineLevel="0" collapsed="false">
      <c r="A177" s="22" t="s">
        <v>546</v>
      </c>
      <c r="E177" s="25" t="n">
        <f aca="false">E175-E176</f>
        <v>0</v>
      </c>
      <c r="F177" s="25" t="n">
        <f aca="false">F175-F176</f>
        <v>0</v>
      </c>
      <c r="G177" s="25" t="n">
        <f aca="false">G175-G176</f>
        <v>0</v>
      </c>
      <c r="H177" s="25" t="n">
        <f aca="false">H175-H176</f>
        <v>0</v>
      </c>
    </row>
    <row r="179" customFormat="false" ht="15" hidden="false" customHeight="false" outlineLevel="0" collapsed="false">
      <c r="A179" s="36" t="s">
        <v>547</v>
      </c>
      <c r="E179" s="37" t="n">
        <f aca="false">SUMIFS(E148:E174,$C$148:$C$174,"Leasing")</f>
        <v>8130494743.34</v>
      </c>
      <c r="F179" s="37" t="n">
        <f aca="false">SUMIFS(F148:F174,$C$148:$C$174,"Leasing")</f>
        <v>719527417</v>
      </c>
      <c r="G179" s="37" t="n">
        <f aca="false">SUMIFS(G148:G174,$C$148:$C$174,"Leasing")</f>
        <v>946510532.01</v>
      </c>
      <c r="H179" s="37" t="n">
        <f aca="false">SUMIFS(H148:H174,$C$148:$C$174,"Leasing")</f>
        <v>7903511628.33</v>
      </c>
      <c r="I179" s="37" t="n">
        <f aca="false">SUMIFS(I148:I174,$C$148:$C$174,"Leasing")</f>
        <v>6885245451.62914</v>
      </c>
      <c r="J179" s="37" t="n">
        <f aca="false">SUMIFS(J148:J174,$C$148:$C$174,"Leasing")</f>
        <v>6912523143.76325</v>
      </c>
      <c r="L179" s="37" t="n">
        <f aca="false">SUMIFS(L148:L174,$C$148:$C$174,"Leasing")</f>
        <v>7013812227</v>
      </c>
      <c r="N179" s="37" t="n">
        <f aca="false">SUMIFS(N148:N174,$C$148:$C$174,"Leasing")</f>
        <v>1018266176.70087</v>
      </c>
      <c r="O179" s="37" t="n">
        <f aca="false">SUMIFS(O148:O174,$C$148:$C$174,"Leasing")</f>
        <v>1.33000007271767</v>
      </c>
      <c r="P179" s="37" t="n">
        <f aca="false">SUMIFS(P148:P174,$C$148:$C$174,"Leasing")</f>
        <v>-128566775.370865</v>
      </c>
      <c r="Q179" s="37" t="n">
        <f aca="false">SUMIFS(Q148:Q174,$C$148:$C$174,"Leasing")</f>
        <v>-101289083.236752</v>
      </c>
    </row>
    <row r="180" customFormat="false" ht="15" hidden="false" customHeight="false" outlineLevel="0" collapsed="false">
      <c r="A180" s="22" t="s">
        <v>548</v>
      </c>
      <c r="E180" s="25" t="n">
        <f aca="false">-(Balance_21!$C$22+Balance_21!$C$24)</f>
        <v>8130494743.34</v>
      </c>
      <c r="F180" s="25" t="n">
        <f aca="false">Balance_21!$E$22+Balance_21!$E$24</f>
        <v>719527417</v>
      </c>
      <c r="G180" s="25" t="n">
        <f aca="false">Balance_21!$D$22+Balance_21!$D$24</f>
        <v>946510532.01</v>
      </c>
      <c r="H180" s="25" t="n">
        <f aca="false">-(Balance_21!$F$22+Balance_21!$F$24)</f>
        <v>7903511628.33</v>
      </c>
    </row>
    <row r="181" customFormat="false" ht="15" hidden="false" customHeight="false" outlineLevel="0" collapsed="false">
      <c r="A181" s="22" t="s">
        <v>546</v>
      </c>
      <c r="E181" s="25" t="n">
        <f aca="false">E179-E180</f>
        <v>0</v>
      </c>
      <c r="F181" s="25" t="n">
        <f aca="false">F179-F180</f>
        <v>0</v>
      </c>
      <c r="G181" s="25" t="n">
        <f aca="false">G179-G180</f>
        <v>0</v>
      </c>
      <c r="H181" s="25" t="n">
        <f aca="false">H179-H180</f>
        <v>0</v>
      </c>
    </row>
    <row r="183" customFormat="false" ht="15" hidden="false" customHeight="false" outlineLevel="0" collapsed="false">
      <c r="A183" s="20" t="s">
        <v>549</v>
      </c>
    </row>
    <row r="186" customFormat="false" ht="15" hidden="false" customHeight="false" outlineLevel="0" collapsed="false">
      <c r="A186" s="33" t="s">
        <v>550</v>
      </c>
    </row>
    <row r="187" customFormat="false" ht="15" hidden="false" customHeight="false" outlineLevel="0" collapsed="false">
      <c r="A187" s="34" t="s">
        <v>551</v>
      </c>
    </row>
    <row r="188" customFormat="false" ht="15" hidden="false" customHeight="false" outlineLevel="0" collapsed="false">
      <c r="A188" s="34" t="s">
        <v>552</v>
      </c>
    </row>
    <row r="189" customFormat="false" ht="15" hidden="false" customHeight="false" outlineLevel="0" collapsed="false">
      <c r="A189" s="35" t="str">
        <f aca="false">"Resultado: intereses no causados al 31-jul = "&amp;TEXT(K236,"$#,##0")</f>
        <v>Resultado: intereses no causados al 31-jul = $187,705,390</v>
      </c>
    </row>
    <row r="190" customFormat="false" ht="15" hidden="false" customHeight="false" outlineLevel="0" collapsed="false">
      <c r="A190" s="19" t="s">
        <v>553</v>
      </c>
    </row>
    <row r="191" customFormat="false" ht="15" hidden="false" customHeight="false" outlineLevel="0" collapsed="false">
      <c r="A191" s="20" t="s">
        <v>554</v>
      </c>
    </row>
    <row r="193" customFormat="false" ht="15" hidden="false" customHeight="false" outlineLevel="0" collapsed="false">
      <c r="A193" s="21" t="s">
        <v>555</v>
      </c>
    </row>
    <row r="194" customFormat="false" ht="39.75" hidden="false" customHeight="true" outlineLevel="0" collapsed="false">
      <c r="A194" s="27" t="s">
        <v>314</v>
      </c>
      <c r="B194" s="27" t="s">
        <v>556</v>
      </c>
      <c r="C194" s="27" t="s">
        <v>557</v>
      </c>
      <c r="D194" s="27" t="s">
        <v>558</v>
      </c>
      <c r="E194" s="27" t="s">
        <v>559</v>
      </c>
      <c r="F194" s="27" t="s">
        <v>560</v>
      </c>
      <c r="G194" s="27" t="s">
        <v>561</v>
      </c>
      <c r="H194" s="27" t="s">
        <v>562</v>
      </c>
      <c r="I194" s="27" t="s">
        <v>563</v>
      </c>
      <c r="J194" s="27" t="s">
        <v>564</v>
      </c>
      <c r="K194" s="27" t="s">
        <v>565</v>
      </c>
      <c r="L194" s="27" t="s">
        <v>566</v>
      </c>
      <c r="M194" s="27" t="s">
        <v>567</v>
      </c>
      <c r="N194" s="27" t="s">
        <v>231</v>
      </c>
      <c r="O194" s="27" t="s">
        <v>290</v>
      </c>
    </row>
    <row r="195" customFormat="false" ht="25.5" hidden="false" customHeight="true" outlineLevel="0" collapsed="false">
      <c r="A195" s="29" t="s">
        <v>121</v>
      </c>
      <c r="B195" s="11" t="s">
        <v>568</v>
      </c>
      <c r="C195" s="25" t="n">
        <f aca="false">J57</f>
        <v>7499998503.25</v>
      </c>
      <c r="D195" s="39" t="n">
        <v>0.1551</v>
      </c>
      <c r="E195" s="23" t="n">
        <v>46102</v>
      </c>
      <c r="F195" s="23" t="n">
        <v>46286</v>
      </c>
      <c r="G195" s="25" t="n">
        <f aca="false">F195-E195</f>
        <v>184</v>
      </c>
      <c r="H195" s="25" t="n">
        <f aca="false">C195*((1+D195)^(G195/365)-1)</f>
        <v>565446040.044346</v>
      </c>
      <c r="I195" s="25" t="n">
        <f aca="false">C195*((1+D195)^(G195/360)-1)</f>
        <v>573592442.693754</v>
      </c>
      <c r="J195" s="28" t="n">
        <v>565738188.8</v>
      </c>
      <c r="K195" s="25" t="n">
        <f aca="false">IF(ABS(H195-J195)&lt;=ABS(I195-J195),H195-J195,I195-J195)</f>
        <v>-292148.755654216</v>
      </c>
      <c r="L195" s="26" t="n">
        <f aca="false">K195/J195</f>
        <v>-0.000516402748546813</v>
      </c>
      <c r="M195" s="26" t="n">
        <f aca="false">(1+J195/C195)^(365/G195)-1</f>
        <v>0.155183000000314</v>
      </c>
      <c r="N195" s="30" t="str">
        <f aca="false">IF(ABS(L195)&lt;=Resumen!$C$7,"Razonable","Diferencia")</f>
        <v>Razonable</v>
      </c>
      <c r="O195" s="11"/>
    </row>
    <row r="196" customFormat="false" ht="25.5" hidden="false" customHeight="true" outlineLevel="0" collapsed="false">
      <c r="A196" s="29" t="s">
        <v>122</v>
      </c>
      <c r="B196" s="11" t="s">
        <v>569</v>
      </c>
      <c r="C196" s="25" t="n">
        <f aca="false">H63</f>
        <v>3959998435.9</v>
      </c>
      <c r="D196" s="39" t="n">
        <v>0.1258</v>
      </c>
      <c r="E196" s="23" t="n">
        <v>46050</v>
      </c>
      <c r="F196" s="23" t="n">
        <v>46231</v>
      </c>
      <c r="G196" s="25" t="n">
        <f aca="false">F196-E196</f>
        <v>181</v>
      </c>
      <c r="H196" s="25" t="n">
        <f aca="false">C196*((1+D196)^(G196/365)-1)</f>
        <v>239661759.281274</v>
      </c>
      <c r="I196" s="25" t="n">
        <f aca="false">C196*((1+D196)^(G196/360)-1)</f>
        <v>243090546.747218</v>
      </c>
      <c r="J196" s="28" t="n">
        <v>272299382.05</v>
      </c>
      <c r="K196" s="25" t="n">
        <f aca="false">IF(ABS(H196-J196)&lt;=ABS(I196-J196),H196-J196,I196-J196)</f>
        <v>-29208835.3027824</v>
      </c>
      <c r="L196" s="26" t="n">
        <f aca="false">K196/J196</f>
        <v>-0.107267358019267</v>
      </c>
      <c r="M196" s="26" t="n">
        <f aca="false">(1+J196/C196)^(365/G196)-1</f>
        <v>0.143513000002364</v>
      </c>
      <c r="N196" s="30" t="str">
        <f aca="false">IF(ABS(L196)&lt;=Resumen!$C$7,"Razonable","Diferencia")</f>
        <v>Diferencia</v>
      </c>
      <c r="O196" s="11" t="s">
        <v>570</v>
      </c>
    </row>
    <row r="197" customFormat="false" ht="25.5" hidden="false" customHeight="true" outlineLevel="0" collapsed="false">
      <c r="A197" s="29" t="s">
        <v>120</v>
      </c>
      <c r="B197" s="11" t="s">
        <v>569</v>
      </c>
      <c r="C197" s="25" t="n">
        <f aca="false">H64</f>
        <v>2999995943.8</v>
      </c>
      <c r="D197" s="39" t="n">
        <v>0.1258</v>
      </c>
      <c r="E197" s="23" t="n">
        <v>46050</v>
      </c>
      <c r="F197" s="23" t="n">
        <v>46231</v>
      </c>
      <c r="G197" s="25" t="n">
        <f aca="false">F197-E197</f>
        <v>181</v>
      </c>
      <c r="H197" s="25" t="n">
        <f aca="false">C197*((1+D197)^(G197/365)-1)</f>
        <v>181561765.077917</v>
      </c>
      <c r="I197" s="25" t="n">
        <f aca="false">C197*((1+D197)^(G197/360)-1)</f>
        <v>184159328.853885</v>
      </c>
      <c r="J197" s="28" t="n">
        <v>206287213.2</v>
      </c>
      <c r="K197" s="25" t="n">
        <f aca="false">IF(ABS(H197-J197)&lt;=ABS(I197-J197),H197-J197,I197-J197)</f>
        <v>-22127884.3461153</v>
      </c>
      <c r="L197" s="26" t="n">
        <f aca="false">K197/J197</f>
        <v>-0.107267357985305</v>
      </c>
      <c r="M197" s="26" t="n">
        <f aca="false">(1+J197/C197)^(365/G197)-1</f>
        <v>0.14351299999672</v>
      </c>
      <c r="N197" s="30" t="str">
        <f aca="false">IF(ABS(L197)&lt;=Resumen!$C$7,"Razonable","Diferencia")</f>
        <v>Diferencia</v>
      </c>
      <c r="O197" s="11" t="s">
        <v>571</v>
      </c>
    </row>
    <row r="198" customFormat="false" ht="25.5" hidden="false" customHeight="true" outlineLevel="0" collapsed="false">
      <c r="A198" s="29" t="s">
        <v>130</v>
      </c>
      <c r="B198" s="11" t="s">
        <v>572</v>
      </c>
      <c r="C198" s="28" t="n">
        <v>1639499992.59</v>
      </c>
      <c r="D198" s="39" t="n">
        <v>0.1494</v>
      </c>
      <c r="E198" s="23" t="n">
        <v>46102</v>
      </c>
      <c r="F198" s="23" t="n">
        <v>46194</v>
      </c>
      <c r="G198" s="25" t="n">
        <f aca="false">F198-E198</f>
        <v>92</v>
      </c>
      <c r="H198" s="25" t="n">
        <f aca="false">C198*((1+D198)^(G198/365)-1)</f>
        <v>58561733.1980925</v>
      </c>
      <c r="I198" s="25" t="n">
        <f aca="false">C198*((1+D198)^(G198/360)-1)</f>
        <v>59389648.7017872</v>
      </c>
      <c r="J198" s="28" t="n">
        <v>59390887.23</v>
      </c>
      <c r="K198" s="25" t="n">
        <f aca="false">IF(ABS(H198-J198)&lt;=ABS(I198-J198),H198-J198,I198-J198)</f>
        <v>-1238.52821275592</v>
      </c>
      <c r="L198" s="26" t="n">
        <f aca="false">K198/J198</f>
        <v>-2.0853842576211E-005</v>
      </c>
      <c r="M198" s="26" t="n">
        <f aca="false">(1+J198/C198)^(365/G198)-1</f>
        <v>0.151628294550968</v>
      </c>
      <c r="N198" s="30" t="str">
        <f aca="false">IF(ABS(L198)&lt;=Resumen!$C$7,"Razonable","Diferencia")</f>
        <v>Razonable</v>
      </c>
      <c r="O198" s="11" t="s">
        <v>573</v>
      </c>
    </row>
    <row r="199" customFormat="false" ht="25.5" hidden="false" customHeight="true" outlineLevel="0" collapsed="false">
      <c r="A199" s="29" t="s">
        <v>131</v>
      </c>
      <c r="B199" s="11" t="s">
        <v>574</v>
      </c>
      <c r="C199" s="25" t="n">
        <f aca="false">H61</f>
        <v>1124999996.41</v>
      </c>
      <c r="D199" s="39" t="n">
        <v>0.1665</v>
      </c>
      <c r="E199" s="23" t="n">
        <v>46167</v>
      </c>
      <c r="F199" s="23" t="n">
        <v>46259</v>
      </c>
      <c r="G199" s="25" t="n">
        <f aca="false">F199-E199</f>
        <v>92</v>
      </c>
      <c r="H199" s="25" t="n">
        <f aca="false">C199*((1+D199)^(G199/365)-1)</f>
        <v>44529396.9469868</v>
      </c>
      <c r="I199" s="25" t="n">
        <f aca="false">C199*((1+D199)^(G199/360)-1)</f>
        <v>45160112.352436</v>
      </c>
      <c r="J199" s="28" t="n">
        <v>45166249.86</v>
      </c>
      <c r="K199" s="25" t="n">
        <f aca="false">IF(ABS(H199-J199)&lt;=ABS(I199-J199),H199-J199,I199-J199)</f>
        <v>-6137.50756401569</v>
      </c>
      <c r="L199" s="26" t="n">
        <f aca="false">K199/J199</f>
        <v>-0.000135887030316661</v>
      </c>
      <c r="M199" s="26" t="n">
        <f aca="false">(1+J199/C199)^(365/G199)-1</f>
        <v>0.169022136812226</v>
      </c>
      <c r="N199" s="30" t="str">
        <f aca="false">IF(ABS(L199)&lt;=Resumen!$C$7,"Razonable","Diferencia")</f>
        <v>Razonable</v>
      </c>
      <c r="O199" s="11" t="s">
        <v>575</v>
      </c>
    </row>
    <row r="200" customFormat="false" ht="25.5" hidden="false" customHeight="true" outlineLevel="0" collapsed="false">
      <c r="A200" s="29" t="s">
        <v>129</v>
      </c>
      <c r="B200" s="11" t="s">
        <v>576</v>
      </c>
      <c r="C200" s="25" t="n">
        <f aca="false">H60</f>
        <v>2999999977.39</v>
      </c>
      <c r="D200" s="39" t="n">
        <v>0.1696</v>
      </c>
      <c r="E200" s="23" t="n">
        <v>46190</v>
      </c>
      <c r="F200" s="23" t="n">
        <v>46220</v>
      </c>
      <c r="G200" s="25" t="n">
        <f aca="false">F200-E200</f>
        <v>30</v>
      </c>
      <c r="H200" s="25" t="n">
        <f aca="false">C200*((1+D200)^(G200/365)-1)</f>
        <v>38878709.2107185</v>
      </c>
      <c r="I200" s="25" t="n">
        <f aca="false">C200*((1+D200)^(G200/360)-1)</f>
        <v>39422223.8319259</v>
      </c>
      <c r="J200" s="28" t="n">
        <v>38894999.71</v>
      </c>
      <c r="K200" s="25" t="n">
        <f aca="false">IF(ABS(H200-J200)&lt;=ABS(I200-J200),H200-J200,I200-J200)</f>
        <v>-16290.4992814809</v>
      </c>
      <c r="L200" s="26" t="n">
        <f aca="false">K200/J200</f>
        <v>-0.000418832739502311</v>
      </c>
      <c r="M200" s="26" t="n">
        <f aca="false">(1+J200/C200)^(365/G200)-1</f>
        <v>0.169676285676148</v>
      </c>
      <c r="N200" s="30" t="str">
        <f aca="false">IF(ABS(L200)&lt;=Resumen!$C$7,"Razonable","Diferencia")</f>
        <v>Razonable</v>
      </c>
      <c r="O200" s="11" t="s">
        <v>577</v>
      </c>
    </row>
    <row r="201" customFormat="false" ht="25.5" hidden="false" customHeight="true" outlineLevel="0" collapsed="false">
      <c r="A201" s="29" t="s">
        <v>132</v>
      </c>
      <c r="B201" s="11" t="s">
        <v>578</v>
      </c>
      <c r="C201" s="28" t="n">
        <v>10000000000</v>
      </c>
      <c r="D201" s="39" t="n">
        <v>0.1239</v>
      </c>
      <c r="E201" s="23" t="n">
        <v>46126</v>
      </c>
      <c r="F201" s="23" t="n">
        <v>46217</v>
      </c>
      <c r="G201" s="25" t="n">
        <f aca="false">F201-E201</f>
        <v>91</v>
      </c>
      <c r="H201" s="25" t="n">
        <f aca="false">C201*((1+D201)^(G201/365)-1)</f>
        <v>295493596.6112</v>
      </c>
      <c r="I201" s="25" t="n">
        <f aca="false">C201*((1+D201)^(G201/360)-1)</f>
        <v>299658564.418011</v>
      </c>
      <c r="J201" s="28" t="n">
        <v>299617500</v>
      </c>
      <c r="K201" s="25" t="n">
        <f aca="false">IF(ABS(H201-J201)&lt;=ABS(I201-J201),H201-J201,I201-J201)</f>
        <v>41064.4180105329</v>
      </c>
      <c r="L201" s="26" t="n">
        <f aca="false">K201/J201</f>
        <v>0.000137056139946875</v>
      </c>
      <c r="M201" s="26" t="n">
        <f aca="false">(1+J201/C201)^(365/G201)-1</f>
        <v>0.125706767782814</v>
      </c>
      <c r="N201" s="30" t="str">
        <f aca="false">IF(ABS(L201)&lt;=Resumen!$C$7,"Razonable","Diferencia")</f>
        <v>Razonable</v>
      </c>
      <c r="O201" s="11" t="s">
        <v>575</v>
      </c>
    </row>
    <row r="202" customFormat="false" ht="25.5" hidden="false" customHeight="true" outlineLevel="0" collapsed="false">
      <c r="A202" s="29" t="s">
        <v>144</v>
      </c>
      <c r="B202" s="11" t="s">
        <v>579</v>
      </c>
      <c r="C202" s="25" t="n">
        <f aca="false">H59</f>
        <v>3333333334</v>
      </c>
      <c r="D202" s="39" t="n">
        <v>0.1417</v>
      </c>
      <c r="E202" s="23" t="n">
        <v>46225</v>
      </c>
      <c r="F202" s="23" t="n">
        <v>46245</v>
      </c>
      <c r="G202" s="25" t="n">
        <f aca="false">F202-E202</f>
        <v>20</v>
      </c>
      <c r="H202" s="25" t="n">
        <f aca="false">C202*((1+D202)^(G202/365)-1)</f>
        <v>24292360.3611409</v>
      </c>
      <c r="I202" s="25" t="n">
        <f aca="false">C202*((1+D202)^(G202/360)-1)</f>
        <v>24630997.7691466</v>
      </c>
      <c r="J202" s="28" t="n">
        <v>24607407</v>
      </c>
      <c r="K202" s="25" t="n">
        <f aca="false">IF(ABS(H202-J202)&lt;=ABS(I202-J202),H202-J202,I202-J202)</f>
        <v>23590.7691466324</v>
      </c>
      <c r="L202" s="26" t="n">
        <f aca="false">K202/J202</f>
        <v>0.000958685697628864</v>
      </c>
      <c r="M202" s="26" t="n">
        <f aca="false">(1+J202/C202)^(365/G202)-1</f>
        <v>0.143656631069129</v>
      </c>
      <c r="N202" s="30" t="str">
        <f aca="false">IF(ABS(L202)&lt;=Resumen!$C$7,"Razonable","Diferencia")</f>
        <v>Razonable</v>
      </c>
      <c r="O202" s="11"/>
    </row>
    <row r="203" customFormat="false" ht="25.5" hidden="false" customHeight="true" outlineLevel="0" collapsed="false">
      <c r="A203" s="29" t="s">
        <v>138</v>
      </c>
      <c r="B203" s="11" t="s">
        <v>580</v>
      </c>
      <c r="C203" s="25" t="n">
        <f aca="false">H66</f>
        <v>1047113003.63</v>
      </c>
      <c r="D203" s="39" t="n">
        <v>0.1604</v>
      </c>
      <c r="E203" s="23" t="n">
        <v>46134</v>
      </c>
      <c r="F203" s="23" t="n">
        <v>46225</v>
      </c>
      <c r="G203" s="25" t="n">
        <f aca="false">F203-E203</f>
        <v>91</v>
      </c>
      <c r="H203" s="25" t="n">
        <f aca="false">C203*((1+D203)^(G203/365)-1)</f>
        <v>39565887.9624642</v>
      </c>
      <c r="I203" s="25" t="n">
        <f aca="false">C203*((1+D203)^(G203/360)-1)</f>
        <v>40125812.1530879</v>
      </c>
      <c r="J203" s="28" t="n">
        <v>39578631.88</v>
      </c>
      <c r="K203" s="25" t="n">
        <f aca="false">IF(ABS(H203-J203)&lt;=ABS(I203-J203),H203-J203,I203-J203)</f>
        <v>-12743.9175358266</v>
      </c>
      <c r="L203" s="26" t="n">
        <f aca="false">K203/J203</f>
        <v>-0.000321989844784563</v>
      </c>
      <c r="M203" s="26" t="n">
        <f aca="false">(1+J203/C203)^(365/G203)-1</f>
        <v>0.160454584405098</v>
      </c>
      <c r="N203" s="30" t="str">
        <f aca="false">IF(ABS(L203)&lt;=Resumen!$C$7,"Razonable","Diferencia")</f>
        <v>Razonable</v>
      </c>
      <c r="O203" s="11"/>
    </row>
    <row r="204" customFormat="false" ht="25.5" hidden="false" customHeight="true" outlineLevel="0" collapsed="false">
      <c r="A204" s="29" t="s">
        <v>136</v>
      </c>
      <c r="B204" s="11" t="s">
        <v>581</v>
      </c>
      <c r="C204" s="25" t="n">
        <f aca="false">H67</f>
        <v>280274638.64</v>
      </c>
      <c r="D204" s="39" t="n">
        <v>0.1425</v>
      </c>
      <c r="E204" s="23" t="n">
        <v>46139</v>
      </c>
      <c r="F204" s="23" t="n">
        <v>46230</v>
      </c>
      <c r="G204" s="25" t="n">
        <f aca="false">F204-E204</f>
        <v>91</v>
      </c>
      <c r="H204" s="25" t="n">
        <f aca="false">C204*((1+D204)^(G204/365)-1)</f>
        <v>9465208.02479805</v>
      </c>
      <c r="I204" s="25" t="n">
        <f aca="false">C204*((1+D204)^(G204/360)-1)</f>
        <v>9598895.30593434</v>
      </c>
      <c r="J204" s="28" t="n">
        <v>9497274.3</v>
      </c>
      <c r="K204" s="25" t="n">
        <f aca="false">IF(ABS(H204-J204)&lt;=ABS(I204-J204),H204-J204,I204-J204)</f>
        <v>-32066.2752019558</v>
      </c>
      <c r="L204" s="26" t="n">
        <f aca="false">K204/J204</f>
        <v>-0.00337636612243113</v>
      </c>
      <c r="M204" s="26" t="n">
        <f aca="false">(1+J204/C204)^(365/G204)-1</f>
        <v>0.143007247985136</v>
      </c>
      <c r="N204" s="30" t="str">
        <f aca="false">IF(ABS(L204)&lt;=Resumen!$C$7,"Razonable","Diferencia")</f>
        <v>Razonable</v>
      </c>
      <c r="O204" s="11"/>
    </row>
    <row r="205" customFormat="false" ht="25.5" hidden="false" customHeight="true" outlineLevel="0" collapsed="false">
      <c r="A205" s="29" t="s">
        <v>135</v>
      </c>
      <c r="B205" s="11" t="s">
        <v>581</v>
      </c>
      <c r="C205" s="25" t="n">
        <f aca="false">H68</f>
        <v>280274638.73</v>
      </c>
      <c r="D205" s="39" t="n">
        <v>0.1425</v>
      </c>
      <c r="E205" s="23" t="n">
        <v>46139</v>
      </c>
      <c r="F205" s="23" t="n">
        <v>46230</v>
      </c>
      <c r="G205" s="25" t="n">
        <f aca="false">F205-E205</f>
        <v>91</v>
      </c>
      <c r="H205" s="25" t="n">
        <f aca="false">C205*((1+D205)^(G205/365)-1)</f>
        <v>9465208.02783745</v>
      </c>
      <c r="I205" s="25" t="n">
        <f aca="false">C205*((1+D205)^(G205/360)-1)</f>
        <v>9598895.30901668</v>
      </c>
      <c r="J205" s="28" t="n">
        <v>9497274.29</v>
      </c>
      <c r="K205" s="25" t="n">
        <f aca="false">IF(ABS(H205-J205)&lt;=ABS(I205-J205),H205-J205,I205-J205)</f>
        <v>-32066.2621625457</v>
      </c>
      <c r="L205" s="26" t="n">
        <f aca="false">K205/J205</f>
        <v>-0.00337636475302281</v>
      </c>
      <c r="M205" s="26" t="n">
        <f aca="false">(1+J205/C205)^(365/G205)-1</f>
        <v>0.143007247778672</v>
      </c>
      <c r="N205" s="30" t="str">
        <f aca="false">IF(ABS(L205)&lt;=Resumen!$C$7,"Razonable","Diferencia")</f>
        <v>Razonable</v>
      </c>
      <c r="O205" s="11"/>
    </row>
    <row r="206" customFormat="false" ht="25.5" hidden="false" customHeight="true" outlineLevel="0" collapsed="false">
      <c r="A206" s="29" t="s">
        <v>134</v>
      </c>
      <c r="B206" s="11" t="s">
        <v>582</v>
      </c>
      <c r="C206" s="25" t="n">
        <f aca="false">H69</f>
        <v>417650348.81</v>
      </c>
      <c r="D206" s="39" t="n">
        <v>0.1422</v>
      </c>
      <c r="E206" s="23" t="n">
        <v>46135</v>
      </c>
      <c r="F206" s="23" t="n">
        <v>46226</v>
      </c>
      <c r="G206" s="25" t="n">
        <f aca="false">F206-E206</f>
        <v>91</v>
      </c>
      <c r="H206" s="25" t="n">
        <f aca="false">C206*((1+D206)^(G206/365)-1)</f>
        <v>14076281.3033142</v>
      </c>
      <c r="I206" s="25" t="n">
        <f aca="false">C206*((1+D206)^(G206/360)-1)</f>
        <v>14275089.1532473</v>
      </c>
      <c r="J206" s="28" t="n">
        <v>14118857.99</v>
      </c>
      <c r="K206" s="25" t="n">
        <f aca="false">IF(ABS(H206-J206)&lt;=ABS(I206-J206),H206-J206,I206-J206)</f>
        <v>-42576.6866857838</v>
      </c>
      <c r="L206" s="26" t="n">
        <f aca="false">K206/J206</f>
        <v>-0.00301558998014851</v>
      </c>
      <c r="M206" s="26" t="n">
        <f aca="false">(1+J206/C206)^(365/G206)-1</f>
        <v>0.142651877930721</v>
      </c>
      <c r="N206" s="30" t="str">
        <f aca="false">IF(ABS(L206)&lt;=Resumen!$C$7,"Razonable","Diferencia")</f>
        <v>Razonable</v>
      </c>
      <c r="O206" s="11"/>
    </row>
    <row r="207" customFormat="false" ht="25.5" hidden="false" customHeight="true" outlineLevel="0" collapsed="false">
      <c r="A207" s="29" t="s">
        <v>133</v>
      </c>
      <c r="B207" s="11" t="s">
        <v>582</v>
      </c>
      <c r="C207" s="25" t="n">
        <f aca="false">H70</f>
        <v>417650348.67</v>
      </c>
      <c r="D207" s="39" t="n">
        <v>0.1422</v>
      </c>
      <c r="E207" s="23" t="n">
        <v>46135</v>
      </c>
      <c r="F207" s="23" t="n">
        <v>46226</v>
      </c>
      <c r="G207" s="25" t="n">
        <f aca="false">F207-E207</f>
        <v>91</v>
      </c>
      <c r="H207" s="25" t="n">
        <f aca="false">C207*((1+D207)^(G207/365)-1)</f>
        <v>14076281.2985957</v>
      </c>
      <c r="I207" s="25" t="n">
        <f aca="false">C207*((1+D207)^(G207/360)-1)</f>
        <v>14275089.1484622</v>
      </c>
      <c r="J207" s="28" t="n">
        <v>14118857.98</v>
      </c>
      <c r="K207" s="25" t="n">
        <f aca="false">IF(ABS(H207-J207)&lt;=ABS(I207-J207),H207-J207,I207-J207)</f>
        <v>-42576.681404274</v>
      </c>
      <c r="L207" s="26" t="n">
        <f aca="false">K207/J207</f>
        <v>-0.00301558960820951</v>
      </c>
      <c r="M207" s="26" t="n">
        <f aca="false">(1+J207/C207)^(365/G207)-1</f>
        <v>0.14265187787481</v>
      </c>
      <c r="N207" s="30" t="str">
        <f aca="false">IF(ABS(L207)&lt;=Resumen!$C$7,"Razonable","Diferencia")</f>
        <v>Razonable</v>
      </c>
      <c r="O207" s="11"/>
    </row>
    <row r="208" customFormat="false" ht="25.5" hidden="false" customHeight="true" outlineLevel="0" collapsed="false">
      <c r="A208" s="29" t="s">
        <v>137</v>
      </c>
      <c r="B208" s="11" t="s">
        <v>583</v>
      </c>
      <c r="C208" s="25" t="n">
        <f aca="false">H71</f>
        <v>417736780.24</v>
      </c>
      <c r="D208" s="39" t="n">
        <v>0.1422</v>
      </c>
      <c r="E208" s="23" t="n">
        <v>46132</v>
      </c>
      <c r="F208" s="23" t="n">
        <v>46223</v>
      </c>
      <c r="G208" s="25" t="n">
        <f aca="false">F208-E208</f>
        <v>91</v>
      </c>
      <c r="H208" s="25" t="n">
        <f aca="false">C208*((1+D208)^(G208/365)-1)</f>
        <v>14079194.3455889</v>
      </c>
      <c r="I208" s="25" t="n">
        <f aca="false">C208*((1+D208)^(G208/360)-1)</f>
        <v>14278043.3381831</v>
      </c>
      <c r="J208" s="28" t="n">
        <v>14121779.84</v>
      </c>
      <c r="K208" s="25" t="n">
        <f aca="false">IF(ABS(H208-J208)&lt;=ABS(I208-J208),H208-J208,I208-J208)</f>
        <v>-42585.4944110811</v>
      </c>
      <c r="L208" s="26" t="n">
        <f aca="false">K208/J208</f>
        <v>-0.0030155897410649</v>
      </c>
      <c r="M208" s="26" t="n">
        <f aca="false">(1+J208/C208)^(365/G208)-1</f>
        <v>0.142651877894781</v>
      </c>
      <c r="N208" s="30" t="str">
        <f aca="false">IF(ABS(L208)&lt;=Resumen!$C$7,"Razonable","Diferencia")</f>
        <v>Razonable</v>
      </c>
      <c r="O208" s="11"/>
    </row>
    <row r="209" customFormat="false" ht="15" hidden="false" customHeight="false" outlineLevel="0" collapsed="false">
      <c r="B209" s="36" t="s">
        <v>101</v>
      </c>
      <c r="J209" s="37" t="n">
        <f aca="false">SUM(J195:J208)</f>
        <v>1612934504.13</v>
      </c>
      <c r="K209" s="37" t="n">
        <f aca="false">SUM(K195:K208)</f>
        <v>-51792495.0698545</v>
      </c>
      <c r="L209" s="43" t="n">
        <f aca="false">K209/J209</f>
        <v>-0.0321107242341442</v>
      </c>
    </row>
    <row r="211" customFormat="false" ht="15" hidden="false" customHeight="false" outlineLevel="0" collapsed="false">
      <c r="A211" s="21" t="s">
        <v>584</v>
      </c>
    </row>
    <row r="212" customFormat="false" ht="39.75" hidden="false" customHeight="true" outlineLevel="0" collapsed="false">
      <c r="A212" s="27" t="s">
        <v>314</v>
      </c>
      <c r="B212" s="27" t="s">
        <v>585</v>
      </c>
      <c r="C212" s="27" t="s">
        <v>586</v>
      </c>
      <c r="D212" s="27" t="s">
        <v>558</v>
      </c>
      <c r="E212" s="27" t="s">
        <v>587</v>
      </c>
      <c r="F212" s="27" t="s">
        <v>316</v>
      </c>
      <c r="G212" s="27" t="s">
        <v>561</v>
      </c>
      <c r="H212" s="27" t="s">
        <v>588</v>
      </c>
      <c r="I212" s="27" t="s">
        <v>589</v>
      </c>
      <c r="J212" s="27" t="s">
        <v>590</v>
      </c>
      <c r="K212" s="27" t="s">
        <v>591</v>
      </c>
      <c r="L212" s="27" t="s">
        <v>592</v>
      </c>
      <c r="M212" s="27" t="s">
        <v>593</v>
      </c>
      <c r="N212" s="27"/>
      <c r="O212" s="27" t="s">
        <v>290</v>
      </c>
    </row>
    <row r="213" customFormat="false" ht="25.5" hidden="false" customHeight="true" outlineLevel="0" collapsed="false">
      <c r="A213" s="29" t="s">
        <v>121</v>
      </c>
      <c r="B213" s="22" t="s">
        <v>594</v>
      </c>
      <c r="C213" s="25" t="n">
        <f aca="false">J57</f>
        <v>7499998503.25</v>
      </c>
      <c r="D213" s="39" t="n">
        <v>0.1551</v>
      </c>
      <c r="E213" s="23" t="n">
        <v>46102</v>
      </c>
      <c r="F213" s="23" t="n">
        <v>46234</v>
      </c>
      <c r="G213" s="25" t="n">
        <f aca="false">F213-E213</f>
        <v>132</v>
      </c>
      <c r="H213" s="28" t="n">
        <v>365</v>
      </c>
      <c r="I213" s="25" t="n">
        <f aca="false">C213*((1+D213)^(G213/H213)-1)</f>
        <v>401458173.071409</v>
      </c>
      <c r="J213" s="25" t="n">
        <f aca="false">SUMIFS(Mayor_Mov!$F$5:$F$445,Mayor_Mov!$N$5:$N$445,A213,Mayor_Mov!$B$5:$B$445,L213,Mayor_Mov!$H$5:$H$445,"&gt;"&amp;M213)-SUMIFS(Mayor_Mov!$E$5:$E$445,Mayor_Mov!$N$5:$N$445,A213,Mayor_Mov!$B$5:$B$445,L213,Mayor_Mov!$H$5:$H$445,"&gt;"&amp;M213)</f>
        <v>372400000</v>
      </c>
      <c r="K213" s="25" t="n">
        <f aca="false">I213-J213</f>
        <v>29058173.0714088</v>
      </c>
      <c r="L213" s="22" t="s">
        <v>277</v>
      </c>
      <c r="M213" s="44" t="n">
        <f aca="false">_xlfn.MAXIFS(Mayor_Mov!$H$5:$H$445,Mayor_Mov!$N$5:$N$445,A213,Mayor_Mov!$B$5:$B$445,L213,Mayor_Mov!$E$5:$E$445,"&gt;1000")</f>
        <v>46105</v>
      </c>
      <c r="O213" s="11" t="s">
        <v>595</v>
      </c>
    </row>
    <row r="214" customFormat="false" ht="25.5" hidden="false" customHeight="true" outlineLevel="0" collapsed="false">
      <c r="A214" s="29" t="s">
        <v>122</v>
      </c>
      <c r="B214" s="22" t="s">
        <v>596</v>
      </c>
      <c r="C214" s="25" t="n">
        <f aca="false">J63</f>
        <v>3959997817.95</v>
      </c>
      <c r="D214" s="26" t="n">
        <f aca="false">INDEX(Detalle_62!$J$14:$J$35,MATCH("DAV-607691",Detalle_62!$C$14:$C$35,0))</f>
        <v>0.160198265625</v>
      </c>
      <c r="E214" s="23" t="n">
        <v>46231</v>
      </c>
      <c r="F214" s="23" t="n">
        <v>46234</v>
      </c>
      <c r="G214" s="25" t="n">
        <f aca="false">F214-E214</f>
        <v>3</v>
      </c>
      <c r="H214" s="28" t="n">
        <v>365</v>
      </c>
      <c r="I214" s="25" t="n">
        <f aca="false">C214*((1+D214)^(G214/H214)-1)</f>
        <v>4839280.59774044</v>
      </c>
      <c r="J214" s="25" t="n">
        <f aca="false">SUMIFS(Mayor_Mov!$F$5:$F$445,Mayor_Mov!$N$5:$N$445,A214,Mayor_Mov!$B$5:$B$445,L214,Mayor_Mov!$H$5:$H$445,"&gt;"&amp;M214)-SUMIFS(Mayor_Mov!$E$5:$E$445,Mayor_Mov!$N$5:$N$445,A214,Mayor_Mov!$B$5:$B$445,L214,Mayor_Mov!$H$5:$H$445,"&gt;"&amp;M214)</f>
        <v>0</v>
      </c>
      <c r="K214" s="25" t="n">
        <f aca="false">I214-J214</f>
        <v>4839280.59774044</v>
      </c>
      <c r="L214" s="22" t="s">
        <v>277</v>
      </c>
      <c r="M214" s="44" t="n">
        <f aca="false">_xlfn.MAXIFS(Mayor_Mov!$H$5:$H$445,Mayor_Mov!$N$5:$N$445,A214,Mayor_Mov!$B$5:$B$445,L214,Mayor_Mov!$E$5:$E$445,"&gt;1000")</f>
        <v>46231</v>
      </c>
      <c r="O214" s="11" t="s">
        <v>597</v>
      </c>
    </row>
    <row r="215" customFormat="false" ht="25.5" hidden="false" customHeight="true" outlineLevel="0" collapsed="false">
      <c r="A215" s="29" t="s">
        <v>120</v>
      </c>
      <c r="B215" s="22" t="s">
        <v>596</v>
      </c>
      <c r="C215" s="25" t="n">
        <f aca="false">J64</f>
        <v>2999995157</v>
      </c>
      <c r="D215" s="26" t="n">
        <f aca="false">INDEX(Detalle_62!$J$14:$J$35,MATCH("DAV-569032",Detalle_62!$C$14:$C$35,0))</f>
        <v>0.160198265625</v>
      </c>
      <c r="E215" s="23" t="n">
        <v>46231</v>
      </c>
      <c r="F215" s="23" t="n">
        <v>46234</v>
      </c>
      <c r="G215" s="25" t="n">
        <f aca="false">F215-E215</f>
        <v>3</v>
      </c>
      <c r="H215" s="28" t="n">
        <v>365</v>
      </c>
      <c r="I215" s="25" t="n">
        <f aca="false">C215*((1+D215)^(G215/H215)-1)</f>
        <v>3666117.76672668</v>
      </c>
      <c r="J215" s="25" t="n">
        <f aca="false">SUMIFS(Mayor_Mov!$F$5:$F$445,Mayor_Mov!$N$5:$N$445,A215,Mayor_Mov!$B$5:$B$445,L215,Mayor_Mov!$H$5:$H$445,"&gt;"&amp;M215)-SUMIFS(Mayor_Mov!$E$5:$E$445,Mayor_Mov!$N$5:$N$445,A215,Mayor_Mov!$B$5:$B$445,L215,Mayor_Mov!$H$5:$H$445,"&gt;"&amp;M215)</f>
        <v>0</v>
      </c>
      <c r="K215" s="25" t="n">
        <f aca="false">I215-J215</f>
        <v>3666117.76672668</v>
      </c>
      <c r="L215" s="22" t="s">
        <v>277</v>
      </c>
      <c r="M215" s="44" t="n">
        <f aca="false">_xlfn.MAXIFS(Mayor_Mov!$H$5:$H$445,Mayor_Mov!$N$5:$N$445,A215,Mayor_Mov!$B$5:$B$445,L215,Mayor_Mov!$E$5:$E$445,"&gt;1000")</f>
        <v>46231</v>
      </c>
      <c r="O215" s="11" t="s">
        <v>598</v>
      </c>
    </row>
    <row r="216" customFormat="false" ht="25.5" hidden="false" customHeight="true" outlineLevel="0" collapsed="false">
      <c r="A216" s="29" t="s">
        <v>142</v>
      </c>
      <c r="B216" s="22" t="s">
        <v>599</v>
      </c>
      <c r="C216" s="25" t="n">
        <f aca="false">SUMIFS(Detalle_62!$F$14:$F$35,Detalle_62!$C$14:$C$35,"BBVA-0141")</f>
        <v>4700000000</v>
      </c>
      <c r="D216" s="26" t="n">
        <f aca="false">INDEX(Detalle_62!$J$14:$J$35,MATCH("BBVA-0141",Detalle_62!$C$14:$C$35,0))</f>
        <v>0.135423288111736</v>
      </c>
      <c r="E216" s="23" t="n">
        <v>46203</v>
      </c>
      <c r="F216" s="23" t="n">
        <v>46234</v>
      </c>
      <c r="G216" s="25" t="n">
        <f aca="false">F216-E216</f>
        <v>31</v>
      </c>
      <c r="H216" s="28" t="n">
        <v>365</v>
      </c>
      <c r="I216" s="25" t="n">
        <f aca="false">C216*((1+D216)^(G216/H216)-1)</f>
        <v>50972239.5760856</v>
      </c>
      <c r="J216" s="25" t="n">
        <f aca="false">SUMIFS(Mayor_Mov!$F$5:$F$445,Mayor_Mov!$N$5:$N$445,A216,Mayor_Mov!$B$5:$B$445,L216,Mayor_Mov!$H$5:$H$445,"&gt;"&amp;M216)-SUMIFS(Mayor_Mov!$E$5:$E$445,Mayor_Mov!$N$5:$N$445,A216,Mayor_Mov!$B$5:$B$445,L216,Mayor_Mov!$H$5:$H$445,"&gt;"&amp;M216)</f>
        <v>0</v>
      </c>
      <c r="K216" s="25" t="n">
        <f aca="false">I216-J216</f>
        <v>50972239.5760856</v>
      </c>
      <c r="L216" s="22" t="s">
        <v>277</v>
      </c>
      <c r="M216" s="44" t="n">
        <f aca="false">_xlfn.MAXIFS(Mayor_Mov!$H$5:$H$445,Mayor_Mov!$N$5:$N$445,A216,Mayor_Mov!$B$5:$B$445,L216,Mayor_Mov!$E$5:$E$445,"&gt;1000")</f>
        <v>46203</v>
      </c>
      <c r="O216" s="11" t="s">
        <v>600</v>
      </c>
    </row>
    <row r="217" customFormat="false" ht="25.5" hidden="false" customHeight="true" outlineLevel="0" collapsed="false">
      <c r="A217" s="29" t="s">
        <v>129</v>
      </c>
      <c r="B217" s="22" t="s">
        <v>594</v>
      </c>
      <c r="C217" s="25" t="n">
        <f aca="false">J60</f>
        <v>2937499977.39</v>
      </c>
      <c r="D217" s="39" t="n">
        <v>0.1696</v>
      </c>
      <c r="E217" s="23" t="n">
        <v>46220</v>
      </c>
      <c r="F217" s="23" t="n">
        <v>46234</v>
      </c>
      <c r="G217" s="25" t="n">
        <f aca="false">F217-E217</f>
        <v>14</v>
      </c>
      <c r="H217" s="28" t="n">
        <v>365</v>
      </c>
      <c r="I217" s="25" t="n">
        <f aca="false">C217*((1+D217)^(G217/H217)-1)</f>
        <v>17704418.3193534</v>
      </c>
      <c r="J217" s="25" t="n">
        <f aca="false">SUMIFS(Mayor_Mov!$F$5:$F$445,Mayor_Mov!$N$5:$N$445,A217,Mayor_Mov!$B$5:$B$445,L217,Mayor_Mov!$H$5:$H$445,"&gt;"&amp;M217)-SUMIFS(Mayor_Mov!$E$5:$E$445,Mayor_Mov!$N$5:$N$445,A217,Mayor_Mov!$B$5:$B$445,L217,Mayor_Mov!$H$5:$H$445,"&gt;"&amp;M217)</f>
        <v>0</v>
      </c>
      <c r="K217" s="25" t="n">
        <f aca="false">I217-J217</f>
        <v>17704418.3193534</v>
      </c>
      <c r="L217" s="22" t="s">
        <v>277</v>
      </c>
      <c r="M217" s="44" t="n">
        <f aca="false">_xlfn.MAXIFS(Mayor_Mov!$H$5:$H$445,Mayor_Mov!$N$5:$N$445,A217,Mayor_Mov!$B$5:$B$445,L217,Mayor_Mov!$E$5:$E$445,"&gt;1000")</f>
        <v>0</v>
      </c>
      <c r="O217" s="11" t="s">
        <v>601</v>
      </c>
    </row>
    <row r="218" customFormat="false" ht="25.5" hidden="false" customHeight="true" outlineLevel="0" collapsed="false">
      <c r="A218" s="29" t="s">
        <v>130</v>
      </c>
      <c r="B218" s="22" t="s">
        <v>594</v>
      </c>
      <c r="C218" s="25" t="n">
        <f aca="false">J58</f>
        <v>1457333325.59</v>
      </c>
      <c r="D218" s="39" t="n">
        <v>0.1494</v>
      </c>
      <c r="E218" s="23" t="n">
        <v>46194</v>
      </c>
      <c r="F218" s="23" t="n">
        <v>46234</v>
      </c>
      <c r="G218" s="25" t="n">
        <f aca="false">F218-E218</f>
        <v>40</v>
      </c>
      <c r="H218" s="28" t="n">
        <v>360</v>
      </c>
      <c r="I218" s="25" t="n">
        <f aca="false">C218*((1+D218)^(G218/H218)-1)</f>
        <v>22721889.9812955</v>
      </c>
      <c r="J218" s="25" t="n">
        <f aca="false">SUMIFS(Mayor_Mov!$F$5:$F$445,Mayor_Mov!$N$5:$N$445,A218,Mayor_Mov!$B$5:$B$445,L218,Mayor_Mov!$H$5:$H$445,"&gt;"&amp;M218)-SUMIFS(Mayor_Mov!$E$5:$E$445,Mayor_Mov!$N$5:$N$445,A218,Mayor_Mov!$B$5:$B$445,L218,Mayor_Mov!$H$5:$H$445,"&gt;"&amp;M218)</f>
        <v>17825616</v>
      </c>
      <c r="K218" s="25" t="n">
        <f aca="false">I218-J218</f>
        <v>4896273.98129553</v>
      </c>
      <c r="L218" s="22" t="s">
        <v>277</v>
      </c>
      <c r="M218" s="44" t="n">
        <f aca="false">_xlfn.MAXIFS(Mayor_Mov!$H$5:$H$445,Mayor_Mov!$N$5:$N$445,A218,Mayor_Mov!$B$5:$B$445,L218,Mayor_Mov!$E$5:$E$445,"&gt;1000")</f>
        <v>46203</v>
      </c>
      <c r="O218" s="11" t="s">
        <v>602</v>
      </c>
    </row>
    <row r="219" customFormat="false" ht="25.5" hidden="false" customHeight="true" outlineLevel="0" collapsed="false">
      <c r="A219" s="29" t="s">
        <v>131</v>
      </c>
      <c r="B219" s="22" t="s">
        <v>594</v>
      </c>
      <c r="C219" s="25" t="n">
        <f aca="false">J61</f>
        <v>1124999996.41</v>
      </c>
      <c r="D219" s="39" t="n">
        <v>0.1665</v>
      </c>
      <c r="E219" s="23" t="n">
        <v>46167</v>
      </c>
      <c r="F219" s="23" t="n">
        <v>46234</v>
      </c>
      <c r="G219" s="25" t="n">
        <f aca="false">F219-E219</f>
        <v>67</v>
      </c>
      <c r="H219" s="28" t="n">
        <v>360</v>
      </c>
      <c r="I219" s="25" t="n">
        <f aca="false">C219*((1+D219)^(G219/H219)-1)</f>
        <v>32711950.3469859</v>
      </c>
      <c r="J219" s="25" t="n">
        <f aca="false">SUMIFS(Mayor_Mov!$F$5:$F$445,Mayor_Mov!$N$5:$N$445,A219,Mayor_Mov!$B$5:$B$445,L219,Mayor_Mov!$H$5:$H$445,"&gt;"&amp;M219)-SUMIFS(Mayor_Mov!$E$5:$E$445,Mayor_Mov!$N$5:$N$445,A219,Mayor_Mov!$B$5:$B$445,L219,Mayor_Mov!$H$5:$H$445,"&gt;"&amp;M219)</f>
        <v>30088126</v>
      </c>
      <c r="K219" s="25" t="n">
        <f aca="false">I219-J219</f>
        <v>2623824.34698591</v>
      </c>
      <c r="L219" s="22" t="s">
        <v>277</v>
      </c>
      <c r="M219" s="44" t="n">
        <f aca="false">_xlfn.MAXIFS(Mayor_Mov!$H$5:$H$445,Mayor_Mov!$N$5:$N$445,A219,Mayor_Mov!$B$5:$B$445,L219,Mayor_Mov!$E$5:$E$445,"&gt;1000")</f>
        <v>46164</v>
      </c>
      <c r="O219" s="11" t="s">
        <v>602</v>
      </c>
    </row>
    <row r="220" customFormat="false" ht="25.5" hidden="false" customHeight="true" outlineLevel="0" collapsed="false">
      <c r="A220" s="29" t="s">
        <v>132</v>
      </c>
      <c r="B220" s="22" t="s">
        <v>603</v>
      </c>
      <c r="C220" s="25" t="n">
        <f aca="false">J62</f>
        <v>10000000000</v>
      </c>
      <c r="D220" s="26" t="n">
        <f aca="false">INDEX(Detalle_62!$J$14:$J$35,MATCH("BOG-1159383796",Detalle_62!$C$14:$C$35,0))</f>
        <v>0.1296288656</v>
      </c>
      <c r="E220" s="23" t="n">
        <v>46225</v>
      </c>
      <c r="F220" s="23" t="n">
        <v>46234</v>
      </c>
      <c r="G220" s="25" t="n">
        <f aca="false">F220-E220</f>
        <v>9</v>
      </c>
      <c r="H220" s="28" t="n">
        <v>360</v>
      </c>
      <c r="I220" s="25" t="n">
        <f aca="false">C220*((1+D220)^(G220/H220)-1)</f>
        <v>30518760.5171553</v>
      </c>
      <c r="J220" s="25" t="n">
        <f aca="false">SUMIFS(Mayor_Mov!$F$5:$F$445,Mayor_Mov!$N$5:$N$445,A220,Mayor_Mov!$B$5:$B$445,L220,Mayor_Mov!$H$5:$H$445,"&gt;"&amp;M220)-SUMIFS(Mayor_Mov!$E$5:$E$445,Mayor_Mov!$N$5:$N$445,A220,Mayor_Mov!$B$5:$B$445,L220,Mayor_Mov!$H$5:$H$445,"&gt;"&amp;M220)</f>
        <v>0</v>
      </c>
      <c r="K220" s="25" t="n">
        <f aca="false">I220-J220</f>
        <v>30518760.5171553</v>
      </c>
      <c r="L220" s="22" t="s">
        <v>277</v>
      </c>
      <c r="M220" s="44" t="n">
        <f aca="false">_xlfn.MAXIFS(Mayor_Mov!$H$5:$H$445,Mayor_Mov!$N$5:$N$445,A220,Mayor_Mov!$B$5:$B$445,L220,Mayor_Mov!$E$5:$E$445,"&gt;1000")</f>
        <v>46230</v>
      </c>
      <c r="O220" s="11" t="s">
        <v>604</v>
      </c>
    </row>
    <row r="221" customFormat="false" ht="25.5" hidden="false" customHeight="true" outlineLevel="0" collapsed="false">
      <c r="A221" s="29" t="s">
        <v>140</v>
      </c>
      <c r="B221" s="22" t="s">
        <v>599</v>
      </c>
      <c r="C221" s="25" t="n">
        <f aca="false">SUMIFS(Detalle_62!$F$14:$F$35,Detalle_62!$C$14:$C$35,"POP-631309940")</f>
        <v>287500000</v>
      </c>
      <c r="D221" s="26" t="n">
        <f aca="false">INDEX(Detalle_62!$J$14:$J$35,MATCH("POP-631309940",Detalle_62!$C$14:$C$35,0))</f>
        <v>0.149386780746296</v>
      </c>
      <c r="E221" s="23" t="n">
        <v>46190</v>
      </c>
      <c r="F221" s="23" t="n">
        <v>46234</v>
      </c>
      <c r="G221" s="25" t="n">
        <f aca="false">F221-E221</f>
        <v>44</v>
      </c>
      <c r="H221" s="28" t="n">
        <v>365</v>
      </c>
      <c r="I221" s="25" t="n">
        <f aca="false">C221*((1+D221)^(G221/H221)-1)</f>
        <v>4866039.68585017</v>
      </c>
      <c r="J221" s="25" t="n">
        <f aca="false">SUMIFS(Mayor_Mov!$F$5:$F$445,Mayor_Mov!$N$5:$N$445,A221,Mayor_Mov!$B$5:$B$445,L221,Mayor_Mov!$H$5:$H$445,"&gt;"&amp;M221)-SUMIFS(Mayor_Mov!$E$5:$E$445,Mayor_Mov!$N$5:$N$445,A221,Mayor_Mov!$B$5:$B$445,L221,Mayor_Mov!$H$5:$H$445,"&gt;"&amp;M221)</f>
        <v>3324938</v>
      </c>
      <c r="K221" s="25" t="n">
        <f aca="false">I221-J221</f>
        <v>1541101.68585017</v>
      </c>
      <c r="L221" s="22" t="s">
        <v>277</v>
      </c>
      <c r="M221" s="44" t="n">
        <f aca="false">_xlfn.MAXIFS(Mayor_Mov!$H$5:$H$445,Mayor_Mov!$N$5:$N$445,A221,Mayor_Mov!$B$5:$B$445,L221,Mayor_Mov!$E$5:$E$445,"&gt;1000")</f>
        <v>46203</v>
      </c>
      <c r="O221" s="11" t="s">
        <v>605</v>
      </c>
    </row>
    <row r="222" customFormat="false" ht="25.5" hidden="false" customHeight="true" outlineLevel="0" collapsed="false">
      <c r="A222" s="29" t="s">
        <v>144</v>
      </c>
      <c r="B222" s="22" t="s">
        <v>594</v>
      </c>
      <c r="C222" s="25" t="n">
        <f aca="false">J59</f>
        <v>3333333334</v>
      </c>
      <c r="D222" s="39" t="n">
        <v>0.1417</v>
      </c>
      <c r="E222" s="23" t="n">
        <v>46225</v>
      </c>
      <c r="F222" s="23" t="n">
        <v>46234</v>
      </c>
      <c r="G222" s="25" t="n">
        <f aca="false">F222-E222</f>
        <v>9</v>
      </c>
      <c r="H222" s="28" t="n">
        <v>365</v>
      </c>
      <c r="I222" s="25" t="n">
        <f aca="false">C222*((1+D222)^(G222/H222)-1)</f>
        <v>10909736.1129754</v>
      </c>
      <c r="J222" s="25" t="n">
        <f aca="false">SUMIFS(Mayor_Mov!$F$5:$F$445,Mayor_Mov!$N$5:$N$445,A222,Mayor_Mov!$B$5:$B$445,L222,Mayor_Mov!$H$5:$H$445,"&gt;"&amp;M222)-SUMIFS(Mayor_Mov!$E$5:$E$445,Mayor_Mov!$N$5:$N$445,A222,Mayor_Mov!$B$5:$B$445,L222,Mayor_Mov!$H$5:$H$445,"&gt;"&amp;M222)</f>
        <v>0</v>
      </c>
      <c r="K222" s="25" t="n">
        <f aca="false">I222-J222</f>
        <v>10909736.1129754</v>
      </c>
      <c r="L222" s="22" t="s">
        <v>277</v>
      </c>
      <c r="M222" s="44" t="n">
        <f aca="false">_xlfn.MAXIFS(Mayor_Mov!$H$5:$H$445,Mayor_Mov!$N$5:$N$445,A222,Mayor_Mov!$B$5:$B$445,L222,Mayor_Mov!$E$5:$E$445,"&gt;1000")</f>
        <v>46231</v>
      </c>
      <c r="O222" s="11" t="s">
        <v>606</v>
      </c>
    </row>
    <row r="223" customFormat="false" ht="25.5" hidden="false" customHeight="true" outlineLevel="0" collapsed="false">
      <c r="A223" s="29" t="s">
        <v>125</v>
      </c>
      <c r="B223" s="22" t="s">
        <v>607</v>
      </c>
      <c r="C223" s="25" t="n">
        <f aca="false">L154</f>
        <v>1876684264</v>
      </c>
      <c r="D223" s="39" t="n">
        <v>0.1441</v>
      </c>
      <c r="E223" s="23" t="n">
        <v>46226</v>
      </c>
      <c r="F223" s="23" t="n">
        <v>46234</v>
      </c>
      <c r="G223" s="25" t="n">
        <f aca="false">F223-E223</f>
        <v>8</v>
      </c>
      <c r="H223" s="28" t="n">
        <v>365</v>
      </c>
      <c r="I223" s="25" t="n">
        <f aca="false">C223*((1+D223)^(G223/H223)-1)</f>
        <v>5545405.40210023</v>
      </c>
      <c r="J223" s="25" t="n">
        <f aca="false">SUMIFS(Mayor_Mov!$F$5:$F$445,Mayor_Mov!$N$5:$N$445,A223,Mayor_Mov!$B$5:$B$445,L223,Mayor_Mov!$H$5:$H$445,"&gt;"&amp;M223)-SUMIFS(Mayor_Mov!$E$5:$E$445,Mayor_Mov!$N$5:$N$445,A223,Mayor_Mov!$B$5:$B$445,L223,Mayor_Mov!$H$5:$H$445,"&gt;"&amp;M223)</f>
        <v>0</v>
      </c>
      <c r="K223" s="25" t="n">
        <f aca="false">I223-J223</f>
        <v>5545405.40210023</v>
      </c>
      <c r="L223" s="22" t="s">
        <v>278</v>
      </c>
      <c r="M223" s="44" t="n">
        <f aca="false">_xlfn.MAXIFS(Mayor_Mov!$H$5:$H$445,Mayor_Mov!$N$5:$N$445,A223,Mayor_Mov!$B$5:$B$445,L223,Mayor_Mov!$E$5:$E$445,"&gt;1000")</f>
        <v>46231</v>
      </c>
      <c r="O223" s="11"/>
    </row>
    <row r="224" customFormat="false" ht="25.5" hidden="false" customHeight="true" outlineLevel="0" collapsed="false">
      <c r="A224" s="29" t="s">
        <v>123</v>
      </c>
      <c r="B224" s="22" t="s">
        <v>607</v>
      </c>
      <c r="C224" s="25" t="n">
        <f aca="false">L152</f>
        <v>399387154</v>
      </c>
      <c r="D224" s="39" t="n">
        <v>0.1603</v>
      </c>
      <c r="E224" s="23" t="n">
        <v>46216</v>
      </c>
      <c r="F224" s="23" t="n">
        <v>46234</v>
      </c>
      <c r="G224" s="25" t="n">
        <f aca="false">F224-E224</f>
        <v>18</v>
      </c>
      <c r="H224" s="28" t="n">
        <v>365</v>
      </c>
      <c r="I224" s="25" t="n">
        <f aca="false">C224*((1+D224)^(G224/H224)-1)</f>
        <v>2939106.2775128</v>
      </c>
      <c r="J224" s="25" t="n">
        <f aca="false">SUMIFS(Mayor_Mov!$F$5:$F$445,Mayor_Mov!$N$5:$N$445,A224,Mayor_Mov!$B$5:$B$445,L224,Mayor_Mov!$H$5:$H$445,"&gt;"&amp;M224)-SUMIFS(Mayor_Mov!$E$5:$E$445,Mayor_Mov!$N$5:$N$445,A224,Mayor_Mov!$B$5:$B$445,L224,Mayor_Mov!$H$5:$H$445,"&gt;"&amp;M224)</f>
        <v>0</v>
      </c>
      <c r="K224" s="25" t="n">
        <f aca="false">I224-J224</f>
        <v>2939106.2775128</v>
      </c>
      <c r="L224" s="22" t="s">
        <v>278</v>
      </c>
      <c r="M224" s="44" t="n">
        <f aca="false">_xlfn.MAXIFS(Mayor_Mov!$H$5:$H$445,Mayor_Mov!$N$5:$N$445,A224,Mayor_Mov!$B$5:$B$445,L224,Mayor_Mov!$E$5:$E$445,"&gt;1000")</f>
        <v>0</v>
      </c>
      <c r="O224" s="11"/>
    </row>
    <row r="225" customFormat="false" ht="25.5" hidden="false" customHeight="true" outlineLevel="0" collapsed="false">
      <c r="A225" s="29" t="s">
        <v>124</v>
      </c>
      <c r="B225" s="22" t="s">
        <v>607</v>
      </c>
      <c r="C225" s="25" t="n">
        <f aca="false">L153</f>
        <v>332999135</v>
      </c>
      <c r="D225" s="39" t="n">
        <v>0.1593</v>
      </c>
      <c r="E225" s="23" t="n">
        <v>46209</v>
      </c>
      <c r="F225" s="23" t="n">
        <v>46234</v>
      </c>
      <c r="G225" s="25" t="n">
        <f aca="false">F225-E225</f>
        <v>25</v>
      </c>
      <c r="H225" s="28" t="n">
        <v>365</v>
      </c>
      <c r="I225" s="25" t="n">
        <f aca="false">C225*((1+D225)^(G225/H225)-1)</f>
        <v>3388544.07316055</v>
      </c>
      <c r="J225" s="25" t="n">
        <f aca="false">SUMIFS(Mayor_Mov!$F$5:$F$445,Mayor_Mov!$N$5:$N$445,A225,Mayor_Mov!$B$5:$B$445,L225,Mayor_Mov!$H$5:$H$445,"&gt;"&amp;M225)-SUMIFS(Mayor_Mov!$E$5:$E$445,Mayor_Mov!$N$5:$N$445,A225,Mayor_Mov!$B$5:$B$445,L225,Mayor_Mov!$H$5:$H$445,"&gt;"&amp;M225)</f>
        <v>0</v>
      </c>
      <c r="K225" s="25" t="n">
        <f aca="false">I225-J225</f>
        <v>3388544.07316055</v>
      </c>
      <c r="L225" s="22" t="s">
        <v>278</v>
      </c>
      <c r="M225" s="44" t="n">
        <f aca="false">_xlfn.MAXIFS(Mayor_Mov!$H$5:$H$445,Mayor_Mov!$N$5:$N$445,A225,Mayor_Mov!$B$5:$B$445,L225,Mayor_Mov!$E$5:$E$445,"&gt;1000")</f>
        <v>0</v>
      </c>
      <c r="O225" s="11"/>
    </row>
    <row r="226" customFormat="false" ht="25.5" hidden="false" customHeight="true" outlineLevel="0" collapsed="false">
      <c r="A226" s="29" t="s">
        <v>138</v>
      </c>
      <c r="B226" s="22" t="s">
        <v>594</v>
      </c>
      <c r="C226" s="25" t="n">
        <f aca="false">J66</f>
        <v>984246886.51</v>
      </c>
      <c r="D226" s="39" t="n">
        <v>0.1604</v>
      </c>
      <c r="E226" s="23" t="n">
        <v>46225</v>
      </c>
      <c r="F226" s="23" t="n">
        <v>46234</v>
      </c>
      <c r="G226" s="25" t="n">
        <f aca="false">F226-E226</f>
        <v>9</v>
      </c>
      <c r="H226" s="28" t="n">
        <v>365</v>
      </c>
      <c r="I226" s="25" t="n">
        <f aca="false">C226*((1+D226)^(G226/H226)-1)</f>
        <v>3617017.21971566</v>
      </c>
      <c r="J226" s="25" t="n">
        <f aca="false">SUMIFS(Mayor_Mov!$F$5:$F$445,Mayor_Mov!$N$5:$N$445,A226,Mayor_Mov!$B$5:$B$445,L226,Mayor_Mov!$H$5:$H$445,"&gt;"&amp;M226)-SUMIFS(Mayor_Mov!$E$5:$E$445,Mayor_Mov!$N$5:$N$445,A226,Mayor_Mov!$B$5:$B$445,L226,Mayor_Mov!$H$5:$H$445,"&gt;"&amp;M226)</f>
        <v>0</v>
      </c>
      <c r="K226" s="25" t="n">
        <f aca="false">I226-J226</f>
        <v>3617017.21971566</v>
      </c>
      <c r="L226" s="22" t="s">
        <v>278</v>
      </c>
      <c r="M226" s="44" t="n">
        <f aca="false">_xlfn.MAXIFS(Mayor_Mov!$H$5:$H$445,Mayor_Mov!$N$5:$N$445,A226,Mayor_Mov!$B$5:$B$445,L226,Mayor_Mov!$E$5:$E$445,"&gt;1000")</f>
        <v>46231</v>
      </c>
      <c r="O226" s="11"/>
    </row>
    <row r="227" customFormat="false" ht="25.5" hidden="false" customHeight="true" outlineLevel="0" collapsed="false">
      <c r="A227" s="29" t="s">
        <v>136</v>
      </c>
      <c r="B227" s="22" t="s">
        <v>594</v>
      </c>
      <c r="C227" s="25" t="n">
        <f aca="false">J67</f>
        <v>253672104.94</v>
      </c>
      <c r="D227" s="39" t="n">
        <v>0.1425</v>
      </c>
      <c r="E227" s="23" t="n">
        <v>46230</v>
      </c>
      <c r="F227" s="23" t="n">
        <v>46234</v>
      </c>
      <c r="G227" s="25" t="n">
        <f aca="false">F227-E227</f>
        <v>4</v>
      </c>
      <c r="H227" s="28" t="n">
        <v>365</v>
      </c>
      <c r="I227" s="25" t="n">
        <f aca="false">C227*((1+D227)^(G227/H227)-1)</f>
        <v>370614.629483698</v>
      </c>
      <c r="J227" s="25" t="n">
        <f aca="false">SUMIFS(Mayor_Mov!$F$5:$F$445,Mayor_Mov!$N$5:$N$445,A227,Mayor_Mov!$B$5:$B$445,L227,Mayor_Mov!$H$5:$H$445,"&gt;"&amp;M227)-SUMIFS(Mayor_Mov!$E$5:$E$445,Mayor_Mov!$N$5:$N$445,A227,Mayor_Mov!$B$5:$B$445,L227,Mayor_Mov!$H$5:$H$445,"&gt;"&amp;M227)</f>
        <v>0</v>
      </c>
      <c r="K227" s="25" t="n">
        <f aca="false">I227-J227</f>
        <v>370614.629483698</v>
      </c>
      <c r="L227" s="22" t="s">
        <v>278</v>
      </c>
      <c r="M227" s="44" t="n">
        <f aca="false">_xlfn.MAXIFS(Mayor_Mov!$H$5:$H$445,Mayor_Mov!$N$5:$N$445,A227,Mayor_Mov!$B$5:$B$445,L227,Mayor_Mov!$E$5:$E$445,"&gt;1000")</f>
        <v>46230</v>
      </c>
      <c r="O227" s="11"/>
    </row>
    <row r="228" customFormat="false" ht="25.5" hidden="false" customHeight="true" outlineLevel="0" collapsed="false">
      <c r="A228" s="29" t="s">
        <v>135</v>
      </c>
      <c r="B228" s="22" t="s">
        <v>594</v>
      </c>
      <c r="C228" s="25" t="n">
        <f aca="false">J68</f>
        <v>253672105.02</v>
      </c>
      <c r="D228" s="39" t="n">
        <v>0.1425</v>
      </c>
      <c r="E228" s="23" t="n">
        <v>46230</v>
      </c>
      <c r="F228" s="23" t="n">
        <v>46234</v>
      </c>
      <c r="G228" s="25" t="n">
        <f aca="false">F228-E228</f>
        <v>4</v>
      </c>
      <c r="H228" s="28" t="n">
        <v>365</v>
      </c>
      <c r="I228" s="25" t="n">
        <f aca="false">C228*((1+D228)^(G228/H228)-1)</f>
        <v>370614.629600578</v>
      </c>
      <c r="J228" s="25" t="n">
        <f aca="false">SUMIFS(Mayor_Mov!$F$5:$F$445,Mayor_Mov!$N$5:$N$445,A228,Mayor_Mov!$B$5:$B$445,L228,Mayor_Mov!$H$5:$H$445,"&gt;"&amp;M228)-SUMIFS(Mayor_Mov!$E$5:$E$445,Mayor_Mov!$N$5:$N$445,A228,Mayor_Mov!$B$5:$B$445,L228,Mayor_Mov!$H$5:$H$445,"&gt;"&amp;M228)</f>
        <v>0</v>
      </c>
      <c r="K228" s="25" t="n">
        <f aca="false">I228-J228</f>
        <v>370614.629600578</v>
      </c>
      <c r="L228" s="22" t="s">
        <v>278</v>
      </c>
      <c r="M228" s="44" t="n">
        <f aca="false">_xlfn.MAXIFS(Mayor_Mov!$H$5:$H$445,Mayor_Mov!$N$5:$N$445,A228,Mayor_Mov!$B$5:$B$445,L228,Mayor_Mov!$E$5:$E$445,"&gt;1000")</f>
        <v>46230</v>
      </c>
      <c r="O228" s="11"/>
    </row>
    <row r="229" customFormat="false" ht="25.5" hidden="false" customHeight="true" outlineLevel="0" collapsed="false">
      <c r="A229" s="29" t="s">
        <v>134</v>
      </c>
      <c r="B229" s="22" t="s">
        <v>594</v>
      </c>
      <c r="C229" s="25" t="n">
        <f aca="false">J69</f>
        <v>396112029.8</v>
      </c>
      <c r="D229" s="39" t="n">
        <v>0.1422</v>
      </c>
      <c r="E229" s="23" t="n">
        <v>46226</v>
      </c>
      <c r="F229" s="23" t="n">
        <v>46234</v>
      </c>
      <c r="G229" s="25" t="n">
        <f aca="false">F229-E229</f>
        <v>8</v>
      </c>
      <c r="H229" s="28" t="n">
        <v>365</v>
      </c>
      <c r="I229" s="25" t="n">
        <f aca="false">C229*((1+D229)^(G229/H229)-1)</f>
        <v>1155997.19975989</v>
      </c>
      <c r="J229" s="25" t="n">
        <f aca="false">SUMIFS(Mayor_Mov!$F$5:$F$445,Mayor_Mov!$N$5:$N$445,A229,Mayor_Mov!$B$5:$B$445,L229,Mayor_Mov!$H$5:$H$445,"&gt;"&amp;M229)-SUMIFS(Mayor_Mov!$E$5:$E$445,Mayor_Mov!$N$5:$N$445,A229,Mayor_Mov!$B$5:$B$445,L229,Mayor_Mov!$H$5:$H$445,"&gt;"&amp;M229)</f>
        <v>0</v>
      </c>
      <c r="K229" s="25" t="n">
        <f aca="false">I229-J229</f>
        <v>1155997.19975989</v>
      </c>
      <c r="L229" s="22" t="s">
        <v>278</v>
      </c>
      <c r="M229" s="44" t="n">
        <f aca="false">_xlfn.MAXIFS(Mayor_Mov!$H$5:$H$445,Mayor_Mov!$N$5:$N$445,A229,Mayor_Mov!$B$5:$B$445,L229,Mayor_Mov!$E$5:$E$445,"&gt;1000")</f>
        <v>46231</v>
      </c>
      <c r="O229" s="11"/>
    </row>
    <row r="230" customFormat="false" ht="25.5" hidden="false" customHeight="true" outlineLevel="0" collapsed="false">
      <c r="A230" s="29" t="s">
        <v>133</v>
      </c>
      <c r="B230" s="22" t="s">
        <v>594</v>
      </c>
      <c r="C230" s="25" t="n">
        <f aca="false">J70</f>
        <v>396112029.65</v>
      </c>
      <c r="D230" s="39" t="n">
        <v>0.1422</v>
      </c>
      <c r="E230" s="23" t="n">
        <v>46226</v>
      </c>
      <c r="F230" s="23" t="n">
        <v>46234</v>
      </c>
      <c r="G230" s="25" t="n">
        <f aca="false">F230-E230</f>
        <v>8</v>
      </c>
      <c r="H230" s="28" t="n">
        <v>365</v>
      </c>
      <c r="I230" s="25" t="n">
        <f aca="false">C230*((1+D230)^(G230/H230)-1)</f>
        <v>1155997.19932213</v>
      </c>
      <c r="J230" s="25" t="n">
        <f aca="false">SUMIFS(Mayor_Mov!$F$5:$F$445,Mayor_Mov!$N$5:$N$445,A230,Mayor_Mov!$B$5:$B$445,L230,Mayor_Mov!$H$5:$H$445,"&gt;"&amp;M230)-SUMIFS(Mayor_Mov!$E$5:$E$445,Mayor_Mov!$N$5:$N$445,A230,Mayor_Mov!$B$5:$B$445,L230,Mayor_Mov!$H$5:$H$445,"&gt;"&amp;M230)</f>
        <v>0</v>
      </c>
      <c r="K230" s="25" t="n">
        <f aca="false">I230-J230</f>
        <v>1155997.19932213</v>
      </c>
      <c r="L230" s="22" t="s">
        <v>278</v>
      </c>
      <c r="M230" s="44" t="n">
        <f aca="false">_xlfn.MAXIFS(Mayor_Mov!$H$5:$H$445,Mayor_Mov!$N$5:$N$445,A230,Mayor_Mov!$B$5:$B$445,L230,Mayor_Mov!$E$5:$E$445,"&gt;1000")</f>
        <v>46231</v>
      </c>
      <c r="O230" s="11"/>
    </row>
    <row r="231" customFormat="false" ht="25.5" hidden="false" customHeight="true" outlineLevel="0" collapsed="false">
      <c r="A231" s="29" t="s">
        <v>137</v>
      </c>
      <c r="B231" s="22" t="s">
        <v>594</v>
      </c>
      <c r="C231" s="25" t="n">
        <f aca="false">J71</f>
        <v>396193942.08</v>
      </c>
      <c r="D231" s="39" t="n">
        <v>0.1422</v>
      </c>
      <c r="E231" s="23" t="n">
        <v>46223</v>
      </c>
      <c r="F231" s="23" t="n">
        <v>46234</v>
      </c>
      <c r="G231" s="25" t="n">
        <f aca="false">F231-E231</f>
        <v>11</v>
      </c>
      <c r="H231" s="28" t="n">
        <v>365</v>
      </c>
      <c r="I231" s="25" t="n">
        <f aca="false">C231*((1+D231)^(G231/H231)-1)</f>
        <v>1590694.25438737</v>
      </c>
      <c r="J231" s="25" t="n">
        <f aca="false">SUMIFS(Mayor_Mov!$F$5:$F$445,Mayor_Mov!$N$5:$N$445,A231,Mayor_Mov!$B$5:$B$445,L231,Mayor_Mov!$H$5:$H$445,"&gt;"&amp;M231)-SUMIFS(Mayor_Mov!$E$5:$E$445,Mayor_Mov!$N$5:$N$445,A231,Mayor_Mov!$B$5:$B$445,L231,Mayor_Mov!$H$5:$H$445,"&gt;"&amp;M231)</f>
        <v>0</v>
      </c>
      <c r="K231" s="25" t="n">
        <f aca="false">I231-J231</f>
        <v>1590694.25438737</v>
      </c>
      <c r="L231" s="22" t="s">
        <v>278</v>
      </c>
      <c r="M231" s="44" t="n">
        <f aca="false">_xlfn.MAXIFS(Mayor_Mov!$H$5:$H$445,Mayor_Mov!$N$5:$N$445,A231,Mayor_Mov!$B$5:$B$445,L231,Mayor_Mov!$E$5:$E$445,"&gt;1000")</f>
        <v>46231</v>
      </c>
      <c r="O231" s="11"/>
    </row>
    <row r="232" customFormat="false" ht="25.5" hidden="false" customHeight="true" outlineLevel="0" collapsed="false">
      <c r="A232" s="29" t="s">
        <v>145</v>
      </c>
      <c r="B232" s="22" t="s">
        <v>608</v>
      </c>
      <c r="C232" s="25" t="n">
        <f aca="false">L169</f>
        <v>448477372</v>
      </c>
      <c r="D232" s="26" t="n">
        <f aca="false">INDEX(Detalle_62!$J$14:$J$35,MATCH("BCL-L362095",Detalle_62!$C$14:$C$35,0))</f>
        <v>0.156382742125655</v>
      </c>
      <c r="E232" s="23" t="n">
        <v>46203</v>
      </c>
      <c r="F232" s="23" t="n">
        <v>46234</v>
      </c>
      <c r="G232" s="25" t="n">
        <f aca="false">F232-E232</f>
        <v>31</v>
      </c>
      <c r="H232" s="28" t="n">
        <v>365</v>
      </c>
      <c r="I232" s="25" t="n">
        <f aca="false">C232*((1+D232)^(G232/H232)-1)</f>
        <v>5568623.41062859</v>
      </c>
      <c r="J232" s="25" t="n">
        <f aca="false">SUMIFS(Mayor_Mov!$F$5:$F$445,Mayor_Mov!$N$5:$N$445,A232,Mayor_Mov!$B$5:$B$445,L232,Mayor_Mov!$H$5:$H$445,"&gt;"&amp;M232)-SUMIFS(Mayor_Mov!$E$5:$E$445,Mayor_Mov!$N$5:$N$445,A232,Mayor_Mov!$B$5:$B$445,L232,Mayor_Mov!$H$5:$H$445,"&gt;"&amp;M232)</f>
        <v>3750337</v>
      </c>
      <c r="K232" s="25" t="n">
        <f aca="false">I232-J232</f>
        <v>1818286.41062859</v>
      </c>
      <c r="L232" s="22" t="s">
        <v>278</v>
      </c>
      <c r="M232" s="44" t="n">
        <f aca="false">_xlfn.MAXIFS(Mayor_Mov!$H$5:$H$445,Mayor_Mov!$N$5:$N$445,A232,Mayor_Mov!$B$5:$B$445,L232,Mayor_Mov!$E$5:$E$445,"&gt;1000")</f>
        <v>46203</v>
      </c>
      <c r="O232" s="11" t="s">
        <v>609</v>
      </c>
    </row>
    <row r="233" customFormat="false" ht="25.5" hidden="false" customHeight="true" outlineLevel="0" collapsed="false">
      <c r="A233" s="29" t="s">
        <v>146</v>
      </c>
      <c r="B233" s="22" t="s">
        <v>608</v>
      </c>
      <c r="C233" s="25" t="n">
        <f aca="false">L170</f>
        <v>787729700</v>
      </c>
      <c r="D233" s="26" t="n">
        <f aca="false">INDEX(Detalle_62!$J$14:$J$35,MATCH("BCL-L336817",Detalle_62!$C$14:$C$35,0))</f>
        <v>0.157948891345503</v>
      </c>
      <c r="E233" s="23" t="n">
        <v>46222</v>
      </c>
      <c r="F233" s="23" t="n">
        <v>46234</v>
      </c>
      <c r="G233" s="25" t="n">
        <f aca="false">F233-E233</f>
        <v>12</v>
      </c>
      <c r="H233" s="28" t="n">
        <v>365</v>
      </c>
      <c r="I233" s="25" t="n">
        <f aca="false">C233*((1+D233)^(G233/H233)-1)</f>
        <v>3807112.91633949</v>
      </c>
      <c r="J233" s="25" t="n">
        <f aca="false">SUMIFS(Mayor_Mov!$F$5:$F$445,Mayor_Mov!$N$5:$N$445,A233,Mayor_Mov!$B$5:$B$445,L233,Mayor_Mov!$H$5:$H$445,"&gt;"&amp;M233)-SUMIFS(Mayor_Mov!$E$5:$E$445,Mayor_Mov!$N$5:$N$445,A233,Mayor_Mov!$B$5:$B$445,L233,Mayor_Mov!$H$5:$H$445,"&gt;"&amp;M233)</f>
        <v>0</v>
      </c>
      <c r="K233" s="25" t="n">
        <f aca="false">I233-J233</f>
        <v>3807112.91633949</v>
      </c>
      <c r="L233" s="22" t="s">
        <v>278</v>
      </c>
      <c r="M233" s="44" t="n">
        <f aca="false">_xlfn.MAXIFS(Mayor_Mov!$H$5:$H$445,Mayor_Mov!$N$5:$N$445,A233,Mayor_Mov!$B$5:$B$445,L233,Mayor_Mov!$E$5:$E$445,"&gt;1000")</f>
        <v>0</v>
      </c>
      <c r="O233" s="11" t="s">
        <v>610</v>
      </c>
    </row>
    <row r="234" customFormat="false" ht="25.5" hidden="false" customHeight="true" outlineLevel="0" collapsed="false">
      <c r="A234" s="29" t="s">
        <v>147</v>
      </c>
      <c r="B234" s="22" t="s">
        <v>608</v>
      </c>
      <c r="C234" s="25" t="n">
        <f aca="false">L171</f>
        <v>488525504</v>
      </c>
      <c r="D234" s="26" t="n">
        <f aca="false">INDEX(Detalle_62!$J$14:$J$35,MATCH("BCL-L331330",Detalle_62!$C$14:$C$35,0))</f>
        <v>0.164255943222499</v>
      </c>
      <c r="E234" s="23" t="n">
        <v>46212</v>
      </c>
      <c r="F234" s="23" t="n">
        <v>46234</v>
      </c>
      <c r="G234" s="25" t="n">
        <f aca="false">F234-E234</f>
        <v>22</v>
      </c>
      <c r="H234" s="28" t="n">
        <v>365</v>
      </c>
      <c r="I234" s="25" t="n">
        <f aca="false">C234*((1+D234)^(G234/H234)-1)</f>
        <v>4498704.71647143</v>
      </c>
      <c r="J234" s="25" t="n">
        <f aca="false">SUMIFS(Mayor_Mov!$F$5:$F$445,Mayor_Mov!$N$5:$N$445,A234,Mayor_Mov!$B$5:$B$445,L234,Mayor_Mov!$H$5:$H$445,"&gt;"&amp;M234)-SUMIFS(Mayor_Mov!$E$5:$E$445,Mayor_Mov!$N$5:$N$445,A234,Mayor_Mov!$B$5:$B$445,L234,Mayor_Mov!$H$5:$H$445,"&gt;"&amp;M234)</f>
        <v>0</v>
      </c>
      <c r="K234" s="25" t="n">
        <f aca="false">I234-J234</f>
        <v>4498704.71647143</v>
      </c>
      <c r="L234" s="22" t="s">
        <v>278</v>
      </c>
      <c r="M234" s="44" t="n">
        <f aca="false">_xlfn.MAXIFS(Mayor_Mov!$H$5:$H$445,Mayor_Mov!$N$5:$N$445,A234,Mayor_Mov!$B$5:$B$445,L234,Mayor_Mov!$E$5:$E$445,"&gt;1000")</f>
        <v>0</v>
      </c>
      <c r="O234" s="11" t="s">
        <v>611</v>
      </c>
    </row>
    <row r="235" customFormat="false" ht="25.5" hidden="false" customHeight="true" outlineLevel="0" collapsed="false">
      <c r="A235" s="29" t="s">
        <v>148</v>
      </c>
      <c r="B235" s="22" t="s">
        <v>612</v>
      </c>
      <c r="C235" s="25" t="n">
        <f aca="false">SUMIFS(Mayor_Mov!$F$5:$F$445,Mayor_Mov!$N$5:$N$445,"BCL-L386735")</f>
        <v>675837500</v>
      </c>
      <c r="D235" s="26" t="n">
        <f aca="false">(1+(Detalle_62!$B$6+0.0135)/4)^4-1</f>
        <v>0.137775314543555</v>
      </c>
      <c r="E235" s="23" t="n">
        <v>46231</v>
      </c>
      <c r="F235" s="23" t="n">
        <v>46234</v>
      </c>
      <c r="G235" s="25" t="n">
        <f aca="false">F235-E235</f>
        <v>3</v>
      </c>
      <c r="H235" s="28" t="n">
        <v>365</v>
      </c>
      <c r="I235" s="25" t="n">
        <f aca="false">C235*((1+D235)^(G235/H235)-1)</f>
        <v>717369.299115863</v>
      </c>
      <c r="J235" s="25" t="n">
        <f aca="false">SUMIFS(Mayor_Mov!$F$5:$F$445,Mayor_Mov!$N$5:$N$445,A235,Mayor_Mov!$B$5:$B$445,L235,Mayor_Mov!$H$5:$H$445,"&gt;"&amp;M235)-SUMIFS(Mayor_Mov!$E$5:$E$445,Mayor_Mov!$N$5:$N$445,A235,Mayor_Mov!$B$5:$B$445,L235,Mayor_Mov!$H$5:$H$445,"&gt;"&amp;M235)</f>
        <v>0</v>
      </c>
      <c r="K235" s="25" t="n">
        <f aca="false">I235-J235</f>
        <v>717369.299115863</v>
      </c>
      <c r="L235" s="22" t="s">
        <v>278</v>
      </c>
      <c r="M235" s="44" t="n">
        <f aca="false">_xlfn.MAXIFS(Mayor_Mov!$H$5:$H$445,Mayor_Mov!$N$5:$N$445,A235,Mayor_Mov!$B$5:$B$445,L235,Mayor_Mov!$E$5:$E$445,"&gt;1000")</f>
        <v>0</v>
      </c>
      <c r="O235" s="11" t="s">
        <v>613</v>
      </c>
    </row>
    <row r="236" customFormat="false" ht="15" hidden="false" customHeight="false" outlineLevel="0" collapsed="false">
      <c r="B236" s="36" t="s">
        <v>101</v>
      </c>
      <c r="I236" s="37" t="n">
        <f aca="false">SUM(I213:I235)</f>
        <v>615094407.203176</v>
      </c>
      <c r="J236" s="37" t="n">
        <f aca="false">SUM(J213:J235)</f>
        <v>427389017</v>
      </c>
      <c r="K236" s="37" t="n">
        <f aca="false">SUM(K213:K235)</f>
        <v>187705390.203176</v>
      </c>
    </row>
    <row r="237" customFormat="false" ht="15" hidden="false" customHeight="false" outlineLevel="0" collapsed="false">
      <c r="B237" s="22" t="s">
        <v>614</v>
      </c>
      <c r="I237" s="25" t="n">
        <f aca="false">SUMIFS(I213:I235,$L$213:$L$235,"21300101")</f>
        <v>580368605.975577</v>
      </c>
      <c r="J237" s="25" t="n">
        <f aca="false">SUMIFS(J213:J235,$L$213:$L$235,"21300101")</f>
        <v>423638680</v>
      </c>
      <c r="K237" s="25" t="n">
        <f aca="false">SUMIFS(K213:K235,$L$213:$L$235,"21300101")</f>
        <v>156729925.975577</v>
      </c>
    </row>
    <row r="238" customFormat="false" ht="15" hidden="false" customHeight="false" outlineLevel="0" collapsed="false">
      <c r="B238" s="22" t="s">
        <v>615</v>
      </c>
      <c r="I238" s="25" t="n">
        <f aca="false">SUMIFS(I213:I235,$L$213:$L$235,"21300102")</f>
        <v>34725801.2275983</v>
      </c>
      <c r="J238" s="25" t="n">
        <f aca="false">SUMIFS(J213:J235,$L$213:$L$235,"21300102")</f>
        <v>3750337</v>
      </c>
      <c r="K238" s="25" t="n">
        <f aca="false">SUMIFS(K213:K235,$L$213:$L$235,"21300102")</f>
        <v>30975464.2275983</v>
      </c>
    </row>
    <row r="239" customFormat="false" ht="15" hidden="false" customHeight="false" outlineLevel="0" collapsed="false">
      <c r="B239" s="22" t="s">
        <v>616</v>
      </c>
      <c r="J239" s="25" t="n">
        <f aca="false">-Balance_21!$F$25</f>
        <v>427389017.16</v>
      </c>
    </row>
    <row r="240" customFormat="false" ht="15" hidden="false" customHeight="false" outlineLevel="0" collapsed="false">
      <c r="B240" s="22" t="s">
        <v>617</v>
      </c>
      <c r="J240" s="25" t="n">
        <f aca="false">J236-J239</f>
        <v>-0.160000026226044</v>
      </c>
      <c r="K240" s="20" t="s">
        <v>618</v>
      </c>
    </row>
    <row r="242" customFormat="false" ht="15" hidden="false" customHeight="false" outlineLevel="0" collapsed="false">
      <c r="A242" s="21" t="s">
        <v>619</v>
      </c>
    </row>
    <row r="243" customFormat="false" ht="39.75" hidden="false" customHeight="true" outlineLevel="0" collapsed="false">
      <c r="A243" s="27" t="s">
        <v>314</v>
      </c>
      <c r="B243" s="27" t="s">
        <v>620</v>
      </c>
      <c r="C243" s="27" t="s">
        <v>621</v>
      </c>
      <c r="D243" s="27" t="s">
        <v>558</v>
      </c>
      <c r="E243" s="27" t="s">
        <v>559</v>
      </c>
      <c r="F243" s="27" t="s">
        <v>560</v>
      </c>
      <c r="G243" s="27" t="s">
        <v>561</v>
      </c>
      <c r="H243" s="27" t="s">
        <v>622</v>
      </c>
      <c r="I243" s="27" t="s">
        <v>623</v>
      </c>
      <c r="J243" s="27" t="s">
        <v>624</v>
      </c>
      <c r="K243" s="27" t="s">
        <v>107</v>
      </c>
      <c r="L243" s="27" t="s">
        <v>625</v>
      </c>
      <c r="M243" s="27"/>
      <c r="N243" s="27"/>
      <c r="O243" s="27" t="s">
        <v>290</v>
      </c>
    </row>
    <row r="244" customFormat="false" ht="20.85" hidden="false" customHeight="false" outlineLevel="0" collapsed="false">
      <c r="A244" s="29" t="s">
        <v>125</v>
      </c>
      <c r="B244" s="22" t="s">
        <v>626</v>
      </c>
      <c r="C244" s="28" t="n">
        <v>64041851</v>
      </c>
      <c r="D244" s="39" t="n">
        <v>0.1441</v>
      </c>
      <c r="E244" s="23" t="n">
        <v>46135</v>
      </c>
      <c r="F244" s="23" t="n">
        <v>46226</v>
      </c>
      <c r="G244" s="25" t="n">
        <f aca="false">F244-E244</f>
        <v>91</v>
      </c>
      <c r="H244" s="25" t="n">
        <f aca="false">C244/((1+D244)^(G244/365)-1)</f>
        <v>1876302602.58705</v>
      </c>
      <c r="I244" s="28" t="n">
        <v>0</v>
      </c>
      <c r="J244" s="25" t="n">
        <f aca="false">H244-I244</f>
        <v>1876302602.58705</v>
      </c>
      <c r="K244" s="25" t="n">
        <f aca="false">SUMIFS(Detalle_62!$F$14:$F$35,Detalle_62!$C$14:$C$35,A244)</f>
        <v>1883712218.08706</v>
      </c>
      <c r="L244" s="25" t="n">
        <f aca="false">K244-J244</f>
        <v>7409615.50000811</v>
      </c>
      <c r="O244" s="11" t="s">
        <v>627</v>
      </c>
    </row>
    <row r="245" customFormat="false" ht="20.85" hidden="false" customHeight="false" outlineLevel="0" collapsed="false">
      <c r="A245" s="29" t="s">
        <v>123</v>
      </c>
      <c r="B245" s="22" t="s">
        <v>628</v>
      </c>
      <c r="C245" s="28" t="n">
        <v>5062372</v>
      </c>
      <c r="D245" s="39" t="n">
        <v>0.1603</v>
      </c>
      <c r="E245" s="23" t="n">
        <v>46184</v>
      </c>
      <c r="F245" s="23" t="n">
        <v>46216</v>
      </c>
      <c r="G245" s="25" t="n">
        <f aca="false">F245-E245</f>
        <v>32</v>
      </c>
      <c r="H245" s="25" t="n">
        <f aca="false">C245/((1+D245)^(G245/365)-1)</f>
        <v>385846839.882521</v>
      </c>
      <c r="I245" s="28" t="n">
        <v>12327298</v>
      </c>
      <c r="J245" s="25" t="n">
        <f aca="false">H245-I245</f>
        <v>373519541.882521</v>
      </c>
      <c r="K245" s="25" t="n">
        <f aca="false">SUMIFS(Detalle_62!$F$14:$F$35,Detalle_62!$C$14:$C$35,A245)</f>
        <v>398582167.21439</v>
      </c>
      <c r="L245" s="25" t="n">
        <f aca="false">K245-J245</f>
        <v>25062625.3318693</v>
      </c>
      <c r="O245" s="11" t="s">
        <v>627</v>
      </c>
    </row>
    <row r="246" customFormat="false" ht="20.85" hidden="false" customHeight="false" outlineLevel="0" collapsed="false">
      <c r="A246" s="29" t="s">
        <v>124</v>
      </c>
      <c r="B246" s="22" t="s">
        <v>629</v>
      </c>
      <c r="C246" s="28" t="n">
        <v>4177893</v>
      </c>
      <c r="D246" s="39" t="n">
        <v>0.1593</v>
      </c>
      <c r="E246" s="23" t="n">
        <v>46178</v>
      </c>
      <c r="F246" s="23" t="n">
        <v>46209</v>
      </c>
      <c r="G246" s="25" t="n">
        <f aca="false">F246-E246</f>
        <v>31</v>
      </c>
      <c r="H246" s="25" t="n">
        <f aca="false">C246/((1+D246)^(G246/365)-1)</f>
        <v>330702105.858094</v>
      </c>
      <c r="I246" s="28" t="n">
        <v>8867342</v>
      </c>
      <c r="J246" s="25" t="n">
        <f aca="false">H246-I246</f>
        <v>321834763.858094</v>
      </c>
      <c r="K246" s="25" t="n">
        <f aca="false">SUMIFS(Detalle_62!$F$14:$F$35,Detalle_62!$C$14:$C$35,A246)</f>
        <v>323529688.533944</v>
      </c>
      <c r="L246" s="25" t="n">
        <f aca="false">K246-J246</f>
        <v>1694924.67585093</v>
      </c>
      <c r="O246" s="11" t="s">
        <v>627</v>
      </c>
    </row>
    <row r="247" customFormat="false" ht="15" hidden="false" customHeight="false" outlineLevel="0" collapsed="false">
      <c r="B247" s="36" t="s">
        <v>101</v>
      </c>
      <c r="J247" s="37" t="n">
        <f aca="false">SUM(J244:J246)</f>
        <v>2571656908.32766</v>
      </c>
      <c r="K247" s="37" t="n">
        <f aca="false">SUM(K244:K246)</f>
        <v>2605824073.83539</v>
      </c>
      <c r="L247" s="37" t="n">
        <f aca="false">SUM(L244:L246)</f>
        <v>34167165.5077283</v>
      </c>
    </row>
  </sheetData>
  <mergeCells count="11">
    <mergeCell ref="G34:M34"/>
    <mergeCell ref="G35:M35"/>
    <mergeCell ref="G36:M36"/>
    <mergeCell ref="G37:M37"/>
    <mergeCell ref="G38:M38"/>
    <mergeCell ref="G39:M39"/>
    <mergeCell ref="G40:M40"/>
    <mergeCell ref="G41:M41"/>
    <mergeCell ref="G42:M42"/>
    <mergeCell ref="G43:M43"/>
    <mergeCell ref="D46:H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20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5" min="4" style="0" width="20"/>
    <col collapsed="false" customWidth="true" hidden="false" outlineLevel="0" max="6" min="6" style="0" width="15"/>
    <col collapsed="false" customWidth="true" hidden="false" outlineLevel="0" max="8" min="7" style="0" width="17"/>
    <col collapsed="false" customWidth="true" hidden="false" outlineLevel="0" max="9" min="9" style="0" width="26"/>
    <col collapsed="false" customWidth="true" hidden="false" outlineLevel="0" max="10" min="10" style="0" width="17"/>
    <col collapsed="false" customWidth="true" hidden="false" outlineLevel="0" max="12" min="11" style="0" width="13"/>
    <col collapsed="false" customWidth="true" hidden="false" outlineLevel="0" max="13" min="13" style="0" width="16"/>
    <col collapsed="false" customWidth="true" hidden="false" outlineLevel="0" max="15" min="14" style="0" width="17"/>
    <col collapsed="false" customWidth="true" hidden="false" outlineLevel="0" max="16" min="16" style="0" width="15"/>
    <col collapsed="false" customWidth="true" hidden="false" outlineLevel="0" max="17" min="17" style="0" width="17"/>
    <col collapsed="false" customWidth="true" hidden="false" outlineLevel="0" max="18" min="18" style="0" width="15"/>
    <col collapsed="false" customWidth="true" hidden="false" outlineLevel="0" max="20" min="19" style="0" width="16"/>
    <col collapsed="false" customWidth="true" hidden="false" outlineLevel="0" max="21" min="21" style="0" width="15"/>
    <col collapsed="false" customWidth="true" hidden="false" outlineLevel="0" max="23" min="22" style="0" width="16"/>
    <col collapsed="false" customWidth="true" hidden="false" outlineLevel="0" max="25" min="24" style="0" width="15"/>
    <col collapsed="false" customWidth="true" hidden="false" outlineLevel="0" max="27" min="26" style="0" width="17"/>
    <col collapsed="false" customWidth="true" hidden="false" outlineLevel="0" max="28" min="28" style="0" width="60"/>
  </cols>
  <sheetData>
    <row r="1" customFormat="false" ht="15" hidden="false" customHeight="false" outlineLevel="0" collapsed="false">
      <c r="A1" s="31" t="s">
        <v>630</v>
      </c>
    </row>
    <row r="2" customFormat="false" ht="15" hidden="false" customHeight="false" outlineLevel="0" collapsed="false">
      <c r="A2" s="32" t="s">
        <v>631</v>
      </c>
    </row>
    <row r="3" customFormat="false" ht="15" hidden="false" customHeight="false" outlineLevel="0" collapsed="false">
      <c r="A3" s="32" t="s">
        <v>632</v>
      </c>
    </row>
    <row r="4" customFormat="false" ht="15" hidden="false" customHeight="false" outlineLevel="0" collapsed="false">
      <c r="A4" s="32" t="s">
        <v>633</v>
      </c>
    </row>
    <row r="6" customFormat="false" ht="15" hidden="false" customHeight="false" outlineLevel="0" collapsed="false">
      <c r="A6" s="33" t="s">
        <v>634</v>
      </c>
    </row>
    <row r="7" customFormat="false" ht="15" hidden="false" customHeight="false" outlineLevel="0" collapsed="false">
      <c r="A7" s="34" t="s">
        <v>635</v>
      </c>
    </row>
    <row r="8" customFormat="false" ht="15" hidden="false" customHeight="false" outlineLevel="0" collapsed="false">
      <c r="A8" s="19" t="s">
        <v>636</v>
      </c>
    </row>
    <row r="9" customFormat="false" ht="15" hidden="false" customHeight="false" outlineLevel="0" collapsed="false">
      <c r="A9" s="20" t="s">
        <v>637</v>
      </c>
    </row>
    <row r="11" customFormat="false" ht="55.5" hidden="false" customHeight="true" outlineLevel="0" collapsed="false">
      <c r="A11" s="27" t="s">
        <v>314</v>
      </c>
      <c r="B11" s="27" t="s">
        <v>638</v>
      </c>
      <c r="C11" s="27" t="s">
        <v>639</v>
      </c>
      <c r="D11" s="27" t="s">
        <v>162</v>
      </c>
      <c r="E11" s="27" t="s">
        <v>474</v>
      </c>
      <c r="F11" s="27" t="s">
        <v>381</v>
      </c>
      <c r="G11" s="27" t="s">
        <v>640</v>
      </c>
      <c r="H11" s="27" t="s">
        <v>641</v>
      </c>
      <c r="I11" s="27" t="s">
        <v>642</v>
      </c>
      <c r="J11" s="27" t="s">
        <v>643</v>
      </c>
      <c r="K11" s="27" t="s">
        <v>644</v>
      </c>
      <c r="L11" s="27" t="s">
        <v>645</v>
      </c>
      <c r="M11" s="27" t="s">
        <v>646</v>
      </c>
      <c r="N11" s="27" t="s">
        <v>647</v>
      </c>
      <c r="O11" s="27" t="s">
        <v>107</v>
      </c>
      <c r="P11" s="27" t="s">
        <v>648</v>
      </c>
      <c r="Q11" s="27" t="s">
        <v>649</v>
      </c>
      <c r="R11" s="27" t="s">
        <v>511</v>
      </c>
      <c r="S11" s="27" t="s">
        <v>650</v>
      </c>
      <c r="T11" s="27" t="s">
        <v>651</v>
      </c>
      <c r="U11" s="27" t="s">
        <v>652</v>
      </c>
      <c r="V11" s="27" t="s">
        <v>653</v>
      </c>
      <c r="W11" s="27" t="s">
        <v>654</v>
      </c>
      <c r="X11" s="27" t="s">
        <v>655</v>
      </c>
      <c r="Y11" s="27" t="s">
        <v>656</v>
      </c>
      <c r="Z11" s="27" t="s">
        <v>657</v>
      </c>
      <c r="AA11" s="27" t="s">
        <v>658</v>
      </c>
      <c r="AB11" s="27" t="s">
        <v>659</v>
      </c>
    </row>
    <row r="12" customFormat="false" ht="48" hidden="false" customHeight="true" outlineLevel="0" collapsed="false">
      <c r="A12" s="29" t="s">
        <v>123</v>
      </c>
      <c r="B12" s="22" t="s">
        <v>660</v>
      </c>
      <c r="C12" s="45" t="s">
        <v>661</v>
      </c>
      <c r="D12" s="22" t="s">
        <v>512</v>
      </c>
      <c r="E12" s="22" t="s">
        <v>662</v>
      </c>
      <c r="F12" s="22" t="s">
        <v>388</v>
      </c>
      <c r="G12" s="25" t="n">
        <f aca="false">C52</f>
        <v>726630000</v>
      </c>
      <c r="H12" s="41" t="n">
        <f aca="false">C53</f>
        <v>45210</v>
      </c>
      <c r="I12" s="42" t="str">
        <f aca="false">C54</f>
        <v>60 MESES – IBR+4%</v>
      </c>
      <c r="J12" s="46" t="n">
        <f aca="false">IF(ISNUMBER(C55),C55,"Por fila")</f>
        <v>0.0133570443058773</v>
      </c>
      <c r="K12" s="46" t="n">
        <f aca="false">IFERROR(C56,"N/A")</f>
        <v>0.013357044305877</v>
      </c>
      <c r="L12" s="40" t="n">
        <f aca="false">IF(AND(ISNUMBER(J12),ISNUMBER(K12)),(K12-J12)*10000,"N/A")</f>
        <v>-2.61943244872498E-012</v>
      </c>
      <c r="M12" s="41" t="n">
        <f aca="false">I52</f>
        <v>46214</v>
      </c>
      <c r="N12" s="25" t="n">
        <f aca="false">I53</f>
        <v>398582167.21439</v>
      </c>
      <c r="O12" s="25" t="n">
        <f aca="false">IF(COUNTIF(Detalle_62!$C$14:$C$35,A12)&gt;0,SUMIFS(Detalle_62!$F$14:$F$35,Detalle_62!$C$14:$C$35,A12),"No está")</f>
        <v>398582167.21439</v>
      </c>
      <c r="P12" s="25" t="n">
        <f aca="false">IF(ISNUMBER(O12),N12-O12,"N/A")</f>
        <v>0</v>
      </c>
      <c r="Q12" s="25" t="n">
        <f aca="false">IFERROR(INDEX(Pruebas_Auditoria!$L$144:$L$183,MATCH("DAV-L1019441",Pruebas_Auditoria!$A$144:$A$183,0)),"N/D")</f>
        <v>399387154</v>
      </c>
      <c r="R12" s="25" t="n">
        <f aca="false">IF(ISNUMBER(Q12),N12-Q12,"N/D")</f>
        <v>-804986.78561002</v>
      </c>
      <c r="S12" s="25" t="n">
        <f aca="false">I55</f>
        <v>41709581.6713573</v>
      </c>
      <c r="T12" s="25" t="n">
        <f aca="false">IFERROR(INDEX(Intereses_x_Obligacion!$I:$I,MATCH("DAV-L1019441",Intereses_x_Obligacion!$A:$A,0)),"N/D")</f>
        <v>31222019</v>
      </c>
      <c r="U12" s="25" t="n">
        <f aca="false">IF(ISNUMBER(T12),T12-S12,"N/D")</f>
        <v>-10487562.6713573</v>
      </c>
      <c r="V12" s="25" t="n">
        <f aca="false">MAX(I56,0)</f>
        <v>159681765.768447</v>
      </c>
      <c r="W12" s="25" t="n">
        <f aca="false">IF(COUNTIF(Detalle_62!$C$14:$C$35,A12)&gt;0,SUMIFS(Detalle_62!$M$14:$M$35,Detalle_62!$C$14:$C$35,A12),"No está")</f>
        <v>194846536</v>
      </c>
      <c r="X12" s="25" t="n">
        <f aca="false">IF(ISNUMBER(W12),V12-W12,"N/A")</f>
        <v>-35164770.2315533</v>
      </c>
      <c r="Y12" s="25" t="n">
        <f aca="false">I57</f>
        <v>7.45058059692383E-009</v>
      </c>
      <c r="Z12" s="22" t="s">
        <v>100</v>
      </c>
      <c r="AA12" s="22" t="s">
        <v>100</v>
      </c>
      <c r="AB12" s="11" t="s">
        <v>663</v>
      </c>
    </row>
    <row r="13" customFormat="false" ht="48" hidden="false" customHeight="true" outlineLevel="0" collapsed="false">
      <c r="A13" s="29" t="s">
        <v>124</v>
      </c>
      <c r="B13" s="22" t="s">
        <v>664</v>
      </c>
      <c r="C13" s="45" t="s">
        <v>665</v>
      </c>
      <c r="D13" s="22" t="s">
        <v>512</v>
      </c>
      <c r="E13" s="22" t="s">
        <v>666</v>
      </c>
      <c r="F13" s="22" t="s">
        <v>388</v>
      </c>
      <c r="G13" s="25" t="n">
        <f aca="false">C128</f>
        <v>560790000</v>
      </c>
      <c r="H13" s="41" t="n">
        <f aca="false">C129</f>
        <v>45265</v>
      </c>
      <c r="I13" s="42" t="str">
        <f aca="false">C130</f>
        <v>60 MESES – IBR+4%</v>
      </c>
      <c r="J13" s="46" t="n">
        <f aca="false">IF(ISNUMBER(C131),C131,"Por fila")</f>
        <v>0.0126667070727526</v>
      </c>
      <c r="K13" s="46" t="n">
        <f aca="false">IFERROR(C132,"N/A")</f>
        <v>0.0126667070726281</v>
      </c>
      <c r="L13" s="40" t="n">
        <f aca="false">IF(AND(ISNUMBER(J13),ISNUMBER(K13)),(K13-J13)*10000,"N/A")</f>
        <v>-1.24495899700428E-009</v>
      </c>
      <c r="M13" s="41" t="n">
        <f aca="false">I128</f>
        <v>46208</v>
      </c>
      <c r="N13" s="25" t="n">
        <f aca="false">I129</f>
        <v>323529688.533944</v>
      </c>
      <c r="O13" s="25" t="n">
        <f aca="false">IF(COUNTIF(Detalle_62!$C$14:$C$35,A13)&gt;0,SUMIFS(Detalle_62!$F$14:$F$35,Detalle_62!$C$14:$C$35,A13),"No está")</f>
        <v>323529688.533944</v>
      </c>
      <c r="P13" s="25" t="n">
        <f aca="false">IF(ISNUMBER(O13),N13-O13,"N/A")</f>
        <v>0</v>
      </c>
      <c r="Q13" s="25" t="n">
        <f aca="false">IFERROR(INDEX(Pruebas_Auditoria!$L$144:$L$183,MATCH("DAV-L1019448",Pruebas_Auditoria!$A$144:$A$183,0)),"N/D")</f>
        <v>332999135</v>
      </c>
      <c r="R13" s="25" t="n">
        <f aca="false">IF(ISNUMBER(Q13),N13-Q13,"N/D")</f>
        <v>-9469446.46605557</v>
      </c>
      <c r="S13" s="25" t="n">
        <f aca="false">I131</f>
        <v>31864025.6207989</v>
      </c>
      <c r="T13" s="25" t="n">
        <f aca="false">IFERROR(INDEX(Intereses_x_Obligacion!$I:$I,MATCH("DAV-L1019448",Intereses_x_Obligacion!$A:$A,0)),"N/D")</f>
        <v>25643813</v>
      </c>
      <c r="U13" s="25" t="n">
        <f aca="false">IF(ISNUMBER(T13),T13-S13,"N/D")</f>
        <v>-6220212.62079893</v>
      </c>
      <c r="V13" s="25" t="n">
        <f aca="false">MAX(I132,0)</f>
        <v>119739145.958007</v>
      </c>
      <c r="W13" s="25" t="n">
        <f aca="false">IF(COUNTIF(Detalle_62!$C$14:$C$35,A13)&gt;0,SUMIFS(Detalle_62!$M$14:$M$35,Detalle_62!$C$14:$C$35,A13),"No está")</f>
        <v>142014647.455294</v>
      </c>
      <c r="X13" s="25" t="n">
        <f aca="false">IF(ISNUMBER(W13),V13-W13,"N/A")</f>
        <v>-22275501.4972866</v>
      </c>
      <c r="Y13" s="25" t="n">
        <f aca="false">I133</f>
        <v>9.49949026107788E-008</v>
      </c>
      <c r="Z13" s="22" t="s">
        <v>100</v>
      </c>
      <c r="AA13" s="22" t="s">
        <v>100</v>
      </c>
      <c r="AB13" s="11" t="s">
        <v>667</v>
      </c>
    </row>
    <row r="14" customFormat="false" ht="48" hidden="false" customHeight="true" outlineLevel="0" collapsed="false">
      <c r="A14" s="29" t="s">
        <v>125</v>
      </c>
      <c r="B14" s="22" t="s">
        <v>668</v>
      </c>
      <c r="C14" s="45" t="s">
        <v>669</v>
      </c>
      <c r="D14" s="22" t="s">
        <v>512</v>
      </c>
      <c r="E14" s="22" t="s">
        <v>670</v>
      </c>
      <c r="F14" s="22" t="s">
        <v>388</v>
      </c>
      <c r="G14" s="25" t="n">
        <f aca="false">C204</f>
        <v>1876684264</v>
      </c>
      <c r="H14" s="41" t="n">
        <f aca="false">C205</f>
        <v>45679</v>
      </c>
      <c r="I14" s="42" t="str">
        <f aca="false">C206</f>
        <v>84 MESES – IBR TV + 2,3</v>
      </c>
      <c r="J14" s="46" t="n">
        <f aca="false">IF(ISNUMBER(C207),C207,"Por fila")</f>
        <v>0.0273627142719182</v>
      </c>
      <c r="K14" s="46" t="n">
        <f aca="false">IFERROR(C208,"N/A")</f>
        <v>0.0273627142719176</v>
      </c>
      <c r="L14" s="40" t="n">
        <f aca="false">IF(AND(ISNUMBER(J14),ISNUMBER(K14)),(K14-J14)*10000,"N/A")</f>
        <v>-5.41233724504764E-012</v>
      </c>
      <c r="M14" s="41" t="n">
        <f aca="false">I204</f>
        <v>46225</v>
      </c>
      <c r="N14" s="25" t="n">
        <f aca="false">I205</f>
        <v>1883712218.08706</v>
      </c>
      <c r="O14" s="25" t="n">
        <f aca="false">IF(COUNTIF(Detalle_62!$C$14:$C$35,A14)&gt;0,SUMIFS(Detalle_62!$F$14:$F$35,Detalle_62!$C$14:$C$35,A14),"No está")</f>
        <v>1883712218.08706</v>
      </c>
      <c r="P14" s="25" t="n">
        <f aca="false">IF(ISNUMBER(O14),N14-O14,"N/A")</f>
        <v>0</v>
      </c>
      <c r="Q14" s="25" t="n">
        <f aca="false">IFERROR(INDEX(Pruebas_Auditoria!$L$144:$L$183,MATCH("DAV-L1021275",Pruebas_Auditoria!$A$144:$A$183,0)),"N/D")</f>
        <v>1876684264</v>
      </c>
      <c r="R14" s="25" t="n">
        <f aca="false">IF(ISNUMBER(Q14),N14-Q14,"N/D")</f>
        <v>7027954.08705711</v>
      </c>
      <c r="S14" s="25" t="n">
        <f aca="false">I207</f>
        <v>154428550.826659</v>
      </c>
      <c r="T14" s="25" t="n">
        <f aca="false">IFERROR(INDEX(Intereses_x_Obligacion!$I:$I,MATCH("DAV-L1021275",Intereses_x_Obligacion!$A:$A,0)),"N/D")</f>
        <v>138538864</v>
      </c>
      <c r="U14" s="25" t="n">
        <f aca="false">IF(ISNUMBER(T14),T14-S14,"N/D")</f>
        <v>-15889686.8266591</v>
      </c>
      <c r="V14" s="25" t="n">
        <f aca="false">MAX(I208,0)</f>
        <v>0</v>
      </c>
      <c r="W14" s="25" t="n">
        <f aca="false">IF(COUNTIF(Detalle_62!$C$14:$C$35,A14)&gt;0,SUMIFS(Detalle_62!$M$14:$M$35,Detalle_62!$C$14:$C$35,A14),"No está")</f>
        <v>0</v>
      </c>
      <c r="X14" s="25" t="n">
        <f aca="false">IF(ISNUMBER(W14),V14-W14,"N/A")</f>
        <v>0</v>
      </c>
      <c r="Y14" s="25" t="n">
        <f aca="false">I209</f>
        <v>0</v>
      </c>
      <c r="Z14" s="22" t="s">
        <v>100</v>
      </c>
      <c r="AA14" s="22" t="s">
        <v>100</v>
      </c>
      <c r="AB14" s="11" t="s">
        <v>671</v>
      </c>
    </row>
    <row r="15" customFormat="false" ht="48" hidden="false" customHeight="true" outlineLevel="0" collapsed="false">
      <c r="A15" s="29" t="s">
        <v>121</v>
      </c>
      <c r="B15" s="22" t="s">
        <v>672</v>
      </c>
      <c r="C15" s="45" t="s">
        <v>673</v>
      </c>
      <c r="D15" s="22" t="s">
        <v>512</v>
      </c>
      <c r="E15" s="22" t="s">
        <v>674</v>
      </c>
      <c r="F15" s="22" t="s">
        <v>170</v>
      </c>
      <c r="G15" s="25" t="n">
        <f aca="false">C248</f>
        <v>7500000000</v>
      </c>
      <c r="H15" s="41" t="n">
        <f aca="false">C249</f>
        <v>45372</v>
      </c>
      <c r="I15" s="42" t="str">
        <f aca="false">C250</f>
        <v>240 meses – IBR 6MESES + 3</v>
      </c>
      <c r="J15" s="46" t="str">
        <f aca="false">IF(ISNUMBER(C251),C251,"Por fila")</f>
        <v>Por fila</v>
      </c>
      <c r="K15" s="46" t="str">
        <f aca="false">IFERROR(C252,"N/A")</f>
        <v>N/A</v>
      </c>
      <c r="L15" s="40" t="str">
        <f aca="false">IF(AND(ISNUMBER(J15),ISNUMBER(K15)),(K15-J15)*10000,"N/A")</f>
        <v>N/A</v>
      </c>
      <c r="M15" s="41" t="n">
        <f aca="false">I248</f>
        <v>46224</v>
      </c>
      <c r="N15" s="25" t="n">
        <f aca="false">I249</f>
        <v>7500000000</v>
      </c>
      <c r="O15" s="25" t="n">
        <f aca="false">IF(COUNTIF(Detalle_62!$C$14:$C$35,A15)&gt;0,SUMIFS(Detalle_62!$F$14:$F$35,Detalle_62!$C$14:$C$35,A15),"No está")</f>
        <v>7500000000</v>
      </c>
      <c r="P15" s="25" t="n">
        <f aca="false">IF(ISNUMBER(O15),N15-O15,"N/A")</f>
        <v>0</v>
      </c>
      <c r="Q15" s="25" t="n">
        <f aca="false">IFERROR(INDEX(Pruebas_Auditoria!$L$144:$L$183,MATCH("DAV-830624",Pruebas_Auditoria!$A$144:$A$183,0)),"N/D")</f>
        <v>7499998503.25</v>
      </c>
      <c r="R15" s="25" t="n">
        <f aca="false">IF(ISNUMBER(Q15),N15-Q15,"N/D")</f>
        <v>1496.75</v>
      </c>
      <c r="S15" s="25" t="n">
        <f aca="false">I251</f>
        <v>639243750</v>
      </c>
      <c r="T15" s="25" t="n">
        <f aca="false">IFERROR(INDEX(Intereses_x_Obligacion!$I:$I,MATCH("DAV-830624",Intereses_x_Obligacion!$A:$A,0)),"N/D")</f>
        <v>586251750</v>
      </c>
      <c r="U15" s="25" t="n">
        <f aca="false">IF(ISNUMBER(T15),T15-S15,"N/D")</f>
        <v>-52992000</v>
      </c>
      <c r="V15" s="25" t="n">
        <f aca="false">MAX(I252,0)</f>
        <v>0</v>
      </c>
      <c r="W15" s="25" t="n">
        <f aca="false">IF(COUNTIF(Detalle_62!$C$14:$C$35,A15)&gt;0,SUMIFS(Detalle_62!$M$14:$M$35,Detalle_62!$C$14:$C$35,A15),"No está")</f>
        <v>0</v>
      </c>
      <c r="X15" s="25" t="n">
        <f aca="false">IF(ISNUMBER(W15),V15-W15,"N/A")</f>
        <v>0</v>
      </c>
      <c r="Y15" s="25" t="n">
        <f aca="false">I253</f>
        <v>3.57627868652344E-007</v>
      </c>
      <c r="Z15" s="28" t="n">
        <v>5259837500</v>
      </c>
      <c r="AA15" s="25" t="n">
        <f aca="false">IF(ISNUMBER(Z15),Z15-N15,"N/A")</f>
        <v>-2240162500</v>
      </c>
      <c r="AB15" s="11" t="s">
        <v>675</v>
      </c>
    </row>
    <row r="16" customFormat="false" ht="48" hidden="false" customHeight="true" outlineLevel="0" collapsed="false">
      <c r="A16" s="29" t="s">
        <v>122</v>
      </c>
      <c r="B16" s="22" t="s">
        <v>676</v>
      </c>
      <c r="C16" s="45" t="s">
        <v>677</v>
      </c>
      <c r="D16" s="22" t="s">
        <v>512</v>
      </c>
      <c r="E16" s="22" t="s">
        <v>678</v>
      </c>
      <c r="F16" s="22" t="s">
        <v>170</v>
      </c>
      <c r="G16" s="25" t="n">
        <f aca="false">C504</f>
        <v>3960000000</v>
      </c>
      <c r="H16" s="41" t="n">
        <f aca="false">C505</f>
        <v>44405</v>
      </c>
      <c r="I16" s="42" t="str">
        <f aca="false">C506</f>
        <v>240 meses – IBR 6MESES +3,4</v>
      </c>
      <c r="J16" s="46" t="str">
        <f aca="false">IF(ISNUMBER(C507),C507,"Por fila")</f>
        <v>Por fila</v>
      </c>
      <c r="K16" s="46" t="str">
        <f aca="false">IFERROR(C508,"N/A")</f>
        <v>N/A</v>
      </c>
      <c r="L16" s="40" t="str">
        <f aca="false">IF(AND(ISNUMBER(J16),ISNUMBER(K16)),(K16-J16)*10000,"N/A")</f>
        <v>N/A</v>
      </c>
      <c r="M16" s="41" t="n">
        <f aca="false">I504</f>
        <v>46231</v>
      </c>
      <c r="N16" s="25" t="n">
        <f aca="false">I505</f>
        <v>3960000000</v>
      </c>
      <c r="O16" s="25" t="n">
        <f aca="false">IF(COUNTIF(Detalle_62!$C$14:$C$35,A16)&gt;0,SUMIFS(Detalle_62!$F$14:$F$35,Detalle_62!$C$14:$C$35,A16),"No está")</f>
        <v>3960000000</v>
      </c>
      <c r="P16" s="25" t="n">
        <f aca="false">IF(ISNUMBER(O16),N16-O16,"N/A")</f>
        <v>0</v>
      </c>
      <c r="Q16" s="25" t="n">
        <f aca="false">IFERROR(INDEX(Pruebas_Auditoria!$L$144:$L$183,MATCH("DAV-607691",Pruebas_Auditoria!$A$144:$A$183,0)),"N/D")</f>
        <v>3959997817.95</v>
      </c>
      <c r="R16" s="25" t="n">
        <f aca="false">IF(ISNUMBER(Q16),N16-Q16,"N/D")</f>
        <v>2182.0499997139</v>
      </c>
      <c r="S16" s="25" t="n">
        <f aca="false">I507</f>
        <v>346760700</v>
      </c>
      <c r="T16" s="25" t="n">
        <f aca="false">IFERROR(INDEX(Intereses_x_Obligacion!$I:$I,MATCH("DAV-607691",Intereses_x_Obligacion!$A:$A,0)),"N/D")</f>
        <v>309646400</v>
      </c>
      <c r="U16" s="25" t="n">
        <f aca="false">IF(ISNUMBER(T16),T16-S16,"N/D")</f>
        <v>-37114300</v>
      </c>
      <c r="V16" s="25" t="n">
        <f aca="false">MAX(I508,0)</f>
        <v>0</v>
      </c>
      <c r="W16" s="25" t="n">
        <f aca="false">IF(COUNTIF(Detalle_62!$C$14:$C$35,A16)&gt;0,SUMIFS(Detalle_62!$M$14:$M$35,Detalle_62!$C$14:$C$35,A16),"No está")</f>
        <v>0</v>
      </c>
      <c r="X16" s="25" t="n">
        <f aca="false">IF(ISNUMBER(W16),V16-W16,"N/A")</f>
        <v>0</v>
      </c>
      <c r="Y16" s="25" t="n">
        <f aca="false">I509</f>
        <v>2.14576721191406E-006</v>
      </c>
      <c r="Z16" s="28" t="n">
        <v>4234722992.17794</v>
      </c>
      <c r="AA16" s="25" t="n">
        <f aca="false">IF(ISNUMBER(Z16),Z16-N16,"N/A")</f>
        <v>274722992.177936</v>
      </c>
      <c r="AB16" s="11" t="s">
        <v>679</v>
      </c>
    </row>
    <row r="17" customFormat="false" ht="48" hidden="false" customHeight="true" outlineLevel="0" collapsed="false">
      <c r="A17" s="29" t="s">
        <v>120</v>
      </c>
      <c r="B17" s="22" t="s">
        <v>680</v>
      </c>
      <c r="C17" s="45" t="s">
        <v>681</v>
      </c>
      <c r="D17" s="22" t="s">
        <v>512</v>
      </c>
      <c r="E17" s="22" t="s">
        <v>682</v>
      </c>
      <c r="F17" s="22" t="s">
        <v>170</v>
      </c>
      <c r="G17" s="25" t="n">
        <f aca="false">C760</f>
        <v>3000000000</v>
      </c>
      <c r="H17" s="41" t="n">
        <f aca="false">C761</f>
        <v>44405</v>
      </c>
      <c r="I17" s="42" t="str">
        <f aca="false">C762</f>
        <v>240 meses – IBR 6MESES +3,4</v>
      </c>
      <c r="J17" s="46" t="str">
        <f aca="false">IF(ISNUMBER(C763),C763,"Por fila")</f>
        <v>Por fila</v>
      </c>
      <c r="K17" s="46" t="str">
        <f aca="false">IFERROR(C764,"N/A")</f>
        <v>N/A</v>
      </c>
      <c r="L17" s="40" t="str">
        <f aca="false">IF(AND(ISNUMBER(J17),ISNUMBER(K17)),(K17-J17)*10000,"N/A")</f>
        <v>N/A</v>
      </c>
      <c r="M17" s="41" t="n">
        <f aca="false">I760</f>
        <v>46231</v>
      </c>
      <c r="N17" s="25" t="n">
        <f aca="false">I761</f>
        <v>3000000000</v>
      </c>
      <c r="O17" s="25" t="n">
        <f aca="false">IF(COUNTIF(Detalle_62!$C$14:$C$35,A17)&gt;0,SUMIFS(Detalle_62!$F$14:$F$35,Detalle_62!$C$14:$C$35,A17),"No está")</f>
        <v>3000000000</v>
      </c>
      <c r="P17" s="25" t="n">
        <f aca="false">IF(ISNUMBER(O17),N17-O17,"N/A")</f>
        <v>0</v>
      </c>
      <c r="Q17" s="25" t="n">
        <f aca="false">IFERROR(INDEX(Pruebas_Auditoria!$L$144:$L$183,MATCH("DAV-569032",Pruebas_Auditoria!$A$144:$A$183,0)),"N/D")</f>
        <v>2999995157</v>
      </c>
      <c r="R17" s="25" t="n">
        <f aca="false">IF(ISNUMBER(Q17),N17-Q17,"N/D")</f>
        <v>4843</v>
      </c>
      <c r="S17" s="25" t="n">
        <f aca="false">I763</f>
        <v>262697500</v>
      </c>
      <c r="T17" s="25" t="n">
        <f aca="false">IFERROR(INDEX(Intereses_x_Obligacion!$I:$I,MATCH("DAV-569032",Intereses_x_Obligacion!$A:$A,0)),"N/D")</f>
        <v>234581000</v>
      </c>
      <c r="U17" s="25" t="n">
        <f aca="false">IF(ISNUMBER(T17),T17-S17,"N/D")</f>
        <v>-28116500</v>
      </c>
      <c r="V17" s="25" t="n">
        <f aca="false">MAX(I764,0)</f>
        <v>0</v>
      </c>
      <c r="W17" s="25" t="n">
        <f aca="false">IF(COUNTIF(Detalle_62!$C$14:$C$35,A17)&gt;0,SUMIFS(Detalle_62!$M$14:$M$35,Detalle_62!$C$14:$C$35,A17),"No está")</f>
        <v>0</v>
      </c>
      <c r="X17" s="25" t="n">
        <f aca="false">IF(ISNUMBER(W17),V17-W17,"N/A")</f>
        <v>0</v>
      </c>
      <c r="Y17" s="25" t="n">
        <f aca="false">I765</f>
        <v>9.23871994018555E-007</v>
      </c>
      <c r="Z17" s="28" t="n">
        <v>3208123478.92274</v>
      </c>
      <c r="AA17" s="25" t="n">
        <f aca="false">IF(ISNUMBER(Z17),Z17-N17,"N/A")</f>
        <v>208123478.922738</v>
      </c>
      <c r="AB17" s="11" t="s">
        <v>683</v>
      </c>
    </row>
    <row r="18" customFormat="false" ht="48" hidden="false" customHeight="true" outlineLevel="0" collapsed="false">
      <c r="A18" s="29" t="s">
        <v>129</v>
      </c>
      <c r="B18" s="22" t="s">
        <v>684</v>
      </c>
      <c r="C18" s="45" t="s">
        <v>685</v>
      </c>
      <c r="D18" s="22" t="s">
        <v>686</v>
      </c>
      <c r="E18" s="22" t="s">
        <v>687</v>
      </c>
      <c r="F18" s="22" t="s">
        <v>170</v>
      </c>
      <c r="G18" s="25" t="n">
        <f aca="false">C1016</f>
        <v>7500000000</v>
      </c>
      <c r="H18" s="41" t="n">
        <f aca="false">C1017</f>
        <v>43207</v>
      </c>
      <c r="I18" s="42" t="str">
        <f aca="false">C1018</f>
        <v>144 meses – IBR +4,70</v>
      </c>
      <c r="J18" s="46" t="str">
        <f aca="false">IF(ISNUMBER(C1019),C1019,"Por fila")</f>
        <v>Por fila</v>
      </c>
      <c r="K18" s="46" t="str">
        <f aca="false">IFERROR(C1020,"N/A")</f>
        <v>N/A</v>
      </c>
      <c r="L18" s="40" t="str">
        <f aca="false">IF(AND(ISNUMBER(J18),ISNUMBER(K18)),(K18-J18)*10000,"N/A")</f>
        <v>N/A</v>
      </c>
      <c r="M18" s="41" t="n">
        <f aca="false">I1016</f>
        <v>46220</v>
      </c>
      <c r="N18" s="25" t="n">
        <f aca="false">I1017</f>
        <v>2937500000</v>
      </c>
      <c r="O18" s="25" t="n">
        <f aca="false">IF(COUNTIF(Detalle_62!$C$14:$C$35,A18)&gt;0,SUMIFS(Detalle_62!$F$14:$F$35,Detalle_62!$C$14:$C$35,A18),"No está")</f>
        <v>2937500000</v>
      </c>
      <c r="P18" s="25" t="n">
        <f aca="false">IF(ISNUMBER(O18),N18-O18,"N/A")</f>
        <v>0</v>
      </c>
      <c r="Q18" s="25" t="n">
        <f aca="false">IFERROR(INDEX(Pruebas_Auditoria!$L$144:$L$183,MATCH("BOG-453436746",Pruebas_Auditoria!$A$144:$A$183,0)),"N/D")</f>
        <v>2937499977.39</v>
      </c>
      <c r="R18" s="25" t="n">
        <f aca="false">IF(ISNUMBER(Q18),N18-Q18,"N/D")</f>
        <v>22.6100001335144</v>
      </c>
      <c r="S18" s="25" t="n">
        <f aca="false">I1019</f>
        <v>284219218.75</v>
      </c>
      <c r="T18" s="25" t="n">
        <f aca="false">IFERROR(INDEX(Intereses_x_Obligacion!$I:$I,MATCH("BOG-453436746",Intereses_x_Obligacion!$A:$A,0)),"N/D")</f>
        <v>232297663.36</v>
      </c>
      <c r="U18" s="25" t="n">
        <f aca="false">IF(ISNUMBER(T18),T18-S18,"N/D")</f>
        <v>-51921555.39</v>
      </c>
      <c r="V18" s="25" t="n">
        <f aca="false">MAX(I1020,0)</f>
        <v>750000000</v>
      </c>
      <c r="W18" s="25" t="n">
        <f aca="false">IF(COUNTIF(Detalle_62!$C$14:$C$35,A18)&gt;0,SUMIFS(Detalle_62!$M$14:$M$35,Detalle_62!$C$14:$C$35,A18),"No está")</f>
        <v>750000000</v>
      </c>
      <c r="X18" s="25" t="n">
        <f aca="false">IF(ISNUMBER(W18),V18-W18,"N/A")</f>
        <v>0</v>
      </c>
      <c r="Y18" s="25" t="n">
        <f aca="false">I1021</f>
        <v>0</v>
      </c>
      <c r="Z18" s="28" t="n">
        <v>3222674272.53525</v>
      </c>
      <c r="AA18" s="25" t="n">
        <f aca="false">IF(ISNUMBER(Z18),Z18-N18,"N/A")</f>
        <v>285174272.535248</v>
      </c>
      <c r="AB18" s="11" t="s">
        <v>688</v>
      </c>
    </row>
    <row r="19" customFormat="false" ht="48" hidden="false" customHeight="true" outlineLevel="0" collapsed="false">
      <c r="A19" s="29" t="s">
        <v>130</v>
      </c>
      <c r="B19" s="22" t="s">
        <v>689</v>
      </c>
      <c r="C19" s="45" t="s">
        <v>690</v>
      </c>
      <c r="D19" s="22" t="s">
        <v>523</v>
      </c>
      <c r="E19" s="22" t="s">
        <v>691</v>
      </c>
      <c r="F19" s="22" t="s">
        <v>170</v>
      </c>
      <c r="G19" s="25" t="n">
        <f aca="false">C1178</f>
        <v>2186000000</v>
      </c>
      <c r="H19" s="41" t="n">
        <f aca="false">C1179</f>
        <v>45098</v>
      </c>
      <c r="I19" s="42" t="str">
        <f aca="false">C1180</f>
        <v>60 meses – IBR(3M) + 3,2%</v>
      </c>
      <c r="J19" s="46" t="str">
        <f aca="false">IF(ISNUMBER(C1181),C1181,"Por fila")</f>
        <v>Por fila</v>
      </c>
      <c r="K19" s="46" t="str">
        <f aca="false">IFERROR(C1182,"N/A")</f>
        <v>N/A</v>
      </c>
      <c r="L19" s="40" t="str">
        <f aca="false">IF(AND(ISNUMBER(J19),ISNUMBER(K19)),(K19-J19)*10000,"N/A")</f>
        <v>N/A</v>
      </c>
      <c r="M19" s="41" t="n">
        <f aca="false">I1178</f>
        <v>46224</v>
      </c>
      <c r="N19" s="25" t="n">
        <f aca="false">I1179</f>
        <v>1457333336</v>
      </c>
      <c r="O19" s="25" t="n">
        <f aca="false">IF(COUNTIF(Detalle_62!$C$14:$C$35,A19)&gt;0,SUMIFS(Detalle_62!$F$14:$F$35,Detalle_62!$C$14:$C$35,A19),"No está")</f>
        <v>1457333332</v>
      </c>
      <c r="P19" s="25" t="n">
        <f aca="false">IF(ISNUMBER(O19),N19-O19,"N/A")</f>
        <v>4</v>
      </c>
      <c r="Q19" s="25" t="n">
        <f aca="false">IFERROR(INDEX(Pruebas_Auditoria!$L$144:$L$183,MATCH("BOG-856670629",Pruebas_Auditoria!$A$144:$A$183,0)),"N/D")</f>
        <v>1457333325.59</v>
      </c>
      <c r="R19" s="25" t="n">
        <f aca="false">IF(ISNUMBER(Q19),N19-Q19,"N/D")</f>
        <v>10.4100000858307</v>
      </c>
      <c r="S19" s="25" t="n">
        <f aca="false">I1181</f>
        <v>140132012.200862</v>
      </c>
      <c r="T19" s="25" t="n">
        <f aca="false">IFERROR(INDEX(Intereses_x_Obligacion!$I:$I,MATCH("BOG-856670629",Intereses_x_Obligacion!$A:$A,0)),"N/D")</f>
        <v>133305619</v>
      </c>
      <c r="U19" s="25" t="n">
        <f aca="false">IF(ISNUMBER(T19),T19-S19,"N/D")</f>
        <v>-6826393.20086166</v>
      </c>
      <c r="V19" s="25" t="n">
        <f aca="false">MAX(I1182,0)</f>
        <v>728666668</v>
      </c>
      <c r="W19" s="25" t="n">
        <f aca="false">IF(COUNTIF(Detalle_62!$C$14:$C$35,A19)&gt;0,SUMIFS(Detalle_62!$M$14:$M$35,Detalle_62!$C$14:$C$35,A19),"No está")</f>
        <v>750000000</v>
      </c>
      <c r="X19" s="25" t="n">
        <f aca="false">IF(ISNUMBER(W19),V19-W19,"N/A")</f>
        <v>-21333332</v>
      </c>
      <c r="Y19" s="25" t="n">
        <f aca="false">I1183</f>
        <v>0</v>
      </c>
      <c r="Z19" s="28" t="n">
        <v>1473030879.22839</v>
      </c>
      <c r="AA19" s="25" t="n">
        <f aca="false">IF(ISNUMBER(Z19),Z19-N19,"N/A")</f>
        <v>15697543.228394</v>
      </c>
      <c r="AB19" s="11" t="s">
        <v>692</v>
      </c>
    </row>
    <row r="20" customFormat="false" ht="48" hidden="false" customHeight="true" outlineLevel="0" collapsed="false">
      <c r="A20" s="29" t="s">
        <v>131</v>
      </c>
      <c r="B20" s="22" t="s">
        <v>693</v>
      </c>
      <c r="C20" s="45" t="s">
        <v>694</v>
      </c>
      <c r="D20" s="22" t="s">
        <v>523</v>
      </c>
      <c r="E20" s="22" t="s">
        <v>695</v>
      </c>
      <c r="F20" s="22" t="s">
        <v>170</v>
      </c>
      <c r="G20" s="25" t="n">
        <f aca="false">C1254</f>
        <v>2500000000</v>
      </c>
      <c r="H20" s="41" t="n">
        <f aca="false">C1255</f>
        <v>45163</v>
      </c>
      <c r="I20" s="42" t="str">
        <f aca="false">C1256</f>
        <v>60 meses – IBR(3M) + 4,6%</v>
      </c>
      <c r="J20" s="46" t="str">
        <f aca="false">IF(ISNUMBER(C1257),C1257,"Por fila")</f>
        <v>Por fila</v>
      </c>
      <c r="K20" s="46" t="n">
        <f aca="false">IFERROR(C1258,"N/A")</f>
        <v>0.0128176454362254</v>
      </c>
      <c r="L20" s="40" t="str">
        <f aca="false">IF(AND(ISNUMBER(J20),ISNUMBER(K20)),(K20-J20)*10000,"N/A")</f>
        <v>N/A</v>
      </c>
      <c r="M20" s="41" t="n">
        <f aca="false">I1254</f>
        <v>46224</v>
      </c>
      <c r="N20" s="25" t="n">
        <f aca="false">I1255</f>
        <v>1125000000</v>
      </c>
      <c r="O20" s="25" t="n">
        <f aca="false">IF(COUNTIF(Detalle_62!$C$14:$C$35,A20)&gt;0,SUMIFS(Detalle_62!$F$14:$F$35,Detalle_62!$C$14:$C$35,A20),"No está")</f>
        <v>1125000000</v>
      </c>
      <c r="P20" s="25" t="n">
        <f aca="false">IF(ISNUMBER(O20),N20-O20,"N/A")</f>
        <v>0</v>
      </c>
      <c r="Q20" s="25" t="n">
        <f aca="false">IFERROR(INDEX(Pruebas_Auditoria!$L$144:$L$183,MATCH("BOG-858177259",Pruebas_Auditoria!$A$144:$A$183,0)),"N/D")</f>
        <v>1124999996.41</v>
      </c>
      <c r="R20" s="25" t="n">
        <f aca="false">IF(ISNUMBER(Q20),N20-Q20,"N/D")</f>
        <v>3.58999991416931</v>
      </c>
      <c r="S20" s="25" t="n">
        <f aca="false">I1257</f>
        <v>108575000</v>
      </c>
      <c r="T20" s="25" t="n">
        <f aca="false">IFERROR(INDEX(Intereses_x_Obligacion!$I:$I,MATCH("BOG-858177259",Intereses_x_Obligacion!$A:$A,0)),"N/D")</f>
        <v>108941341</v>
      </c>
      <c r="U20" s="25" t="n">
        <f aca="false">IF(ISNUMBER(T20),T20-S20,"N/D")</f>
        <v>366341</v>
      </c>
      <c r="V20" s="25" t="n">
        <f aca="false">MAX(I1258,0)</f>
        <v>500000000</v>
      </c>
      <c r="W20" s="25" t="n">
        <f aca="false">IF(COUNTIF(Detalle_62!$C$14:$C$35,A20)&gt;0,SUMIFS(Detalle_62!$M$14:$M$35,Detalle_62!$C$14:$C$35,A20),"No está")</f>
        <v>500000000</v>
      </c>
      <c r="X20" s="25" t="n">
        <f aca="false">IF(ISNUMBER(W20),V20-W20,"N/A")</f>
        <v>0</v>
      </c>
      <c r="Y20" s="25" t="n">
        <f aca="false">I1259</f>
        <v>0</v>
      </c>
      <c r="Z20" s="28" t="n">
        <v>1135447090.87807</v>
      </c>
      <c r="AA20" s="25" t="n">
        <f aca="false">IF(ISNUMBER(Z20),Z20-N20,"N/A")</f>
        <v>10447090.878073</v>
      </c>
      <c r="AB20" s="11" t="s">
        <v>696</v>
      </c>
    </row>
    <row r="21" customFormat="false" ht="48" hidden="false" customHeight="true" outlineLevel="0" collapsed="false">
      <c r="A21" s="29" t="s">
        <v>697</v>
      </c>
      <c r="B21" s="22" t="s">
        <v>698</v>
      </c>
      <c r="C21" s="45" t="s">
        <v>699</v>
      </c>
      <c r="D21" s="22" t="s">
        <v>523</v>
      </c>
      <c r="E21" s="22" t="s">
        <v>700</v>
      </c>
      <c r="F21" s="22" t="s">
        <v>170</v>
      </c>
      <c r="G21" s="25" t="n">
        <f aca="false">C1330</f>
        <v>10000000000</v>
      </c>
      <c r="H21" s="41" t="n">
        <f aca="false">C1331</f>
        <v>46036</v>
      </c>
      <c r="I21" s="42" t="str">
        <f aca="false">C1332</f>
        <v>6 meses – IBR(3M) + 0,8%</v>
      </c>
      <c r="J21" s="46" t="str">
        <f aca="false">IF(ISNUMBER(C1333),C1333,"Por fila")</f>
        <v>Por fila</v>
      </c>
      <c r="K21" s="46" t="n">
        <f aca="false">IFERROR(C1334,"N/A")</f>
        <v>0.0100664804548056</v>
      </c>
      <c r="L21" s="40" t="str">
        <f aca="false">IF(AND(ISNUMBER(J21),ISNUMBER(K21)),(K21-J21)*10000,"N/A")</f>
        <v>N/A</v>
      </c>
      <c r="M21" s="41" t="n">
        <f aca="false">I1330</f>
        <v>46217</v>
      </c>
      <c r="N21" s="25" t="n">
        <f aca="false">I1331</f>
        <v>0</v>
      </c>
      <c r="O21" s="25" t="str">
        <f aca="false">IF(COUNTIF(Detalle_62!$C$14:$C$35,A21)&gt;0,SUMIFS(Detalle_62!$F$14:$F$35,Detalle_62!$C$14:$C$35,A21),"No está")</f>
        <v>No está</v>
      </c>
      <c r="P21" s="25" t="str">
        <f aca="false">IF(ISNUMBER(O21),N21-O21,"N/A")</f>
        <v>N/A</v>
      </c>
      <c r="Q21" s="25" t="str">
        <f aca="false">IFERROR(INDEX(Pruebas_Auditoria!$L$144:$L$183,MATCH("BOG-1155297469",Pruebas_Auditoria!$A$144:$A$183,0)),"N/D")</f>
        <v>N/D</v>
      </c>
      <c r="R21" s="25" t="str">
        <f aca="false">IF(ISNUMBER(Q21),N21-Q21,"N/D")</f>
        <v>N/D</v>
      </c>
      <c r="S21" s="25" t="n">
        <f aca="false">I1333</f>
        <v>604300000</v>
      </c>
      <c r="T21" s="25" t="str">
        <f aca="false">IFERROR(INDEX(Intereses_x_Obligacion!$I:$I,MATCH("BOG-1155297469",Intereses_x_Obligacion!$A:$A,0)),"N/D")</f>
        <v>N/D</v>
      </c>
      <c r="U21" s="25" t="str">
        <f aca="false">IF(ISNUMBER(T21),T21-S21,"N/D")</f>
        <v>N/D</v>
      </c>
      <c r="V21" s="25" t="n">
        <f aca="false">MAX(I1334,0)</f>
        <v>0</v>
      </c>
      <c r="W21" s="25" t="str">
        <f aca="false">IF(COUNTIF(Detalle_62!$C$14:$C$35,A21)&gt;0,SUMIFS(Detalle_62!$M$14:$M$35,Detalle_62!$C$14:$C$35,A21),"No está")</f>
        <v>No está</v>
      </c>
      <c r="X21" s="25" t="str">
        <f aca="false">IF(ISNUMBER(W21),V21-W21,"N/A")</f>
        <v>N/A</v>
      </c>
      <c r="Y21" s="25" t="n">
        <f aca="false">I1335</f>
        <v>0</v>
      </c>
      <c r="Z21" s="28" t="n">
        <v>0</v>
      </c>
      <c r="AA21" s="25" t="n">
        <f aca="false">IF(ISNUMBER(Z21),Z21-N21,"N/A")</f>
        <v>0</v>
      </c>
      <c r="AB21" s="11" t="s">
        <v>701</v>
      </c>
    </row>
    <row r="22" customFormat="false" ht="48" hidden="false" customHeight="true" outlineLevel="0" collapsed="false">
      <c r="A22" s="29" t="s">
        <v>132</v>
      </c>
      <c r="B22" s="22" t="s">
        <v>702</v>
      </c>
      <c r="C22" s="45" t="s">
        <v>703</v>
      </c>
      <c r="D22" s="22" t="s">
        <v>523</v>
      </c>
      <c r="E22" s="22" t="s">
        <v>704</v>
      </c>
      <c r="F22" s="22" t="s">
        <v>170</v>
      </c>
      <c r="G22" s="25" t="n">
        <f aca="false">C1352</f>
        <v>10000000000</v>
      </c>
      <c r="H22" s="41" t="n">
        <f aca="false">C1353</f>
        <v>46225</v>
      </c>
      <c r="I22" s="42" t="str">
        <f aca="false">C1354</f>
        <v>6 meses – IBR(3M) + 0,8%</v>
      </c>
      <c r="J22" s="46" t="str">
        <f aca="false">IF(ISNUMBER(C1355),C1355,"Por fila")</f>
        <v>Por fila</v>
      </c>
      <c r="K22" s="46" t="n">
        <f aca="false">IFERROR(C1356,"N/A")</f>
        <v>0.0100664804548056</v>
      </c>
      <c r="L22" s="40" t="str">
        <f aca="false">IF(AND(ISNUMBER(J22),ISNUMBER(K22)),(K22-J22)*10000,"N/A")</f>
        <v>N/A</v>
      </c>
      <c r="M22" s="41" t="n">
        <f aca="false">I1352</f>
        <v>46225</v>
      </c>
      <c r="N22" s="25" t="n">
        <f aca="false">I1353</f>
        <v>10000000000</v>
      </c>
      <c r="O22" s="25" t="n">
        <f aca="false">IF(COUNTIF(Detalle_62!$C$14:$C$35,A22)&gt;0,SUMIFS(Detalle_62!$F$14:$F$35,Detalle_62!$C$14:$C$35,A22),"No está")</f>
        <v>10000000000</v>
      </c>
      <c r="P22" s="25" t="n">
        <f aca="false">IF(ISNUMBER(O22),N22-O22,"N/A")</f>
        <v>0</v>
      </c>
      <c r="Q22" s="25" t="n">
        <f aca="false">IFERROR(INDEX(Pruebas_Auditoria!$L$144:$L$183,MATCH("BOG-1159383796",Pruebas_Auditoria!$A$144:$A$183,0)),"N/D")</f>
        <v>10000000000</v>
      </c>
      <c r="R22" s="25" t="n">
        <f aca="false">IF(ISNUMBER(Q22),N22-Q22,"N/D")</f>
        <v>0</v>
      </c>
      <c r="S22" s="25" t="n">
        <f aca="false">I1355</f>
        <v>604300000</v>
      </c>
      <c r="T22" s="25" t="n">
        <f aca="false">IFERROR(INDEX(Intereses_x_Obligacion!$I:$I,MATCH("BOG-1159383796",Intereses_x_Obligacion!$A:$A,0)),"N/D")</f>
        <v>554228055</v>
      </c>
      <c r="U22" s="25" t="n">
        <f aca="false">IF(ISNUMBER(T22),T22-S22,"N/D")</f>
        <v>-50071944.9999999</v>
      </c>
      <c r="V22" s="25" t="n">
        <f aca="false">MAX(I1356,0)</f>
        <v>0</v>
      </c>
      <c r="W22" s="25" t="n">
        <f aca="false">IF(COUNTIF(Detalle_62!$C$14:$C$35,A22)&gt;0,SUMIFS(Detalle_62!$M$14:$M$35,Detalle_62!$C$14:$C$35,A22),"No está")</f>
        <v>10000000000</v>
      </c>
      <c r="X22" s="25" t="n">
        <f aca="false">IF(ISNUMBER(W22),V22-W22,"N/A")</f>
        <v>-10000000000</v>
      </c>
      <c r="Y22" s="25" t="n">
        <f aca="false">I1357</f>
        <v>0</v>
      </c>
      <c r="Z22" s="28" t="n">
        <v>0</v>
      </c>
      <c r="AA22" s="25" t="n">
        <f aca="false">IF(ISNUMBER(Z22),Z22-N22,"N/A")</f>
        <v>-10000000000</v>
      </c>
      <c r="AB22" s="11" t="s">
        <v>705</v>
      </c>
    </row>
    <row r="23" customFormat="false" ht="48" hidden="false" customHeight="true" outlineLevel="0" collapsed="false">
      <c r="A23" s="29" t="s">
        <v>133</v>
      </c>
      <c r="B23" s="22" t="s">
        <v>706</v>
      </c>
      <c r="C23" s="45" t="s">
        <v>707</v>
      </c>
      <c r="D23" s="22" t="s">
        <v>523</v>
      </c>
      <c r="E23" s="22" t="s">
        <v>708</v>
      </c>
      <c r="F23" s="22" t="s">
        <v>388</v>
      </c>
      <c r="G23" s="25" t="n">
        <f aca="false">C1374</f>
        <v>569902000</v>
      </c>
      <c r="H23" s="41" t="n">
        <f aca="false">C1375</f>
        <v>44946</v>
      </c>
      <c r="I23" s="42" t="str">
        <f aca="false">C1376</f>
        <v>28 TRIMESTRES – DTF+3,57%</v>
      </c>
      <c r="J23" s="46" t="n">
        <f aca="false">IF(ISNUMBER(C1377),C1377,"Por fila")</f>
        <v>0.036189195577476</v>
      </c>
      <c r="K23" s="46" t="n">
        <f aca="false">IFERROR(C1378,"N/A")</f>
        <v>0.0361891955774748</v>
      </c>
      <c r="L23" s="40" t="n">
        <f aca="false">IF(AND(ISNUMBER(J23),ISNUMBER(K23)),(K23-J23)*10000,"N/A")</f>
        <v>-1.17961196366423E-011</v>
      </c>
      <c r="M23" s="41" t="n">
        <f aca="false">I1374</f>
        <v>46223</v>
      </c>
      <c r="N23" s="25" t="n">
        <f aca="false">I1375</f>
        <v>381845387.419314</v>
      </c>
      <c r="O23" s="25" t="n">
        <f aca="false">IF(COUNTIF(Detalle_62!$C$14:$C$35,A23)&gt;0,SUMIFS(Detalle_62!$F$14:$F$35,Detalle_62!$C$14:$C$35,A23),"No está")</f>
        <v>381845387.419314</v>
      </c>
      <c r="P23" s="25" t="n">
        <f aca="false">IF(ISNUMBER(O23),N23-O23,"N/A")</f>
        <v>0</v>
      </c>
      <c r="Q23" s="25" t="n">
        <f aca="false">IFERROR(INDEX(Pruebas_Auditoria!$L$144:$L$183,MATCH("BOG-L556449224",Pruebas_Auditoria!$A$144:$A$183,0)),"N/D")</f>
        <v>396112029.65</v>
      </c>
      <c r="R23" s="25" t="n">
        <f aca="false">IF(ISNUMBER(Q23),N23-Q23,"N/D")</f>
        <v>-14266642.2306862</v>
      </c>
      <c r="S23" s="25" t="n">
        <f aca="false">I1377</f>
        <v>45776937.4665054</v>
      </c>
      <c r="T23" s="25" t="n">
        <f aca="false">IFERROR(INDEX(Intereses_x_Obligacion!$I:$I,MATCH("BOG-L556449224",Intereses_x_Obligacion!$A:$A,0)),"N/D")</f>
        <v>31068671</v>
      </c>
      <c r="U23" s="25" t="n">
        <f aca="false">IF(ISNUMBER(T23),T23-S23,"N/D")</f>
        <v>-14708266.4665054</v>
      </c>
      <c r="V23" s="25" t="n">
        <f aca="false">MAX(I1378,0)</f>
        <v>89122277.0882225</v>
      </c>
      <c r="W23" s="25" t="n">
        <f aca="false">IF(COUNTIF(Detalle_62!$C$14:$C$35,A23)&gt;0,SUMIFS(Detalle_62!$M$14:$M$35,Detalle_62!$C$14:$C$35,A23),"No está")</f>
        <v>175631569.283009</v>
      </c>
      <c r="X23" s="25" t="n">
        <f aca="false">IF(ISNUMBER(W23),V23-W23,"N/A")</f>
        <v>-86509292.1947861</v>
      </c>
      <c r="Y23" s="25" t="n">
        <f aca="false">I1379</f>
        <v>4.4703483581543E-008</v>
      </c>
      <c r="Z23" s="22" t="s">
        <v>100</v>
      </c>
      <c r="AA23" s="22" t="s">
        <v>100</v>
      </c>
      <c r="AB23" s="11" t="s">
        <v>709</v>
      </c>
    </row>
    <row r="24" customFormat="false" ht="48" hidden="false" customHeight="true" outlineLevel="0" collapsed="false">
      <c r="A24" s="29" t="s">
        <v>134</v>
      </c>
      <c r="B24" s="22" t="s">
        <v>710</v>
      </c>
      <c r="C24" s="45" t="s">
        <v>711</v>
      </c>
      <c r="D24" s="22" t="s">
        <v>523</v>
      </c>
      <c r="E24" s="22" t="s">
        <v>712</v>
      </c>
      <c r="F24" s="22" t="s">
        <v>388</v>
      </c>
      <c r="G24" s="25" t="n">
        <f aca="false">C1418</f>
        <v>569902000</v>
      </c>
      <c r="H24" s="41" t="n">
        <f aca="false">C1419</f>
        <v>44949</v>
      </c>
      <c r="I24" s="42" t="str">
        <f aca="false">C1420</f>
        <v>28 TRIMESTRES – DTF+3,57%</v>
      </c>
      <c r="J24" s="46" t="n">
        <f aca="false">IF(ISNUMBER(C1421),C1421,"Por fila")</f>
        <v>0.036189195577476</v>
      </c>
      <c r="K24" s="46" t="n">
        <f aca="false">IFERROR(C1422,"N/A")</f>
        <v>0.0361891955774748</v>
      </c>
      <c r="L24" s="40" t="n">
        <f aca="false">IF(AND(ISNUMBER(J24),ISNUMBER(K24)),(K24-J24)*10000,"N/A")</f>
        <v>-1.17961196366423E-011</v>
      </c>
      <c r="M24" s="41" t="n">
        <f aca="false">I1418</f>
        <v>46226</v>
      </c>
      <c r="N24" s="25" t="n">
        <f aca="false">I1419</f>
        <v>381845387.419314</v>
      </c>
      <c r="O24" s="25" t="n">
        <f aca="false">IF(COUNTIF(Detalle_62!$C$14:$C$35,A24)&gt;0,SUMIFS(Detalle_62!$F$14:$F$35,Detalle_62!$C$14:$C$35,A24),"No está")</f>
        <v>381845387.419314</v>
      </c>
      <c r="P24" s="25" t="n">
        <f aca="false">IF(ISNUMBER(O24),N24-O24,"N/A")</f>
        <v>0</v>
      </c>
      <c r="Q24" s="25" t="n">
        <f aca="false">IFERROR(INDEX(Pruebas_Auditoria!$L$144:$L$183,MATCH("BOG-L556449180",Pruebas_Auditoria!$A$144:$A$183,0)),"N/D")</f>
        <v>396112029.8</v>
      </c>
      <c r="R24" s="25" t="n">
        <f aca="false">IF(ISNUMBER(Q24),N24-Q24,"N/D")</f>
        <v>-14266642.3806862</v>
      </c>
      <c r="S24" s="25" t="n">
        <f aca="false">I1421</f>
        <v>45776937.4665054</v>
      </c>
      <c r="T24" s="25" t="n">
        <f aca="false">IFERROR(INDEX(Intereses_x_Obligacion!$I:$I,MATCH("BOG-L556449180",Intereses_x_Obligacion!$A:$A,0)),"N/D")</f>
        <v>31068672</v>
      </c>
      <c r="U24" s="25" t="n">
        <f aca="false">IF(ISNUMBER(T24),T24-S24,"N/D")</f>
        <v>-14708265.4665054</v>
      </c>
      <c r="V24" s="25" t="n">
        <f aca="false">MAX(I1422,0)</f>
        <v>89122277.0882225</v>
      </c>
      <c r="W24" s="25" t="n">
        <f aca="false">IF(COUNTIF(Detalle_62!$C$14:$C$35,A24)&gt;0,SUMIFS(Detalle_62!$M$14:$M$35,Detalle_62!$C$14:$C$35,A24),"No está")</f>
        <v>175631569.283009</v>
      </c>
      <c r="X24" s="25" t="n">
        <f aca="false">IF(ISNUMBER(W24),V24-W24,"N/A")</f>
        <v>-86509292.1947861</v>
      </c>
      <c r="Y24" s="25" t="n">
        <f aca="false">I1423</f>
        <v>4.4703483581543E-008</v>
      </c>
      <c r="Z24" s="22" t="s">
        <v>100</v>
      </c>
      <c r="AA24" s="22" t="s">
        <v>100</v>
      </c>
      <c r="AB24" s="11" t="s">
        <v>709</v>
      </c>
    </row>
    <row r="25" customFormat="false" ht="48" hidden="false" customHeight="true" outlineLevel="0" collapsed="false">
      <c r="A25" s="29" t="s">
        <v>135</v>
      </c>
      <c r="B25" s="22" t="s">
        <v>713</v>
      </c>
      <c r="C25" s="45" t="s">
        <v>714</v>
      </c>
      <c r="D25" s="22" t="s">
        <v>523</v>
      </c>
      <c r="E25" s="22" t="s">
        <v>715</v>
      </c>
      <c r="F25" s="22" t="s">
        <v>388</v>
      </c>
      <c r="G25" s="25" t="n">
        <f aca="false">C1462</f>
        <v>569902000</v>
      </c>
      <c r="H25" s="41" t="n">
        <f aca="false">C1463</f>
        <v>44404</v>
      </c>
      <c r="I25" s="42" t="str">
        <f aca="false">C1464</f>
        <v>28 TRIMESTRES – DTF+3,57%</v>
      </c>
      <c r="J25" s="46" t="n">
        <f aca="false">IF(ISNUMBER(C1465),C1465,"Por fila")</f>
        <v>0.00593563846513545</v>
      </c>
      <c r="K25" s="46" t="n">
        <f aca="false">IFERROR(C1466,"N/A")</f>
        <v>0.00593563846513572</v>
      </c>
      <c r="L25" s="40" t="n">
        <f aca="false">IF(AND(ISNUMBER(J25),ISNUMBER(K25)),(K25-J25)*10000,"N/A")</f>
        <v>2.68014777038417E-012</v>
      </c>
      <c r="M25" s="41" t="n">
        <f aca="false">I1462</f>
        <v>46230</v>
      </c>
      <c r="N25" s="25" t="n">
        <f aca="false">I1463</f>
        <v>196720178.445431</v>
      </c>
      <c r="O25" s="25" t="n">
        <f aca="false">IF(COUNTIF(Detalle_62!$C$14:$C$35,A25)&gt;0,SUMIFS(Detalle_62!$F$14:$F$35,Detalle_62!$C$14:$C$35,A25),"No está")</f>
        <v>196720178.445431</v>
      </c>
      <c r="P25" s="25" t="n">
        <f aca="false">IF(ISNUMBER(O25),N25-O25,"N/A")</f>
        <v>0</v>
      </c>
      <c r="Q25" s="25" t="n">
        <f aca="false">IFERROR(INDEX(Pruebas_Auditoria!$L$144:$L$183,MATCH("BOG-L556449117",Pruebas_Auditoria!$A$144:$A$183,0)),"N/D")</f>
        <v>253672105.02</v>
      </c>
      <c r="R25" s="25" t="n">
        <f aca="false">IF(ISNUMBER(Q25),N25-Q25,"N/D")</f>
        <v>-56951926.5745686</v>
      </c>
      <c r="S25" s="25" t="n">
        <f aca="false">I1465</f>
        <v>4327677.93876348</v>
      </c>
      <c r="T25" s="25" t="n">
        <f aca="false">IFERROR(INDEX(Intereses_x_Obligacion!$I:$I,MATCH("BOG-L556449117",Intereses_x_Obligacion!$A:$A,0)),"N/D")</f>
        <v>28058555</v>
      </c>
      <c r="U25" s="25" t="n">
        <f aca="false">IF(ISNUMBER(T25),T25-S25,"N/D")</f>
        <v>23730877.0612365</v>
      </c>
      <c r="V25" s="25" t="n">
        <f aca="false">MAX(I1466,0)</f>
        <v>94380151.2290461</v>
      </c>
      <c r="W25" s="25" t="n">
        <f aca="false">IF(COUNTIF(Detalle_62!$C$14:$C$35,A25)&gt;0,SUMIFS(Detalle_62!$M$14:$M$35,Detalle_62!$C$14:$C$35,A25),"No está")</f>
        <v>175631569.283009</v>
      </c>
      <c r="X25" s="25" t="n">
        <f aca="false">IF(ISNUMBER(W25),V25-W25,"N/A")</f>
        <v>-81251418.0539625</v>
      </c>
      <c r="Y25" s="25" t="n">
        <f aca="false">I1467</f>
        <v>4.47034835815425E-008</v>
      </c>
      <c r="Z25" s="22" t="s">
        <v>100</v>
      </c>
      <c r="AA25" s="22" t="s">
        <v>100</v>
      </c>
      <c r="AB25" s="11" t="s">
        <v>716</v>
      </c>
    </row>
    <row r="26" customFormat="false" ht="48" hidden="false" customHeight="true" outlineLevel="0" collapsed="false">
      <c r="A26" s="29" t="s">
        <v>136</v>
      </c>
      <c r="B26" s="22" t="s">
        <v>717</v>
      </c>
      <c r="C26" s="45" t="s">
        <v>718</v>
      </c>
      <c r="D26" s="22" t="s">
        <v>523</v>
      </c>
      <c r="E26" s="22" t="s">
        <v>719</v>
      </c>
      <c r="F26" s="22" t="s">
        <v>388</v>
      </c>
      <c r="G26" s="25" t="n">
        <f aca="false">C1506</f>
        <v>569902000</v>
      </c>
      <c r="H26" s="41" t="n">
        <f aca="false">C1507</f>
        <v>44404</v>
      </c>
      <c r="I26" s="42" t="str">
        <f aca="false">C1508</f>
        <v>28 TRIMESTRES – DTF+3,57%</v>
      </c>
      <c r="J26" s="46" t="n">
        <f aca="false">IF(ISNUMBER(C1509),C1509,"Por fila")</f>
        <v>0.00593563846513545</v>
      </c>
      <c r="K26" s="46" t="n">
        <f aca="false">IFERROR(C1510,"N/A")</f>
        <v>0.00593563846513572</v>
      </c>
      <c r="L26" s="40" t="n">
        <f aca="false">IF(AND(ISNUMBER(J26),ISNUMBER(K26)),(K26-J26)*10000,"N/A")</f>
        <v>2.68014777038417E-012</v>
      </c>
      <c r="M26" s="41" t="n">
        <f aca="false">I1506</f>
        <v>46230</v>
      </c>
      <c r="N26" s="25" t="n">
        <f aca="false">I1507</f>
        <v>196720178.445431</v>
      </c>
      <c r="O26" s="25" t="n">
        <f aca="false">IF(COUNTIF(Detalle_62!$C$14:$C$35,A26)&gt;0,SUMIFS(Detalle_62!$F$14:$F$35,Detalle_62!$C$14:$C$35,A26),"No está")</f>
        <v>196720178.445431</v>
      </c>
      <c r="P26" s="25" t="n">
        <f aca="false">IF(ISNUMBER(O26),N26-O26,"N/A")</f>
        <v>0</v>
      </c>
      <c r="Q26" s="25" t="n">
        <f aca="false">IFERROR(INDEX(Pruebas_Auditoria!$L$144:$L$183,MATCH("BOG-L556449064",Pruebas_Auditoria!$A$144:$A$183,0)),"N/D")</f>
        <v>253672104.94</v>
      </c>
      <c r="R26" s="25" t="n">
        <f aca="false">IF(ISNUMBER(Q26),N26-Q26,"N/D")</f>
        <v>-56951926.4945686</v>
      </c>
      <c r="S26" s="25" t="n">
        <f aca="false">I1509</f>
        <v>4327677.93876348</v>
      </c>
      <c r="T26" s="25" t="n">
        <f aca="false">IFERROR(INDEX(Intereses_x_Obligacion!$I:$I,MATCH("BOG-L556449064",Intereses_x_Obligacion!$A:$A,0)),"N/D")</f>
        <v>28058555</v>
      </c>
      <c r="U26" s="25" t="n">
        <f aca="false">IF(ISNUMBER(T26),T26-S26,"N/D")</f>
        <v>23730877.0612365</v>
      </c>
      <c r="V26" s="25" t="n">
        <f aca="false">MAX(I1510,0)</f>
        <v>94380151.2290461</v>
      </c>
      <c r="W26" s="25" t="n">
        <f aca="false">IF(COUNTIF(Detalle_62!$C$14:$C$35,A26)&gt;0,SUMIFS(Detalle_62!$M$14:$M$35,Detalle_62!$C$14:$C$35,A26),"No está")</f>
        <v>175631569.283009</v>
      </c>
      <c r="X26" s="25" t="n">
        <f aca="false">IF(ISNUMBER(W26),V26-W26,"N/A")</f>
        <v>-81251418.0539625</v>
      </c>
      <c r="Y26" s="25" t="n">
        <f aca="false">I1511</f>
        <v>4.47034835815425E-008</v>
      </c>
      <c r="Z26" s="22" t="s">
        <v>100</v>
      </c>
      <c r="AA26" s="22" t="s">
        <v>100</v>
      </c>
      <c r="AB26" s="11" t="s">
        <v>716</v>
      </c>
    </row>
    <row r="27" customFormat="false" ht="48" hidden="false" customHeight="true" outlineLevel="0" collapsed="false">
      <c r="A27" s="29" t="s">
        <v>137</v>
      </c>
      <c r="B27" s="22" t="s">
        <v>720</v>
      </c>
      <c r="C27" s="45" t="s">
        <v>721</v>
      </c>
      <c r="D27" s="22" t="s">
        <v>523</v>
      </c>
      <c r="E27" s="22" t="s">
        <v>722</v>
      </c>
      <c r="F27" s="22" t="s">
        <v>388</v>
      </c>
      <c r="G27" s="25" t="n">
        <f aca="false">C1550</f>
        <v>569902000</v>
      </c>
      <c r="H27" s="41" t="n">
        <f aca="false">C1551</f>
        <v>44949</v>
      </c>
      <c r="I27" s="42" t="str">
        <f aca="false">C1552</f>
        <v>28 TRIMESTRES – DTF+3,57%</v>
      </c>
      <c r="J27" s="46" t="n">
        <f aca="false">IF(ISNUMBER(C1553),C1553,"Por fila")</f>
        <v>0.0367281325015472</v>
      </c>
      <c r="K27" s="46" t="n">
        <f aca="false">IFERROR(C1554,"N/A")</f>
        <v>0.0367281325015467</v>
      </c>
      <c r="L27" s="40" t="n">
        <f aca="false">IF(AND(ISNUMBER(J27),ISNUMBER(K27)),(K27-J27)*10000,"N/A")</f>
        <v>-4.9960036108132E-012</v>
      </c>
      <c r="M27" s="41" t="n">
        <f aca="false">I1550</f>
        <v>46226</v>
      </c>
      <c r="N27" s="25" t="n">
        <f aca="false">I1551</f>
        <v>382649239.487494</v>
      </c>
      <c r="O27" s="25" t="n">
        <f aca="false">IF(COUNTIF(Detalle_62!$C$14:$C$35,A27)&gt;0,SUMIFS(Detalle_62!$F$14:$F$35,Detalle_62!$C$14:$C$35,A27),"No está")</f>
        <v>382649239.487494</v>
      </c>
      <c r="P27" s="25" t="n">
        <f aca="false">IF(ISNUMBER(O27),N27-O27,"N/A")</f>
        <v>0</v>
      </c>
      <c r="Q27" s="25" t="n">
        <f aca="false">IFERROR(INDEX(Pruebas_Auditoria!$L$144:$L$183,MATCH("BOG-L556449288",Pruebas_Auditoria!$A$144:$A$183,0)),"N/D")</f>
        <v>396193942.08</v>
      </c>
      <c r="R27" s="25" t="n">
        <f aca="false">IF(ISNUMBER(Q27),N27-Q27,"N/D")</f>
        <v>-13544702.592506</v>
      </c>
      <c r="S27" s="25" t="n">
        <f aca="false">I1553</f>
        <v>46536704.8980723</v>
      </c>
      <c r="T27" s="25" t="n">
        <f aca="false">IFERROR(INDEX(Intereses_x_Obligacion!$I:$I,MATCH("BOG-L556449288",Intereses_x_Obligacion!$A:$A,0)),"N/D")</f>
        <v>30902950</v>
      </c>
      <c r="U27" s="25" t="n">
        <f aca="false">IF(ISNUMBER(T27),T27-S27,"N/D")</f>
        <v>-15633754.8980723</v>
      </c>
      <c r="V27" s="25" t="n">
        <f aca="false">MAX(I1554,0)</f>
        <v>89056070.4283575</v>
      </c>
      <c r="W27" s="25" t="n">
        <f aca="false">IF(COUNTIF(Detalle_62!$C$14:$C$35,A27)&gt;0,SUMIFS(Detalle_62!$M$14:$M$35,Detalle_62!$C$14:$C$35,A27),"No está")</f>
        <v>175631569.283009</v>
      </c>
      <c r="X27" s="25" t="n">
        <f aca="false">IF(ISNUMBER(W27),V27-W27,"N/A")</f>
        <v>-86575498.8546511</v>
      </c>
      <c r="Y27" s="25" t="n">
        <f aca="false">I1555</f>
        <v>1.49011611938477E-008</v>
      </c>
      <c r="Z27" s="22" t="s">
        <v>100</v>
      </c>
      <c r="AA27" s="22" t="s">
        <v>100</v>
      </c>
      <c r="AB27" s="11" t="s">
        <v>709</v>
      </c>
    </row>
    <row r="28" customFormat="false" ht="48" hidden="false" customHeight="true" outlineLevel="0" collapsed="false">
      <c r="A28" s="29" t="s">
        <v>138</v>
      </c>
      <c r="B28" s="22" t="s">
        <v>723</v>
      </c>
      <c r="C28" s="45" t="s">
        <v>724</v>
      </c>
      <c r="D28" s="22" t="s">
        <v>523</v>
      </c>
      <c r="E28" s="22" t="s">
        <v>725</v>
      </c>
      <c r="F28" s="22" t="s">
        <v>388</v>
      </c>
      <c r="G28" s="25" t="n">
        <f aca="false">C1594</f>
        <v>1622075804</v>
      </c>
      <c r="H28" s="41" t="n">
        <f aca="false">C1595</f>
        <v>44764</v>
      </c>
      <c r="I28" s="42" t="str">
        <f aca="false">C1596</f>
        <v>24 TRIMESTRES – IBR(3M)+3,78%</v>
      </c>
      <c r="J28" s="46" t="n">
        <f aca="false">IF(ISNUMBER(C1597),C1597,"Por fila")</f>
        <v>0.0318904961505968</v>
      </c>
      <c r="K28" s="46" t="n">
        <f aca="false">IFERROR(C1598,"N/A")</f>
        <v>0.0318904961505969</v>
      </c>
      <c r="L28" s="40" t="n">
        <f aca="false">IF(AND(ISNUMBER(J28),ISNUMBER(K28)),(K28-J28)*10000,"N/A")</f>
        <v>0</v>
      </c>
      <c r="M28" s="41" t="n">
        <f aca="false">I1594</f>
        <v>46225</v>
      </c>
      <c r="N28" s="25" t="n">
        <f aca="false">I1595</f>
        <v>968620472.418459</v>
      </c>
      <c r="O28" s="25" t="n">
        <f aca="false">IF(COUNTIF(Detalle_62!$C$14:$C$35,A28)&gt;0,SUMIFS(Detalle_62!$F$14:$F$35,Detalle_62!$C$14:$C$35,A28),"No está")</f>
        <v>968620472.418459</v>
      </c>
      <c r="P28" s="25" t="n">
        <f aca="false">IF(ISNUMBER(O28),N28-O28,"N/A")</f>
        <v>0</v>
      </c>
      <c r="Q28" s="25" t="n">
        <f aca="false">IFERROR(INDEX(Pruebas_Auditoria!$L$144:$L$183,MATCH("BOG-L557285005",Pruebas_Auditoria!$A$144:$A$183,0)),"N/D")</f>
        <v>984246886.51</v>
      </c>
      <c r="R28" s="25" t="n">
        <f aca="false">IF(ISNUMBER(Q28),N28-Q28,"N/D")</f>
        <v>-15626414.0915414</v>
      </c>
      <c r="S28" s="25" t="n">
        <f aca="false">I1597</f>
        <v>104728442.4778</v>
      </c>
      <c r="T28" s="25" t="n">
        <f aca="false">IFERROR(INDEX(Intereses_x_Obligacion!$I:$I,MATCH("BOG-L557285005",Intereses_x_Obligacion!$A:$A,0)),"N/D")</f>
        <v>89512386</v>
      </c>
      <c r="U28" s="25" t="n">
        <f aca="false">IF(ISNUMBER(T28),T28-S28,"N/D")</f>
        <v>-15216056.4777996</v>
      </c>
      <c r="V28" s="25" t="n">
        <f aca="false">MAX(I1598,0)</f>
        <v>278537651.756876</v>
      </c>
      <c r="W28" s="25" t="n">
        <f aca="false">IF(COUNTIF(Detalle_62!$C$14:$C$35,A28)&gt;0,SUMIFS(Detalle_62!$M$14:$M$35,Detalle_62!$C$14:$C$35,A28),"No está")</f>
        <v>722980190</v>
      </c>
      <c r="X28" s="25" t="n">
        <f aca="false">IF(ISNUMBER(W28),V28-W28,"N/A")</f>
        <v>-444442538.243124</v>
      </c>
      <c r="Y28" s="25" t="n">
        <f aca="false">I1599</f>
        <v>1.9371509552002E-007</v>
      </c>
      <c r="Z28" s="22" t="s">
        <v>100</v>
      </c>
      <c r="AA28" s="22" t="s">
        <v>100</v>
      </c>
      <c r="AB28" s="11" t="s">
        <v>726</v>
      </c>
    </row>
    <row r="29" customFormat="false" ht="48" hidden="false" customHeight="true" outlineLevel="0" collapsed="false">
      <c r="A29" s="29" t="s">
        <v>140</v>
      </c>
      <c r="B29" s="22" t="s">
        <v>727</v>
      </c>
      <c r="C29" s="45" t="s">
        <v>728</v>
      </c>
      <c r="D29" s="22" t="s">
        <v>382</v>
      </c>
      <c r="E29" s="22" t="s">
        <v>383</v>
      </c>
      <c r="F29" s="22" t="s">
        <v>170</v>
      </c>
      <c r="G29" s="25" t="n">
        <f aca="false">C1634</f>
        <v>2300000000</v>
      </c>
      <c r="H29" s="41" t="n">
        <f aca="false">C1635</f>
        <v>44547</v>
      </c>
      <c r="I29" s="42" t="str">
        <f aca="false">C1636</f>
        <v>60 meses – IBR 3MESES +2,4</v>
      </c>
      <c r="J29" s="46" t="str">
        <f aca="false">IF(ISNUMBER(C1637),C1637,"Por fila")</f>
        <v>Por fila</v>
      </c>
      <c r="K29" s="46" t="str">
        <f aca="false">IFERROR(C1638,"N/A")</f>
        <v>N/A</v>
      </c>
      <c r="L29" s="40" t="str">
        <f aca="false">IF(AND(ISNUMBER(J29),ISNUMBER(K29)),(K29-J29)*10000,"N/A")</f>
        <v>N/A</v>
      </c>
      <c r="M29" s="41" t="n">
        <f aca="false">I1634</f>
        <v>46220</v>
      </c>
      <c r="N29" s="25" t="n">
        <f aca="false">I1635</f>
        <v>287500000</v>
      </c>
      <c r="O29" s="25" t="n">
        <f aca="false">IF(COUNTIF(Detalle_62!$C$14:$C$35,A29)&gt;0,SUMIFS(Detalle_62!$F$14:$F$35,Detalle_62!$C$14:$C$35,A29),"No está")</f>
        <v>287500000</v>
      </c>
      <c r="P29" s="25" t="n">
        <f aca="false">IF(ISNUMBER(O29),N29-O29,"N/A")</f>
        <v>0</v>
      </c>
      <c r="Q29" s="25" t="n">
        <f aca="false">IFERROR(INDEX(Pruebas_Auditoria!$L$144:$L$183,MATCH("POP-631309940",Pruebas_Auditoria!$A$144:$A$183,0)),"N/D")</f>
        <v>287500000</v>
      </c>
      <c r="R29" s="25" t="n">
        <f aca="false">IF(ISNUMBER(Q29),N29-Q29,"N/D")</f>
        <v>0</v>
      </c>
      <c r="S29" s="25" t="n">
        <f aca="false">I1637</f>
        <v>36715666.6666667</v>
      </c>
      <c r="T29" s="25" t="n">
        <f aca="false">IFERROR(INDEX(Intereses_x_Obligacion!$I:$I,MATCH("POP-631309940",Intereses_x_Obligacion!$A:$A,0)),"N/D")</f>
        <v>34304862</v>
      </c>
      <c r="U29" s="25" t="n">
        <f aca="false">IF(ISNUMBER(T29),T29-S29,"N/D")</f>
        <v>-2410804.66666667</v>
      </c>
      <c r="V29" s="25" t="n">
        <f aca="false">MAX(I1638,0)</f>
        <v>287500000</v>
      </c>
      <c r="W29" s="25" t="n">
        <f aca="false">IF(COUNTIF(Detalle_62!$C$14:$C$35,A29)&gt;0,SUMIFS(Detalle_62!$M$14:$M$35,Detalle_62!$C$14:$C$35,A29),"No está")</f>
        <v>575000000</v>
      </c>
      <c r="X29" s="25" t="n">
        <f aca="false">IF(ISNUMBER(W29),V29-W29,"N/A")</f>
        <v>-287500000</v>
      </c>
      <c r="Y29" s="25" t="n">
        <f aca="false">I1639</f>
        <v>0</v>
      </c>
      <c r="Z29" s="28" t="n">
        <v>287148717.409759</v>
      </c>
      <c r="AA29" s="25" t="n">
        <f aca="false">IF(ISNUMBER(Z29),Z29-N29,"N/A")</f>
        <v>-351282.590240896</v>
      </c>
      <c r="AB29" s="11" t="s">
        <v>729</v>
      </c>
    </row>
    <row r="30" customFormat="false" ht="48" hidden="false" customHeight="true" outlineLevel="0" collapsed="false">
      <c r="A30" s="29" t="s">
        <v>730</v>
      </c>
      <c r="B30" s="22" t="s">
        <v>731</v>
      </c>
      <c r="C30" s="45" t="s">
        <v>732</v>
      </c>
      <c r="D30" s="22" t="s">
        <v>384</v>
      </c>
      <c r="E30" s="22" t="s">
        <v>733</v>
      </c>
      <c r="F30" s="22" t="s">
        <v>170</v>
      </c>
      <c r="G30" s="25" t="n">
        <f aca="false">C1710</f>
        <v>4700000000</v>
      </c>
      <c r="H30" s="41" t="n">
        <f aca="false">C1711</f>
        <v>46002</v>
      </c>
      <c r="I30" s="42" t="str">
        <f aca="false">C1712</f>
        <v>6 meses – IBR 3 MESES + 0,95%</v>
      </c>
      <c r="J30" s="46" t="str">
        <f aca="false">IF(ISNUMBER(C1713),C1713,"Por fila")</f>
        <v>Por fila</v>
      </c>
      <c r="K30" s="46" t="n">
        <f aca="false">IFERROR(C1714,"N/A")</f>
        <v>0.00992648677860791</v>
      </c>
      <c r="L30" s="40" t="str">
        <f aca="false">IF(AND(ISNUMBER(J30),ISNUMBER(K30)),(K30-J30)*10000,"N/A")</f>
        <v>N/A</v>
      </c>
      <c r="M30" s="41" t="n">
        <f aca="false">I1710</f>
        <v>46184</v>
      </c>
      <c r="N30" s="25" t="n">
        <f aca="false">I1711</f>
        <v>0</v>
      </c>
      <c r="O30" s="25" t="str">
        <f aca="false">IF(COUNTIF(Detalle_62!$C$14:$C$35,A30)&gt;0,SUMIFS(Detalle_62!$F$14:$F$35,Detalle_62!$C$14:$C$35,A30),"No está")</f>
        <v>No está</v>
      </c>
      <c r="P30" s="25" t="str">
        <f aca="false">IF(ISNUMBER(O30),N30-O30,"N/A")</f>
        <v>N/A</v>
      </c>
      <c r="Q30" s="25" t="str">
        <f aca="false">IFERROR(INDEX(Pruebas_Auditoria!$L$144:$L$183,MATCH("BBVA-9600277262",Pruebas_Auditoria!$A$144:$A$183,0)),"N/D")</f>
        <v>N/D</v>
      </c>
      <c r="R30" s="25" t="str">
        <f aca="false">IF(ISNUMBER(Q30),N30-Q30,"N/D")</f>
        <v>N/D</v>
      </c>
      <c r="S30" s="25" t="n">
        <f aca="false">I1713</f>
        <v>280170916.666667</v>
      </c>
      <c r="T30" s="25" t="str">
        <f aca="false">IFERROR(INDEX(Intereses_x_Obligacion!$I:$I,MATCH("BBVA-9600277262",Intereses_x_Obligacion!$A:$A,0)),"N/D")</f>
        <v>N/D</v>
      </c>
      <c r="U30" s="25" t="str">
        <f aca="false">IF(ISNUMBER(T30),T30-S30,"N/D")</f>
        <v>N/D</v>
      </c>
      <c r="V30" s="25" t="n">
        <f aca="false">MAX(I1714,0)</f>
        <v>0</v>
      </c>
      <c r="W30" s="25" t="str">
        <f aca="false">IF(COUNTIF(Detalle_62!$C$14:$C$35,A30)&gt;0,SUMIFS(Detalle_62!$M$14:$M$35,Detalle_62!$C$14:$C$35,A30),"No está")</f>
        <v>No está</v>
      </c>
      <c r="X30" s="25" t="str">
        <f aca="false">IF(ISNUMBER(W30),V30-W30,"N/A")</f>
        <v>N/A</v>
      </c>
      <c r="Y30" s="25" t="n">
        <f aca="false">I1715</f>
        <v>0</v>
      </c>
      <c r="Z30" s="28" t="n">
        <v>0</v>
      </c>
      <c r="AA30" s="25" t="n">
        <f aca="false">IF(ISNUMBER(Z30),Z30-N30,"N/A")</f>
        <v>0</v>
      </c>
      <c r="AB30" s="11" t="s">
        <v>734</v>
      </c>
    </row>
    <row r="31" customFormat="false" ht="48" hidden="false" customHeight="true" outlineLevel="0" collapsed="false">
      <c r="A31" s="29" t="s">
        <v>144</v>
      </c>
      <c r="B31" s="22" t="s">
        <v>735</v>
      </c>
      <c r="C31" s="45" t="s">
        <v>736</v>
      </c>
      <c r="D31" s="22" t="s">
        <v>737</v>
      </c>
      <c r="E31" s="22" t="s">
        <v>738</v>
      </c>
      <c r="F31" s="22" t="s">
        <v>170</v>
      </c>
      <c r="G31" s="25" t="n">
        <f aca="false">C1732</f>
        <v>5000000000</v>
      </c>
      <c r="H31" s="41" t="n">
        <f aca="false">C1733</f>
        <v>45768</v>
      </c>
      <c r="I31" s="42" t="str">
        <f aca="false">C1734</f>
        <v>36 meses – IBR 3 MESES + 1,5%</v>
      </c>
      <c r="J31" s="46" t="str">
        <f aca="false">IF(ISNUMBER(C1735),C1735,"Por fila")</f>
        <v>Por fila</v>
      </c>
      <c r="K31" s="46" t="n">
        <f aca="false">IFERROR(C1736,"N/A")</f>
        <v>0.00998937524782703</v>
      </c>
      <c r="L31" s="40" t="str">
        <f aca="false">IF(AND(ISNUMBER(J31),ISNUMBER(K31)),(K31-J31)*10000,"N/A")</f>
        <v>N/A</v>
      </c>
      <c r="M31" s="41" t="n">
        <f aca="false">I1732</f>
        <v>46224</v>
      </c>
      <c r="N31" s="25" t="n">
        <f aca="false">I1733</f>
        <v>3333333333.33333</v>
      </c>
      <c r="O31" s="25" t="n">
        <f aca="false">IF(COUNTIF(Detalle_62!$C$14:$C$35,A31)&gt;0,SUMIFS(Detalle_62!$F$14:$F$35,Detalle_62!$C$14:$C$35,A31),"No está")</f>
        <v>3333333333.33333</v>
      </c>
      <c r="P31" s="25" t="n">
        <f aca="false">IF(ISNUMBER(O31),N31-O31,"N/A")</f>
        <v>0</v>
      </c>
      <c r="Q31" s="25" t="n">
        <f aca="false">IFERROR(INDEX(Pruebas_Auditoria!$L$144:$L$183,MATCH("BCL-1260105867",Pruebas_Auditoria!$A$144:$A$183,0)),"N/D")</f>
        <v>3333333334</v>
      </c>
      <c r="R31" s="25" t="n">
        <f aca="false">IF(ISNUMBER(Q31),N31-Q31,"N/D")</f>
        <v>-0.666666984558106</v>
      </c>
      <c r="S31" s="25" t="n">
        <f aca="false">I1735</f>
        <v>311402777.777778</v>
      </c>
      <c r="T31" s="25" t="n">
        <f aca="false">IFERROR(INDEX(Intereses_x_Obligacion!$I:$I,MATCH("BCL-1260105867",Intereses_x_Obligacion!$A:$A,0)),"N/D")</f>
        <v>287833704</v>
      </c>
      <c r="U31" s="25" t="n">
        <f aca="false">IF(ISNUMBER(T31),T31-S31,"N/D")</f>
        <v>-23569073.7777778</v>
      </c>
      <c r="V31" s="25" t="n">
        <f aca="false">MAX(I1736,0)</f>
        <v>1666666666.66667</v>
      </c>
      <c r="W31" s="25" t="n">
        <f aca="false">IF(COUNTIF(Detalle_62!$C$14:$C$35,A31)&gt;0,SUMIFS(Detalle_62!$M$14:$M$35,Detalle_62!$C$14:$C$35,A31),"No está")</f>
        <v>1666666666.67</v>
      </c>
      <c r="X31" s="25" t="n">
        <f aca="false">IF(ISNUMBER(W31),V31-W31,"N/A")</f>
        <v>-0.00333309173583984</v>
      </c>
      <c r="Y31" s="25" t="n">
        <f aca="false">I1737</f>
        <v>0</v>
      </c>
      <c r="Z31" s="28" t="n">
        <v>3382118432.85125</v>
      </c>
      <c r="AA31" s="25" t="n">
        <f aca="false">IF(ISNUMBER(Z31),Z31-N31,"N/A")</f>
        <v>48785099.5179138</v>
      </c>
      <c r="AB31" s="11" t="s">
        <v>739</v>
      </c>
    </row>
    <row r="32" customFormat="false" ht="48" hidden="false" customHeight="true" outlineLevel="0" collapsed="false">
      <c r="A32" s="29" t="s">
        <v>145</v>
      </c>
      <c r="B32" s="22" t="s">
        <v>740</v>
      </c>
      <c r="C32" s="45" t="s">
        <v>741</v>
      </c>
      <c r="D32" s="22" t="s">
        <v>742</v>
      </c>
      <c r="E32" s="22" t="s">
        <v>740</v>
      </c>
      <c r="F32" s="22" t="s">
        <v>388</v>
      </c>
      <c r="G32" s="25" t="n">
        <f aca="false">C1784</f>
        <v>561680000</v>
      </c>
      <c r="H32" s="41" t="n">
        <f aca="false">C1785</f>
        <v>45730</v>
      </c>
      <c r="I32" s="42" t="str">
        <f aca="false">C1786</f>
        <v>60 MESES – IBR TV + 2,85%</v>
      </c>
      <c r="J32" s="46" t="n">
        <f aca="false">IF(ISNUMBER(C1787),C1787,"Por fila")</f>
        <v>0.0214501400540117</v>
      </c>
      <c r="K32" s="46" t="n">
        <f aca="false">IFERROR(C1788,"N/A")</f>
        <v>0.025689223703405</v>
      </c>
      <c r="L32" s="40" t="n">
        <f aca="false">IF(AND(ISNUMBER(J32),ISNUMBER(K32)),(K32-J32)*10000,"N/A")</f>
        <v>42.3908364939333</v>
      </c>
      <c r="M32" s="41" t="n">
        <f aca="false">I1784</f>
        <v>46187</v>
      </c>
      <c r="N32" s="25" t="n">
        <f aca="false">I1785</f>
        <v>524519291.134113</v>
      </c>
      <c r="O32" s="25" t="n">
        <f aca="false">IF(COUNTIF(Detalle_62!$C$14:$C$35,A32)&gt;0,SUMIFS(Detalle_62!$F$14:$F$35,Detalle_62!$C$14:$C$35,A32),"No está")</f>
        <v>497241599</v>
      </c>
      <c r="P32" s="25" t="n">
        <f aca="false">IF(ISNUMBER(O32),N32-O32,"N/A")</f>
        <v>27277692.1341134</v>
      </c>
      <c r="Q32" s="25" t="n">
        <f aca="false">IFERROR(INDEX(Pruebas_Auditoria!$L$144:$L$183,MATCH("BCL-L362095",Pruebas_Auditoria!$A$144:$A$183,0)),"N/D")</f>
        <v>448477372</v>
      </c>
      <c r="R32" s="25" t="n">
        <f aca="false">IF(ISNUMBER(Q32),N32-Q32,"N/D")</f>
        <v>76041919.1341134</v>
      </c>
      <c r="S32" s="25" t="n">
        <f aca="false">I1787</f>
        <v>20871066.3030259</v>
      </c>
      <c r="T32" s="25" t="n">
        <f aca="false">IFERROR(INDEX(Intereses_x_Obligacion!$I:$I,MATCH("BCL-L362095",Intereses_x_Obligacion!$A:$A,0)),"N/D")</f>
        <v>32199918</v>
      </c>
      <c r="U32" s="25" t="n">
        <f aca="false">IF(ISNUMBER(T32),T32-S32,"N/D")</f>
        <v>11328851.6969741</v>
      </c>
      <c r="V32" s="25" t="n">
        <f aca="false">MAX(I1788,0)</f>
        <v>148642835.463547</v>
      </c>
      <c r="W32" s="25" t="n">
        <f aca="false">IF(COUNTIF(Detalle_62!$C$14:$C$35,A32)&gt;0,SUMIFS(Detalle_62!$M$14:$M$35,Detalle_62!$C$14:$C$35,A32),"No está")</f>
        <v>154259653</v>
      </c>
      <c r="X32" s="25" t="n">
        <f aca="false">IF(ISNUMBER(W32),V32-W32,"N/A")</f>
        <v>-5616817.53645349</v>
      </c>
      <c r="Y32" s="25" t="n">
        <f aca="false">I1789</f>
        <v>5.21540641784668E-008</v>
      </c>
      <c r="Z32" s="22" t="s">
        <v>100</v>
      </c>
      <c r="AA32" s="22" t="s">
        <v>100</v>
      </c>
      <c r="AB32" s="11" t="s">
        <v>743</v>
      </c>
    </row>
    <row r="33" customFormat="false" ht="48" hidden="false" customHeight="true" outlineLevel="0" collapsed="false">
      <c r="A33" s="29" t="s">
        <v>146</v>
      </c>
      <c r="B33" s="22" t="s">
        <v>744</v>
      </c>
      <c r="C33" s="45" t="s">
        <v>745</v>
      </c>
      <c r="D33" s="22" t="s">
        <v>742</v>
      </c>
      <c r="E33" s="22" t="s">
        <v>744</v>
      </c>
      <c r="F33" s="22" t="s">
        <v>388</v>
      </c>
      <c r="G33" s="25" t="n">
        <f aca="false">C1820</f>
        <v>858438452</v>
      </c>
      <c r="H33" s="41" t="n">
        <f aca="false">C1821</f>
        <v>45804</v>
      </c>
      <c r="I33" s="42" t="str">
        <f aca="false">C1822</f>
        <v>72 MESES – IBR MV + 3,2%</v>
      </c>
      <c r="J33" s="46" t="n">
        <f aca="false">IF(ISNUMBER(C1823),C1823,"Por fila")</f>
        <v>0.00792035016710324</v>
      </c>
      <c r="K33" s="46" t="str">
        <f aca="false">IFERROR(C1824,"N/A")</f>
        <v>N/A</v>
      </c>
      <c r="L33" s="40" t="str">
        <f aca="false">IF(AND(ISNUMBER(J33),ISNUMBER(K33)),(K33-J33)*10000,"N/A")</f>
        <v>N/A</v>
      </c>
      <c r="M33" s="41" t="n">
        <f aca="false">I1820</f>
        <v>46230</v>
      </c>
      <c r="N33" s="25" t="n">
        <f aca="false">I1821</f>
        <v>770085425.158301</v>
      </c>
      <c r="O33" s="25" t="n">
        <f aca="false">IF(COUNTIF(Detalle_62!$C$14:$C$35,A33)&gt;0,SUMIFS(Detalle_62!$F$14:$F$35,Detalle_62!$C$14:$C$35,A33),"No está")</f>
        <v>770085425.158301</v>
      </c>
      <c r="P33" s="25" t="n">
        <f aca="false">IF(ISNUMBER(O33),N33-O33,"N/A")</f>
        <v>0</v>
      </c>
      <c r="Q33" s="25" t="n">
        <f aca="false">IFERROR(INDEX(Pruebas_Auditoria!$L$144:$L$183,MATCH("BCL-L336817",Pruebas_Auditoria!$A$144:$A$183,0)),"N/D")</f>
        <v>787729700</v>
      </c>
      <c r="R33" s="25" t="n">
        <f aca="false">IF(ISNUMBER(Q33),N33-Q33,"N/D")</f>
        <v>-17644274.8416994</v>
      </c>
      <c r="S33" s="25" t="n">
        <f aca="false">I1823</f>
        <v>44946958.2921088</v>
      </c>
      <c r="T33" s="25" t="n">
        <f aca="false">IFERROR(INDEX(Intereses_x_Obligacion!$I:$I,MATCH("BCL-L336817",Intereses_x_Obligacion!$A:$A,0)),"N/D")</f>
        <v>28583500</v>
      </c>
      <c r="U33" s="25" t="n">
        <f aca="false">IF(ISNUMBER(T33),T33-S33,"N/D")</f>
        <v>-16363458.2921088</v>
      </c>
      <c r="V33" s="25" t="n">
        <f aca="false">MAX(I1824,0)</f>
        <v>130316947.737682</v>
      </c>
      <c r="W33" s="25" t="n">
        <f aca="false">IF(COUNTIF(Detalle_62!$C$14:$C$35,A33)&gt;0,SUMIFS(Detalle_62!$M$14:$M$35,Detalle_62!$C$14:$C$35,A33),"No está")</f>
        <v>206513651</v>
      </c>
      <c r="X33" s="25" t="n">
        <f aca="false">IF(ISNUMBER(W33),V33-W33,"N/A")</f>
        <v>-76196703.2623185</v>
      </c>
      <c r="Y33" s="25" t="n">
        <f aca="false">I1825</f>
        <v>6.70552253723145E-008</v>
      </c>
      <c r="Z33" s="22" t="s">
        <v>100</v>
      </c>
      <c r="AA33" s="22" t="s">
        <v>100</v>
      </c>
      <c r="AB33" s="11" t="s">
        <v>746</v>
      </c>
    </row>
    <row r="34" customFormat="false" ht="48" hidden="false" customHeight="true" outlineLevel="0" collapsed="false">
      <c r="A34" s="29" t="s">
        <v>147</v>
      </c>
      <c r="B34" s="22" t="s">
        <v>747</v>
      </c>
      <c r="C34" s="45" t="s">
        <v>748</v>
      </c>
      <c r="D34" s="22" t="s">
        <v>742</v>
      </c>
      <c r="E34" s="22" t="s">
        <v>747</v>
      </c>
      <c r="F34" s="22" t="s">
        <v>388</v>
      </c>
      <c r="G34" s="25" t="n">
        <f aca="false">C1908</f>
        <v>915429932</v>
      </c>
      <c r="H34" s="41" t="n">
        <f aca="false">C1909</f>
        <v>45133</v>
      </c>
      <c r="I34" s="42" t="str">
        <f aca="false">C1910</f>
        <v>60 Meses – IBR+3,75%</v>
      </c>
      <c r="J34" s="46" t="n">
        <f aca="false">IF(ISNUMBER(C1911),C1911,"Por fila")</f>
        <v>0.0253937097041328</v>
      </c>
      <c r="K34" s="46" t="n">
        <f aca="false">IFERROR(C1912,"N/A")</f>
        <v>0.0228929357231654</v>
      </c>
      <c r="L34" s="40" t="n">
        <f aca="false">IF(AND(ISNUMBER(J34),ISNUMBER(K34)),(K34-J34)*10000,"N/A")</f>
        <v>-25.0077398096739</v>
      </c>
      <c r="M34" s="41" t="n">
        <f aca="false">I1908</f>
        <v>46229</v>
      </c>
      <c r="N34" s="25" t="n">
        <f aca="false">I1909</f>
        <v>503693510</v>
      </c>
      <c r="O34" s="25" t="n">
        <f aca="false">IF(COUNTIF(Detalle_62!$C$14:$C$35,A34)&gt;0,SUMIFS(Detalle_62!$F$14:$F$35,Detalle_62!$C$14:$C$35,A34),"No está")</f>
        <v>503693510</v>
      </c>
      <c r="P34" s="25" t="n">
        <f aca="false">IF(ISNUMBER(O34),N34-O34,"N/A")</f>
        <v>0</v>
      </c>
      <c r="Q34" s="25" t="n">
        <f aca="false">IFERROR(INDEX(Pruebas_Auditoria!$L$144:$L$183,MATCH("BCL-L331330",Pruebas_Auditoria!$A$144:$A$183,0)),"N/D")</f>
        <v>488525504</v>
      </c>
      <c r="R34" s="25" t="n">
        <f aca="false">IF(ISNUMBER(Q34),N34-Q34,"N/D")</f>
        <v>15168006</v>
      </c>
      <c r="S34" s="25" t="n">
        <f aca="false">I1911</f>
        <v>99905792.5025106</v>
      </c>
      <c r="T34" s="25" t="n">
        <f aca="false">IFERROR(INDEX(Intereses_x_Obligacion!$I:$I,MATCH("BCL-L331330",Intereses_x_Obligacion!$A:$A,0)),"N/D")</f>
        <v>26060708</v>
      </c>
      <c r="U34" s="25" t="n">
        <f aca="false">IF(ISNUMBER(T34),T34-S34,"N/D")</f>
        <v>-73845084.5025106</v>
      </c>
      <c r="V34" s="25" t="n">
        <f aca="false">MAX(I1912,0)</f>
        <v>175036572</v>
      </c>
      <c r="W34" s="25" t="n">
        <f aca="false">IF(COUNTIF(Detalle_62!$C$14:$C$35,A34)&gt;0,SUMIFS(Detalle_62!$M$14:$M$35,Detalle_62!$C$14:$C$35,A34),"No está")</f>
        <v>388559429</v>
      </c>
      <c r="X34" s="25" t="n">
        <f aca="false">IF(ISNUMBER(W34),V34-W34,"N/A")</f>
        <v>-213522857</v>
      </c>
      <c r="Y34" s="25" t="n">
        <f aca="false">I1913</f>
        <v>0</v>
      </c>
      <c r="Z34" s="22" t="s">
        <v>100</v>
      </c>
      <c r="AA34" s="22" t="s">
        <v>100</v>
      </c>
      <c r="AB34" s="11" t="s">
        <v>749</v>
      </c>
    </row>
    <row r="35" customFormat="false" ht="48" hidden="false" customHeight="true" outlineLevel="0" collapsed="false">
      <c r="A35" s="29" t="s">
        <v>750</v>
      </c>
      <c r="B35" s="22" t="s">
        <v>751</v>
      </c>
      <c r="C35" s="45" t="s">
        <v>752</v>
      </c>
      <c r="D35" s="22" t="s">
        <v>753</v>
      </c>
      <c r="E35" s="22" t="s">
        <v>754</v>
      </c>
      <c r="F35" s="22" t="s">
        <v>170</v>
      </c>
      <c r="G35" s="25" t="n">
        <f aca="false">C1984</f>
        <v>72300000000</v>
      </c>
      <c r="H35" s="41" t="n">
        <f aca="false">C1985</f>
        <v>45807</v>
      </c>
      <c r="I35" s="42" t="str">
        <f aca="false">C1986</f>
        <v>24 meses – IBR 3 MESES + 2,2%</v>
      </c>
      <c r="J35" s="46" t="str">
        <f aca="false">IF(ISNUMBER(C1987),C1987,"Por fila")</f>
        <v>Por fila</v>
      </c>
      <c r="K35" s="46" t="n">
        <f aca="false">IFERROR(C1988,"N/A")</f>
        <v>0.0106889552420913</v>
      </c>
      <c r="L35" s="40" t="str">
        <f aca="false">IF(AND(ISNUMBER(J35),ISNUMBER(K35)),(K35-J35)*10000,"N/A")</f>
        <v>N/A</v>
      </c>
      <c r="M35" s="41" t="n">
        <f aca="false">I1984</f>
        <v>46233</v>
      </c>
      <c r="N35" s="25" t="n">
        <f aca="false">I1985</f>
        <v>72300000000</v>
      </c>
      <c r="O35" s="25" t="str">
        <f aca="false">IF(COUNTIF(Detalle_62!$C$14:$C$35,A35)&gt;0,SUMIFS(Detalle_62!$F$14:$F$35,Detalle_62!$C$14:$C$35,A35),"No está")</f>
        <v>No está</v>
      </c>
      <c r="P35" s="25" t="str">
        <f aca="false">IF(ISNUMBER(O35),N35-O35,"N/A")</f>
        <v>N/A</v>
      </c>
      <c r="Q35" s="25" t="str">
        <f aca="false">IFERROR(INDEX(Pruebas_Auditoria!$L$144:$L$183,MATCH("DYP-482800190700",Pruebas_Auditoria!$A$144:$A$183,0)),"N/D")</f>
        <v>N/D</v>
      </c>
      <c r="R35" s="25" t="str">
        <f aca="false">IF(ISNUMBER(Q35),N35-Q35,"N/D")</f>
        <v>N/D</v>
      </c>
      <c r="S35" s="25" t="n">
        <f aca="false">I1987</f>
        <v>5585235250</v>
      </c>
      <c r="T35" s="25" t="str">
        <f aca="false">IFERROR(INDEX(Intereses_x_Obligacion!$I:$I,MATCH("DYP-482800190700",Intereses_x_Obligacion!$A:$A,0)),"N/D")</f>
        <v>N/D</v>
      </c>
      <c r="U35" s="25" t="str">
        <f aca="false">IF(ISNUMBER(T35),T35-S35,"N/D")</f>
        <v>N/D</v>
      </c>
      <c r="V35" s="25" t="n">
        <f aca="false">MAX(I1988,0)</f>
        <v>72300000000</v>
      </c>
      <c r="W35" s="25" t="str">
        <f aca="false">IF(COUNTIF(Detalle_62!$C$14:$C$35,A35)&gt;0,SUMIFS(Detalle_62!$M$14:$M$35,Detalle_62!$C$14:$C$35,A35),"No está")</f>
        <v>No está</v>
      </c>
      <c r="X35" s="25" t="str">
        <f aca="false">IF(ISNUMBER(W35),V35-W35,"N/A")</f>
        <v>N/A</v>
      </c>
      <c r="Y35" s="25" t="n">
        <f aca="false">I1989</f>
        <v>0</v>
      </c>
      <c r="Z35" s="28" t="n">
        <v>72948851615.615</v>
      </c>
      <c r="AA35" s="25" t="n">
        <f aca="false">IF(ISNUMBER(Z35),Z35-N35,"N/A")</f>
        <v>648851615.61499</v>
      </c>
      <c r="AB35" s="11" t="s">
        <v>755</v>
      </c>
    </row>
    <row r="36" customFormat="false" ht="48" hidden="false" customHeight="true" outlineLevel="0" collapsed="false">
      <c r="A36" s="29" t="s">
        <v>756</v>
      </c>
      <c r="B36" s="22" t="s">
        <v>757</v>
      </c>
      <c r="C36" s="45" t="s">
        <v>758</v>
      </c>
      <c r="D36" s="22" t="s">
        <v>759</v>
      </c>
      <c r="E36" s="22" t="s">
        <v>760</v>
      </c>
      <c r="F36" s="22" t="s">
        <v>388</v>
      </c>
      <c r="G36" s="25" t="n">
        <f aca="false">C2024</f>
        <v>142000000</v>
      </c>
      <c r="H36" s="41" t="n">
        <f aca="false">C2025</f>
        <v>44281</v>
      </c>
      <c r="I36" s="42" t="str">
        <f aca="false">C2026</f>
        <v>60 MESES – DTF MV + 6</v>
      </c>
      <c r="J36" s="46" t="n">
        <f aca="false">IF(ISNUMBER(C2027),C2027,"Por fila")</f>
        <v>-0.0458764589719203</v>
      </c>
      <c r="K36" s="46" t="str">
        <f aca="false">IFERROR(C2028,"N/A")</f>
        <v>N/A</v>
      </c>
      <c r="L36" s="40" t="str">
        <f aca="false">IF(AND(ISNUMBER(J36),ISNUMBER(K36)),(K36-J36)*10000,"N/A")</f>
        <v>N/A</v>
      </c>
      <c r="M36" s="41" t="n">
        <f aca="false">I2024</f>
        <v>45133</v>
      </c>
      <c r="N36" s="25" t="n">
        <f aca="false">I2025</f>
        <v>6.05359673500061E-008</v>
      </c>
      <c r="O36" s="25" t="str">
        <f aca="false">IF(COUNTIF(Detalle_62!$C$14:$C$35,A36)&gt;0,SUMIFS(Detalle_62!$F$14:$F$35,Detalle_62!$C$14:$C$35,A36),"No está")</f>
        <v>No está</v>
      </c>
      <c r="P36" s="25" t="str">
        <f aca="false">IF(ISNUMBER(O36),N36-O36,"N/A")</f>
        <v>N/A</v>
      </c>
      <c r="Q36" s="25" t="str">
        <f aca="false">IFERROR(INDEX(Pruebas_Auditoria!$L$144:$L$183,MATCH("DAV-L1013934",Pruebas_Auditoria!$A$144:$A$183,0)),"N/D")</f>
        <v>N/D</v>
      </c>
      <c r="R36" s="25" t="str">
        <f aca="false">IF(ISNUMBER(Q36),N36-Q36,"N/D")</f>
        <v>N/D</v>
      </c>
      <c r="S36" s="25" t="n">
        <f aca="false">I2027</f>
        <v>0</v>
      </c>
      <c r="T36" s="25" t="str">
        <f aca="false">IFERROR(INDEX(Intereses_x_Obligacion!$I:$I,MATCH("DAV-L1013934",Intereses_x_Obligacion!$A:$A,0)),"N/D")</f>
        <v>N/D</v>
      </c>
      <c r="U36" s="25" t="str">
        <f aca="false">IF(ISNUMBER(T36),T36-S36,"N/D")</f>
        <v>N/D</v>
      </c>
      <c r="V36" s="25" t="n">
        <f aca="false">MAX(I2028,0)</f>
        <v>0</v>
      </c>
      <c r="W36" s="25" t="str">
        <f aca="false">IF(COUNTIF(Detalle_62!$C$14:$C$35,A36)&gt;0,SUMIFS(Detalle_62!$M$14:$M$35,Detalle_62!$C$14:$C$35,A36),"No está")</f>
        <v>No está</v>
      </c>
      <c r="X36" s="25" t="str">
        <f aca="false">IF(ISNUMBER(W36),V36-W36,"N/A")</f>
        <v>N/A</v>
      </c>
      <c r="Y36" s="25" t="n">
        <f aca="false">I2029</f>
        <v>3.72529029846191E-009</v>
      </c>
      <c r="Z36" s="22" t="s">
        <v>100</v>
      </c>
      <c r="AA36" s="22" t="s">
        <v>100</v>
      </c>
      <c r="AB36" s="11" t="s">
        <v>761</v>
      </c>
    </row>
    <row r="37" customFormat="false" ht="15" hidden="false" customHeight="false" outlineLevel="0" collapsed="false">
      <c r="A37" s="36" t="s">
        <v>762</v>
      </c>
      <c r="N37" s="37" t="n">
        <f aca="false">SUMIFS(N12:N36,$A$12:$A$36,"&lt;&gt;DYP*",$A$12:$A$36,"&lt;&gt;DAV-L1013934",$A$12:$A$36,"&lt;&gt;BOG-1155297469",$A$12:$A$36,"&lt;&gt;BBVA-9600277262")</f>
        <v>40513189813.0966</v>
      </c>
      <c r="O37" s="37" t="n">
        <f aca="false">SUMIFS(O12:O36,$A$12:$A$36,"&lt;&gt;DYP*",$A$12:$A$36,"&lt;&gt;DAV-L1013934",$A$12:$A$36,"&lt;&gt;BOG-1155297469",$A$12:$A$36,"&lt;&gt;BBVA-9600277262")</f>
        <v>40485912116.9625</v>
      </c>
      <c r="Q37" s="37" t="n">
        <f aca="false">SUMIFS(Q12:Q36,$A$12:$A$36,"&lt;&gt;DYP*",$A$12:$A$36,"&lt;&gt;DAV-L1013934",$A$12:$A$36,"&lt;&gt;BOG-1155297469",$A$12:$A$36,"&lt;&gt;BBVA-9600277262")</f>
        <v>40614470338.59</v>
      </c>
      <c r="S37" s="37" t="n">
        <f aca="false">SUMIFS(S12:S36,$A$12:$A$36,"&lt;&gt;DYP*",$A$12:$A$36,"&lt;&gt;DAV-L1013934",$A$12:$A$36,"&lt;&gt;BOG-1155297469",$A$12:$A$36,"&lt;&gt;BBVA-9600277262")</f>
        <v>3379246978.79818</v>
      </c>
      <c r="T37" s="37" t="n">
        <f aca="false">SUMIFS(T12:T36,$A$12:$A$36,"&lt;&gt;DYP*",$A$12:$A$36,"&lt;&gt;DAV-L1013934",$A$12:$A$36,"&lt;&gt;BOG-1155297469",$A$12:$A$36,"&lt;&gt;BBVA-9600277262")</f>
        <v>3002309005.36</v>
      </c>
      <c r="V37" s="37" t="n">
        <f aca="false">SUMIFS(V12:V36,$A$12:$A$36,"&lt;&gt;DYP*",$A$12:$A$36,"&lt;&gt;DAV-L1013934",$A$12:$A$36,"&lt;&gt;BOG-1155297469",$A$12:$A$36,"&lt;&gt;BBVA-9600277262")</f>
        <v>5400849180.41412</v>
      </c>
      <c r="W37" s="37" t="n">
        <f aca="false">SUMIFS(W12:W36,$A$12:$A$36,"&lt;&gt;DYP*",$A$12:$A$36,"&lt;&gt;DAV-L1013934",$A$12:$A$36,"&lt;&gt;BOG-1155297469",$A$12:$A$36,"&lt;&gt;BBVA-9600277262")</f>
        <v>16928998619.5403</v>
      </c>
    </row>
    <row r="39" customFormat="false" ht="15" hidden="false" customHeight="false" outlineLevel="0" collapsed="false">
      <c r="A39" s="21" t="s">
        <v>763</v>
      </c>
    </row>
    <row r="40" customFormat="false" ht="27.75" hidden="false" customHeight="true" outlineLevel="0" collapsed="false">
      <c r="A40" s="3" t="s">
        <v>764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customFormat="false" ht="27.75" hidden="false" customHeight="true" outlineLevel="0" collapsed="false">
      <c r="A41" s="3" t="s">
        <v>765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customFormat="false" ht="27.75" hidden="false" customHeight="true" outlineLevel="0" collapsed="false">
      <c r="A42" s="3" t="s">
        <v>766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customFormat="false" ht="27.75" hidden="false" customHeight="true" outlineLevel="0" collapsed="false">
      <c r="A43" s="3" t="s">
        <v>767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customFormat="false" ht="27.75" hidden="false" customHeight="true" outlineLevel="0" collapsed="false">
      <c r="A44" s="3" t="s">
        <v>768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7" customFormat="false" ht="15" hidden="false" customHeight="false" outlineLevel="0" collapsed="false">
      <c r="A47" s="33" t="s">
        <v>769</v>
      </c>
    </row>
    <row r="48" customFormat="false" ht="15" hidden="false" customHeight="false" outlineLevel="0" collapsed="false">
      <c r="A48" s="34" t="s">
        <v>770</v>
      </c>
    </row>
    <row r="49" customFormat="false" ht="15" hidden="false" customHeight="false" outlineLevel="0" collapsed="false">
      <c r="A49" s="19" t="s">
        <v>771</v>
      </c>
    </row>
    <row r="50" customFormat="false" ht="15" hidden="false" customHeight="false" outlineLevel="0" collapsed="false">
      <c r="A50" s="20" t="s">
        <v>772</v>
      </c>
    </row>
    <row r="51" customFormat="false" ht="15" hidden="false" customHeight="false" outlineLevel="0" collapsed="false">
      <c r="A51" s="29" t="s">
        <v>773</v>
      </c>
      <c r="C51" s="22" t="s">
        <v>774</v>
      </c>
      <c r="F51" s="47" t="s">
        <v>775</v>
      </c>
    </row>
    <row r="52" customFormat="false" ht="15" hidden="false" customHeight="false" outlineLevel="0" collapsed="false">
      <c r="A52" s="29" t="s">
        <v>640</v>
      </c>
      <c r="C52" s="28" t="n">
        <v>726630000</v>
      </c>
      <c r="F52" s="22" t="s">
        <v>776</v>
      </c>
      <c r="I52" s="41" t="n">
        <f aca="false">_xlfn.MAXIFS($B$60:$B$120,$B$60:$B$120,"&lt;="&amp;Resumen!$C$5)</f>
        <v>46214</v>
      </c>
    </row>
    <row r="53" customFormat="false" ht="15" hidden="false" customHeight="false" outlineLevel="0" collapsed="false">
      <c r="A53" s="29" t="s">
        <v>641</v>
      </c>
      <c r="C53" s="23" t="n">
        <v>45210</v>
      </c>
      <c r="F53" s="22" t="s">
        <v>777</v>
      </c>
      <c r="I53" s="25" t="n">
        <f aca="false">SUMIFS($G$60:$G$120,$B$60:$B$120,I52)</f>
        <v>398582167.21439</v>
      </c>
    </row>
    <row r="54" customFormat="false" ht="15" hidden="false" customHeight="false" outlineLevel="0" collapsed="false">
      <c r="A54" s="29" t="s">
        <v>778</v>
      </c>
      <c r="C54" s="22" t="s">
        <v>779</v>
      </c>
      <c r="F54" s="22" t="s">
        <v>780</v>
      </c>
      <c r="I54" s="25" t="n">
        <f aca="false">SUMIFS($J$60:$J$120,$B$60:$B$120,I52)</f>
        <v>398582167.21439</v>
      </c>
    </row>
    <row r="55" customFormat="false" ht="15" hidden="false" customHeight="false" outlineLevel="0" collapsed="false">
      <c r="A55" s="29" t="s">
        <v>781</v>
      </c>
      <c r="C55" s="48" t="n">
        <v>0.0133570443058773</v>
      </c>
      <c r="F55" s="22" t="s">
        <v>650</v>
      </c>
      <c r="I55" s="25" t="n">
        <f aca="false">SUMIFS($D$60:$D$120,$O$60:$O$120,1)</f>
        <v>41709581.6713573</v>
      </c>
    </row>
    <row r="56" customFormat="false" ht="15" hidden="false" customHeight="false" outlineLevel="0" collapsed="false">
      <c r="A56" s="29" t="s">
        <v>782</v>
      </c>
      <c r="C56" s="49" t="n">
        <f aca="false">IFERROR(IRR($M$60:$M$120),"N/A")</f>
        <v>0.013357044305877</v>
      </c>
      <c r="F56" s="22" t="s">
        <v>783</v>
      </c>
      <c r="I56" s="25" t="n">
        <f aca="false">SUMIFS($E$60:$E$120,$P$60:$P$120,1)</f>
        <v>159681765.768447</v>
      </c>
    </row>
    <row r="57" customFormat="false" ht="15" hidden="false" customHeight="false" outlineLevel="0" collapsed="false">
      <c r="A57" s="29" t="s">
        <v>784</v>
      </c>
      <c r="C57" s="50" t="n">
        <f aca="false">IF(ISNUMBER(C56),(1+C56)^12-1,"N/A")</f>
        <v>0.1726</v>
      </c>
      <c r="F57" s="22" t="s">
        <v>785</v>
      </c>
      <c r="I57" s="25" t="n">
        <f aca="false">SUMPRODUCT(MAX(ABS($L$60:$L$120)))</f>
        <v>7.45058059692383E-009</v>
      </c>
    </row>
    <row r="59" customFormat="false" ht="36" hidden="false" customHeight="true" outlineLevel="0" collapsed="false">
      <c r="A59" s="27" t="s">
        <v>786</v>
      </c>
      <c r="B59" s="27" t="s">
        <v>396</v>
      </c>
      <c r="C59" s="27" t="s">
        <v>787</v>
      </c>
      <c r="D59" s="27" t="s">
        <v>788</v>
      </c>
      <c r="E59" s="27" t="s">
        <v>789</v>
      </c>
      <c r="F59" s="27" t="s">
        <v>790</v>
      </c>
      <c r="G59" s="27" t="s">
        <v>791</v>
      </c>
      <c r="H59" s="27" t="s">
        <v>792</v>
      </c>
      <c r="I59" s="27" t="s">
        <v>793</v>
      </c>
      <c r="J59" s="27" t="s">
        <v>794</v>
      </c>
      <c r="K59" s="27" t="s">
        <v>795</v>
      </c>
      <c r="L59" s="27" t="s">
        <v>796</v>
      </c>
      <c r="M59" s="27" t="s">
        <v>797</v>
      </c>
      <c r="N59" s="27" t="s">
        <v>798</v>
      </c>
      <c r="O59" s="27" t="s">
        <v>799</v>
      </c>
      <c r="P59" s="27" t="s">
        <v>800</v>
      </c>
    </row>
    <row r="60" customFormat="false" ht="15" hidden="false" customHeight="false" outlineLevel="0" collapsed="false">
      <c r="A60" s="22" t="n">
        <v>0</v>
      </c>
      <c r="B60" s="23" t="n">
        <v>45210</v>
      </c>
      <c r="C60" s="28"/>
      <c r="D60" s="28" t="n">
        <v>0</v>
      </c>
      <c r="E60" s="28" t="n">
        <v>0</v>
      </c>
      <c r="F60" s="28" t="n">
        <v>0</v>
      </c>
      <c r="G60" s="28" t="n">
        <v>726630000</v>
      </c>
      <c r="H60" s="25" t="n">
        <f aca="false">G60</f>
        <v>726630000</v>
      </c>
      <c r="I60" s="28" t="n">
        <v>0</v>
      </c>
      <c r="J60" s="25" t="n">
        <f aca="false">H60</f>
        <v>726630000</v>
      </c>
      <c r="K60" s="25" t="n">
        <f aca="false">D60-I60</f>
        <v>0</v>
      </c>
      <c r="L60" s="25" t="n">
        <f aca="false">G60-J60</f>
        <v>0</v>
      </c>
      <c r="M60" s="25" t="n">
        <f aca="false">-$C$52</f>
        <v>-726630000</v>
      </c>
      <c r="N60" s="49" t="n">
        <f aca="false">$C$55</f>
        <v>0.0133570443058773</v>
      </c>
      <c r="O60" s="25" t="n">
        <f aca="false">IF(AND(B60&gt;=DATE(2026,1,1),B60&lt;=Resumen!$C$5),1,0)</f>
        <v>0</v>
      </c>
      <c r="P60" s="25" t="n">
        <f aca="false">IF(AND(B60&gt;Resumen!$C$5,B60&lt;=DATE(2027,7,31)),1,0)</f>
        <v>0</v>
      </c>
    </row>
    <row r="61" customFormat="false" ht="15" hidden="false" customHeight="false" outlineLevel="0" collapsed="false">
      <c r="A61" s="22" t="n">
        <v>1</v>
      </c>
      <c r="B61" s="23" t="n">
        <v>45241</v>
      </c>
      <c r="C61" s="28" t="n">
        <v>726630000</v>
      </c>
      <c r="D61" s="28" t="n">
        <v>9705629.10397959</v>
      </c>
      <c r="E61" s="28" t="n">
        <v>7975587.87595463</v>
      </c>
      <c r="F61" s="28" t="n">
        <v>17681216.9799342</v>
      </c>
      <c r="G61" s="28" t="n">
        <v>718654412.124045</v>
      </c>
      <c r="H61" s="25" t="n">
        <f aca="false">J60</f>
        <v>726630000</v>
      </c>
      <c r="I61" s="25" t="n">
        <f aca="false">H61*N61</f>
        <v>9705629.10397959</v>
      </c>
      <c r="J61" s="25" t="n">
        <f aca="false">H61+I61-F61</f>
        <v>718654412.124045</v>
      </c>
      <c r="K61" s="25" t="n">
        <f aca="false">D61-I61</f>
        <v>0</v>
      </c>
      <c r="L61" s="25" t="n">
        <f aca="false">G61-J61</f>
        <v>0</v>
      </c>
      <c r="M61" s="25" t="n">
        <f aca="false">F61</f>
        <v>17681216.9799342</v>
      </c>
      <c r="N61" s="49" t="n">
        <f aca="false">$C$55</f>
        <v>0.0133570443058773</v>
      </c>
      <c r="O61" s="25" t="n">
        <f aca="false">IF(AND(B61&gt;=DATE(2026,1,1),B61&lt;=Resumen!$C$5),1,0)</f>
        <v>0</v>
      </c>
      <c r="P61" s="25" t="n">
        <f aca="false">IF(AND(B61&gt;Resumen!$C$5,B61&lt;=DATE(2027,7,31)),1,0)</f>
        <v>0</v>
      </c>
    </row>
    <row r="62" customFormat="false" ht="15" hidden="false" customHeight="false" outlineLevel="0" collapsed="false">
      <c r="A62" s="22" t="n">
        <v>2</v>
      </c>
      <c r="B62" s="23" t="n">
        <v>45271</v>
      </c>
      <c r="C62" s="28" t="n">
        <v>718654412.124045</v>
      </c>
      <c r="D62" s="28" t="n">
        <v>9599098.82335505</v>
      </c>
      <c r="E62" s="28" t="n">
        <v>8082118.15657914</v>
      </c>
      <c r="F62" s="28" t="n">
        <v>17681216.9799342</v>
      </c>
      <c r="G62" s="28" t="n">
        <v>710572293.967466</v>
      </c>
      <c r="H62" s="25" t="n">
        <f aca="false">J61</f>
        <v>718654412.124045</v>
      </c>
      <c r="I62" s="25" t="n">
        <f aca="false">H62*N62</f>
        <v>9599098.82335504</v>
      </c>
      <c r="J62" s="25" t="n">
        <f aca="false">H62+I62-F62</f>
        <v>710572293.967466</v>
      </c>
      <c r="K62" s="25" t="n">
        <f aca="false">D62-I62</f>
        <v>0</v>
      </c>
      <c r="L62" s="25" t="n">
        <f aca="false">G62-J62</f>
        <v>0</v>
      </c>
      <c r="M62" s="25" t="n">
        <f aca="false">F62</f>
        <v>17681216.9799342</v>
      </c>
      <c r="N62" s="49" t="n">
        <f aca="false">$C$55</f>
        <v>0.0133570443058773</v>
      </c>
      <c r="O62" s="25" t="n">
        <f aca="false">IF(AND(B62&gt;=DATE(2026,1,1),B62&lt;=Resumen!$C$5),1,0)</f>
        <v>0</v>
      </c>
      <c r="P62" s="25" t="n">
        <f aca="false">IF(AND(B62&gt;Resumen!$C$5,B62&lt;=DATE(2027,7,31)),1,0)</f>
        <v>0</v>
      </c>
    </row>
    <row r="63" customFormat="false" ht="15" hidden="false" customHeight="false" outlineLevel="0" collapsed="false">
      <c r="A63" s="22" t="n">
        <v>3</v>
      </c>
      <c r="B63" s="23" t="n">
        <v>45302</v>
      </c>
      <c r="C63" s="28" t="n">
        <v>710572293.967466</v>
      </c>
      <c r="D63" s="28" t="n">
        <v>9491145.61305228</v>
      </c>
      <c r="E63" s="28" t="n">
        <v>8190071.36688197</v>
      </c>
      <c r="F63" s="28" t="n">
        <v>17681216.9799343</v>
      </c>
      <c r="G63" s="28" t="n">
        <v>702382222.600584</v>
      </c>
      <c r="H63" s="25" t="n">
        <f aca="false">J62</f>
        <v>710572293.967466</v>
      </c>
      <c r="I63" s="25" t="n">
        <f aca="false">H63*N63</f>
        <v>9491145.61305228</v>
      </c>
      <c r="J63" s="25" t="n">
        <f aca="false">H63+I63-F63</f>
        <v>702382222.600584</v>
      </c>
      <c r="K63" s="25" t="n">
        <f aca="false">D63-I63</f>
        <v>0</v>
      </c>
      <c r="L63" s="25" t="n">
        <f aca="false">G63-J63</f>
        <v>0</v>
      </c>
      <c r="M63" s="25" t="n">
        <f aca="false">F63</f>
        <v>17681216.9799343</v>
      </c>
      <c r="N63" s="49" t="n">
        <f aca="false">$C$55</f>
        <v>0.0133570443058773</v>
      </c>
      <c r="O63" s="25" t="n">
        <f aca="false">IF(AND(B63&gt;=DATE(2026,1,1),B63&lt;=Resumen!$C$5),1,0)</f>
        <v>0</v>
      </c>
      <c r="P63" s="25" t="n">
        <f aca="false">IF(AND(B63&gt;Resumen!$C$5,B63&lt;=DATE(2027,7,31)),1,0)</f>
        <v>0</v>
      </c>
    </row>
    <row r="64" customFormat="false" ht="15" hidden="false" customHeight="false" outlineLevel="0" collapsed="false">
      <c r="A64" s="22" t="n">
        <v>4</v>
      </c>
      <c r="B64" s="23" t="n">
        <v>45333</v>
      </c>
      <c r="C64" s="28" t="n">
        <v>702382222.600584</v>
      </c>
      <c r="D64" s="28" t="n">
        <v>9381750.46693654</v>
      </c>
      <c r="E64" s="28" t="n">
        <v>8299466.51299763</v>
      </c>
      <c r="F64" s="28" t="n">
        <v>17681216.9799342</v>
      </c>
      <c r="G64" s="28" t="n">
        <v>694082756.087587</v>
      </c>
      <c r="H64" s="25" t="n">
        <f aca="false">J63</f>
        <v>702382222.600584</v>
      </c>
      <c r="I64" s="25" t="n">
        <f aca="false">H64*N64</f>
        <v>9381750.46693654</v>
      </c>
      <c r="J64" s="25" t="n">
        <f aca="false">H64+I64-F64</f>
        <v>694082756.087587</v>
      </c>
      <c r="K64" s="25" t="n">
        <f aca="false">D64-I64</f>
        <v>0</v>
      </c>
      <c r="L64" s="25" t="n">
        <f aca="false">G64-J64</f>
        <v>0</v>
      </c>
      <c r="M64" s="25" t="n">
        <f aca="false">F64</f>
        <v>17681216.9799342</v>
      </c>
      <c r="N64" s="49" t="n">
        <f aca="false">$C$55</f>
        <v>0.0133570443058773</v>
      </c>
      <c r="O64" s="25" t="n">
        <f aca="false">IF(AND(B64&gt;=DATE(2026,1,1),B64&lt;=Resumen!$C$5),1,0)</f>
        <v>0</v>
      </c>
      <c r="P64" s="25" t="n">
        <f aca="false">IF(AND(B64&gt;Resumen!$C$5,B64&lt;=DATE(2027,7,31)),1,0)</f>
        <v>0</v>
      </c>
    </row>
    <row r="65" customFormat="false" ht="15" hidden="false" customHeight="false" outlineLevel="0" collapsed="false">
      <c r="A65" s="22" t="n">
        <v>5</v>
      </c>
      <c r="B65" s="23" t="n">
        <v>45362</v>
      </c>
      <c r="C65" s="28" t="n">
        <v>694082756.087587</v>
      </c>
      <c r="D65" s="28" t="n">
        <v>9270894.12500729</v>
      </c>
      <c r="E65" s="28" t="n">
        <v>8410322.85492694</v>
      </c>
      <c r="F65" s="28" t="n">
        <v>17681216.9799342</v>
      </c>
      <c r="G65" s="28" t="n">
        <v>685672433.23266</v>
      </c>
      <c r="H65" s="25" t="n">
        <f aca="false">J64</f>
        <v>694082756.087587</v>
      </c>
      <c r="I65" s="25" t="n">
        <f aca="false">H65*N65</f>
        <v>9270894.12500729</v>
      </c>
      <c r="J65" s="25" t="n">
        <f aca="false">H65+I65-F65</f>
        <v>685672433.23266</v>
      </c>
      <c r="K65" s="25" t="n">
        <f aca="false">D65-I65</f>
        <v>0</v>
      </c>
      <c r="L65" s="25" t="n">
        <f aca="false">G65-J65</f>
        <v>0</v>
      </c>
      <c r="M65" s="25" t="n">
        <f aca="false">F65</f>
        <v>17681216.9799342</v>
      </c>
      <c r="N65" s="49" t="n">
        <f aca="false">$C$55</f>
        <v>0.0133570443058773</v>
      </c>
      <c r="O65" s="25" t="n">
        <f aca="false">IF(AND(B65&gt;=DATE(2026,1,1),B65&lt;=Resumen!$C$5),1,0)</f>
        <v>0</v>
      </c>
      <c r="P65" s="25" t="n">
        <f aca="false">IF(AND(B65&gt;Resumen!$C$5,B65&lt;=DATE(2027,7,31)),1,0)</f>
        <v>0</v>
      </c>
    </row>
    <row r="66" customFormat="false" ht="15" hidden="false" customHeight="false" outlineLevel="0" collapsed="false">
      <c r="A66" s="22" t="n">
        <v>6</v>
      </c>
      <c r="B66" s="23" t="n">
        <v>45393</v>
      </c>
      <c r="C66" s="28" t="n">
        <v>685672433.23266</v>
      </c>
      <c r="D66" s="28" t="n">
        <v>9158557.0700073</v>
      </c>
      <c r="E66" s="28" t="n">
        <v>8522659.90992689</v>
      </c>
      <c r="F66" s="28" t="n">
        <v>17681216.9799342</v>
      </c>
      <c r="G66" s="28" t="n">
        <v>677149773.322733</v>
      </c>
      <c r="H66" s="25" t="n">
        <f aca="false">J65</f>
        <v>685672433.23266</v>
      </c>
      <c r="I66" s="25" t="n">
        <f aca="false">H66*N66</f>
        <v>9158557.0700073</v>
      </c>
      <c r="J66" s="25" t="n">
        <f aca="false">H66+I66-F66</f>
        <v>677149773.322733</v>
      </c>
      <c r="K66" s="25" t="n">
        <f aca="false">D66-I66</f>
        <v>0</v>
      </c>
      <c r="L66" s="25" t="n">
        <f aca="false">G66-J66</f>
        <v>0</v>
      </c>
      <c r="M66" s="25" t="n">
        <f aca="false">F66</f>
        <v>17681216.9799342</v>
      </c>
      <c r="N66" s="49" t="n">
        <f aca="false">$C$55</f>
        <v>0.0133570443058773</v>
      </c>
      <c r="O66" s="25" t="n">
        <f aca="false">IF(AND(B66&gt;=DATE(2026,1,1),B66&lt;=Resumen!$C$5),1,0)</f>
        <v>0</v>
      </c>
      <c r="P66" s="25" t="n">
        <f aca="false">IF(AND(B66&gt;Resumen!$C$5,B66&lt;=DATE(2027,7,31)),1,0)</f>
        <v>0</v>
      </c>
    </row>
    <row r="67" customFormat="false" ht="15" hidden="false" customHeight="false" outlineLevel="0" collapsed="false">
      <c r="A67" s="22" t="n">
        <v>7</v>
      </c>
      <c r="B67" s="23" t="n">
        <v>45423</v>
      </c>
      <c r="C67" s="28" t="n">
        <v>677149773.322733</v>
      </c>
      <c r="D67" s="28" t="n">
        <v>9044719.52398648</v>
      </c>
      <c r="E67" s="28" t="n">
        <v>8636497.45594776</v>
      </c>
      <c r="F67" s="28" t="n">
        <v>17681216.9799342</v>
      </c>
      <c r="G67" s="28" t="n">
        <v>668513275.866785</v>
      </c>
      <c r="H67" s="25" t="n">
        <f aca="false">J66</f>
        <v>677149773.322733</v>
      </c>
      <c r="I67" s="25" t="n">
        <f aca="false">H67*N67</f>
        <v>9044719.52398648</v>
      </c>
      <c r="J67" s="25" t="n">
        <f aca="false">H67+I67-F67</f>
        <v>668513275.866785</v>
      </c>
      <c r="K67" s="25" t="n">
        <f aca="false">D67-I67</f>
        <v>0</v>
      </c>
      <c r="L67" s="25" t="n">
        <f aca="false">G67-J67</f>
        <v>0</v>
      </c>
      <c r="M67" s="25" t="n">
        <f aca="false">F67</f>
        <v>17681216.9799342</v>
      </c>
      <c r="N67" s="49" t="n">
        <f aca="false">$C$55</f>
        <v>0.0133570443058773</v>
      </c>
      <c r="O67" s="25" t="n">
        <f aca="false">IF(AND(B67&gt;=DATE(2026,1,1),B67&lt;=Resumen!$C$5),1,0)</f>
        <v>0</v>
      </c>
      <c r="P67" s="25" t="n">
        <f aca="false">IF(AND(B67&gt;Resumen!$C$5,B67&lt;=DATE(2027,7,31)),1,0)</f>
        <v>0</v>
      </c>
    </row>
    <row r="68" customFormat="false" ht="15" hidden="false" customHeight="false" outlineLevel="0" collapsed="false">
      <c r="A68" s="22" t="n">
        <v>8</v>
      </c>
      <c r="B68" s="23" t="n">
        <v>45454</v>
      </c>
      <c r="C68" s="28" t="n">
        <v>668513275.866785</v>
      </c>
      <c r="D68" s="28" t="n">
        <v>8929361.44481979</v>
      </c>
      <c r="E68" s="28" t="n">
        <v>8751855.53511441</v>
      </c>
      <c r="F68" s="28" t="n">
        <v>17681216.9799342</v>
      </c>
      <c r="G68" s="28" t="n">
        <v>659761420.331671</v>
      </c>
      <c r="H68" s="25" t="n">
        <f aca="false">J67</f>
        <v>668513275.866785</v>
      </c>
      <c r="I68" s="25" t="n">
        <f aca="false">H68*N68</f>
        <v>8929361.44481979</v>
      </c>
      <c r="J68" s="25" t="n">
        <f aca="false">H68+I68-F68</f>
        <v>659761420.331671</v>
      </c>
      <c r="K68" s="25" t="n">
        <f aca="false">D68-I68</f>
        <v>0</v>
      </c>
      <c r="L68" s="25" t="n">
        <f aca="false">G68-J68</f>
        <v>0</v>
      </c>
      <c r="M68" s="25" t="n">
        <f aca="false">F68</f>
        <v>17681216.9799342</v>
      </c>
      <c r="N68" s="49" t="n">
        <f aca="false">$C$55</f>
        <v>0.0133570443058773</v>
      </c>
      <c r="O68" s="25" t="n">
        <f aca="false">IF(AND(B68&gt;=DATE(2026,1,1),B68&lt;=Resumen!$C$5),1,0)</f>
        <v>0</v>
      </c>
      <c r="P68" s="25" t="n">
        <f aca="false">IF(AND(B68&gt;Resumen!$C$5,B68&lt;=DATE(2027,7,31)),1,0)</f>
        <v>0</v>
      </c>
    </row>
    <row r="69" customFormat="false" ht="15" hidden="false" customHeight="false" outlineLevel="0" collapsed="false">
      <c r="A69" s="22" t="n">
        <v>9</v>
      </c>
      <c r="B69" s="23" t="n">
        <v>45484</v>
      </c>
      <c r="C69" s="28" t="n">
        <v>659761420.331671</v>
      </c>
      <c r="D69" s="28" t="n">
        <v>8812462.52267863</v>
      </c>
      <c r="E69" s="28" t="n">
        <v>8868754.4572556</v>
      </c>
      <c r="F69" s="28" t="n">
        <v>17681216.9799342</v>
      </c>
      <c r="G69" s="28" t="n">
        <v>650892665.874415</v>
      </c>
      <c r="H69" s="25" t="n">
        <f aca="false">J68</f>
        <v>659761420.331671</v>
      </c>
      <c r="I69" s="25" t="n">
        <f aca="false">H69*N69</f>
        <v>8812462.52267863</v>
      </c>
      <c r="J69" s="25" t="n">
        <f aca="false">H69+I69-F69</f>
        <v>650892665.874415</v>
      </c>
      <c r="K69" s="25" t="n">
        <f aca="false">D69-I69</f>
        <v>0</v>
      </c>
      <c r="L69" s="25" t="n">
        <f aca="false">G69-J69</f>
        <v>0</v>
      </c>
      <c r="M69" s="25" t="n">
        <f aca="false">F69</f>
        <v>17681216.9799342</v>
      </c>
      <c r="N69" s="49" t="n">
        <f aca="false">$C$55</f>
        <v>0.0133570443058773</v>
      </c>
      <c r="O69" s="25" t="n">
        <f aca="false">IF(AND(B69&gt;=DATE(2026,1,1),B69&lt;=Resumen!$C$5),1,0)</f>
        <v>0</v>
      </c>
      <c r="P69" s="25" t="n">
        <f aca="false">IF(AND(B69&gt;Resumen!$C$5,B69&lt;=DATE(2027,7,31)),1,0)</f>
        <v>0</v>
      </c>
    </row>
    <row r="70" customFormat="false" ht="15" hidden="false" customHeight="false" outlineLevel="0" collapsed="false">
      <c r="A70" s="22" t="n">
        <v>10</v>
      </c>
      <c r="B70" s="23" t="n">
        <v>45515</v>
      </c>
      <c r="C70" s="28" t="n">
        <v>650892665.874415</v>
      </c>
      <c r="D70" s="28" t="n">
        <v>8694002.17645512</v>
      </c>
      <c r="E70" s="28" t="n">
        <v>8987214.80347908</v>
      </c>
      <c r="F70" s="28" t="n">
        <v>17681216.9799342</v>
      </c>
      <c r="G70" s="28" t="n">
        <v>641905451.070936</v>
      </c>
      <c r="H70" s="25" t="n">
        <f aca="false">J69</f>
        <v>650892665.874415</v>
      </c>
      <c r="I70" s="25" t="n">
        <f aca="false">H70*N70</f>
        <v>8694002.17645512</v>
      </c>
      <c r="J70" s="25" t="n">
        <f aca="false">H70+I70-F70</f>
        <v>641905451.070936</v>
      </c>
      <c r="K70" s="25" t="n">
        <f aca="false">D70-I70</f>
        <v>0</v>
      </c>
      <c r="L70" s="25" t="n">
        <f aca="false">G70-J70</f>
        <v>0</v>
      </c>
      <c r="M70" s="25" t="n">
        <f aca="false">F70</f>
        <v>17681216.9799342</v>
      </c>
      <c r="N70" s="49" t="n">
        <f aca="false">$C$55</f>
        <v>0.0133570443058773</v>
      </c>
      <c r="O70" s="25" t="n">
        <f aca="false">IF(AND(B70&gt;=DATE(2026,1,1),B70&lt;=Resumen!$C$5),1,0)</f>
        <v>0</v>
      </c>
      <c r="P70" s="25" t="n">
        <f aca="false">IF(AND(B70&gt;Resumen!$C$5,B70&lt;=DATE(2027,7,31)),1,0)</f>
        <v>0</v>
      </c>
    </row>
    <row r="71" customFormat="false" ht="15" hidden="false" customHeight="false" outlineLevel="0" collapsed="false">
      <c r="A71" s="22" t="n">
        <v>11</v>
      </c>
      <c r="B71" s="23" t="n">
        <v>45546</v>
      </c>
      <c r="C71" s="28" t="n">
        <v>641905451.070936</v>
      </c>
      <c r="D71" s="28" t="n">
        <v>8573959.55013862</v>
      </c>
      <c r="E71" s="28" t="n">
        <v>9107257.42979562</v>
      </c>
      <c r="F71" s="28" t="n">
        <v>17681216.9799342</v>
      </c>
      <c r="G71" s="28" t="n">
        <v>632798193.64114</v>
      </c>
      <c r="H71" s="25" t="n">
        <f aca="false">J70</f>
        <v>641905451.070936</v>
      </c>
      <c r="I71" s="25" t="n">
        <f aca="false">H71*N71</f>
        <v>8573959.55013861</v>
      </c>
      <c r="J71" s="25" t="n">
        <f aca="false">H71+I71-F71</f>
        <v>632798193.64114</v>
      </c>
      <c r="K71" s="25" t="n">
        <f aca="false">D71-I71</f>
        <v>0</v>
      </c>
      <c r="L71" s="25" t="n">
        <f aca="false">G71-J71</f>
        <v>0</v>
      </c>
      <c r="M71" s="25" t="n">
        <f aca="false">F71</f>
        <v>17681216.9799342</v>
      </c>
      <c r="N71" s="49" t="n">
        <f aca="false">$C$55</f>
        <v>0.0133570443058773</v>
      </c>
      <c r="O71" s="25" t="n">
        <f aca="false">IF(AND(B71&gt;=DATE(2026,1,1),B71&lt;=Resumen!$C$5),1,0)</f>
        <v>0</v>
      </c>
      <c r="P71" s="25" t="n">
        <f aca="false">IF(AND(B71&gt;Resumen!$C$5,B71&lt;=DATE(2027,7,31)),1,0)</f>
        <v>0</v>
      </c>
    </row>
    <row r="72" customFormat="false" ht="15" hidden="false" customHeight="false" outlineLevel="0" collapsed="false">
      <c r="A72" s="22" t="n">
        <v>12</v>
      </c>
      <c r="B72" s="23" t="n">
        <v>45576</v>
      </c>
      <c r="C72" s="28" t="n">
        <v>632798193.64114</v>
      </c>
      <c r="D72" s="28" t="n">
        <v>8452313.50914381</v>
      </c>
      <c r="E72" s="28" t="n">
        <v>9228903.47079039</v>
      </c>
      <c r="F72" s="28" t="n">
        <v>17681216.9799342</v>
      </c>
      <c r="G72" s="28" t="n">
        <v>623569290.17035</v>
      </c>
      <c r="H72" s="25" t="n">
        <f aca="false">J71</f>
        <v>632798193.64114</v>
      </c>
      <c r="I72" s="25" t="n">
        <f aca="false">H72*N72</f>
        <v>8452313.5091438</v>
      </c>
      <c r="J72" s="25" t="n">
        <f aca="false">H72+I72-F72</f>
        <v>623569290.17035</v>
      </c>
      <c r="K72" s="25" t="n">
        <f aca="false">D72-I72</f>
        <v>0</v>
      </c>
      <c r="L72" s="25" t="n">
        <f aca="false">G72-J72</f>
        <v>0</v>
      </c>
      <c r="M72" s="25" t="n">
        <f aca="false">F72</f>
        <v>17681216.9799342</v>
      </c>
      <c r="N72" s="49" t="n">
        <f aca="false">$C$55</f>
        <v>0.0133570443058773</v>
      </c>
      <c r="O72" s="25" t="n">
        <f aca="false">IF(AND(B72&gt;=DATE(2026,1,1),B72&lt;=Resumen!$C$5),1,0)</f>
        <v>0</v>
      </c>
      <c r="P72" s="25" t="n">
        <f aca="false">IF(AND(B72&gt;Resumen!$C$5,B72&lt;=DATE(2027,7,31)),1,0)</f>
        <v>0</v>
      </c>
    </row>
    <row r="73" customFormat="false" ht="15" hidden="false" customHeight="false" outlineLevel="0" collapsed="false">
      <c r="A73" s="22" t="n">
        <v>13</v>
      </c>
      <c r="B73" s="23" t="n">
        <v>45607</v>
      </c>
      <c r="C73" s="28" t="n">
        <v>623569290.17035</v>
      </c>
      <c r="D73" s="28" t="n">
        <v>8329042.63658979</v>
      </c>
      <c r="E73" s="28" t="n">
        <v>9352174.34334445</v>
      </c>
      <c r="F73" s="28" t="n">
        <v>17681216.9799343</v>
      </c>
      <c r="G73" s="28" t="n">
        <v>614217115.827006</v>
      </c>
      <c r="H73" s="25" t="n">
        <f aca="false">J72</f>
        <v>623569290.17035</v>
      </c>
      <c r="I73" s="25" t="n">
        <f aca="false">H73*N73</f>
        <v>8329042.63658979</v>
      </c>
      <c r="J73" s="25" t="n">
        <f aca="false">H73+I73-F73</f>
        <v>614217115.827006</v>
      </c>
      <c r="K73" s="25" t="n">
        <f aca="false">D73-I73</f>
        <v>0</v>
      </c>
      <c r="L73" s="25" t="n">
        <f aca="false">G73-J73</f>
        <v>0</v>
      </c>
      <c r="M73" s="25" t="n">
        <f aca="false">F73</f>
        <v>17681216.9799343</v>
      </c>
      <c r="N73" s="49" t="n">
        <f aca="false">$C$55</f>
        <v>0.0133570443058773</v>
      </c>
      <c r="O73" s="25" t="n">
        <f aca="false">IF(AND(B73&gt;=DATE(2026,1,1),B73&lt;=Resumen!$C$5),1,0)</f>
        <v>0</v>
      </c>
      <c r="P73" s="25" t="n">
        <f aca="false">IF(AND(B73&gt;Resumen!$C$5,B73&lt;=DATE(2027,7,31)),1,0)</f>
        <v>0</v>
      </c>
    </row>
    <row r="74" customFormat="false" ht="15" hidden="false" customHeight="false" outlineLevel="0" collapsed="false">
      <c r="A74" s="22" t="n">
        <v>14</v>
      </c>
      <c r="B74" s="23" t="n">
        <v>45637</v>
      </c>
      <c r="C74" s="28" t="n">
        <v>614217115.827006</v>
      </c>
      <c r="D74" s="28" t="n">
        <v>8204125.22952945</v>
      </c>
      <c r="E74" s="28" t="n">
        <v>9477091.75040472</v>
      </c>
      <c r="F74" s="28" t="n">
        <v>17681216.9799342</v>
      </c>
      <c r="G74" s="28" t="n">
        <v>604740024.076601</v>
      </c>
      <c r="H74" s="25" t="n">
        <f aca="false">J73</f>
        <v>614217115.827006</v>
      </c>
      <c r="I74" s="25" t="n">
        <f aca="false">H74*N74</f>
        <v>8204125.22952945</v>
      </c>
      <c r="J74" s="25" t="n">
        <f aca="false">H74+I74-F74</f>
        <v>604740024.076601</v>
      </c>
      <c r="K74" s="25" t="n">
        <f aca="false">D74-I74</f>
        <v>0</v>
      </c>
      <c r="L74" s="25" t="n">
        <f aca="false">G74-J74</f>
        <v>0</v>
      </c>
      <c r="M74" s="25" t="n">
        <f aca="false">F74</f>
        <v>17681216.9799342</v>
      </c>
      <c r="N74" s="49" t="n">
        <f aca="false">$C$55</f>
        <v>0.0133570443058773</v>
      </c>
      <c r="O74" s="25" t="n">
        <f aca="false">IF(AND(B74&gt;=DATE(2026,1,1),B74&lt;=Resumen!$C$5),1,0)</f>
        <v>0</v>
      </c>
      <c r="P74" s="25" t="n">
        <f aca="false">IF(AND(B74&gt;Resumen!$C$5,B74&lt;=DATE(2027,7,31)),1,0)</f>
        <v>0</v>
      </c>
    </row>
    <row r="75" customFormat="false" ht="15" hidden="false" customHeight="false" outlineLevel="0" collapsed="false">
      <c r="A75" s="22" t="n">
        <v>15</v>
      </c>
      <c r="B75" s="23" t="n">
        <v>45668</v>
      </c>
      <c r="C75" s="28" t="n">
        <v>604740024.076601</v>
      </c>
      <c r="D75" s="28" t="n">
        <v>8077539.29512843</v>
      </c>
      <c r="E75" s="28" t="n">
        <v>9603677.68480575</v>
      </c>
      <c r="F75" s="28" t="n">
        <v>17681216.9799342</v>
      </c>
      <c r="G75" s="28" t="n">
        <v>595136346.391795</v>
      </c>
      <c r="H75" s="25" t="n">
        <f aca="false">J74</f>
        <v>604740024.076601</v>
      </c>
      <c r="I75" s="25" t="n">
        <f aca="false">H75*N75</f>
        <v>8077539.29512843</v>
      </c>
      <c r="J75" s="25" t="n">
        <f aca="false">H75+I75-F75</f>
        <v>595136346.391795</v>
      </c>
      <c r="K75" s="25" t="n">
        <f aca="false">D75-I75</f>
        <v>0</v>
      </c>
      <c r="L75" s="25" t="n">
        <f aca="false">G75-J75</f>
        <v>0</v>
      </c>
      <c r="M75" s="25" t="n">
        <f aca="false">F75</f>
        <v>17681216.9799342</v>
      </c>
      <c r="N75" s="49" t="n">
        <f aca="false">$C$55</f>
        <v>0.0133570443058773</v>
      </c>
      <c r="O75" s="25" t="n">
        <f aca="false">IF(AND(B75&gt;=DATE(2026,1,1),B75&lt;=Resumen!$C$5),1,0)</f>
        <v>0</v>
      </c>
      <c r="P75" s="25" t="n">
        <f aca="false">IF(AND(B75&gt;Resumen!$C$5,B75&lt;=DATE(2027,7,31)),1,0)</f>
        <v>0</v>
      </c>
    </row>
    <row r="76" customFormat="false" ht="15" hidden="false" customHeight="false" outlineLevel="0" collapsed="false">
      <c r="A76" s="22" t="n">
        <v>16</v>
      </c>
      <c r="B76" s="23" t="n">
        <v>45699</v>
      </c>
      <c r="C76" s="28" t="n">
        <v>595136346.391795</v>
      </c>
      <c r="D76" s="28" t="n">
        <v>7949262.54679312</v>
      </c>
      <c r="E76" s="28" t="n">
        <v>9731954.43314111</v>
      </c>
      <c r="F76" s="28" t="n">
        <v>17681216.9799342</v>
      </c>
      <c r="G76" s="28" t="n">
        <v>585404391.958654</v>
      </c>
      <c r="H76" s="25" t="n">
        <f aca="false">J75</f>
        <v>595136346.391795</v>
      </c>
      <c r="I76" s="25" t="n">
        <f aca="false">H76*N76</f>
        <v>7949262.54679312</v>
      </c>
      <c r="J76" s="25" t="n">
        <f aca="false">H76+I76-F76</f>
        <v>585404391.958654</v>
      </c>
      <c r="K76" s="25" t="n">
        <f aca="false">D76-I76</f>
        <v>0</v>
      </c>
      <c r="L76" s="25" t="n">
        <f aca="false">G76-J76</f>
        <v>0</v>
      </c>
      <c r="M76" s="25" t="n">
        <f aca="false">F76</f>
        <v>17681216.9799342</v>
      </c>
      <c r="N76" s="49" t="n">
        <f aca="false">$C$55</f>
        <v>0.0133570443058773</v>
      </c>
      <c r="O76" s="25" t="n">
        <f aca="false">IF(AND(B76&gt;=DATE(2026,1,1),B76&lt;=Resumen!$C$5),1,0)</f>
        <v>0</v>
      </c>
      <c r="P76" s="25" t="n">
        <f aca="false">IF(AND(B76&gt;Resumen!$C$5,B76&lt;=DATE(2027,7,31)),1,0)</f>
        <v>0</v>
      </c>
    </row>
    <row r="77" customFormat="false" ht="15" hidden="false" customHeight="false" outlineLevel="0" collapsed="false">
      <c r="A77" s="22" t="n">
        <v>17</v>
      </c>
      <c r="B77" s="23" t="n">
        <v>45727</v>
      </c>
      <c r="C77" s="28" t="n">
        <v>585404391.958654</v>
      </c>
      <c r="D77" s="28" t="n">
        <v>7819272.40024687</v>
      </c>
      <c r="E77" s="28" t="n">
        <v>9861944.57968736</v>
      </c>
      <c r="F77" s="28" t="n">
        <v>17681216.9799342</v>
      </c>
      <c r="G77" s="28" t="n">
        <v>575542447.378967</v>
      </c>
      <c r="H77" s="25" t="n">
        <f aca="false">J76</f>
        <v>585404391.958654</v>
      </c>
      <c r="I77" s="25" t="n">
        <f aca="false">H77*N77</f>
        <v>7819272.40024687</v>
      </c>
      <c r="J77" s="25" t="n">
        <f aca="false">H77+I77-F77</f>
        <v>575542447.378967</v>
      </c>
      <c r="K77" s="25" t="n">
        <f aca="false">D77-I77</f>
        <v>0</v>
      </c>
      <c r="L77" s="25" t="n">
        <f aca="false">G77-J77</f>
        <v>0</v>
      </c>
      <c r="M77" s="25" t="n">
        <f aca="false">F77</f>
        <v>17681216.9799342</v>
      </c>
      <c r="N77" s="49" t="n">
        <f aca="false">$C$55</f>
        <v>0.0133570443058773</v>
      </c>
      <c r="O77" s="25" t="n">
        <f aca="false">IF(AND(B77&gt;=DATE(2026,1,1),B77&lt;=Resumen!$C$5),1,0)</f>
        <v>0</v>
      </c>
      <c r="P77" s="25" t="n">
        <f aca="false">IF(AND(B77&gt;Resumen!$C$5,B77&lt;=DATE(2027,7,31)),1,0)</f>
        <v>0</v>
      </c>
    </row>
    <row r="78" customFormat="false" ht="15" hidden="false" customHeight="false" outlineLevel="0" collapsed="false">
      <c r="A78" s="22" t="n">
        <v>18</v>
      </c>
      <c r="B78" s="23" t="n">
        <v>45758</v>
      </c>
      <c r="C78" s="28" t="n">
        <v>575542447.378967</v>
      </c>
      <c r="D78" s="28" t="n">
        <v>7687545.96955388</v>
      </c>
      <c r="E78" s="28" t="n">
        <v>9993671.01038039</v>
      </c>
      <c r="F78" s="28" t="n">
        <v>17681216.9799343</v>
      </c>
      <c r="G78" s="28" t="n">
        <v>565548776.368586</v>
      </c>
      <c r="H78" s="25" t="n">
        <f aca="false">J77</f>
        <v>575542447.378967</v>
      </c>
      <c r="I78" s="25" t="n">
        <f aca="false">H78*N78</f>
        <v>7687545.96955388</v>
      </c>
      <c r="J78" s="25" t="n">
        <f aca="false">H78+I78-F78</f>
        <v>565548776.368586</v>
      </c>
      <c r="K78" s="25" t="n">
        <f aca="false">D78-I78</f>
        <v>0</v>
      </c>
      <c r="L78" s="25" t="n">
        <f aca="false">G78-J78</f>
        <v>0</v>
      </c>
      <c r="M78" s="25" t="n">
        <f aca="false">F78</f>
        <v>17681216.9799343</v>
      </c>
      <c r="N78" s="49" t="n">
        <f aca="false">$C$55</f>
        <v>0.0133570443058773</v>
      </c>
      <c r="O78" s="25" t="n">
        <f aca="false">IF(AND(B78&gt;=DATE(2026,1,1),B78&lt;=Resumen!$C$5),1,0)</f>
        <v>0</v>
      </c>
      <c r="P78" s="25" t="n">
        <f aca="false">IF(AND(B78&gt;Resumen!$C$5,B78&lt;=DATE(2027,7,31)),1,0)</f>
        <v>0</v>
      </c>
    </row>
    <row r="79" customFormat="false" ht="15" hidden="false" customHeight="false" outlineLevel="0" collapsed="false">
      <c r="A79" s="22" t="n">
        <v>19</v>
      </c>
      <c r="B79" s="23" t="n">
        <v>45788</v>
      </c>
      <c r="C79" s="28" t="n">
        <v>565548776.368586</v>
      </c>
      <c r="D79" s="28" t="n">
        <v>7554060.06308987</v>
      </c>
      <c r="E79" s="28" t="n">
        <v>10127156.9168444</v>
      </c>
      <c r="F79" s="28" t="n">
        <v>17681216.9799342</v>
      </c>
      <c r="G79" s="28" t="n">
        <v>555421619.451742</v>
      </c>
      <c r="H79" s="25" t="n">
        <f aca="false">J78</f>
        <v>565548776.368586</v>
      </c>
      <c r="I79" s="25" t="n">
        <f aca="false">H79*N79</f>
        <v>7554060.06308987</v>
      </c>
      <c r="J79" s="25" t="n">
        <f aca="false">H79+I79-F79</f>
        <v>555421619.451742</v>
      </c>
      <c r="K79" s="25" t="n">
        <f aca="false">D79-I79</f>
        <v>0</v>
      </c>
      <c r="L79" s="25" t="n">
        <f aca="false">G79-J79</f>
        <v>0</v>
      </c>
      <c r="M79" s="25" t="n">
        <f aca="false">F79</f>
        <v>17681216.9799342</v>
      </c>
      <c r="N79" s="49" t="n">
        <f aca="false">$C$55</f>
        <v>0.0133570443058773</v>
      </c>
      <c r="O79" s="25" t="n">
        <f aca="false">IF(AND(B79&gt;=DATE(2026,1,1),B79&lt;=Resumen!$C$5),1,0)</f>
        <v>0</v>
      </c>
      <c r="P79" s="25" t="n">
        <f aca="false">IF(AND(B79&gt;Resumen!$C$5,B79&lt;=DATE(2027,7,31)),1,0)</f>
        <v>0</v>
      </c>
    </row>
    <row r="80" customFormat="false" ht="15" hidden="false" customHeight="false" outlineLevel="0" collapsed="false">
      <c r="A80" s="22" t="n">
        <v>20</v>
      </c>
      <c r="B80" s="23" t="n">
        <v>45819</v>
      </c>
      <c r="C80" s="28" t="n">
        <v>555421619.451742</v>
      </c>
      <c r="D80" s="28" t="n">
        <v>7418791.17945901</v>
      </c>
      <c r="E80" s="28" t="n">
        <v>10262425.8004752</v>
      </c>
      <c r="F80" s="28" t="n">
        <v>17681216.9799343</v>
      </c>
      <c r="G80" s="28" t="n">
        <v>545159193.651267</v>
      </c>
      <c r="H80" s="25" t="n">
        <f aca="false">J79</f>
        <v>555421619.451742</v>
      </c>
      <c r="I80" s="25" t="n">
        <f aca="false">H80*N80</f>
        <v>7418791.17945901</v>
      </c>
      <c r="J80" s="25" t="n">
        <f aca="false">H80+I80-F80</f>
        <v>545159193.651267</v>
      </c>
      <c r="K80" s="25" t="n">
        <f aca="false">D80-I80</f>
        <v>0</v>
      </c>
      <c r="L80" s="25" t="n">
        <f aca="false">G80-J80</f>
        <v>0</v>
      </c>
      <c r="M80" s="25" t="n">
        <f aca="false">F80</f>
        <v>17681216.9799343</v>
      </c>
      <c r="N80" s="49" t="n">
        <f aca="false">$C$55</f>
        <v>0.0133570443058773</v>
      </c>
      <c r="O80" s="25" t="n">
        <f aca="false">IF(AND(B80&gt;=DATE(2026,1,1),B80&lt;=Resumen!$C$5),1,0)</f>
        <v>0</v>
      </c>
      <c r="P80" s="25" t="n">
        <f aca="false">IF(AND(B80&gt;Resumen!$C$5,B80&lt;=DATE(2027,7,31)),1,0)</f>
        <v>0</v>
      </c>
    </row>
    <row r="81" customFormat="false" ht="15" hidden="false" customHeight="false" outlineLevel="0" collapsed="false">
      <c r="A81" s="22" t="n">
        <v>21</v>
      </c>
      <c r="B81" s="23" t="n">
        <v>45849</v>
      </c>
      <c r="C81" s="28" t="n">
        <v>545159193.651267</v>
      </c>
      <c r="D81" s="28" t="n">
        <v>7281715.50335628</v>
      </c>
      <c r="E81" s="28" t="n">
        <v>10399501.4765778</v>
      </c>
      <c r="F81" s="28" t="n">
        <v>17681216.9799341</v>
      </c>
      <c r="G81" s="28" t="n">
        <v>534759692.174689</v>
      </c>
      <c r="H81" s="25" t="n">
        <f aca="false">J80</f>
        <v>545159193.651267</v>
      </c>
      <c r="I81" s="25" t="n">
        <f aca="false">H81*N81</f>
        <v>7281715.50335628</v>
      </c>
      <c r="J81" s="25" t="n">
        <f aca="false">H81+I81-F81</f>
        <v>534759692.174689</v>
      </c>
      <c r="K81" s="25" t="n">
        <f aca="false">D81-I81</f>
        <v>0</v>
      </c>
      <c r="L81" s="25" t="n">
        <f aca="false">G81-J81</f>
        <v>0</v>
      </c>
      <c r="M81" s="25" t="n">
        <f aca="false">F81</f>
        <v>17681216.9799341</v>
      </c>
      <c r="N81" s="49" t="n">
        <f aca="false">$C$55</f>
        <v>0.0133570443058773</v>
      </c>
      <c r="O81" s="25" t="n">
        <f aca="false">IF(AND(B81&gt;=DATE(2026,1,1),B81&lt;=Resumen!$C$5),1,0)</f>
        <v>0</v>
      </c>
      <c r="P81" s="25" t="n">
        <f aca="false">IF(AND(B81&gt;Resumen!$C$5,B81&lt;=DATE(2027,7,31)),1,0)</f>
        <v>0</v>
      </c>
    </row>
    <row r="82" customFormat="false" ht="15" hidden="false" customHeight="false" outlineLevel="0" collapsed="false">
      <c r="A82" s="22" t="n">
        <v>22</v>
      </c>
      <c r="B82" s="23" t="n">
        <v>45880</v>
      </c>
      <c r="C82" s="28" t="n">
        <v>534759692.174689</v>
      </c>
      <c r="D82" s="28" t="n">
        <v>7142808.9013746</v>
      </c>
      <c r="E82" s="28" t="n">
        <v>10538408.0785595</v>
      </c>
      <c r="F82" s="28" t="n">
        <v>17681216.9799341</v>
      </c>
      <c r="G82" s="28" t="n">
        <v>524221284.096129</v>
      </c>
      <c r="H82" s="25" t="n">
        <f aca="false">J81</f>
        <v>534759692.174689</v>
      </c>
      <c r="I82" s="25" t="n">
        <f aca="false">H82*N82</f>
        <v>7142808.9013746</v>
      </c>
      <c r="J82" s="25" t="n">
        <f aca="false">H82+I82-F82</f>
        <v>524221284.096129</v>
      </c>
      <c r="K82" s="25" t="n">
        <f aca="false">D82-I82</f>
        <v>0</v>
      </c>
      <c r="L82" s="25" t="n">
        <f aca="false">G82-J82</f>
        <v>0</v>
      </c>
      <c r="M82" s="25" t="n">
        <f aca="false">F82</f>
        <v>17681216.9799341</v>
      </c>
      <c r="N82" s="49" t="n">
        <f aca="false">$C$55</f>
        <v>0.0133570443058773</v>
      </c>
      <c r="O82" s="25" t="n">
        <f aca="false">IF(AND(B82&gt;=DATE(2026,1,1),B82&lt;=Resumen!$C$5),1,0)</f>
        <v>0</v>
      </c>
      <c r="P82" s="25" t="n">
        <f aca="false">IF(AND(B82&gt;Resumen!$C$5,B82&lt;=DATE(2027,7,31)),1,0)</f>
        <v>0</v>
      </c>
    </row>
    <row r="83" customFormat="false" ht="15" hidden="false" customHeight="false" outlineLevel="0" collapsed="false">
      <c r="A83" s="22" t="n">
        <v>23</v>
      </c>
      <c r="B83" s="23" t="n">
        <v>45911</v>
      </c>
      <c r="C83" s="28" t="n">
        <v>524221284.096129</v>
      </c>
      <c r="D83" s="28" t="n">
        <v>7002046.91775587</v>
      </c>
      <c r="E83" s="28" t="n">
        <v>10679170.0621783</v>
      </c>
      <c r="F83" s="28" t="n">
        <v>17681216.9799342</v>
      </c>
      <c r="G83" s="28" t="n">
        <v>513542114.033951</v>
      </c>
      <c r="H83" s="25" t="n">
        <f aca="false">J82</f>
        <v>524221284.096129</v>
      </c>
      <c r="I83" s="25" t="n">
        <f aca="false">H83*N83</f>
        <v>7002046.91775587</v>
      </c>
      <c r="J83" s="25" t="n">
        <f aca="false">H83+I83-F83</f>
        <v>513542114.033951</v>
      </c>
      <c r="K83" s="25" t="n">
        <f aca="false">D83-I83</f>
        <v>0</v>
      </c>
      <c r="L83" s="25" t="n">
        <f aca="false">G83-J83</f>
        <v>0</v>
      </c>
      <c r="M83" s="25" t="n">
        <f aca="false">F83</f>
        <v>17681216.9799342</v>
      </c>
      <c r="N83" s="49" t="n">
        <f aca="false">$C$55</f>
        <v>0.0133570443058773</v>
      </c>
      <c r="O83" s="25" t="n">
        <f aca="false">IF(AND(B83&gt;=DATE(2026,1,1),B83&lt;=Resumen!$C$5),1,0)</f>
        <v>0</v>
      </c>
      <c r="P83" s="25" t="n">
        <f aca="false">IF(AND(B83&gt;Resumen!$C$5,B83&lt;=DATE(2027,7,31)),1,0)</f>
        <v>0</v>
      </c>
    </row>
    <row r="84" customFormat="false" ht="15" hidden="false" customHeight="false" outlineLevel="0" collapsed="false">
      <c r="A84" s="22" t="n">
        <v>24</v>
      </c>
      <c r="B84" s="23" t="n">
        <v>45941</v>
      </c>
      <c r="C84" s="28" t="n">
        <v>513542114.033951</v>
      </c>
      <c r="D84" s="28" t="n">
        <v>6859404.77008535</v>
      </c>
      <c r="E84" s="28" t="n">
        <v>10821812.2098488</v>
      </c>
      <c r="F84" s="28" t="n">
        <v>17681216.9799342</v>
      </c>
      <c r="G84" s="28" t="n">
        <v>502720301.824102</v>
      </c>
      <c r="H84" s="25" t="n">
        <f aca="false">J83</f>
        <v>513542114.033951</v>
      </c>
      <c r="I84" s="25" t="n">
        <f aca="false">H84*N84</f>
        <v>6859404.77008535</v>
      </c>
      <c r="J84" s="25" t="n">
        <f aca="false">H84+I84-F84</f>
        <v>502720301.824102</v>
      </c>
      <c r="K84" s="25" t="n">
        <f aca="false">D84-I84</f>
        <v>0</v>
      </c>
      <c r="L84" s="25" t="n">
        <f aca="false">G84-J84</f>
        <v>0</v>
      </c>
      <c r="M84" s="25" t="n">
        <f aca="false">F84</f>
        <v>17681216.9799342</v>
      </c>
      <c r="N84" s="49" t="n">
        <f aca="false">$C$55</f>
        <v>0.0133570443058773</v>
      </c>
      <c r="O84" s="25" t="n">
        <f aca="false">IF(AND(B84&gt;=DATE(2026,1,1),B84&lt;=Resumen!$C$5),1,0)</f>
        <v>0</v>
      </c>
      <c r="P84" s="25" t="n">
        <f aca="false">IF(AND(B84&gt;Resumen!$C$5,B84&lt;=DATE(2027,7,31)),1,0)</f>
        <v>0</v>
      </c>
    </row>
    <row r="85" customFormat="false" ht="15" hidden="false" customHeight="false" outlineLevel="0" collapsed="false">
      <c r="A85" s="22" t="n">
        <v>25</v>
      </c>
      <c r="B85" s="23" t="n">
        <v>45972</v>
      </c>
      <c r="C85" s="28" t="n">
        <v>502720301.824102</v>
      </c>
      <c r="D85" s="28" t="n">
        <v>6714857.34492852</v>
      </c>
      <c r="E85" s="28" t="n">
        <v>10966359.6350057</v>
      </c>
      <c r="F85" s="28" t="n">
        <v>17681216.9799342</v>
      </c>
      <c r="G85" s="28" t="n">
        <v>491753942.189097</v>
      </c>
      <c r="H85" s="25" t="n">
        <f aca="false">J84</f>
        <v>502720301.824102</v>
      </c>
      <c r="I85" s="25" t="n">
        <f aca="false">H85*N85</f>
        <v>6714857.34492852</v>
      </c>
      <c r="J85" s="25" t="n">
        <f aca="false">H85+I85-F85</f>
        <v>491753942.189097</v>
      </c>
      <c r="K85" s="25" t="n">
        <f aca="false">D85-I85</f>
        <v>0</v>
      </c>
      <c r="L85" s="25" t="n">
        <f aca="false">G85-J85</f>
        <v>0</v>
      </c>
      <c r="M85" s="25" t="n">
        <f aca="false">F85</f>
        <v>17681216.9799342</v>
      </c>
      <c r="N85" s="49" t="n">
        <f aca="false">$C$55</f>
        <v>0.0133570443058773</v>
      </c>
      <c r="O85" s="25" t="n">
        <f aca="false">IF(AND(B85&gt;=DATE(2026,1,1),B85&lt;=Resumen!$C$5),1,0)</f>
        <v>0</v>
      </c>
      <c r="P85" s="25" t="n">
        <f aca="false">IF(AND(B85&gt;Resumen!$C$5,B85&lt;=DATE(2027,7,31)),1,0)</f>
        <v>0</v>
      </c>
    </row>
    <row r="86" customFormat="false" ht="15" hidden="false" customHeight="false" outlineLevel="0" collapsed="false">
      <c r="A86" s="22" t="n">
        <v>26</v>
      </c>
      <c r="B86" s="23" t="n">
        <v>46002</v>
      </c>
      <c r="C86" s="28" t="n">
        <v>491753942.189097</v>
      </c>
      <c r="D86" s="28" t="n">
        <v>6568379.19340956</v>
      </c>
      <c r="E86" s="28" t="n">
        <v>11112837.7865246</v>
      </c>
      <c r="F86" s="28" t="n">
        <v>17681216.9799342</v>
      </c>
      <c r="G86" s="28" t="n">
        <v>480641104.402572</v>
      </c>
      <c r="H86" s="25" t="n">
        <f aca="false">J85</f>
        <v>491753942.189097</v>
      </c>
      <c r="I86" s="25" t="n">
        <f aca="false">H86*N86</f>
        <v>6568379.19340956</v>
      </c>
      <c r="J86" s="25" t="n">
        <f aca="false">H86+I86-F86</f>
        <v>480641104.402572</v>
      </c>
      <c r="K86" s="25" t="n">
        <f aca="false">D86-I86</f>
        <v>0</v>
      </c>
      <c r="L86" s="25" t="n">
        <f aca="false">G86-J86</f>
        <v>0</v>
      </c>
      <c r="M86" s="25" t="n">
        <f aca="false">F86</f>
        <v>17681216.9799342</v>
      </c>
      <c r="N86" s="49" t="n">
        <f aca="false">$C$55</f>
        <v>0.0133570443058773</v>
      </c>
      <c r="O86" s="25" t="n">
        <f aca="false">IF(AND(B86&gt;=DATE(2026,1,1),B86&lt;=Resumen!$C$5),1,0)</f>
        <v>0</v>
      </c>
      <c r="P86" s="25" t="n">
        <f aca="false">IF(AND(B86&gt;Resumen!$C$5,B86&lt;=DATE(2027,7,31)),1,0)</f>
        <v>0</v>
      </c>
    </row>
    <row r="87" customFormat="false" ht="15" hidden="false" customHeight="false" outlineLevel="0" collapsed="false">
      <c r="A87" s="22" t="n">
        <v>27</v>
      </c>
      <c r="B87" s="23" t="n">
        <v>46033</v>
      </c>
      <c r="C87" s="28" t="n">
        <v>480641104.402572</v>
      </c>
      <c r="D87" s="28" t="n">
        <v>6419944.52673093</v>
      </c>
      <c r="E87" s="28" t="n">
        <v>11261272.4532032</v>
      </c>
      <c r="F87" s="28" t="n">
        <v>17681216.9799341</v>
      </c>
      <c r="G87" s="28" t="n">
        <v>469379831.949369</v>
      </c>
      <c r="H87" s="25" t="n">
        <f aca="false">J86</f>
        <v>480641104.402572</v>
      </c>
      <c r="I87" s="25" t="n">
        <f aca="false">H87*N87</f>
        <v>6419944.52673093</v>
      </c>
      <c r="J87" s="25" t="n">
        <f aca="false">H87+I87-F87</f>
        <v>469379831.949369</v>
      </c>
      <c r="K87" s="25" t="n">
        <f aca="false">D87-I87</f>
        <v>0</v>
      </c>
      <c r="L87" s="25" t="n">
        <f aca="false">G87-J87</f>
        <v>0</v>
      </c>
      <c r="M87" s="25" t="n">
        <f aca="false">F87</f>
        <v>17681216.9799341</v>
      </c>
      <c r="N87" s="49" t="n">
        <f aca="false">$C$55</f>
        <v>0.0133570443058773</v>
      </c>
      <c r="O87" s="25" t="n">
        <f aca="false">IF(AND(B87&gt;=DATE(2026,1,1),B87&lt;=Resumen!$C$5),1,0)</f>
        <v>1</v>
      </c>
      <c r="P87" s="25" t="n">
        <f aca="false">IF(AND(B87&gt;Resumen!$C$5,B87&lt;=DATE(2027,7,31)),1,0)</f>
        <v>0</v>
      </c>
    </row>
    <row r="88" customFormat="false" ht="15" hidden="false" customHeight="false" outlineLevel="0" collapsed="false">
      <c r="A88" s="22" t="n">
        <v>28</v>
      </c>
      <c r="B88" s="23" t="n">
        <v>46064</v>
      </c>
      <c r="C88" s="28" t="n">
        <v>469379831.949369</v>
      </c>
      <c r="D88" s="28" t="n">
        <v>6269527.21163294</v>
      </c>
      <c r="E88" s="28" t="n">
        <v>11411689.7683013</v>
      </c>
      <c r="F88" s="28" t="n">
        <v>17681216.9799342</v>
      </c>
      <c r="G88" s="28" t="n">
        <v>457968142.181067</v>
      </c>
      <c r="H88" s="25" t="n">
        <f aca="false">J87</f>
        <v>469379831.949369</v>
      </c>
      <c r="I88" s="25" t="n">
        <f aca="false">H88*N88</f>
        <v>6269527.21163294</v>
      </c>
      <c r="J88" s="25" t="n">
        <f aca="false">H88+I88-F88</f>
        <v>457968142.181067</v>
      </c>
      <c r="K88" s="25" t="n">
        <f aca="false">D88-I88</f>
        <v>0</v>
      </c>
      <c r="L88" s="25" t="n">
        <f aca="false">G88-J88</f>
        <v>0</v>
      </c>
      <c r="M88" s="25" t="n">
        <f aca="false">F88</f>
        <v>17681216.9799342</v>
      </c>
      <c r="N88" s="49" t="n">
        <f aca="false">$C$55</f>
        <v>0.0133570443058773</v>
      </c>
      <c r="O88" s="25" t="n">
        <f aca="false">IF(AND(B88&gt;=DATE(2026,1,1),B88&lt;=Resumen!$C$5),1,0)</f>
        <v>1</v>
      </c>
      <c r="P88" s="25" t="n">
        <f aca="false">IF(AND(B88&gt;Resumen!$C$5,B88&lt;=DATE(2027,7,31)),1,0)</f>
        <v>0</v>
      </c>
    </row>
    <row r="89" customFormat="false" ht="15" hidden="false" customHeight="false" outlineLevel="0" collapsed="false">
      <c r="A89" s="22" t="n">
        <v>29</v>
      </c>
      <c r="B89" s="23" t="n">
        <v>46092</v>
      </c>
      <c r="C89" s="28" t="n">
        <v>457968142.181067</v>
      </c>
      <c r="D89" s="28" t="n">
        <v>6117100.76579281</v>
      </c>
      <c r="E89" s="28" t="n">
        <v>11564116.2141414</v>
      </c>
      <c r="F89" s="28" t="n">
        <v>17681216.9799342</v>
      </c>
      <c r="G89" s="28" t="n">
        <v>446404025.966926</v>
      </c>
      <c r="H89" s="25" t="n">
        <f aca="false">J88</f>
        <v>457968142.181067</v>
      </c>
      <c r="I89" s="25" t="n">
        <f aca="false">H89*N89</f>
        <v>6117100.76579281</v>
      </c>
      <c r="J89" s="25" t="n">
        <f aca="false">H89+I89-F89</f>
        <v>446404025.966926</v>
      </c>
      <c r="K89" s="25" t="n">
        <f aca="false">D89-I89</f>
        <v>0</v>
      </c>
      <c r="L89" s="25" t="n">
        <f aca="false">G89-J89</f>
        <v>0</v>
      </c>
      <c r="M89" s="25" t="n">
        <f aca="false">F89</f>
        <v>17681216.9799342</v>
      </c>
      <c r="N89" s="49" t="n">
        <f aca="false">$C$55</f>
        <v>0.0133570443058773</v>
      </c>
      <c r="O89" s="25" t="n">
        <f aca="false">IF(AND(B89&gt;=DATE(2026,1,1),B89&lt;=Resumen!$C$5),1,0)</f>
        <v>1</v>
      </c>
      <c r="P89" s="25" t="n">
        <f aca="false">IF(AND(B89&gt;Resumen!$C$5,B89&lt;=DATE(2027,7,31)),1,0)</f>
        <v>0</v>
      </c>
    </row>
    <row r="90" customFormat="false" ht="15" hidden="false" customHeight="false" outlineLevel="0" collapsed="false">
      <c r="A90" s="22" t="n">
        <v>30</v>
      </c>
      <c r="B90" s="23" t="n">
        <v>46123</v>
      </c>
      <c r="C90" s="28" t="n">
        <v>446404025.966926</v>
      </c>
      <c r="D90" s="28" t="n">
        <v>5962638.35316221</v>
      </c>
      <c r="E90" s="28" t="n">
        <v>11718578.6267719</v>
      </c>
      <c r="F90" s="28" t="n">
        <v>17681216.9799341</v>
      </c>
      <c r="G90" s="28" t="n">
        <v>434685447.340154</v>
      </c>
      <c r="H90" s="25" t="n">
        <f aca="false">J89</f>
        <v>446404025.966926</v>
      </c>
      <c r="I90" s="25" t="n">
        <f aca="false">H90*N90</f>
        <v>5962638.35316221</v>
      </c>
      <c r="J90" s="25" t="n">
        <f aca="false">H90+I90-F90</f>
        <v>434685447.340154</v>
      </c>
      <c r="K90" s="25" t="n">
        <f aca="false">D90-I90</f>
        <v>0</v>
      </c>
      <c r="L90" s="25" t="n">
        <f aca="false">G90-J90</f>
        <v>0</v>
      </c>
      <c r="M90" s="25" t="n">
        <f aca="false">F90</f>
        <v>17681216.9799341</v>
      </c>
      <c r="N90" s="49" t="n">
        <f aca="false">$C$55</f>
        <v>0.0133570443058773</v>
      </c>
      <c r="O90" s="25" t="n">
        <f aca="false">IF(AND(B90&gt;=DATE(2026,1,1),B90&lt;=Resumen!$C$5),1,0)</f>
        <v>1</v>
      </c>
      <c r="P90" s="25" t="n">
        <f aca="false">IF(AND(B90&gt;Resumen!$C$5,B90&lt;=DATE(2027,7,31)),1,0)</f>
        <v>0</v>
      </c>
    </row>
    <row r="91" customFormat="false" ht="15" hidden="false" customHeight="false" outlineLevel="0" collapsed="false">
      <c r="A91" s="22" t="n">
        <v>31</v>
      </c>
      <c r="B91" s="23" t="n">
        <v>46153</v>
      </c>
      <c r="C91" s="28" t="n">
        <v>434685447.340154</v>
      </c>
      <c r="D91" s="28" t="n">
        <v>5806112.77924251</v>
      </c>
      <c r="E91" s="28" t="n">
        <v>11875104.2006916</v>
      </c>
      <c r="F91" s="28" t="n">
        <v>17681216.9799342</v>
      </c>
      <c r="G91" s="28" t="n">
        <v>422810343.139463</v>
      </c>
      <c r="H91" s="25" t="n">
        <f aca="false">J90</f>
        <v>434685447.340154</v>
      </c>
      <c r="I91" s="25" t="n">
        <f aca="false">H91*N91</f>
        <v>5806112.77924251</v>
      </c>
      <c r="J91" s="25" t="n">
        <f aca="false">H91+I91-F91</f>
        <v>422810343.139463</v>
      </c>
      <c r="K91" s="25" t="n">
        <f aca="false">D91-I91</f>
        <v>0</v>
      </c>
      <c r="L91" s="25" t="n">
        <f aca="false">G91-J91</f>
        <v>0</v>
      </c>
      <c r="M91" s="25" t="n">
        <f aca="false">F91</f>
        <v>17681216.9799342</v>
      </c>
      <c r="N91" s="49" t="n">
        <f aca="false">$C$55</f>
        <v>0.0133570443058773</v>
      </c>
      <c r="O91" s="25" t="n">
        <f aca="false">IF(AND(B91&gt;=DATE(2026,1,1),B91&lt;=Resumen!$C$5),1,0)</f>
        <v>1</v>
      </c>
      <c r="P91" s="25" t="n">
        <f aca="false">IF(AND(B91&gt;Resumen!$C$5,B91&lt;=DATE(2027,7,31)),1,0)</f>
        <v>0</v>
      </c>
    </row>
    <row r="92" customFormat="false" ht="15" hidden="false" customHeight="false" outlineLevel="0" collapsed="false">
      <c r="A92" s="22" t="n">
        <v>32</v>
      </c>
      <c r="B92" s="23" t="n">
        <v>46184</v>
      </c>
      <c r="C92" s="28" t="n">
        <v>422810343.139463</v>
      </c>
      <c r="D92" s="28" t="n">
        <v>5647496.48629697</v>
      </c>
      <c r="E92" s="28" t="n">
        <v>12033720.4936372</v>
      </c>
      <c r="F92" s="28" t="n">
        <v>17681216.9799342</v>
      </c>
      <c r="G92" s="28" t="n">
        <v>410776622.645825</v>
      </c>
      <c r="H92" s="25" t="n">
        <f aca="false">J91</f>
        <v>422810343.139463</v>
      </c>
      <c r="I92" s="25" t="n">
        <f aca="false">H92*N92</f>
        <v>5647496.48629696</v>
      </c>
      <c r="J92" s="25" t="n">
        <f aca="false">H92+I92-F92</f>
        <v>410776622.645825</v>
      </c>
      <c r="K92" s="25" t="n">
        <f aca="false">D92-I92</f>
        <v>0</v>
      </c>
      <c r="L92" s="25" t="n">
        <f aca="false">G92-J92</f>
        <v>0</v>
      </c>
      <c r="M92" s="25" t="n">
        <f aca="false">F92</f>
        <v>17681216.9799342</v>
      </c>
      <c r="N92" s="49" t="n">
        <f aca="false">$C$55</f>
        <v>0.0133570443058773</v>
      </c>
      <c r="O92" s="25" t="n">
        <f aca="false">IF(AND(B92&gt;=DATE(2026,1,1),B92&lt;=Resumen!$C$5),1,0)</f>
        <v>1</v>
      </c>
      <c r="P92" s="25" t="n">
        <f aca="false">IF(AND(B92&gt;Resumen!$C$5,B92&lt;=DATE(2027,7,31)),1,0)</f>
        <v>0</v>
      </c>
    </row>
    <row r="93" customFormat="false" ht="15" hidden="false" customHeight="false" outlineLevel="0" collapsed="false">
      <c r="A93" s="22" t="n">
        <v>33</v>
      </c>
      <c r="B93" s="23" t="n">
        <v>46214</v>
      </c>
      <c r="C93" s="28" t="n">
        <v>410776622.645825</v>
      </c>
      <c r="D93" s="28" t="n">
        <v>5486761.54849891</v>
      </c>
      <c r="E93" s="28" t="n">
        <v>12194455.4314352</v>
      </c>
      <c r="F93" s="28" t="n">
        <v>17681216.9799341</v>
      </c>
      <c r="G93" s="28" t="n">
        <v>398582167.21439</v>
      </c>
      <c r="H93" s="25" t="n">
        <f aca="false">J92</f>
        <v>410776622.645825</v>
      </c>
      <c r="I93" s="25" t="n">
        <f aca="false">H93*N93</f>
        <v>5486761.54849891</v>
      </c>
      <c r="J93" s="25" t="n">
        <f aca="false">H93+I93-F93</f>
        <v>398582167.21439</v>
      </c>
      <c r="K93" s="25" t="n">
        <f aca="false">D93-I93</f>
        <v>0</v>
      </c>
      <c r="L93" s="25" t="n">
        <f aca="false">G93-J93</f>
        <v>0</v>
      </c>
      <c r="M93" s="25" t="n">
        <f aca="false">F93</f>
        <v>17681216.9799341</v>
      </c>
      <c r="N93" s="49" t="n">
        <f aca="false">$C$55</f>
        <v>0.0133570443058773</v>
      </c>
      <c r="O93" s="25" t="n">
        <f aca="false">IF(AND(B93&gt;=DATE(2026,1,1),B93&lt;=Resumen!$C$5),1,0)</f>
        <v>1</v>
      </c>
      <c r="P93" s="25" t="n">
        <f aca="false">IF(AND(B93&gt;Resumen!$C$5,B93&lt;=DATE(2027,7,31)),1,0)</f>
        <v>0</v>
      </c>
    </row>
    <row r="94" customFormat="false" ht="15" hidden="false" customHeight="false" outlineLevel="0" collapsed="false">
      <c r="A94" s="22" t="n">
        <v>34</v>
      </c>
      <c r="B94" s="23" t="n">
        <v>46245</v>
      </c>
      <c r="C94" s="28" t="n">
        <v>398582167.21439</v>
      </c>
      <c r="D94" s="28" t="n">
        <v>5323879.66701518</v>
      </c>
      <c r="E94" s="28" t="n">
        <v>12357337.312919</v>
      </c>
      <c r="F94" s="28" t="n">
        <v>17681216.9799341</v>
      </c>
      <c r="G94" s="28" t="n">
        <v>386224829.901471</v>
      </c>
      <c r="H94" s="25" t="n">
        <f aca="false">J93</f>
        <v>398582167.21439</v>
      </c>
      <c r="I94" s="25" t="n">
        <f aca="false">H94*N94</f>
        <v>5323879.66701518</v>
      </c>
      <c r="J94" s="25" t="n">
        <f aca="false">H94+I94-F94</f>
        <v>386224829.901471</v>
      </c>
      <c r="K94" s="25" t="n">
        <f aca="false">D94-I94</f>
        <v>0</v>
      </c>
      <c r="L94" s="25" t="n">
        <f aca="false">G94-J94</f>
        <v>0</v>
      </c>
      <c r="M94" s="25" t="n">
        <f aca="false">F94</f>
        <v>17681216.9799341</v>
      </c>
      <c r="N94" s="49" t="n">
        <f aca="false">$C$55</f>
        <v>0.0133570443058773</v>
      </c>
      <c r="O94" s="25" t="n">
        <f aca="false">IF(AND(B94&gt;=DATE(2026,1,1),B94&lt;=Resumen!$C$5),1,0)</f>
        <v>0</v>
      </c>
      <c r="P94" s="25" t="n">
        <f aca="false">IF(AND(B94&gt;Resumen!$C$5,B94&lt;=DATE(2027,7,31)),1,0)</f>
        <v>1</v>
      </c>
    </row>
    <row r="95" customFormat="false" ht="15" hidden="false" customHeight="false" outlineLevel="0" collapsed="false">
      <c r="A95" s="22" t="n">
        <v>35</v>
      </c>
      <c r="B95" s="23" t="n">
        <v>46276</v>
      </c>
      <c r="C95" s="28" t="n">
        <v>386224829.901471</v>
      </c>
      <c r="D95" s="28" t="n">
        <v>5158822.16502386</v>
      </c>
      <c r="E95" s="28" t="n">
        <v>12522394.8149103</v>
      </c>
      <c r="F95" s="28" t="n">
        <v>17681216.9799342</v>
      </c>
      <c r="G95" s="28" t="n">
        <v>373702435.086561</v>
      </c>
      <c r="H95" s="25" t="n">
        <f aca="false">J94</f>
        <v>386224829.901471</v>
      </c>
      <c r="I95" s="25" t="n">
        <f aca="false">H95*N95</f>
        <v>5158822.16502385</v>
      </c>
      <c r="J95" s="25" t="n">
        <f aca="false">H95+I95-F95</f>
        <v>373702435.086561</v>
      </c>
      <c r="K95" s="25" t="n">
        <f aca="false">D95-I95</f>
        <v>0</v>
      </c>
      <c r="L95" s="25" t="n">
        <f aca="false">G95-J95</f>
        <v>0</v>
      </c>
      <c r="M95" s="25" t="n">
        <f aca="false">F95</f>
        <v>17681216.9799342</v>
      </c>
      <c r="N95" s="49" t="n">
        <f aca="false">$C$55</f>
        <v>0.0133570443058773</v>
      </c>
      <c r="O95" s="25" t="n">
        <f aca="false">IF(AND(B95&gt;=DATE(2026,1,1),B95&lt;=Resumen!$C$5),1,0)</f>
        <v>0</v>
      </c>
      <c r="P95" s="25" t="n">
        <f aca="false">IF(AND(B95&gt;Resumen!$C$5,B95&lt;=DATE(2027,7,31)),1,0)</f>
        <v>1</v>
      </c>
    </row>
    <row r="96" customFormat="false" ht="15" hidden="false" customHeight="false" outlineLevel="0" collapsed="false">
      <c r="A96" s="22" t="n">
        <v>36</v>
      </c>
      <c r="B96" s="23" t="n">
        <v>46306</v>
      </c>
      <c r="C96" s="28" t="n">
        <v>373702435.086561</v>
      </c>
      <c r="D96" s="28" t="n">
        <v>4991559.98266541</v>
      </c>
      <c r="E96" s="28" t="n">
        <v>12689656.9972687</v>
      </c>
      <c r="F96" s="28" t="n">
        <v>17681216.9799342</v>
      </c>
      <c r="G96" s="28" t="n">
        <v>361012778.089292</v>
      </c>
      <c r="H96" s="25" t="n">
        <f aca="false">J95</f>
        <v>373702435.086561</v>
      </c>
      <c r="I96" s="25" t="n">
        <f aca="false">H96*N96</f>
        <v>4991559.98266541</v>
      </c>
      <c r="J96" s="25" t="n">
        <f aca="false">H96+I96-F96</f>
        <v>361012778.089292</v>
      </c>
      <c r="K96" s="25" t="n">
        <f aca="false">D96-I96</f>
        <v>0</v>
      </c>
      <c r="L96" s="25" t="n">
        <f aca="false">G96-J96</f>
        <v>0</v>
      </c>
      <c r="M96" s="25" t="n">
        <f aca="false">F96</f>
        <v>17681216.9799342</v>
      </c>
      <c r="N96" s="49" t="n">
        <f aca="false">$C$55</f>
        <v>0.0133570443058773</v>
      </c>
      <c r="O96" s="25" t="n">
        <f aca="false">IF(AND(B96&gt;=DATE(2026,1,1),B96&lt;=Resumen!$C$5),1,0)</f>
        <v>0</v>
      </c>
      <c r="P96" s="25" t="n">
        <f aca="false">IF(AND(B96&gt;Resumen!$C$5,B96&lt;=DATE(2027,7,31)),1,0)</f>
        <v>1</v>
      </c>
    </row>
    <row r="97" customFormat="false" ht="15" hidden="false" customHeight="false" outlineLevel="0" collapsed="false">
      <c r="A97" s="22" t="n">
        <v>37</v>
      </c>
      <c r="B97" s="23" t="n">
        <v>46337</v>
      </c>
      <c r="C97" s="28" t="n">
        <v>361012778.089292</v>
      </c>
      <c r="D97" s="28" t="n">
        <v>4822063.67192651</v>
      </c>
      <c r="E97" s="28" t="n">
        <v>12859153.3080077</v>
      </c>
      <c r="F97" s="28" t="n">
        <v>17681216.9799342</v>
      </c>
      <c r="G97" s="28" t="n">
        <v>348153624.781284</v>
      </c>
      <c r="H97" s="25" t="n">
        <f aca="false">J96</f>
        <v>361012778.089292</v>
      </c>
      <c r="I97" s="25" t="n">
        <f aca="false">H97*N97</f>
        <v>4822063.67192651</v>
      </c>
      <c r="J97" s="25" t="n">
        <f aca="false">H97+I97-F97</f>
        <v>348153624.781284</v>
      </c>
      <c r="K97" s="25" t="n">
        <f aca="false">D97-I97</f>
        <v>0</v>
      </c>
      <c r="L97" s="25" t="n">
        <f aca="false">G97-J97</f>
        <v>0</v>
      </c>
      <c r="M97" s="25" t="n">
        <f aca="false">F97</f>
        <v>17681216.9799342</v>
      </c>
      <c r="N97" s="49" t="n">
        <f aca="false">$C$55</f>
        <v>0.0133570443058773</v>
      </c>
      <c r="O97" s="25" t="n">
        <f aca="false">IF(AND(B97&gt;=DATE(2026,1,1),B97&lt;=Resumen!$C$5),1,0)</f>
        <v>0</v>
      </c>
      <c r="P97" s="25" t="n">
        <f aca="false">IF(AND(B97&gt;Resumen!$C$5,B97&lt;=DATE(2027,7,31)),1,0)</f>
        <v>1</v>
      </c>
    </row>
    <row r="98" customFormat="false" ht="15" hidden="false" customHeight="false" outlineLevel="0" collapsed="false">
      <c r="A98" s="22" t="n">
        <v>38</v>
      </c>
      <c r="B98" s="23" t="n">
        <v>46367</v>
      </c>
      <c r="C98" s="28" t="n">
        <v>348153624.781284</v>
      </c>
      <c r="D98" s="28" t="n">
        <v>4650303.39145538</v>
      </c>
      <c r="E98" s="28" t="n">
        <v>13030913.5884788</v>
      </c>
      <c r="F98" s="28" t="n">
        <v>17681216.9799342</v>
      </c>
      <c r="G98" s="28" t="n">
        <v>335122711.192806</v>
      </c>
      <c r="H98" s="25" t="n">
        <f aca="false">J97</f>
        <v>348153624.781284</v>
      </c>
      <c r="I98" s="25" t="n">
        <f aca="false">H98*N98</f>
        <v>4650303.39145538</v>
      </c>
      <c r="J98" s="25" t="n">
        <f aca="false">H98+I98-F98</f>
        <v>335122711.192806</v>
      </c>
      <c r="K98" s="25" t="n">
        <f aca="false">D98-I98</f>
        <v>0</v>
      </c>
      <c r="L98" s="25" t="n">
        <f aca="false">G98-J98</f>
        <v>0</v>
      </c>
      <c r="M98" s="25" t="n">
        <f aca="false">F98</f>
        <v>17681216.9799342</v>
      </c>
      <c r="N98" s="49" t="n">
        <f aca="false">$C$55</f>
        <v>0.0133570443058773</v>
      </c>
      <c r="O98" s="25" t="n">
        <f aca="false">IF(AND(B98&gt;=DATE(2026,1,1),B98&lt;=Resumen!$C$5),1,0)</f>
        <v>0</v>
      </c>
      <c r="P98" s="25" t="n">
        <f aca="false">IF(AND(B98&gt;Resumen!$C$5,B98&lt;=DATE(2027,7,31)),1,0)</f>
        <v>1</v>
      </c>
    </row>
    <row r="99" customFormat="false" ht="15" hidden="false" customHeight="false" outlineLevel="0" collapsed="false">
      <c r="A99" s="22" t="n">
        <v>39</v>
      </c>
      <c r="B99" s="23" t="n">
        <v>46398</v>
      </c>
      <c r="C99" s="28" t="n">
        <v>335122711.192806</v>
      </c>
      <c r="D99" s="28" t="n">
        <v>4476248.90130801</v>
      </c>
      <c r="E99" s="28" t="n">
        <v>13204968.0786262</v>
      </c>
      <c r="F99" s="28" t="n">
        <v>17681216.9799342</v>
      </c>
      <c r="G99" s="28" t="n">
        <v>321917743.114179</v>
      </c>
      <c r="H99" s="25" t="n">
        <f aca="false">J98</f>
        <v>335122711.192806</v>
      </c>
      <c r="I99" s="25" t="n">
        <f aca="false">H99*N99</f>
        <v>4476248.90130801</v>
      </c>
      <c r="J99" s="25" t="n">
        <f aca="false">H99+I99-F99</f>
        <v>321917743.114179</v>
      </c>
      <c r="K99" s="25" t="n">
        <f aca="false">D99-I99</f>
        <v>0</v>
      </c>
      <c r="L99" s="25" t="n">
        <f aca="false">G99-J99</f>
        <v>0</v>
      </c>
      <c r="M99" s="25" t="n">
        <f aca="false">F99</f>
        <v>17681216.9799342</v>
      </c>
      <c r="N99" s="49" t="n">
        <f aca="false">$C$55</f>
        <v>0.0133570443058773</v>
      </c>
      <c r="O99" s="25" t="n">
        <f aca="false">IF(AND(B99&gt;=DATE(2026,1,1),B99&lt;=Resumen!$C$5),1,0)</f>
        <v>0</v>
      </c>
      <c r="P99" s="25" t="n">
        <f aca="false">IF(AND(B99&gt;Resumen!$C$5,B99&lt;=DATE(2027,7,31)),1,0)</f>
        <v>1</v>
      </c>
    </row>
    <row r="100" customFormat="false" ht="15" hidden="false" customHeight="false" outlineLevel="0" collapsed="false">
      <c r="A100" s="22" t="n">
        <v>40</v>
      </c>
      <c r="B100" s="23" t="n">
        <v>46429</v>
      </c>
      <c r="C100" s="28" t="n">
        <v>321917743.114179</v>
      </c>
      <c r="D100" s="28" t="n">
        <v>4299869.55762411</v>
      </c>
      <c r="E100" s="28" t="n">
        <v>13381347.4223101</v>
      </c>
      <c r="F100" s="28" t="n">
        <v>17681216.9799342</v>
      </c>
      <c r="G100" s="28" t="n">
        <v>308536395.691869</v>
      </c>
      <c r="H100" s="25" t="n">
        <f aca="false">J99</f>
        <v>321917743.114179</v>
      </c>
      <c r="I100" s="25" t="n">
        <f aca="false">H100*N100</f>
        <v>4299869.55762411</v>
      </c>
      <c r="J100" s="25" t="n">
        <f aca="false">H100+I100-F100</f>
        <v>308536395.691869</v>
      </c>
      <c r="K100" s="25" t="n">
        <f aca="false">D100-I100</f>
        <v>0</v>
      </c>
      <c r="L100" s="25" t="n">
        <f aca="false">G100-J100</f>
        <v>0</v>
      </c>
      <c r="M100" s="25" t="n">
        <f aca="false">F100</f>
        <v>17681216.9799342</v>
      </c>
      <c r="N100" s="49" t="n">
        <f aca="false">$C$55</f>
        <v>0.0133570443058773</v>
      </c>
      <c r="O100" s="25" t="n">
        <f aca="false">IF(AND(B100&gt;=DATE(2026,1,1),B100&lt;=Resumen!$C$5),1,0)</f>
        <v>0</v>
      </c>
      <c r="P100" s="25" t="n">
        <f aca="false">IF(AND(B100&gt;Resumen!$C$5,B100&lt;=DATE(2027,7,31)),1,0)</f>
        <v>1</v>
      </c>
    </row>
    <row r="101" customFormat="false" ht="15" hidden="false" customHeight="false" outlineLevel="0" collapsed="false">
      <c r="A101" s="22" t="n">
        <v>41</v>
      </c>
      <c r="B101" s="23" t="n">
        <v>46457</v>
      </c>
      <c r="C101" s="28" t="n">
        <v>308536395.691869</v>
      </c>
      <c r="D101" s="28" t="n">
        <v>4121134.30723198</v>
      </c>
      <c r="E101" s="28" t="n">
        <v>13560082.6727022</v>
      </c>
      <c r="F101" s="28" t="n">
        <v>17681216.9799342</v>
      </c>
      <c r="G101" s="28" t="n">
        <v>294976313.019167</v>
      </c>
      <c r="H101" s="25" t="n">
        <f aca="false">J100</f>
        <v>308536395.691869</v>
      </c>
      <c r="I101" s="25" t="n">
        <f aca="false">H101*N101</f>
        <v>4121134.30723197</v>
      </c>
      <c r="J101" s="25" t="n">
        <f aca="false">H101+I101-F101</f>
        <v>294976313.019167</v>
      </c>
      <c r="K101" s="25" t="n">
        <f aca="false">D101-I101</f>
        <v>0</v>
      </c>
      <c r="L101" s="25" t="n">
        <f aca="false">G101-J101</f>
        <v>0</v>
      </c>
      <c r="M101" s="25" t="n">
        <f aca="false">F101</f>
        <v>17681216.9799342</v>
      </c>
      <c r="N101" s="49" t="n">
        <f aca="false">$C$55</f>
        <v>0.0133570443058773</v>
      </c>
      <c r="O101" s="25" t="n">
        <f aca="false">IF(AND(B101&gt;=DATE(2026,1,1),B101&lt;=Resumen!$C$5),1,0)</f>
        <v>0</v>
      </c>
      <c r="P101" s="25" t="n">
        <f aca="false">IF(AND(B101&gt;Resumen!$C$5,B101&lt;=DATE(2027,7,31)),1,0)</f>
        <v>1</v>
      </c>
    </row>
    <row r="102" customFormat="false" ht="15" hidden="false" customHeight="false" outlineLevel="0" collapsed="false">
      <c r="A102" s="22" t="n">
        <v>42</v>
      </c>
      <c r="B102" s="23" t="n">
        <v>46488</v>
      </c>
      <c r="C102" s="28" t="n">
        <v>294976313.019167</v>
      </c>
      <c r="D102" s="28" t="n">
        <v>3940011.68218133</v>
      </c>
      <c r="E102" s="28" t="n">
        <v>13741205.2977528</v>
      </c>
      <c r="F102" s="28" t="n">
        <v>17681216.9799341</v>
      </c>
      <c r="G102" s="28" t="n">
        <v>281235107.721414</v>
      </c>
      <c r="H102" s="25" t="n">
        <f aca="false">J101</f>
        <v>294976313.019167</v>
      </c>
      <c r="I102" s="25" t="n">
        <f aca="false">H102*N102</f>
        <v>3940011.68218133</v>
      </c>
      <c r="J102" s="25" t="n">
        <f aca="false">H102+I102-F102</f>
        <v>281235107.721414</v>
      </c>
      <c r="K102" s="25" t="n">
        <f aca="false">D102-I102</f>
        <v>0</v>
      </c>
      <c r="L102" s="25" t="n">
        <f aca="false">G102-J102</f>
        <v>0</v>
      </c>
      <c r="M102" s="25" t="n">
        <f aca="false">F102</f>
        <v>17681216.9799341</v>
      </c>
      <c r="N102" s="49" t="n">
        <f aca="false">$C$55</f>
        <v>0.0133570443058773</v>
      </c>
      <c r="O102" s="25" t="n">
        <f aca="false">IF(AND(B102&gt;=DATE(2026,1,1),B102&lt;=Resumen!$C$5),1,0)</f>
        <v>0</v>
      </c>
      <c r="P102" s="25" t="n">
        <f aca="false">IF(AND(B102&gt;Resumen!$C$5,B102&lt;=DATE(2027,7,31)),1,0)</f>
        <v>1</v>
      </c>
    </row>
    <row r="103" customFormat="false" ht="15" hidden="false" customHeight="false" outlineLevel="0" collapsed="false">
      <c r="A103" s="22" t="n">
        <v>43</v>
      </c>
      <c r="B103" s="23" t="n">
        <v>46518</v>
      </c>
      <c r="C103" s="28" t="n">
        <v>281235107.721414</v>
      </c>
      <c r="D103" s="28" t="n">
        <v>3756469.79420309</v>
      </c>
      <c r="E103" s="28" t="n">
        <v>13924747.1857311</v>
      </c>
      <c r="F103" s="28" t="n">
        <v>17681216.9799342</v>
      </c>
      <c r="G103" s="28" t="n">
        <v>267310360.535683</v>
      </c>
      <c r="H103" s="25" t="n">
        <f aca="false">J102</f>
        <v>281235107.721414</v>
      </c>
      <c r="I103" s="25" t="n">
        <f aca="false">H103*N103</f>
        <v>3756469.79420309</v>
      </c>
      <c r="J103" s="25" t="n">
        <f aca="false">H103+I103-F103</f>
        <v>267310360.535683</v>
      </c>
      <c r="K103" s="25" t="n">
        <f aca="false">D103-I103</f>
        <v>0</v>
      </c>
      <c r="L103" s="25" t="n">
        <f aca="false">G103-J103</f>
        <v>0</v>
      </c>
      <c r="M103" s="25" t="n">
        <f aca="false">F103</f>
        <v>17681216.9799342</v>
      </c>
      <c r="N103" s="49" t="n">
        <f aca="false">$C$55</f>
        <v>0.0133570443058773</v>
      </c>
      <c r="O103" s="25" t="n">
        <f aca="false">IF(AND(B103&gt;=DATE(2026,1,1),B103&lt;=Resumen!$C$5),1,0)</f>
        <v>0</v>
      </c>
      <c r="P103" s="25" t="n">
        <f aca="false">IF(AND(B103&gt;Resumen!$C$5,B103&lt;=DATE(2027,7,31)),1,0)</f>
        <v>1</v>
      </c>
    </row>
    <row r="104" customFormat="false" ht="15" hidden="false" customHeight="false" outlineLevel="0" collapsed="false">
      <c r="A104" s="22" t="n">
        <v>44</v>
      </c>
      <c r="B104" s="23" t="n">
        <v>46549</v>
      </c>
      <c r="C104" s="28" t="n">
        <v>267310360.535683</v>
      </c>
      <c r="D104" s="28" t="n">
        <v>3570476.32909514</v>
      </c>
      <c r="E104" s="28" t="n">
        <v>14110740.650839</v>
      </c>
      <c r="F104" s="28" t="n">
        <v>17681216.9799342</v>
      </c>
      <c r="G104" s="28" t="n">
        <v>253199619.884844</v>
      </c>
      <c r="H104" s="25" t="n">
        <f aca="false">J103</f>
        <v>267310360.535683</v>
      </c>
      <c r="I104" s="25" t="n">
        <f aca="false">H104*N104</f>
        <v>3570476.32909514</v>
      </c>
      <c r="J104" s="25" t="n">
        <f aca="false">H104+I104-F104</f>
        <v>253199619.884844</v>
      </c>
      <c r="K104" s="25" t="n">
        <f aca="false">D104-I104</f>
        <v>0</v>
      </c>
      <c r="L104" s="25" t="n">
        <f aca="false">G104-J104</f>
        <v>0</v>
      </c>
      <c r="M104" s="25" t="n">
        <f aca="false">F104</f>
        <v>17681216.9799342</v>
      </c>
      <c r="N104" s="49" t="n">
        <f aca="false">$C$55</f>
        <v>0.0133570443058773</v>
      </c>
      <c r="O104" s="25" t="n">
        <f aca="false">IF(AND(B104&gt;=DATE(2026,1,1),B104&lt;=Resumen!$C$5),1,0)</f>
        <v>0</v>
      </c>
      <c r="P104" s="25" t="n">
        <f aca="false">IF(AND(B104&gt;Resumen!$C$5,B104&lt;=DATE(2027,7,31)),1,0)</f>
        <v>1</v>
      </c>
    </row>
    <row r="105" customFormat="false" ht="15" hidden="false" customHeight="false" outlineLevel="0" collapsed="false">
      <c r="A105" s="22" t="n">
        <v>45</v>
      </c>
      <c r="B105" s="23" t="n">
        <v>46579</v>
      </c>
      <c r="C105" s="28" t="n">
        <v>253199619.884844</v>
      </c>
      <c r="D105" s="28" t="n">
        <v>3381998.54103315</v>
      </c>
      <c r="E105" s="28" t="n">
        <v>14299218.438901</v>
      </c>
      <c r="F105" s="28" t="n">
        <v>17681216.9799342</v>
      </c>
      <c r="G105" s="28" t="n">
        <v>238900401.445943</v>
      </c>
      <c r="H105" s="25" t="n">
        <f aca="false">J104</f>
        <v>253199619.884844</v>
      </c>
      <c r="I105" s="25" t="n">
        <f aca="false">H105*N105</f>
        <v>3381998.54103314</v>
      </c>
      <c r="J105" s="25" t="n">
        <f aca="false">H105+I105-F105</f>
        <v>238900401.445943</v>
      </c>
      <c r="K105" s="25" t="n">
        <f aca="false">D105-I105</f>
        <v>0</v>
      </c>
      <c r="L105" s="25" t="n">
        <f aca="false">G105-J105</f>
        <v>0</v>
      </c>
      <c r="M105" s="25" t="n">
        <f aca="false">F105</f>
        <v>17681216.9799342</v>
      </c>
      <c r="N105" s="49" t="n">
        <f aca="false">$C$55</f>
        <v>0.0133570443058773</v>
      </c>
      <c r="O105" s="25" t="n">
        <f aca="false">IF(AND(B105&gt;=DATE(2026,1,1),B105&lt;=Resumen!$C$5),1,0)</f>
        <v>0</v>
      </c>
      <c r="P105" s="25" t="n">
        <f aca="false">IF(AND(B105&gt;Resumen!$C$5,B105&lt;=DATE(2027,7,31)),1,0)</f>
        <v>1</v>
      </c>
    </row>
    <row r="106" customFormat="false" ht="15" hidden="false" customHeight="false" outlineLevel="0" collapsed="false">
      <c r="A106" s="22" t="n">
        <v>46</v>
      </c>
      <c r="B106" s="23" t="n">
        <v>46610</v>
      </c>
      <c r="C106" s="28" t="n">
        <v>238900401.445943</v>
      </c>
      <c r="D106" s="28" t="n">
        <v>3191003.24680533</v>
      </c>
      <c r="E106" s="28" t="n">
        <v>14490213.7331288</v>
      </c>
      <c r="F106" s="28" t="n">
        <v>17681216.9799341</v>
      </c>
      <c r="G106" s="28" t="n">
        <v>224410187.712815</v>
      </c>
      <c r="H106" s="25" t="n">
        <f aca="false">J105</f>
        <v>238900401.445943</v>
      </c>
      <c r="I106" s="25" t="n">
        <f aca="false">H106*N106</f>
        <v>3191003.24680533</v>
      </c>
      <c r="J106" s="25" t="n">
        <f aca="false">H106+I106-F106</f>
        <v>224410187.712814</v>
      </c>
      <c r="K106" s="25" t="n">
        <f aca="false">D106-I106</f>
        <v>0</v>
      </c>
      <c r="L106" s="25" t="n">
        <f aca="false">G106-J106</f>
        <v>0</v>
      </c>
      <c r="M106" s="25" t="n">
        <f aca="false">F106</f>
        <v>17681216.9799341</v>
      </c>
      <c r="N106" s="49" t="n">
        <f aca="false">$C$55</f>
        <v>0.0133570443058773</v>
      </c>
      <c r="O106" s="25" t="n">
        <f aca="false">IF(AND(B106&gt;=DATE(2026,1,1),B106&lt;=Resumen!$C$5),1,0)</f>
        <v>0</v>
      </c>
      <c r="P106" s="25" t="n">
        <f aca="false">IF(AND(B106&gt;Resumen!$C$5,B106&lt;=DATE(2027,7,31)),1,0)</f>
        <v>0</v>
      </c>
    </row>
    <row r="107" customFormat="false" ht="15" hidden="false" customHeight="false" outlineLevel="0" collapsed="false">
      <c r="A107" s="22" t="n">
        <v>47</v>
      </c>
      <c r="B107" s="23" t="n">
        <v>46641</v>
      </c>
      <c r="C107" s="28" t="n">
        <v>224410187.712815</v>
      </c>
      <c r="D107" s="28" t="n">
        <v>2997456.81997029</v>
      </c>
      <c r="E107" s="28" t="n">
        <v>14683760.1599639</v>
      </c>
      <c r="F107" s="28" t="n">
        <v>17681216.9799342</v>
      </c>
      <c r="G107" s="28" t="n">
        <v>209726427.552851</v>
      </c>
      <c r="H107" s="25" t="n">
        <f aca="false">J106</f>
        <v>224410187.712814</v>
      </c>
      <c r="I107" s="25" t="n">
        <f aca="false">H107*N107</f>
        <v>2997456.81997029</v>
      </c>
      <c r="J107" s="25" t="n">
        <f aca="false">H107+I107-F107</f>
        <v>209726427.552851</v>
      </c>
      <c r="K107" s="25" t="n">
        <f aca="false">D107-I107</f>
        <v>0</v>
      </c>
      <c r="L107" s="25" t="n">
        <f aca="false">G107-J107</f>
        <v>0</v>
      </c>
      <c r="M107" s="25" t="n">
        <f aca="false">F107</f>
        <v>17681216.9799342</v>
      </c>
      <c r="N107" s="49" t="n">
        <f aca="false">$C$55</f>
        <v>0.0133570443058773</v>
      </c>
      <c r="O107" s="25" t="n">
        <f aca="false">IF(AND(B107&gt;=DATE(2026,1,1),B107&lt;=Resumen!$C$5),1,0)</f>
        <v>0</v>
      </c>
      <c r="P107" s="25" t="n">
        <f aca="false">IF(AND(B107&gt;Resumen!$C$5,B107&lt;=DATE(2027,7,31)),1,0)</f>
        <v>0</v>
      </c>
    </row>
    <row r="108" customFormat="false" ht="15" hidden="false" customHeight="false" outlineLevel="0" collapsed="false">
      <c r="A108" s="22" t="n">
        <v>48</v>
      </c>
      <c r="B108" s="23" t="n">
        <v>46671</v>
      </c>
      <c r="C108" s="28" t="n">
        <v>209726427.552851</v>
      </c>
      <c r="D108" s="28" t="n">
        <v>2801325.18493678</v>
      </c>
      <c r="E108" s="28" t="n">
        <v>14879891.7949974</v>
      </c>
      <c r="F108" s="28" t="n">
        <v>17681216.9799341</v>
      </c>
      <c r="G108" s="28" t="n">
        <v>194846535.757853</v>
      </c>
      <c r="H108" s="25" t="n">
        <f aca="false">J107</f>
        <v>209726427.552851</v>
      </c>
      <c r="I108" s="25" t="n">
        <f aca="false">H108*N108</f>
        <v>2801325.18493678</v>
      </c>
      <c r="J108" s="25" t="n">
        <f aca="false">H108+I108-F108</f>
        <v>194846535.757853</v>
      </c>
      <c r="K108" s="25" t="n">
        <f aca="false">D108-I108</f>
        <v>0</v>
      </c>
      <c r="L108" s="25" t="n">
        <f aca="false">G108-J108</f>
        <v>0</v>
      </c>
      <c r="M108" s="25" t="n">
        <f aca="false">F108</f>
        <v>17681216.9799341</v>
      </c>
      <c r="N108" s="49" t="n">
        <f aca="false">$C$55</f>
        <v>0.0133570443058773</v>
      </c>
      <c r="O108" s="25" t="n">
        <f aca="false">IF(AND(B108&gt;=DATE(2026,1,1),B108&lt;=Resumen!$C$5),1,0)</f>
        <v>0</v>
      </c>
      <c r="P108" s="25" t="n">
        <f aca="false">IF(AND(B108&gt;Resumen!$C$5,B108&lt;=DATE(2027,7,31)),1,0)</f>
        <v>0</v>
      </c>
    </row>
    <row r="109" customFormat="false" ht="15" hidden="false" customHeight="false" outlineLevel="0" collapsed="false">
      <c r="A109" s="22" t="n">
        <v>49</v>
      </c>
      <c r="B109" s="23" t="n">
        <v>46702</v>
      </c>
      <c r="C109" s="28" t="n">
        <v>194846535.757853</v>
      </c>
      <c r="D109" s="28" t="n">
        <v>2602573.81096434</v>
      </c>
      <c r="E109" s="28" t="n">
        <v>15078643.1689698</v>
      </c>
      <c r="F109" s="28" t="n">
        <v>17681216.9799342</v>
      </c>
      <c r="G109" s="28" t="n">
        <v>179767892.588883</v>
      </c>
      <c r="H109" s="25" t="n">
        <f aca="false">J108</f>
        <v>194846535.757853</v>
      </c>
      <c r="I109" s="25" t="n">
        <f aca="false">H109*N109</f>
        <v>2602573.81096434</v>
      </c>
      <c r="J109" s="25" t="n">
        <f aca="false">H109+I109-F109</f>
        <v>179767892.588883</v>
      </c>
      <c r="K109" s="25" t="n">
        <f aca="false">D109-I109</f>
        <v>0</v>
      </c>
      <c r="L109" s="25" t="n">
        <f aca="false">G109-J109</f>
        <v>0</v>
      </c>
      <c r="M109" s="25" t="n">
        <f aca="false">F109</f>
        <v>17681216.9799342</v>
      </c>
      <c r="N109" s="49" t="n">
        <f aca="false">$C$55</f>
        <v>0.0133570443058773</v>
      </c>
      <c r="O109" s="25" t="n">
        <f aca="false">IF(AND(B109&gt;=DATE(2026,1,1),B109&lt;=Resumen!$C$5),1,0)</f>
        <v>0</v>
      </c>
      <c r="P109" s="25" t="n">
        <f aca="false">IF(AND(B109&gt;Resumen!$C$5,B109&lt;=DATE(2027,7,31)),1,0)</f>
        <v>0</v>
      </c>
    </row>
    <row r="110" customFormat="false" ht="15" hidden="false" customHeight="false" outlineLevel="0" collapsed="false">
      <c r="A110" s="22" t="n">
        <v>50</v>
      </c>
      <c r="B110" s="23" t="n">
        <v>46732</v>
      </c>
      <c r="C110" s="28" t="n">
        <v>179767892.588883</v>
      </c>
      <c r="D110" s="28" t="n">
        <v>2401167.7060839</v>
      </c>
      <c r="E110" s="28" t="n">
        <v>15280049.2738503</v>
      </c>
      <c r="F110" s="28" t="n">
        <v>17681216.9799342</v>
      </c>
      <c r="G110" s="28" t="n">
        <v>164487843.315033</v>
      </c>
      <c r="H110" s="25" t="n">
        <f aca="false">J109</f>
        <v>179767892.588883</v>
      </c>
      <c r="I110" s="25" t="n">
        <f aca="false">H110*N110</f>
        <v>2401167.7060839</v>
      </c>
      <c r="J110" s="25" t="n">
        <f aca="false">H110+I110-F110</f>
        <v>164487843.315033</v>
      </c>
      <c r="K110" s="25" t="n">
        <f aca="false">D110-I110</f>
        <v>0</v>
      </c>
      <c r="L110" s="25" t="n">
        <f aca="false">G110-J110</f>
        <v>0</v>
      </c>
      <c r="M110" s="25" t="n">
        <f aca="false">F110</f>
        <v>17681216.9799342</v>
      </c>
      <c r="N110" s="49" t="n">
        <f aca="false">$C$55</f>
        <v>0.0133570443058773</v>
      </c>
      <c r="O110" s="25" t="n">
        <f aca="false">IF(AND(B110&gt;=DATE(2026,1,1),B110&lt;=Resumen!$C$5),1,0)</f>
        <v>0</v>
      </c>
      <c r="P110" s="25" t="n">
        <f aca="false">IF(AND(B110&gt;Resumen!$C$5,B110&lt;=DATE(2027,7,31)),1,0)</f>
        <v>0</v>
      </c>
    </row>
    <row r="111" customFormat="false" ht="15" hidden="false" customHeight="false" outlineLevel="0" collapsed="false">
      <c r="A111" s="22" t="n">
        <v>51</v>
      </c>
      <c r="B111" s="23" t="n">
        <v>46763</v>
      </c>
      <c r="C111" s="28" t="n">
        <v>164487843.315033</v>
      </c>
      <c r="D111" s="28" t="n">
        <v>2197071.41093709</v>
      </c>
      <c r="E111" s="28" t="n">
        <v>15484145.5689971</v>
      </c>
      <c r="F111" s="28" t="n">
        <v>17681216.9799342</v>
      </c>
      <c r="G111" s="28" t="n">
        <v>149003697.746036</v>
      </c>
      <c r="H111" s="25" t="n">
        <f aca="false">J110</f>
        <v>164487843.315033</v>
      </c>
      <c r="I111" s="25" t="n">
        <f aca="false">H111*N111</f>
        <v>2197071.41093709</v>
      </c>
      <c r="J111" s="25" t="n">
        <f aca="false">H111+I111-F111</f>
        <v>149003697.746036</v>
      </c>
      <c r="K111" s="25" t="n">
        <f aca="false">D111-I111</f>
        <v>0</v>
      </c>
      <c r="L111" s="25" t="n">
        <f aca="false">G111-J111</f>
        <v>0</v>
      </c>
      <c r="M111" s="25" t="n">
        <f aca="false">F111</f>
        <v>17681216.9799342</v>
      </c>
      <c r="N111" s="49" t="n">
        <f aca="false">$C$55</f>
        <v>0.0133570443058773</v>
      </c>
      <c r="O111" s="25" t="n">
        <f aca="false">IF(AND(B111&gt;=DATE(2026,1,1),B111&lt;=Resumen!$C$5),1,0)</f>
        <v>0</v>
      </c>
      <c r="P111" s="25" t="n">
        <f aca="false">IF(AND(B111&gt;Resumen!$C$5,B111&lt;=DATE(2027,7,31)),1,0)</f>
        <v>0</v>
      </c>
    </row>
    <row r="112" customFormat="false" ht="15" hidden="false" customHeight="false" outlineLevel="0" collapsed="false">
      <c r="A112" s="22" t="n">
        <v>52</v>
      </c>
      <c r="B112" s="23" t="n">
        <v>46794</v>
      </c>
      <c r="C112" s="28" t="n">
        <v>149003697.746036</v>
      </c>
      <c r="D112" s="28" t="n">
        <v>1990248.99253335</v>
      </c>
      <c r="E112" s="28" t="n">
        <v>15690967.9874008</v>
      </c>
      <c r="F112" s="28" t="n">
        <v>17681216.9799342</v>
      </c>
      <c r="G112" s="28" t="n">
        <v>133312729.758635</v>
      </c>
      <c r="H112" s="25" t="n">
        <f aca="false">J111</f>
        <v>149003697.746036</v>
      </c>
      <c r="I112" s="25" t="n">
        <f aca="false">H112*N112</f>
        <v>1990248.99253335</v>
      </c>
      <c r="J112" s="25" t="n">
        <f aca="false">H112+I112-F112</f>
        <v>133312729.758635</v>
      </c>
      <c r="K112" s="25" t="n">
        <f aca="false">D112-I112</f>
        <v>0</v>
      </c>
      <c r="L112" s="25" t="n">
        <f aca="false">G112-J112</f>
        <v>0</v>
      </c>
      <c r="M112" s="25" t="n">
        <f aca="false">F112</f>
        <v>17681216.9799342</v>
      </c>
      <c r="N112" s="49" t="n">
        <f aca="false">$C$55</f>
        <v>0.0133570443058773</v>
      </c>
      <c r="O112" s="25" t="n">
        <f aca="false">IF(AND(B112&gt;=DATE(2026,1,1),B112&lt;=Resumen!$C$5),1,0)</f>
        <v>0</v>
      </c>
      <c r="P112" s="25" t="n">
        <f aca="false">IF(AND(B112&gt;Resumen!$C$5,B112&lt;=DATE(2027,7,31)),1,0)</f>
        <v>0</v>
      </c>
    </row>
    <row r="113" customFormat="false" ht="15" hidden="false" customHeight="false" outlineLevel="0" collapsed="false">
      <c r="A113" s="22" t="n">
        <v>53</v>
      </c>
      <c r="B113" s="23" t="n">
        <v>46823</v>
      </c>
      <c r="C113" s="28" t="n">
        <v>133312729.758635</v>
      </c>
      <c r="D113" s="28" t="n">
        <v>1780664.03792353</v>
      </c>
      <c r="E113" s="28" t="n">
        <v>15900552.9420106</v>
      </c>
      <c r="F113" s="28" t="n">
        <v>17681216.9799341</v>
      </c>
      <c r="G113" s="28" t="n">
        <v>117412176.816625</v>
      </c>
      <c r="H113" s="25" t="n">
        <f aca="false">J112</f>
        <v>133312729.758635</v>
      </c>
      <c r="I113" s="25" t="n">
        <f aca="false">H113*N113</f>
        <v>1780664.03792353</v>
      </c>
      <c r="J113" s="25" t="n">
        <f aca="false">H113+I113-F113</f>
        <v>117412176.816625</v>
      </c>
      <c r="K113" s="25" t="n">
        <f aca="false">D113-I113</f>
        <v>0</v>
      </c>
      <c r="L113" s="25" t="n">
        <f aca="false">G113-J113</f>
        <v>0</v>
      </c>
      <c r="M113" s="25" t="n">
        <f aca="false">F113</f>
        <v>17681216.9799341</v>
      </c>
      <c r="N113" s="49" t="n">
        <f aca="false">$C$55</f>
        <v>0.0133570443058773</v>
      </c>
      <c r="O113" s="25" t="n">
        <f aca="false">IF(AND(B113&gt;=DATE(2026,1,1),B113&lt;=Resumen!$C$5),1,0)</f>
        <v>0</v>
      </c>
      <c r="P113" s="25" t="n">
        <f aca="false">IF(AND(B113&gt;Resumen!$C$5,B113&lt;=DATE(2027,7,31)),1,0)</f>
        <v>0</v>
      </c>
    </row>
    <row r="114" customFormat="false" ht="15" hidden="false" customHeight="false" outlineLevel="0" collapsed="false">
      <c r="A114" s="22" t="n">
        <v>54</v>
      </c>
      <c r="B114" s="23" t="n">
        <v>46854</v>
      </c>
      <c r="C114" s="28" t="n">
        <v>117412176.816625</v>
      </c>
      <c r="D114" s="28" t="n">
        <v>1568279.64778915</v>
      </c>
      <c r="E114" s="28" t="n">
        <v>16112937.332145</v>
      </c>
      <c r="F114" s="28" t="n">
        <v>17681216.9799342</v>
      </c>
      <c r="G114" s="28" t="n">
        <v>101299239.48448</v>
      </c>
      <c r="H114" s="25" t="n">
        <f aca="false">J113</f>
        <v>117412176.816625</v>
      </c>
      <c r="I114" s="25" t="n">
        <f aca="false">H114*N114</f>
        <v>1568279.64778915</v>
      </c>
      <c r="J114" s="25" t="n">
        <f aca="false">H114+I114-F114</f>
        <v>101299239.48448</v>
      </c>
      <c r="K114" s="25" t="n">
        <f aca="false">D114-I114</f>
        <v>0</v>
      </c>
      <c r="L114" s="25" t="n">
        <f aca="false">G114-J114</f>
        <v>0</v>
      </c>
      <c r="M114" s="25" t="n">
        <f aca="false">F114</f>
        <v>17681216.9799342</v>
      </c>
      <c r="N114" s="49" t="n">
        <f aca="false">$C$55</f>
        <v>0.0133570443058773</v>
      </c>
      <c r="O114" s="25" t="n">
        <f aca="false">IF(AND(B114&gt;=DATE(2026,1,1),B114&lt;=Resumen!$C$5),1,0)</f>
        <v>0</v>
      </c>
      <c r="P114" s="25" t="n">
        <f aca="false">IF(AND(B114&gt;Resumen!$C$5,B114&lt;=DATE(2027,7,31)),1,0)</f>
        <v>0</v>
      </c>
    </row>
    <row r="115" customFormat="false" ht="15" hidden="false" customHeight="false" outlineLevel="0" collapsed="false">
      <c r="A115" s="22" t="n">
        <v>55</v>
      </c>
      <c r="B115" s="23" t="n">
        <v>46884</v>
      </c>
      <c r="C115" s="28" t="n">
        <v>101299239.48448</v>
      </c>
      <c r="D115" s="28" t="n">
        <v>1353058.42994587</v>
      </c>
      <c r="E115" s="28" t="n">
        <v>16328158.5499883</v>
      </c>
      <c r="F115" s="28" t="n">
        <v>17681216.9799342</v>
      </c>
      <c r="G115" s="28" t="n">
        <v>84971080.9344914</v>
      </c>
      <c r="H115" s="25" t="n">
        <f aca="false">J114</f>
        <v>101299239.48448</v>
      </c>
      <c r="I115" s="25" t="n">
        <f aca="false">H115*N115</f>
        <v>1353058.42994587</v>
      </c>
      <c r="J115" s="25" t="n">
        <f aca="false">H115+I115-F115</f>
        <v>84971080.9344914</v>
      </c>
      <c r="K115" s="25" t="n">
        <f aca="false">D115-I115</f>
        <v>0</v>
      </c>
      <c r="L115" s="25" t="n">
        <f aca="false">G115-J115</f>
        <v>0</v>
      </c>
      <c r="M115" s="25" t="n">
        <f aca="false">F115</f>
        <v>17681216.9799342</v>
      </c>
      <c r="N115" s="49" t="n">
        <f aca="false">$C$55</f>
        <v>0.0133570443058773</v>
      </c>
      <c r="O115" s="25" t="n">
        <f aca="false">IF(AND(B115&gt;=DATE(2026,1,1),B115&lt;=Resumen!$C$5),1,0)</f>
        <v>0</v>
      </c>
      <c r="P115" s="25" t="n">
        <f aca="false">IF(AND(B115&gt;Resumen!$C$5,B115&lt;=DATE(2027,7,31)),1,0)</f>
        <v>0</v>
      </c>
    </row>
    <row r="116" customFormat="false" ht="15" hidden="false" customHeight="false" outlineLevel="0" collapsed="false">
      <c r="A116" s="22" t="n">
        <v>56</v>
      </c>
      <c r="B116" s="23" t="n">
        <v>46915</v>
      </c>
      <c r="C116" s="28" t="n">
        <v>84971080.9344914</v>
      </c>
      <c r="D116" s="28" t="n">
        <v>1134962.49276028</v>
      </c>
      <c r="E116" s="28" t="n">
        <v>16546254.4871739</v>
      </c>
      <c r="F116" s="28" t="n">
        <v>17681216.9799342</v>
      </c>
      <c r="G116" s="28" t="n">
        <v>68424826.4473175</v>
      </c>
      <c r="H116" s="25" t="n">
        <f aca="false">J115</f>
        <v>84971080.9344914</v>
      </c>
      <c r="I116" s="25" t="n">
        <f aca="false">H116*N116</f>
        <v>1134962.49276028</v>
      </c>
      <c r="J116" s="25" t="n">
        <f aca="false">H116+I116-F116</f>
        <v>68424826.4473175</v>
      </c>
      <c r="K116" s="25" t="n">
        <f aca="false">D116-I116</f>
        <v>0</v>
      </c>
      <c r="L116" s="25" t="n">
        <f aca="false">G116-J116</f>
        <v>0</v>
      </c>
      <c r="M116" s="25" t="n">
        <f aca="false">F116</f>
        <v>17681216.9799342</v>
      </c>
      <c r="N116" s="49" t="n">
        <f aca="false">$C$55</f>
        <v>0.0133570443058773</v>
      </c>
      <c r="O116" s="25" t="n">
        <f aca="false">IF(AND(B116&gt;=DATE(2026,1,1),B116&lt;=Resumen!$C$5),1,0)</f>
        <v>0</v>
      </c>
      <c r="P116" s="25" t="n">
        <f aca="false">IF(AND(B116&gt;Resumen!$C$5,B116&lt;=DATE(2027,7,31)),1,0)</f>
        <v>0</v>
      </c>
    </row>
    <row r="117" customFormat="false" ht="15" hidden="false" customHeight="false" outlineLevel="0" collapsed="false">
      <c r="A117" s="22" t="n">
        <v>57</v>
      </c>
      <c r="B117" s="23" t="n">
        <v>46945</v>
      </c>
      <c r="C117" s="28" t="n">
        <v>68424826.4473175</v>
      </c>
      <c r="D117" s="28" t="n">
        <v>913953.438478782</v>
      </c>
      <c r="E117" s="28" t="n">
        <v>16767263.5414554</v>
      </c>
      <c r="F117" s="28" t="n">
        <v>17681216.9799342</v>
      </c>
      <c r="G117" s="28" t="n">
        <v>51657562.9058621</v>
      </c>
      <c r="H117" s="25" t="n">
        <f aca="false">J116</f>
        <v>68424826.4473175</v>
      </c>
      <c r="I117" s="25" t="n">
        <f aca="false">H117*N117</f>
        <v>913953.438478782</v>
      </c>
      <c r="J117" s="25" t="n">
        <f aca="false">H117+I117-F117</f>
        <v>51657562.9058621</v>
      </c>
      <c r="K117" s="25" t="n">
        <f aca="false">D117-I117</f>
        <v>0</v>
      </c>
      <c r="L117" s="25" t="n">
        <f aca="false">G117-J117</f>
        <v>0</v>
      </c>
      <c r="M117" s="25" t="n">
        <f aca="false">F117</f>
        <v>17681216.9799342</v>
      </c>
      <c r="N117" s="49" t="n">
        <f aca="false">$C$55</f>
        <v>0.0133570443058773</v>
      </c>
      <c r="O117" s="25" t="n">
        <f aca="false">IF(AND(B117&gt;=DATE(2026,1,1),B117&lt;=Resumen!$C$5),1,0)</f>
        <v>0</v>
      </c>
      <c r="P117" s="25" t="n">
        <f aca="false">IF(AND(B117&gt;Resumen!$C$5,B117&lt;=DATE(2027,7,31)),1,0)</f>
        <v>0</v>
      </c>
    </row>
    <row r="118" customFormat="false" ht="15" hidden="false" customHeight="false" outlineLevel="0" collapsed="false">
      <c r="A118" s="22" t="n">
        <v>58</v>
      </c>
      <c r="B118" s="23" t="n">
        <v>46976</v>
      </c>
      <c r="C118" s="28" t="n">
        <v>51657562.9058621</v>
      </c>
      <c r="D118" s="28" t="n">
        <v>689992.356467242</v>
      </c>
      <c r="E118" s="28" t="n">
        <v>16991224.6234669</v>
      </c>
      <c r="F118" s="28" t="n">
        <v>17681216.9799342</v>
      </c>
      <c r="G118" s="28" t="n">
        <v>34666338.2823952</v>
      </c>
      <c r="H118" s="25" t="n">
        <f aca="false">J117</f>
        <v>51657562.9058621</v>
      </c>
      <c r="I118" s="25" t="n">
        <f aca="false">H118*N118</f>
        <v>689992.356467242</v>
      </c>
      <c r="J118" s="25" t="n">
        <f aca="false">H118+I118-F118</f>
        <v>34666338.2823952</v>
      </c>
      <c r="K118" s="25" t="n">
        <f aca="false">D118-I118</f>
        <v>0</v>
      </c>
      <c r="L118" s="25" t="n">
        <f aca="false">G118-J118</f>
        <v>0</v>
      </c>
      <c r="M118" s="25" t="n">
        <f aca="false">F118</f>
        <v>17681216.9799342</v>
      </c>
      <c r="N118" s="49" t="n">
        <f aca="false">$C$55</f>
        <v>0.0133570443058773</v>
      </c>
      <c r="O118" s="25" t="n">
        <f aca="false">IF(AND(B118&gt;=DATE(2026,1,1),B118&lt;=Resumen!$C$5),1,0)</f>
        <v>0</v>
      </c>
      <c r="P118" s="25" t="n">
        <f aca="false">IF(AND(B118&gt;Resumen!$C$5,B118&lt;=DATE(2027,7,31)),1,0)</f>
        <v>0</v>
      </c>
    </row>
    <row r="119" customFormat="false" ht="15" hidden="false" customHeight="false" outlineLevel="0" collapsed="false">
      <c r="A119" s="22" t="n">
        <v>59</v>
      </c>
      <c r="B119" s="23" t="n">
        <v>47007</v>
      </c>
      <c r="C119" s="28" t="n">
        <v>34666338.2823952</v>
      </c>
      <c r="D119" s="28" t="n">
        <v>463039.816360482</v>
      </c>
      <c r="E119" s="28" t="n">
        <v>17218177.1635737</v>
      </c>
      <c r="F119" s="28" t="n">
        <v>17681216.9799342</v>
      </c>
      <c r="G119" s="28" t="n">
        <v>17448161.1188215</v>
      </c>
      <c r="H119" s="25" t="n">
        <f aca="false">J118</f>
        <v>34666338.2823952</v>
      </c>
      <c r="I119" s="25" t="n">
        <f aca="false">H119*N119</f>
        <v>463039.816360481</v>
      </c>
      <c r="J119" s="25" t="n">
        <f aca="false">H119+I119-F119</f>
        <v>17448161.1188215</v>
      </c>
      <c r="K119" s="25" t="n">
        <f aca="false">D119-I119</f>
        <v>0</v>
      </c>
      <c r="L119" s="25" t="n">
        <f aca="false">G119-J119</f>
        <v>0</v>
      </c>
      <c r="M119" s="25" t="n">
        <f aca="false">F119</f>
        <v>17681216.9799342</v>
      </c>
      <c r="N119" s="49" t="n">
        <f aca="false">$C$55</f>
        <v>0.0133570443058773</v>
      </c>
      <c r="O119" s="25" t="n">
        <f aca="false">IF(AND(B119&gt;=DATE(2026,1,1),B119&lt;=Resumen!$C$5),1,0)</f>
        <v>0</v>
      </c>
      <c r="P119" s="25" t="n">
        <f aca="false">IF(AND(B119&gt;Resumen!$C$5,B119&lt;=DATE(2027,7,31)),1,0)</f>
        <v>0</v>
      </c>
    </row>
    <row r="120" customFormat="false" ht="15" hidden="false" customHeight="false" outlineLevel="0" collapsed="false">
      <c r="A120" s="22" t="n">
        <v>60</v>
      </c>
      <c r="B120" s="23" t="n">
        <v>47037</v>
      </c>
      <c r="C120" s="28" t="n">
        <v>17448161.1188215</v>
      </c>
      <c r="D120" s="28" t="n">
        <v>233055.861120184</v>
      </c>
      <c r="E120" s="28" t="n">
        <v>17448161.118814</v>
      </c>
      <c r="F120" s="28" t="n">
        <v>17681216.9799342</v>
      </c>
      <c r="G120" s="28" t="n">
        <v>7.54371285438538E-006</v>
      </c>
      <c r="H120" s="25" t="n">
        <f aca="false">J119</f>
        <v>17448161.1188215</v>
      </c>
      <c r="I120" s="25" t="n">
        <f aca="false">H120*N120</f>
        <v>233055.861120184</v>
      </c>
      <c r="J120" s="25" t="n">
        <f aca="false">H120+I120-F120</f>
        <v>7.5511634349823E-006</v>
      </c>
      <c r="K120" s="25" t="n">
        <f aca="false">D120-I120</f>
        <v>0</v>
      </c>
      <c r="L120" s="25" t="n">
        <f aca="false">G120-J120</f>
        <v>-7.45058059692383E-009</v>
      </c>
      <c r="M120" s="25" t="n">
        <f aca="false">F120</f>
        <v>17681216.9799342</v>
      </c>
      <c r="N120" s="49" t="n">
        <f aca="false">$C$55</f>
        <v>0.0133570443058773</v>
      </c>
      <c r="O120" s="25" t="n">
        <f aca="false">IF(AND(B120&gt;=DATE(2026,1,1),B120&lt;=Resumen!$C$5),1,0)</f>
        <v>0</v>
      </c>
      <c r="P120" s="25" t="n">
        <f aca="false">IF(AND(B120&gt;Resumen!$C$5,B120&lt;=DATE(2027,7,31)),1,0)</f>
        <v>0</v>
      </c>
    </row>
    <row r="123" customFormat="false" ht="15" hidden="false" customHeight="false" outlineLevel="0" collapsed="false">
      <c r="A123" s="33" t="s">
        <v>801</v>
      </c>
    </row>
    <row r="124" customFormat="false" ht="15" hidden="false" customHeight="false" outlineLevel="0" collapsed="false">
      <c r="A124" s="34" t="s">
        <v>802</v>
      </c>
    </row>
    <row r="125" customFormat="false" ht="15" hidden="false" customHeight="false" outlineLevel="0" collapsed="false">
      <c r="A125" s="19" t="s">
        <v>803</v>
      </c>
    </row>
    <row r="126" customFormat="false" ht="15" hidden="false" customHeight="false" outlineLevel="0" collapsed="false">
      <c r="A126" s="20" t="s">
        <v>804</v>
      </c>
    </row>
    <row r="127" customFormat="false" ht="15" hidden="false" customHeight="false" outlineLevel="0" collapsed="false">
      <c r="A127" s="29" t="s">
        <v>773</v>
      </c>
      <c r="C127" s="22" t="s">
        <v>805</v>
      </c>
      <c r="F127" s="47" t="s">
        <v>775</v>
      </c>
    </row>
    <row r="128" customFormat="false" ht="15" hidden="false" customHeight="false" outlineLevel="0" collapsed="false">
      <c r="A128" s="29" t="s">
        <v>640</v>
      </c>
      <c r="C128" s="28" t="n">
        <v>560790000</v>
      </c>
      <c r="F128" s="22" t="s">
        <v>776</v>
      </c>
      <c r="I128" s="41" t="n">
        <f aca="false">_xlfn.MAXIFS($B$136:$B$196,$B$136:$B$196,"&lt;="&amp;Resumen!$C$5)</f>
        <v>46208</v>
      </c>
    </row>
    <row r="129" customFormat="false" ht="15" hidden="false" customHeight="false" outlineLevel="0" collapsed="false">
      <c r="A129" s="29" t="s">
        <v>641</v>
      </c>
      <c r="C129" s="23" t="n">
        <v>45265</v>
      </c>
      <c r="F129" s="22" t="s">
        <v>777</v>
      </c>
      <c r="I129" s="25" t="n">
        <f aca="false">SUMIFS($G$136:$G$196,$B$136:$B$196,I128)</f>
        <v>323529688.533944</v>
      </c>
    </row>
    <row r="130" customFormat="false" ht="15" hidden="false" customHeight="false" outlineLevel="0" collapsed="false">
      <c r="A130" s="29" t="s">
        <v>778</v>
      </c>
      <c r="C130" s="22" t="s">
        <v>779</v>
      </c>
      <c r="F130" s="22" t="s">
        <v>780</v>
      </c>
      <c r="I130" s="25" t="n">
        <f aca="false">SUMIFS($J$136:$J$196,$B$136:$B$196,I128)</f>
        <v>323529688.533944</v>
      </c>
    </row>
    <row r="131" customFormat="false" ht="15" hidden="false" customHeight="false" outlineLevel="0" collapsed="false">
      <c r="A131" s="29" t="s">
        <v>781</v>
      </c>
      <c r="C131" s="48" t="n">
        <v>0.0126667070727526</v>
      </c>
      <c r="F131" s="22" t="s">
        <v>650</v>
      </c>
      <c r="I131" s="25" t="n">
        <f aca="false">SUMIFS($D$136:$D$196,$O$136:$O$196,1)</f>
        <v>31864025.6207989</v>
      </c>
    </row>
    <row r="132" customFormat="false" ht="15" hidden="false" customHeight="false" outlineLevel="0" collapsed="false">
      <c r="A132" s="29" t="s">
        <v>782</v>
      </c>
      <c r="C132" s="49" t="n">
        <f aca="false">IFERROR(IRR($M$136:$M$196),"N/A")</f>
        <v>0.0126667070726281</v>
      </c>
      <c r="F132" s="22" t="s">
        <v>783</v>
      </c>
      <c r="I132" s="25" t="n">
        <f aca="false">SUMIFS($E$136:$E$196,$P$136:$P$196,1)</f>
        <v>119739145.958007</v>
      </c>
    </row>
    <row r="133" customFormat="false" ht="15" hidden="false" customHeight="false" outlineLevel="0" collapsed="false">
      <c r="A133" s="29" t="s">
        <v>784</v>
      </c>
      <c r="C133" s="50" t="n">
        <f aca="false">IF(ISNUMBER(C132),(1+C132)^12-1,"N/A")</f>
        <v>0.163049999998279</v>
      </c>
      <c r="F133" s="22" t="s">
        <v>785</v>
      </c>
      <c r="I133" s="25" t="n">
        <f aca="false">SUMPRODUCT(MAX(ABS($L$136:$L$196)))</f>
        <v>9.49949026107788E-008</v>
      </c>
    </row>
    <row r="135" customFormat="false" ht="36" hidden="false" customHeight="true" outlineLevel="0" collapsed="false">
      <c r="A135" s="27" t="s">
        <v>786</v>
      </c>
      <c r="B135" s="27" t="s">
        <v>396</v>
      </c>
      <c r="C135" s="27" t="s">
        <v>787</v>
      </c>
      <c r="D135" s="27" t="s">
        <v>788</v>
      </c>
      <c r="E135" s="27" t="s">
        <v>789</v>
      </c>
      <c r="F135" s="27" t="s">
        <v>790</v>
      </c>
      <c r="G135" s="27" t="s">
        <v>791</v>
      </c>
      <c r="H135" s="27" t="s">
        <v>792</v>
      </c>
      <c r="I135" s="27" t="s">
        <v>793</v>
      </c>
      <c r="J135" s="27" t="s">
        <v>794</v>
      </c>
      <c r="K135" s="27" t="s">
        <v>795</v>
      </c>
      <c r="L135" s="27" t="s">
        <v>796</v>
      </c>
      <c r="M135" s="27" t="s">
        <v>797</v>
      </c>
      <c r="N135" s="27" t="s">
        <v>798</v>
      </c>
      <c r="O135" s="27" t="s">
        <v>799</v>
      </c>
      <c r="P135" s="27" t="s">
        <v>800</v>
      </c>
    </row>
    <row r="136" customFormat="false" ht="15" hidden="false" customHeight="false" outlineLevel="0" collapsed="false">
      <c r="A136" s="22" t="n">
        <v>0</v>
      </c>
      <c r="B136" s="23" t="n">
        <v>45265</v>
      </c>
      <c r="C136" s="28"/>
      <c r="D136" s="28" t="n">
        <v>0</v>
      </c>
      <c r="E136" s="28" t="n">
        <v>0</v>
      </c>
      <c r="F136" s="28" t="n">
        <v>0</v>
      </c>
      <c r="G136" s="28" t="n">
        <v>560790000</v>
      </c>
      <c r="H136" s="25" t="n">
        <f aca="false">G136</f>
        <v>560790000</v>
      </c>
      <c r="I136" s="28" t="n">
        <v>0</v>
      </c>
      <c r="J136" s="25" t="n">
        <f aca="false">H136</f>
        <v>560790000</v>
      </c>
      <c r="K136" s="25" t="n">
        <f aca="false">D136-I136</f>
        <v>0</v>
      </c>
      <c r="L136" s="25" t="n">
        <f aca="false">G136-J136</f>
        <v>0</v>
      </c>
      <c r="M136" s="25" t="n">
        <f aca="false">-$C$128</f>
        <v>-560790000</v>
      </c>
      <c r="N136" s="49" t="n">
        <f aca="false">$C$131</f>
        <v>0.0126667070727526</v>
      </c>
      <c r="O136" s="25" t="n">
        <f aca="false">IF(AND(B136&gt;=DATE(2026,1,1),B136&lt;=Resumen!$C$5),1,0)</f>
        <v>0</v>
      </c>
      <c r="P136" s="25" t="n">
        <f aca="false">IF(AND(B136&gt;Resumen!$C$5,B136&lt;=DATE(2027,7,31)),1,0)</f>
        <v>0</v>
      </c>
    </row>
    <row r="137" customFormat="false" ht="15" hidden="false" customHeight="false" outlineLevel="0" collapsed="false">
      <c r="A137" s="22" t="n">
        <v>1</v>
      </c>
      <c r="B137" s="23" t="n">
        <v>45296</v>
      </c>
      <c r="C137" s="28" t="n">
        <v>560790000</v>
      </c>
      <c r="D137" s="28" t="n">
        <v>7103362.65932895</v>
      </c>
      <c r="E137" s="28" t="n">
        <v>6296751.93253326</v>
      </c>
      <c r="F137" s="28" t="n">
        <v>13400114.5918622</v>
      </c>
      <c r="G137" s="28" t="n">
        <v>554493248.067467</v>
      </c>
      <c r="H137" s="25" t="n">
        <f aca="false">J136</f>
        <v>560790000</v>
      </c>
      <c r="I137" s="25" t="n">
        <f aca="false">H137*N137</f>
        <v>7103362.65932895</v>
      </c>
      <c r="J137" s="25" t="n">
        <f aca="false">H137+I137-F137</f>
        <v>554493248.067467</v>
      </c>
      <c r="K137" s="25" t="n">
        <f aca="false">D137-I137</f>
        <v>0</v>
      </c>
      <c r="L137" s="25" t="n">
        <f aca="false">G137-J137</f>
        <v>0</v>
      </c>
      <c r="M137" s="25" t="n">
        <f aca="false">F137</f>
        <v>13400114.5918622</v>
      </c>
      <c r="N137" s="49" t="n">
        <f aca="false">$C$131</f>
        <v>0.0126667070727526</v>
      </c>
      <c r="O137" s="25" t="n">
        <f aca="false">IF(AND(B137&gt;=DATE(2026,1,1),B137&lt;=Resumen!$C$5),1,0)</f>
        <v>0</v>
      </c>
      <c r="P137" s="25" t="n">
        <f aca="false">IF(AND(B137&gt;Resumen!$C$5,B137&lt;=DATE(2027,7,31)),1,0)</f>
        <v>0</v>
      </c>
    </row>
    <row r="138" customFormat="false" ht="15" hidden="false" customHeight="false" outlineLevel="0" collapsed="false">
      <c r="A138" s="22" t="n">
        <v>2</v>
      </c>
      <c r="B138" s="23" t="n">
        <v>45327</v>
      </c>
      <c r="C138" s="28" t="n">
        <v>554493248.067467</v>
      </c>
      <c r="D138" s="28" t="n">
        <v>7023603.54708976</v>
      </c>
      <c r="E138" s="28" t="n">
        <v>6376511.04477239</v>
      </c>
      <c r="F138" s="28" t="n">
        <v>13400114.5918622</v>
      </c>
      <c r="G138" s="28" t="n">
        <v>548116737.022694</v>
      </c>
      <c r="H138" s="25" t="n">
        <f aca="false">J137</f>
        <v>554493248.067467</v>
      </c>
      <c r="I138" s="25" t="n">
        <f aca="false">H138*N138</f>
        <v>7023603.54708977</v>
      </c>
      <c r="J138" s="25" t="n">
        <f aca="false">H138+I138-F138</f>
        <v>548116737.022694</v>
      </c>
      <c r="K138" s="25" t="n">
        <f aca="false">D138-I138</f>
        <v>0</v>
      </c>
      <c r="L138" s="25" t="n">
        <f aca="false">G138-J138</f>
        <v>0</v>
      </c>
      <c r="M138" s="25" t="n">
        <f aca="false">F138</f>
        <v>13400114.5918622</v>
      </c>
      <c r="N138" s="49" t="n">
        <f aca="false">$C$131</f>
        <v>0.0126667070727526</v>
      </c>
      <c r="O138" s="25" t="n">
        <f aca="false">IF(AND(B138&gt;=DATE(2026,1,1),B138&lt;=Resumen!$C$5),1,0)</f>
        <v>0</v>
      </c>
      <c r="P138" s="25" t="n">
        <f aca="false">IF(AND(B138&gt;Resumen!$C$5,B138&lt;=DATE(2027,7,31)),1,0)</f>
        <v>0</v>
      </c>
    </row>
    <row r="139" customFormat="false" ht="15" hidden="false" customHeight="false" outlineLevel="0" collapsed="false">
      <c r="A139" s="22" t="n">
        <v>3</v>
      </c>
      <c r="B139" s="23" t="n">
        <v>45356</v>
      </c>
      <c r="C139" s="28" t="n">
        <v>548116737.022694</v>
      </c>
      <c r="D139" s="28" t="n">
        <v>6942834.14953946</v>
      </c>
      <c r="E139" s="28" t="n">
        <v>6457280.44232273</v>
      </c>
      <c r="F139" s="28" t="n">
        <v>13400114.5918622</v>
      </c>
      <c r="G139" s="28" t="n">
        <v>541659456.580372</v>
      </c>
      <c r="H139" s="25" t="n">
        <f aca="false">J138</f>
        <v>548116737.022694</v>
      </c>
      <c r="I139" s="25" t="n">
        <f aca="false">H139*N139</f>
        <v>6942834.14953946</v>
      </c>
      <c r="J139" s="25" t="n">
        <f aca="false">H139+I139-F139</f>
        <v>541659456.580372</v>
      </c>
      <c r="K139" s="25" t="n">
        <f aca="false">D139-I139</f>
        <v>0</v>
      </c>
      <c r="L139" s="25" t="n">
        <f aca="false">G139-J139</f>
        <v>0</v>
      </c>
      <c r="M139" s="25" t="n">
        <f aca="false">F139</f>
        <v>13400114.5918622</v>
      </c>
      <c r="N139" s="49" t="n">
        <f aca="false">$C$131</f>
        <v>0.0126667070727526</v>
      </c>
      <c r="O139" s="25" t="n">
        <f aca="false">IF(AND(B139&gt;=DATE(2026,1,1),B139&lt;=Resumen!$C$5),1,0)</f>
        <v>0</v>
      </c>
      <c r="P139" s="25" t="n">
        <f aca="false">IF(AND(B139&gt;Resumen!$C$5,B139&lt;=DATE(2027,7,31)),1,0)</f>
        <v>0</v>
      </c>
    </row>
    <row r="140" customFormat="false" ht="15" hidden="false" customHeight="false" outlineLevel="0" collapsed="false">
      <c r="A140" s="22" t="n">
        <v>4</v>
      </c>
      <c r="B140" s="23" t="n">
        <v>45387</v>
      </c>
      <c r="C140" s="28" t="n">
        <v>541659456.580372</v>
      </c>
      <c r="D140" s="28" t="n">
        <v>6861041.66968994</v>
      </c>
      <c r="E140" s="28" t="n">
        <v>6539072.92217225</v>
      </c>
      <c r="F140" s="28" t="n">
        <v>13400114.5918622</v>
      </c>
      <c r="G140" s="28" t="n">
        <v>535120383.658199</v>
      </c>
      <c r="H140" s="25" t="n">
        <f aca="false">J139</f>
        <v>541659456.580372</v>
      </c>
      <c r="I140" s="25" t="n">
        <f aca="false">H140*N140</f>
        <v>6861041.66968995</v>
      </c>
      <c r="J140" s="25" t="n">
        <f aca="false">H140+I140-F140</f>
        <v>535120383.658199</v>
      </c>
      <c r="K140" s="25" t="n">
        <f aca="false">D140-I140</f>
        <v>0</v>
      </c>
      <c r="L140" s="25" t="n">
        <f aca="false">G140-J140</f>
        <v>0</v>
      </c>
      <c r="M140" s="25" t="n">
        <f aca="false">F140</f>
        <v>13400114.5918622</v>
      </c>
      <c r="N140" s="49" t="n">
        <f aca="false">$C$131</f>
        <v>0.0126667070727526</v>
      </c>
      <c r="O140" s="25" t="n">
        <f aca="false">IF(AND(B140&gt;=DATE(2026,1,1),B140&lt;=Resumen!$C$5),1,0)</f>
        <v>0</v>
      </c>
      <c r="P140" s="25" t="n">
        <f aca="false">IF(AND(B140&gt;Resumen!$C$5,B140&lt;=DATE(2027,7,31)),1,0)</f>
        <v>0</v>
      </c>
    </row>
    <row r="141" customFormat="false" ht="15" hidden="false" customHeight="false" outlineLevel="0" collapsed="false">
      <c r="A141" s="22" t="n">
        <v>5</v>
      </c>
      <c r="B141" s="23" t="n">
        <v>45417</v>
      </c>
      <c r="C141" s="28" t="n">
        <v>535120383.658199</v>
      </c>
      <c r="D141" s="28" t="n">
        <v>6778213.14845742</v>
      </c>
      <c r="E141" s="28" t="n">
        <v>6621901.44340468</v>
      </c>
      <c r="F141" s="28" t="n">
        <v>13400114.5918621</v>
      </c>
      <c r="G141" s="28" t="n">
        <v>528498482.214795</v>
      </c>
      <c r="H141" s="25" t="n">
        <f aca="false">J140</f>
        <v>535120383.658199</v>
      </c>
      <c r="I141" s="25" t="n">
        <f aca="false">H141*N141</f>
        <v>6778213.14845742</v>
      </c>
      <c r="J141" s="25" t="n">
        <f aca="false">H141+I141-F141</f>
        <v>528498482.214795</v>
      </c>
      <c r="K141" s="25" t="n">
        <f aca="false">D141-I141</f>
        <v>0</v>
      </c>
      <c r="L141" s="25" t="n">
        <f aca="false">G141-J141</f>
        <v>0</v>
      </c>
      <c r="M141" s="25" t="n">
        <f aca="false">F141</f>
        <v>13400114.5918621</v>
      </c>
      <c r="N141" s="49" t="n">
        <f aca="false">$C$131</f>
        <v>0.0126667070727526</v>
      </c>
      <c r="O141" s="25" t="n">
        <f aca="false">IF(AND(B141&gt;=DATE(2026,1,1),B141&lt;=Resumen!$C$5),1,0)</f>
        <v>0</v>
      </c>
      <c r="P141" s="25" t="n">
        <f aca="false">IF(AND(B141&gt;Resumen!$C$5,B141&lt;=DATE(2027,7,31)),1,0)</f>
        <v>0</v>
      </c>
    </row>
    <row r="142" customFormat="false" ht="15" hidden="false" customHeight="false" outlineLevel="0" collapsed="false">
      <c r="A142" s="22" t="n">
        <v>6</v>
      </c>
      <c r="B142" s="23" t="n">
        <v>45448</v>
      </c>
      <c r="C142" s="28" t="n">
        <v>528498482.214795</v>
      </c>
      <c r="D142" s="28" t="n">
        <v>6694335.46260917</v>
      </c>
      <c r="E142" s="28" t="n">
        <v>6705779.12925297</v>
      </c>
      <c r="F142" s="28" t="n">
        <v>13400114.5918621</v>
      </c>
      <c r="G142" s="28" t="n">
        <v>521792703.085542</v>
      </c>
      <c r="H142" s="25" t="n">
        <f aca="false">J141</f>
        <v>528498482.214795</v>
      </c>
      <c r="I142" s="25" t="n">
        <f aca="false">H142*N142</f>
        <v>6694335.46260918</v>
      </c>
      <c r="J142" s="25" t="n">
        <f aca="false">H142+I142-F142</f>
        <v>521792703.085542</v>
      </c>
      <c r="K142" s="25" t="n">
        <f aca="false">D142-I142</f>
        <v>0</v>
      </c>
      <c r="L142" s="25" t="n">
        <f aca="false">G142-J142</f>
        <v>0</v>
      </c>
      <c r="M142" s="25" t="n">
        <f aca="false">F142</f>
        <v>13400114.5918621</v>
      </c>
      <c r="N142" s="49" t="n">
        <f aca="false">$C$131</f>
        <v>0.0126667070727526</v>
      </c>
      <c r="O142" s="25" t="n">
        <f aca="false">IF(AND(B142&gt;=DATE(2026,1,1),B142&lt;=Resumen!$C$5),1,0)</f>
        <v>0</v>
      </c>
      <c r="P142" s="25" t="n">
        <f aca="false">IF(AND(B142&gt;Resumen!$C$5,B142&lt;=DATE(2027,7,31)),1,0)</f>
        <v>0</v>
      </c>
    </row>
    <row r="143" customFormat="false" ht="15" hidden="false" customHeight="false" outlineLevel="0" collapsed="false">
      <c r="A143" s="22" t="n">
        <v>7</v>
      </c>
      <c r="B143" s="23" t="n">
        <v>45478</v>
      </c>
      <c r="C143" s="28" t="n">
        <v>521792703.085542</v>
      </c>
      <c r="D143" s="28" t="n">
        <v>6609395.32268435</v>
      </c>
      <c r="E143" s="28" t="n">
        <v>6790719.26917779</v>
      </c>
      <c r="F143" s="28" t="n">
        <v>13400114.5918621</v>
      </c>
      <c r="G143" s="28" t="n">
        <v>515001983.816364</v>
      </c>
      <c r="H143" s="25" t="n">
        <f aca="false">J142</f>
        <v>521792703.085542</v>
      </c>
      <c r="I143" s="25" t="n">
        <f aca="false">H143*N143</f>
        <v>6609395.32268435</v>
      </c>
      <c r="J143" s="25" t="n">
        <f aca="false">H143+I143-F143</f>
        <v>515001983.816364</v>
      </c>
      <c r="K143" s="25" t="n">
        <f aca="false">D143-I143</f>
        <v>0</v>
      </c>
      <c r="L143" s="25" t="n">
        <f aca="false">G143-J143</f>
        <v>0</v>
      </c>
      <c r="M143" s="25" t="n">
        <f aca="false">F143</f>
        <v>13400114.5918621</v>
      </c>
      <c r="N143" s="49" t="n">
        <f aca="false">$C$131</f>
        <v>0.0126667070727526</v>
      </c>
      <c r="O143" s="25" t="n">
        <f aca="false">IF(AND(B143&gt;=DATE(2026,1,1),B143&lt;=Resumen!$C$5),1,0)</f>
        <v>0</v>
      </c>
      <c r="P143" s="25" t="n">
        <f aca="false">IF(AND(B143&gt;Resumen!$C$5,B143&lt;=DATE(2027,7,31)),1,0)</f>
        <v>0</v>
      </c>
    </row>
    <row r="144" customFormat="false" ht="15" hidden="false" customHeight="false" outlineLevel="0" collapsed="false">
      <c r="A144" s="22" t="n">
        <v>8</v>
      </c>
      <c r="B144" s="23" t="n">
        <v>45509</v>
      </c>
      <c r="C144" s="28" t="n">
        <v>515001983.816364</v>
      </c>
      <c r="D144" s="28" t="n">
        <v>6523379.27088838</v>
      </c>
      <c r="E144" s="28" t="n">
        <v>6876735.32097375</v>
      </c>
      <c r="F144" s="28" t="n">
        <v>13400114.5918621</v>
      </c>
      <c r="G144" s="28" t="n">
        <v>508125248.49539</v>
      </c>
      <c r="H144" s="25" t="n">
        <f aca="false">J143</f>
        <v>515001983.816364</v>
      </c>
      <c r="I144" s="25" t="n">
        <f aca="false">H144*N144</f>
        <v>6523379.27088838</v>
      </c>
      <c r="J144" s="25" t="n">
        <f aca="false">H144+I144-F144</f>
        <v>508125248.49539</v>
      </c>
      <c r="K144" s="25" t="n">
        <f aca="false">D144-I144</f>
        <v>0</v>
      </c>
      <c r="L144" s="25" t="n">
        <f aca="false">G144-J144</f>
        <v>0</v>
      </c>
      <c r="M144" s="25" t="n">
        <f aca="false">F144</f>
        <v>13400114.5918621</v>
      </c>
      <c r="N144" s="49" t="n">
        <f aca="false">$C$131</f>
        <v>0.0126667070727526</v>
      </c>
      <c r="O144" s="25" t="n">
        <f aca="false">IF(AND(B144&gt;=DATE(2026,1,1),B144&lt;=Resumen!$C$5),1,0)</f>
        <v>0</v>
      </c>
      <c r="P144" s="25" t="n">
        <f aca="false">IF(AND(B144&gt;Resumen!$C$5,B144&lt;=DATE(2027,7,31)),1,0)</f>
        <v>0</v>
      </c>
    </row>
    <row r="145" customFormat="false" ht="15" hidden="false" customHeight="false" outlineLevel="0" collapsed="false">
      <c r="A145" s="22" t="n">
        <v>9</v>
      </c>
      <c r="B145" s="23" t="n">
        <v>45540</v>
      </c>
      <c r="C145" s="28" t="n">
        <v>508125248.49539</v>
      </c>
      <c r="D145" s="28" t="n">
        <v>6436273.67896075</v>
      </c>
      <c r="E145" s="28" t="n">
        <v>6963840.9129014</v>
      </c>
      <c r="F145" s="28" t="n">
        <v>13400114.5918622</v>
      </c>
      <c r="G145" s="28" t="n">
        <v>501161407.582489</v>
      </c>
      <c r="H145" s="25" t="n">
        <f aca="false">J144</f>
        <v>508125248.49539</v>
      </c>
      <c r="I145" s="25" t="n">
        <f aca="false">H145*N145</f>
        <v>6436273.67896075</v>
      </c>
      <c r="J145" s="25" t="n">
        <f aca="false">H145+I145-F145</f>
        <v>501161407.582489</v>
      </c>
      <c r="K145" s="25" t="n">
        <f aca="false">D145-I145</f>
        <v>0</v>
      </c>
      <c r="L145" s="25" t="n">
        <f aca="false">G145-J145</f>
        <v>0</v>
      </c>
      <c r="M145" s="25" t="n">
        <f aca="false">F145</f>
        <v>13400114.5918622</v>
      </c>
      <c r="N145" s="49" t="n">
        <f aca="false">$C$131</f>
        <v>0.0126667070727526</v>
      </c>
      <c r="O145" s="25" t="n">
        <f aca="false">IF(AND(B145&gt;=DATE(2026,1,1),B145&lt;=Resumen!$C$5),1,0)</f>
        <v>0</v>
      </c>
      <c r="P145" s="25" t="n">
        <f aca="false">IF(AND(B145&gt;Resumen!$C$5,B145&lt;=DATE(2027,7,31)),1,0)</f>
        <v>0</v>
      </c>
    </row>
    <row r="146" customFormat="false" ht="15" hidden="false" customHeight="false" outlineLevel="0" collapsed="false">
      <c r="A146" s="22" t="n">
        <v>10</v>
      </c>
      <c r="B146" s="23" t="n">
        <v>45570</v>
      </c>
      <c r="C146" s="28" t="n">
        <v>501161407.582489</v>
      </c>
      <c r="D146" s="28" t="n">
        <v>6348064.74601578</v>
      </c>
      <c r="E146" s="28" t="n">
        <v>7052049.84584636</v>
      </c>
      <c r="F146" s="28" t="n">
        <v>13400114.5918621</v>
      </c>
      <c r="G146" s="28" t="n">
        <v>494109357.736642</v>
      </c>
      <c r="H146" s="25" t="n">
        <f aca="false">J145</f>
        <v>501161407.582489</v>
      </c>
      <c r="I146" s="25" t="n">
        <f aca="false">H146*N146</f>
        <v>6348064.74601578</v>
      </c>
      <c r="J146" s="25" t="n">
        <f aca="false">H146+I146-F146</f>
        <v>494109357.736642</v>
      </c>
      <c r="K146" s="25" t="n">
        <f aca="false">D146-I146</f>
        <v>0</v>
      </c>
      <c r="L146" s="25" t="n">
        <f aca="false">G146-J146</f>
        <v>0</v>
      </c>
      <c r="M146" s="25" t="n">
        <f aca="false">F146</f>
        <v>13400114.5918621</v>
      </c>
      <c r="N146" s="49" t="n">
        <f aca="false">$C$131</f>
        <v>0.0126667070727526</v>
      </c>
      <c r="O146" s="25" t="n">
        <f aca="false">IF(AND(B146&gt;=DATE(2026,1,1),B146&lt;=Resumen!$C$5),1,0)</f>
        <v>0</v>
      </c>
      <c r="P146" s="25" t="n">
        <f aca="false">IF(AND(B146&gt;Resumen!$C$5,B146&lt;=DATE(2027,7,31)),1,0)</f>
        <v>0</v>
      </c>
    </row>
    <row r="147" customFormat="false" ht="15" hidden="false" customHeight="false" outlineLevel="0" collapsed="false">
      <c r="A147" s="22" t="n">
        <v>11</v>
      </c>
      <c r="B147" s="23" t="n">
        <v>45601</v>
      </c>
      <c r="C147" s="28" t="n">
        <v>494109357.736642</v>
      </c>
      <c r="D147" s="28" t="n">
        <v>6258738.49635599</v>
      </c>
      <c r="E147" s="28" t="n">
        <v>7141376.09550613</v>
      </c>
      <c r="F147" s="28" t="n">
        <v>13400114.5918621</v>
      </c>
      <c r="G147" s="28" t="n">
        <v>486967981.641136</v>
      </c>
      <c r="H147" s="25" t="n">
        <f aca="false">J146</f>
        <v>494109357.736642</v>
      </c>
      <c r="I147" s="25" t="n">
        <f aca="false">H147*N147</f>
        <v>6258738.49635599</v>
      </c>
      <c r="J147" s="25" t="n">
        <f aca="false">H147+I147-F147</f>
        <v>486967981.641136</v>
      </c>
      <c r="K147" s="25" t="n">
        <f aca="false">D147-I147</f>
        <v>0</v>
      </c>
      <c r="L147" s="25" t="n">
        <f aca="false">G147-J147</f>
        <v>0</v>
      </c>
      <c r="M147" s="25" t="n">
        <f aca="false">F147</f>
        <v>13400114.5918621</v>
      </c>
      <c r="N147" s="49" t="n">
        <f aca="false">$C$131</f>
        <v>0.0126667070727526</v>
      </c>
      <c r="O147" s="25" t="n">
        <f aca="false">IF(AND(B147&gt;=DATE(2026,1,1),B147&lt;=Resumen!$C$5),1,0)</f>
        <v>0</v>
      </c>
      <c r="P147" s="25" t="n">
        <f aca="false">IF(AND(B147&gt;Resumen!$C$5,B147&lt;=DATE(2027,7,31)),1,0)</f>
        <v>0</v>
      </c>
    </row>
    <row r="148" customFormat="false" ht="15" hidden="false" customHeight="false" outlineLevel="0" collapsed="false">
      <c r="A148" s="22" t="n">
        <v>12</v>
      </c>
      <c r="B148" s="23" t="n">
        <v>45631</v>
      </c>
      <c r="C148" s="28" t="n">
        <v>486967981.641136</v>
      </c>
      <c r="D148" s="28" t="n">
        <v>6168280.77725786</v>
      </c>
      <c r="E148" s="28" t="n">
        <v>7231833.81460428</v>
      </c>
      <c r="F148" s="28" t="n">
        <v>13400114.5918621</v>
      </c>
      <c r="G148" s="28" t="n">
        <v>479736147.826532</v>
      </c>
      <c r="H148" s="25" t="n">
        <f aca="false">J147</f>
        <v>486967981.641136</v>
      </c>
      <c r="I148" s="25" t="n">
        <f aca="false">H148*N148</f>
        <v>6168280.77725786</v>
      </c>
      <c r="J148" s="25" t="n">
        <f aca="false">H148+I148-F148</f>
        <v>479736147.826532</v>
      </c>
      <c r="K148" s="25" t="n">
        <f aca="false">D148-I148</f>
        <v>0</v>
      </c>
      <c r="L148" s="25" t="n">
        <f aca="false">G148-J148</f>
        <v>0</v>
      </c>
      <c r="M148" s="25" t="n">
        <f aca="false">F148</f>
        <v>13400114.5918621</v>
      </c>
      <c r="N148" s="49" t="n">
        <f aca="false">$C$131</f>
        <v>0.0126667070727526</v>
      </c>
      <c r="O148" s="25" t="n">
        <f aca="false">IF(AND(B148&gt;=DATE(2026,1,1),B148&lt;=Resumen!$C$5),1,0)</f>
        <v>0</v>
      </c>
      <c r="P148" s="25" t="n">
        <f aca="false">IF(AND(B148&gt;Resumen!$C$5,B148&lt;=DATE(2027,7,31)),1,0)</f>
        <v>0</v>
      </c>
    </row>
    <row r="149" customFormat="false" ht="15" hidden="false" customHeight="false" outlineLevel="0" collapsed="false">
      <c r="A149" s="22" t="n">
        <v>13</v>
      </c>
      <c r="B149" s="23" t="n">
        <v>45662</v>
      </c>
      <c r="C149" s="28" t="n">
        <v>479736147.826532</v>
      </c>
      <c r="D149" s="28" t="n">
        <v>6076677.25672944</v>
      </c>
      <c r="E149" s="28" t="n">
        <v>7323437.33513272</v>
      </c>
      <c r="F149" s="28" t="n">
        <v>13400114.5918622</v>
      </c>
      <c r="G149" s="28" t="n">
        <v>472412710.491399</v>
      </c>
      <c r="H149" s="25" t="n">
        <f aca="false">J148</f>
        <v>479736147.826532</v>
      </c>
      <c r="I149" s="25" t="n">
        <f aca="false">H149*N149</f>
        <v>6076677.25672944</v>
      </c>
      <c r="J149" s="25" t="n">
        <f aca="false">H149+I149-F149</f>
        <v>472412710.491399</v>
      </c>
      <c r="K149" s="25" t="n">
        <f aca="false">D149-I149</f>
        <v>0</v>
      </c>
      <c r="L149" s="25" t="n">
        <f aca="false">G149-J149</f>
        <v>0</v>
      </c>
      <c r="M149" s="25" t="n">
        <f aca="false">F149</f>
        <v>13400114.5918622</v>
      </c>
      <c r="N149" s="49" t="n">
        <f aca="false">$C$131</f>
        <v>0.0126667070727526</v>
      </c>
      <c r="O149" s="25" t="n">
        <f aca="false">IF(AND(B149&gt;=DATE(2026,1,1),B149&lt;=Resumen!$C$5),1,0)</f>
        <v>0</v>
      </c>
      <c r="P149" s="25" t="n">
        <f aca="false">IF(AND(B149&gt;Resumen!$C$5,B149&lt;=DATE(2027,7,31)),1,0)</f>
        <v>0</v>
      </c>
    </row>
    <row r="150" customFormat="false" ht="15" hidden="false" customHeight="false" outlineLevel="0" collapsed="false">
      <c r="A150" s="22" t="n">
        <v>14</v>
      </c>
      <c r="B150" s="23" t="n">
        <v>45693</v>
      </c>
      <c r="C150" s="28" t="n">
        <v>472412710.491399</v>
      </c>
      <c r="D150" s="28" t="n">
        <v>5983913.42123965</v>
      </c>
      <c r="E150" s="28" t="n">
        <v>7416201.17062247</v>
      </c>
      <c r="F150" s="28" t="n">
        <v>13400114.5918621</v>
      </c>
      <c r="G150" s="28" t="n">
        <v>464996509.320777</v>
      </c>
      <c r="H150" s="25" t="n">
        <f aca="false">J149</f>
        <v>472412710.491399</v>
      </c>
      <c r="I150" s="25" t="n">
        <f aca="false">H150*N150</f>
        <v>5983913.42123965</v>
      </c>
      <c r="J150" s="25" t="n">
        <f aca="false">H150+I150-F150</f>
        <v>464996509.320777</v>
      </c>
      <c r="K150" s="25" t="n">
        <f aca="false">D150-I150</f>
        <v>0</v>
      </c>
      <c r="L150" s="25" t="n">
        <f aca="false">G150-J150</f>
        <v>0</v>
      </c>
      <c r="M150" s="25" t="n">
        <f aca="false">F150</f>
        <v>13400114.5918621</v>
      </c>
      <c r="N150" s="49" t="n">
        <f aca="false">$C$131</f>
        <v>0.0126667070727526</v>
      </c>
      <c r="O150" s="25" t="n">
        <f aca="false">IF(AND(B150&gt;=DATE(2026,1,1),B150&lt;=Resumen!$C$5),1,0)</f>
        <v>0</v>
      </c>
      <c r="P150" s="25" t="n">
        <f aca="false">IF(AND(B150&gt;Resumen!$C$5,B150&lt;=DATE(2027,7,31)),1,0)</f>
        <v>0</v>
      </c>
    </row>
    <row r="151" customFormat="false" ht="15" hidden="false" customHeight="false" outlineLevel="0" collapsed="false">
      <c r="A151" s="22" t="n">
        <v>15</v>
      </c>
      <c r="B151" s="23" t="n">
        <v>45721</v>
      </c>
      <c r="C151" s="28" t="n">
        <v>464996509.320777</v>
      </c>
      <c r="D151" s="28" t="n">
        <v>5889974.57341877</v>
      </c>
      <c r="E151" s="28" t="n">
        <v>7510140.01844335</v>
      </c>
      <c r="F151" s="28" t="n">
        <v>13400114.5918621</v>
      </c>
      <c r="G151" s="28" t="n">
        <v>457486369.302334</v>
      </c>
      <c r="H151" s="25" t="n">
        <f aca="false">J150</f>
        <v>464996509.320777</v>
      </c>
      <c r="I151" s="25" t="n">
        <f aca="false">H151*N151</f>
        <v>5889974.57341877</v>
      </c>
      <c r="J151" s="25" t="n">
        <f aca="false">H151+I151-F151</f>
        <v>457486369.302333</v>
      </c>
      <c r="K151" s="25" t="n">
        <f aca="false">D151-I151</f>
        <v>0</v>
      </c>
      <c r="L151" s="25" t="n">
        <f aca="false">G151-J151</f>
        <v>0</v>
      </c>
      <c r="M151" s="25" t="n">
        <f aca="false">F151</f>
        <v>13400114.5918621</v>
      </c>
      <c r="N151" s="49" t="n">
        <f aca="false">$C$131</f>
        <v>0.0126667070727526</v>
      </c>
      <c r="O151" s="25" t="n">
        <f aca="false">IF(AND(B151&gt;=DATE(2026,1,1),B151&lt;=Resumen!$C$5),1,0)</f>
        <v>0</v>
      </c>
      <c r="P151" s="25" t="n">
        <f aca="false">IF(AND(B151&gt;Resumen!$C$5,B151&lt;=DATE(2027,7,31)),1,0)</f>
        <v>0</v>
      </c>
    </row>
    <row r="152" customFormat="false" ht="15" hidden="false" customHeight="false" outlineLevel="0" collapsed="false">
      <c r="A152" s="22" t="n">
        <v>16</v>
      </c>
      <c r="B152" s="23" t="n">
        <v>45752</v>
      </c>
      <c r="C152" s="28" t="n">
        <v>457486369.302334</v>
      </c>
      <c r="D152" s="28" t="n">
        <v>5794845.82972979</v>
      </c>
      <c r="E152" s="28" t="n">
        <v>7605268.76213235</v>
      </c>
      <c r="F152" s="28" t="n">
        <v>13400114.5918621</v>
      </c>
      <c r="G152" s="28" t="n">
        <v>449881100.540201</v>
      </c>
      <c r="H152" s="25" t="n">
        <f aca="false">J151</f>
        <v>457486369.302333</v>
      </c>
      <c r="I152" s="25" t="n">
        <f aca="false">H152*N152</f>
        <v>5794845.82972979</v>
      </c>
      <c r="J152" s="25" t="n">
        <f aca="false">H152+I152-F152</f>
        <v>449881100.540201</v>
      </c>
      <c r="K152" s="25" t="n">
        <f aca="false">D152-I152</f>
        <v>0</v>
      </c>
      <c r="L152" s="25" t="n">
        <f aca="false">G152-J152</f>
        <v>0</v>
      </c>
      <c r="M152" s="25" t="n">
        <f aca="false">F152</f>
        <v>13400114.5918621</v>
      </c>
      <c r="N152" s="49" t="n">
        <f aca="false">$C$131</f>
        <v>0.0126667070727526</v>
      </c>
      <c r="O152" s="25" t="n">
        <f aca="false">IF(AND(B152&gt;=DATE(2026,1,1),B152&lt;=Resumen!$C$5),1,0)</f>
        <v>0</v>
      </c>
      <c r="P152" s="25" t="n">
        <f aca="false">IF(AND(B152&gt;Resumen!$C$5,B152&lt;=DATE(2027,7,31)),1,0)</f>
        <v>0</v>
      </c>
    </row>
    <row r="153" customFormat="false" ht="15" hidden="false" customHeight="false" outlineLevel="0" collapsed="false">
      <c r="A153" s="22" t="n">
        <v>17</v>
      </c>
      <c r="B153" s="23" t="n">
        <v>45782</v>
      </c>
      <c r="C153" s="28" t="n">
        <v>449881100.540201</v>
      </c>
      <c r="D153" s="28" t="n">
        <v>5698512.11811031</v>
      </c>
      <c r="E153" s="28" t="n">
        <v>7701602.47375184</v>
      </c>
      <c r="F153" s="28" t="n">
        <v>13400114.5918622</v>
      </c>
      <c r="G153" s="28" t="n">
        <v>442179498.066449</v>
      </c>
      <c r="H153" s="25" t="n">
        <f aca="false">J152</f>
        <v>449881100.540201</v>
      </c>
      <c r="I153" s="25" t="n">
        <f aca="false">H153*N153</f>
        <v>5698512.11811031</v>
      </c>
      <c r="J153" s="25" t="n">
        <f aca="false">H153+I153-F153</f>
        <v>442179498.066449</v>
      </c>
      <c r="K153" s="25" t="n">
        <f aca="false">D153-I153</f>
        <v>0</v>
      </c>
      <c r="L153" s="25" t="n">
        <f aca="false">G153-J153</f>
        <v>0</v>
      </c>
      <c r="M153" s="25" t="n">
        <f aca="false">F153</f>
        <v>13400114.5918622</v>
      </c>
      <c r="N153" s="49" t="n">
        <f aca="false">$C$131</f>
        <v>0.0126667070727526</v>
      </c>
      <c r="O153" s="25" t="n">
        <f aca="false">IF(AND(B153&gt;=DATE(2026,1,1),B153&lt;=Resumen!$C$5),1,0)</f>
        <v>0</v>
      </c>
      <c r="P153" s="25" t="n">
        <f aca="false">IF(AND(B153&gt;Resumen!$C$5,B153&lt;=DATE(2027,7,31)),1,0)</f>
        <v>0</v>
      </c>
    </row>
    <row r="154" customFormat="false" ht="15" hidden="false" customHeight="false" outlineLevel="0" collapsed="false">
      <c r="A154" s="22" t="n">
        <v>18</v>
      </c>
      <c r="B154" s="23" t="n">
        <v>45813</v>
      </c>
      <c r="C154" s="28" t="n">
        <v>442179498.066449</v>
      </c>
      <c r="D154" s="28" t="n">
        <v>5600958.1755845</v>
      </c>
      <c r="E154" s="28" t="n">
        <v>7799156.41627765</v>
      </c>
      <c r="F154" s="28" t="n">
        <v>13400114.5918622</v>
      </c>
      <c r="G154" s="28" t="n">
        <v>434380341.650172</v>
      </c>
      <c r="H154" s="25" t="n">
        <f aca="false">J153</f>
        <v>442179498.066449</v>
      </c>
      <c r="I154" s="25" t="n">
        <f aca="false">H154*N154</f>
        <v>5600958.1755845</v>
      </c>
      <c r="J154" s="25" t="n">
        <f aca="false">H154+I154-F154</f>
        <v>434380341.650172</v>
      </c>
      <c r="K154" s="25" t="n">
        <f aca="false">D154-I154</f>
        <v>0</v>
      </c>
      <c r="L154" s="25" t="n">
        <f aca="false">G154-J154</f>
        <v>0</v>
      </c>
      <c r="M154" s="25" t="n">
        <f aca="false">F154</f>
        <v>13400114.5918622</v>
      </c>
      <c r="N154" s="49" t="n">
        <f aca="false">$C$131</f>
        <v>0.0126667070727526</v>
      </c>
      <c r="O154" s="25" t="n">
        <f aca="false">IF(AND(B154&gt;=DATE(2026,1,1),B154&lt;=Resumen!$C$5),1,0)</f>
        <v>0</v>
      </c>
      <c r="P154" s="25" t="n">
        <f aca="false">IF(AND(B154&gt;Resumen!$C$5,B154&lt;=DATE(2027,7,31)),1,0)</f>
        <v>0</v>
      </c>
    </row>
    <row r="155" customFormat="false" ht="15" hidden="false" customHeight="false" outlineLevel="0" collapsed="false">
      <c r="A155" s="22" t="n">
        <v>19</v>
      </c>
      <c r="B155" s="23" t="n">
        <v>45843</v>
      </c>
      <c r="C155" s="28" t="n">
        <v>434380341.650172</v>
      </c>
      <c r="D155" s="28" t="n">
        <v>5502168.54584494</v>
      </c>
      <c r="E155" s="28" t="n">
        <v>7897946.04601723</v>
      </c>
      <c r="F155" s="28" t="n">
        <v>13400114.5918622</v>
      </c>
      <c r="G155" s="28" t="n">
        <v>426482395.604154</v>
      </c>
      <c r="H155" s="25" t="n">
        <f aca="false">J154</f>
        <v>434380341.650172</v>
      </c>
      <c r="I155" s="25" t="n">
        <f aca="false">H155*N155</f>
        <v>5502168.54584494</v>
      </c>
      <c r="J155" s="25" t="n">
        <f aca="false">H155+I155-F155</f>
        <v>426482395.604154</v>
      </c>
      <c r="K155" s="25" t="n">
        <f aca="false">D155-I155</f>
        <v>0</v>
      </c>
      <c r="L155" s="25" t="n">
        <f aca="false">G155-J155</f>
        <v>0</v>
      </c>
      <c r="M155" s="25" t="n">
        <f aca="false">F155</f>
        <v>13400114.5918622</v>
      </c>
      <c r="N155" s="49" t="n">
        <f aca="false">$C$131</f>
        <v>0.0126667070727526</v>
      </c>
      <c r="O155" s="25" t="n">
        <f aca="false">IF(AND(B155&gt;=DATE(2026,1,1),B155&lt;=Resumen!$C$5),1,0)</f>
        <v>0</v>
      </c>
      <c r="P155" s="25" t="n">
        <f aca="false">IF(AND(B155&gt;Resumen!$C$5,B155&lt;=DATE(2027,7,31)),1,0)</f>
        <v>0</v>
      </c>
    </row>
    <row r="156" customFormat="false" ht="15" hidden="false" customHeight="false" outlineLevel="0" collapsed="false">
      <c r="A156" s="22" t="n">
        <v>20</v>
      </c>
      <c r="B156" s="23" t="n">
        <v>45874</v>
      </c>
      <c r="C156" s="28" t="n">
        <v>426482395.604154</v>
      </c>
      <c r="D156" s="28" t="n">
        <v>5402127.57680363</v>
      </c>
      <c r="E156" s="28" t="n">
        <v>7997987.01505852</v>
      </c>
      <c r="F156" s="28" t="n">
        <v>13400114.5918622</v>
      </c>
      <c r="G156" s="28" t="n">
        <v>418484408.589096</v>
      </c>
      <c r="H156" s="25" t="n">
        <f aca="false">J155</f>
        <v>426482395.604154</v>
      </c>
      <c r="I156" s="25" t="n">
        <f aca="false">H156*N156</f>
        <v>5402127.57680363</v>
      </c>
      <c r="J156" s="25" t="n">
        <f aca="false">H156+I156-F156</f>
        <v>418484408.589096</v>
      </c>
      <c r="K156" s="25" t="n">
        <f aca="false">D156-I156</f>
        <v>0</v>
      </c>
      <c r="L156" s="25" t="n">
        <f aca="false">G156-J156</f>
        <v>0</v>
      </c>
      <c r="M156" s="25" t="n">
        <f aca="false">F156</f>
        <v>13400114.5918622</v>
      </c>
      <c r="N156" s="49" t="n">
        <f aca="false">$C$131</f>
        <v>0.0126667070727526</v>
      </c>
      <c r="O156" s="25" t="n">
        <f aca="false">IF(AND(B156&gt;=DATE(2026,1,1),B156&lt;=Resumen!$C$5),1,0)</f>
        <v>0</v>
      </c>
      <c r="P156" s="25" t="n">
        <f aca="false">IF(AND(B156&gt;Resumen!$C$5,B156&lt;=DATE(2027,7,31)),1,0)</f>
        <v>0</v>
      </c>
    </row>
    <row r="157" customFormat="false" ht="15" hidden="false" customHeight="false" outlineLevel="0" collapsed="false">
      <c r="A157" s="22" t="n">
        <v>21</v>
      </c>
      <c r="B157" s="23" t="n">
        <v>45905</v>
      </c>
      <c r="C157" s="28" t="n">
        <v>418484408.589096</v>
      </c>
      <c r="D157" s="28" t="n">
        <v>5300819.41811221</v>
      </c>
      <c r="E157" s="28" t="n">
        <v>8099295.17374992</v>
      </c>
      <c r="F157" s="28" t="n">
        <v>13400114.5918621</v>
      </c>
      <c r="G157" s="28" t="n">
        <v>410385113.415346</v>
      </c>
      <c r="H157" s="25" t="n">
        <f aca="false">J156</f>
        <v>418484408.589096</v>
      </c>
      <c r="I157" s="25" t="n">
        <f aca="false">H157*N157</f>
        <v>5300819.41811221</v>
      </c>
      <c r="J157" s="25" t="n">
        <f aca="false">H157+I157-F157</f>
        <v>410385113.415346</v>
      </c>
      <c r="K157" s="25" t="n">
        <f aca="false">D157-I157</f>
        <v>0</v>
      </c>
      <c r="L157" s="25" t="n">
        <f aca="false">G157-J157</f>
        <v>0</v>
      </c>
      <c r="M157" s="25" t="n">
        <f aca="false">F157</f>
        <v>13400114.5918621</v>
      </c>
      <c r="N157" s="49" t="n">
        <f aca="false">$C$131</f>
        <v>0.0126667070727526</v>
      </c>
      <c r="O157" s="25" t="n">
        <f aca="false">IF(AND(B157&gt;=DATE(2026,1,1),B157&lt;=Resumen!$C$5),1,0)</f>
        <v>0</v>
      </c>
      <c r="P157" s="25" t="n">
        <f aca="false">IF(AND(B157&gt;Resumen!$C$5,B157&lt;=DATE(2027,7,31)),1,0)</f>
        <v>0</v>
      </c>
    </row>
    <row r="158" customFormat="false" ht="15" hidden="false" customHeight="false" outlineLevel="0" collapsed="false">
      <c r="A158" s="22" t="n">
        <v>22</v>
      </c>
      <c r="B158" s="23" t="n">
        <v>45935</v>
      </c>
      <c r="C158" s="28" t="n">
        <v>410385113.415346</v>
      </c>
      <c r="D158" s="28" t="n">
        <v>5198228.01865056</v>
      </c>
      <c r="E158" s="28" t="n">
        <v>8201886.57321161</v>
      </c>
      <c r="F158" s="28" t="n">
        <v>13400114.5918622</v>
      </c>
      <c r="G158" s="28" t="n">
        <v>402183226.842134</v>
      </c>
      <c r="H158" s="25" t="n">
        <f aca="false">J157</f>
        <v>410385113.415346</v>
      </c>
      <c r="I158" s="25" t="n">
        <f aca="false">H158*N158</f>
        <v>5198228.01865056</v>
      </c>
      <c r="J158" s="25" t="n">
        <f aca="false">H158+I158-F158</f>
        <v>402183226.842134</v>
      </c>
      <c r="K158" s="25" t="n">
        <f aca="false">D158-I158</f>
        <v>0</v>
      </c>
      <c r="L158" s="25" t="n">
        <f aca="false">G158-J158</f>
        <v>0</v>
      </c>
      <c r="M158" s="25" t="n">
        <f aca="false">F158</f>
        <v>13400114.5918622</v>
      </c>
      <c r="N158" s="49" t="n">
        <f aca="false">$C$131</f>
        <v>0.0126667070727526</v>
      </c>
      <c r="O158" s="25" t="n">
        <f aca="false">IF(AND(B158&gt;=DATE(2026,1,1),B158&lt;=Resumen!$C$5),1,0)</f>
        <v>0</v>
      </c>
      <c r="P158" s="25" t="n">
        <f aca="false">IF(AND(B158&gt;Resumen!$C$5,B158&lt;=DATE(2027,7,31)),1,0)</f>
        <v>0</v>
      </c>
    </row>
    <row r="159" customFormat="false" ht="15" hidden="false" customHeight="false" outlineLevel="0" collapsed="false">
      <c r="A159" s="22" t="n">
        <v>23</v>
      </c>
      <c r="B159" s="23" t="n">
        <v>45966</v>
      </c>
      <c r="C159" s="28" t="n">
        <v>402183226.842134</v>
      </c>
      <c r="D159" s="28" t="n">
        <v>5094337.12398374</v>
      </c>
      <c r="E159" s="28" t="n">
        <v>8305777.4678784</v>
      </c>
      <c r="F159" s="28" t="n">
        <v>13400114.5918621</v>
      </c>
      <c r="G159" s="28" t="n">
        <v>393877449.374256</v>
      </c>
      <c r="H159" s="25" t="n">
        <f aca="false">J158</f>
        <v>402183226.842134</v>
      </c>
      <c r="I159" s="25" t="n">
        <f aca="false">H159*N159</f>
        <v>5094337.12398374</v>
      </c>
      <c r="J159" s="25" t="n">
        <f aca="false">H159+I159-F159</f>
        <v>393877449.374256</v>
      </c>
      <c r="K159" s="25" t="n">
        <f aca="false">D159-I159</f>
        <v>0</v>
      </c>
      <c r="L159" s="25" t="n">
        <f aca="false">G159-J159</f>
        <v>0</v>
      </c>
      <c r="M159" s="25" t="n">
        <f aca="false">F159</f>
        <v>13400114.5918621</v>
      </c>
      <c r="N159" s="49" t="n">
        <f aca="false">$C$131</f>
        <v>0.0126667070727526</v>
      </c>
      <c r="O159" s="25" t="n">
        <f aca="false">IF(AND(B159&gt;=DATE(2026,1,1),B159&lt;=Resumen!$C$5),1,0)</f>
        <v>0</v>
      </c>
      <c r="P159" s="25" t="n">
        <f aca="false">IF(AND(B159&gt;Resumen!$C$5,B159&lt;=DATE(2027,7,31)),1,0)</f>
        <v>0</v>
      </c>
    </row>
    <row r="160" customFormat="false" ht="15" hidden="false" customHeight="false" outlineLevel="0" collapsed="false">
      <c r="A160" s="22" t="n">
        <v>24</v>
      </c>
      <c r="B160" s="23" t="n">
        <v>45996</v>
      </c>
      <c r="C160" s="28" t="n">
        <v>393877449.374256</v>
      </c>
      <c r="D160" s="28" t="n">
        <v>4989130.27378666</v>
      </c>
      <c r="E160" s="28" t="n">
        <v>8410984.31807548</v>
      </c>
      <c r="F160" s="28" t="n">
        <v>13400114.5918621</v>
      </c>
      <c r="G160" s="28" t="n">
        <v>385466465.056181</v>
      </c>
      <c r="H160" s="25" t="n">
        <f aca="false">J159</f>
        <v>393877449.374256</v>
      </c>
      <c r="I160" s="25" t="n">
        <f aca="false">H160*N160</f>
        <v>4989130.27378666</v>
      </c>
      <c r="J160" s="25" t="n">
        <f aca="false">H160+I160-F160</f>
        <v>385466465.05618</v>
      </c>
      <c r="K160" s="25" t="n">
        <f aca="false">D160-I160</f>
        <v>0</v>
      </c>
      <c r="L160" s="25" t="n">
        <f aca="false">G160-J160</f>
        <v>0</v>
      </c>
      <c r="M160" s="25" t="n">
        <f aca="false">F160</f>
        <v>13400114.5918621</v>
      </c>
      <c r="N160" s="49" t="n">
        <f aca="false">$C$131</f>
        <v>0.0126667070727526</v>
      </c>
      <c r="O160" s="25" t="n">
        <f aca="false">IF(AND(B160&gt;=DATE(2026,1,1),B160&lt;=Resumen!$C$5),1,0)</f>
        <v>0</v>
      </c>
      <c r="P160" s="25" t="n">
        <f aca="false">IF(AND(B160&gt;Resumen!$C$5,B160&lt;=DATE(2027,7,31)),1,0)</f>
        <v>0</v>
      </c>
    </row>
    <row r="161" customFormat="false" ht="15" hidden="false" customHeight="false" outlineLevel="0" collapsed="false">
      <c r="A161" s="22" t="n">
        <v>25</v>
      </c>
      <c r="B161" s="23" t="n">
        <v>46027</v>
      </c>
      <c r="C161" s="28" t="n">
        <v>385466465.056181</v>
      </c>
      <c r="D161" s="28" t="n">
        <v>4882590.79923608</v>
      </c>
      <c r="E161" s="28" t="n">
        <v>8517523.79262608</v>
      </c>
      <c r="F161" s="28" t="n">
        <v>13400114.5918622</v>
      </c>
      <c r="G161" s="28" t="n">
        <v>376948941.263554</v>
      </c>
      <c r="H161" s="25" t="n">
        <f aca="false">J160</f>
        <v>385466465.05618</v>
      </c>
      <c r="I161" s="25" t="n">
        <f aca="false">H161*N161</f>
        <v>4882590.79923608</v>
      </c>
      <c r="J161" s="25" t="n">
        <f aca="false">H161+I161-F161</f>
        <v>376948941.263554</v>
      </c>
      <c r="K161" s="25" t="n">
        <f aca="false">D161-I161</f>
        <v>0</v>
      </c>
      <c r="L161" s="25" t="n">
        <f aca="false">G161-J161</f>
        <v>0</v>
      </c>
      <c r="M161" s="25" t="n">
        <f aca="false">F161</f>
        <v>13400114.5918622</v>
      </c>
      <c r="N161" s="49" t="n">
        <f aca="false">$C$131</f>
        <v>0.0126667070727526</v>
      </c>
      <c r="O161" s="25" t="n">
        <f aca="false">IF(AND(B161&gt;=DATE(2026,1,1),B161&lt;=Resumen!$C$5),1,0)</f>
        <v>1</v>
      </c>
      <c r="P161" s="25" t="n">
        <f aca="false">IF(AND(B161&gt;Resumen!$C$5,B161&lt;=DATE(2027,7,31)),1,0)</f>
        <v>0</v>
      </c>
    </row>
    <row r="162" customFormat="false" ht="15" hidden="false" customHeight="false" outlineLevel="0" collapsed="false">
      <c r="A162" s="22" t="n">
        <v>26</v>
      </c>
      <c r="B162" s="23" t="n">
        <v>46058</v>
      </c>
      <c r="C162" s="28" t="n">
        <v>376948941.263554</v>
      </c>
      <c r="D162" s="28" t="n">
        <v>4774701.82036968</v>
      </c>
      <c r="E162" s="28" t="n">
        <v>8625412.77149248</v>
      </c>
      <c r="F162" s="28" t="n">
        <v>13400114.5918622</v>
      </c>
      <c r="G162" s="28" t="n">
        <v>368323528.492062</v>
      </c>
      <c r="H162" s="25" t="n">
        <f aca="false">J161</f>
        <v>376948941.263554</v>
      </c>
      <c r="I162" s="25" t="n">
        <f aca="false">H162*N162</f>
        <v>4774701.82036968</v>
      </c>
      <c r="J162" s="25" t="n">
        <f aca="false">H162+I162-F162</f>
        <v>368323528.492062</v>
      </c>
      <c r="K162" s="25" t="n">
        <f aca="false">D162-I162</f>
        <v>0</v>
      </c>
      <c r="L162" s="25" t="n">
        <f aca="false">G162-J162</f>
        <v>0</v>
      </c>
      <c r="M162" s="25" t="n">
        <f aca="false">F162</f>
        <v>13400114.5918622</v>
      </c>
      <c r="N162" s="49" t="n">
        <f aca="false">$C$131</f>
        <v>0.0126667070727526</v>
      </c>
      <c r="O162" s="25" t="n">
        <f aca="false">IF(AND(B162&gt;=DATE(2026,1,1),B162&lt;=Resumen!$C$5),1,0)</f>
        <v>1</v>
      </c>
      <c r="P162" s="25" t="n">
        <f aca="false">IF(AND(B162&gt;Resumen!$C$5,B162&lt;=DATE(2027,7,31)),1,0)</f>
        <v>0</v>
      </c>
    </row>
    <row r="163" customFormat="false" ht="15" hidden="false" customHeight="false" outlineLevel="0" collapsed="false">
      <c r="A163" s="22" t="n">
        <v>27</v>
      </c>
      <c r="B163" s="23" t="n">
        <v>46086</v>
      </c>
      <c r="C163" s="28" t="n">
        <v>368323528.492062</v>
      </c>
      <c r="D163" s="28" t="n">
        <v>4665446.24341161</v>
      </c>
      <c r="E163" s="28" t="n">
        <v>8734668.34845054</v>
      </c>
      <c r="F163" s="28" t="n">
        <v>13400114.5918622</v>
      </c>
      <c r="G163" s="28" t="n">
        <v>359588860.143611</v>
      </c>
      <c r="H163" s="25" t="n">
        <f aca="false">J162</f>
        <v>368323528.492062</v>
      </c>
      <c r="I163" s="25" t="n">
        <f aca="false">H163*N163</f>
        <v>4665446.24341161</v>
      </c>
      <c r="J163" s="25" t="n">
        <f aca="false">H163+I163-F163</f>
        <v>359588860.143611</v>
      </c>
      <c r="K163" s="25" t="n">
        <f aca="false">D163-I163</f>
        <v>0</v>
      </c>
      <c r="L163" s="25" t="n">
        <f aca="false">G163-J163</f>
        <v>0</v>
      </c>
      <c r="M163" s="25" t="n">
        <f aca="false">F163</f>
        <v>13400114.5918622</v>
      </c>
      <c r="N163" s="49" t="n">
        <f aca="false">$C$131</f>
        <v>0.0126667070727526</v>
      </c>
      <c r="O163" s="25" t="n">
        <f aca="false">IF(AND(B163&gt;=DATE(2026,1,1),B163&lt;=Resumen!$C$5),1,0)</f>
        <v>1</v>
      </c>
      <c r="P163" s="25" t="n">
        <f aca="false">IF(AND(B163&gt;Resumen!$C$5,B163&lt;=DATE(2027,7,31)),1,0)</f>
        <v>0</v>
      </c>
    </row>
    <row r="164" customFormat="false" ht="15" hidden="false" customHeight="false" outlineLevel="0" collapsed="false">
      <c r="A164" s="22" t="n">
        <v>28</v>
      </c>
      <c r="B164" s="23" t="n">
        <v>46117</v>
      </c>
      <c r="C164" s="28" t="n">
        <v>359588860.143611</v>
      </c>
      <c r="D164" s="28" t="n">
        <v>4554806.75806414</v>
      </c>
      <c r="E164" s="28" t="n">
        <v>8845307.83379799</v>
      </c>
      <c r="F164" s="28" t="n">
        <v>13400114.5918621</v>
      </c>
      <c r="G164" s="28" t="n">
        <v>350743552.309813</v>
      </c>
      <c r="H164" s="25" t="n">
        <f aca="false">J163</f>
        <v>359588860.143611</v>
      </c>
      <c r="I164" s="25" t="n">
        <f aca="false">H164*N164</f>
        <v>4554806.75806414</v>
      </c>
      <c r="J164" s="25" t="n">
        <f aca="false">H164+I164-F164</f>
        <v>350743552.309813</v>
      </c>
      <c r="K164" s="25" t="n">
        <f aca="false">D164-I164</f>
        <v>0</v>
      </c>
      <c r="L164" s="25" t="n">
        <f aca="false">G164-J164</f>
        <v>0</v>
      </c>
      <c r="M164" s="25" t="n">
        <f aca="false">F164</f>
        <v>13400114.5918621</v>
      </c>
      <c r="N164" s="49" t="n">
        <f aca="false">$C$131</f>
        <v>0.0126667070727526</v>
      </c>
      <c r="O164" s="25" t="n">
        <f aca="false">IF(AND(B164&gt;=DATE(2026,1,1),B164&lt;=Resumen!$C$5),1,0)</f>
        <v>1</v>
      </c>
      <c r="P164" s="25" t="n">
        <f aca="false">IF(AND(B164&gt;Resumen!$C$5,B164&lt;=DATE(2027,7,31)),1,0)</f>
        <v>0</v>
      </c>
    </row>
    <row r="165" customFormat="false" ht="15" hidden="false" customHeight="false" outlineLevel="0" collapsed="false">
      <c r="A165" s="22" t="n">
        <v>29</v>
      </c>
      <c r="B165" s="23" t="n">
        <v>46147</v>
      </c>
      <c r="C165" s="28" t="n">
        <v>350743552.309813</v>
      </c>
      <c r="D165" s="28" t="n">
        <v>4442765.8347651</v>
      </c>
      <c r="E165" s="28" t="n">
        <v>8957348.75709707</v>
      </c>
      <c r="F165" s="28" t="n">
        <v>13400114.5918622</v>
      </c>
      <c r="G165" s="28" t="n">
        <v>341786203.552716</v>
      </c>
      <c r="H165" s="25" t="n">
        <f aca="false">J164</f>
        <v>350743552.309813</v>
      </c>
      <c r="I165" s="25" t="n">
        <f aca="false">H165*N165</f>
        <v>4442765.8347651</v>
      </c>
      <c r="J165" s="25" t="n">
        <f aca="false">H165+I165-F165</f>
        <v>341786203.552716</v>
      </c>
      <c r="K165" s="25" t="n">
        <f aca="false">D165-I165</f>
        <v>0</v>
      </c>
      <c r="L165" s="25" t="n">
        <f aca="false">G165-J165</f>
        <v>0</v>
      </c>
      <c r="M165" s="25" t="n">
        <f aca="false">F165</f>
        <v>13400114.5918622</v>
      </c>
      <c r="N165" s="49" t="n">
        <f aca="false">$C$131</f>
        <v>0.0126667070727526</v>
      </c>
      <c r="O165" s="25" t="n">
        <f aca="false">IF(AND(B165&gt;=DATE(2026,1,1),B165&lt;=Resumen!$C$5),1,0)</f>
        <v>1</v>
      </c>
      <c r="P165" s="25" t="n">
        <f aca="false">IF(AND(B165&gt;Resumen!$C$5,B165&lt;=DATE(2027,7,31)),1,0)</f>
        <v>0</v>
      </c>
    </row>
    <row r="166" customFormat="false" ht="15" hidden="false" customHeight="false" outlineLevel="0" collapsed="false">
      <c r="A166" s="22" t="n">
        <v>30</v>
      </c>
      <c r="B166" s="23" t="n">
        <v>46178</v>
      </c>
      <c r="C166" s="28" t="n">
        <v>341786203.552716</v>
      </c>
      <c r="D166" s="28" t="n">
        <v>4329305.72191046</v>
      </c>
      <c r="E166" s="28" t="n">
        <v>9070808.86995167</v>
      </c>
      <c r="F166" s="28" t="n">
        <v>13400114.5918621</v>
      </c>
      <c r="G166" s="28" t="n">
        <v>332715394.682765</v>
      </c>
      <c r="H166" s="25" t="n">
        <f aca="false">J165</f>
        <v>341786203.552716</v>
      </c>
      <c r="I166" s="25" t="n">
        <f aca="false">H166*N166</f>
        <v>4329305.72191047</v>
      </c>
      <c r="J166" s="25" t="n">
        <f aca="false">H166+I166-F166</f>
        <v>332715394.682765</v>
      </c>
      <c r="K166" s="25" t="n">
        <f aca="false">D166-I166</f>
        <v>0</v>
      </c>
      <c r="L166" s="25" t="n">
        <f aca="false">G166-J166</f>
        <v>0</v>
      </c>
      <c r="M166" s="25" t="n">
        <f aca="false">F166</f>
        <v>13400114.5918621</v>
      </c>
      <c r="N166" s="49" t="n">
        <f aca="false">$C$131</f>
        <v>0.0126667070727526</v>
      </c>
      <c r="O166" s="25" t="n">
        <f aca="false">IF(AND(B166&gt;=DATE(2026,1,1),B166&lt;=Resumen!$C$5),1,0)</f>
        <v>1</v>
      </c>
      <c r="P166" s="25" t="n">
        <f aca="false">IF(AND(B166&gt;Resumen!$C$5,B166&lt;=DATE(2027,7,31)),1,0)</f>
        <v>0</v>
      </c>
    </row>
    <row r="167" customFormat="false" ht="15" hidden="false" customHeight="false" outlineLevel="0" collapsed="false">
      <c r="A167" s="22" t="n">
        <v>31</v>
      </c>
      <c r="B167" s="23" t="n">
        <v>46208</v>
      </c>
      <c r="C167" s="28" t="n">
        <v>332715394.682765</v>
      </c>
      <c r="D167" s="28" t="n">
        <v>4214408.44304186</v>
      </c>
      <c r="E167" s="28" t="n">
        <v>9185706.14882028</v>
      </c>
      <c r="F167" s="28" t="n">
        <v>13400114.5918621</v>
      </c>
      <c r="G167" s="28" t="n">
        <v>323529688.533944</v>
      </c>
      <c r="H167" s="25" t="n">
        <f aca="false">J166</f>
        <v>332715394.682765</v>
      </c>
      <c r="I167" s="25" t="n">
        <f aca="false">H167*N167</f>
        <v>4214408.44304186</v>
      </c>
      <c r="J167" s="25" t="n">
        <f aca="false">H167+I167-F167</f>
        <v>323529688.533944</v>
      </c>
      <c r="K167" s="25" t="n">
        <f aca="false">D167-I167</f>
        <v>0</v>
      </c>
      <c r="L167" s="25" t="n">
        <f aca="false">G167-J167</f>
        <v>0</v>
      </c>
      <c r="M167" s="25" t="n">
        <f aca="false">F167</f>
        <v>13400114.5918621</v>
      </c>
      <c r="N167" s="49" t="n">
        <f aca="false">$C$131</f>
        <v>0.0126667070727526</v>
      </c>
      <c r="O167" s="25" t="n">
        <f aca="false">IF(AND(B167&gt;=DATE(2026,1,1),B167&lt;=Resumen!$C$5),1,0)</f>
        <v>1</v>
      </c>
      <c r="P167" s="25" t="n">
        <f aca="false">IF(AND(B167&gt;Resumen!$C$5,B167&lt;=DATE(2027,7,31)),1,0)</f>
        <v>0</v>
      </c>
    </row>
    <row r="168" customFormat="false" ht="15" hidden="false" customHeight="false" outlineLevel="0" collapsed="false">
      <c r="A168" s="22" t="n">
        <v>32</v>
      </c>
      <c r="B168" s="23" t="n">
        <v>46239</v>
      </c>
      <c r="C168" s="28" t="n">
        <v>323529688.533944</v>
      </c>
      <c r="D168" s="28" t="n">
        <v>4098055.79399837</v>
      </c>
      <c r="E168" s="28" t="n">
        <v>9302058.79786378</v>
      </c>
      <c r="F168" s="28" t="n">
        <v>13400114.5918622</v>
      </c>
      <c r="G168" s="28" t="n">
        <v>314227629.736081</v>
      </c>
      <c r="H168" s="25" t="n">
        <f aca="false">J167</f>
        <v>323529688.533944</v>
      </c>
      <c r="I168" s="25" t="n">
        <f aca="false">H168*N168</f>
        <v>4098055.79399837</v>
      </c>
      <c r="J168" s="25" t="n">
        <f aca="false">H168+I168-F168</f>
        <v>314227629.736081</v>
      </c>
      <c r="K168" s="25" t="n">
        <f aca="false">D168-I168</f>
        <v>0</v>
      </c>
      <c r="L168" s="25" t="n">
        <f aca="false">G168-J168</f>
        <v>0</v>
      </c>
      <c r="M168" s="25" t="n">
        <f aca="false">F168</f>
        <v>13400114.5918622</v>
      </c>
      <c r="N168" s="49" t="n">
        <f aca="false">$C$131</f>
        <v>0.0126667070727526</v>
      </c>
      <c r="O168" s="25" t="n">
        <f aca="false">IF(AND(B168&gt;=DATE(2026,1,1),B168&lt;=Resumen!$C$5),1,0)</f>
        <v>0</v>
      </c>
      <c r="P168" s="25" t="n">
        <f aca="false">IF(AND(B168&gt;Resumen!$C$5,B168&lt;=DATE(2027,7,31)),1,0)</f>
        <v>1</v>
      </c>
    </row>
    <row r="169" customFormat="false" ht="15" hidden="false" customHeight="false" outlineLevel="0" collapsed="false">
      <c r="A169" s="22" t="n">
        <v>33</v>
      </c>
      <c r="B169" s="23" t="n">
        <v>46270</v>
      </c>
      <c r="C169" s="28" t="n">
        <v>314227629.736081</v>
      </c>
      <c r="D169" s="28" t="n">
        <v>3980229.34003231</v>
      </c>
      <c r="E169" s="28" t="n">
        <v>9419885.25182986</v>
      </c>
      <c r="F169" s="28" t="n">
        <v>13400114.5918622</v>
      </c>
      <c r="G169" s="28" t="n">
        <v>304807744.484251</v>
      </c>
      <c r="H169" s="25" t="n">
        <f aca="false">J168</f>
        <v>314227629.736081</v>
      </c>
      <c r="I169" s="25" t="n">
        <f aca="false">H169*N169</f>
        <v>3980229.34003231</v>
      </c>
      <c r="J169" s="25" t="n">
        <f aca="false">H169+I169-F169</f>
        <v>304807744.484251</v>
      </c>
      <c r="K169" s="25" t="n">
        <f aca="false">D169-I169</f>
        <v>0</v>
      </c>
      <c r="L169" s="25" t="n">
        <f aca="false">G169-J169</f>
        <v>0</v>
      </c>
      <c r="M169" s="25" t="n">
        <f aca="false">F169</f>
        <v>13400114.5918622</v>
      </c>
      <c r="N169" s="49" t="n">
        <f aca="false">$C$131</f>
        <v>0.0126667070727526</v>
      </c>
      <c r="O169" s="25" t="n">
        <f aca="false">IF(AND(B169&gt;=DATE(2026,1,1),B169&lt;=Resumen!$C$5),1,0)</f>
        <v>0</v>
      </c>
      <c r="P169" s="25" t="n">
        <f aca="false">IF(AND(B169&gt;Resumen!$C$5,B169&lt;=DATE(2027,7,31)),1,0)</f>
        <v>1</v>
      </c>
    </row>
    <row r="170" customFormat="false" ht="15" hidden="false" customHeight="false" outlineLevel="0" collapsed="false">
      <c r="A170" s="22" t="n">
        <v>34</v>
      </c>
      <c r="B170" s="23" t="n">
        <v>46300</v>
      </c>
      <c r="C170" s="28" t="n">
        <v>304807744.484251</v>
      </c>
      <c r="D170" s="28" t="n">
        <v>3860910.41288844</v>
      </c>
      <c r="E170" s="28" t="n">
        <v>9539204.17897373</v>
      </c>
      <c r="F170" s="28" t="n">
        <v>13400114.5918622</v>
      </c>
      <c r="G170" s="28" t="n">
        <v>295268540.305277</v>
      </c>
      <c r="H170" s="25" t="n">
        <f aca="false">J169</f>
        <v>304807744.484251</v>
      </c>
      <c r="I170" s="25" t="n">
        <f aca="false">H170*N170</f>
        <v>3860910.41288844</v>
      </c>
      <c r="J170" s="25" t="n">
        <f aca="false">H170+I170-F170</f>
        <v>295268540.305277</v>
      </c>
      <c r="K170" s="25" t="n">
        <f aca="false">D170-I170</f>
        <v>0</v>
      </c>
      <c r="L170" s="25" t="n">
        <f aca="false">G170-J170</f>
        <v>0</v>
      </c>
      <c r="M170" s="25" t="n">
        <f aca="false">F170</f>
        <v>13400114.5918622</v>
      </c>
      <c r="N170" s="49" t="n">
        <f aca="false">$C$131</f>
        <v>0.0126667070727526</v>
      </c>
      <c r="O170" s="25" t="n">
        <f aca="false">IF(AND(B170&gt;=DATE(2026,1,1),B170&lt;=Resumen!$C$5),1,0)</f>
        <v>0</v>
      </c>
      <c r="P170" s="25" t="n">
        <f aca="false">IF(AND(B170&gt;Resumen!$C$5,B170&lt;=DATE(2027,7,31)),1,0)</f>
        <v>1</v>
      </c>
    </row>
    <row r="171" customFormat="false" ht="15" hidden="false" customHeight="false" outlineLevel="0" collapsed="false">
      <c r="A171" s="22" t="n">
        <v>35</v>
      </c>
      <c r="B171" s="23" t="n">
        <v>46331</v>
      </c>
      <c r="C171" s="28" t="n">
        <v>295268540.305277</v>
      </c>
      <c r="D171" s="28" t="n">
        <v>3740080.1078462</v>
      </c>
      <c r="E171" s="28" t="n">
        <v>9660034.48401594</v>
      </c>
      <c r="F171" s="28" t="n">
        <v>13400114.5918621</v>
      </c>
      <c r="G171" s="28" t="n">
        <v>285608505.821261</v>
      </c>
      <c r="H171" s="25" t="n">
        <f aca="false">J170</f>
        <v>295268540.305277</v>
      </c>
      <c r="I171" s="25" t="n">
        <f aca="false">H171*N171</f>
        <v>3740080.1078462</v>
      </c>
      <c r="J171" s="25" t="n">
        <f aca="false">H171+I171-F171</f>
        <v>285608505.821261</v>
      </c>
      <c r="K171" s="25" t="n">
        <f aca="false">D171-I171</f>
        <v>0</v>
      </c>
      <c r="L171" s="25" t="n">
        <f aca="false">G171-J171</f>
        <v>0</v>
      </c>
      <c r="M171" s="25" t="n">
        <f aca="false">F171</f>
        <v>13400114.5918621</v>
      </c>
      <c r="N171" s="49" t="n">
        <f aca="false">$C$131</f>
        <v>0.0126667070727526</v>
      </c>
      <c r="O171" s="25" t="n">
        <f aca="false">IF(AND(B171&gt;=DATE(2026,1,1),B171&lt;=Resumen!$C$5),1,0)</f>
        <v>0</v>
      </c>
      <c r="P171" s="25" t="n">
        <f aca="false">IF(AND(B171&gt;Resumen!$C$5,B171&lt;=DATE(2027,7,31)),1,0)</f>
        <v>1</v>
      </c>
    </row>
    <row r="172" customFormat="false" ht="15" hidden="false" customHeight="false" outlineLevel="0" collapsed="false">
      <c r="A172" s="22" t="n">
        <v>36</v>
      </c>
      <c r="B172" s="23" t="n">
        <v>46361</v>
      </c>
      <c r="C172" s="28" t="n">
        <v>285608505.821261</v>
      </c>
      <c r="D172" s="28" t="n">
        <v>3617719.28072448</v>
      </c>
      <c r="E172" s="28" t="n">
        <v>9782395.31113768</v>
      </c>
      <c r="F172" s="28" t="n">
        <v>13400114.5918622</v>
      </c>
      <c r="G172" s="28" t="n">
        <v>275826110.510123</v>
      </c>
      <c r="H172" s="25" t="n">
        <f aca="false">J171</f>
        <v>285608505.821261</v>
      </c>
      <c r="I172" s="25" t="n">
        <f aca="false">H172*N172</f>
        <v>3617719.28072448</v>
      </c>
      <c r="J172" s="25" t="n">
        <f aca="false">H172+I172-F172</f>
        <v>275826110.510123</v>
      </c>
      <c r="K172" s="25" t="n">
        <f aca="false">D172-I172</f>
        <v>0</v>
      </c>
      <c r="L172" s="25" t="n">
        <f aca="false">G172-J172</f>
        <v>0</v>
      </c>
      <c r="M172" s="25" t="n">
        <f aca="false">F172</f>
        <v>13400114.5918622</v>
      </c>
      <c r="N172" s="49" t="n">
        <f aca="false">$C$131</f>
        <v>0.0126667070727526</v>
      </c>
      <c r="O172" s="25" t="n">
        <f aca="false">IF(AND(B172&gt;=DATE(2026,1,1),B172&lt;=Resumen!$C$5),1,0)</f>
        <v>0</v>
      </c>
      <c r="P172" s="25" t="n">
        <f aca="false">IF(AND(B172&gt;Resumen!$C$5,B172&lt;=DATE(2027,7,31)),1,0)</f>
        <v>1</v>
      </c>
    </row>
    <row r="173" customFormat="false" ht="15" hidden="false" customHeight="false" outlineLevel="0" collapsed="false">
      <c r="A173" s="22" t="n">
        <v>37</v>
      </c>
      <c r="B173" s="23" t="n">
        <v>46392</v>
      </c>
      <c r="C173" s="28" t="n">
        <v>275826110.510123</v>
      </c>
      <c r="D173" s="28" t="n">
        <v>3493808.54484843</v>
      </c>
      <c r="E173" s="28" t="n">
        <v>9906306.0470137</v>
      </c>
      <c r="F173" s="28" t="n">
        <v>13400114.5918621</v>
      </c>
      <c r="G173" s="28" t="n">
        <v>265919804.46311</v>
      </c>
      <c r="H173" s="25" t="n">
        <f aca="false">J172</f>
        <v>275826110.510123</v>
      </c>
      <c r="I173" s="25" t="n">
        <f aca="false">H173*N173</f>
        <v>3493808.54484843</v>
      </c>
      <c r="J173" s="25" t="n">
        <f aca="false">H173+I173-F173</f>
        <v>265919804.46311</v>
      </c>
      <c r="K173" s="25" t="n">
        <f aca="false">D173-I173</f>
        <v>0</v>
      </c>
      <c r="L173" s="25" t="n">
        <f aca="false">G173-J173</f>
        <v>0</v>
      </c>
      <c r="M173" s="25" t="n">
        <f aca="false">F173</f>
        <v>13400114.5918621</v>
      </c>
      <c r="N173" s="49" t="n">
        <f aca="false">$C$131</f>
        <v>0.0126667070727526</v>
      </c>
      <c r="O173" s="25" t="n">
        <f aca="false">IF(AND(B173&gt;=DATE(2026,1,1),B173&lt;=Resumen!$C$5),1,0)</f>
        <v>0</v>
      </c>
      <c r="P173" s="25" t="n">
        <f aca="false">IF(AND(B173&gt;Resumen!$C$5,B173&lt;=DATE(2027,7,31)),1,0)</f>
        <v>1</v>
      </c>
    </row>
    <row r="174" customFormat="false" ht="15" hidden="false" customHeight="false" outlineLevel="0" collapsed="false">
      <c r="A174" s="22" t="n">
        <v>38</v>
      </c>
      <c r="B174" s="23" t="n">
        <v>46423</v>
      </c>
      <c r="C174" s="28" t="n">
        <v>265919804.46311</v>
      </c>
      <c r="D174" s="28" t="n">
        <v>3368328.26797787</v>
      </c>
      <c r="E174" s="28" t="n">
        <v>10031786.3238843</v>
      </c>
      <c r="F174" s="28" t="n">
        <v>13400114.5918621</v>
      </c>
      <c r="G174" s="28" t="n">
        <v>255888018.139225</v>
      </c>
      <c r="H174" s="25" t="n">
        <f aca="false">J173</f>
        <v>265919804.46311</v>
      </c>
      <c r="I174" s="25" t="n">
        <f aca="false">H174*N174</f>
        <v>3368328.26797787</v>
      </c>
      <c r="J174" s="25" t="n">
        <f aca="false">H174+I174-F174</f>
        <v>255888018.139225</v>
      </c>
      <c r="K174" s="25" t="n">
        <f aca="false">D174-I174</f>
        <v>0</v>
      </c>
      <c r="L174" s="25" t="n">
        <f aca="false">G174-J174</f>
        <v>0</v>
      </c>
      <c r="M174" s="25" t="n">
        <f aca="false">F174</f>
        <v>13400114.5918621</v>
      </c>
      <c r="N174" s="49" t="n">
        <f aca="false">$C$131</f>
        <v>0.0126667070727526</v>
      </c>
      <c r="O174" s="25" t="n">
        <f aca="false">IF(AND(B174&gt;=DATE(2026,1,1),B174&lt;=Resumen!$C$5),1,0)</f>
        <v>0</v>
      </c>
      <c r="P174" s="25" t="n">
        <f aca="false">IF(AND(B174&gt;Resumen!$C$5,B174&lt;=DATE(2027,7,31)),1,0)</f>
        <v>1</v>
      </c>
    </row>
    <row r="175" customFormat="false" ht="15" hidden="false" customHeight="false" outlineLevel="0" collapsed="false">
      <c r="A175" s="22" t="n">
        <v>39</v>
      </c>
      <c r="B175" s="23" t="n">
        <v>46451</v>
      </c>
      <c r="C175" s="28" t="n">
        <v>255888018.139225</v>
      </c>
      <c r="D175" s="28" t="n">
        <v>3241258.56919678</v>
      </c>
      <c r="E175" s="28" t="n">
        <v>10158856.0226654</v>
      </c>
      <c r="F175" s="28" t="n">
        <v>13400114.5918621</v>
      </c>
      <c r="G175" s="28" t="n">
        <v>245729162.11656</v>
      </c>
      <c r="H175" s="25" t="n">
        <f aca="false">J174</f>
        <v>255888018.139225</v>
      </c>
      <c r="I175" s="25" t="n">
        <f aca="false">H175*N175</f>
        <v>3241258.56919678</v>
      </c>
      <c r="J175" s="25" t="n">
        <f aca="false">H175+I175-F175</f>
        <v>245729162.11656</v>
      </c>
      <c r="K175" s="25" t="n">
        <f aca="false">D175-I175</f>
        <v>0</v>
      </c>
      <c r="L175" s="25" t="n">
        <f aca="false">G175-J175</f>
        <v>0</v>
      </c>
      <c r="M175" s="25" t="n">
        <f aca="false">F175</f>
        <v>13400114.5918621</v>
      </c>
      <c r="N175" s="49" t="n">
        <f aca="false">$C$131</f>
        <v>0.0126667070727526</v>
      </c>
      <c r="O175" s="25" t="n">
        <f aca="false">IF(AND(B175&gt;=DATE(2026,1,1),B175&lt;=Resumen!$C$5),1,0)</f>
        <v>0</v>
      </c>
      <c r="P175" s="25" t="n">
        <f aca="false">IF(AND(B175&gt;Resumen!$C$5,B175&lt;=DATE(2027,7,31)),1,0)</f>
        <v>1</v>
      </c>
    </row>
    <row r="176" customFormat="false" ht="15" hidden="false" customHeight="false" outlineLevel="0" collapsed="false">
      <c r="A176" s="22" t="n">
        <v>40</v>
      </c>
      <c r="B176" s="23" t="n">
        <v>46482</v>
      </c>
      <c r="C176" s="28" t="n">
        <v>245729162.11656</v>
      </c>
      <c r="D176" s="28" t="n">
        <v>3112579.31576341</v>
      </c>
      <c r="E176" s="28" t="n">
        <v>10287535.2760987</v>
      </c>
      <c r="F176" s="28" t="n">
        <v>13400114.5918621</v>
      </c>
      <c r="G176" s="28" t="n">
        <v>235441626.840461</v>
      </c>
      <c r="H176" s="25" t="n">
        <f aca="false">J175</f>
        <v>245729162.11656</v>
      </c>
      <c r="I176" s="25" t="n">
        <f aca="false">H176*N176</f>
        <v>3112579.31576341</v>
      </c>
      <c r="J176" s="25" t="n">
        <f aca="false">H176+I176-F176</f>
        <v>235441626.840461</v>
      </c>
      <c r="K176" s="25" t="n">
        <f aca="false">D176-I176</f>
        <v>0</v>
      </c>
      <c r="L176" s="25" t="n">
        <f aca="false">G176-J176</f>
        <v>0</v>
      </c>
      <c r="M176" s="25" t="n">
        <f aca="false">F176</f>
        <v>13400114.5918621</v>
      </c>
      <c r="N176" s="49" t="n">
        <f aca="false">$C$131</f>
        <v>0.0126667070727526</v>
      </c>
      <c r="O176" s="25" t="n">
        <f aca="false">IF(AND(B176&gt;=DATE(2026,1,1),B176&lt;=Resumen!$C$5),1,0)</f>
        <v>0</v>
      </c>
      <c r="P176" s="25" t="n">
        <f aca="false">IF(AND(B176&gt;Resumen!$C$5,B176&lt;=DATE(2027,7,31)),1,0)</f>
        <v>1</v>
      </c>
    </row>
    <row r="177" customFormat="false" ht="15" hidden="false" customHeight="false" outlineLevel="0" collapsed="false">
      <c r="A177" s="22" t="n">
        <v>41</v>
      </c>
      <c r="B177" s="23" t="n">
        <v>46512</v>
      </c>
      <c r="C177" s="28" t="n">
        <v>235441626.840461</v>
      </c>
      <c r="D177" s="28" t="n">
        <v>2982270.11992046</v>
      </c>
      <c r="E177" s="28" t="n">
        <v>10417844.4719417</v>
      </c>
      <c r="F177" s="28" t="n">
        <v>13400114.5918621</v>
      </c>
      <c r="G177" s="28" t="n">
        <v>225023782.36852</v>
      </c>
      <c r="H177" s="25" t="n">
        <f aca="false">J176</f>
        <v>235441626.840461</v>
      </c>
      <c r="I177" s="25" t="n">
        <f aca="false">H177*N177</f>
        <v>2982270.11992046</v>
      </c>
      <c r="J177" s="25" t="n">
        <f aca="false">H177+I177-F177</f>
        <v>225023782.36852</v>
      </c>
      <c r="K177" s="25" t="n">
        <f aca="false">D177-I177</f>
        <v>0</v>
      </c>
      <c r="L177" s="25" t="n">
        <f aca="false">G177-J177</f>
        <v>0</v>
      </c>
      <c r="M177" s="25" t="n">
        <f aca="false">F177</f>
        <v>13400114.5918621</v>
      </c>
      <c r="N177" s="49" t="n">
        <f aca="false">$C$131</f>
        <v>0.0126667070727526</v>
      </c>
      <c r="O177" s="25" t="n">
        <f aca="false">IF(AND(B177&gt;=DATE(2026,1,1),B177&lt;=Resumen!$C$5),1,0)</f>
        <v>0</v>
      </c>
      <c r="P177" s="25" t="n">
        <f aca="false">IF(AND(B177&gt;Resumen!$C$5,B177&lt;=DATE(2027,7,31)),1,0)</f>
        <v>1</v>
      </c>
    </row>
    <row r="178" customFormat="false" ht="15" hidden="false" customHeight="false" outlineLevel="0" collapsed="false">
      <c r="A178" s="22" t="n">
        <v>42</v>
      </c>
      <c r="B178" s="23" t="n">
        <v>46543</v>
      </c>
      <c r="C178" s="28" t="n">
        <v>225023782.36852</v>
      </c>
      <c r="D178" s="28" t="n">
        <v>2850310.33566488</v>
      </c>
      <c r="E178" s="28" t="n">
        <v>10549804.2561973</v>
      </c>
      <c r="F178" s="28" t="n">
        <v>13400114.5918622</v>
      </c>
      <c r="G178" s="28" t="n">
        <v>214473978.112322</v>
      </c>
      <c r="H178" s="25" t="n">
        <f aca="false">J177</f>
        <v>225023782.36852</v>
      </c>
      <c r="I178" s="25" t="n">
        <f aca="false">H178*N178</f>
        <v>2850310.33566488</v>
      </c>
      <c r="J178" s="25" t="n">
        <f aca="false">H178+I178-F178</f>
        <v>214473978.112322</v>
      </c>
      <c r="K178" s="25" t="n">
        <f aca="false">D178-I178</f>
        <v>0</v>
      </c>
      <c r="L178" s="25" t="n">
        <f aca="false">G178-J178</f>
        <v>0</v>
      </c>
      <c r="M178" s="25" t="n">
        <f aca="false">F178</f>
        <v>13400114.5918622</v>
      </c>
      <c r="N178" s="49" t="n">
        <f aca="false">$C$131</f>
        <v>0.0126667070727526</v>
      </c>
      <c r="O178" s="25" t="n">
        <f aca="false">IF(AND(B178&gt;=DATE(2026,1,1),B178&lt;=Resumen!$C$5),1,0)</f>
        <v>0</v>
      </c>
      <c r="P178" s="25" t="n">
        <f aca="false">IF(AND(B178&gt;Resumen!$C$5,B178&lt;=DATE(2027,7,31)),1,0)</f>
        <v>1</v>
      </c>
    </row>
    <row r="179" customFormat="false" ht="15" hidden="false" customHeight="false" outlineLevel="0" collapsed="false">
      <c r="A179" s="22" t="n">
        <v>43</v>
      </c>
      <c r="B179" s="23" t="n">
        <v>46573</v>
      </c>
      <c r="C179" s="28" t="n">
        <v>214473978.112322</v>
      </c>
      <c r="D179" s="28" t="n">
        <v>2716679.05547675</v>
      </c>
      <c r="E179" s="28" t="n">
        <v>10683435.5363854</v>
      </c>
      <c r="F179" s="28" t="n">
        <v>13400114.5918621</v>
      </c>
      <c r="G179" s="28" t="n">
        <v>203790542.575937</v>
      </c>
      <c r="H179" s="25" t="n">
        <f aca="false">J178</f>
        <v>214473978.112322</v>
      </c>
      <c r="I179" s="25" t="n">
        <f aca="false">H179*N179</f>
        <v>2716679.05547675</v>
      </c>
      <c r="J179" s="25" t="n">
        <f aca="false">H179+I179-F179</f>
        <v>203790542.575937</v>
      </c>
      <c r="K179" s="25" t="n">
        <f aca="false">D179-I179</f>
        <v>0</v>
      </c>
      <c r="L179" s="25" t="n">
        <f aca="false">G179-J179</f>
        <v>0</v>
      </c>
      <c r="M179" s="25" t="n">
        <f aca="false">F179</f>
        <v>13400114.5918621</v>
      </c>
      <c r="N179" s="49" t="n">
        <f aca="false">$C$131</f>
        <v>0.0126667070727526</v>
      </c>
      <c r="O179" s="25" t="n">
        <f aca="false">IF(AND(B179&gt;=DATE(2026,1,1),B179&lt;=Resumen!$C$5),1,0)</f>
        <v>0</v>
      </c>
      <c r="P179" s="25" t="n">
        <f aca="false">IF(AND(B179&gt;Resumen!$C$5,B179&lt;=DATE(2027,7,31)),1,0)</f>
        <v>1</v>
      </c>
    </row>
    <row r="180" customFormat="false" ht="15" hidden="false" customHeight="false" outlineLevel="0" collapsed="false">
      <c r="A180" s="22" t="n">
        <v>44</v>
      </c>
      <c r="B180" s="23" t="n">
        <v>46604</v>
      </c>
      <c r="C180" s="28" t="n">
        <v>203790542.575937</v>
      </c>
      <c r="D180" s="28" t="n">
        <v>2581355.10700672</v>
      </c>
      <c r="E180" s="28" t="n">
        <v>10818759.4848554</v>
      </c>
      <c r="F180" s="28" t="n">
        <v>13400114.5918621</v>
      </c>
      <c r="G180" s="28" t="n">
        <v>192971783.091082</v>
      </c>
      <c r="H180" s="25" t="n">
        <f aca="false">J179</f>
        <v>203790542.575937</v>
      </c>
      <c r="I180" s="25" t="n">
        <f aca="false">H180*N180</f>
        <v>2581355.10700672</v>
      </c>
      <c r="J180" s="25" t="n">
        <f aca="false">H180+I180-F180</f>
        <v>192971783.091082</v>
      </c>
      <c r="K180" s="25" t="n">
        <f aca="false">D180-I180</f>
        <v>0</v>
      </c>
      <c r="L180" s="25" t="n">
        <f aca="false">G180-J180</f>
        <v>0</v>
      </c>
      <c r="M180" s="25" t="n">
        <f aca="false">F180</f>
        <v>13400114.5918621</v>
      </c>
      <c r="N180" s="49" t="n">
        <f aca="false">$C$131</f>
        <v>0.0126667070727526</v>
      </c>
      <c r="O180" s="25" t="n">
        <f aca="false">IF(AND(B180&gt;=DATE(2026,1,1),B180&lt;=Resumen!$C$5),1,0)</f>
        <v>0</v>
      </c>
      <c r="P180" s="25" t="n">
        <f aca="false">IF(AND(B180&gt;Resumen!$C$5,B180&lt;=DATE(2027,7,31)),1,0)</f>
        <v>0</v>
      </c>
    </row>
    <row r="181" customFormat="false" ht="15" hidden="false" customHeight="false" outlineLevel="0" collapsed="false">
      <c r="A181" s="22" t="n">
        <v>45</v>
      </c>
      <c r="B181" s="23" t="n">
        <v>46635</v>
      </c>
      <c r="C181" s="28" t="n">
        <v>192971783.091082</v>
      </c>
      <c r="D181" s="28" t="n">
        <v>2444317.04972149</v>
      </c>
      <c r="E181" s="28" t="n">
        <v>10955797.5421407</v>
      </c>
      <c r="F181" s="28" t="n">
        <v>13400114.5918622</v>
      </c>
      <c r="G181" s="28" t="n">
        <v>182015985.548941</v>
      </c>
      <c r="H181" s="25" t="n">
        <f aca="false">J180</f>
        <v>192971783.091082</v>
      </c>
      <c r="I181" s="25" t="n">
        <f aca="false">H181*N181</f>
        <v>2444317.04972149</v>
      </c>
      <c r="J181" s="25" t="n">
        <f aca="false">H181+I181-F181</f>
        <v>182015985.548941</v>
      </c>
      <c r="K181" s="25" t="n">
        <f aca="false">D181-I181</f>
        <v>0</v>
      </c>
      <c r="L181" s="25" t="n">
        <f aca="false">G181-J181</f>
        <v>0</v>
      </c>
      <c r="M181" s="25" t="n">
        <f aca="false">F181</f>
        <v>13400114.5918622</v>
      </c>
      <c r="N181" s="49" t="n">
        <f aca="false">$C$131</f>
        <v>0.0126667070727526</v>
      </c>
      <c r="O181" s="25" t="n">
        <f aca="false">IF(AND(B181&gt;=DATE(2026,1,1),B181&lt;=Resumen!$C$5),1,0)</f>
        <v>0</v>
      </c>
      <c r="P181" s="25" t="n">
        <f aca="false">IF(AND(B181&gt;Resumen!$C$5,B181&lt;=DATE(2027,7,31)),1,0)</f>
        <v>0</v>
      </c>
    </row>
    <row r="182" customFormat="false" ht="15" hidden="false" customHeight="false" outlineLevel="0" collapsed="false">
      <c r="A182" s="22" t="n">
        <v>46</v>
      </c>
      <c r="B182" s="23" t="n">
        <v>46665</v>
      </c>
      <c r="C182" s="28" t="n">
        <v>182015985.548941</v>
      </c>
      <c r="D182" s="28" t="n">
        <v>2305543.17150681</v>
      </c>
      <c r="E182" s="28" t="n">
        <v>11094571.4203553</v>
      </c>
      <c r="F182" s="28" t="n">
        <v>13400114.5918621</v>
      </c>
      <c r="G182" s="28" t="n">
        <v>170921414.128586</v>
      </c>
      <c r="H182" s="25" t="n">
        <f aca="false">J181</f>
        <v>182015985.548941</v>
      </c>
      <c r="I182" s="25" t="n">
        <f aca="false">H182*N182</f>
        <v>2305543.17150681</v>
      </c>
      <c r="J182" s="25" t="n">
        <f aca="false">H182+I182-F182</f>
        <v>170921414.128586</v>
      </c>
      <c r="K182" s="25" t="n">
        <f aca="false">D182-I182</f>
        <v>0</v>
      </c>
      <c r="L182" s="25" t="n">
        <f aca="false">G182-J182</f>
        <v>0</v>
      </c>
      <c r="M182" s="25" t="n">
        <f aca="false">F182</f>
        <v>13400114.5918621</v>
      </c>
      <c r="N182" s="49" t="n">
        <f aca="false">$C$131</f>
        <v>0.0126667070727526</v>
      </c>
      <c r="O182" s="25" t="n">
        <f aca="false">IF(AND(B182&gt;=DATE(2026,1,1),B182&lt;=Resumen!$C$5),1,0)</f>
        <v>0</v>
      </c>
      <c r="P182" s="25" t="n">
        <f aca="false">IF(AND(B182&gt;Resumen!$C$5,B182&lt;=DATE(2027,7,31)),1,0)</f>
        <v>0</v>
      </c>
    </row>
    <row r="183" customFormat="false" ht="15" hidden="false" customHeight="false" outlineLevel="0" collapsed="false">
      <c r="A183" s="22" t="n">
        <v>47</v>
      </c>
      <c r="B183" s="23" t="n">
        <v>46696</v>
      </c>
      <c r="C183" s="28" t="n">
        <v>170921414.128586</v>
      </c>
      <c r="D183" s="28" t="n">
        <v>2165011.48522744</v>
      </c>
      <c r="E183" s="28" t="n">
        <v>11235103.1066347</v>
      </c>
      <c r="F183" s="28" t="n">
        <v>13400114.5918621</v>
      </c>
      <c r="G183" s="28" t="n">
        <v>159686311.021951</v>
      </c>
      <c r="H183" s="25" t="n">
        <f aca="false">J182</f>
        <v>170921414.128586</v>
      </c>
      <c r="I183" s="25" t="n">
        <f aca="false">H183*N183</f>
        <v>2165011.48522744</v>
      </c>
      <c r="J183" s="25" t="n">
        <f aca="false">H183+I183-F183</f>
        <v>159686311.021951</v>
      </c>
      <c r="K183" s="25" t="n">
        <f aca="false">D183-I183</f>
        <v>0</v>
      </c>
      <c r="L183" s="25" t="n">
        <f aca="false">G183-J183</f>
        <v>0</v>
      </c>
      <c r="M183" s="25" t="n">
        <f aca="false">F183</f>
        <v>13400114.5918621</v>
      </c>
      <c r="N183" s="49" t="n">
        <f aca="false">$C$131</f>
        <v>0.0126667070727526</v>
      </c>
      <c r="O183" s="25" t="n">
        <f aca="false">IF(AND(B183&gt;=DATE(2026,1,1),B183&lt;=Resumen!$C$5),1,0)</f>
        <v>0</v>
      </c>
      <c r="P183" s="25" t="n">
        <f aca="false">IF(AND(B183&gt;Resumen!$C$5,B183&lt;=DATE(2027,7,31)),1,0)</f>
        <v>0</v>
      </c>
    </row>
    <row r="184" customFormat="false" ht="15" hidden="false" customHeight="false" outlineLevel="0" collapsed="false">
      <c r="A184" s="22" t="n">
        <v>48</v>
      </c>
      <c r="B184" s="23" t="n">
        <v>46726</v>
      </c>
      <c r="C184" s="28" t="n">
        <v>159686311.021951</v>
      </c>
      <c r="D184" s="28" t="n">
        <v>2022699.72524352</v>
      </c>
      <c r="E184" s="28" t="n">
        <v>11377414.8666186</v>
      </c>
      <c r="F184" s="28" t="n">
        <v>13400114.5918622</v>
      </c>
      <c r="G184" s="28" t="n">
        <v>148308896.155332</v>
      </c>
      <c r="H184" s="25" t="n">
        <f aca="false">J183</f>
        <v>159686311.021951</v>
      </c>
      <c r="I184" s="25" t="n">
        <f aca="false">H184*N184</f>
        <v>2022699.72524352</v>
      </c>
      <c r="J184" s="25" t="n">
        <f aca="false">H184+I184-F184</f>
        <v>148308896.155332</v>
      </c>
      <c r="K184" s="25" t="n">
        <f aca="false">D184-I184</f>
        <v>0</v>
      </c>
      <c r="L184" s="25" t="n">
        <f aca="false">G184-J184</f>
        <v>0</v>
      </c>
      <c r="M184" s="25" t="n">
        <f aca="false">F184</f>
        <v>13400114.5918622</v>
      </c>
      <c r="N184" s="49" t="n">
        <f aca="false">$C$131</f>
        <v>0.0126667070727526</v>
      </c>
      <c r="O184" s="25" t="n">
        <f aca="false">IF(AND(B184&gt;=DATE(2026,1,1),B184&lt;=Resumen!$C$5),1,0)</f>
        <v>0</v>
      </c>
      <c r="P184" s="25" t="n">
        <f aca="false">IF(AND(B184&gt;Resumen!$C$5,B184&lt;=DATE(2027,7,31)),1,0)</f>
        <v>0</v>
      </c>
    </row>
    <row r="185" customFormat="false" ht="15" hidden="false" customHeight="false" outlineLevel="0" collapsed="false">
      <c r="A185" s="22" t="n">
        <v>49</v>
      </c>
      <c r="B185" s="23" t="n">
        <v>46757</v>
      </c>
      <c r="C185" s="28" t="n">
        <v>148308896.155332</v>
      </c>
      <c r="D185" s="28" t="n">
        <v>1878585.34388288</v>
      </c>
      <c r="E185" s="28" t="n">
        <v>11521529.2479793</v>
      </c>
      <c r="F185" s="28" t="n">
        <v>13400114.5918621</v>
      </c>
      <c r="G185" s="28" t="n">
        <v>136787366.907353</v>
      </c>
      <c r="H185" s="25" t="n">
        <f aca="false">J184</f>
        <v>148308896.155332</v>
      </c>
      <c r="I185" s="25" t="n">
        <f aca="false">H185*N185</f>
        <v>1878585.34388288</v>
      </c>
      <c r="J185" s="25" t="n">
        <f aca="false">H185+I185-F185</f>
        <v>136787366.907353</v>
      </c>
      <c r="K185" s="25" t="n">
        <f aca="false">D185-I185</f>
        <v>0</v>
      </c>
      <c r="L185" s="25" t="n">
        <f aca="false">G185-J185</f>
        <v>0</v>
      </c>
      <c r="M185" s="25" t="n">
        <f aca="false">F185</f>
        <v>13400114.5918621</v>
      </c>
      <c r="N185" s="49" t="n">
        <f aca="false">$C$131</f>
        <v>0.0126667070727526</v>
      </c>
      <c r="O185" s="25" t="n">
        <f aca="false">IF(AND(B185&gt;=DATE(2026,1,1),B185&lt;=Resumen!$C$5),1,0)</f>
        <v>0</v>
      </c>
      <c r="P185" s="25" t="n">
        <f aca="false">IF(AND(B185&gt;Resumen!$C$5,B185&lt;=DATE(2027,7,31)),1,0)</f>
        <v>0</v>
      </c>
    </row>
    <row r="186" customFormat="false" ht="15" hidden="false" customHeight="false" outlineLevel="0" collapsed="false">
      <c r="A186" s="22" t="n">
        <v>50</v>
      </c>
      <c r="B186" s="23" t="n">
        <v>46788</v>
      </c>
      <c r="C186" s="28" t="n">
        <v>136787366.907353</v>
      </c>
      <c r="D186" s="28" t="n">
        <v>1732645.50786858</v>
      </c>
      <c r="E186" s="28" t="n">
        <v>11667469.0839936</v>
      </c>
      <c r="F186" s="28" t="n">
        <v>13400114.5918621</v>
      </c>
      <c r="G186" s="28" t="n">
        <v>125119897.82336</v>
      </c>
      <c r="H186" s="25" t="n">
        <f aca="false">J185</f>
        <v>136787366.907353</v>
      </c>
      <c r="I186" s="25" t="n">
        <f aca="false">H186*N186</f>
        <v>1732645.50786858</v>
      </c>
      <c r="J186" s="25" t="n">
        <f aca="false">H186+I186-F186</f>
        <v>125119897.823359</v>
      </c>
      <c r="K186" s="25" t="n">
        <f aca="false">D186-I186</f>
        <v>0</v>
      </c>
      <c r="L186" s="25" t="n">
        <f aca="false">G186-J186</f>
        <v>0</v>
      </c>
      <c r="M186" s="25" t="n">
        <f aca="false">F186</f>
        <v>13400114.5918621</v>
      </c>
      <c r="N186" s="49" t="n">
        <f aca="false">$C$131</f>
        <v>0.0126667070727526</v>
      </c>
      <c r="O186" s="25" t="n">
        <f aca="false">IF(AND(B186&gt;=DATE(2026,1,1),B186&lt;=Resumen!$C$5),1,0)</f>
        <v>0</v>
      </c>
      <c r="P186" s="25" t="n">
        <f aca="false">IF(AND(B186&gt;Resumen!$C$5,B186&lt;=DATE(2027,7,31)),1,0)</f>
        <v>0</v>
      </c>
    </row>
    <row r="187" customFormat="false" ht="15" hidden="false" customHeight="false" outlineLevel="0" collapsed="false">
      <c r="A187" s="22" t="n">
        <v>51</v>
      </c>
      <c r="B187" s="23" t="n">
        <v>46817</v>
      </c>
      <c r="C187" s="28" t="n">
        <v>125119897.82336</v>
      </c>
      <c r="D187" s="28" t="n">
        <v>1584857.09470123</v>
      </c>
      <c r="E187" s="28" t="n">
        <v>11815257.4971609</v>
      </c>
      <c r="F187" s="28" t="n">
        <v>13400114.5918622</v>
      </c>
      <c r="G187" s="28" t="n">
        <v>113304640.326199</v>
      </c>
      <c r="H187" s="25" t="n">
        <f aca="false">J186</f>
        <v>125119897.823359</v>
      </c>
      <c r="I187" s="25" t="n">
        <f aca="false">H187*N187</f>
        <v>1584857.09470123</v>
      </c>
      <c r="J187" s="25" t="n">
        <f aca="false">H187+I187-F187</f>
        <v>113304640.326198</v>
      </c>
      <c r="K187" s="25" t="n">
        <f aca="false">D187-I187</f>
        <v>0</v>
      </c>
      <c r="L187" s="25" t="n">
        <f aca="false">G187-J187</f>
        <v>0</v>
      </c>
      <c r="M187" s="25" t="n">
        <f aca="false">F187</f>
        <v>13400114.5918622</v>
      </c>
      <c r="N187" s="49" t="n">
        <f aca="false">$C$131</f>
        <v>0.0126667070727526</v>
      </c>
      <c r="O187" s="25" t="n">
        <f aca="false">IF(AND(B187&gt;=DATE(2026,1,1),B187&lt;=Resumen!$C$5),1,0)</f>
        <v>0</v>
      </c>
      <c r="P187" s="25" t="n">
        <f aca="false">IF(AND(B187&gt;Resumen!$C$5,B187&lt;=DATE(2027,7,31)),1,0)</f>
        <v>0</v>
      </c>
    </row>
    <row r="188" customFormat="false" ht="15" hidden="false" customHeight="false" outlineLevel="0" collapsed="false">
      <c r="A188" s="22" t="n">
        <v>52</v>
      </c>
      <c r="B188" s="23" t="n">
        <v>46848</v>
      </c>
      <c r="C188" s="28" t="n">
        <v>113304640.326199</v>
      </c>
      <c r="D188" s="28" t="n">
        <v>1435196.68899555</v>
      </c>
      <c r="E188" s="28" t="n">
        <v>11964917.9028666</v>
      </c>
      <c r="F188" s="28" t="n">
        <v>13400114.5918621</v>
      </c>
      <c r="G188" s="28" t="n">
        <v>101339722.423332</v>
      </c>
      <c r="H188" s="25" t="n">
        <f aca="false">J187</f>
        <v>113304640.326198</v>
      </c>
      <c r="I188" s="25" t="n">
        <f aca="false">H188*N188</f>
        <v>1435196.68899555</v>
      </c>
      <c r="J188" s="25" t="n">
        <f aca="false">H188+I188-F188</f>
        <v>101339722.423332</v>
      </c>
      <c r="K188" s="25" t="n">
        <f aca="false">D188-I188</f>
        <v>0</v>
      </c>
      <c r="L188" s="25" t="n">
        <f aca="false">G188-J188</f>
        <v>0</v>
      </c>
      <c r="M188" s="25" t="n">
        <f aca="false">F188</f>
        <v>13400114.5918621</v>
      </c>
      <c r="N188" s="49" t="n">
        <f aca="false">$C$131</f>
        <v>0.0126667070727526</v>
      </c>
      <c r="O188" s="25" t="n">
        <f aca="false">IF(AND(B188&gt;=DATE(2026,1,1),B188&lt;=Resumen!$C$5),1,0)</f>
        <v>0</v>
      </c>
      <c r="P188" s="25" t="n">
        <f aca="false">IF(AND(B188&gt;Resumen!$C$5,B188&lt;=DATE(2027,7,31)),1,0)</f>
        <v>0</v>
      </c>
    </row>
    <row r="189" customFormat="false" ht="15" hidden="false" customHeight="false" outlineLevel="0" collapsed="false">
      <c r="A189" s="22" t="n">
        <v>53</v>
      </c>
      <c r="B189" s="23" t="n">
        <v>46878</v>
      </c>
      <c r="C189" s="28" t="n">
        <v>101339722.423332</v>
      </c>
      <c r="D189" s="28" t="n">
        <v>1283640.57877041</v>
      </c>
      <c r="E189" s="28" t="n">
        <v>12116474.0130917</v>
      </c>
      <c r="F189" s="28" t="n">
        <v>13400114.5918621</v>
      </c>
      <c r="G189" s="28" t="n">
        <v>89223248.4102402</v>
      </c>
      <c r="H189" s="25" t="n">
        <f aca="false">J188</f>
        <v>101339722.423332</v>
      </c>
      <c r="I189" s="25" t="n">
        <f aca="false">H189*N189</f>
        <v>1283640.57877041</v>
      </c>
      <c r="J189" s="25" t="n">
        <f aca="false">H189+I189-F189</f>
        <v>89223248.4102402</v>
      </c>
      <c r="K189" s="25" t="n">
        <f aca="false">D189-I189</f>
        <v>0</v>
      </c>
      <c r="L189" s="25" t="n">
        <f aca="false">G189-J189</f>
        <v>0</v>
      </c>
      <c r="M189" s="25" t="n">
        <f aca="false">F189</f>
        <v>13400114.5918621</v>
      </c>
      <c r="N189" s="49" t="n">
        <f aca="false">$C$131</f>
        <v>0.0126667070727526</v>
      </c>
      <c r="O189" s="25" t="n">
        <f aca="false">IF(AND(B189&gt;=DATE(2026,1,1),B189&lt;=Resumen!$C$5),1,0)</f>
        <v>0</v>
      </c>
      <c r="P189" s="25" t="n">
        <f aca="false">IF(AND(B189&gt;Resumen!$C$5,B189&lt;=DATE(2027,7,31)),1,0)</f>
        <v>0</v>
      </c>
    </row>
    <row r="190" customFormat="false" ht="15" hidden="false" customHeight="false" outlineLevel="0" collapsed="false">
      <c r="A190" s="22" t="n">
        <v>54</v>
      </c>
      <c r="B190" s="23" t="n">
        <v>46909</v>
      </c>
      <c r="C190" s="28" t="n">
        <v>89223248.4102402</v>
      </c>
      <c r="D190" s="28" t="n">
        <v>1130164.75169196</v>
      </c>
      <c r="E190" s="28" t="n">
        <v>12269949.8401702</v>
      </c>
      <c r="F190" s="28" t="n">
        <v>13400114.5918622</v>
      </c>
      <c r="G190" s="28" t="n">
        <v>76953298.57007</v>
      </c>
      <c r="H190" s="25" t="n">
        <f aca="false">J189</f>
        <v>89223248.4102402</v>
      </c>
      <c r="I190" s="25" t="n">
        <f aca="false">H190*N190</f>
        <v>1130164.75169196</v>
      </c>
      <c r="J190" s="25" t="n">
        <f aca="false">H190+I190-F190</f>
        <v>76953298.57007</v>
      </c>
      <c r="K190" s="25" t="n">
        <f aca="false">D190-I190</f>
        <v>0</v>
      </c>
      <c r="L190" s="25" t="n">
        <f aca="false">G190-J190</f>
        <v>0</v>
      </c>
      <c r="M190" s="25" t="n">
        <f aca="false">F190</f>
        <v>13400114.5918622</v>
      </c>
      <c r="N190" s="49" t="n">
        <f aca="false">$C$131</f>
        <v>0.0126667070727526</v>
      </c>
      <c r="O190" s="25" t="n">
        <f aca="false">IF(AND(B190&gt;=DATE(2026,1,1),B190&lt;=Resumen!$C$5),1,0)</f>
        <v>0</v>
      </c>
      <c r="P190" s="25" t="n">
        <f aca="false">IF(AND(B190&gt;Resumen!$C$5,B190&lt;=DATE(2027,7,31)),1,0)</f>
        <v>0</v>
      </c>
    </row>
    <row r="191" customFormat="false" ht="15" hidden="false" customHeight="false" outlineLevel="0" collapsed="false">
      <c r="A191" s="22" t="n">
        <v>55</v>
      </c>
      <c r="B191" s="23" t="n">
        <v>46939</v>
      </c>
      <c r="C191" s="28" t="n">
        <v>76953298.57007</v>
      </c>
      <c r="D191" s="28" t="n">
        <v>974744.891269152</v>
      </c>
      <c r="E191" s="28" t="n">
        <v>12425369.700593</v>
      </c>
      <c r="F191" s="28" t="n">
        <v>13400114.5918622</v>
      </c>
      <c r="G191" s="28" t="n">
        <v>64527928.8694771</v>
      </c>
      <c r="H191" s="25" t="n">
        <f aca="false">J190</f>
        <v>76953298.57007</v>
      </c>
      <c r="I191" s="25" t="n">
        <f aca="false">H191*N191</f>
        <v>974744.891269151</v>
      </c>
      <c r="J191" s="25" t="n">
        <f aca="false">H191+I191-F191</f>
        <v>64527928.869477</v>
      </c>
      <c r="K191" s="25" t="n">
        <f aca="false">D191-I191</f>
        <v>0</v>
      </c>
      <c r="L191" s="25" t="n">
        <f aca="false">G191-J191</f>
        <v>0</v>
      </c>
      <c r="M191" s="25" t="n">
        <f aca="false">F191</f>
        <v>13400114.5918622</v>
      </c>
      <c r="N191" s="49" t="n">
        <f aca="false">$C$131</f>
        <v>0.0126667070727526</v>
      </c>
      <c r="O191" s="25" t="n">
        <f aca="false">IF(AND(B191&gt;=DATE(2026,1,1),B191&lt;=Resumen!$C$5),1,0)</f>
        <v>0</v>
      </c>
      <c r="P191" s="25" t="n">
        <f aca="false">IF(AND(B191&gt;Resumen!$C$5,B191&lt;=DATE(2027,7,31)),1,0)</f>
        <v>0</v>
      </c>
    </row>
    <row r="192" customFormat="false" ht="15" hidden="false" customHeight="false" outlineLevel="0" collapsed="false">
      <c r="A192" s="22" t="n">
        <v>56</v>
      </c>
      <c r="B192" s="23" t="n">
        <v>46970</v>
      </c>
      <c r="C192" s="28" t="n">
        <v>64527928.8694771</v>
      </c>
      <c r="D192" s="28" t="n">
        <v>817356.373001084</v>
      </c>
      <c r="E192" s="28" t="n">
        <v>12582758.2188611</v>
      </c>
      <c r="F192" s="28" t="n">
        <v>13400114.5918621</v>
      </c>
      <c r="G192" s="28" t="n">
        <v>51945170.650616</v>
      </c>
      <c r="H192" s="25" t="n">
        <f aca="false">J191</f>
        <v>64527928.869477</v>
      </c>
      <c r="I192" s="25" t="n">
        <f aca="false">H192*N192</f>
        <v>817356.373001083</v>
      </c>
      <c r="J192" s="25" t="n">
        <f aca="false">H192+I192-F192</f>
        <v>51945170.6506159</v>
      </c>
      <c r="K192" s="25" t="n">
        <f aca="false">D192-I192</f>
        <v>0</v>
      </c>
      <c r="L192" s="25" t="n">
        <f aca="false">G192-J192</f>
        <v>0</v>
      </c>
      <c r="M192" s="25" t="n">
        <f aca="false">F192</f>
        <v>13400114.5918621</v>
      </c>
      <c r="N192" s="49" t="n">
        <f aca="false">$C$131</f>
        <v>0.0126667070727526</v>
      </c>
      <c r="O192" s="25" t="n">
        <f aca="false">IF(AND(B192&gt;=DATE(2026,1,1),B192&lt;=Resumen!$C$5),1,0)</f>
        <v>0</v>
      </c>
      <c r="P192" s="25" t="n">
        <f aca="false">IF(AND(B192&gt;Resumen!$C$5,B192&lt;=DATE(2027,7,31)),1,0)</f>
        <v>0</v>
      </c>
    </row>
    <row r="193" customFormat="false" ht="15" hidden="false" customHeight="false" outlineLevel="0" collapsed="false">
      <c r="A193" s="22" t="n">
        <v>57</v>
      </c>
      <c r="B193" s="23" t="n">
        <v>47001</v>
      </c>
      <c r="C193" s="28" t="n">
        <v>51945170.650616</v>
      </c>
      <c r="D193" s="28" t="n">
        <v>657974.2604755</v>
      </c>
      <c r="E193" s="28" t="n">
        <v>12742140.3313866</v>
      </c>
      <c r="F193" s="28" t="n">
        <v>13400114.5918621</v>
      </c>
      <c r="G193" s="28" t="n">
        <v>39203030.3192294</v>
      </c>
      <c r="H193" s="25" t="n">
        <f aca="false">J192</f>
        <v>51945170.6506159</v>
      </c>
      <c r="I193" s="25" t="n">
        <f aca="false">H193*N193</f>
        <v>657974.260475499</v>
      </c>
      <c r="J193" s="25" t="n">
        <f aca="false">H193+I193-F193</f>
        <v>39203030.3192293</v>
      </c>
      <c r="K193" s="25" t="n">
        <f aca="false">D193-I193</f>
        <v>0</v>
      </c>
      <c r="L193" s="25" t="n">
        <f aca="false">G193-J193</f>
        <v>0</v>
      </c>
      <c r="M193" s="25" t="n">
        <f aca="false">F193</f>
        <v>13400114.5918621</v>
      </c>
      <c r="N193" s="49" t="n">
        <f aca="false">$C$131</f>
        <v>0.0126667070727526</v>
      </c>
      <c r="O193" s="25" t="n">
        <f aca="false">IF(AND(B193&gt;=DATE(2026,1,1),B193&lt;=Resumen!$C$5),1,0)</f>
        <v>0</v>
      </c>
      <c r="P193" s="25" t="n">
        <f aca="false">IF(AND(B193&gt;Resumen!$C$5,B193&lt;=DATE(2027,7,31)),1,0)</f>
        <v>0</v>
      </c>
    </row>
    <row r="194" customFormat="false" ht="15" hidden="false" customHeight="false" outlineLevel="0" collapsed="false">
      <c r="A194" s="22" t="n">
        <v>58</v>
      </c>
      <c r="B194" s="23" t="n">
        <v>47031</v>
      </c>
      <c r="C194" s="28" t="n">
        <v>39203030.3192294</v>
      </c>
      <c r="D194" s="28" t="n">
        <v>496573.301417919</v>
      </c>
      <c r="E194" s="28" t="n">
        <v>12903541.2904442</v>
      </c>
      <c r="F194" s="28" t="n">
        <v>13400114.5918622</v>
      </c>
      <c r="G194" s="28" t="n">
        <v>26299489.0287851</v>
      </c>
      <c r="H194" s="25" t="n">
        <f aca="false">J193</f>
        <v>39203030.3192293</v>
      </c>
      <c r="I194" s="25" t="n">
        <f aca="false">H194*N194</f>
        <v>496573.301417918</v>
      </c>
      <c r="J194" s="25" t="n">
        <f aca="false">H194+I194-F194</f>
        <v>26299489.028785</v>
      </c>
      <c r="K194" s="25" t="n">
        <f aca="false">D194-I194</f>
        <v>0</v>
      </c>
      <c r="L194" s="25" t="n">
        <f aca="false">G194-J194</f>
        <v>0</v>
      </c>
      <c r="M194" s="25" t="n">
        <f aca="false">F194</f>
        <v>13400114.5918622</v>
      </c>
      <c r="N194" s="49" t="n">
        <f aca="false">$C$131</f>
        <v>0.0126667070727526</v>
      </c>
      <c r="O194" s="25" t="n">
        <f aca="false">IF(AND(B194&gt;=DATE(2026,1,1),B194&lt;=Resumen!$C$5),1,0)</f>
        <v>0</v>
      </c>
      <c r="P194" s="25" t="n">
        <f aca="false">IF(AND(B194&gt;Resumen!$C$5,B194&lt;=DATE(2027,7,31)),1,0)</f>
        <v>0</v>
      </c>
    </row>
    <row r="195" customFormat="false" ht="15" hidden="false" customHeight="false" outlineLevel="0" collapsed="false">
      <c r="A195" s="22" t="n">
        <v>59</v>
      </c>
      <c r="B195" s="23" t="n">
        <v>47062</v>
      </c>
      <c r="C195" s="28" t="n">
        <v>26299489.0287851</v>
      </c>
      <c r="D195" s="28" t="n">
        <v>333127.923690693</v>
      </c>
      <c r="E195" s="28" t="n">
        <v>13066986.6681715</v>
      </c>
      <c r="F195" s="28" t="n">
        <v>13400114.5918622</v>
      </c>
      <c r="G195" s="28" t="n">
        <v>13232502.3606137</v>
      </c>
      <c r="H195" s="25" t="n">
        <f aca="false">J194</f>
        <v>26299489.028785</v>
      </c>
      <c r="I195" s="25" t="n">
        <f aca="false">H195*N195</f>
        <v>333127.923690692</v>
      </c>
      <c r="J195" s="25" t="n">
        <f aca="false">H195+I195-F195</f>
        <v>13232502.3606136</v>
      </c>
      <c r="K195" s="25" t="n">
        <f aca="false">D195-I195</f>
        <v>0</v>
      </c>
      <c r="L195" s="25" t="n">
        <f aca="false">G195-J195</f>
        <v>9.31322574615479E-008</v>
      </c>
      <c r="M195" s="25" t="n">
        <f aca="false">F195</f>
        <v>13400114.5918622</v>
      </c>
      <c r="N195" s="49" t="n">
        <f aca="false">$C$131</f>
        <v>0.0126667070727526</v>
      </c>
      <c r="O195" s="25" t="n">
        <f aca="false">IF(AND(B195&gt;=DATE(2026,1,1),B195&lt;=Resumen!$C$5),1,0)</f>
        <v>0</v>
      </c>
      <c r="P195" s="25" t="n">
        <f aca="false">IF(AND(B195&gt;Resumen!$C$5,B195&lt;=DATE(2027,7,31)),1,0)</f>
        <v>0</v>
      </c>
    </row>
    <row r="196" customFormat="false" ht="15" hidden="false" customHeight="false" outlineLevel="0" collapsed="false">
      <c r="A196" s="22" t="n">
        <v>60</v>
      </c>
      <c r="B196" s="23" t="n">
        <v>47092</v>
      </c>
      <c r="C196" s="28" t="n">
        <v>13232502.3606137</v>
      </c>
      <c r="D196" s="28" t="n">
        <v>167612.231241401</v>
      </c>
      <c r="E196" s="28" t="n">
        <v>13232502.3606207</v>
      </c>
      <c r="F196" s="28" t="n">
        <v>13400114.5918622</v>
      </c>
      <c r="G196" s="28" t="n">
        <v>-7.07805156707764E-006</v>
      </c>
      <c r="H196" s="25" t="n">
        <f aca="false">J195</f>
        <v>13232502.3606136</v>
      </c>
      <c r="I196" s="25" t="n">
        <f aca="false">H196*N196</f>
        <v>167612.2312414</v>
      </c>
      <c r="J196" s="25" t="n">
        <f aca="false">H196+I196-F196</f>
        <v>-7.17304646968842E-006</v>
      </c>
      <c r="K196" s="25" t="n">
        <f aca="false">D196-I196</f>
        <v>1.10594555735588E-009</v>
      </c>
      <c r="L196" s="25" t="n">
        <f aca="false">G196-J196</f>
        <v>9.49949026107788E-008</v>
      </c>
      <c r="M196" s="25" t="n">
        <f aca="false">F196</f>
        <v>13400114.5918622</v>
      </c>
      <c r="N196" s="49" t="n">
        <f aca="false">$C$131</f>
        <v>0.0126667070727526</v>
      </c>
      <c r="O196" s="25" t="n">
        <f aca="false">IF(AND(B196&gt;=DATE(2026,1,1),B196&lt;=Resumen!$C$5),1,0)</f>
        <v>0</v>
      </c>
      <c r="P196" s="25" t="n">
        <f aca="false">IF(AND(B196&gt;Resumen!$C$5,B196&lt;=DATE(2027,7,31)),1,0)</f>
        <v>0</v>
      </c>
    </row>
    <row r="199" customFormat="false" ht="15" hidden="false" customHeight="false" outlineLevel="0" collapsed="false">
      <c r="A199" s="33" t="s">
        <v>806</v>
      </c>
    </row>
    <row r="200" customFormat="false" ht="15" hidden="false" customHeight="false" outlineLevel="0" collapsed="false">
      <c r="A200" s="34" t="s">
        <v>807</v>
      </c>
    </row>
    <row r="201" customFormat="false" ht="15" hidden="false" customHeight="false" outlineLevel="0" collapsed="false">
      <c r="A201" s="19" t="s">
        <v>808</v>
      </c>
    </row>
    <row r="202" customFormat="false" ht="15" hidden="false" customHeight="false" outlineLevel="0" collapsed="false">
      <c r="A202" s="20" t="s">
        <v>809</v>
      </c>
    </row>
    <row r="203" customFormat="false" ht="15" hidden="false" customHeight="false" outlineLevel="0" collapsed="false">
      <c r="A203" s="29" t="s">
        <v>773</v>
      </c>
      <c r="C203" s="22" t="s">
        <v>810</v>
      </c>
      <c r="F203" s="47" t="s">
        <v>775</v>
      </c>
    </row>
    <row r="204" customFormat="false" ht="15" hidden="false" customHeight="false" outlineLevel="0" collapsed="false">
      <c r="A204" s="29" t="s">
        <v>640</v>
      </c>
      <c r="C204" s="28" t="n">
        <v>1876684264</v>
      </c>
      <c r="F204" s="22" t="s">
        <v>776</v>
      </c>
      <c r="I204" s="41" t="n">
        <f aca="false">_xlfn.MAXIFS($B$212:$B$240,$B$212:$B$240,"&lt;="&amp;Resumen!$C$5)</f>
        <v>46225</v>
      </c>
    </row>
    <row r="205" customFormat="false" ht="15" hidden="false" customHeight="false" outlineLevel="0" collapsed="false">
      <c r="A205" s="29" t="s">
        <v>641</v>
      </c>
      <c r="C205" s="23" t="n">
        <v>45679</v>
      </c>
      <c r="F205" s="22" t="s">
        <v>777</v>
      </c>
      <c r="I205" s="25" t="n">
        <f aca="false">SUMIFS($G$212:$G$240,$B$212:$B$240,I204)</f>
        <v>1883712218.08706</v>
      </c>
    </row>
    <row r="206" customFormat="false" ht="15" hidden="false" customHeight="false" outlineLevel="0" collapsed="false">
      <c r="A206" s="29" t="s">
        <v>778</v>
      </c>
      <c r="C206" s="22" t="s">
        <v>811</v>
      </c>
      <c r="F206" s="22" t="s">
        <v>780</v>
      </c>
      <c r="I206" s="25" t="n">
        <f aca="false">SUMIFS($J$212:$J$240,$B$212:$B$240,I204)</f>
        <v>1883712218.08706</v>
      </c>
    </row>
    <row r="207" customFormat="false" ht="15" hidden="false" customHeight="false" outlineLevel="0" collapsed="false">
      <c r="A207" s="29" t="s">
        <v>781</v>
      </c>
      <c r="C207" s="48" t="n">
        <v>0.0273627142719182</v>
      </c>
      <c r="F207" s="22" t="s">
        <v>650</v>
      </c>
      <c r="I207" s="25" t="n">
        <f aca="false">SUMIFS($D$212:$D$240,$O$212:$O$240,1)</f>
        <v>154428550.826659</v>
      </c>
    </row>
    <row r="208" customFormat="false" ht="15" hidden="false" customHeight="false" outlineLevel="0" collapsed="false">
      <c r="A208" s="29" t="s">
        <v>782</v>
      </c>
      <c r="C208" s="49" t="n">
        <f aca="false">IFERROR(IRR($M$212:$M$240),"N/A")</f>
        <v>0.0273627142719176</v>
      </c>
      <c r="F208" s="22" t="s">
        <v>783</v>
      </c>
      <c r="I208" s="25" t="n">
        <f aca="false">SUMIFS($E$212:$E$240,$P$212:$P$240,1)</f>
        <v>-5359114.08681464</v>
      </c>
    </row>
    <row r="209" customFormat="false" ht="15" hidden="false" customHeight="false" outlineLevel="0" collapsed="false">
      <c r="A209" s="29" t="s">
        <v>784</v>
      </c>
      <c r="C209" s="50" t="n">
        <f aca="false">IF(ISNUMBER(C208),(1+C208)^4-1,"N/A")</f>
        <v>0.114025674301772</v>
      </c>
      <c r="F209" s="22" t="s">
        <v>785</v>
      </c>
      <c r="I209" s="25" t="n">
        <f aca="false">SUMPRODUCT(MAX(ABS($L$212:$L$240)))</f>
        <v>0</v>
      </c>
    </row>
    <row r="211" customFormat="false" ht="36" hidden="false" customHeight="true" outlineLevel="0" collapsed="false">
      <c r="A211" s="27" t="s">
        <v>786</v>
      </c>
      <c r="B211" s="27" t="s">
        <v>396</v>
      </c>
      <c r="C211" s="27" t="s">
        <v>787</v>
      </c>
      <c r="D211" s="27" t="s">
        <v>788</v>
      </c>
      <c r="E211" s="27" t="s">
        <v>789</v>
      </c>
      <c r="F211" s="27" t="s">
        <v>790</v>
      </c>
      <c r="G211" s="27" t="s">
        <v>791</v>
      </c>
      <c r="H211" s="27" t="s">
        <v>792</v>
      </c>
      <c r="I211" s="27" t="s">
        <v>793</v>
      </c>
      <c r="J211" s="27" t="s">
        <v>794</v>
      </c>
      <c r="K211" s="27" t="s">
        <v>795</v>
      </c>
      <c r="L211" s="27" t="s">
        <v>796</v>
      </c>
      <c r="M211" s="27" t="s">
        <v>797</v>
      </c>
      <c r="N211" s="27" t="s">
        <v>798</v>
      </c>
      <c r="O211" s="27" t="s">
        <v>799</v>
      </c>
      <c r="P211" s="27" t="s">
        <v>800</v>
      </c>
    </row>
    <row r="212" customFormat="false" ht="15" hidden="false" customHeight="false" outlineLevel="0" collapsed="false">
      <c r="A212" s="22" t="n">
        <v>0</v>
      </c>
      <c r="B212" s="23" t="n">
        <v>45679</v>
      </c>
      <c r="C212" s="28"/>
      <c r="D212" s="28" t="n">
        <v>0</v>
      </c>
      <c r="E212" s="28" t="n">
        <v>0</v>
      </c>
      <c r="F212" s="28" t="n">
        <v>0</v>
      </c>
      <c r="G212" s="28" t="n">
        <v>1876684264</v>
      </c>
      <c r="H212" s="25" t="n">
        <f aca="false">G212</f>
        <v>1876684264</v>
      </c>
      <c r="I212" s="28" t="n">
        <v>0</v>
      </c>
      <c r="J212" s="25" t="n">
        <f aca="false">H212</f>
        <v>1876684264</v>
      </c>
      <c r="K212" s="25" t="n">
        <f aca="false">D212-I212</f>
        <v>0</v>
      </c>
      <c r="L212" s="25" t="n">
        <f aca="false">G212-J212</f>
        <v>0</v>
      </c>
      <c r="M212" s="25" t="n">
        <f aca="false">-$C$204</f>
        <v>-1876684264</v>
      </c>
      <c r="N212" s="49" t="n">
        <f aca="false">$C$207</f>
        <v>0.0273627142719182</v>
      </c>
      <c r="O212" s="25" t="n">
        <f aca="false">IF(AND(B212&gt;=DATE(2026,1,1),B212&lt;=Resumen!$C$5),1,0)</f>
        <v>0</v>
      </c>
      <c r="P212" s="25" t="n">
        <f aca="false">IF(AND(B212&gt;Resumen!$C$5,B212&lt;=DATE(2027,7,31)),1,0)</f>
        <v>0</v>
      </c>
    </row>
    <row r="213" customFormat="false" ht="15" hidden="false" customHeight="false" outlineLevel="0" collapsed="false">
      <c r="A213" s="22" t="n">
        <v>1</v>
      </c>
      <c r="B213" s="23" t="n">
        <v>45769</v>
      </c>
      <c r="C213" s="28" t="n">
        <v>1876684264</v>
      </c>
      <c r="D213" s="28" t="n">
        <v>51351175.294437</v>
      </c>
      <c r="E213" s="28" t="n">
        <v>-1093721.44869113</v>
      </c>
      <c r="F213" s="28" t="n">
        <v>50257453.8457459</v>
      </c>
      <c r="G213" s="28" t="n">
        <v>1877777985.44869</v>
      </c>
      <c r="H213" s="25" t="n">
        <f aca="false">J212</f>
        <v>1876684264</v>
      </c>
      <c r="I213" s="25" t="n">
        <f aca="false">H213*N213</f>
        <v>51351175.294437</v>
      </c>
      <c r="J213" s="25" t="n">
        <f aca="false">H213+I213-F213</f>
        <v>1877777985.44869</v>
      </c>
      <c r="K213" s="25" t="n">
        <f aca="false">D213-I213</f>
        <v>0</v>
      </c>
      <c r="L213" s="25" t="n">
        <f aca="false">G213-J213</f>
        <v>0</v>
      </c>
      <c r="M213" s="25" t="n">
        <f aca="false">F213</f>
        <v>50257453.8457459</v>
      </c>
      <c r="N213" s="49" t="n">
        <f aca="false">$C$207</f>
        <v>0.0273627142719182</v>
      </c>
      <c r="O213" s="25" t="n">
        <f aca="false">IF(AND(B213&gt;=DATE(2026,1,1),B213&lt;=Resumen!$C$5),1,0)</f>
        <v>0</v>
      </c>
      <c r="P213" s="25" t="n">
        <f aca="false">IF(AND(B213&gt;Resumen!$C$5,B213&lt;=DATE(2027,7,31)),1,0)</f>
        <v>0</v>
      </c>
    </row>
    <row r="214" customFormat="false" ht="15" hidden="false" customHeight="false" outlineLevel="0" collapsed="false">
      <c r="A214" s="22" t="n">
        <v>2</v>
      </c>
      <c r="B214" s="23" t="n">
        <v>45860</v>
      </c>
      <c r="C214" s="28" t="n">
        <v>1877777985.44869</v>
      </c>
      <c r="D214" s="28" t="n">
        <v>51381102.4819306</v>
      </c>
      <c r="E214" s="28" t="n">
        <v>-1123648.63618493</v>
      </c>
      <c r="F214" s="28" t="n">
        <v>50257453.8457457</v>
      </c>
      <c r="G214" s="28" t="n">
        <v>1878901634.08488</v>
      </c>
      <c r="H214" s="25" t="n">
        <f aca="false">J213</f>
        <v>1877777985.44869</v>
      </c>
      <c r="I214" s="25" t="n">
        <f aca="false">H214*N214</f>
        <v>51381102.4819306</v>
      </c>
      <c r="J214" s="25" t="n">
        <f aca="false">H214+I214-F214</f>
        <v>1878901634.08488</v>
      </c>
      <c r="K214" s="25" t="n">
        <f aca="false">D214-I214</f>
        <v>0</v>
      </c>
      <c r="L214" s="25" t="n">
        <f aca="false">G214-J214</f>
        <v>0</v>
      </c>
      <c r="M214" s="25" t="n">
        <f aca="false">F214</f>
        <v>50257453.8457457</v>
      </c>
      <c r="N214" s="49" t="n">
        <f aca="false">$C$207</f>
        <v>0.0273627142719182</v>
      </c>
      <c r="O214" s="25" t="n">
        <f aca="false">IF(AND(B214&gt;=DATE(2026,1,1),B214&lt;=Resumen!$C$5),1,0)</f>
        <v>0</v>
      </c>
      <c r="P214" s="25" t="n">
        <f aca="false">IF(AND(B214&gt;Resumen!$C$5,B214&lt;=DATE(2027,7,31)),1,0)</f>
        <v>0</v>
      </c>
    </row>
    <row r="215" customFormat="false" ht="15" hidden="false" customHeight="false" outlineLevel="0" collapsed="false">
      <c r="A215" s="22" t="n">
        <v>3</v>
      </c>
      <c r="B215" s="23" t="n">
        <v>45952</v>
      </c>
      <c r="C215" s="28" t="n">
        <v>1878901634.08488</v>
      </c>
      <c r="D215" s="28" t="n">
        <v>51411848.5585046</v>
      </c>
      <c r="E215" s="28" t="n">
        <v>-1154394.71275878</v>
      </c>
      <c r="F215" s="28" t="n">
        <v>50257453.8457458</v>
      </c>
      <c r="G215" s="28" t="n">
        <v>1880056028.79764</v>
      </c>
      <c r="H215" s="25" t="n">
        <f aca="false">J214</f>
        <v>1878901634.08488</v>
      </c>
      <c r="I215" s="25" t="n">
        <f aca="false">H215*N215</f>
        <v>51411848.5585046</v>
      </c>
      <c r="J215" s="25" t="n">
        <f aca="false">H215+I215-F215</f>
        <v>1880056028.79763</v>
      </c>
      <c r="K215" s="25" t="n">
        <f aca="false">D215-I215</f>
        <v>0</v>
      </c>
      <c r="L215" s="25" t="n">
        <f aca="false">G215-J215</f>
        <v>0</v>
      </c>
      <c r="M215" s="25" t="n">
        <f aca="false">F215</f>
        <v>50257453.8457458</v>
      </c>
      <c r="N215" s="49" t="n">
        <f aca="false">$C$207</f>
        <v>0.0273627142719182</v>
      </c>
      <c r="O215" s="25" t="n">
        <f aca="false">IF(AND(B215&gt;=DATE(2026,1,1),B215&lt;=Resumen!$C$5),1,0)</f>
        <v>0</v>
      </c>
      <c r="P215" s="25" t="n">
        <f aca="false">IF(AND(B215&gt;Resumen!$C$5,B215&lt;=DATE(2027,7,31)),1,0)</f>
        <v>0</v>
      </c>
    </row>
    <row r="216" customFormat="false" ht="15" hidden="false" customHeight="false" outlineLevel="0" collapsed="false">
      <c r="A216" s="22" t="n">
        <v>4</v>
      </c>
      <c r="B216" s="23" t="n">
        <v>46044</v>
      </c>
      <c r="C216" s="28" t="n">
        <v>1880056028.79764</v>
      </c>
      <c r="D216" s="28" t="n">
        <v>51443435.9311868</v>
      </c>
      <c r="E216" s="28" t="n">
        <v>-1185982.08544111</v>
      </c>
      <c r="F216" s="28" t="n">
        <v>50257453.8457457</v>
      </c>
      <c r="G216" s="28" t="n">
        <v>1881242010.88308</v>
      </c>
      <c r="H216" s="25" t="n">
        <f aca="false">J215</f>
        <v>1880056028.79763</v>
      </c>
      <c r="I216" s="25" t="n">
        <f aca="false">H216*N216</f>
        <v>51443435.9311868</v>
      </c>
      <c r="J216" s="25" t="n">
        <f aca="false">H216+I216-F216</f>
        <v>1881242010.88308</v>
      </c>
      <c r="K216" s="25" t="n">
        <f aca="false">D216-I216</f>
        <v>0</v>
      </c>
      <c r="L216" s="25" t="n">
        <f aca="false">G216-J216</f>
        <v>0</v>
      </c>
      <c r="M216" s="25" t="n">
        <f aca="false">F216</f>
        <v>50257453.8457457</v>
      </c>
      <c r="N216" s="49" t="n">
        <f aca="false">$C$207</f>
        <v>0.0273627142719182</v>
      </c>
      <c r="O216" s="25" t="n">
        <f aca="false">IF(AND(B216&gt;=DATE(2026,1,1),B216&lt;=Resumen!$C$5),1,0)</f>
        <v>1</v>
      </c>
      <c r="P216" s="25" t="n">
        <f aca="false">IF(AND(B216&gt;Resumen!$C$5,B216&lt;=DATE(2027,7,31)),1,0)</f>
        <v>0</v>
      </c>
    </row>
    <row r="217" customFormat="false" ht="15" hidden="false" customHeight="false" outlineLevel="0" collapsed="false">
      <c r="A217" s="22" t="n">
        <v>5</v>
      </c>
      <c r="B217" s="23" t="n">
        <v>46134</v>
      </c>
      <c r="C217" s="28" t="n">
        <v>1881242010.88308</v>
      </c>
      <c r="D217" s="28" t="n">
        <v>51475887.6201224</v>
      </c>
      <c r="E217" s="28" t="n">
        <v>-1218433.77437663</v>
      </c>
      <c r="F217" s="28" t="n">
        <v>50257453.8457457</v>
      </c>
      <c r="G217" s="28" t="n">
        <v>1882460444.65745</v>
      </c>
      <c r="H217" s="25" t="n">
        <f aca="false">J216</f>
        <v>1881242010.88308</v>
      </c>
      <c r="I217" s="25" t="n">
        <f aca="false">H217*N217</f>
        <v>51475887.6201224</v>
      </c>
      <c r="J217" s="25" t="n">
        <f aca="false">H217+I217-F217</f>
        <v>1882460444.65745</v>
      </c>
      <c r="K217" s="25" t="n">
        <f aca="false">D217-I217</f>
        <v>0</v>
      </c>
      <c r="L217" s="25" t="n">
        <f aca="false">G217-J217</f>
        <v>0</v>
      </c>
      <c r="M217" s="25" t="n">
        <f aca="false">F217</f>
        <v>50257453.8457457</v>
      </c>
      <c r="N217" s="49" t="n">
        <f aca="false">$C$207</f>
        <v>0.0273627142719182</v>
      </c>
      <c r="O217" s="25" t="n">
        <f aca="false">IF(AND(B217&gt;=DATE(2026,1,1),B217&lt;=Resumen!$C$5),1,0)</f>
        <v>1</v>
      </c>
      <c r="P217" s="25" t="n">
        <f aca="false">IF(AND(B217&gt;Resumen!$C$5,B217&lt;=DATE(2027,7,31)),1,0)</f>
        <v>0</v>
      </c>
    </row>
    <row r="218" customFormat="false" ht="15" hidden="false" customHeight="false" outlineLevel="0" collapsed="false">
      <c r="A218" s="22" t="n">
        <v>6</v>
      </c>
      <c r="B218" s="23" t="n">
        <v>46225</v>
      </c>
      <c r="C218" s="28" t="n">
        <v>1882460444.65745</v>
      </c>
      <c r="D218" s="28" t="n">
        <v>51509227.2753499</v>
      </c>
      <c r="E218" s="28" t="n">
        <v>-1251773.42960405</v>
      </c>
      <c r="F218" s="28" t="n">
        <v>50257453.8457458</v>
      </c>
      <c r="G218" s="28" t="n">
        <v>1883712218.08706</v>
      </c>
      <c r="H218" s="25" t="n">
        <f aca="false">J217</f>
        <v>1882460444.65745</v>
      </c>
      <c r="I218" s="25" t="n">
        <f aca="false">H218*N218</f>
        <v>51509227.2753499</v>
      </c>
      <c r="J218" s="25" t="n">
        <f aca="false">H218+I218-F218</f>
        <v>1883712218.08706</v>
      </c>
      <c r="K218" s="25" t="n">
        <f aca="false">D218-I218</f>
        <v>0</v>
      </c>
      <c r="L218" s="25" t="n">
        <f aca="false">G218-J218</f>
        <v>0</v>
      </c>
      <c r="M218" s="25" t="n">
        <f aca="false">F218</f>
        <v>50257453.8457458</v>
      </c>
      <c r="N218" s="49" t="n">
        <f aca="false">$C$207</f>
        <v>0.0273627142719182</v>
      </c>
      <c r="O218" s="25" t="n">
        <f aca="false">IF(AND(B218&gt;=DATE(2026,1,1),B218&lt;=Resumen!$C$5),1,0)</f>
        <v>1</v>
      </c>
      <c r="P218" s="25" t="n">
        <f aca="false">IF(AND(B218&gt;Resumen!$C$5,B218&lt;=DATE(2027,7,31)),1,0)</f>
        <v>0</v>
      </c>
    </row>
    <row r="219" customFormat="false" ht="15" hidden="false" customHeight="false" outlineLevel="0" collapsed="false">
      <c r="A219" s="22" t="n">
        <v>7</v>
      </c>
      <c r="B219" s="23" t="n">
        <v>46317</v>
      </c>
      <c r="C219" s="28" t="n">
        <v>1883712218.08706</v>
      </c>
      <c r="D219" s="28" t="n">
        <v>51543479.1940373</v>
      </c>
      <c r="E219" s="28" t="n">
        <v>-1286025.34829164</v>
      </c>
      <c r="F219" s="28" t="n">
        <v>50257453.8457457</v>
      </c>
      <c r="G219" s="28" t="n">
        <v>1884998243.43535</v>
      </c>
      <c r="H219" s="25" t="n">
        <f aca="false">J218</f>
        <v>1883712218.08706</v>
      </c>
      <c r="I219" s="25" t="n">
        <f aca="false">H219*N219</f>
        <v>51543479.1940373</v>
      </c>
      <c r="J219" s="25" t="n">
        <f aca="false">H219+I219-F219</f>
        <v>1884998243.43535</v>
      </c>
      <c r="K219" s="25" t="n">
        <f aca="false">D219-I219</f>
        <v>0</v>
      </c>
      <c r="L219" s="25" t="n">
        <f aca="false">G219-J219</f>
        <v>0</v>
      </c>
      <c r="M219" s="25" t="n">
        <f aca="false">F219</f>
        <v>50257453.8457457</v>
      </c>
      <c r="N219" s="49" t="n">
        <f aca="false">$C$207</f>
        <v>0.0273627142719182</v>
      </c>
      <c r="O219" s="25" t="n">
        <f aca="false">IF(AND(B219&gt;=DATE(2026,1,1),B219&lt;=Resumen!$C$5),1,0)</f>
        <v>0</v>
      </c>
      <c r="P219" s="25" t="n">
        <f aca="false">IF(AND(B219&gt;Resumen!$C$5,B219&lt;=DATE(2027,7,31)),1,0)</f>
        <v>1</v>
      </c>
    </row>
    <row r="220" customFormat="false" ht="15" hidden="false" customHeight="false" outlineLevel="0" collapsed="false">
      <c r="A220" s="22" t="n">
        <v>8</v>
      </c>
      <c r="B220" s="23" t="n">
        <v>46409</v>
      </c>
      <c r="C220" s="28" t="n">
        <v>1884998243.43535</v>
      </c>
      <c r="D220" s="28" t="n">
        <v>51578668.3381891</v>
      </c>
      <c r="E220" s="28" t="n">
        <v>-1321214.49244332</v>
      </c>
      <c r="F220" s="28" t="n">
        <v>50257453.8457458</v>
      </c>
      <c r="G220" s="28" t="n">
        <v>1886319457.92779</v>
      </c>
      <c r="H220" s="25" t="n">
        <f aca="false">J219</f>
        <v>1884998243.43535</v>
      </c>
      <c r="I220" s="25" t="n">
        <f aca="false">H220*N220</f>
        <v>51578668.3381891</v>
      </c>
      <c r="J220" s="25" t="n">
        <f aca="false">H220+I220-F220</f>
        <v>1886319457.92779</v>
      </c>
      <c r="K220" s="25" t="n">
        <f aca="false">D220-I220</f>
        <v>0</v>
      </c>
      <c r="L220" s="25" t="n">
        <f aca="false">G220-J220</f>
        <v>0</v>
      </c>
      <c r="M220" s="25" t="n">
        <f aca="false">F220</f>
        <v>50257453.8457458</v>
      </c>
      <c r="N220" s="49" t="n">
        <f aca="false">$C$207</f>
        <v>0.0273627142719182</v>
      </c>
      <c r="O220" s="25" t="n">
        <f aca="false">IF(AND(B220&gt;=DATE(2026,1,1),B220&lt;=Resumen!$C$5),1,0)</f>
        <v>0</v>
      </c>
      <c r="P220" s="25" t="n">
        <f aca="false">IF(AND(B220&gt;Resumen!$C$5,B220&lt;=DATE(2027,7,31)),1,0)</f>
        <v>1</v>
      </c>
    </row>
    <row r="221" customFormat="false" ht="15" hidden="false" customHeight="false" outlineLevel="0" collapsed="false">
      <c r="A221" s="22" t="n">
        <v>9</v>
      </c>
      <c r="B221" s="23" t="n">
        <v>46499</v>
      </c>
      <c r="C221" s="28" t="n">
        <v>1886319457.92779</v>
      </c>
      <c r="D221" s="28" t="n">
        <v>51614820.3528377</v>
      </c>
      <c r="E221" s="28" t="n">
        <v>-1357366.507092</v>
      </c>
      <c r="F221" s="28" t="n">
        <v>50257453.8457457</v>
      </c>
      <c r="G221" s="28" t="n">
        <v>1887676824.43488</v>
      </c>
      <c r="H221" s="25" t="n">
        <f aca="false">J220</f>
        <v>1886319457.92779</v>
      </c>
      <c r="I221" s="25" t="n">
        <f aca="false">H221*N221</f>
        <v>51614820.3528377</v>
      </c>
      <c r="J221" s="25" t="n">
        <f aca="false">H221+I221-F221</f>
        <v>1887676824.43488</v>
      </c>
      <c r="K221" s="25" t="n">
        <f aca="false">D221-I221</f>
        <v>0</v>
      </c>
      <c r="L221" s="25" t="n">
        <f aca="false">G221-J221</f>
        <v>0</v>
      </c>
      <c r="M221" s="25" t="n">
        <f aca="false">F221</f>
        <v>50257453.8457457</v>
      </c>
      <c r="N221" s="49" t="n">
        <f aca="false">$C$207</f>
        <v>0.0273627142719182</v>
      </c>
      <c r="O221" s="25" t="n">
        <f aca="false">IF(AND(B221&gt;=DATE(2026,1,1),B221&lt;=Resumen!$C$5),1,0)</f>
        <v>0</v>
      </c>
      <c r="P221" s="25" t="n">
        <f aca="false">IF(AND(B221&gt;Resumen!$C$5,B221&lt;=DATE(2027,7,31)),1,0)</f>
        <v>1</v>
      </c>
    </row>
    <row r="222" customFormat="false" ht="15" hidden="false" customHeight="false" outlineLevel="0" collapsed="false">
      <c r="A222" s="22" t="n">
        <v>10</v>
      </c>
      <c r="B222" s="23" t="n">
        <v>46590</v>
      </c>
      <c r="C222" s="28" t="n">
        <v>1887676824.43488</v>
      </c>
      <c r="D222" s="28" t="n">
        <v>51651961.5847336</v>
      </c>
      <c r="E222" s="28" t="n">
        <v>-1394507.73898768</v>
      </c>
      <c r="F222" s="28" t="n">
        <v>50257453.8457459</v>
      </c>
      <c r="G222" s="28" t="n">
        <v>1889071332.17387</v>
      </c>
      <c r="H222" s="25" t="n">
        <f aca="false">J221</f>
        <v>1887676824.43488</v>
      </c>
      <c r="I222" s="25" t="n">
        <f aca="false">H222*N222</f>
        <v>51651961.5847335</v>
      </c>
      <c r="J222" s="25" t="n">
        <f aca="false">H222+I222-F222</f>
        <v>1889071332.17387</v>
      </c>
      <c r="K222" s="25" t="n">
        <f aca="false">D222-I222</f>
        <v>0</v>
      </c>
      <c r="L222" s="25" t="n">
        <f aca="false">G222-J222</f>
        <v>0</v>
      </c>
      <c r="M222" s="25" t="n">
        <f aca="false">F222</f>
        <v>50257453.8457459</v>
      </c>
      <c r="N222" s="49" t="n">
        <f aca="false">$C$207</f>
        <v>0.0273627142719182</v>
      </c>
      <c r="O222" s="25" t="n">
        <f aca="false">IF(AND(B222&gt;=DATE(2026,1,1),B222&lt;=Resumen!$C$5),1,0)</f>
        <v>0</v>
      </c>
      <c r="P222" s="25" t="n">
        <f aca="false">IF(AND(B222&gt;Resumen!$C$5,B222&lt;=DATE(2027,7,31)),1,0)</f>
        <v>1</v>
      </c>
    </row>
    <row r="223" customFormat="false" ht="15" hidden="false" customHeight="false" outlineLevel="0" collapsed="false">
      <c r="A223" s="22" t="n">
        <v>11</v>
      </c>
      <c r="B223" s="23" t="n">
        <v>46682</v>
      </c>
      <c r="C223" s="28" t="n">
        <v>1889071332.17387</v>
      </c>
      <c r="D223" s="28" t="n">
        <v>51690119.1015455</v>
      </c>
      <c r="E223" s="28" t="n">
        <v>-1432665.25579953</v>
      </c>
      <c r="F223" s="28" t="n">
        <v>50257453.8457459</v>
      </c>
      <c r="G223" s="28" t="n">
        <v>1890503997.42967</v>
      </c>
      <c r="H223" s="25" t="n">
        <f aca="false">J222</f>
        <v>1889071332.17387</v>
      </c>
      <c r="I223" s="25" t="n">
        <f aca="false">H223*N223</f>
        <v>51690119.1015454</v>
      </c>
      <c r="J223" s="25" t="n">
        <f aca="false">H223+I223-F223</f>
        <v>1890503997.42967</v>
      </c>
      <c r="K223" s="25" t="n">
        <f aca="false">D223-I223</f>
        <v>0</v>
      </c>
      <c r="L223" s="25" t="n">
        <f aca="false">G223-J223</f>
        <v>0</v>
      </c>
      <c r="M223" s="25" t="n">
        <f aca="false">F223</f>
        <v>50257453.8457459</v>
      </c>
      <c r="N223" s="49" t="n">
        <f aca="false">$C$207</f>
        <v>0.0273627142719182</v>
      </c>
      <c r="O223" s="25" t="n">
        <f aca="false">IF(AND(B223&gt;=DATE(2026,1,1),B223&lt;=Resumen!$C$5),1,0)</f>
        <v>0</v>
      </c>
      <c r="P223" s="25" t="n">
        <f aca="false">IF(AND(B223&gt;Resumen!$C$5,B223&lt;=DATE(2027,7,31)),1,0)</f>
        <v>0</v>
      </c>
    </row>
    <row r="224" customFormat="false" ht="15" hidden="false" customHeight="false" outlineLevel="0" collapsed="false">
      <c r="A224" s="22" t="n">
        <v>12</v>
      </c>
      <c r="B224" s="23" t="n">
        <v>46774</v>
      </c>
      <c r="C224" s="28" t="n">
        <v>1890503997.42967</v>
      </c>
      <c r="D224" s="28" t="n">
        <v>51729320.7115872</v>
      </c>
      <c r="E224" s="28" t="n">
        <v>-1471866.86584139</v>
      </c>
      <c r="F224" s="28" t="n">
        <v>50257453.8457458</v>
      </c>
      <c r="G224" s="28" t="n">
        <v>1891975864.29551</v>
      </c>
      <c r="H224" s="25" t="n">
        <f aca="false">J223</f>
        <v>1890503997.42967</v>
      </c>
      <c r="I224" s="25" t="n">
        <f aca="false">H224*N224</f>
        <v>51729320.7115872</v>
      </c>
      <c r="J224" s="25" t="n">
        <f aca="false">H224+I224-F224</f>
        <v>1891975864.29551</v>
      </c>
      <c r="K224" s="25" t="n">
        <f aca="false">D224-I224</f>
        <v>0</v>
      </c>
      <c r="L224" s="25" t="n">
        <f aca="false">G224-J224</f>
        <v>0</v>
      </c>
      <c r="M224" s="25" t="n">
        <f aca="false">F224</f>
        <v>50257453.8457458</v>
      </c>
      <c r="N224" s="49" t="n">
        <f aca="false">$C$207</f>
        <v>0.0273627142719182</v>
      </c>
      <c r="O224" s="25" t="n">
        <f aca="false">IF(AND(B224&gt;=DATE(2026,1,1),B224&lt;=Resumen!$C$5),1,0)</f>
        <v>0</v>
      </c>
      <c r="P224" s="25" t="n">
        <f aca="false">IF(AND(B224&gt;Resumen!$C$5,B224&lt;=DATE(2027,7,31)),1,0)</f>
        <v>0</v>
      </c>
    </row>
    <row r="225" customFormat="false" ht="15" hidden="false" customHeight="false" outlineLevel="0" collapsed="false">
      <c r="A225" s="22" t="n">
        <v>13</v>
      </c>
      <c r="B225" s="23" t="n">
        <v>46865</v>
      </c>
      <c r="C225" s="28" t="n">
        <v>1891975864.29551</v>
      </c>
      <c r="D225" s="28" t="n">
        <v>51769594.9840835</v>
      </c>
      <c r="E225" s="28" t="n">
        <v>94881238.0159166</v>
      </c>
      <c r="F225" s="28" t="n">
        <v>146650833</v>
      </c>
      <c r="G225" s="28" t="n">
        <v>1797094626.2796</v>
      </c>
      <c r="H225" s="25" t="n">
        <f aca="false">J224</f>
        <v>1891975864.29551</v>
      </c>
      <c r="I225" s="25" t="n">
        <f aca="false">H225*N225</f>
        <v>51769594.9840835</v>
      </c>
      <c r="J225" s="25" t="n">
        <f aca="false">H225+I225-F225</f>
        <v>1797094626.2796</v>
      </c>
      <c r="K225" s="25" t="n">
        <f aca="false">D225-I225</f>
        <v>0</v>
      </c>
      <c r="L225" s="25" t="n">
        <f aca="false">G225-J225</f>
        <v>0</v>
      </c>
      <c r="M225" s="25" t="n">
        <f aca="false">F225</f>
        <v>146650833</v>
      </c>
      <c r="N225" s="49" t="n">
        <f aca="false">$C$207</f>
        <v>0.0273627142719182</v>
      </c>
      <c r="O225" s="25" t="n">
        <f aca="false">IF(AND(B225&gt;=DATE(2026,1,1),B225&lt;=Resumen!$C$5),1,0)</f>
        <v>0</v>
      </c>
      <c r="P225" s="25" t="n">
        <f aca="false">IF(AND(B225&gt;Resumen!$C$5,B225&lt;=DATE(2027,7,31)),1,0)</f>
        <v>0</v>
      </c>
    </row>
    <row r="226" customFormat="false" ht="15" hidden="false" customHeight="false" outlineLevel="0" collapsed="false">
      <c r="A226" s="22" t="n">
        <v>14</v>
      </c>
      <c r="B226" s="23" t="n">
        <v>46956</v>
      </c>
      <c r="C226" s="28" t="n">
        <v>1797094626.2796</v>
      </c>
      <c r="D226" s="28" t="n">
        <v>49173386.7784881</v>
      </c>
      <c r="E226" s="28" t="n">
        <v>97477446.2215118</v>
      </c>
      <c r="F226" s="28" t="n">
        <v>146650833</v>
      </c>
      <c r="G226" s="28" t="n">
        <v>1699617180.05808</v>
      </c>
      <c r="H226" s="25" t="n">
        <f aca="false">J225</f>
        <v>1797094626.2796</v>
      </c>
      <c r="I226" s="25" t="n">
        <f aca="false">H226*N226</f>
        <v>49173386.7784881</v>
      </c>
      <c r="J226" s="25" t="n">
        <f aca="false">H226+I226-F226</f>
        <v>1699617180.05808</v>
      </c>
      <c r="K226" s="25" t="n">
        <f aca="false">D226-I226</f>
        <v>0</v>
      </c>
      <c r="L226" s="25" t="n">
        <f aca="false">G226-J226</f>
        <v>0</v>
      </c>
      <c r="M226" s="25" t="n">
        <f aca="false">F226</f>
        <v>146650833</v>
      </c>
      <c r="N226" s="49" t="n">
        <f aca="false">$C$207</f>
        <v>0.0273627142719182</v>
      </c>
      <c r="O226" s="25" t="n">
        <f aca="false">IF(AND(B226&gt;=DATE(2026,1,1),B226&lt;=Resumen!$C$5),1,0)</f>
        <v>0</v>
      </c>
      <c r="P226" s="25" t="n">
        <f aca="false">IF(AND(B226&gt;Resumen!$C$5,B226&lt;=DATE(2027,7,31)),1,0)</f>
        <v>0</v>
      </c>
    </row>
    <row r="227" customFormat="false" ht="15" hidden="false" customHeight="false" outlineLevel="0" collapsed="false">
      <c r="A227" s="22" t="n">
        <v>15</v>
      </c>
      <c r="B227" s="23" t="n">
        <v>47048</v>
      </c>
      <c r="C227" s="28" t="n">
        <v>1699617180.05808</v>
      </c>
      <c r="D227" s="28" t="n">
        <v>46506139.2695726</v>
      </c>
      <c r="E227" s="28" t="n">
        <v>100144693.730427</v>
      </c>
      <c r="F227" s="28" t="n">
        <v>146650833</v>
      </c>
      <c r="G227" s="28" t="n">
        <v>1599472486.32766</v>
      </c>
      <c r="H227" s="25" t="n">
        <f aca="false">J226</f>
        <v>1699617180.05808</v>
      </c>
      <c r="I227" s="25" t="n">
        <f aca="false">H227*N227</f>
        <v>46506139.2695726</v>
      </c>
      <c r="J227" s="25" t="n">
        <f aca="false">H227+I227-F227</f>
        <v>1599472486.32766</v>
      </c>
      <c r="K227" s="25" t="n">
        <f aca="false">D227-I227</f>
        <v>0</v>
      </c>
      <c r="L227" s="25" t="n">
        <f aca="false">G227-J227</f>
        <v>0</v>
      </c>
      <c r="M227" s="25" t="n">
        <f aca="false">F227</f>
        <v>146650833</v>
      </c>
      <c r="N227" s="49" t="n">
        <f aca="false">$C$207</f>
        <v>0.0273627142719182</v>
      </c>
      <c r="O227" s="25" t="n">
        <f aca="false">IF(AND(B227&gt;=DATE(2026,1,1),B227&lt;=Resumen!$C$5),1,0)</f>
        <v>0</v>
      </c>
      <c r="P227" s="25" t="n">
        <f aca="false">IF(AND(B227&gt;Resumen!$C$5,B227&lt;=DATE(2027,7,31)),1,0)</f>
        <v>0</v>
      </c>
    </row>
    <row r="228" customFormat="false" ht="15" hidden="false" customHeight="false" outlineLevel="0" collapsed="false">
      <c r="A228" s="22" t="n">
        <v>16</v>
      </c>
      <c r="B228" s="23" t="n">
        <v>47140</v>
      </c>
      <c r="C228" s="28" t="n">
        <v>1599472486.32766</v>
      </c>
      <c r="D228" s="28" t="n">
        <v>43765908.6291782</v>
      </c>
      <c r="E228" s="28" t="n">
        <v>102884924.370822</v>
      </c>
      <c r="F228" s="28" t="n">
        <v>146650833</v>
      </c>
      <c r="G228" s="28" t="n">
        <v>1496587561.95684</v>
      </c>
      <c r="H228" s="25" t="n">
        <f aca="false">J227</f>
        <v>1599472486.32766</v>
      </c>
      <c r="I228" s="25" t="n">
        <f aca="false">H228*N228</f>
        <v>43765908.6291782</v>
      </c>
      <c r="J228" s="25" t="n">
        <f aca="false">H228+I228-F228</f>
        <v>1496587561.95683</v>
      </c>
      <c r="K228" s="25" t="n">
        <f aca="false">D228-I228</f>
        <v>0</v>
      </c>
      <c r="L228" s="25" t="n">
        <f aca="false">G228-J228</f>
        <v>0</v>
      </c>
      <c r="M228" s="25" t="n">
        <f aca="false">F228</f>
        <v>146650833</v>
      </c>
      <c r="N228" s="49" t="n">
        <f aca="false">$C$207</f>
        <v>0.0273627142719182</v>
      </c>
      <c r="O228" s="25" t="n">
        <f aca="false">IF(AND(B228&gt;=DATE(2026,1,1),B228&lt;=Resumen!$C$5),1,0)</f>
        <v>0</v>
      </c>
      <c r="P228" s="25" t="n">
        <f aca="false">IF(AND(B228&gt;Resumen!$C$5,B228&lt;=DATE(2027,7,31)),1,0)</f>
        <v>0</v>
      </c>
    </row>
    <row r="229" customFormat="false" ht="15" hidden="false" customHeight="false" outlineLevel="0" collapsed="false">
      <c r="A229" s="22" t="n">
        <v>17</v>
      </c>
      <c r="B229" s="23" t="n">
        <v>47230</v>
      </c>
      <c r="C229" s="28" t="n">
        <v>1496587561.95684</v>
      </c>
      <c r="D229" s="28" t="n">
        <v>40950697.8407315</v>
      </c>
      <c r="E229" s="28" t="n">
        <v>105700135.159269</v>
      </c>
      <c r="F229" s="28" t="n">
        <v>146650833</v>
      </c>
      <c r="G229" s="28" t="n">
        <v>1390887426.79757</v>
      </c>
      <c r="H229" s="25" t="n">
        <f aca="false">J228</f>
        <v>1496587561.95683</v>
      </c>
      <c r="I229" s="25" t="n">
        <f aca="false">H229*N229</f>
        <v>40950697.8407315</v>
      </c>
      <c r="J229" s="25" t="n">
        <f aca="false">H229+I229-F229</f>
        <v>1390887426.79757</v>
      </c>
      <c r="K229" s="25" t="n">
        <f aca="false">D229-I229</f>
        <v>0</v>
      </c>
      <c r="L229" s="25" t="n">
        <f aca="false">G229-J229</f>
        <v>0</v>
      </c>
      <c r="M229" s="25" t="n">
        <f aca="false">F229</f>
        <v>146650833</v>
      </c>
      <c r="N229" s="49" t="n">
        <f aca="false">$C$207</f>
        <v>0.0273627142719182</v>
      </c>
      <c r="O229" s="25" t="n">
        <f aca="false">IF(AND(B229&gt;=DATE(2026,1,1),B229&lt;=Resumen!$C$5),1,0)</f>
        <v>0</v>
      </c>
      <c r="P229" s="25" t="n">
        <f aca="false">IF(AND(B229&gt;Resumen!$C$5,B229&lt;=DATE(2027,7,31)),1,0)</f>
        <v>0</v>
      </c>
    </row>
    <row r="230" customFormat="false" ht="15" hidden="false" customHeight="false" outlineLevel="0" collapsed="false">
      <c r="A230" s="22" t="n">
        <v>18</v>
      </c>
      <c r="B230" s="23" t="n">
        <v>47321</v>
      </c>
      <c r="C230" s="28" t="n">
        <v>1390887426.79757</v>
      </c>
      <c r="D230" s="28" t="n">
        <v>38058455.2438653</v>
      </c>
      <c r="E230" s="28" t="n">
        <v>108592377.756135</v>
      </c>
      <c r="F230" s="28" t="n">
        <v>146650833</v>
      </c>
      <c r="G230" s="28" t="n">
        <v>1282295049.04143</v>
      </c>
      <c r="H230" s="25" t="n">
        <f aca="false">J229</f>
        <v>1390887426.79757</v>
      </c>
      <c r="I230" s="25" t="n">
        <f aca="false">H230*N230</f>
        <v>38058455.2438653</v>
      </c>
      <c r="J230" s="25" t="n">
        <f aca="false">H230+I230-F230</f>
        <v>1282295049.04143</v>
      </c>
      <c r="K230" s="25" t="n">
        <f aca="false">D230-I230</f>
        <v>0</v>
      </c>
      <c r="L230" s="25" t="n">
        <f aca="false">G230-J230</f>
        <v>0</v>
      </c>
      <c r="M230" s="25" t="n">
        <f aca="false">F230</f>
        <v>146650833</v>
      </c>
      <c r="N230" s="49" t="n">
        <f aca="false">$C$207</f>
        <v>0.0273627142719182</v>
      </c>
      <c r="O230" s="25" t="n">
        <f aca="false">IF(AND(B230&gt;=DATE(2026,1,1),B230&lt;=Resumen!$C$5),1,0)</f>
        <v>0</v>
      </c>
      <c r="P230" s="25" t="n">
        <f aca="false">IF(AND(B230&gt;Resumen!$C$5,B230&lt;=DATE(2027,7,31)),1,0)</f>
        <v>0</v>
      </c>
    </row>
    <row r="231" customFormat="false" ht="15" hidden="false" customHeight="false" outlineLevel="0" collapsed="false">
      <c r="A231" s="22" t="n">
        <v>19</v>
      </c>
      <c r="B231" s="23" t="n">
        <v>47413</v>
      </c>
      <c r="C231" s="28" t="n">
        <v>1282295049.04143</v>
      </c>
      <c r="D231" s="28" t="n">
        <v>35087073.039216</v>
      </c>
      <c r="E231" s="28" t="n">
        <v>111563759.960784</v>
      </c>
      <c r="F231" s="28" t="n">
        <v>146650833</v>
      </c>
      <c r="G231" s="28" t="n">
        <v>1170731289.08065</v>
      </c>
      <c r="H231" s="25" t="n">
        <f aca="false">J230</f>
        <v>1282295049.04143</v>
      </c>
      <c r="I231" s="25" t="n">
        <f aca="false">H231*N231</f>
        <v>35087073.039216</v>
      </c>
      <c r="J231" s="25" t="n">
        <f aca="false">H231+I231-F231</f>
        <v>1170731289.08065</v>
      </c>
      <c r="K231" s="25" t="n">
        <f aca="false">D231-I231</f>
        <v>0</v>
      </c>
      <c r="L231" s="25" t="n">
        <f aca="false">G231-J231</f>
        <v>0</v>
      </c>
      <c r="M231" s="25" t="n">
        <f aca="false">F231</f>
        <v>146650833</v>
      </c>
      <c r="N231" s="49" t="n">
        <f aca="false">$C$207</f>
        <v>0.0273627142719182</v>
      </c>
      <c r="O231" s="25" t="n">
        <f aca="false">IF(AND(B231&gt;=DATE(2026,1,1),B231&lt;=Resumen!$C$5),1,0)</f>
        <v>0</v>
      </c>
      <c r="P231" s="25" t="n">
        <f aca="false">IF(AND(B231&gt;Resumen!$C$5,B231&lt;=DATE(2027,7,31)),1,0)</f>
        <v>0</v>
      </c>
    </row>
    <row r="232" customFormat="false" ht="15" hidden="false" customHeight="false" outlineLevel="0" collapsed="false">
      <c r="A232" s="22" t="n">
        <v>20</v>
      </c>
      <c r="B232" s="23" t="n">
        <v>47505</v>
      </c>
      <c r="C232" s="28" t="n">
        <v>1170731289.08065</v>
      </c>
      <c r="D232" s="28" t="n">
        <v>32034385.7523082</v>
      </c>
      <c r="E232" s="28" t="n">
        <v>114616447.247692</v>
      </c>
      <c r="F232" s="28" t="n">
        <v>146650833</v>
      </c>
      <c r="G232" s="28" t="n">
        <v>1056114841.83296</v>
      </c>
      <c r="H232" s="25" t="n">
        <f aca="false">J231</f>
        <v>1170731289.08065</v>
      </c>
      <c r="I232" s="25" t="n">
        <f aca="false">H232*N232</f>
        <v>32034385.7523082</v>
      </c>
      <c r="J232" s="25" t="n">
        <f aca="false">H232+I232-F232</f>
        <v>1056114841.83296</v>
      </c>
      <c r="K232" s="25" t="n">
        <f aca="false">D232-I232</f>
        <v>0</v>
      </c>
      <c r="L232" s="25" t="n">
        <f aca="false">G232-J232</f>
        <v>0</v>
      </c>
      <c r="M232" s="25" t="n">
        <f aca="false">F232</f>
        <v>146650833</v>
      </c>
      <c r="N232" s="49" t="n">
        <f aca="false">$C$207</f>
        <v>0.0273627142719182</v>
      </c>
      <c r="O232" s="25" t="n">
        <f aca="false">IF(AND(B232&gt;=DATE(2026,1,1),B232&lt;=Resumen!$C$5),1,0)</f>
        <v>0</v>
      </c>
      <c r="P232" s="25" t="n">
        <f aca="false">IF(AND(B232&gt;Resumen!$C$5,B232&lt;=DATE(2027,7,31)),1,0)</f>
        <v>0</v>
      </c>
    </row>
    <row r="233" customFormat="false" ht="15" hidden="false" customHeight="false" outlineLevel="0" collapsed="false">
      <c r="A233" s="22" t="n">
        <v>21</v>
      </c>
      <c r="B233" s="23" t="n">
        <v>47595</v>
      </c>
      <c r="C233" s="28" t="n">
        <v>1056114841.83296</v>
      </c>
      <c r="D233" s="28" t="n">
        <v>28898168.6554072</v>
      </c>
      <c r="E233" s="28" t="n">
        <v>117752664.344593</v>
      </c>
      <c r="F233" s="28" t="n">
        <v>146650833</v>
      </c>
      <c r="G233" s="28" t="n">
        <v>938362177.488363</v>
      </c>
      <c r="H233" s="25" t="n">
        <f aca="false">J232</f>
        <v>1056114841.83296</v>
      </c>
      <c r="I233" s="25" t="n">
        <f aca="false">H233*N233</f>
        <v>28898168.6554072</v>
      </c>
      <c r="J233" s="25" t="n">
        <f aca="false">H233+I233-F233</f>
        <v>938362177.488363</v>
      </c>
      <c r="K233" s="25" t="n">
        <f aca="false">D233-I233</f>
        <v>0</v>
      </c>
      <c r="L233" s="25" t="n">
        <f aca="false">G233-J233</f>
        <v>0</v>
      </c>
      <c r="M233" s="25" t="n">
        <f aca="false">F233</f>
        <v>146650833</v>
      </c>
      <c r="N233" s="49" t="n">
        <f aca="false">$C$207</f>
        <v>0.0273627142719182</v>
      </c>
      <c r="O233" s="25" t="n">
        <f aca="false">IF(AND(B233&gt;=DATE(2026,1,1),B233&lt;=Resumen!$C$5),1,0)</f>
        <v>0</v>
      </c>
      <c r="P233" s="25" t="n">
        <f aca="false">IF(AND(B233&gt;Resumen!$C$5,B233&lt;=DATE(2027,7,31)),1,0)</f>
        <v>0</v>
      </c>
    </row>
    <row r="234" customFormat="false" ht="15" hidden="false" customHeight="false" outlineLevel="0" collapsed="false">
      <c r="A234" s="22" t="n">
        <v>22</v>
      </c>
      <c r="B234" s="23" t="n">
        <v>47686</v>
      </c>
      <c r="C234" s="28" t="n">
        <v>938362177.488363</v>
      </c>
      <c r="D234" s="28" t="n">
        <v>25676136.146189</v>
      </c>
      <c r="E234" s="28" t="n">
        <v>120974696.853811</v>
      </c>
      <c r="F234" s="28" t="n">
        <v>146650833</v>
      </c>
      <c r="G234" s="28" t="n">
        <v>817387480.634552</v>
      </c>
      <c r="H234" s="25" t="n">
        <f aca="false">J233</f>
        <v>938362177.488363</v>
      </c>
      <c r="I234" s="25" t="n">
        <f aca="false">H234*N234</f>
        <v>25676136.146189</v>
      </c>
      <c r="J234" s="25" t="n">
        <f aca="false">H234+I234-F234</f>
        <v>817387480.634552</v>
      </c>
      <c r="K234" s="25" t="n">
        <f aca="false">D234-I234</f>
        <v>0</v>
      </c>
      <c r="L234" s="25" t="n">
        <f aca="false">G234-J234</f>
        <v>0</v>
      </c>
      <c r="M234" s="25" t="n">
        <f aca="false">F234</f>
        <v>146650833</v>
      </c>
      <c r="N234" s="49" t="n">
        <f aca="false">$C$207</f>
        <v>0.0273627142719182</v>
      </c>
      <c r="O234" s="25" t="n">
        <f aca="false">IF(AND(B234&gt;=DATE(2026,1,1),B234&lt;=Resumen!$C$5),1,0)</f>
        <v>0</v>
      </c>
      <c r="P234" s="25" t="n">
        <f aca="false">IF(AND(B234&gt;Resumen!$C$5,B234&lt;=DATE(2027,7,31)),1,0)</f>
        <v>0</v>
      </c>
    </row>
    <row r="235" customFormat="false" ht="15" hidden="false" customHeight="false" outlineLevel="0" collapsed="false">
      <c r="A235" s="22" t="n">
        <v>23</v>
      </c>
      <c r="B235" s="23" t="n">
        <v>47778</v>
      </c>
      <c r="C235" s="28" t="n">
        <v>817387480.634552</v>
      </c>
      <c r="D235" s="28" t="n">
        <v>22365940.0820463</v>
      </c>
      <c r="E235" s="28" t="n">
        <v>124284892.917954</v>
      </c>
      <c r="F235" s="28" t="n">
        <v>146650833</v>
      </c>
      <c r="G235" s="28" t="n">
        <v>693102587.716598</v>
      </c>
      <c r="H235" s="25" t="n">
        <f aca="false">J234</f>
        <v>817387480.634552</v>
      </c>
      <c r="I235" s="25" t="n">
        <f aca="false">H235*N235</f>
        <v>22365940.0820463</v>
      </c>
      <c r="J235" s="25" t="n">
        <f aca="false">H235+I235-F235</f>
        <v>693102587.716598</v>
      </c>
      <c r="K235" s="25" t="n">
        <f aca="false">D235-I235</f>
        <v>0</v>
      </c>
      <c r="L235" s="25" t="n">
        <f aca="false">G235-J235</f>
        <v>0</v>
      </c>
      <c r="M235" s="25" t="n">
        <f aca="false">F235</f>
        <v>146650833</v>
      </c>
      <c r="N235" s="49" t="n">
        <f aca="false">$C$207</f>
        <v>0.0273627142719182</v>
      </c>
      <c r="O235" s="25" t="n">
        <f aca="false">IF(AND(B235&gt;=DATE(2026,1,1),B235&lt;=Resumen!$C$5),1,0)</f>
        <v>0</v>
      </c>
      <c r="P235" s="25" t="n">
        <f aca="false">IF(AND(B235&gt;Resumen!$C$5,B235&lt;=DATE(2027,7,31)),1,0)</f>
        <v>0</v>
      </c>
    </row>
    <row r="236" customFormat="false" ht="15" hidden="false" customHeight="false" outlineLevel="0" collapsed="false">
      <c r="A236" s="22" t="n">
        <v>24</v>
      </c>
      <c r="B236" s="23" t="n">
        <v>47870</v>
      </c>
      <c r="C236" s="28" t="n">
        <v>693102587.716598</v>
      </c>
      <c r="D236" s="28" t="n">
        <v>18965168.0688164</v>
      </c>
      <c r="E236" s="28" t="n">
        <v>127685664.931184</v>
      </c>
      <c r="F236" s="28" t="n">
        <v>146650833</v>
      </c>
      <c r="G236" s="28" t="n">
        <v>565416922.785415</v>
      </c>
      <c r="H236" s="25" t="n">
        <f aca="false">J235</f>
        <v>693102587.716598</v>
      </c>
      <c r="I236" s="25" t="n">
        <f aca="false">H236*N236</f>
        <v>18965168.0688164</v>
      </c>
      <c r="J236" s="25" t="n">
        <f aca="false">H236+I236-F236</f>
        <v>565416922.785414</v>
      </c>
      <c r="K236" s="25" t="n">
        <f aca="false">D236-I236</f>
        <v>0</v>
      </c>
      <c r="L236" s="25" t="n">
        <f aca="false">G236-J236</f>
        <v>0</v>
      </c>
      <c r="M236" s="25" t="n">
        <f aca="false">F236</f>
        <v>146650833</v>
      </c>
      <c r="N236" s="49" t="n">
        <f aca="false">$C$207</f>
        <v>0.0273627142719182</v>
      </c>
      <c r="O236" s="25" t="n">
        <f aca="false">IF(AND(B236&gt;=DATE(2026,1,1),B236&lt;=Resumen!$C$5),1,0)</f>
        <v>0</v>
      </c>
      <c r="P236" s="25" t="n">
        <f aca="false">IF(AND(B236&gt;Resumen!$C$5,B236&lt;=DATE(2027,7,31)),1,0)</f>
        <v>0</v>
      </c>
    </row>
    <row r="237" customFormat="false" ht="15" hidden="false" customHeight="false" outlineLevel="0" collapsed="false">
      <c r="A237" s="22" t="n">
        <v>25</v>
      </c>
      <c r="B237" s="23" t="n">
        <v>47960</v>
      </c>
      <c r="C237" s="28" t="n">
        <v>565416922.785415</v>
      </c>
      <c r="D237" s="28" t="n">
        <v>15471341.7026845</v>
      </c>
      <c r="E237" s="28" t="n">
        <v>131179491.297316</v>
      </c>
      <c r="F237" s="28" t="n">
        <v>146650833</v>
      </c>
      <c r="G237" s="28" t="n">
        <v>434237431.488099</v>
      </c>
      <c r="H237" s="25" t="n">
        <f aca="false">J236</f>
        <v>565416922.785414</v>
      </c>
      <c r="I237" s="25" t="n">
        <f aca="false">H237*N237</f>
        <v>15471341.7026845</v>
      </c>
      <c r="J237" s="25" t="n">
        <f aca="false">H237+I237-F237</f>
        <v>434237431.488099</v>
      </c>
      <c r="K237" s="25" t="n">
        <f aca="false">D237-I237</f>
        <v>0</v>
      </c>
      <c r="L237" s="25" t="n">
        <f aca="false">G237-J237</f>
        <v>0</v>
      </c>
      <c r="M237" s="25" t="n">
        <f aca="false">F237</f>
        <v>146650833</v>
      </c>
      <c r="N237" s="49" t="n">
        <f aca="false">$C$207</f>
        <v>0.0273627142719182</v>
      </c>
      <c r="O237" s="25" t="n">
        <f aca="false">IF(AND(B237&gt;=DATE(2026,1,1),B237&lt;=Resumen!$C$5),1,0)</f>
        <v>0</v>
      </c>
      <c r="P237" s="25" t="n">
        <f aca="false">IF(AND(B237&gt;Resumen!$C$5,B237&lt;=DATE(2027,7,31)),1,0)</f>
        <v>0</v>
      </c>
    </row>
    <row r="238" customFormat="false" ht="15" hidden="false" customHeight="false" outlineLevel="0" collapsed="false">
      <c r="A238" s="22" t="n">
        <v>26</v>
      </c>
      <c r="B238" s="23" t="n">
        <v>48051</v>
      </c>
      <c r="C238" s="28" t="n">
        <v>434237431.488099</v>
      </c>
      <c r="D238" s="28" t="n">
        <v>11881914.7639805</v>
      </c>
      <c r="E238" s="28" t="n">
        <v>134768918.23602</v>
      </c>
      <c r="F238" s="28" t="n">
        <v>146650833</v>
      </c>
      <c r="G238" s="28" t="n">
        <v>299468513.25208</v>
      </c>
      <c r="H238" s="25" t="n">
        <f aca="false">J237</f>
        <v>434237431.488099</v>
      </c>
      <c r="I238" s="25" t="n">
        <f aca="false">H238*N238</f>
        <v>11881914.7639805</v>
      </c>
      <c r="J238" s="25" t="n">
        <f aca="false">H238+I238-F238</f>
        <v>299468513.252079</v>
      </c>
      <c r="K238" s="25" t="n">
        <f aca="false">D238-I238</f>
        <v>0</v>
      </c>
      <c r="L238" s="25" t="n">
        <f aca="false">G238-J238</f>
        <v>0</v>
      </c>
      <c r="M238" s="25" t="n">
        <f aca="false">F238</f>
        <v>146650833</v>
      </c>
      <c r="N238" s="49" t="n">
        <f aca="false">$C$207</f>
        <v>0.0273627142719182</v>
      </c>
      <c r="O238" s="25" t="n">
        <f aca="false">IF(AND(B238&gt;=DATE(2026,1,1),B238&lt;=Resumen!$C$5),1,0)</f>
        <v>0</v>
      </c>
      <c r="P238" s="25" t="n">
        <f aca="false">IF(AND(B238&gt;Resumen!$C$5,B238&lt;=DATE(2027,7,31)),1,0)</f>
        <v>0</v>
      </c>
    </row>
    <row r="239" customFormat="false" ht="15" hidden="false" customHeight="false" outlineLevel="0" collapsed="false">
      <c r="A239" s="22" t="n">
        <v>27</v>
      </c>
      <c r="B239" s="23" t="n">
        <v>48143</v>
      </c>
      <c r="C239" s="28" t="n">
        <v>299468513.25208</v>
      </c>
      <c r="D239" s="28" t="n">
        <v>8194271.36155279</v>
      </c>
      <c r="E239" s="28" t="n">
        <v>138456561.638447</v>
      </c>
      <c r="F239" s="28" t="n">
        <v>146650833</v>
      </c>
      <c r="G239" s="28" t="n">
        <v>161011951.613632</v>
      </c>
      <c r="H239" s="25" t="n">
        <f aca="false">J238</f>
        <v>299468513.252079</v>
      </c>
      <c r="I239" s="25" t="n">
        <f aca="false">H239*N239</f>
        <v>8194271.36155279</v>
      </c>
      <c r="J239" s="25" t="n">
        <f aca="false">H239+I239-F239</f>
        <v>161011951.613632</v>
      </c>
      <c r="K239" s="25" t="n">
        <f aca="false">D239-I239</f>
        <v>0</v>
      </c>
      <c r="L239" s="25" t="n">
        <f aca="false">G239-J239</f>
        <v>0</v>
      </c>
      <c r="M239" s="25" t="n">
        <f aca="false">F239</f>
        <v>146650833</v>
      </c>
      <c r="N239" s="49" t="n">
        <f aca="false">$C$207</f>
        <v>0.0273627142719182</v>
      </c>
      <c r="O239" s="25" t="n">
        <f aca="false">IF(AND(B239&gt;=DATE(2026,1,1),B239&lt;=Resumen!$C$5),1,0)</f>
        <v>0</v>
      </c>
      <c r="P239" s="25" t="n">
        <f aca="false">IF(AND(B239&gt;Resumen!$C$5,B239&lt;=DATE(2027,7,31)),1,0)</f>
        <v>0</v>
      </c>
    </row>
    <row r="240" customFormat="false" ht="15" hidden="false" customHeight="false" outlineLevel="0" collapsed="false">
      <c r="A240" s="22" t="n">
        <v>28</v>
      </c>
      <c r="B240" s="23" t="n">
        <v>48235</v>
      </c>
      <c r="C240" s="28" t="n">
        <v>161011951.613632</v>
      </c>
      <c r="D240" s="28" t="n">
        <v>4405724.02636773</v>
      </c>
      <c r="E240" s="28" t="n">
        <v>161011951.613632</v>
      </c>
      <c r="F240" s="28" t="n">
        <v>165417675.64</v>
      </c>
      <c r="G240" s="28" t="n">
        <v>0</v>
      </c>
      <c r="H240" s="25" t="n">
        <f aca="false">J239</f>
        <v>161011951.613632</v>
      </c>
      <c r="I240" s="25" t="n">
        <f aca="false">H240*N240</f>
        <v>4405724.02636773</v>
      </c>
      <c r="J240" s="25" t="n">
        <f aca="false">H240+I240-F240</f>
        <v>0</v>
      </c>
      <c r="K240" s="25" t="n">
        <f aca="false">D240-I240</f>
        <v>0</v>
      </c>
      <c r="L240" s="25" t="n">
        <f aca="false">G240-J240</f>
        <v>0</v>
      </c>
      <c r="M240" s="25" t="n">
        <f aca="false">F240</f>
        <v>165417675.64</v>
      </c>
      <c r="N240" s="49" t="n">
        <f aca="false">$C$207</f>
        <v>0.0273627142719182</v>
      </c>
      <c r="O240" s="25" t="n">
        <f aca="false">IF(AND(B240&gt;=DATE(2026,1,1),B240&lt;=Resumen!$C$5),1,0)</f>
        <v>0</v>
      </c>
      <c r="P240" s="25" t="n">
        <f aca="false">IF(AND(B240&gt;Resumen!$C$5,B240&lt;=DATE(2027,7,31)),1,0)</f>
        <v>0</v>
      </c>
    </row>
    <row r="243" customFormat="false" ht="15" hidden="false" customHeight="false" outlineLevel="0" collapsed="false">
      <c r="A243" s="33" t="s">
        <v>812</v>
      </c>
    </row>
    <row r="244" customFormat="false" ht="15" hidden="false" customHeight="false" outlineLevel="0" collapsed="false">
      <c r="A244" s="34" t="s">
        <v>813</v>
      </c>
    </row>
    <row r="245" customFormat="false" ht="15" hidden="false" customHeight="false" outlineLevel="0" collapsed="false">
      <c r="A245" s="19" t="s">
        <v>814</v>
      </c>
    </row>
    <row r="246" customFormat="false" ht="15" hidden="false" customHeight="false" outlineLevel="0" collapsed="false">
      <c r="A246" s="20" t="s">
        <v>815</v>
      </c>
    </row>
    <row r="247" customFormat="false" ht="15" hidden="false" customHeight="false" outlineLevel="0" collapsed="false">
      <c r="A247" s="29" t="s">
        <v>773</v>
      </c>
      <c r="C247" s="22" t="s">
        <v>816</v>
      </c>
      <c r="F247" s="47" t="s">
        <v>775</v>
      </c>
    </row>
    <row r="248" customFormat="false" ht="15" hidden="false" customHeight="false" outlineLevel="0" collapsed="false">
      <c r="A248" s="29" t="s">
        <v>640</v>
      </c>
      <c r="C248" s="28" t="n">
        <v>7500000000</v>
      </c>
      <c r="F248" s="22" t="s">
        <v>776</v>
      </c>
      <c r="I248" s="41" t="n">
        <f aca="false">_xlfn.MAXIFS($B$256:$B$496,$B$256:$B$496,"&lt;="&amp;Resumen!$C$5)</f>
        <v>46224</v>
      </c>
    </row>
    <row r="249" customFormat="false" ht="15" hidden="false" customHeight="false" outlineLevel="0" collapsed="false">
      <c r="A249" s="29" t="s">
        <v>641</v>
      </c>
      <c r="C249" s="23" t="n">
        <v>45372</v>
      </c>
      <c r="F249" s="22" t="s">
        <v>777</v>
      </c>
      <c r="I249" s="25" t="n">
        <f aca="false">SUMIFS($G$256:$G$496,$B$256:$B$496,I248)</f>
        <v>7500000000</v>
      </c>
    </row>
    <row r="250" customFormat="false" ht="15" hidden="false" customHeight="false" outlineLevel="0" collapsed="false">
      <c r="A250" s="29" t="s">
        <v>778</v>
      </c>
      <c r="C250" s="22" t="s">
        <v>817</v>
      </c>
      <c r="F250" s="22" t="s">
        <v>780</v>
      </c>
      <c r="I250" s="25" t="n">
        <f aca="false">SUMIFS($J$256:$J$496,$B$256:$B$496,I248)</f>
        <v>7500000000</v>
      </c>
    </row>
    <row r="251" customFormat="false" ht="15" hidden="false" customHeight="false" outlineLevel="0" collapsed="false">
      <c r="A251" s="29" t="s">
        <v>781</v>
      </c>
      <c r="C251" s="48" t="s">
        <v>818</v>
      </c>
      <c r="F251" s="22" t="s">
        <v>650</v>
      </c>
      <c r="I251" s="25" t="n">
        <f aca="false">SUMIFS($D$256:$D$496,$O$256:$O$496,1)</f>
        <v>639243750</v>
      </c>
    </row>
    <row r="252" customFormat="false" ht="15" hidden="false" customHeight="false" outlineLevel="0" collapsed="false">
      <c r="A252" s="29" t="s">
        <v>782</v>
      </c>
      <c r="C252" s="49" t="str">
        <f aca="false">IFERROR(IRR($M$256:$M$496),"N/A")</f>
        <v>N/A</v>
      </c>
      <c r="F252" s="22" t="s">
        <v>783</v>
      </c>
      <c r="I252" s="25" t="n">
        <f aca="false">SUMIFS($E$256:$E$496,$P$256:$P$496,1)</f>
        <v>0</v>
      </c>
    </row>
    <row r="253" customFormat="false" ht="15" hidden="false" customHeight="false" outlineLevel="0" collapsed="false">
      <c r="A253" s="29" t="s">
        <v>784</v>
      </c>
      <c r="C253" s="50" t="str">
        <f aca="false">IF(ISNUMBER(C252),(1+C252)^12-1,"N/A")</f>
        <v>N/A</v>
      </c>
      <c r="F253" s="22" t="s">
        <v>785</v>
      </c>
      <c r="I253" s="25" t="n">
        <f aca="false">SUMPRODUCT(MAX(ABS($L$256:$L$496)))</f>
        <v>3.57627868652344E-007</v>
      </c>
    </row>
    <row r="255" customFormat="false" ht="36" hidden="false" customHeight="true" outlineLevel="0" collapsed="false">
      <c r="A255" s="27" t="s">
        <v>786</v>
      </c>
      <c r="B255" s="27" t="s">
        <v>396</v>
      </c>
      <c r="C255" s="27" t="s">
        <v>787</v>
      </c>
      <c r="D255" s="27" t="s">
        <v>788</v>
      </c>
      <c r="E255" s="27" t="s">
        <v>789</v>
      </c>
      <c r="F255" s="27" t="s">
        <v>790</v>
      </c>
      <c r="G255" s="27" t="s">
        <v>791</v>
      </c>
      <c r="H255" s="27" t="s">
        <v>792</v>
      </c>
      <c r="I255" s="27" t="s">
        <v>793</v>
      </c>
      <c r="J255" s="27" t="s">
        <v>794</v>
      </c>
      <c r="K255" s="27" t="s">
        <v>795</v>
      </c>
      <c r="L255" s="27" t="s">
        <v>796</v>
      </c>
      <c r="M255" s="27" t="s">
        <v>797</v>
      </c>
      <c r="N255" s="27" t="s">
        <v>798</v>
      </c>
      <c r="O255" s="27" t="s">
        <v>799</v>
      </c>
      <c r="P255" s="27" t="s">
        <v>800</v>
      </c>
    </row>
    <row r="256" customFormat="false" ht="15" hidden="false" customHeight="false" outlineLevel="0" collapsed="false">
      <c r="A256" s="22" t="n">
        <v>0</v>
      </c>
      <c r="B256" s="23" t="n">
        <v>45372</v>
      </c>
      <c r="C256" s="28" t="n">
        <v>7500000000</v>
      </c>
      <c r="D256" s="28" t="n">
        <v>0</v>
      </c>
      <c r="E256" s="28" t="n">
        <v>0</v>
      </c>
      <c r="F256" s="28" t="n">
        <v>0</v>
      </c>
      <c r="G256" s="28" t="n">
        <v>7500000000</v>
      </c>
      <c r="H256" s="25" t="n">
        <f aca="false">C256</f>
        <v>7500000000</v>
      </c>
      <c r="I256" s="25" t="n">
        <f aca="false">H256*N256</f>
        <v>86268750</v>
      </c>
      <c r="J256" s="25" t="n">
        <f aca="false">H256-E256</f>
        <v>7500000000</v>
      </c>
      <c r="K256" s="25" t="n">
        <f aca="false">D256-I256</f>
        <v>-86268750</v>
      </c>
      <c r="L256" s="25" t="n">
        <f aca="false">G256-J256</f>
        <v>0</v>
      </c>
      <c r="M256" s="25" t="n">
        <f aca="false">-$C$248</f>
        <v>-7500000000</v>
      </c>
      <c r="N256" s="48" t="n">
        <v>0.0115025</v>
      </c>
      <c r="O256" s="25" t="n">
        <f aca="false">IF(AND(B256&gt;=DATE(2026,1,1),B256&lt;=Resumen!$C$5),1,0)</f>
        <v>0</v>
      </c>
      <c r="P256" s="25" t="n">
        <f aca="false">IF(AND(B256&gt;Resumen!$C$5,B256&lt;=DATE(2027,7,31)),1,0)</f>
        <v>0</v>
      </c>
    </row>
    <row r="257" customFormat="false" ht="15" hidden="false" customHeight="false" outlineLevel="0" collapsed="false">
      <c r="A257" s="22" t="n">
        <v>1</v>
      </c>
      <c r="B257" s="23" t="n">
        <v>45403</v>
      </c>
      <c r="C257" s="28" t="n">
        <v>7500000000</v>
      </c>
      <c r="D257" s="28" t="n">
        <v>87306250</v>
      </c>
      <c r="E257" s="28" t="n">
        <v>0</v>
      </c>
      <c r="F257" s="28" t="n">
        <v>87306250</v>
      </c>
      <c r="G257" s="28" t="n">
        <v>7500000000</v>
      </c>
      <c r="H257" s="25" t="n">
        <f aca="false">J256</f>
        <v>7500000000</v>
      </c>
      <c r="I257" s="25" t="n">
        <f aca="false">H257*N257</f>
        <v>87306250</v>
      </c>
      <c r="J257" s="25" t="n">
        <f aca="false">H257-E257</f>
        <v>7500000000</v>
      </c>
      <c r="K257" s="25" t="n">
        <f aca="false">D257-I257</f>
        <v>0</v>
      </c>
      <c r="L257" s="25" t="n">
        <f aca="false">G257-J257</f>
        <v>0</v>
      </c>
      <c r="M257" s="25" t="n">
        <f aca="false">F257</f>
        <v>87306250</v>
      </c>
      <c r="N257" s="48" t="n">
        <v>0.0116408333333333</v>
      </c>
      <c r="O257" s="25" t="n">
        <f aca="false">IF(AND(B257&gt;=DATE(2026,1,1),B257&lt;=Resumen!$C$5),1,0)</f>
        <v>0</v>
      </c>
      <c r="P257" s="25" t="n">
        <f aca="false">IF(AND(B257&gt;Resumen!$C$5,B257&lt;=DATE(2027,7,31)),1,0)</f>
        <v>0</v>
      </c>
    </row>
    <row r="258" customFormat="false" ht="15" hidden="false" customHeight="false" outlineLevel="0" collapsed="false">
      <c r="A258" s="22" t="n">
        <v>2</v>
      </c>
      <c r="B258" s="23" t="n">
        <v>45433</v>
      </c>
      <c r="C258" s="28" t="n">
        <v>7500000000</v>
      </c>
      <c r="D258" s="28" t="n">
        <v>85106250</v>
      </c>
      <c r="E258" s="28" t="n">
        <v>0</v>
      </c>
      <c r="F258" s="28" t="n">
        <v>85106250</v>
      </c>
      <c r="G258" s="28" t="n">
        <v>7500000000</v>
      </c>
      <c r="H258" s="25" t="n">
        <f aca="false">J257</f>
        <v>7500000000</v>
      </c>
      <c r="I258" s="25" t="n">
        <f aca="false">H258*N258</f>
        <v>85106250</v>
      </c>
      <c r="J258" s="25" t="n">
        <f aca="false">H258-E258</f>
        <v>7500000000</v>
      </c>
      <c r="K258" s="25" t="n">
        <f aca="false">D258-I258</f>
        <v>0</v>
      </c>
      <c r="L258" s="25" t="n">
        <f aca="false">G258-J258</f>
        <v>0</v>
      </c>
      <c r="M258" s="25" t="n">
        <f aca="false">F258</f>
        <v>85106250</v>
      </c>
      <c r="N258" s="48" t="n">
        <v>0.0113475</v>
      </c>
      <c r="O258" s="25" t="n">
        <f aca="false">IF(AND(B258&gt;=DATE(2026,1,1),B258&lt;=Resumen!$C$5),1,0)</f>
        <v>0</v>
      </c>
      <c r="P258" s="25" t="n">
        <f aca="false">IF(AND(B258&gt;Resumen!$C$5,B258&lt;=DATE(2027,7,31)),1,0)</f>
        <v>0</v>
      </c>
    </row>
    <row r="259" customFormat="false" ht="15" hidden="false" customHeight="false" outlineLevel="0" collapsed="false">
      <c r="A259" s="22" t="n">
        <v>3</v>
      </c>
      <c r="B259" s="23" t="n">
        <v>45464</v>
      </c>
      <c r="C259" s="28" t="n">
        <v>7500000000</v>
      </c>
      <c r="D259" s="28" t="n">
        <v>80593750</v>
      </c>
      <c r="E259" s="28" t="n">
        <v>0</v>
      </c>
      <c r="F259" s="28" t="n">
        <v>80593750</v>
      </c>
      <c r="G259" s="28" t="n">
        <v>7500000000</v>
      </c>
      <c r="H259" s="25" t="n">
        <f aca="false">J258</f>
        <v>7500000000</v>
      </c>
      <c r="I259" s="25" t="n">
        <f aca="false">H259*N259</f>
        <v>80593750</v>
      </c>
      <c r="J259" s="25" t="n">
        <f aca="false">H259-E259</f>
        <v>7500000000</v>
      </c>
      <c r="K259" s="25" t="n">
        <f aca="false">D259-I259</f>
        <v>0</v>
      </c>
      <c r="L259" s="25" t="n">
        <f aca="false">G259-J259</f>
        <v>0</v>
      </c>
      <c r="M259" s="25" t="n">
        <f aca="false">F259</f>
        <v>80593750</v>
      </c>
      <c r="N259" s="48" t="n">
        <v>0.0107458333333333</v>
      </c>
      <c r="O259" s="25" t="n">
        <f aca="false">IF(AND(B259&gt;=DATE(2026,1,1),B259&lt;=Resumen!$C$5),1,0)</f>
        <v>0</v>
      </c>
      <c r="P259" s="25" t="n">
        <f aca="false">IF(AND(B259&gt;Resumen!$C$5,B259&lt;=DATE(2027,7,31)),1,0)</f>
        <v>0</v>
      </c>
    </row>
    <row r="260" customFormat="false" ht="15" hidden="false" customHeight="false" outlineLevel="0" collapsed="false">
      <c r="A260" s="22" t="n">
        <v>4</v>
      </c>
      <c r="B260" s="23" t="n">
        <v>45494</v>
      </c>
      <c r="C260" s="28" t="n">
        <v>7500000000</v>
      </c>
      <c r="D260" s="28" t="n">
        <v>81025000</v>
      </c>
      <c r="E260" s="28" t="n">
        <v>0</v>
      </c>
      <c r="F260" s="28" t="n">
        <v>81025000</v>
      </c>
      <c r="G260" s="28" t="n">
        <v>7500000000</v>
      </c>
      <c r="H260" s="25" t="n">
        <f aca="false">J259</f>
        <v>7500000000</v>
      </c>
      <c r="I260" s="25" t="n">
        <f aca="false">H260*N260</f>
        <v>81025000</v>
      </c>
      <c r="J260" s="25" t="n">
        <f aca="false">H260-E260</f>
        <v>7500000000</v>
      </c>
      <c r="K260" s="25" t="n">
        <f aca="false">D260-I260</f>
        <v>0</v>
      </c>
      <c r="L260" s="25" t="n">
        <f aca="false">G260-J260</f>
        <v>0</v>
      </c>
      <c r="M260" s="25" t="n">
        <f aca="false">F260</f>
        <v>81025000</v>
      </c>
      <c r="N260" s="48" t="n">
        <v>0.0108033333333333</v>
      </c>
      <c r="O260" s="25" t="n">
        <f aca="false">IF(AND(B260&gt;=DATE(2026,1,1),B260&lt;=Resumen!$C$5),1,0)</f>
        <v>0</v>
      </c>
      <c r="P260" s="25" t="n">
        <f aca="false">IF(AND(B260&gt;Resumen!$C$5,B260&lt;=DATE(2027,7,31)),1,0)</f>
        <v>0</v>
      </c>
    </row>
    <row r="261" customFormat="false" ht="15" hidden="false" customHeight="false" outlineLevel="0" collapsed="false">
      <c r="A261" s="22" t="n">
        <v>5</v>
      </c>
      <c r="B261" s="23" t="n">
        <v>45525</v>
      </c>
      <c r="C261" s="28" t="n">
        <v>7500000000</v>
      </c>
      <c r="D261" s="28" t="n">
        <v>78743750</v>
      </c>
      <c r="E261" s="28" t="n">
        <v>0</v>
      </c>
      <c r="F261" s="28" t="n">
        <v>78743750</v>
      </c>
      <c r="G261" s="28" t="n">
        <v>7500000000</v>
      </c>
      <c r="H261" s="25" t="n">
        <f aca="false">J260</f>
        <v>7500000000</v>
      </c>
      <c r="I261" s="25" t="n">
        <f aca="false">H261*N261</f>
        <v>78743750</v>
      </c>
      <c r="J261" s="25" t="n">
        <f aca="false">H261-E261</f>
        <v>7500000000</v>
      </c>
      <c r="K261" s="25" t="n">
        <f aca="false">D261-I261</f>
        <v>0</v>
      </c>
      <c r="L261" s="25" t="n">
        <f aca="false">G261-J261</f>
        <v>0</v>
      </c>
      <c r="M261" s="25" t="n">
        <f aca="false">F261</f>
        <v>78743750</v>
      </c>
      <c r="N261" s="48" t="n">
        <v>0.0104991666666667</v>
      </c>
      <c r="O261" s="25" t="n">
        <f aca="false">IF(AND(B261&gt;=DATE(2026,1,1),B261&lt;=Resumen!$C$5),1,0)</f>
        <v>0</v>
      </c>
      <c r="P261" s="25" t="n">
        <f aca="false">IF(AND(B261&gt;Resumen!$C$5,B261&lt;=DATE(2027,7,31)),1,0)</f>
        <v>0</v>
      </c>
    </row>
    <row r="262" customFormat="false" ht="15" hidden="false" customHeight="false" outlineLevel="0" collapsed="false">
      <c r="A262" s="22" t="n">
        <v>6</v>
      </c>
      <c r="B262" s="23" t="n">
        <v>45556</v>
      </c>
      <c r="C262" s="28" t="n">
        <v>7500000000</v>
      </c>
      <c r="D262" s="28" t="n">
        <v>74275000</v>
      </c>
      <c r="E262" s="28" t="n">
        <v>0</v>
      </c>
      <c r="F262" s="28" t="n">
        <v>74275000</v>
      </c>
      <c r="G262" s="28" t="n">
        <v>7500000000</v>
      </c>
      <c r="H262" s="25" t="n">
        <f aca="false">J261</f>
        <v>7500000000</v>
      </c>
      <c r="I262" s="25" t="n">
        <f aca="false">H262*N262</f>
        <v>74275000</v>
      </c>
      <c r="J262" s="25" t="n">
        <f aca="false">H262-E262</f>
        <v>7500000000</v>
      </c>
      <c r="K262" s="25" t="n">
        <f aca="false">D262-I262</f>
        <v>0</v>
      </c>
      <c r="L262" s="25" t="n">
        <f aca="false">G262-J262</f>
        <v>0</v>
      </c>
      <c r="M262" s="25" t="n">
        <f aca="false">F262</f>
        <v>74275000</v>
      </c>
      <c r="N262" s="48" t="n">
        <v>0.00990333333333333</v>
      </c>
      <c r="O262" s="25" t="n">
        <f aca="false">IF(AND(B262&gt;=DATE(2026,1,1),B262&lt;=Resumen!$C$5),1,0)</f>
        <v>0</v>
      </c>
      <c r="P262" s="25" t="n">
        <f aca="false">IF(AND(B262&gt;Resumen!$C$5,B262&lt;=DATE(2027,7,31)),1,0)</f>
        <v>0</v>
      </c>
    </row>
    <row r="263" customFormat="false" ht="15" hidden="false" customHeight="false" outlineLevel="0" collapsed="false">
      <c r="A263" s="22" t="n">
        <v>7</v>
      </c>
      <c r="B263" s="23" t="n">
        <v>45586</v>
      </c>
      <c r="C263" s="28" t="n">
        <v>7500000000</v>
      </c>
      <c r="D263" s="28" t="n">
        <v>72531250</v>
      </c>
      <c r="E263" s="28" t="n">
        <v>0</v>
      </c>
      <c r="F263" s="28" t="n">
        <v>72531250</v>
      </c>
      <c r="G263" s="28" t="n">
        <v>7500000000</v>
      </c>
      <c r="H263" s="25" t="n">
        <f aca="false">J262</f>
        <v>7500000000</v>
      </c>
      <c r="I263" s="25" t="n">
        <f aca="false">H263*N263</f>
        <v>72531250</v>
      </c>
      <c r="J263" s="25" t="n">
        <f aca="false">H263-E263</f>
        <v>7500000000</v>
      </c>
      <c r="K263" s="25" t="n">
        <f aca="false">D263-I263</f>
        <v>0</v>
      </c>
      <c r="L263" s="25" t="n">
        <f aca="false">G263-J263</f>
        <v>0</v>
      </c>
      <c r="M263" s="25" t="n">
        <f aca="false">F263</f>
        <v>72531250</v>
      </c>
      <c r="N263" s="48" t="n">
        <v>0.00967083333333333</v>
      </c>
      <c r="O263" s="25" t="n">
        <f aca="false">IF(AND(B263&gt;=DATE(2026,1,1),B263&lt;=Resumen!$C$5),1,0)</f>
        <v>0</v>
      </c>
      <c r="P263" s="25" t="n">
        <f aca="false">IF(AND(B263&gt;Resumen!$C$5,B263&lt;=DATE(2027,7,31)),1,0)</f>
        <v>0</v>
      </c>
    </row>
    <row r="264" customFormat="false" ht="15" hidden="false" customHeight="false" outlineLevel="0" collapsed="false">
      <c r="A264" s="22" t="n">
        <v>8</v>
      </c>
      <c r="B264" s="23" t="n">
        <v>45617</v>
      </c>
      <c r="C264" s="28" t="n">
        <v>7500000000</v>
      </c>
      <c r="D264" s="28" t="n">
        <v>71956250</v>
      </c>
      <c r="E264" s="28" t="n">
        <v>0</v>
      </c>
      <c r="F264" s="28" t="n">
        <v>71956250</v>
      </c>
      <c r="G264" s="28" t="n">
        <v>7500000000</v>
      </c>
      <c r="H264" s="25" t="n">
        <f aca="false">J263</f>
        <v>7500000000</v>
      </c>
      <c r="I264" s="25" t="n">
        <f aca="false">H264*N264</f>
        <v>71956250</v>
      </c>
      <c r="J264" s="25" t="n">
        <f aca="false">H264-E264</f>
        <v>7500000000</v>
      </c>
      <c r="K264" s="25" t="n">
        <f aca="false">D264-I264</f>
        <v>0</v>
      </c>
      <c r="L264" s="25" t="n">
        <f aca="false">G264-J264</f>
        <v>0</v>
      </c>
      <c r="M264" s="25" t="n">
        <f aca="false">F264</f>
        <v>71956250</v>
      </c>
      <c r="N264" s="48" t="n">
        <v>0.00959416666666667</v>
      </c>
      <c r="O264" s="25" t="n">
        <f aca="false">IF(AND(B264&gt;=DATE(2026,1,1),B264&lt;=Resumen!$C$5),1,0)</f>
        <v>0</v>
      </c>
      <c r="P264" s="25" t="n">
        <f aca="false">IF(AND(B264&gt;Resumen!$C$5,B264&lt;=DATE(2027,7,31)),1,0)</f>
        <v>0</v>
      </c>
    </row>
    <row r="265" customFormat="false" ht="15" hidden="false" customHeight="false" outlineLevel="0" collapsed="false">
      <c r="A265" s="22" t="n">
        <v>9</v>
      </c>
      <c r="B265" s="23" t="n">
        <v>45647</v>
      </c>
      <c r="C265" s="28" t="n">
        <v>7500000000</v>
      </c>
      <c r="D265" s="28" t="n">
        <v>74331250</v>
      </c>
      <c r="E265" s="28" t="n">
        <v>0</v>
      </c>
      <c r="F265" s="28" t="n">
        <v>74331250</v>
      </c>
      <c r="G265" s="28" t="n">
        <v>7500000000</v>
      </c>
      <c r="H265" s="25" t="n">
        <f aca="false">J264</f>
        <v>7500000000</v>
      </c>
      <c r="I265" s="25" t="n">
        <f aca="false">H265*N265</f>
        <v>74331250</v>
      </c>
      <c r="J265" s="25" t="n">
        <f aca="false">H265-E265</f>
        <v>7500000000</v>
      </c>
      <c r="K265" s="25" t="n">
        <f aca="false">D265-I265</f>
        <v>0</v>
      </c>
      <c r="L265" s="25" t="n">
        <f aca="false">G265-J265</f>
        <v>0</v>
      </c>
      <c r="M265" s="25" t="n">
        <f aca="false">F265</f>
        <v>74331250</v>
      </c>
      <c r="N265" s="48" t="n">
        <v>0.00991083333333333</v>
      </c>
      <c r="O265" s="25" t="n">
        <f aca="false">IF(AND(B265&gt;=DATE(2026,1,1),B265&lt;=Resumen!$C$5),1,0)</f>
        <v>0</v>
      </c>
      <c r="P265" s="25" t="n">
        <f aca="false">IF(AND(B265&gt;Resumen!$C$5,B265&lt;=DATE(2027,7,31)),1,0)</f>
        <v>0</v>
      </c>
    </row>
    <row r="266" customFormat="false" ht="15" hidden="false" customHeight="false" outlineLevel="0" collapsed="false">
      <c r="A266" s="22" t="n">
        <v>10</v>
      </c>
      <c r="B266" s="23" t="n">
        <v>45678</v>
      </c>
      <c r="C266" s="28" t="n">
        <v>7500000000</v>
      </c>
      <c r="D266" s="28" t="n">
        <v>72956250</v>
      </c>
      <c r="E266" s="28" t="n">
        <v>0</v>
      </c>
      <c r="F266" s="28" t="n">
        <v>72956250</v>
      </c>
      <c r="G266" s="28" t="n">
        <v>7500000000</v>
      </c>
      <c r="H266" s="25" t="n">
        <f aca="false">J265</f>
        <v>7500000000</v>
      </c>
      <c r="I266" s="25" t="n">
        <f aca="false">H266*N266</f>
        <v>72956250</v>
      </c>
      <c r="J266" s="25" t="n">
        <f aca="false">H266-E266</f>
        <v>7500000000</v>
      </c>
      <c r="K266" s="25" t="n">
        <f aca="false">D266-I266</f>
        <v>0</v>
      </c>
      <c r="L266" s="25" t="n">
        <f aca="false">G266-J266</f>
        <v>0</v>
      </c>
      <c r="M266" s="25" t="n">
        <f aca="false">F266</f>
        <v>72956250</v>
      </c>
      <c r="N266" s="48" t="n">
        <v>0.0097275</v>
      </c>
      <c r="O266" s="25" t="n">
        <f aca="false">IF(AND(B266&gt;=DATE(2026,1,1),B266&lt;=Resumen!$C$5),1,0)</f>
        <v>0</v>
      </c>
      <c r="P266" s="25" t="n">
        <f aca="false">IF(AND(B266&gt;Resumen!$C$5,B266&lt;=DATE(2027,7,31)),1,0)</f>
        <v>0</v>
      </c>
    </row>
    <row r="267" customFormat="false" ht="15" hidden="false" customHeight="false" outlineLevel="0" collapsed="false">
      <c r="A267" s="22" t="n">
        <v>11</v>
      </c>
      <c r="B267" s="23" t="n">
        <v>45709</v>
      </c>
      <c r="C267" s="28" t="n">
        <v>7500000000</v>
      </c>
      <c r="D267" s="28" t="n">
        <v>73531250</v>
      </c>
      <c r="E267" s="28" t="n">
        <v>0</v>
      </c>
      <c r="F267" s="28" t="n">
        <v>73531250</v>
      </c>
      <c r="G267" s="28" t="n">
        <v>7500000000</v>
      </c>
      <c r="H267" s="25" t="n">
        <f aca="false">J266</f>
        <v>7500000000</v>
      </c>
      <c r="I267" s="25" t="n">
        <f aca="false">H267*N267</f>
        <v>73531250</v>
      </c>
      <c r="J267" s="25" t="n">
        <f aca="false">H267-E267</f>
        <v>7500000000</v>
      </c>
      <c r="K267" s="25" t="n">
        <f aca="false">D267-I267</f>
        <v>0</v>
      </c>
      <c r="L267" s="25" t="n">
        <f aca="false">G267-J267</f>
        <v>0</v>
      </c>
      <c r="M267" s="25" t="n">
        <f aca="false">F267</f>
        <v>73531250</v>
      </c>
      <c r="N267" s="48" t="n">
        <v>0.00980416666666667</v>
      </c>
      <c r="O267" s="25" t="n">
        <f aca="false">IF(AND(B267&gt;=DATE(2026,1,1),B267&lt;=Resumen!$C$5),1,0)</f>
        <v>0</v>
      </c>
      <c r="P267" s="25" t="n">
        <f aca="false">IF(AND(B267&gt;Resumen!$C$5,B267&lt;=DATE(2027,7,31)),1,0)</f>
        <v>0</v>
      </c>
    </row>
    <row r="268" customFormat="false" ht="15" hidden="false" customHeight="false" outlineLevel="0" collapsed="false">
      <c r="A268" s="22" t="n">
        <v>12</v>
      </c>
      <c r="B268" s="23" t="n">
        <v>45737</v>
      </c>
      <c r="C268" s="28" t="n">
        <v>7500000000</v>
      </c>
      <c r="D268" s="28" t="n">
        <v>73937500</v>
      </c>
      <c r="E268" s="28" t="n">
        <v>0</v>
      </c>
      <c r="F268" s="28" t="n">
        <v>73937500</v>
      </c>
      <c r="G268" s="28" t="n">
        <v>7500000000</v>
      </c>
      <c r="H268" s="25" t="n">
        <f aca="false">J267</f>
        <v>7500000000</v>
      </c>
      <c r="I268" s="25" t="n">
        <f aca="false">H268*N268</f>
        <v>73937500</v>
      </c>
      <c r="J268" s="25" t="n">
        <f aca="false">H268-E268</f>
        <v>7500000000</v>
      </c>
      <c r="K268" s="25" t="n">
        <f aca="false">D268-I268</f>
        <v>0</v>
      </c>
      <c r="L268" s="25" t="n">
        <f aca="false">G268-J268</f>
        <v>0</v>
      </c>
      <c r="M268" s="25" t="n">
        <f aca="false">F268</f>
        <v>73937500</v>
      </c>
      <c r="N268" s="48" t="n">
        <v>0.00985833333333333</v>
      </c>
      <c r="O268" s="25" t="n">
        <f aca="false">IF(AND(B268&gt;=DATE(2026,1,1),B268&lt;=Resumen!$C$5),1,0)</f>
        <v>0</v>
      </c>
      <c r="P268" s="25" t="n">
        <f aca="false">IF(AND(B268&gt;Resumen!$C$5,B268&lt;=DATE(2027,7,31)),1,0)</f>
        <v>0</v>
      </c>
    </row>
    <row r="269" customFormat="false" ht="15" hidden="false" customHeight="false" outlineLevel="0" collapsed="false">
      <c r="A269" s="22" t="n">
        <v>13</v>
      </c>
      <c r="B269" s="23" t="n">
        <v>45768</v>
      </c>
      <c r="C269" s="28" t="n">
        <v>7500000000</v>
      </c>
      <c r="D269" s="28" t="n">
        <v>74206250</v>
      </c>
      <c r="E269" s="28" t="n">
        <v>0</v>
      </c>
      <c r="F269" s="28" t="n">
        <v>74206250</v>
      </c>
      <c r="G269" s="28" t="n">
        <v>7500000000</v>
      </c>
      <c r="H269" s="25" t="n">
        <f aca="false">J268</f>
        <v>7500000000</v>
      </c>
      <c r="I269" s="25" t="n">
        <f aca="false">H269*N269</f>
        <v>74206250</v>
      </c>
      <c r="J269" s="25" t="n">
        <f aca="false">H269-E269</f>
        <v>7500000000</v>
      </c>
      <c r="K269" s="25" t="n">
        <f aca="false">D269-I269</f>
        <v>0</v>
      </c>
      <c r="L269" s="25" t="n">
        <f aca="false">G269-J269</f>
        <v>0</v>
      </c>
      <c r="M269" s="25" t="n">
        <f aca="false">F269</f>
        <v>74206250</v>
      </c>
      <c r="N269" s="48" t="n">
        <v>0.00989416666666667</v>
      </c>
      <c r="O269" s="25" t="n">
        <f aca="false">IF(AND(B269&gt;=DATE(2026,1,1),B269&lt;=Resumen!$C$5),1,0)</f>
        <v>0</v>
      </c>
      <c r="P269" s="25" t="n">
        <f aca="false">IF(AND(B269&gt;Resumen!$C$5,B269&lt;=DATE(2027,7,31)),1,0)</f>
        <v>0</v>
      </c>
    </row>
    <row r="270" customFormat="false" ht="15" hidden="false" customHeight="false" outlineLevel="0" collapsed="false">
      <c r="A270" s="22" t="n">
        <v>14</v>
      </c>
      <c r="B270" s="23" t="n">
        <v>45798</v>
      </c>
      <c r="C270" s="28" t="n">
        <v>7500000000</v>
      </c>
      <c r="D270" s="28" t="n">
        <v>73093750</v>
      </c>
      <c r="E270" s="28" t="n">
        <v>0</v>
      </c>
      <c r="F270" s="28" t="n">
        <v>73093750</v>
      </c>
      <c r="G270" s="28" t="n">
        <v>7500000000</v>
      </c>
      <c r="H270" s="25" t="n">
        <f aca="false">J269</f>
        <v>7500000000</v>
      </c>
      <c r="I270" s="25" t="n">
        <f aca="false">H270*N270</f>
        <v>73093750</v>
      </c>
      <c r="J270" s="25" t="n">
        <f aca="false">H270-E270</f>
        <v>7500000000</v>
      </c>
      <c r="K270" s="25" t="n">
        <f aca="false">D270-I270</f>
        <v>0</v>
      </c>
      <c r="L270" s="25" t="n">
        <f aca="false">G270-J270</f>
        <v>0</v>
      </c>
      <c r="M270" s="25" t="n">
        <f aca="false">F270</f>
        <v>73093750</v>
      </c>
      <c r="N270" s="48" t="n">
        <v>0.00974583333333333</v>
      </c>
      <c r="O270" s="25" t="n">
        <f aca="false">IF(AND(B270&gt;=DATE(2026,1,1),B270&lt;=Resumen!$C$5),1,0)</f>
        <v>0</v>
      </c>
      <c r="P270" s="25" t="n">
        <f aca="false">IF(AND(B270&gt;Resumen!$C$5,B270&lt;=DATE(2027,7,31)),1,0)</f>
        <v>0</v>
      </c>
    </row>
    <row r="271" customFormat="false" ht="15" hidden="false" customHeight="false" outlineLevel="0" collapsed="false">
      <c r="A271" s="22" t="n">
        <v>15</v>
      </c>
      <c r="B271" s="23" t="n">
        <v>45829</v>
      </c>
      <c r="C271" s="28" t="n">
        <v>7500000000</v>
      </c>
      <c r="D271" s="28" t="n">
        <v>72937500</v>
      </c>
      <c r="E271" s="28" t="n">
        <v>0</v>
      </c>
      <c r="F271" s="28" t="n">
        <v>72937500</v>
      </c>
      <c r="G271" s="28" t="n">
        <v>7500000000</v>
      </c>
      <c r="H271" s="25" t="n">
        <f aca="false">J270</f>
        <v>7500000000</v>
      </c>
      <c r="I271" s="25" t="n">
        <f aca="false">H271*N271</f>
        <v>72937500</v>
      </c>
      <c r="J271" s="25" t="n">
        <f aca="false">H271-E271</f>
        <v>7500000000</v>
      </c>
      <c r="K271" s="25" t="n">
        <f aca="false">D271-I271</f>
        <v>0</v>
      </c>
      <c r="L271" s="25" t="n">
        <f aca="false">G271-J271</f>
        <v>0</v>
      </c>
      <c r="M271" s="25" t="n">
        <f aca="false">F271</f>
        <v>72937500</v>
      </c>
      <c r="N271" s="48" t="n">
        <v>0.009725</v>
      </c>
      <c r="O271" s="25" t="n">
        <f aca="false">IF(AND(B271&gt;=DATE(2026,1,1),B271&lt;=Resumen!$C$5),1,0)</f>
        <v>0</v>
      </c>
      <c r="P271" s="25" t="n">
        <f aca="false">IF(AND(B271&gt;Resumen!$C$5,B271&lt;=DATE(2027,7,31)),1,0)</f>
        <v>0</v>
      </c>
    </row>
    <row r="272" customFormat="false" ht="15" hidden="false" customHeight="false" outlineLevel="0" collapsed="false">
      <c r="A272" s="22" t="n">
        <v>16</v>
      </c>
      <c r="B272" s="23" t="n">
        <v>45859</v>
      </c>
      <c r="C272" s="28" t="n">
        <v>7500000000</v>
      </c>
      <c r="D272" s="28" t="n">
        <v>72437500</v>
      </c>
      <c r="E272" s="28" t="n">
        <v>0</v>
      </c>
      <c r="F272" s="28" t="n">
        <v>72437500</v>
      </c>
      <c r="G272" s="28" t="n">
        <v>7500000000</v>
      </c>
      <c r="H272" s="25" t="n">
        <f aca="false">J271</f>
        <v>7500000000</v>
      </c>
      <c r="I272" s="25" t="n">
        <f aca="false">H272*N272</f>
        <v>72437500</v>
      </c>
      <c r="J272" s="25" t="n">
        <f aca="false">H272-E272</f>
        <v>7500000000</v>
      </c>
      <c r="K272" s="25" t="n">
        <f aca="false">D272-I272</f>
        <v>0</v>
      </c>
      <c r="L272" s="25" t="n">
        <f aca="false">G272-J272</f>
        <v>0</v>
      </c>
      <c r="M272" s="25" t="n">
        <f aca="false">F272</f>
        <v>72437500</v>
      </c>
      <c r="N272" s="48" t="n">
        <v>0.00965833333333333</v>
      </c>
      <c r="O272" s="25" t="n">
        <f aca="false">IF(AND(B272&gt;=DATE(2026,1,1),B272&lt;=Resumen!$C$5),1,0)</f>
        <v>0</v>
      </c>
      <c r="P272" s="25" t="n">
        <f aca="false">IF(AND(B272&gt;Resumen!$C$5,B272&lt;=DATE(2027,7,31)),1,0)</f>
        <v>0</v>
      </c>
    </row>
    <row r="273" customFormat="false" ht="15" hidden="false" customHeight="false" outlineLevel="0" collapsed="false">
      <c r="A273" s="22" t="n">
        <v>17</v>
      </c>
      <c r="B273" s="23" t="n">
        <v>45890</v>
      </c>
      <c r="C273" s="28" t="n">
        <v>7500000000</v>
      </c>
      <c r="D273" s="28" t="n">
        <v>73531250</v>
      </c>
      <c r="E273" s="28" t="n">
        <v>0</v>
      </c>
      <c r="F273" s="28" t="n">
        <v>73531250</v>
      </c>
      <c r="G273" s="28" t="n">
        <v>7500000000</v>
      </c>
      <c r="H273" s="25" t="n">
        <f aca="false">J272</f>
        <v>7500000000</v>
      </c>
      <c r="I273" s="25" t="n">
        <f aca="false">H273*N273</f>
        <v>73531250</v>
      </c>
      <c r="J273" s="25" t="n">
        <f aca="false">H273-E273</f>
        <v>7500000000</v>
      </c>
      <c r="K273" s="25" t="n">
        <f aca="false">D273-I273</f>
        <v>0</v>
      </c>
      <c r="L273" s="25" t="n">
        <f aca="false">G273-J273</f>
        <v>0</v>
      </c>
      <c r="M273" s="25" t="n">
        <f aca="false">F273</f>
        <v>73531250</v>
      </c>
      <c r="N273" s="48" t="n">
        <v>0.00980416666666667</v>
      </c>
      <c r="O273" s="25" t="n">
        <f aca="false">IF(AND(B273&gt;=DATE(2026,1,1),B273&lt;=Resumen!$C$5),1,0)</f>
        <v>0</v>
      </c>
      <c r="P273" s="25" t="n">
        <f aca="false">IF(AND(B273&gt;Resumen!$C$5,B273&lt;=DATE(2027,7,31)),1,0)</f>
        <v>0</v>
      </c>
    </row>
    <row r="274" customFormat="false" ht="15" hidden="false" customHeight="false" outlineLevel="0" collapsed="false">
      <c r="A274" s="22" t="n">
        <v>18</v>
      </c>
      <c r="B274" s="23" t="n">
        <v>45921</v>
      </c>
      <c r="C274" s="28" t="n">
        <v>7500000000</v>
      </c>
      <c r="D274" s="28" t="n">
        <v>73875000</v>
      </c>
      <c r="E274" s="28" t="n">
        <v>0</v>
      </c>
      <c r="F274" s="28" t="n">
        <v>73875000</v>
      </c>
      <c r="G274" s="28" t="n">
        <v>7500000000</v>
      </c>
      <c r="H274" s="25" t="n">
        <f aca="false">J273</f>
        <v>7500000000</v>
      </c>
      <c r="I274" s="25" t="n">
        <f aca="false">H274*N274</f>
        <v>73875000</v>
      </c>
      <c r="J274" s="25" t="n">
        <f aca="false">H274-E274</f>
        <v>7500000000</v>
      </c>
      <c r="K274" s="25" t="n">
        <f aca="false">D274-I274</f>
        <v>0</v>
      </c>
      <c r="L274" s="25" t="n">
        <f aca="false">G274-J274</f>
        <v>0</v>
      </c>
      <c r="M274" s="25" t="n">
        <f aca="false">F274</f>
        <v>73875000</v>
      </c>
      <c r="N274" s="48" t="n">
        <v>0.00985</v>
      </c>
      <c r="O274" s="25" t="n">
        <f aca="false">IF(AND(B274&gt;=DATE(2026,1,1),B274&lt;=Resumen!$C$5),1,0)</f>
        <v>0</v>
      </c>
      <c r="P274" s="25" t="n">
        <f aca="false">IF(AND(B274&gt;Resumen!$C$5,B274&lt;=DATE(2027,7,31)),1,0)</f>
        <v>0</v>
      </c>
    </row>
    <row r="275" customFormat="false" ht="15" hidden="false" customHeight="false" outlineLevel="0" collapsed="false">
      <c r="A275" s="22" t="n">
        <v>19</v>
      </c>
      <c r="B275" s="23" t="n">
        <v>45951</v>
      </c>
      <c r="C275" s="28" t="n">
        <v>7500000000</v>
      </c>
      <c r="D275" s="28" t="n">
        <v>75087500</v>
      </c>
      <c r="E275" s="28" t="n">
        <v>0</v>
      </c>
      <c r="F275" s="28" t="n">
        <v>75087500</v>
      </c>
      <c r="G275" s="28" t="n">
        <v>7500000000</v>
      </c>
      <c r="H275" s="25" t="n">
        <f aca="false">J274</f>
        <v>7500000000</v>
      </c>
      <c r="I275" s="25" t="n">
        <f aca="false">H275*N275</f>
        <v>75087500</v>
      </c>
      <c r="J275" s="25" t="n">
        <f aca="false">H275-E275</f>
        <v>7500000000</v>
      </c>
      <c r="K275" s="25" t="n">
        <f aca="false">D275-I275</f>
        <v>0</v>
      </c>
      <c r="L275" s="25" t="n">
        <f aca="false">G275-J275</f>
        <v>0</v>
      </c>
      <c r="M275" s="25" t="n">
        <f aca="false">F275</f>
        <v>75087500</v>
      </c>
      <c r="N275" s="48" t="n">
        <v>0.0100116666666667</v>
      </c>
      <c r="O275" s="25" t="n">
        <f aca="false">IF(AND(B275&gt;=DATE(2026,1,1),B275&lt;=Resumen!$C$5),1,0)</f>
        <v>0</v>
      </c>
      <c r="P275" s="25" t="n">
        <f aca="false">IF(AND(B275&gt;Resumen!$C$5,B275&lt;=DATE(2027,7,31)),1,0)</f>
        <v>0</v>
      </c>
    </row>
    <row r="276" customFormat="false" ht="15" hidden="false" customHeight="false" outlineLevel="0" collapsed="false">
      <c r="A276" s="22" t="n">
        <v>20</v>
      </c>
      <c r="B276" s="23" t="n">
        <v>45982</v>
      </c>
      <c r="C276" s="28" t="n">
        <v>7500000000</v>
      </c>
      <c r="D276" s="28" t="n">
        <v>77187500</v>
      </c>
      <c r="E276" s="28" t="n">
        <v>0</v>
      </c>
      <c r="F276" s="28" t="n">
        <v>77187500</v>
      </c>
      <c r="G276" s="28" t="n">
        <v>7500000000</v>
      </c>
      <c r="H276" s="25" t="n">
        <f aca="false">J275</f>
        <v>7500000000</v>
      </c>
      <c r="I276" s="25" t="n">
        <f aca="false">H276*N276</f>
        <v>77187500</v>
      </c>
      <c r="J276" s="25" t="n">
        <f aca="false">H276-E276</f>
        <v>7500000000</v>
      </c>
      <c r="K276" s="25" t="n">
        <f aca="false">D276-I276</f>
        <v>0</v>
      </c>
      <c r="L276" s="25" t="n">
        <f aca="false">G276-J276</f>
        <v>0</v>
      </c>
      <c r="M276" s="25" t="n">
        <f aca="false">F276</f>
        <v>77187500</v>
      </c>
      <c r="N276" s="48" t="n">
        <v>0.0102916666666667</v>
      </c>
      <c r="O276" s="25" t="n">
        <f aca="false">IF(AND(B276&gt;=DATE(2026,1,1),B276&lt;=Resumen!$C$5),1,0)</f>
        <v>0</v>
      </c>
      <c r="P276" s="25" t="n">
        <f aca="false">IF(AND(B276&gt;Resumen!$C$5,B276&lt;=DATE(2027,7,31)),1,0)</f>
        <v>0</v>
      </c>
    </row>
    <row r="277" customFormat="false" ht="15" hidden="false" customHeight="false" outlineLevel="0" collapsed="false">
      <c r="A277" s="22" t="n">
        <v>21</v>
      </c>
      <c r="B277" s="23" t="n">
        <v>46012</v>
      </c>
      <c r="C277" s="28" t="n">
        <v>7500000000</v>
      </c>
      <c r="D277" s="28" t="n">
        <v>82268750</v>
      </c>
      <c r="E277" s="28" t="n">
        <v>0</v>
      </c>
      <c r="F277" s="28" t="n">
        <v>82268750</v>
      </c>
      <c r="G277" s="28" t="n">
        <v>7500000000</v>
      </c>
      <c r="H277" s="25" t="n">
        <f aca="false">J276</f>
        <v>7500000000</v>
      </c>
      <c r="I277" s="25" t="n">
        <f aca="false">H277*N277</f>
        <v>82268750</v>
      </c>
      <c r="J277" s="25" t="n">
        <f aca="false">H277-E277</f>
        <v>7500000000</v>
      </c>
      <c r="K277" s="25" t="n">
        <f aca="false">D277-I277</f>
        <v>0</v>
      </c>
      <c r="L277" s="25" t="n">
        <f aca="false">G277-J277</f>
        <v>0</v>
      </c>
      <c r="M277" s="25" t="n">
        <f aca="false">F277</f>
        <v>82268750</v>
      </c>
      <c r="N277" s="48" t="n">
        <v>0.0109691666666667</v>
      </c>
      <c r="O277" s="25" t="n">
        <f aca="false">IF(AND(B277&gt;=DATE(2026,1,1),B277&lt;=Resumen!$C$5),1,0)</f>
        <v>0</v>
      </c>
      <c r="P277" s="25" t="n">
        <f aca="false">IF(AND(B277&gt;Resumen!$C$5,B277&lt;=DATE(2027,7,31)),1,0)</f>
        <v>0</v>
      </c>
    </row>
    <row r="278" customFormat="false" ht="15" hidden="false" customHeight="false" outlineLevel="0" collapsed="false">
      <c r="A278" s="22" t="n">
        <v>22</v>
      </c>
      <c r="B278" s="23" t="n">
        <v>46043</v>
      </c>
      <c r="C278" s="28" t="n">
        <v>7500000000</v>
      </c>
      <c r="D278" s="28" t="n">
        <v>83125000</v>
      </c>
      <c r="E278" s="28" t="n">
        <v>0</v>
      </c>
      <c r="F278" s="28" t="n">
        <v>83125000</v>
      </c>
      <c r="G278" s="28" t="n">
        <v>7500000000</v>
      </c>
      <c r="H278" s="25" t="n">
        <f aca="false">J277</f>
        <v>7500000000</v>
      </c>
      <c r="I278" s="25" t="n">
        <f aca="false">H278*N278</f>
        <v>83125000</v>
      </c>
      <c r="J278" s="25" t="n">
        <f aca="false">H278-E278</f>
        <v>7500000000</v>
      </c>
      <c r="K278" s="25" t="n">
        <f aca="false">D278-I278</f>
        <v>0</v>
      </c>
      <c r="L278" s="25" t="n">
        <f aca="false">G278-J278</f>
        <v>0</v>
      </c>
      <c r="M278" s="25" t="n">
        <f aca="false">F278</f>
        <v>83125000</v>
      </c>
      <c r="N278" s="48" t="n">
        <v>0.0110833333333333</v>
      </c>
      <c r="O278" s="25" t="n">
        <f aca="false">IF(AND(B278&gt;=DATE(2026,1,1),B278&lt;=Resumen!$C$5),1,0)</f>
        <v>1</v>
      </c>
      <c r="P278" s="25" t="n">
        <f aca="false">IF(AND(B278&gt;Resumen!$C$5,B278&lt;=DATE(2027,7,31)),1,0)</f>
        <v>0</v>
      </c>
    </row>
    <row r="279" customFormat="false" ht="15" hidden="false" customHeight="false" outlineLevel="0" collapsed="false">
      <c r="A279" s="22" t="n">
        <v>23</v>
      </c>
      <c r="B279" s="23" t="n">
        <v>46074</v>
      </c>
      <c r="C279" s="28" t="n">
        <v>7500000000</v>
      </c>
      <c r="D279" s="28" t="n">
        <v>89812500</v>
      </c>
      <c r="E279" s="28" t="n">
        <v>0</v>
      </c>
      <c r="F279" s="28" t="n">
        <v>89812500</v>
      </c>
      <c r="G279" s="28" t="n">
        <v>7500000000</v>
      </c>
      <c r="H279" s="25" t="n">
        <f aca="false">J278</f>
        <v>7500000000</v>
      </c>
      <c r="I279" s="25" t="n">
        <f aca="false">H279*N279</f>
        <v>89812500</v>
      </c>
      <c r="J279" s="25" t="n">
        <f aca="false">H279-E279</f>
        <v>7500000000</v>
      </c>
      <c r="K279" s="25" t="n">
        <f aca="false">D279-I279</f>
        <v>0</v>
      </c>
      <c r="L279" s="25" t="n">
        <f aca="false">G279-J279</f>
        <v>0</v>
      </c>
      <c r="M279" s="25" t="n">
        <f aca="false">F279</f>
        <v>89812500</v>
      </c>
      <c r="N279" s="48" t="n">
        <v>0.011975</v>
      </c>
      <c r="O279" s="25" t="n">
        <f aca="false">IF(AND(B279&gt;=DATE(2026,1,1),B279&lt;=Resumen!$C$5),1,0)</f>
        <v>1</v>
      </c>
      <c r="P279" s="25" t="n">
        <f aca="false">IF(AND(B279&gt;Resumen!$C$5,B279&lt;=DATE(2027,7,31)),1,0)</f>
        <v>0</v>
      </c>
    </row>
    <row r="280" customFormat="false" ht="15" hidden="false" customHeight="false" outlineLevel="0" collapsed="false">
      <c r="A280" s="22" t="n">
        <v>24</v>
      </c>
      <c r="B280" s="23" t="n">
        <v>46102</v>
      </c>
      <c r="C280" s="28" t="n">
        <v>7500000000</v>
      </c>
      <c r="D280" s="28" t="n">
        <v>91937500</v>
      </c>
      <c r="E280" s="28" t="n">
        <v>0</v>
      </c>
      <c r="F280" s="28" t="n">
        <v>91937500</v>
      </c>
      <c r="G280" s="28" t="n">
        <v>7500000000</v>
      </c>
      <c r="H280" s="25" t="n">
        <f aca="false">J279</f>
        <v>7500000000</v>
      </c>
      <c r="I280" s="25" t="n">
        <f aca="false">H280*N280</f>
        <v>91937500</v>
      </c>
      <c r="J280" s="25" t="n">
        <f aca="false">H280-E280</f>
        <v>7500000000</v>
      </c>
      <c r="K280" s="25" t="n">
        <f aca="false">D280-I280</f>
        <v>0</v>
      </c>
      <c r="L280" s="25" t="n">
        <f aca="false">G280-J280</f>
        <v>0</v>
      </c>
      <c r="M280" s="25" t="n">
        <f aca="false">F280</f>
        <v>91937500</v>
      </c>
      <c r="N280" s="48" t="n">
        <v>0.0122583333333333</v>
      </c>
      <c r="O280" s="25" t="n">
        <f aca="false">IF(AND(B280&gt;=DATE(2026,1,1),B280&lt;=Resumen!$C$5),1,0)</f>
        <v>1</v>
      </c>
      <c r="P280" s="25" t="n">
        <f aca="false">IF(AND(B280&gt;Resumen!$C$5,B280&lt;=DATE(2027,7,31)),1,0)</f>
        <v>0</v>
      </c>
    </row>
    <row r="281" customFormat="false" ht="15" hidden="false" customHeight="false" outlineLevel="0" collapsed="false">
      <c r="A281" s="22" t="n">
        <v>25</v>
      </c>
      <c r="B281" s="23" t="n">
        <v>46133</v>
      </c>
      <c r="C281" s="28" t="n">
        <v>7500000000</v>
      </c>
      <c r="D281" s="28" t="n">
        <v>94043750</v>
      </c>
      <c r="E281" s="28" t="n">
        <v>0</v>
      </c>
      <c r="F281" s="28" t="n">
        <v>94043750</v>
      </c>
      <c r="G281" s="28" t="n">
        <v>7500000000</v>
      </c>
      <c r="H281" s="25" t="n">
        <f aca="false">J280</f>
        <v>7500000000</v>
      </c>
      <c r="I281" s="25" t="n">
        <f aca="false">H281*N281</f>
        <v>94043750</v>
      </c>
      <c r="J281" s="25" t="n">
        <f aca="false">H281-E281</f>
        <v>7500000000</v>
      </c>
      <c r="K281" s="25" t="n">
        <f aca="false">D281-I281</f>
        <v>0</v>
      </c>
      <c r="L281" s="25" t="n">
        <f aca="false">G281-J281</f>
        <v>0</v>
      </c>
      <c r="M281" s="25" t="n">
        <f aca="false">F281</f>
        <v>94043750</v>
      </c>
      <c r="N281" s="48" t="n">
        <v>0.0125391666666667</v>
      </c>
      <c r="O281" s="25" t="n">
        <f aca="false">IF(AND(B281&gt;=DATE(2026,1,1),B281&lt;=Resumen!$C$5),1,0)</f>
        <v>1</v>
      </c>
      <c r="P281" s="25" t="n">
        <f aca="false">IF(AND(B281&gt;Resumen!$C$5,B281&lt;=DATE(2027,7,31)),1,0)</f>
        <v>0</v>
      </c>
    </row>
    <row r="282" customFormat="false" ht="15" hidden="false" customHeight="false" outlineLevel="0" collapsed="false">
      <c r="A282" s="22" t="n">
        <v>26</v>
      </c>
      <c r="B282" s="23" t="n">
        <v>46163</v>
      </c>
      <c r="C282" s="28" t="n">
        <v>7500000000</v>
      </c>
      <c r="D282" s="28" t="n">
        <v>94043750</v>
      </c>
      <c r="E282" s="28" t="n">
        <v>0</v>
      </c>
      <c r="F282" s="28" t="n">
        <v>94043750</v>
      </c>
      <c r="G282" s="28" t="n">
        <v>7500000000</v>
      </c>
      <c r="H282" s="25" t="n">
        <f aca="false">J281</f>
        <v>7500000000</v>
      </c>
      <c r="I282" s="25" t="n">
        <f aca="false">H282*N282</f>
        <v>94043750</v>
      </c>
      <c r="J282" s="25" t="n">
        <f aca="false">H282-E282</f>
        <v>7500000000</v>
      </c>
      <c r="K282" s="25" t="n">
        <f aca="false">D282-I282</f>
        <v>0</v>
      </c>
      <c r="L282" s="25" t="n">
        <f aca="false">G282-J282</f>
        <v>0</v>
      </c>
      <c r="M282" s="25" t="n">
        <f aca="false">F282</f>
        <v>94043750</v>
      </c>
      <c r="N282" s="48" t="n">
        <v>0.0125391666666667</v>
      </c>
      <c r="O282" s="25" t="n">
        <f aca="false">IF(AND(B282&gt;=DATE(2026,1,1),B282&lt;=Resumen!$C$5),1,0)</f>
        <v>1</v>
      </c>
      <c r="P282" s="25" t="n">
        <f aca="false">IF(AND(B282&gt;Resumen!$C$5,B282&lt;=DATE(2027,7,31)),1,0)</f>
        <v>0</v>
      </c>
    </row>
    <row r="283" customFormat="false" ht="15" hidden="false" customHeight="false" outlineLevel="0" collapsed="false">
      <c r="A283" s="22" t="n">
        <v>27</v>
      </c>
      <c r="B283" s="23" t="n">
        <v>46194</v>
      </c>
      <c r="C283" s="28" t="n">
        <v>7500000000</v>
      </c>
      <c r="D283" s="28" t="n">
        <v>92375000</v>
      </c>
      <c r="E283" s="28" t="n">
        <v>0</v>
      </c>
      <c r="F283" s="28" t="n">
        <v>92375000</v>
      </c>
      <c r="G283" s="28" t="n">
        <v>7500000000</v>
      </c>
      <c r="H283" s="25" t="n">
        <f aca="false">J282</f>
        <v>7500000000</v>
      </c>
      <c r="I283" s="25" t="n">
        <f aca="false">H283*N283</f>
        <v>92375000</v>
      </c>
      <c r="J283" s="25" t="n">
        <f aca="false">H283-E283</f>
        <v>7500000000</v>
      </c>
      <c r="K283" s="25" t="n">
        <f aca="false">D283-I283</f>
        <v>0</v>
      </c>
      <c r="L283" s="25" t="n">
        <f aca="false">G283-J283</f>
        <v>0</v>
      </c>
      <c r="M283" s="25" t="n">
        <f aca="false">F283</f>
        <v>92375000</v>
      </c>
      <c r="N283" s="48" t="n">
        <v>0.0123166666666667</v>
      </c>
      <c r="O283" s="25" t="n">
        <f aca="false">IF(AND(B283&gt;=DATE(2026,1,1),B283&lt;=Resumen!$C$5),1,0)</f>
        <v>1</v>
      </c>
      <c r="P283" s="25" t="n">
        <f aca="false">IF(AND(B283&gt;Resumen!$C$5,B283&lt;=DATE(2027,7,31)),1,0)</f>
        <v>0</v>
      </c>
    </row>
    <row r="284" customFormat="false" ht="15" hidden="false" customHeight="false" outlineLevel="0" collapsed="false">
      <c r="A284" s="22" t="n">
        <v>28</v>
      </c>
      <c r="B284" s="23" t="n">
        <v>46224</v>
      </c>
      <c r="C284" s="28" t="n">
        <v>7500000000</v>
      </c>
      <c r="D284" s="28" t="n">
        <v>93906250</v>
      </c>
      <c r="E284" s="28" t="n">
        <v>0</v>
      </c>
      <c r="F284" s="28" t="n">
        <v>93906250</v>
      </c>
      <c r="G284" s="28" t="n">
        <v>7500000000</v>
      </c>
      <c r="H284" s="25" t="n">
        <f aca="false">J283</f>
        <v>7500000000</v>
      </c>
      <c r="I284" s="25" t="n">
        <f aca="false">H284*N284</f>
        <v>93906250</v>
      </c>
      <c r="J284" s="25" t="n">
        <f aca="false">H284-E284</f>
        <v>7500000000</v>
      </c>
      <c r="K284" s="25" t="n">
        <f aca="false">D284-I284</f>
        <v>0</v>
      </c>
      <c r="L284" s="25" t="n">
        <f aca="false">G284-J284</f>
        <v>0</v>
      </c>
      <c r="M284" s="25" t="n">
        <f aca="false">F284</f>
        <v>93906250</v>
      </c>
      <c r="N284" s="48" t="n">
        <v>0.0125208333333333</v>
      </c>
      <c r="O284" s="25" t="n">
        <f aca="false">IF(AND(B284&gt;=DATE(2026,1,1),B284&lt;=Resumen!$C$5),1,0)</f>
        <v>1</v>
      </c>
      <c r="P284" s="25" t="n">
        <f aca="false">IF(AND(B284&gt;Resumen!$C$5,B284&lt;=DATE(2027,7,31)),1,0)</f>
        <v>0</v>
      </c>
    </row>
    <row r="285" customFormat="false" ht="15" hidden="false" customHeight="false" outlineLevel="0" collapsed="false">
      <c r="A285" s="22" t="n">
        <v>29</v>
      </c>
      <c r="B285" s="23" t="n">
        <v>46255</v>
      </c>
      <c r="C285" s="28" t="n">
        <v>7500000000</v>
      </c>
      <c r="D285" s="28" t="n">
        <v>93906250</v>
      </c>
      <c r="E285" s="28" t="n">
        <v>0</v>
      </c>
      <c r="F285" s="28" t="n">
        <v>93906250</v>
      </c>
      <c r="G285" s="28" t="n">
        <v>7500000000</v>
      </c>
      <c r="H285" s="25" t="n">
        <f aca="false">J284</f>
        <v>7500000000</v>
      </c>
      <c r="I285" s="25" t="n">
        <f aca="false">H285*N285</f>
        <v>93906250</v>
      </c>
      <c r="J285" s="25" t="n">
        <f aca="false">H285-E285</f>
        <v>7500000000</v>
      </c>
      <c r="K285" s="25" t="n">
        <f aca="false">D285-I285</f>
        <v>0</v>
      </c>
      <c r="L285" s="25" t="n">
        <f aca="false">G285-J285</f>
        <v>0</v>
      </c>
      <c r="M285" s="25" t="n">
        <f aca="false">F285</f>
        <v>93906250</v>
      </c>
      <c r="N285" s="48" t="n">
        <v>0.0125208333333333</v>
      </c>
      <c r="O285" s="25" t="n">
        <f aca="false">IF(AND(B285&gt;=DATE(2026,1,1),B285&lt;=Resumen!$C$5),1,0)</f>
        <v>0</v>
      </c>
      <c r="P285" s="25" t="n">
        <f aca="false">IF(AND(B285&gt;Resumen!$C$5,B285&lt;=DATE(2027,7,31)),1,0)</f>
        <v>1</v>
      </c>
    </row>
    <row r="286" customFormat="false" ht="15" hidden="false" customHeight="false" outlineLevel="0" collapsed="false">
      <c r="A286" s="22" t="n">
        <v>30</v>
      </c>
      <c r="B286" s="23" t="n">
        <v>46286</v>
      </c>
      <c r="C286" s="28" t="n">
        <v>7500000000</v>
      </c>
      <c r="D286" s="28" t="n">
        <v>93906250</v>
      </c>
      <c r="E286" s="28" t="n">
        <v>0</v>
      </c>
      <c r="F286" s="28" t="n">
        <v>93906250</v>
      </c>
      <c r="G286" s="28" t="n">
        <v>7500000000</v>
      </c>
      <c r="H286" s="25" t="n">
        <f aca="false">J285</f>
        <v>7500000000</v>
      </c>
      <c r="I286" s="25" t="n">
        <f aca="false">H286*N286</f>
        <v>93906250</v>
      </c>
      <c r="J286" s="25" t="n">
        <f aca="false">H286-E286</f>
        <v>7500000000</v>
      </c>
      <c r="K286" s="25" t="n">
        <f aca="false">D286-I286</f>
        <v>0</v>
      </c>
      <c r="L286" s="25" t="n">
        <f aca="false">G286-J286</f>
        <v>0</v>
      </c>
      <c r="M286" s="25" t="n">
        <f aca="false">F286</f>
        <v>93906250</v>
      </c>
      <c r="N286" s="48" t="n">
        <v>0.0125208333333333</v>
      </c>
      <c r="O286" s="25" t="n">
        <f aca="false">IF(AND(B286&gt;=DATE(2026,1,1),B286&lt;=Resumen!$C$5),1,0)</f>
        <v>0</v>
      </c>
      <c r="P286" s="25" t="n">
        <f aca="false">IF(AND(B286&gt;Resumen!$C$5,B286&lt;=DATE(2027,7,31)),1,0)</f>
        <v>1</v>
      </c>
    </row>
    <row r="287" customFormat="false" ht="15" hidden="false" customHeight="false" outlineLevel="0" collapsed="false">
      <c r="A287" s="22" t="n">
        <v>31</v>
      </c>
      <c r="B287" s="23" t="n">
        <v>46316</v>
      </c>
      <c r="C287" s="28" t="n">
        <v>7500000000</v>
      </c>
      <c r="D287" s="28" t="n">
        <v>93906250</v>
      </c>
      <c r="E287" s="28" t="n">
        <v>0</v>
      </c>
      <c r="F287" s="28" t="n">
        <v>93906250</v>
      </c>
      <c r="G287" s="28" t="n">
        <v>7500000000</v>
      </c>
      <c r="H287" s="25" t="n">
        <f aca="false">J286</f>
        <v>7500000000</v>
      </c>
      <c r="I287" s="25" t="n">
        <f aca="false">H287*N287</f>
        <v>93906250</v>
      </c>
      <c r="J287" s="25" t="n">
        <f aca="false">H287-E287</f>
        <v>7500000000</v>
      </c>
      <c r="K287" s="25" t="n">
        <f aca="false">D287-I287</f>
        <v>0</v>
      </c>
      <c r="L287" s="25" t="n">
        <f aca="false">G287-J287</f>
        <v>0</v>
      </c>
      <c r="M287" s="25" t="n">
        <f aca="false">F287</f>
        <v>93906250</v>
      </c>
      <c r="N287" s="48" t="n">
        <v>0.0125208333333333</v>
      </c>
      <c r="O287" s="25" t="n">
        <f aca="false">IF(AND(B287&gt;=DATE(2026,1,1),B287&lt;=Resumen!$C$5),1,0)</f>
        <v>0</v>
      </c>
      <c r="P287" s="25" t="n">
        <f aca="false">IF(AND(B287&gt;Resumen!$C$5,B287&lt;=DATE(2027,7,31)),1,0)</f>
        <v>1</v>
      </c>
    </row>
    <row r="288" customFormat="false" ht="15" hidden="false" customHeight="false" outlineLevel="0" collapsed="false">
      <c r="A288" s="22" t="n">
        <v>32</v>
      </c>
      <c r="B288" s="23" t="n">
        <v>46347</v>
      </c>
      <c r="C288" s="28" t="n">
        <v>7500000000</v>
      </c>
      <c r="D288" s="28" t="n">
        <v>93906250</v>
      </c>
      <c r="E288" s="28" t="n">
        <v>0</v>
      </c>
      <c r="F288" s="28" t="n">
        <v>93906250</v>
      </c>
      <c r="G288" s="28" t="n">
        <v>7500000000</v>
      </c>
      <c r="H288" s="25" t="n">
        <f aca="false">J287</f>
        <v>7500000000</v>
      </c>
      <c r="I288" s="25" t="n">
        <f aca="false">H288*N288</f>
        <v>93906250</v>
      </c>
      <c r="J288" s="25" t="n">
        <f aca="false">H288-E288</f>
        <v>7500000000</v>
      </c>
      <c r="K288" s="25" t="n">
        <f aca="false">D288-I288</f>
        <v>0</v>
      </c>
      <c r="L288" s="25" t="n">
        <f aca="false">G288-J288</f>
        <v>0</v>
      </c>
      <c r="M288" s="25" t="n">
        <f aca="false">F288</f>
        <v>93906250</v>
      </c>
      <c r="N288" s="48" t="n">
        <v>0.0125208333333333</v>
      </c>
      <c r="O288" s="25" t="n">
        <f aca="false">IF(AND(B288&gt;=DATE(2026,1,1),B288&lt;=Resumen!$C$5),1,0)</f>
        <v>0</v>
      </c>
      <c r="P288" s="25" t="n">
        <f aca="false">IF(AND(B288&gt;Resumen!$C$5,B288&lt;=DATE(2027,7,31)),1,0)</f>
        <v>1</v>
      </c>
    </row>
    <row r="289" customFormat="false" ht="15" hidden="false" customHeight="false" outlineLevel="0" collapsed="false">
      <c r="A289" s="22" t="n">
        <v>33</v>
      </c>
      <c r="B289" s="23" t="n">
        <v>46377</v>
      </c>
      <c r="C289" s="28" t="n">
        <v>7500000000</v>
      </c>
      <c r="D289" s="28" t="n">
        <v>93906250</v>
      </c>
      <c r="E289" s="28" t="n">
        <v>0</v>
      </c>
      <c r="F289" s="28" t="n">
        <v>93906250</v>
      </c>
      <c r="G289" s="28" t="n">
        <v>7500000000</v>
      </c>
      <c r="H289" s="25" t="n">
        <f aca="false">J288</f>
        <v>7500000000</v>
      </c>
      <c r="I289" s="25" t="n">
        <f aca="false">H289*N289</f>
        <v>93906250</v>
      </c>
      <c r="J289" s="25" t="n">
        <f aca="false">H289-E289</f>
        <v>7500000000</v>
      </c>
      <c r="K289" s="25" t="n">
        <f aca="false">D289-I289</f>
        <v>0</v>
      </c>
      <c r="L289" s="25" t="n">
        <f aca="false">G289-J289</f>
        <v>0</v>
      </c>
      <c r="M289" s="25" t="n">
        <f aca="false">F289</f>
        <v>93906250</v>
      </c>
      <c r="N289" s="48" t="n">
        <v>0.0125208333333333</v>
      </c>
      <c r="O289" s="25" t="n">
        <f aca="false">IF(AND(B289&gt;=DATE(2026,1,1),B289&lt;=Resumen!$C$5),1,0)</f>
        <v>0</v>
      </c>
      <c r="P289" s="25" t="n">
        <f aca="false">IF(AND(B289&gt;Resumen!$C$5,B289&lt;=DATE(2027,7,31)),1,0)</f>
        <v>1</v>
      </c>
    </row>
    <row r="290" customFormat="false" ht="15" hidden="false" customHeight="false" outlineLevel="0" collapsed="false">
      <c r="A290" s="22" t="n">
        <v>34</v>
      </c>
      <c r="B290" s="23" t="n">
        <v>46408</v>
      </c>
      <c r="C290" s="28" t="n">
        <v>7500000000</v>
      </c>
      <c r="D290" s="28" t="n">
        <v>93906250</v>
      </c>
      <c r="E290" s="28" t="n">
        <v>0</v>
      </c>
      <c r="F290" s="28" t="n">
        <v>93906250</v>
      </c>
      <c r="G290" s="28" t="n">
        <v>7500000000</v>
      </c>
      <c r="H290" s="25" t="n">
        <f aca="false">J289</f>
        <v>7500000000</v>
      </c>
      <c r="I290" s="25" t="n">
        <f aca="false">H290*N290</f>
        <v>93906250</v>
      </c>
      <c r="J290" s="25" t="n">
        <f aca="false">H290-E290</f>
        <v>7500000000</v>
      </c>
      <c r="K290" s="25" t="n">
        <f aca="false">D290-I290</f>
        <v>0</v>
      </c>
      <c r="L290" s="25" t="n">
        <f aca="false">G290-J290</f>
        <v>0</v>
      </c>
      <c r="M290" s="25" t="n">
        <f aca="false">F290</f>
        <v>93906250</v>
      </c>
      <c r="N290" s="48" t="n">
        <v>0.0125208333333333</v>
      </c>
      <c r="O290" s="25" t="n">
        <f aca="false">IF(AND(B290&gt;=DATE(2026,1,1),B290&lt;=Resumen!$C$5),1,0)</f>
        <v>0</v>
      </c>
      <c r="P290" s="25" t="n">
        <f aca="false">IF(AND(B290&gt;Resumen!$C$5,B290&lt;=DATE(2027,7,31)),1,0)</f>
        <v>1</v>
      </c>
    </row>
    <row r="291" customFormat="false" ht="15" hidden="false" customHeight="false" outlineLevel="0" collapsed="false">
      <c r="A291" s="22" t="n">
        <v>35</v>
      </c>
      <c r="B291" s="23" t="n">
        <v>46439</v>
      </c>
      <c r="C291" s="28" t="n">
        <v>7500000000</v>
      </c>
      <c r="D291" s="28" t="n">
        <v>93906250</v>
      </c>
      <c r="E291" s="28" t="n">
        <v>0</v>
      </c>
      <c r="F291" s="28" t="n">
        <v>93906250</v>
      </c>
      <c r="G291" s="28" t="n">
        <v>7500000000</v>
      </c>
      <c r="H291" s="25" t="n">
        <f aca="false">J290</f>
        <v>7500000000</v>
      </c>
      <c r="I291" s="25" t="n">
        <f aca="false">H291*N291</f>
        <v>93906250</v>
      </c>
      <c r="J291" s="25" t="n">
        <f aca="false">H291-E291</f>
        <v>7500000000</v>
      </c>
      <c r="K291" s="25" t="n">
        <f aca="false">D291-I291</f>
        <v>0</v>
      </c>
      <c r="L291" s="25" t="n">
        <f aca="false">G291-J291</f>
        <v>0</v>
      </c>
      <c r="M291" s="25" t="n">
        <f aca="false">F291</f>
        <v>93906250</v>
      </c>
      <c r="N291" s="48" t="n">
        <v>0.0125208333333333</v>
      </c>
      <c r="O291" s="25" t="n">
        <f aca="false">IF(AND(B291&gt;=DATE(2026,1,1),B291&lt;=Resumen!$C$5),1,0)</f>
        <v>0</v>
      </c>
      <c r="P291" s="25" t="n">
        <f aca="false">IF(AND(B291&gt;Resumen!$C$5,B291&lt;=DATE(2027,7,31)),1,0)</f>
        <v>1</v>
      </c>
    </row>
    <row r="292" customFormat="false" ht="15" hidden="false" customHeight="false" outlineLevel="0" collapsed="false">
      <c r="A292" s="22" t="n">
        <v>36</v>
      </c>
      <c r="B292" s="23" t="n">
        <v>46467</v>
      </c>
      <c r="C292" s="28" t="n">
        <v>7500000000</v>
      </c>
      <c r="D292" s="28" t="n">
        <v>93906250</v>
      </c>
      <c r="E292" s="28" t="n">
        <v>0</v>
      </c>
      <c r="F292" s="28" t="n">
        <v>93906250</v>
      </c>
      <c r="G292" s="28" t="n">
        <v>7500000000</v>
      </c>
      <c r="H292" s="25" t="n">
        <f aca="false">J291</f>
        <v>7500000000</v>
      </c>
      <c r="I292" s="25" t="n">
        <f aca="false">H292*N292</f>
        <v>93906250</v>
      </c>
      <c r="J292" s="25" t="n">
        <f aca="false">H292-E292</f>
        <v>7500000000</v>
      </c>
      <c r="K292" s="25" t="n">
        <f aca="false">D292-I292</f>
        <v>0</v>
      </c>
      <c r="L292" s="25" t="n">
        <f aca="false">G292-J292</f>
        <v>0</v>
      </c>
      <c r="M292" s="25" t="n">
        <f aca="false">F292</f>
        <v>93906250</v>
      </c>
      <c r="N292" s="48" t="n">
        <v>0.0125208333333333</v>
      </c>
      <c r="O292" s="25" t="n">
        <f aca="false">IF(AND(B292&gt;=DATE(2026,1,1),B292&lt;=Resumen!$C$5),1,0)</f>
        <v>0</v>
      </c>
      <c r="P292" s="25" t="n">
        <f aca="false">IF(AND(B292&gt;Resumen!$C$5,B292&lt;=DATE(2027,7,31)),1,0)</f>
        <v>1</v>
      </c>
    </row>
    <row r="293" customFormat="false" ht="15" hidden="false" customHeight="false" outlineLevel="0" collapsed="false">
      <c r="A293" s="22" t="n">
        <v>37</v>
      </c>
      <c r="B293" s="23" t="n">
        <v>46498</v>
      </c>
      <c r="C293" s="28" t="n">
        <v>7500000000</v>
      </c>
      <c r="D293" s="28" t="n">
        <v>93906250</v>
      </c>
      <c r="E293" s="28" t="n">
        <v>0</v>
      </c>
      <c r="F293" s="28" t="n">
        <v>93906250</v>
      </c>
      <c r="G293" s="28" t="n">
        <v>7500000000</v>
      </c>
      <c r="H293" s="25" t="n">
        <f aca="false">J292</f>
        <v>7500000000</v>
      </c>
      <c r="I293" s="25" t="n">
        <f aca="false">H293*N293</f>
        <v>93906250</v>
      </c>
      <c r="J293" s="25" t="n">
        <f aca="false">H293-E293</f>
        <v>7500000000</v>
      </c>
      <c r="K293" s="25" t="n">
        <f aca="false">D293-I293</f>
        <v>0</v>
      </c>
      <c r="L293" s="25" t="n">
        <f aca="false">G293-J293</f>
        <v>0</v>
      </c>
      <c r="M293" s="25" t="n">
        <f aca="false">F293</f>
        <v>93906250</v>
      </c>
      <c r="N293" s="48" t="n">
        <v>0.0125208333333333</v>
      </c>
      <c r="O293" s="25" t="n">
        <f aca="false">IF(AND(B293&gt;=DATE(2026,1,1),B293&lt;=Resumen!$C$5),1,0)</f>
        <v>0</v>
      </c>
      <c r="P293" s="25" t="n">
        <f aca="false">IF(AND(B293&gt;Resumen!$C$5,B293&lt;=DATE(2027,7,31)),1,0)</f>
        <v>1</v>
      </c>
    </row>
    <row r="294" customFormat="false" ht="15" hidden="false" customHeight="false" outlineLevel="0" collapsed="false">
      <c r="A294" s="22" t="n">
        <v>38</v>
      </c>
      <c r="B294" s="23" t="n">
        <v>46528</v>
      </c>
      <c r="C294" s="28" t="n">
        <v>7500000000</v>
      </c>
      <c r="D294" s="28" t="n">
        <v>93906250</v>
      </c>
      <c r="E294" s="28" t="n">
        <v>0</v>
      </c>
      <c r="F294" s="28" t="n">
        <v>93906250</v>
      </c>
      <c r="G294" s="28" t="n">
        <v>7500000000</v>
      </c>
      <c r="H294" s="25" t="n">
        <f aca="false">J293</f>
        <v>7500000000</v>
      </c>
      <c r="I294" s="25" t="n">
        <f aca="false">H294*N294</f>
        <v>93906250</v>
      </c>
      <c r="J294" s="25" t="n">
        <f aca="false">H294-E294</f>
        <v>7500000000</v>
      </c>
      <c r="K294" s="25" t="n">
        <f aca="false">D294-I294</f>
        <v>0</v>
      </c>
      <c r="L294" s="25" t="n">
        <f aca="false">G294-J294</f>
        <v>0</v>
      </c>
      <c r="M294" s="25" t="n">
        <f aca="false">F294</f>
        <v>93906250</v>
      </c>
      <c r="N294" s="48" t="n">
        <v>0.0125208333333333</v>
      </c>
      <c r="O294" s="25" t="n">
        <f aca="false">IF(AND(B294&gt;=DATE(2026,1,1),B294&lt;=Resumen!$C$5),1,0)</f>
        <v>0</v>
      </c>
      <c r="P294" s="25" t="n">
        <f aca="false">IF(AND(B294&gt;Resumen!$C$5,B294&lt;=DATE(2027,7,31)),1,0)</f>
        <v>1</v>
      </c>
    </row>
    <row r="295" customFormat="false" ht="15" hidden="false" customHeight="false" outlineLevel="0" collapsed="false">
      <c r="A295" s="22" t="n">
        <v>39</v>
      </c>
      <c r="B295" s="23" t="n">
        <v>46559</v>
      </c>
      <c r="C295" s="28" t="n">
        <v>7500000000</v>
      </c>
      <c r="D295" s="28" t="n">
        <v>93906250</v>
      </c>
      <c r="E295" s="28" t="n">
        <v>0</v>
      </c>
      <c r="F295" s="28" t="n">
        <v>93906250</v>
      </c>
      <c r="G295" s="28" t="n">
        <v>7500000000</v>
      </c>
      <c r="H295" s="25" t="n">
        <f aca="false">J294</f>
        <v>7500000000</v>
      </c>
      <c r="I295" s="25" t="n">
        <f aca="false">H295*N295</f>
        <v>93906250</v>
      </c>
      <c r="J295" s="25" t="n">
        <f aca="false">H295-E295</f>
        <v>7500000000</v>
      </c>
      <c r="K295" s="25" t="n">
        <f aca="false">D295-I295</f>
        <v>0</v>
      </c>
      <c r="L295" s="25" t="n">
        <f aca="false">G295-J295</f>
        <v>0</v>
      </c>
      <c r="M295" s="25" t="n">
        <f aca="false">F295</f>
        <v>93906250</v>
      </c>
      <c r="N295" s="48" t="n">
        <v>0.0125208333333333</v>
      </c>
      <c r="O295" s="25" t="n">
        <f aca="false">IF(AND(B295&gt;=DATE(2026,1,1),B295&lt;=Resumen!$C$5),1,0)</f>
        <v>0</v>
      </c>
      <c r="P295" s="25" t="n">
        <f aca="false">IF(AND(B295&gt;Resumen!$C$5,B295&lt;=DATE(2027,7,31)),1,0)</f>
        <v>1</v>
      </c>
    </row>
    <row r="296" customFormat="false" ht="15" hidden="false" customHeight="false" outlineLevel="0" collapsed="false">
      <c r="A296" s="22" t="n">
        <v>40</v>
      </c>
      <c r="B296" s="23" t="n">
        <v>46589</v>
      </c>
      <c r="C296" s="28" t="n">
        <v>7500000000</v>
      </c>
      <c r="D296" s="28" t="n">
        <v>93906250</v>
      </c>
      <c r="E296" s="28" t="n">
        <v>0</v>
      </c>
      <c r="F296" s="28" t="n">
        <v>93906250</v>
      </c>
      <c r="G296" s="28" t="n">
        <v>7500000000</v>
      </c>
      <c r="H296" s="25" t="n">
        <f aca="false">J295</f>
        <v>7500000000</v>
      </c>
      <c r="I296" s="25" t="n">
        <f aca="false">H296*N296</f>
        <v>93906250</v>
      </c>
      <c r="J296" s="25" t="n">
        <f aca="false">H296-E296</f>
        <v>7500000000</v>
      </c>
      <c r="K296" s="25" t="n">
        <f aca="false">D296-I296</f>
        <v>0</v>
      </c>
      <c r="L296" s="25" t="n">
        <f aca="false">G296-J296</f>
        <v>0</v>
      </c>
      <c r="M296" s="25" t="n">
        <f aca="false">F296</f>
        <v>93906250</v>
      </c>
      <c r="N296" s="48" t="n">
        <v>0.0125208333333333</v>
      </c>
      <c r="O296" s="25" t="n">
        <f aca="false">IF(AND(B296&gt;=DATE(2026,1,1),B296&lt;=Resumen!$C$5),1,0)</f>
        <v>0</v>
      </c>
      <c r="P296" s="25" t="n">
        <f aca="false">IF(AND(B296&gt;Resumen!$C$5,B296&lt;=DATE(2027,7,31)),1,0)</f>
        <v>1</v>
      </c>
    </row>
    <row r="297" customFormat="false" ht="15" hidden="false" customHeight="false" outlineLevel="0" collapsed="false">
      <c r="A297" s="22" t="n">
        <v>41</v>
      </c>
      <c r="B297" s="23" t="n">
        <v>46620</v>
      </c>
      <c r="C297" s="28" t="n">
        <v>7500000000</v>
      </c>
      <c r="D297" s="28" t="n">
        <v>93906250</v>
      </c>
      <c r="E297" s="28" t="n">
        <v>0</v>
      </c>
      <c r="F297" s="28" t="n">
        <v>93906250</v>
      </c>
      <c r="G297" s="28" t="n">
        <v>7500000000</v>
      </c>
      <c r="H297" s="25" t="n">
        <f aca="false">J296</f>
        <v>7500000000</v>
      </c>
      <c r="I297" s="25" t="n">
        <f aca="false">H297*N297</f>
        <v>93906250</v>
      </c>
      <c r="J297" s="25" t="n">
        <f aca="false">H297-E297</f>
        <v>7500000000</v>
      </c>
      <c r="K297" s="25" t="n">
        <f aca="false">D297-I297</f>
        <v>0</v>
      </c>
      <c r="L297" s="25" t="n">
        <f aca="false">G297-J297</f>
        <v>0</v>
      </c>
      <c r="M297" s="25" t="n">
        <f aca="false">F297</f>
        <v>93906250</v>
      </c>
      <c r="N297" s="48" t="n">
        <v>0.0125208333333333</v>
      </c>
      <c r="O297" s="25" t="n">
        <f aca="false">IF(AND(B297&gt;=DATE(2026,1,1),B297&lt;=Resumen!$C$5),1,0)</f>
        <v>0</v>
      </c>
      <c r="P297" s="25" t="n">
        <f aca="false">IF(AND(B297&gt;Resumen!$C$5,B297&lt;=DATE(2027,7,31)),1,0)</f>
        <v>0</v>
      </c>
    </row>
    <row r="298" customFormat="false" ht="15" hidden="false" customHeight="false" outlineLevel="0" collapsed="false">
      <c r="A298" s="22" t="n">
        <v>42</v>
      </c>
      <c r="B298" s="23" t="n">
        <v>46651</v>
      </c>
      <c r="C298" s="28" t="n">
        <v>7500000000</v>
      </c>
      <c r="D298" s="28" t="n">
        <v>93906250</v>
      </c>
      <c r="E298" s="28" t="n">
        <v>0</v>
      </c>
      <c r="F298" s="28" t="n">
        <v>93906250</v>
      </c>
      <c r="G298" s="28" t="n">
        <v>7500000000</v>
      </c>
      <c r="H298" s="25" t="n">
        <f aca="false">J297</f>
        <v>7500000000</v>
      </c>
      <c r="I298" s="25" t="n">
        <f aca="false">H298*N298</f>
        <v>93906250</v>
      </c>
      <c r="J298" s="25" t="n">
        <f aca="false">H298-E298</f>
        <v>7500000000</v>
      </c>
      <c r="K298" s="25" t="n">
        <f aca="false">D298-I298</f>
        <v>0</v>
      </c>
      <c r="L298" s="25" t="n">
        <f aca="false">G298-J298</f>
        <v>0</v>
      </c>
      <c r="M298" s="25" t="n">
        <f aca="false">F298</f>
        <v>93906250</v>
      </c>
      <c r="N298" s="48" t="n">
        <v>0.0125208333333333</v>
      </c>
      <c r="O298" s="25" t="n">
        <f aca="false">IF(AND(B298&gt;=DATE(2026,1,1),B298&lt;=Resumen!$C$5),1,0)</f>
        <v>0</v>
      </c>
      <c r="P298" s="25" t="n">
        <f aca="false">IF(AND(B298&gt;Resumen!$C$5,B298&lt;=DATE(2027,7,31)),1,0)</f>
        <v>0</v>
      </c>
    </row>
    <row r="299" customFormat="false" ht="15" hidden="false" customHeight="false" outlineLevel="0" collapsed="false">
      <c r="A299" s="22" t="n">
        <v>43</v>
      </c>
      <c r="B299" s="23" t="n">
        <v>46681</v>
      </c>
      <c r="C299" s="28" t="n">
        <v>7500000000</v>
      </c>
      <c r="D299" s="28" t="n">
        <v>93906250</v>
      </c>
      <c r="E299" s="28" t="n">
        <v>0</v>
      </c>
      <c r="F299" s="28" t="n">
        <v>93906250</v>
      </c>
      <c r="G299" s="28" t="n">
        <v>7500000000</v>
      </c>
      <c r="H299" s="25" t="n">
        <f aca="false">J298</f>
        <v>7500000000</v>
      </c>
      <c r="I299" s="25" t="n">
        <f aca="false">H299*N299</f>
        <v>93906250</v>
      </c>
      <c r="J299" s="25" t="n">
        <f aca="false">H299-E299</f>
        <v>7500000000</v>
      </c>
      <c r="K299" s="25" t="n">
        <f aca="false">D299-I299</f>
        <v>0</v>
      </c>
      <c r="L299" s="25" t="n">
        <f aca="false">G299-J299</f>
        <v>0</v>
      </c>
      <c r="M299" s="25" t="n">
        <f aca="false">F299</f>
        <v>93906250</v>
      </c>
      <c r="N299" s="48" t="n">
        <v>0.0125208333333333</v>
      </c>
      <c r="O299" s="25" t="n">
        <f aca="false">IF(AND(B299&gt;=DATE(2026,1,1),B299&lt;=Resumen!$C$5),1,0)</f>
        <v>0</v>
      </c>
      <c r="P299" s="25" t="n">
        <f aca="false">IF(AND(B299&gt;Resumen!$C$5,B299&lt;=DATE(2027,7,31)),1,0)</f>
        <v>0</v>
      </c>
    </row>
    <row r="300" customFormat="false" ht="15" hidden="false" customHeight="false" outlineLevel="0" collapsed="false">
      <c r="A300" s="22" t="n">
        <v>44</v>
      </c>
      <c r="B300" s="23" t="n">
        <v>46712</v>
      </c>
      <c r="C300" s="28" t="n">
        <v>7500000000</v>
      </c>
      <c r="D300" s="28" t="n">
        <v>93906250</v>
      </c>
      <c r="E300" s="28" t="n">
        <v>0</v>
      </c>
      <c r="F300" s="28" t="n">
        <v>93906250</v>
      </c>
      <c r="G300" s="28" t="n">
        <v>7500000000</v>
      </c>
      <c r="H300" s="25" t="n">
        <f aca="false">J299</f>
        <v>7500000000</v>
      </c>
      <c r="I300" s="25" t="n">
        <f aca="false">H300*N300</f>
        <v>93906250</v>
      </c>
      <c r="J300" s="25" t="n">
        <f aca="false">H300-E300</f>
        <v>7500000000</v>
      </c>
      <c r="K300" s="25" t="n">
        <f aca="false">D300-I300</f>
        <v>0</v>
      </c>
      <c r="L300" s="25" t="n">
        <f aca="false">G300-J300</f>
        <v>0</v>
      </c>
      <c r="M300" s="25" t="n">
        <f aca="false">F300</f>
        <v>93906250</v>
      </c>
      <c r="N300" s="48" t="n">
        <v>0.0125208333333333</v>
      </c>
      <c r="O300" s="25" t="n">
        <f aca="false">IF(AND(B300&gt;=DATE(2026,1,1),B300&lt;=Resumen!$C$5),1,0)</f>
        <v>0</v>
      </c>
      <c r="P300" s="25" t="n">
        <f aca="false">IF(AND(B300&gt;Resumen!$C$5,B300&lt;=DATE(2027,7,31)),1,0)</f>
        <v>0</v>
      </c>
    </row>
    <row r="301" customFormat="false" ht="15" hidden="false" customHeight="false" outlineLevel="0" collapsed="false">
      <c r="A301" s="22" t="n">
        <v>45</v>
      </c>
      <c r="B301" s="23" t="n">
        <v>46742</v>
      </c>
      <c r="C301" s="28" t="n">
        <v>7500000000</v>
      </c>
      <c r="D301" s="28" t="n">
        <v>93906250</v>
      </c>
      <c r="E301" s="28" t="n">
        <v>0</v>
      </c>
      <c r="F301" s="28" t="n">
        <v>93906250</v>
      </c>
      <c r="G301" s="28" t="n">
        <v>7500000000</v>
      </c>
      <c r="H301" s="25" t="n">
        <f aca="false">J300</f>
        <v>7500000000</v>
      </c>
      <c r="I301" s="25" t="n">
        <f aca="false">H301*N301</f>
        <v>93906250</v>
      </c>
      <c r="J301" s="25" t="n">
        <f aca="false">H301-E301</f>
        <v>7500000000</v>
      </c>
      <c r="K301" s="25" t="n">
        <f aca="false">D301-I301</f>
        <v>0</v>
      </c>
      <c r="L301" s="25" t="n">
        <f aca="false">G301-J301</f>
        <v>0</v>
      </c>
      <c r="M301" s="25" t="n">
        <f aca="false">F301</f>
        <v>93906250</v>
      </c>
      <c r="N301" s="48" t="n">
        <v>0.0125208333333333</v>
      </c>
      <c r="O301" s="25" t="n">
        <f aca="false">IF(AND(B301&gt;=DATE(2026,1,1),B301&lt;=Resumen!$C$5),1,0)</f>
        <v>0</v>
      </c>
      <c r="P301" s="25" t="n">
        <f aca="false">IF(AND(B301&gt;Resumen!$C$5,B301&lt;=DATE(2027,7,31)),1,0)</f>
        <v>0</v>
      </c>
    </row>
    <row r="302" customFormat="false" ht="15" hidden="false" customHeight="false" outlineLevel="0" collapsed="false">
      <c r="A302" s="22" t="n">
        <v>46</v>
      </c>
      <c r="B302" s="23" t="n">
        <v>46773</v>
      </c>
      <c r="C302" s="28" t="n">
        <v>7500000000</v>
      </c>
      <c r="D302" s="28" t="n">
        <v>93906250</v>
      </c>
      <c r="E302" s="28" t="n">
        <v>0</v>
      </c>
      <c r="F302" s="28" t="n">
        <v>93906250</v>
      </c>
      <c r="G302" s="28" t="n">
        <v>7500000000</v>
      </c>
      <c r="H302" s="25" t="n">
        <f aca="false">J301</f>
        <v>7500000000</v>
      </c>
      <c r="I302" s="25" t="n">
        <f aca="false">H302*N302</f>
        <v>93906250</v>
      </c>
      <c r="J302" s="25" t="n">
        <f aca="false">H302-E302</f>
        <v>7500000000</v>
      </c>
      <c r="K302" s="25" t="n">
        <f aca="false">D302-I302</f>
        <v>0</v>
      </c>
      <c r="L302" s="25" t="n">
        <f aca="false">G302-J302</f>
        <v>0</v>
      </c>
      <c r="M302" s="25" t="n">
        <f aca="false">F302</f>
        <v>93906250</v>
      </c>
      <c r="N302" s="48" t="n">
        <v>0.0125208333333333</v>
      </c>
      <c r="O302" s="25" t="n">
        <f aca="false">IF(AND(B302&gt;=DATE(2026,1,1),B302&lt;=Resumen!$C$5),1,0)</f>
        <v>0</v>
      </c>
      <c r="P302" s="25" t="n">
        <f aca="false">IF(AND(B302&gt;Resumen!$C$5,B302&lt;=DATE(2027,7,31)),1,0)</f>
        <v>0</v>
      </c>
    </row>
    <row r="303" customFormat="false" ht="15" hidden="false" customHeight="false" outlineLevel="0" collapsed="false">
      <c r="A303" s="22" t="n">
        <v>47</v>
      </c>
      <c r="B303" s="23" t="n">
        <v>46804</v>
      </c>
      <c r="C303" s="28" t="n">
        <v>7500000000</v>
      </c>
      <c r="D303" s="28" t="n">
        <v>93906250</v>
      </c>
      <c r="E303" s="28" t="n">
        <v>0</v>
      </c>
      <c r="F303" s="28" t="n">
        <v>93906250</v>
      </c>
      <c r="G303" s="28" t="n">
        <v>7500000000</v>
      </c>
      <c r="H303" s="25" t="n">
        <f aca="false">J302</f>
        <v>7500000000</v>
      </c>
      <c r="I303" s="25" t="n">
        <f aca="false">H303*N303</f>
        <v>93906250</v>
      </c>
      <c r="J303" s="25" t="n">
        <f aca="false">H303-E303</f>
        <v>7500000000</v>
      </c>
      <c r="K303" s="25" t="n">
        <f aca="false">D303-I303</f>
        <v>0</v>
      </c>
      <c r="L303" s="25" t="n">
        <f aca="false">G303-J303</f>
        <v>0</v>
      </c>
      <c r="M303" s="25" t="n">
        <f aca="false">F303</f>
        <v>93906250</v>
      </c>
      <c r="N303" s="48" t="n">
        <v>0.0125208333333333</v>
      </c>
      <c r="O303" s="25" t="n">
        <f aca="false">IF(AND(B303&gt;=DATE(2026,1,1),B303&lt;=Resumen!$C$5),1,0)</f>
        <v>0</v>
      </c>
      <c r="P303" s="25" t="n">
        <f aca="false">IF(AND(B303&gt;Resumen!$C$5,B303&lt;=DATE(2027,7,31)),1,0)</f>
        <v>0</v>
      </c>
    </row>
    <row r="304" customFormat="false" ht="15" hidden="false" customHeight="false" outlineLevel="0" collapsed="false">
      <c r="A304" s="22" t="n">
        <v>48</v>
      </c>
      <c r="B304" s="23" t="n">
        <v>46833</v>
      </c>
      <c r="C304" s="28" t="n">
        <v>7500000000</v>
      </c>
      <c r="D304" s="28" t="n">
        <v>93906250</v>
      </c>
      <c r="E304" s="28" t="n">
        <v>0</v>
      </c>
      <c r="F304" s="28" t="n">
        <v>93906250</v>
      </c>
      <c r="G304" s="28" t="n">
        <v>7500000000</v>
      </c>
      <c r="H304" s="25" t="n">
        <f aca="false">J303</f>
        <v>7500000000</v>
      </c>
      <c r="I304" s="25" t="n">
        <f aca="false">H304*N304</f>
        <v>93906250</v>
      </c>
      <c r="J304" s="25" t="n">
        <f aca="false">H304-E304</f>
        <v>7500000000</v>
      </c>
      <c r="K304" s="25" t="n">
        <f aca="false">D304-I304</f>
        <v>0</v>
      </c>
      <c r="L304" s="25" t="n">
        <f aca="false">G304-J304</f>
        <v>0</v>
      </c>
      <c r="M304" s="25" t="n">
        <f aca="false">F304</f>
        <v>93906250</v>
      </c>
      <c r="N304" s="48" t="n">
        <v>0.0125208333333333</v>
      </c>
      <c r="O304" s="25" t="n">
        <f aca="false">IF(AND(B304&gt;=DATE(2026,1,1),B304&lt;=Resumen!$C$5),1,0)</f>
        <v>0</v>
      </c>
      <c r="P304" s="25" t="n">
        <f aca="false">IF(AND(B304&gt;Resumen!$C$5,B304&lt;=DATE(2027,7,31)),1,0)</f>
        <v>0</v>
      </c>
    </row>
    <row r="305" customFormat="false" ht="15" hidden="false" customHeight="false" outlineLevel="0" collapsed="false">
      <c r="A305" s="22" t="n">
        <v>49</v>
      </c>
      <c r="B305" s="23" t="n">
        <v>46864</v>
      </c>
      <c r="C305" s="28" t="n">
        <v>7500000000</v>
      </c>
      <c r="D305" s="28" t="n">
        <v>93906250</v>
      </c>
      <c r="E305" s="28" t="n">
        <v>0</v>
      </c>
      <c r="F305" s="28" t="n">
        <v>93906250</v>
      </c>
      <c r="G305" s="28" t="n">
        <v>7500000000</v>
      </c>
      <c r="H305" s="25" t="n">
        <f aca="false">J304</f>
        <v>7500000000</v>
      </c>
      <c r="I305" s="25" t="n">
        <f aca="false">H305*N305</f>
        <v>93906250</v>
      </c>
      <c r="J305" s="25" t="n">
        <f aca="false">H305-E305</f>
        <v>7500000000</v>
      </c>
      <c r="K305" s="25" t="n">
        <f aca="false">D305-I305</f>
        <v>0</v>
      </c>
      <c r="L305" s="25" t="n">
        <f aca="false">G305-J305</f>
        <v>0</v>
      </c>
      <c r="M305" s="25" t="n">
        <f aca="false">F305</f>
        <v>93906250</v>
      </c>
      <c r="N305" s="48" t="n">
        <v>0.0125208333333333</v>
      </c>
      <c r="O305" s="25" t="n">
        <f aca="false">IF(AND(B305&gt;=DATE(2026,1,1),B305&lt;=Resumen!$C$5),1,0)</f>
        <v>0</v>
      </c>
      <c r="P305" s="25" t="n">
        <f aca="false">IF(AND(B305&gt;Resumen!$C$5,B305&lt;=DATE(2027,7,31)),1,0)</f>
        <v>0</v>
      </c>
    </row>
    <row r="306" customFormat="false" ht="15" hidden="false" customHeight="false" outlineLevel="0" collapsed="false">
      <c r="A306" s="22" t="n">
        <v>50</v>
      </c>
      <c r="B306" s="23" t="n">
        <v>46894</v>
      </c>
      <c r="C306" s="28" t="n">
        <v>7500000000</v>
      </c>
      <c r="D306" s="28" t="n">
        <v>93906250</v>
      </c>
      <c r="E306" s="28" t="n">
        <v>0</v>
      </c>
      <c r="F306" s="28" t="n">
        <v>93906250</v>
      </c>
      <c r="G306" s="28" t="n">
        <v>7500000000</v>
      </c>
      <c r="H306" s="25" t="n">
        <f aca="false">J305</f>
        <v>7500000000</v>
      </c>
      <c r="I306" s="25" t="n">
        <f aca="false">H306*N306</f>
        <v>93906250</v>
      </c>
      <c r="J306" s="25" t="n">
        <f aca="false">H306-E306</f>
        <v>7500000000</v>
      </c>
      <c r="K306" s="25" t="n">
        <f aca="false">D306-I306</f>
        <v>0</v>
      </c>
      <c r="L306" s="25" t="n">
        <f aca="false">G306-J306</f>
        <v>0</v>
      </c>
      <c r="M306" s="25" t="n">
        <f aca="false">F306</f>
        <v>93906250</v>
      </c>
      <c r="N306" s="48" t="n">
        <v>0.0125208333333333</v>
      </c>
      <c r="O306" s="25" t="n">
        <f aca="false">IF(AND(B306&gt;=DATE(2026,1,1),B306&lt;=Resumen!$C$5),1,0)</f>
        <v>0</v>
      </c>
      <c r="P306" s="25" t="n">
        <f aca="false">IF(AND(B306&gt;Resumen!$C$5,B306&lt;=DATE(2027,7,31)),1,0)</f>
        <v>0</v>
      </c>
    </row>
    <row r="307" customFormat="false" ht="15" hidden="false" customHeight="false" outlineLevel="0" collapsed="false">
      <c r="A307" s="22" t="n">
        <v>51</v>
      </c>
      <c r="B307" s="23" t="n">
        <v>46925</v>
      </c>
      <c r="C307" s="28" t="n">
        <v>7500000000</v>
      </c>
      <c r="D307" s="28" t="n">
        <v>93906250</v>
      </c>
      <c r="E307" s="28" t="n">
        <v>0</v>
      </c>
      <c r="F307" s="28" t="n">
        <v>93906250</v>
      </c>
      <c r="G307" s="28" t="n">
        <v>7500000000</v>
      </c>
      <c r="H307" s="25" t="n">
        <f aca="false">J306</f>
        <v>7500000000</v>
      </c>
      <c r="I307" s="25" t="n">
        <f aca="false">H307*N307</f>
        <v>93906250</v>
      </c>
      <c r="J307" s="25" t="n">
        <f aca="false">H307-E307</f>
        <v>7500000000</v>
      </c>
      <c r="K307" s="25" t="n">
        <f aca="false">D307-I307</f>
        <v>0</v>
      </c>
      <c r="L307" s="25" t="n">
        <f aca="false">G307-J307</f>
        <v>0</v>
      </c>
      <c r="M307" s="25" t="n">
        <f aca="false">F307</f>
        <v>93906250</v>
      </c>
      <c r="N307" s="48" t="n">
        <v>0.0125208333333333</v>
      </c>
      <c r="O307" s="25" t="n">
        <f aca="false">IF(AND(B307&gt;=DATE(2026,1,1),B307&lt;=Resumen!$C$5),1,0)</f>
        <v>0</v>
      </c>
      <c r="P307" s="25" t="n">
        <f aca="false">IF(AND(B307&gt;Resumen!$C$5,B307&lt;=DATE(2027,7,31)),1,0)</f>
        <v>0</v>
      </c>
    </row>
    <row r="308" customFormat="false" ht="15" hidden="false" customHeight="false" outlineLevel="0" collapsed="false">
      <c r="A308" s="22" t="n">
        <v>52</v>
      </c>
      <c r="B308" s="23" t="n">
        <v>46955</v>
      </c>
      <c r="C308" s="28" t="n">
        <v>7500000000</v>
      </c>
      <c r="D308" s="28" t="n">
        <v>93906250</v>
      </c>
      <c r="E308" s="28" t="n">
        <v>0</v>
      </c>
      <c r="F308" s="28" t="n">
        <v>93906250</v>
      </c>
      <c r="G308" s="28" t="n">
        <v>7500000000</v>
      </c>
      <c r="H308" s="25" t="n">
        <f aca="false">J307</f>
        <v>7500000000</v>
      </c>
      <c r="I308" s="25" t="n">
        <f aca="false">H308*N308</f>
        <v>93906250</v>
      </c>
      <c r="J308" s="25" t="n">
        <f aca="false">H308-E308</f>
        <v>7500000000</v>
      </c>
      <c r="K308" s="25" t="n">
        <f aca="false">D308-I308</f>
        <v>0</v>
      </c>
      <c r="L308" s="25" t="n">
        <f aca="false">G308-J308</f>
        <v>0</v>
      </c>
      <c r="M308" s="25" t="n">
        <f aca="false">F308</f>
        <v>93906250</v>
      </c>
      <c r="N308" s="48" t="n">
        <v>0.0125208333333333</v>
      </c>
      <c r="O308" s="25" t="n">
        <f aca="false">IF(AND(B308&gt;=DATE(2026,1,1),B308&lt;=Resumen!$C$5),1,0)</f>
        <v>0</v>
      </c>
      <c r="P308" s="25" t="n">
        <f aca="false">IF(AND(B308&gt;Resumen!$C$5,B308&lt;=DATE(2027,7,31)),1,0)</f>
        <v>0</v>
      </c>
    </row>
    <row r="309" customFormat="false" ht="15" hidden="false" customHeight="false" outlineLevel="0" collapsed="false">
      <c r="A309" s="22" t="n">
        <v>53</v>
      </c>
      <c r="B309" s="23" t="n">
        <v>46986</v>
      </c>
      <c r="C309" s="28" t="n">
        <v>7500000000</v>
      </c>
      <c r="D309" s="28" t="n">
        <v>93906250</v>
      </c>
      <c r="E309" s="28" t="n">
        <v>0</v>
      </c>
      <c r="F309" s="28" t="n">
        <v>93906250</v>
      </c>
      <c r="G309" s="28" t="n">
        <v>7500000000</v>
      </c>
      <c r="H309" s="25" t="n">
        <f aca="false">J308</f>
        <v>7500000000</v>
      </c>
      <c r="I309" s="25" t="n">
        <f aca="false">H309*N309</f>
        <v>93906250</v>
      </c>
      <c r="J309" s="25" t="n">
        <f aca="false">H309-E309</f>
        <v>7500000000</v>
      </c>
      <c r="K309" s="25" t="n">
        <f aca="false">D309-I309</f>
        <v>0</v>
      </c>
      <c r="L309" s="25" t="n">
        <f aca="false">G309-J309</f>
        <v>0</v>
      </c>
      <c r="M309" s="25" t="n">
        <f aca="false">F309</f>
        <v>93906250</v>
      </c>
      <c r="N309" s="48" t="n">
        <v>0.0125208333333333</v>
      </c>
      <c r="O309" s="25" t="n">
        <f aca="false">IF(AND(B309&gt;=DATE(2026,1,1),B309&lt;=Resumen!$C$5),1,0)</f>
        <v>0</v>
      </c>
      <c r="P309" s="25" t="n">
        <f aca="false">IF(AND(B309&gt;Resumen!$C$5,B309&lt;=DATE(2027,7,31)),1,0)</f>
        <v>0</v>
      </c>
    </row>
    <row r="310" customFormat="false" ht="15" hidden="false" customHeight="false" outlineLevel="0" collapsed="false">
      <c r="A310" s="22" t="n">
        <v>54</v>
      </c>
      <c r="B310" s="23" t="n">
        <v>47017</v>
      </c>
      <c r="C310" s="28" t="n">
        <v>7500000000</v>
      </c>
      <c r="D310" s="28" t="n">
        <v>93906250</v>
      </c>
      <c r="E310" s="28" t="n">
        <v>0</v>
      </c>
      <c r="F310" s="28" t="n">
        <v>93906250</v>
      </c>
      <c r="G310" s="28" t="n">
        <v>7500000000</v>
      </c>
      <c r="H310" s="25" t="n">
        <f aca="false">J309</f>
        <v>7500000000</v>
      </c>
      <c r="I310" s="25" t="n">
        <f aca="false">H310*N310</f>
        <v>93906250</v>
      </c>
      <c r="J310" s="25" t="n">
        <f aca="false">H310-E310</f>
        <v>7500000000</v>
      </c>
      <c r="K310" s="25" t="n">
        <f aca="false">D310-I310</f>
        <v>0</v>
      </c>
      <c r="L310" s="25" t="n">
        <f aca="false">G310-J310</f>
        <v>0</v>
      </c>
      <c r="M310" s="25" t="n">
        <f aca="false">F310</f>
        <v>93906250</v>
      </c>
      <c r="N310" s="48" t="n">
        <v>0.0125208333333333</v>
      </c>
      <c r="O310" s="25" t="n">
        <f aca="false">IF(AND(B310&gt;=DATE(2026,1,1),B310&lt;=Resumen!$C$5),1,0)</f>
        <v>0</v>
      </c>
      <c r="P310" s="25" t="n">
        <f aca="false">IF(AND(B310&gt;Resumen!$C$5,B310&lt;=DATE(2027,7,31)),1,0)</f>
        <v>0</v>
      </c>
    </row>
    <row r="311" customFormat="false" ht="15" hidden="false" customHeight="false" outlineLevel="0" collapsed="false">
      <c r="A311" s="22" t="n">
        <v>55</v>
      </c>
      <c r="B311" s="23" t="n">
        <v>47047</v>
      </c>
      <c r="C311" s="28" t="n">
        <v>7500000000</v>
      </c>
      <c r="D311" s="28" t="n">
        <v>93906250</v>
      </c>
      <c r="E311" s="28" t="n">
        <v>0</v>
      </c>
      <c r="F311" s="28" t="n">
        <v>93906250</v>
      </c>
      <c r="G311" s="28" t="n">
        <v>7500000000</v>
      </c>
      <c r="H311" s="25" t="n">
        <f aca="false">J310</f>
        <v>7500000000</v>
      </c>
      <c r="I311" s="25" t="n">
        <f aca="false">H311*N311</f>
        <v>93906250</v>
      </c>
      <c r="J311" s="25" t="n">
        <f aca="false">H311-E311</f>
        <v>7500000000</v>
      </c>
      <c r="K311" s="25" t="n">
        <f aca="false">D311-I311</f>
        <v>0</v>
      </c>
      <c r="L311" s="25" t="n">
        <f aca="false">G311-J311</f>
        <v>0</v>
      </c>
      <c r="M311" s="25" t="n">
        <f aca="false">F311</f>
        <v>93906250</v>
      </c>
      <c r="N311" s="48" t="n">
        <v>0.0125208333333333</v>
      </c>
      <c r="O311" s="25" t="n">
        <f aca="false">IF(AND(B311&gt;=DATE(2026,1,1),B311&lt;=Resumen!$C$5),1,0)</f>
        <v>0</v>
      </c>
      <c r="P311" s="25" t="n">
        <f aca="false">IF(AND(B311&gt;Resumen!$C$5,B311&lt;=DATE(2027,7,31)),1,0)</f>
        <v>0</v>
      </c>
    </row>
    <row r="312" customFormat="false" ht="15" hidden="false" customHeight="false" outlineLevel="0" collapsed="false">
      <c r="A312" s="22" t="n">
        <v>56</v>
      </c>
      <c r="B312" s="23" t="n">
        <v>47078</v>
      </c>
      <c r="C312" s="28" t="n">
        <v>7500000000</v>
      </c>
      <c r="D312" s="28" t="n">
        <v>93906250</v>
      </c>
      <c r="E312" s="28" t="n">
        <v>0</v>
      </c>
      <c r="F312" s="28" t="n">
        <v>93906250</v>
      </c>
      <c r="G312" s="28" t="n">
        <v>7500000000</v>
      </c>
      <c r="H312" s="25" t="n">
        <f aca="false">J311</f>
        <v>7500000000</v>
      </c>
      <c r="I312" s="25" t="n">
        <f aca="false">H312*N312</f>
        <v>93906250</v>
      </c>
      <c r="J312" s="25" t="n">
        <f aca="false">H312-E312</f>
        <v>7500000000</v>
      </c>
      <c r="K312" s="25" t="n">
        <f aca="false">D312-I312</f>
        <v>0</v>
      </c>
      <c r="L312" s="25" t="n">
        <f aca="false">G312-J312</f>
        <v>0</v>
      </c>
      <c r="M312" s="25" t="n">
        <f aca="false">F312</f>
        <v>93906250</v>
      </c>
      <c r="N312" s="48" t="n">
        <v>0.0125208333333333</v>
      </c>
      <c r="O312" s="25" t="n">
        <f aca="false">IF(AND(B312&gt;=DATE(2026,1,1),B312&lt;=Resumen!$C$5),1,0)</f>
        <v>0</v>
      </c>
      <c r="P312" s="25" t="n">
        <f aca="false">IF(AND(B312&gt;Resumen!$C$5,B312&lt;=DATE(2027,7,31)),1,0)</f>
        <v>0</v>
      </c>
    </row>
    <row r="313" customFormat="false" ht="15" hidden="false" customHeight="false" outlineLevel="0" collapsed="false">
      <c r="A313" s="22" t="n">
        <v>57</v>
      </c>
      <c r="B313" s="23" t="n">
        <v>47108</v>
      </c>
      <c r="C313" s="28" t="n">
        <v>7500000000</v>
      </c>
      <c r="D313" s="28" t="n">
        <v>93906250</v>
      </c>
      <c r="E313" s="28" t="n">
        <v>0</v>
      </c>
      <c r="F313" s="28" t="n">
        <v>93906250</v>
      </c>
      <c r="G313" s="28" t="n">
        <v>7500000000</v>
      </c>
      <c r="H313" s="25" t="n">
        <f aca="false">J312</f>
        <v>7500000000</v>
      </c>
      <c r="I313" s="25" t="n">
        <f aca="false">H313*N313</f>
        <v>93906250</v>
      </c>
      <c r="J313" s="25" t="n">
        <f aca="false">H313-E313</f>
        <v>7500000000</v>
      </c>
      <c r="K313" s="25" t="n">
        <f aca="false">D313-I313</f>
        <v>0</v>
      </c>
      <c r="L313" s="25" t="n">
        <f aca="false">G313-J313</f>
        <v>0</v>
      </c>
      <c r="M313" s="25" t="n">
        <f aca="false">F313</f>
        <v>93906250</v>
      </c>
      <c r="N313" s="48" t="n">
        <v>0.0125208333333333</v>
      </c>
      <c r="O313" s="25" t="n">
        <f aca="false">IF(AND(B313&gt;=DATE(2026,1,1),B313&lt;=Resumen!$C$5),1,0)</f>
        <v>0</v>
      </c>
      <c r="P313" s="25" t="n">
        <f aca="false">IF(AND(B313&gt;Resumen!$C$5,B313&lt;=DATE(2027,7,31)),1,0)</f>
        <v>0</v>
      </c>
    </row>
    <row r="314" customFormat="false" ht="15" hidden="false" customHeight="false" outlineLevel="0" collapsed="false">
      <c r="A314" s="22" t="n">
        <v>58</v>
      </c>
      <c r="B314" s="23" t="n">
        <v>47139</v>
      </c>
      <c r="C314" s="28" t="n">
        <v>7500000000</v>
      </c>
      <c r="D314" s="28" t="n">
        <v>93906250</v>
      </c>
      <c r="E314" s="28" t="n">
        <v>0</v>
      </c>
      <c r="F314" s="28" t="n">
        <v>93906250</v>
      </c>
      <c r="G314" s="28" t="n">
        <v>7500000000</v>
      </c>
      <c r="H314" s="25" t="n">
        <f aca="false">J313</f>
        <v>7500000000</v>
      </c>
      <c r="I314" s="25" t="n">
        <f aca="false">H314*N314</f>
        <v>93906250</v>
      </c>
      <c r="J314" s="25" t="n">
        <f aca="false">H314-E314</f>
        <v>7500000000</v>
      </c>
      <c r="K314" s="25" t="n">
        <f aca="false">D314-I314</f>
        <v>0</v>
      </c>
      <c r="L314" s="25" t="n">
        <f aca="false">G314-J314</f>
        <v>0</v>
      </c>
      <c r="M314" s="25" t="n">
        <f aca="false">F314</f>
        <v>93906250</v>
      </c>
      <c r="N314" s="48" t="n">
        <v>0.0125208333333333</v>
      </c>
      <c r="O314" s="25" t="n">
        <f aca="false">IF(AND(B314&gt;=DATE(2026,1,1),B314&lt;=Resumen!$C$5),1,0)</f>
        <v>0</v>
      </c>
      <c r="P314" s="25" t="n">
        <f aca="false">IF(AND(B314&gt;Resumen!$C$5,B314&lt;=DATE(2027,7,31)),1,0)</f>
        <v>0</v>
      </c>
    </row>
    <row r="315" customFormat="false" ht="15" hidden="false" customHeight="false" outlineLevel="0" collapsed="false">
      <c r="A315" s="22" t="n">
        <v>59</v>
      </c>
      <c r="B315" s="23" t="n">
        <v>47170</v>
      </c>
      <c r="C315" s="28" t="n">
        <v>7500000000</v>
      </c>
      <c r="D315" s="28" t="n">
        <v>93906250</v>
      </c>
      <c r="E315" s="28" t="n">
        <v>0</v>
      </c>
      <c r="F315" s="28" t="n">
        <v>93906250</v>
      </c>
      <c r="G315" s="28" t="n">
        <v>7500000000</v>
      </c>
      <c r="H315" s="25" t="n">
        <f aca="false">J314</f>
        <v>7500000000</v>
      </c>
      <c r="I315" s="25" t="n">
        <f aca="false">H315*N315</f>
        <v>93906250</v>
      </c>
      <c r="J315" s="25" t="n">
        <f aca="false">H315-E315</f>
        <v>7500000000</v>
      </c>
      <c r="K315" s="25" t="n">
        <f aca="false">D315-I315</f>
        <v>0</v>
      </c>
      <c r="L315" s="25" t="n">
        <f aca="false">G315-J315</f>
        <v>0</v>
      </c>
      <c r="M315" s="25" t="n">
        <f aca="false">F315</f>
        <v>93906250</v>
      </c>
      <c r="N315" s="48" t="n">
        <v>0.0125208333333333</v>
      </c>
      <c r="O315" s="25" t="n">
        <f aca="false">IF(AND(B315&gt;=DATE(2026,1,1),B315&lt;=Resumen!$C$5),1,0)</f>
        <v>0</v>
      </c>
      <c r="P315" s="25" t="n">
        <f aca="false">IF(AND(B315&gt;Resumen!$C$5,B315&lt;=DATE(2027,7,31)),1,0)</f>
        <v>0</v>
      </c>
    </row>
    <row r="316" customFormat="false" ht="15" hidden="false" customHeight="false" outlineLevel="0" collapsed="false">
      <c r="A316" s="22" t="n">
        <v>60</v>
      </c>
      <c r="B316" s="23" t="n">
        <v>47198</v>
      </c>
      <c r="C316" s="28" t="n">
        <v>7500000000</v>
      </c>
      <c r="D316" s="28" t="n">
        <v>93906250</v>
      </c>
      <c r="E316" s="28" t="n">
        <v>0</v>
      </c>
      <c r="F316" s="28" t="n">
        <v>93906250</v>
      </c>
      <c r="G316" s="28" t="n">
        <v>7500000000</v>
      </c>
      <c r="H316" s="25" t="n">
        <f aca="false">J315</f>
        <v>7500000000</v>
      </c>
      <c r="I316" s="25" t="n">
        <f aca="false">H316*N316</f>
        <v>93906250</v>
      </c>
      <c r="J316" s="25" t="n">
        <f aca="false">H316-E316</f>
        <v>7500000000</v>
      </c>
      <c r="K316" s="25" t="n">
        <f aca="false">D316-I316</f>
        <v>0</v>
      </c>
      <c r="L316" s="25" t="n">
        <f aca="false">G316-J316</f>
        <v>0</v>
      </c>
      <c r="M316" s="25" t="n">
        <f aca="false">F316</f>
        <v>93906250</v>
      </c>
      <c r="N316" s="48" t="n">
        <v>0.0125208333333333</v>
      </c>
      <c r="O316" s="25" t="n">
        <f aca="false">IF(AND(B316&gt;=DATE(2026,1,1),B316&lt;=Resumen!$C$5),1,0)</f>
        <v>0</v>
      </c>
      <c r="P316" s="25" t="n">
        <f aca="false">IF(AND(B316&gt;Resumen!$C$5,B316&lt;=DATE(2027,7,31)),1,0)</f>
        <v>0</v>
      </c>
    </row>
    <row r="317" customFormat="false" ht="15" hidden="false" customHeight="false" outlineLevel="0" collapsed="false">
      <c r="A317" s="22" t="n">
        <v>61</v>
      </c>
      <c r="B317" s="23" t="n">
        <v>47229</v>
      </c>
      <c r="C317" s="28" t="n">
        <v>7500000000</v>
      </c>
      <c r="D317" s="28" t="n">
        <v>93906250</v>
      </c>
      <c r="E317" s="28" t="n">
        <v>0</v>
      </c>
      <c r="F317" s="28" t="n">
        <v>93906250</v>
      </c>
      <c r="G317" s="28" t="n">
        <v>7500000000</v>
      </c>
      <c r="H317" s="25" t="n">
        <f aca="false">J316</f>
        <v>7500000000</v>
      </c>
      <c r="I317" s="25" t="n">
        <f aca="false">H317*N317</f>
        <v>93906250</v>
      </c>
      <c r="J317" s="25" t="n">
        <f aca="false">H317-E317</f>
        <v>7500000000</v>
      </c>
      <c r="K317" s="25" t="n">
        <f aca="false">D317-I317</f>
        <v>0</v>
      </c>
      <c r="L317" s="25" t="n">
        <f aca="false">G317-J317</f>
        <v>0</v>
      </c>
      <c r="M317" s="25" t="n">
        <f aca="false">F317</f>
        <v>93906250</v>
      </c>
      <c r="N317" s="48" t="n">
        <v>0.0125208333333333</v>
      </c>
      <c r="O317" s="25" t="n">
        <f aca="false">IF(AND(B317&gt;=DATE(2026,1,1),B317&lt;=Resumen!$C$5),1,0)</f>
        <v>0</v>
      </c>
      <c r="P317" s="25" t="n">
        <f aca="false">IF(AND(B317&gt;Resumen!$C$5,B317&lt;=DATE(2027,7,31)),1,0)</f>
        <v>0</v>
      </c>
    </row>
    <row r="318" customFormat="false" ht="15" hidden="false" customHeight="false" outlineLevel="0" collapsed="false">
      <c r="A318" s="22" t="n">
        <v>62</v>
      </c>
      <c r="B318" s="23" t="n">
        <v>47259</v>
      </c>
      <c r="C318" s="28" t="n">
        <v>7500000000</v>
      </c>
      <c r="D318" s="28" t="n">
        <v>93906250</v>
      </c>
      <c r="E318" s="28" t="n">
        <v>0</v>
      </c>
      <c r="F318" s="28" t="n">
        <v>93906250</v>
      </c>
      <c r="G318" s="28" t="n">
        <v>7500000000</v>
      </c>
      <c r="H318" s="25" t="n">
        <f aca="false">J317</f>
        <v>7500000000</v>
      </c>
      <c r="I318" s="25" t="n">
        <f aca="false">H318*N318</f>
        <v>93906250</v>
      </c>
      <c r="J318" s="25" t="n">
        <f aca="false">H318-E318</f>
        <v>7500000000</v>
      </c>
      <c r="K318" s="25" t="n">
        <f aca="false">D318-I318</f>
        <v>0</v>
      </c>
      <c r="L318" s="25" t="n">
        <f aca="false">G318-J318</f>
        <v>0</v>
      </c>
      <c r="M318" s="25" t="n">
        <f aca="false">F318</f>
        <v>93906250</v>
      </c>
      <c r="N318" s="48" t="n">
        <v>0.0125208333333333</v>
      </c>
      <c r="O318" s="25" t="n">
        <f aca="false">IF(AND(B318&gt;=DATE(2026,1,1),B318&lt;=Resumen!$C$5),1,0)</f>
        <v>0</v>
      </c>
      <c r="P318" s="25" t="n">
        <f aca="false">IF(AND(B318&gt;Resumen!$C$5,B318&lt;=DATE(2027,7,31)),1,0)</f>
        <v>0</v>
      </c>
    </row>
    <row r="319" customFormat="false" ht="15" hidden="false" customHeight="false" outlineLevel="0" collapsed="false">
      <c r="A319" s="22" t="n">
        <v>63</v>
      </c>
      <c r="B319" s="23" t="n">
        <v>47290</v>
      </c>
      <c r="C319" s="28" t="n">
        <v>7500000000</v>
      </c>
      <c r="D319" s="28" t="n">
        <v>93906250</v>
      </c>
      <c r="E319" s="28" t="n">
        <v>0</v>
      </c>
      <c r="F319" s="28" t="n">
        <v>93906250</v>
      </c>
      <c r="G319" s="28" t="n">
        <v>7500000000</v>
      </c>
      <c r="H319" s="25" t="n">
        <f aca="false">J318</f>
        <v>7500000000</v>
      </c>
      <c r="I319" s="25" t="n">
        <f aca="false">H319*N319</f>
        <v>93906250</v>
      </c>
      <c r="J319" s="25" t="n">
        <f aca="false">H319-E319</f>
        <v>7500000000</v>
      </c>
      <c r="K319" s="25" t="n">
        <f aca="false">D319-I319</f>
        <v>0</v>
      </c>
      <c r="L319" s="25" t="n">
        <f aca="false">G319-J319</f>
        <v>0</v>
      </c>
      <c r="M319" s="25" t="n">
        <f aca="false">F319</f>
        <v>93906250</v>
      </c>
      <c r="N319" s="48" t="n">
        <v>0.0125208333333333</v>
      </c>
      <c r="O319" s="25" t="n">
        <f aca="false">IF(AND(B319&gt;=DATE(2026,1,1),B319&lt;=Resumen!$C$5),1,0)</f>
        <v>0</v>
      </c>
      <c r="P319" s="25" t="n">
        <f aca="false">IF(AND(B319&gt;Resumen!$C$5,B319&lt;=DATE(2027,7,31)),1,0)</f>
        <v>0</v>
      </c>
    </row>
    <row r="320" customFormat="false" ht="15" hidden="false" customHeight="false" outlineLevel="0" collapsed="false">
      <c r="A320" s="22" t="n">
        <v>64</v>
      </c>
      <c r="B320" s="23" t="n">
        <v>47320</v>
      </c>
      <c r="C320" s="28" t="n">
        <v>7500000000</v>
      </c>
      <c r="D320" s="28" t="n">
        <v>93906250</v>
      </c>
      <c r="E320" s="28" t="n">
        <v>0</v>
      </c>
      <c r="F320" s="28" t="n">
        <v>93906250</v>
      </c>
      <c r="G320" s="28" t="n">
        <v>7500000000</v>
      </c>
      <c r="H320" s="25" t="n">
        <f aca="false">J319</f>
        <v>7500000000</v>
      </c>
      <c r="I320" s="25" t="n">
        <f aca="false">H320*N320</f>
        <v>93906250</v>
      </c>
      <c r="J320" s="25" t="n">
        <f aca="false">H320-E320</f>
        <v>7500000000</v>
      </c>
      <c r="K320" s="25" t="n">
        <f aca="false">D320-I320</f>
        <v>0</v>
      </c>
      <c r="L320" s="25" t="n">
        <f aca="false">G320-J320</f>
        <v>0</v>
      </c>
      <c r="M320" s="25" t="n">
        <f aca="false">F320</f>
        <v>93906250</v>
      </c>
      <c r="N320" s="48" t="n">
        <v>0.0125208333333333</v>
      </c>
      <c r="O320" s="25" t="n">
        <f aca="false">IF(AND(B320&gt;=DATE(2026,1,1),B320&lt;=Resumen!$C$5),1,0)</f>
        <v>0</v>
      </c>
      <c r="P320" s="25" t="n">
        <f aca="false">IF(AND(B320&gt;Resumen!$C$5,B320&lt;=DATE(2027,7,31)),1,0)</f>
        <v>0</v>
      </c>
    </row>
    <row r="321" customFormat="false" ht="15" hidden="false" customHeight="false" outlineLevel="0" collapsed="false">
      <c r="A321" s="22" t="n">
        <v>65</v>
      </c>
      <c r="B321" s="23" t="n">
        <v>47351</v>
      </c>
      <c r="C321" s="28" t="n">
        <v>7500000000</v>
      </c>
      <c r="D321" s="28" t="n">
        <v>93906250</v>
      </c>
      <c r="E321" s="28" t="n">
        <v>0</v>
      </c>
      <c r="F321" s="28" t="n">
        <v>93906250</v>
      </c>
      <c r="G321" s="28" t="n">
        <v>7500000000</v>
      </c>
      <c r="H321" s="25" t="n">
        <f aca="false">J320</f>
        <v>7500000000</v>
      </c>
      <c r="I321" s="25" t="n">
        <f aca="false">H321*N321</f>
        <v>93906250</v>
      </c>
      <c r="J321" s="25" t="n">
        <f aca="false">H321-E321</f>
        <v>7500000000</v>
      </c>
      <c r="K321" s="25" t="n">
        <f aca="false">D321-I321</f>
        <v>0</v>
      </c>
      <c r="L321" s="25" t="n">
        <f aca="false">G321-J321</f>
        <v>0</v>
      </c>
      <c r="M321" s="25" t="n">
        <f aca="false">F321</f>
        <v>93906250</v>
      </c>
      <c r="N321" s="48" t="n">
        <v>0.0125208333333333</v>
      </c>
      <c r="O321" s="25" t="n">
        <f aca="false">IF(AND(B321&gt;=DATE(2026,1,1),B321&lt;=Resumen!$C$5),1,0)</f>
        <v>0</v>
      </c>
      <c r="P321" s="25" t="n">
        <f aca="false">IF(AND(B321&gt;Resumen!$C$5,B321&lt;=DATE(2027,7,31)),1,0)</f>
        <v>0</v>
      </c>
    </row>
    <row r="322" customFormat="false" ht="15" hidden="false" customHeight="false" outlineLevel="0" collapsed="false">
      <c r="A322" s="22" t="n">
        <v>66</v>
      </c>
      <c r="B322" s="23" t="n">
        <v>47382</v>
      </c>
      <c r="C322" s="28" t="n">
        <v>7500000000</v>
      </c>
      <c r="D322" s="28" t="n">
        <v>93906250</v>
      </c>
      <c r="E322" s="28" t="n">
        <v>0</v>
      </c>
      <c r="F322" s="28" t="n">
        <v>93906250</v>
      </c>
      <c r="G322" s="28" t="n">
        <v>7500000000</v>
      </c>
      <c r="H322" s="25" t="n">
        <f aca="false">J321</f>
        <v>7500000000</v>
      </c>
      <c r="I322" s="25" t="n">
        <f aca="false">H322*N322</f>
        <v>93906250</v>
      </c>
      <c r="J322" s="25" t="n">
        <f aca="false">H322-E322</f>
        <v>7500000000</v>
      </c>
      <c r="K322" s="25" t="n">
        <f aca="false">D322-I322</f>
        <v>0</v>
      </c>
      <c r="L322" s="25" t="n">
        <f aca="false">G322-J322</f>
        <v>0</v>
      </c>
      <c r="M322" s="25" t="n">
        <f aca="false">F322</f>
        <v>93906250</v>
      </c>
      <c r="N322" s="48" t="n">
        <v>0.0125208333333333</v>
      </c>
      <c r="O322" s="25" t="n">
        <f aca="false">IF(AND(B322&gt;=DATE(2026,1,1),B322&lt;=Resumen!$C$5),1,0)</f>
        <v>0</v>
      </c>
      <c r="P322" s="25" t="n">
        <f aca="false">IF(AND(B322&gt;Resumen!$C$5,B322&lt;=DATE(2027,7,31)),1,0)</f>
        <v>0</v>
      </c>
    </row>
    <row r="323" customFormat="false" ht="15" hidden="false" customHeight="false" outlineLevel="0" collapsed="false">
      <c r="A323" s="22" t="n">
        <v>67</v>
      </c>
      <c r="B323" s="23" t="n">
        <v>47412</v>
      </c>
      <c r="C323" s="28" t="n">
        <v>7500000000</v>
      </c>
      <c r="D323" s="28" t="n">
        <v>93906250</v>
      </c>
      <c r="E323" s="28" t="n">
        <v>0</v>
      </c>
      <c r="F323" s="28" t="n">
        <v>93906250</v>
      </c>
      <c r="G323" s="28" t="n">
        <v>7500000000</v>
      </c>
      <c r="H323" s="25" t="n">
        <f aca="false">J322</f>
        <v>7500000000</v>
      </c>
      <c r="I323" s="25" t="n">
        <f aca="false">H323*N323</f>
        <v>93906250</v>
      </c>
      <c r="J323" s="25" t="n">
        <f aca="false">H323-E323</f>
        <v>7500000000</v>
      </c>
      <c r="K323" s="25" t="n">
        <f aca="false">D323-I323</f>
        <v>0</v>
      </c>
      <c r="L323" s="25" t="n">
        <f aca="false">G323-J323</f>
        <v>0</v>
      </c>
      <c r="M323" s="25" t="n">
        <f aca="false">F323</f>
        <v>93906250</v>
      </c>
      <c r="N323" s="48" t="n">
        <v>0.0125208333333333</v>
      </c>
      <c r="O323" s="25" t="n">
        <f aca="false">IF(AND(B323&gt;=DATE(2026,1,1),B323&lt;=Resumen!$C$5),1,0)</f>
        <v>0</v>
      </c>
      <c r="P323" s="25" t="n">
        <f aca="false">IF(AND(B323&gt;Resumen!$C$5,B323&lt;=DATE(2027,7,31)),1,0)</f>
        <v>0</v>
      </c>
    </row>
    <row r="324" customFormat="false" ht="15" hidden="false" customHeight="false" outlineLevel="0" collapsed="false">
      <c r="A324" s="22" t="n">
        <v>68</v>
      </c>
      <c r="B324" s="23" t="n">
        <v>47443</v>
      </c>
      <c r="C324" s="28" t="n">
        <v>7500000000</v>
      </c>
      <c r="D324" s="28" t="n">
        <v>93906250</v>
      </c>
      <c r="E324" s="28" t="n">
        <v>0</v>
      </c>
      <c r="F324" s="28" t="n">
        <v>93906250</v>
      </c>
      <c r="G324" s="28" t="n">
        <v>7500000000</v>
      </c>
      <c r="H324" s="25" t="n">
        <f aca="false">J323</f>
        <v>7500000000</v>
      </c>
      <c r="I324" s="25" t="n">
        <f aca="false">H324*N324</f>
        <v>93906250</v>
      </c>
      <c r="J324" s="25" t="n">
        <f aca="false">H324-E324</f>
        <v>7500000000</v>
      </c>
      <c r="K324" s="25" t="n">
        <f aca="false">D324-I324</f>
        <v>0</v>
      </c>
      <c r="L324" s="25" t="n">
        <f aca="false">G324-J324</f>
        <v>0</v>
      </c>
      <c r="M324" s="25" t="n">
        <f aca="false">F324</f>
        <v>93906250</v>
      </c>
      <c r="N324" s="48" t="n">
        <v>0.0125208333333333</v>
      </c>
      <c r="O324" s="25" t="n">
        <f aca="false">IF(AND(B324&gt;=DATE(2026,1,1),B324&lt;=Resumen!$C$5),1,0)</f>
        <v>0</v>
      </c>
      <c r="P324" s="25" t="n">
        <f aca="false">IF(AND(B324&gt;Resumen!$C$5,B324&lt;=DATE(2027,7,31)),1,0)</f>
        <v>0</v>
      </c>
    </row>
    <row r="325" customFormat="false" ht="15" hidden="false" customHeight="false" outlineLevel="0" collapsed="false">
      <c r="A325" s="22" t="n">
        <v>69</v>
      </c>
      <c r="B325" s="23" t="n">
        <v>47473</v>
      </c>
      <c r="C325" s="28" t="n">
        <v>7500000000</v>
      </c>
      <c r="D325" s="28" t="n">
        <v>93906250</v>
      </c>
      <c r="E325" s="28" t="n">
        <v>0</v>
      </c>
      <c r="F325" s="28" t="n">
        <v>93906250</v>
      </c>
      <c r="G325" s="28" t="n">
        <v>7500000000</v>
      </c>
      <c r="H325" s="25" t="n">
        <f aca="false">J324</f>
        <v>7500000000</v>
      </c>
      <c r="I325" s="25" t="n">
        <f aca="false">H325*N325</f>
        <v>93906250</v>
      </c>
      <c r="J325" s="25" t="n">
        <f aca="false">H325-E325</f>
        <v>7500000000</v>
      </c>
      <c r="K325" s="25" t="n">
        <f aca="false">D325-I325</f>
        <v>0</v>
      </c>
      <c r="L325" s="25" t="n">
        <f aca="false">G325-J325</f>
        <v>0</v>
      </c>
      <c r="M325" s="25" t="n">
        <f aca="false">F325</f>
        <v>93906250</v>
      </c>
      <c r="N325" s="48" t="n">
        <v>0.0125208333333333</v>
      </c>
      <c r="O325" s="25" t="n">
        <f aca="false">IF(AND(B325&gt;=DATE(2026,1,1),B325&lt;=Resumen!$C$5),1,0)</f>
        <v>0</v>
      </c>
      <c r="P325" s="25" t="n">
        <f aca="false">IF(AND(B325&gt;Resumen!$C$5,B325&lt;=DATE(2027,7,31)),1,0)</f>
        <v>0</v>
      </c>
    </row>
    <row r="326" customFormat="false" ht="15" hidden="false" customHeight="false" outlineLevel="0" collapsed="false">
      <c r="A326" s="22" t="n">
        <v>70</v>
      </c>
      <c r="B326" s="23" t="n">
        <v>47504</v>
      </c>
      <c r="C326" s="28" t="n">
        <v>7500000000</v>
      </c>
      <c r="D326" s="28" t="n">
        <v>93906250</v>
      </c>
      <c r="E326" s="28" t="n">
        <v>0</v>
      </c>
      <c r="F326" s="28" t="n">
        <v>93906250</v>
      </c>
      <c r="G326" s="28" t="n">
        <v>7500000000</v>
      </c>
      <c r="H326" s="25" t="n">
        <f aca="false">J325</f>
        <v>7500000000</v>
      </c>
      <c r="I326" s="25" t="n">
        <f aca="false">H326*N326</f>
        <v>93906250</v>
      </c>
      <c r="J326" s="25" t="n">
        <f aca="false">H326-E326</f>
        <v>7500000000</v>
      </c>
      <c r="K326" s="25" t="n">
        <f aca="false">D326-I326</f>
        <v>0</v>
      </c>
      <c r="L326" s="25" t="n">
        <f aca="false">G326-J326</f>
        <v>0</v>
      </c>
      <c r="M326" s="25" t="n">
        <f aca="false">F326</f>
        <v>93906250</v>
      </c>
      <c r="N326" s="48" t="n">
        <v>0.0125208333333333</v>
      </c>
      <c r="O326" s="25" t="n">
        <f aca="false">IF(AND(B326&gt;=DATE(2026,1,1),B326&lt;=Resumen!$C$5),1,0)</f>
        <v>0</v>
      </c>
      <c r="P326" s="25" t="n">
        <f aca="false">IF(AND(B326&gt;Resumen!$C$5,B326&lt;=DATE(2027,7,31)),1,0)</f>
        <v>0</v>
      </c>
    </row>
    <row r="327" customFormat="false" ht="15" hidden="false" customHeight="false" outlineLevel="0" collapsed="false">
      <c r="A327" s="22" t="n">
        <v>71</v>
      </c>
      <c r="B327" s="23" t="n">
        <v>47535</v>
      </c>
      <c r="C327" s="28" t="n">
        <v>7500000000</v>
      </c>
      <c r="D327" s="28" t="n">
        <v>93906250</v>
      </c>
      <c r="E327" s="28" t="n">
        <v>0</v>
      </c>
      <c r="F327" s="28" t="n">
        <v>93906250</v>
      </c>
      <c r="G327" s="28" t="n">
        <v>7500000000</v>
      </c>
      <c r="H327" s="25" t="n">
        <f aca="false">J326</f>
        <v>7500000000</v>
      </c>
      <c r="I327" s="25" t="n">
        <f aca="false">H327*N327</f>
        <v>93906250</v>
      </c>
      <c r="J327" s="25" t="n">
        <f aca="false">H327-E327</f>
        <v>7500000000</v>
      </c>
      <c r="K327" s="25" t="n">
        <f aca="false">D327-I327</f>
        <v>0</v>
      </c>
      <c r="L327" s="25" t="n">
        <f aca="false">G327-J327</f>
        <v>0</v>
      </c>
      <c r="M327" s="25" t="n">
        <f aca="false">F327</f>
        <v>93906250</v>
      </c>
      <c r="N327" s="48" t="n">
        <v>0.0125208333333333</v>
      </c>
      <c r="O327" s="25" t="n">
        <f aca="false">IF(AND(B327&gt;=DATE(2026,1,1),B327&lt;=Resumen!$C$5),1,0)</f>
        <v>0</v>
      </c>
      <c r="P327" s="25" t="n">
        <f aca="false">IF(AND(B327&gt;Resumen!$C$5,B327&lt;=DATE(2027,7,31)),1,0)</f>
        <v>0</v>
      </c>
    </row>
    <row r="328" customFormat="false" ht="15" hidden="false" customHeight="false" outlineLevel="0" collapsed="false">
      <c r="A328" s="22" t="n">
        <v>72</v>
      </c>
      <c r="B328" s="23" t="n">
        <v>47563</v>
      </c>
      <c r="C328" s="28" t="n">
        <v>7500000000</v>
      </c>
      <c r="D328" s="28" t="n">
        <v>93906250</v>
      </c>
      <c r="E328" s="28" t="n">
        <v>0</v>
      </c>
      <c r="F328" s="28" t="n">
        <v>93906250</v>
      </c>
      <c r="G328" s="28" t="n">
        <v>7500000000</v>
      </c>
      <c r="H328" s="25" t="n">
        <f aca="false">J327</f>
        <v>7500000000</v>
      </c>
      <c r="I328" s="25" t="n">
        <f aca="false">H328*N328</f>
        <v>93906250</v>
      </c>
      <c r="J328" s="25" t="n">
        <f aca="false">H328-E328</f>
        <v>7500000000</v>
      </c>
      <c r="K328" s="25" t="n">
        <f aca="false">D328-I328</f>
        <v>0</v>
      </c>
      <c r="L328" s="25" t="n">
        <f aca="false">G328-J328</f>
        <v>0</v>
      </c>
      <c r="M328" s="25" t="n">
        <f aca="false">F328</f>
        <v>93906250</v>
      </c>
      <c r="N328" s="48" t="n">
        <v>0.0125208333333333</v>
      </c>
      <c r="O328" s="25" t="n">
        <f aca="false">IF(AND(B328&gt;=DATE(2026,1,1),B328&lt;=Resumen!$C$5),1,0)</f>
        <v>0</v>
      </c>
      <c r="P328" s="25" t="n">
        <f aca="false">IF(AND(B328&gt;Resumen!$C$5,B328&lt;=DATE(2027,7,31)),1,0)</f>
        <v>0</v>
      </c>
    </row>
    <row r="329" customFormat="false" ht="15" hidden="false" customHeight="false" outlineLevel="0" collapsed="false">
      <c r="A329" s="22" t="n">
        <v>73</v>
      </c>
      <c r="B329" s="23" t="n">
        <v>47594</v>
      </c>
      <c r="C329" s="28" t="n">
        <v>7500000000</v>
      </c>
      <c r="D329" s="28" t="n">
        <v>93906250</v>
      </c>
      <c r="E329" s="28" t="n">
        <v>0</v>
      </c>
      <c r="F329" s="28" t="n">
        <v>93906250</v>
      </c>
      <c r="G329" s="28" t="n">
        <v>7500000000</v>
      </c>
      <c r="H329" s="25" t="n">
        <f aca="false">J328</f>
        <v>7500000000</v>
      </c>
      <c r="I329" s="25" t="n">
        <f aca="false">H329*N329</f>
        <v>93906250</v>
      </c>
      <c r="J329" s="25" t="n">
        <f aca="false">H329-E329</f>
        <v>7500000000</v>
      </c>
      <c r="K329" s="25" t="n">
        <f aca="false">D329-I329</f>
        <v>0</v>
      </c>
      <c r="L329" s="25" t="n">
        <f aca="false">G329-J329</f>
        <v>0</v>
      </c>
      <c r="M329" s="25" t="n">
        <f aca="false">F329</f>
        <v>93906250</v>
      </c>
      <c r="N329" s="48" t="n">
        <v>0.0125208333333333</v>
      </c>
      <c r="O329" s="25" t="n">
        <f aca="false">IF(AND(B329&gt;=DATE(2026,1,1),B329&lt;=Resumen!$C$5),1,0)</f>
        <v>0</v>
      </c>
      <c r="P329" s="25" t="n">
        <f aca="false">IF(AND(B329&gt;Resumen!$C$5,B329&lt;=DATE(2027,7,31)),1,0)</f>
        <v>0</v>
      </c>
    </row>
    <row r="330" customFormat="false" ht="15" hidden="false" customHeight="false" outlineLevel="0" collapsed="false">
      <c r="A330" s="22" t="n">
        <v>74</v>
      </c>
      <c r="B330" s="23" t="n">
        <v>47624</v>
      </c>
      <c r="C330" s="28" t="n">
        <v>7500000000</v>
      </c>
      <c r="D330" s="28" t="n">
        <v>93906250</v>
      </c>
      <c r="E330" s="28" t="n">
        <v>0</v>
      </c>
      <c r="F330" s="28" t="n">
        <v>93906250</v>
      </c>
      <c r="G330" s="28" t="n">
        <v>7500000000</v>
      </c>
      <c r="H330" s="25" t="n">
        <f aca="false">J329</f>
        <v>7500000000</v>
      </c>
      <c r="I330" s="25" t="n">
        <f aca="false">H330*N330</f>
        <v>93906250</v>
      </c>
      <c r="J330" s="25" t="n">
        <f aca="false">H330-E330</f>
        <v>7500000000</v>
      </c>
      <c r="K330" s="25" t="n">
        <f aca="false">D330-I330</f>
        <v>0</v>
      </c>
      <c r="L330" s="25" t="n">
        <f aca="false">G330-J330</f>
        <v>0</v>
      </c>
      <c r="M330" s="25" t="n">
        <f aca="false">F330</f>
        <v>93906250</v>
      </c>
      <c r="N330" s="48" t="n">
        <v>0.0125208333333333</v>
      </c>
      <c r="O330" s="25" t="n">
        <f aca="false">IF(AND(B330&gt;=DATE(2026,1,1),B330&lt;=Resumen!$C$5),1,0)</f>
        <v>0</v>
      </c>
      <c r="P330" s="25" t="n">
        <f aca="false">IF(AND(B330&gt;Resumen!$C$5,B330&lt;=DATE(2027,7,31)),1,0)</f>
        <v>0</v>
      </c>
    </row>
    <row r="331" customFormat="false" ht="15" hidden="false" customHeight="false" outlineLevel="0" collapsed="false">
      <c r="A331" s="22" t="n">
        <v>75</v>
      </c>
      <c r="B331" s="23" t="n">
        <v>47655</v>
      </c>
      <c r="C331" s="28" t="n">
        <v>7500000000</v>
      </c>
      <c r="D331" s="28" t="n">
        <v>93906250</v>
      </c>
      <c r="E331" s="28" t="n">
        <v>0</v>
      </c>
      <c r="F331" s="28" t="n">
        <v>93906250</v>
      </c>
      <c r="G331" s="28" t="n">
        <v>7500000000</v>
      </c>
      <c r="H331" s="25" t="n">
        <f aca="false">J330</f>
        <v>7500000000</v>
      </c>
      <c r="I331" s="25" t="n">
        <f aca="false">H331*N331</f>
        <v>93906250</v>
      </c>
      <c r="J331" s="25" t="n">
        <f aca="false">H331-E331</f>
        <v>7500000000</v>
      </c>
      <c r="K331" s="25" t="n">
        <f aca="false">D331-I331</f>
        <v>0</v>
      </c>
      <c r="L331" s="25" t="n">
        <f aca="false">G331-J331</f>
        <v>0</v>
      </c>
      <c r="M331" s="25" t="n">
        <f aca="false">F331</f>
        <v>93906250</v>
      </c>
      <c r="N331" s="48" t="n">
        <v>0.0125208333333333</v>
      </c>
      <c r="O331" s="25" t="n">
        <f aca="false">IF(AND(B331&gt;=DATE(2026,1,1),B331&lt;=Resumen!$C$5),1,0)</f>
        <v>0</v>
      </c>
      <c r="P331" s="25" t="n">
        <f aca="false">IF(AND(B331&gt;Resumen!$C$5,B331&lt;=DATE(2027,7,31)),1,0)</f>
        <v>0</v>
      </c>
    </row>
    <row r="332" customFormat="false" ht="15" hidden="false" customHeight="false" outlineLevel="0" collapsed="false">
      <c r="A332" s="22" t="n">
        <v>76</v>
      </c>
      <c r="B332" s="23" t="n">
        <v>47685</v>
      </c>
      <c r="C332" s="28" t="n">
        <v>7500000000</v>
      </c>
      <c r="D332" s="28" t="n">
        <v>93906250</v>
      </c>
      <c r="E332" s="28" t="n">
        <v>0</v>
      </c>
      <c r="F332" s="28" t="n">
        <v>93906250</v>
      </c>
      <c r="G332" s="28" t="n">
        <v>7500000000</v>
      </c>
      <c r="H332" s="25" t="n">
        <f aca="false">J331</f>
        <v>7500000000</v>
      </c>
      <c r="I332" s="25" t="n">
        <f aca="false">H332*N332</f>
        <v>93906250</v>
      </c>
      <c r="J332" s="25" t="n">
        <f aca="false">H332-E332</f>
        <v>7500000000</v>
      </c>
      <c r="K332" s="25" t="n">
        <f aca="false">D332-I332</f>
        <v>0</v>
      </c>
      <c r="L332" s="25" t="n">
        <f aca="false">G332-J332</f>
        <v>0</v>
      </c>
      <c r="M332" s="25" t="n">
        <f aca="false">F332</f>
        <v>93906250</v>
      </c>
      <c r="N332" s="48" t="n">
        <v>0.0125208333333333</v>
      </c>
      <c r="O332" s="25" t="n">
        <f aca="false">IF(AND(B332&gt;=DATE(2026,1,1),B332&lt;=Resumen!$C$5),1,0)</f>
        <v>0</v>
      </c>
      <c r="P332" s="25" t="n">
        <f aca="false">IF(AND(B332&gt;Resumen!$C$5,B332&lt;=DATE(2027,7,31)),1,0)</f>
        <v>0</v>
      </c>
    </row>
    <row r="333" customFormat="false" ht="15" hidden="false" customHeight="false" outlineLevel="0" collapsed="false">
      <c r="A333" s="22" t="n">
        <v>77</v>
      </c>
      <c r="B333" s="23" t="n">
        <v>47716</v>
      </c>
      <c r="C333" s="28" t="n">
        <v>7500000000</v>
      </c>
      <c r="D333" s="28" t="n">
        <v>93906250</v>
      </c>
      <c r="E333" s="28" t="n">
        <v>0</v>
      </c>
      <c r="F333" s="28" t="n">
        <v>93906250</v>
      </c>
      <c r="G333" s="28" t="n">
        <v>7500000000</v>
      </c>
      <c r="H333" s="25" t="n">
        <f aca="false">J332</f>
        <v>7500000000</v>
      </c>
      <c r="I333" s="25" t="n">
        <f aca="false">H333*N333</f>
        <v>93906250</v>
      </c>
      <c r="J333" s="25" t="n">
        <f aca="false">H333-E333</f>
        <v>7500000000</v>
      </c>
      <c r="K333" s="25" t="n">
        <f aca="false">D333-I333</f>
        <v>0</v>
      </c>
      <c r="L333" s="25" t="n">
        <f aca="false">G333-J333</f>
        <v>0</v>
      </c>
      <c r="M333" s="25" t="n">
        <f aca="false">F333</f>
        <v>93906250</v>
      </c>
      <c r="N333" s="48" t="n">
        <v>0.0125208333333333</v>
      </c>
      <c r="O333" s="25" t="n">
        <f aca="false">IF(AND(B333&gt;=DATE(2026,1,1),B333&lt;=Resumen!$C$5),1,0)</f>
        <v>0</v>
      </c>
      <c r="P333" s="25" t="n">
        <f aca="false">IF(AND(B333&gt;Resumen!$C$5,B333&lt;=DATE(2027,7,31)),1,0)</f>
        <v>0</v>
      </c>
    </row>
    <row r="334" customFormat="false" ht="15" hidden="false" customHeight="false" outlineLevel="0" collapsed="false">
      <c r="A334" s="22" t="n">
        <v>78</v>
      </c>
      <c r="B334" s="23" t="n">
        <v>47747</v>
      </c>
      <c r="C334" s="28" t="n">
        <v>7500000000</v>
      </c>
      <c r="D334" s="28" t="n">
        <v>93906250</v>
      </c>
      <c r="E334" s="28" t="n">
        <v>0</v>
      </c>
      <c r="F334" s="28" t="n">
        <v>93906250</v>
      </c>
      <c r="G334" s="28" t="n">
        <v>7500000000</v>
      </c>
      <c r="H334" s="25" t="n">
        <f aca="false">J333</f>
        <v>7500000000</v>
      </c>
      <c r="I334" s="25" t="n">
        <f aca="false">H334*N334</f>
        <v>93906250</v>
      </c>
      <c r="J334" s="25" t="n">
        <f aca="false">H334-E334</f>
        <v>7500000000</v>
      </c>
      <c r="K334" s="25" t="n">
        <f aca="false">D334-I334</f>
        <v>0</v>
      </c>
      <c r="L334" s="25" t="n">
        <f aca="false">G334-J334</f>
        <v>0</v>
      </c>
      <c r="M334" s="25" t="n">
        <f aca="false">F334</f>
        <v>93906250</v>
      </c>
      <c r="N334" s="48" t="n">
        <v>0.0125208333333333</v>
      </c>
      <c r="O334" s="25" t="n">
        <f aca="false">IF(AND(B334&gt;=DATE(2026,1,1),B334&lt;=Resumen!$C$5),1,0)</f>
        <v>0</v>
      </c>
      <c r="P334" s="25" t="n">
        <f aca="false">IF(AND(B334&gt;Resumen!$C$5,B334&lt;=DATE(2027,7,31)),1,0)</f>
        <v>0</v>
      </c>
    </row>
    <row r="335" customFormat="false" ht="15" hidden="false" customHeight="false" outlineLevel="0" collapsed="false">
      <c r="A335" s="22" t="n">
        <v>79</v>
      </c>
      <c r="B335" s="23" t="n">
        <v>47777</v>
      </c>
      <c r="C335" s="28" t="n">
        <v>7500000000</v>
      </c>
      <c r="D335" s="28" t="n">
        <v>93906250</v>
      </c>
      <c r="E335" s="28" t="n">
        <v>0</v>
      </c>
      <c r="F335" s="28" t="n">
        <v>93906250</v>
      </c>
      <c r="G335" s="28" t="n">
        <v>7500000000</v>
      </c>
      <c r="H335" s="25" t="n">
        <f aca="false">J334</f>
        <v>7500000000</v>
      </c>
      <c r="I335" s="25" t="n">
        <f aca="false">H335*N335</f>
        <v>93906250</v>
      </c>
      <c r="J335" s="25" t="n">
        <f aca="false">H335-E335</f>
        <v>7500000000</v>
      </c>
      <c r="K335" s="25" t="n">
        <f aca="false">D335-I335</f>
        <v>0</v>
      </c>
      <c r="L335" s="25" t="n">
        <f aca="false">G335-J335</f>
        <v>0</v>
      </c>
      <c r="M335" s="25" t="n">
        <f aca="false">F335</f>
        <v>93906250</v>
      </c>
      <c r="N335" s="48" t="n">
        <v>0.0125208333333333</v>
      </c>
      <c r="O335" s="25" t="n">
        <f aca="false">IF(AND(B335&gt;=DATE(2026,1,1),B335&lt;=Resumen!$C$5),1,0)</f>
        <v>0</v>
      </c>
      <c r="P335" s="25" t="n">
        <f aca="false">IF(AND(B335&gt;Resumen!$C$5,B335&lt;=DATE(2027,7,31)),1,0)</f>
        <v>0</v>
      </c>
    </row>
    <row r="336" customFormat="false" ht="15" hidden="false" customHeight="false" outlineLevel="0" collapsed="false">
      <c r="A336" s="22" t="n">
        <v>80</v>
      </c>
      <c r="B336" s="23" t="n">
        <v>47808</v>
      </c>
      <c r="C336" s="28" t="n">
        <v>7500000000</v>
      </c>
      <c r="D336" s="28" t="n">
        <v>93906250</v>
      </c>
      <c r="E336" s="28" t="n">
        <v>0</v>
      </c>
      <c r="F336" s="28" t="n">
        <v>93906250</v>
      </c>
      <c r="G336" s="28" t="n">
        <v>7500000000</v>
      </c>
      <c r="H336" s="25" t="n">
        <f aca="false">J335</f>
        <v>7500000000</v>
      </c>
      <c r="I336" s="25" t="n">
        <f aca="false">H336*N336</f>
        <v>93906250</v>
      </c>
      <c r="J336" s="25" t="n">
        <f aca="false">H336-E336</f>
        <v>7500000000</v>
      </c>
      <c r="K336" s="25" t="n">
        <f aca="false">D336-I336</f>
        <v>0</v>
      </c>
      <c r="L336" s="25" t="n">
        <f aca="false">G336-J336</f>
        <v>0</v>
      </c>
      <c r="M336" s="25" t="n">
        <f aca="false">F336</f>
        <v>93906250</v>
      </c>
      <c r="N336" s="48" t="n">
        <v>0.0125208333333333</v>
      </c>
      <c r="O336" s="25" t="n">
        <f aca="false">IF(AND(B336&gt;=DATE(2026,1,1),B336&lt;=Resumen!$C$5),1,0)</f>
        <v>0</v>
      </c>
      <c r="P336" s="25" t="n">
        <f aca="false">IF(AND(B336&gt;Resumen!$C$5,B336&lt;=DATE(2027,7,31)),1,0)</f>
        <v>0</v>
      </c>
    </row>
    <row r="337" customFormat="false" ht="15" hidden="false" customHeight="false" outlineLevel="0" collapsed="false">
      <c r="A337" s="22" t="n">
        <v>81</v>
      </c>
      <c r="B337" s="23" t="n">
        <v>47838</v>
      </c>
      <c r="C337" s="28" t="n">
        <v>7500000000</v>
      </c>
      <c r="D337" s="28" t="n">
        <v>93906250</v>
      </c>
      <c r="E337" s="28" t="n">
        <v>0</v>
      </c>
      <c r="F337" s="28" t="n">
        <v>93906250</v>
      </c>
      <c r="G337" s="28" t="n">
        <v>7500000000</v>
      </c>
      <c r="H337" s="25" t="n">
        <f aca="false">J336</f>
        <v>7500000000</v>
      </c>
      <c r="I337" s="25" t="n">
        <f aca="false">H337*N337</f>
        <v>93906250</v>
      </c>
      <c r="J337" s="25" t="n">
        <f aca="false">H337-E337</f>
        <v>7500000000</v>
      </c>
      <c r="K337" s="25" t="n">
        <f aca="false">D337-I337</f>
        <v>0</v>
      </c>
      <c r="L337" s="25" t="n">
        <f aca="false">G337-J337</f>
        <v>0</v>
      </c>
      <c r="M337" s="25" t="n">
        <f aca="false">F337</f>
        <v>93906250</v>
      </c>
      <c r="N337" s="48" t="n">
        <v>0.0125208333333333</v>
      </c>
      <c r="O337" s="25" t="n">
        <f aca="false">IF(AND(B337&gt;=DATE(2026,1,1),B337&lt;=Resumen!$C$5),1,0)</f>
        <v>0</v>
      </c>
      <c r="P337" s="25" t="n">
        <f aca="false">IF(AND(B337&gt;Resumen!$C$5,B337&lt;=DATE(2027,7,31)),1,0)</f>
        <v>0</v>
      </c>
    </row>
    <row r="338" customFormat="false" ht="15" hidden="false" customHeight="false" outlineLevel="0" collapsed="false">
      <c r="A338" s="22" t="n">
        <v>82</v>
      </c>
      <c r="B338" s="23" t="n">
        <v>47869</v>
      </c>
      <c r="C338" s="28" t="n">
        <v>7500000000</v>
      </c>
      <c r="D338" s="28" t="n">
        <v>93906250</v>
      </c>
      <c r="E338" s="28" t="n">
        <v>0</v>
      </c>
      <c r="F338" s="28" t="n">
        <v>93906250</v>
      </c>
      <c r="G338" s="28" t="n">
        <v>7500000000</v>
      </c>
      <c r="H338" s="25" t="n">
        <f aca="false">J337</f>
        <v>7500000000</v>
      </c>
      <c r="I338" s="25" t="n">
        <f aca="false">H338*N338</f>
        <v>93906250</v>
      </c>
      <c r="J338" s="25" t="n">
        <f aca="false">H338-E338</f>
        <v>7500000000</v>
      </c>
      <c r="K338" s="25" t="n">
        <f aca="false">D338-I338</f>
        <v>0</v>
      </c>
      <c r="L338" s="25" t="n">
        <f aca="false">G338-J338</f>
        <v>0</v>
      </c>
      <c r="M338" s="25" t="n">
        <f aca="false">F338</f>
        <v>93906250</v>
      </c>
      <c r="N338" s="48" t="n">
        <v>0.0125208333333333</v>
      </c>
      <c r="O338" s="25" t="n">
        <f aca="false">IF(AND(B338&gt;=DATE(2026,1,1),B338&lt;=Resumen!$C$5),1,0)</f>
        <v>0</v>
      </c>
      <c r="P338" s="25" t="n">
        <f aca="false">IF(AND(B338&gt;Resumen!$C$5,B338&lt;=DATE(2027,7,31)),1,0)</f>
        <v>0</v>
      </c>
    </row>
    <row r="339" customFormat="false" ht="15" hidden="false" customHeight="false" outlineLevel="0" collapsed="false">
      <c r="A339" s="22" t="n">
        <v>83</v>
      </c>
      <c r="B339" s="23" t="n">
        <v>47900</v>
      </c>
      <c r="C339" s="28" t="n">
        <v>7500000000</v>
      </c>
      <c r="D339" s="28" t="n">
        <v>93906250</v>
      </c>
      <c r="E339" s="28" t="n">
        <v>0</v>
      </c>
      <c r="F339" s="28" t="n">
        <v>93906250</v>
      </c>
      <c r="G339" s="28" t="n">
        <v>7500000000</v>
      </c>
      <c r="H339" s="25" t="n">
        <f aca="false">J338</f>
        <v>7500000000</v>
      </c>
      <c r="I339" s="25" t="n">
        <f aca="false">H339*N339</f>
        <v>93906250</v>
      </c>
      <c r="J339" s="25" t="n">
        <f aca="false">H339-E339</f>
        <v>7500000000</v>
      </c>
      <c r="K339" s="25" t="n">
        <f aca="false">D339-I339</f>
        <v>0</v>
      </c>
      <c r="L339" s="25" t="n">
        <f aca="false">G339-J339</f>
        <v>0</v>
      </c>
      <c r="M339" s="25" t="n">
        <f aca="false">F339</f>
        <v>93906250</v>
      </c>
      <c r="N339" s="48" t="n">
        <v>0.0125208333333333</v>
      </c>
      <c r="O339" s="25" t="n">
        <f aca="false">IF(AND(B339&gt;=DATE(2026,1,1),B339&lt;=Resumen!$C$5),1,0)</f>
        <v>0</v>
      </c>
      <c r="P339" s="25" t="n">
        <f aca="false">IF(AND(B339&gt;Resumen!$C$5,B339&lt;=DATE(2027,7,31)),1,0)</f>
        <v>0</v>
      </c>
    </row>
    <row r="340" customFormat="false" ht="15" hidden="false" customHeight="false" outlineLevel="0" collapsed="false">
      <c r="A340" s="22" t="n">
        <v>84</v>
      </c>
      <c r="B340" s="23" t="n">
        <v>47928</v>
      </c>
      <c r="C340" s="28" t="n">
        <v>7500000000</v>
      </c>
      <c r="D340" s="28" t="n">
        <v>93906250</v>
      </c>
      <c r="E340" s="28" t="n">
        <v>0</v>
      </c>
      <c r="F340" s="28" t="n">
        <v>93906250</v>
      </c>
      <c r="G340" s="28" t="n">
        <v>7500000000</v>
      </c>
      <c r="H340" s="25" t="n">
        <f aca="false">J339</f>
        <v>7500000000</v>
      </c>
      <c r="I340" s="25" t="n">
        <f aca="false">H340*N340</f>
        <v>93906250</v>
      </c>
      <c r="J340" s="25" t="n">
        <f aca="false">H340-E340</f>
        <v>7500000000</v>
      </c>
      <c r="K340" s="25" t="n">
        <f aca="false">D340-I340</f>
        <v>0</v>
      </c>
      <c r="L340" s="25" t="n">
        <f aca="false">G340-J340</f>
        <v>0</v>
      </c>
      <c r="M340" s="25" t="n">
        <f aca="false">F340</f>
        <v>93906250</v>
      </c>
      <c r="N340" s="48" t="n">
        <v>0.0125208333333333</v>
      </c>
      <c r="O340" s="25" t="n">
        <f aca="false">IF(AND(B340&gt;=DATE(2026,1,1),B340&lt;=Resumen!$C$5),1,0)</f>
        <v>0</v>
      </c>
      <c r="P340" s="25" t="n">
        <f aca="false">IF(AND(B340&gt;Resumen!$C$5,B340&lt;=DATE(2027,7,31)),1,0)</f>
        <v>0</v>
      </c>
    </row>
    <row r="341" customFormat="false" ht="15" hidden="false" customHeight="false" outlineLevel="0" collapsed="false">
      <c r="A341" s="22" t="n">
        <v>85</v>
      </c>
      <c r="B341" s="23" t="n">
        <v>47959</v>
      </c>
      <c r="C341" s="28" t="n">
        <v>7500000000</v>
      </c>
      <c r="D341" s="28" t="n">
        <v>93906250</v>
      </c>
      <c r="E341" s="28" t="n">
        <v>0</v>
      </c>
      <c r="F341" s="28" t="n">
        <v>93906250</v>
      </c>
      <c r="G341" s="28" t="n">
        <v>7500000000</v>
      </c>
      <c r="H341" s="25" t="n">
        <f aca="false">J340</f>
        <v>7500000000</v>
      </c>
      <c r="I341" s="25" t="n">
        <f aca="false">H341*N341</f>
        <v>93906250</v>
      </c>
      <c r="J341" s="25" t="n">
        <f aca="false">H341-E341</f>
        <v>7500000000</v>
      </c>
      <c r="K341" s="25" t="n">
        <f aca="false">D341-I341</f>
        <v>0</v>
      </c>
      <c r="L341" s="25" t="n">
        <f aca="false">G341-J341</f>
        <v>0</v>
      </c>
      <c r="M341" s="25" t="n">
        <f aca="false">F341</f>
        <v>93906250</v>
      </c>
      <c r="N341" s="48" t="n">
        <v>0.0125208333333333</v>
      </c>
      <c r="O341" s="25" t="n">
        <f aca="false">IF(AND(B341&gt;=DATE(2026,1,1),B341&lt;=Resumen!$C$5),1,0)</f>
        <v>0</v>
      </c>
      <c r="P341" s="25" t="n">
        <f aca="false">IF(AND(B341&gt;Resumen!$C$5,B341&lt;=DATE(2027,7,31)),1,0)</f>
        <v>0</v>
      </c>
    </row>
    <row r="342" customFormat="false" ht="15" hidden="false" customHeight="false" outlineLevel="0" collapsed="false">
      <c r="A342" s="22" t="n">
        <v>86</v>
      </c>
      <c r="B342" s="23" t="n">
        <v>47989</v>
      </c>
      <c r="C342" s="28" t="n">
        <v>7500000000</v>
      </c>
      <c r="D342" s="28" t="n">
        <v>93906250</v>
      </c>
      <c r="E342" s="28" t="n">
        <v>0</v>
      </c>
      <c r="F342" s="28" t="n">
        <v>93906250</v>
      </c>
      <c r="G342" s="28" t="n">
        <v>7500000000</v>
      </c>
      <c r="H342" s="25" t="n">
        <f aca="false">J341</f>
        <v>7500000000</v>
      </c>
      <c r="I342" s="25" t="n">
        <f aca="false">H342*N342</f>
        <v>93906250</v>
      </c>
      <c r="J342" s="25" t="n">
        <f aca="false">H342-E342</f>
        <v>7500000000</v>
      </c>
      <c r="K342" s="25" t="n">
        <f aca="false">D342-I342</f>
        <v>0</v>
      </c>
      <c r="L342" s="25" t="n">
        <f aca="false">G342-J342</f>
        <v>0</v>
      </c>
      <c r="M342" s="25" t="n">
        <f aca="false">F342</f>
        <v>93906250</v>
      </c>
      <c r="N342" s="48" t="n">
        <v>0.0125208333333333</v>
      </c>
      <c r="O342" s="25" t="n">
        <f aca="false">IF(AND(B342&gt;=DATE(2026,1,1),B342&lt;=Resumen!$C$5),1,0)</f>
        <v>0</v>
      </c>
      <c r="P342" s="25" t="n">
        <f aca="false">IF(AND(B342&gt;Resumen!$C$5,B342&lt;=DATE(2027,7,31)),1,0)</f>
        <v>0</v>
      </c>
    </row>
    <row r="343" customFormat="false" ht="15" hidden="false" customHeight="false" outlineLevel="0" collapsed="false">
      <c r="A343" s="22" t="n">
        <v>87</v>
      </c>
      <c r="B343" s="23" t="n">
        <v>48020</v>
      </c>
      <c r="C343" s="28" t="n">
        <v>7500000000</v>
      </c>
      <c r="D343" s="28" t="n">
        <v>93906250</v>
      </c>
      <c r="E343" s="28" t="n">
        <v>0</v>
      </c>
      <c r="F343" s="28" t="n">
        <v>93906250</v>
      </c>
      <c r="G343" s="28" t="n">
        <v>7500000000</v>
      </c>
      <c r="H343" s="25" t="n">
        <f aca="false">J342</f>
        <v>7500000000</v>
      </c>
      <c r="I343" s="25" t="n">
        <f aca="false">H343*N343</f>
        <v>93906250</v>
      </c>
      <c r="J343" s="25" t="n">
        <f aca="false">H343-E343</f>
        <v>7500000000</v>
      </c>
      <c r="K343" s="25" t="n">
        <f aca="false">D343-I343</f>
        <v>0</v>
      </c>
      <c r="L343" s="25" t="n">
        <f aca="false">G343-J343</f>
        <v>0</v>
      </c>
      <c r="M343" s="25" t="n">
        <f aca="false">F343</f>
        <v>93906250</v>
      </c>
      <c r="N343" s="48" t="n">
        <v>0.0125208333333333</v>
      </c>
      <c r="O343" s="25" t="n">
        <f aca="false">IF(AND(B343&gt;=DATE(2026,1,1),B343&lt;=Resumen!$C$5),1,0)</f>
        <v>0</v>
      </c>
      <c r="P343" s="25" t="n">
        <f aca="false">IF(AND(B343&gt;Resumen!$C$5,B343&lt;=DATE(2027,7,31)),1,0)</f>
        <v>0</v>
      </c>
    </row>
    <row r="344" customFormat="false" ht="15" hidden="false" customHeight="false" outlineLevel="0" collapsed="false">
      <c r="A344" s="22" t="n">
        <v>88</v>
      </c>
      <c r="B344" s="23" t="n">
        <v>48050</v>
      </c>
      <c r="C344" s="28" t="n">
        <v>7500000000</v>
      </c>
      <c r="D344" s="28" t="n">
        <v>93906250</v>
      </c>
      <c r="E344" s="28" t="n">
        <v>0</v>
      </c>
      <c r="F344" s="28" t="n">
        <v>93906250</v>
      </c>
      <c r="G344" s="28" t="n">
        <v>7500000000</v>
      </c>
      <c r="H344" s="25" t="n">
        <f aca="false">J343</f>
        <v>7500000000</v>
      </c>
      <c r="I344" s="25" t="n">
        <f aca="false">H344*N344</f>
        <v>93906250</v>
      </c>
      <c r="J344" s="25" t="n">
        <f aca="false">H344-E344</f>
        <v>7500000000</v>
      </c>
      <c r="K344" s="25" t="n">
        <f aca="false">D344-I344</f>
        <v>0</v>
      </c>
      <c r="L344" s="25" t="n">
        <f aca="false">G344-J344</f>
        <v>0</v>
      </c>
      <c r="M344" s="25" t="n">
        <f aca="false">F344</f>
        <v>93906250</v>
      </c>
      <c r="N344" s="48" t="n">
        <v>0.0125208333333333</v>
      </c>
      <c r="O344" s="25" t="n">
        <f aca="false">IF(AND(B344&gt;=DATE(2026,1,1),B344&lt;=Resumen!$C$5),1,0)</f>
        <v>0</v>
      </c>
      <c r="P344" s="25" t="n">
        <f aca="false">IF(AND(B344&gt;Resumen!$C$5,B344&lt;=DATE(2027,7,31)),1,0)</f>
        <v>0</v>
      </c>
    </row>
    <row r="345" customFormat="false" ht="15" hidden="false" customHeight="false" outlineLevel="0" collapsed="false">
      <c r="A345" s="22" t="n">
        <v>89</v>
      </c>
      <c r="B345" s="23" t="n">
        <v>48081</v>
      </c>
      <c r="C345" s="28" t="n">
        <v>7500000000</v>
      </c>
      <c r="D345" s="28" t="n">
        <v>93906250</v>
      </c>
      <c r="E345" s="28" t="n">
        <v>0</v>
      </c>
      <c r="F345" s="28" t="n">
        <v>93906250</v>
      </c>
      <c r="G345" s="28" t="n">
        <v>7500000000</v>
      </c>
      <c r="H345" s="25" t="n">
        <f aca="false">J344</f>
        <v>7500000000</v>
      </c>
      <c r="I345" s="25" t="n">
        <f aca="false">H345*N345</f>
        <v>93906250</v>
      </c>
      <c r="J345" s="25" t="n">
        <f aca="false">H345-E345</f>
        <v>7500000000</v>
      </c>
      <c r="K345" s="25" t="n">
        <f aca="false">D345-I345</f>
        <v>0</v>
      </c>
      <c r="L345" s="25" t="n">
        <f aca="false">G345-J345</f>
        <v>0</v>
      </c>
      <c r="M345" s="25" t="n">
        <f aca="false">F345</f>
        <v>93906250</v>
      </c>
      <c r="N345" s="48" t="n">
        <v>0.0125208333333333</v>
      </c>
      <c r="O345" s="25" t="n">
        <f aca="false">IF(AND(B345&gt;=DATE(2026,1,1),B345&lt;=Resumen!$C$5),1,0)</f>
        <v>0</v>
      </c>
      <c r="P345" s="25" t="n">
        <f aca="false">IF(AND(B345&gt;Resumen!$C$5,B345&lt;=DATE(2027,7,31)),1,0)</f>
        <v>0</v>
      </c>
    </row>
    <row r="346" customFormat="false" ht="15" hidden="false" customHeight="false" outlineLevel="0" collapsed="false">
      <c r="A346" s="22" t="n">
        <v>90</v>
      </c>
      <c r="B346" s="23" t="n">
        <v>48112</v>
      </c>
      <c r="C346" s="28" t="n">
        <v>7500000000</v>
      </c>
      <c r="D346" s="28" t="n">
        <v>93906250</v>
      </c>
      <c r="E346" s="28" t="n">
        <v>288461538.461538</v>
      </c>
      <c r="F346" s="28" t="n">
        <v>382367788.461538</v>
      </c>
      <c r="G346" s="28" t="n">
        <v>7211538461.53846</v>
      </c>
      <c r="H346" s="25" t="n">
        <f aca="false">J345</f>
        <v>7500000000</v>
      </c>
      <c r="I346" s="25" t="n">
        <f aca="false">H346*N346</f>
        <v>93906250</v>
      </c>
      <c r="J346" s="25" t="n">
        <f aca="false">H346-E346</f>
        <v>7211538461.53846</v>
      </c>
      <c r="K346" s="25" t="n">
        <f aca="false">D346-I346</f>
        <v>0</v>
      </c>
      <c r="L346" s="25" t="n">
        <f aca="false">G346-J346</f>
        <v>0</v>
      </c>
      <c r="M346" s="25" t="n">
        <f aca="false">F346</f>
        <v>382367788.461538</v>
      </c>
      <c r="N346" s="48" t="n">
        <v>0.0125208333333333</v>
      </c>
      <c r="O346" s="25" t="n">
        <f aca="false">IF(AND(B346&gt;=DATE(2026,1,1),B346&lt;=Resumen!$C$5),1,0)</f>
        <v>0</v>
      </c>
      <c r="P346" s="25" t="n">
        <f aca="false">IF(AND(B346&gt;Resumen!$C$5,B346&lt;=DATE(2027,7,31)),1,0)</f>
        <v>0</v>
      </c>
    </row>
    <row r="347" customFormat="false" ht="15" hidden="false" customHeight="false" outlineLevel="0" collapsed="false">
      <c r="A347" s="22" t="n">
        <v>91</v>
      </c>
      <c r="B347" s="23" t="n">
        <v>48142</v>
      </c>
      <c r="C347" s="28" t="n">
        <v>7211538461.53846</v>
      </c>
      <c r="D347" s="28" t="n">
        <v>90294471.1538462</v>
      </c>
      <c r="E347" s="28" t="n">
        <v>0</v>
      </c>
      <c r="F347" s="28" t="n">
        <v>90294471.1538462</v>
      </c>
      <c r="G347" s="28" t="n">
        <v>7211538461.53846</v>
      </c>
      <c r="H347" s="25" t="n">
        <f aca="false">J346</f>
        <v>7211538461.53846</v>
      </c>
      <c r="I347" s="25" t="n">
        <f aca="false">H347*N347</f>
        <v>90294471.1538461</v>
      </c>
      <c r="J347" s="25" t="n">
        <f aca="false">H347-E347</f>
        <v>7211538461.53846</v>
      </c>
      <c r="K347" s="25" t="n">
        <f aca="false">D347-I347</f>
        <v>0</v>
      </c>
      <c r="L347" s="25" t="n">
        <f aca="false">G347-J347</f>
        <v>0</v>
      </c>
      <c r="M347" s="25" t="n">
        <f aca="false">F347</f>
        <v>90294471.1538462</v>
      </c>
      <c r="N347" s="48" t="n">
        <v>0.0125208333333333</v>
      </c>
      <c r="O347" s="25" t="n">
        <f aca="false">IF(AND(B347&gt;=DATE(2026,1,1),B347&lt;=Resumen!$C$5),1,0)</f>
        <v>0</v>
      </c>
      <c r="P347" s="25" t="n">
        <f aca="false">IF(AND(B347&gt;Resumen!$C$5,B347&lt;=DATE(2027,7,31)),1,0)</f>
        <v>0</v>
      </c>
    </row>
    <row r="348" customFormat="false" ht="15" hidden="false" customHeight="false" outlineLevel="0" collapsed="false">
      <c r="A348" s="22" t="n">
        <v>92</v>
      </c>
      <c r="B348" s="23" t="n">
        <v>48173</v>
      </c>
      <c r="C348" s="28" t="n">
        <v>7211538461.53846</v>
      </c>
      <c r="D348" s="28" t="n">
        <v>90294471.1538462</v>
      </c>
      <c r="E348" s="28" t="n">
        <v>0</v>
      </c>
      <c r="F348" s="28" t="n">
        <v>90294471.1538462</v>
      </c>
      <c r="G348" s="28" t="n">
        <v>7211538461.53846</v>
      </c>
      <c r="H348" s="25" t="n">
        <f aca="false">J347</f>
        <v>7211538461.53846</v>
      </c>
      <c r="I348" s="25" t="n">
        <f aca="false">H348*N348</f>
        <v>90294471.1538461</v>
      </c>
      <c r="J348" s="25" t="n">
        <f aca="false">H348-E348</f>
        <v>7211538461.53846</v>
      </c>
      <c r="K348" s="25" t="n">
        <f aca="false">D348-I348</f>
        <v>0</v>
      </c>
      <c r="L348" s="25" t="n">
        <f aca="false">G348-J348</f>
        <v>0</v>
      </c>
      <c r="M348" s="25" t="n">
        <f aca="false">F348</f>
        <v>90294471.1538462</v>
      </c>
      <c r="N348" s="48" t="n">
        <v>0.0125208333333333</v>
      </c>
      <c r="O348" s="25" t="n">
        <f aca="false">IF(AND(B348&gt;=DATE(2026,1,1),B348&lt;=Resumen!$C$5),1,0)</f>
        <v>0</v>
      </c>
      <c r="P348" s="25" t="n">
        <f aca="false">IF(AND(B348&gt;Resumen!$C$5,B348&lt;=DATE(2027,7,31)),1,0)</f>
        <v>0</v>
      </c>
    </row>
    <row r="349" customFormat="false" ht="15" hidden="false" customHeight="false" outlineLevel="0" collapsed="false">
      <c r="A349" s="22" t="n">
        <v>93</v>
      </c>
      <c r="B349" s="23" t="n">
        <v>48203</v>
      </c>
      <c r="C349" s="28" t="n">
        <v>7211538461.53846</v>
      </c>
      <c r="D349" s="28" t="n">
        <v>90294471.1538462</v>
      </c>
      <c r="E349" s="28" t="n">
        <v>0</v>
      </c>
      <c r="F349" s="28" t="n">
        <v>90294471.1538462</v>
      </c>
      <c r="G349" s="28" t="n">
        <v>7211538461.53846</v>
      </c>
      <c r="H349" s="25" t="n">
        <f aca="false">J348</f>
        <v>7211538461.53846</v>
      </c>
      <c r="I349" s="25" t="n">
        <f aca="false">H349*N349</f>
        <v>90294471.1538461</v>
      </c>
      <c r="J349" s="25" t="n">
        <f aca="false">H349-E349</f>
        <v>7211538461.53846</v>
      </c>
      <c r="K349" s="25" t="n">
        <f aca="false">D349-I349</f>
        <v>0</v>
      </c>
      <c r="L349" s="25" t="n">
        <f aca="false">G349-J349</f>
        <v>0</v>
      </c>
      <c r="M349" s="25" t="n">
        <f aca="false">F349</f>
        <v>90294471.1538462</v>
      </c>
      <c r="N349" s="48" t="n">
        <v>0.0125208333333333</v>
      </c>
      <c r="O349" s="25" t="n">
        <f aca="false">IF(AND(B349&gt;=DATE(2026,1,1),B349&lt;=Resumen!$C$5),1,0)</f>
        <v>0</v>
      </c>
      <c r="P349" s="25" t="n">
        <f aca="false">IF(AND(B349&gt;Resumen!$C$5,B349&lt;=DATE(2027,7,31)),1,0)</f>
        <v>0</v>
      </c>
    </row>
    <row r="350" customFormat="false" ht="15" hidden="false" customHeight="false" outlineLevel="0" collapsed="false">
      <c r="A350" s="22" t="n">
        <v>94</v>
      </c>
      <c r="B350" s="23" t="n">
        <v>48234</v>
      </c>
      <c r="C350" s="28" t="n">
        <v>7211538461.53846</v>
      </c>
      <c r="D350" s="28" t="n">
        <v>90294471.1538462</v>
      </c>
      <c r="E350" s="28" t="n">
        <v>0</v>
      </c>
      <c r="F350" s="28" t="n">
        <v>90294471.1538462</v>
      </c>
      <c r="G350" s="28" t="n">
        <v>7211538461.53846</v>
      </c>
      <c r="H350" s="25" t="n">
        <f aca="false">J349</f>
        <v>7211538461.53846</v>
      </c>
      <c r="I350" s="25" t="n">
        <f aca="false">H350*N350</f>
        <v>90294471.1538461</v>
      </c>
      <c r="J350" s="25" t="n">
        <f aca="false">H350-E350</f>
        <v>7211538461.53846</v>
      </c>
      <c r="K350" s="25" t="n">
        <f aca="false">D350-I350</f>
        <v>0</v>
      </c>
      <c r="L350" s="25" t="n">
        <f aca="false">G350-J350</f>
        <v>0</v>
      </c>
      <c r="M350" s="25" t="n">
        <f aca="false">F350</f>
        <v>90294471.1538462</v>
      </c>
      <c r="N350" s="48" t="n">
        <v>0.0125208333333333</v>
      </c>
      <c r="O350" s="25" t="n">
        <f aca="false">IF(AND(B350&gt;=DATE(2026,1,1),B350&lt;=Resumen!$C$5),1,0)</f>
        <v>0</v>
      </c>
      <c r="P350" s="25" t="n">
        <f aca="false">IF(AND(B350&gt;Resumen!$C$5,B350&lt;=DATE(2027,7,31)),1,0)</f>
        <v>0</v>
      </c>
    </row>
    <row r="351" customFormat="false" ht="15" hidden="false" customHeight="false" outlineLevel="0" collapsed="false">
      <c r="A351" s="22" t="n">
        <v>95</v>
      </c>
      <c r="B351" s="23" t="n">
        <v>48265</v>
      </c>
      <c r="C351" s="28" t="n">
        <v>7211538461.53846</v>
      </c>
      <c r="D351" s="28" t="n">
        <v>90294471.1538462</v>
      </c>
      <c r="E351" s="28" t="n">
        <v>0</v>
      </c>
      <c r="F351" s="28" t="n">
        <v>90294471.1538462</v>
      </c>
      <c r="G351" s="28" t="n">
        <v>7211538461.53846</v>
      </c>
      <c r="H351" s="25" t="n">
        <f aca="false">J350</f>
        <v>7211538461.53846</v>
      </c>
      <c r="I351" s="25" t="n">
        <f aca="false">H351*N351</f>
        <v>90294471.1538461</v>
      </c>
      <c r="J351" s="25" t="n">
        <f aca="false">H351-E351</f>
        <v>7211538461.53846</v>
      </c>
      <c r="K351" s="25" t="n">
        <f aca="false">D351-I351</f>
        <v>0</v>
      </c>
      <c r="L351" s="25" t="n">
        <f aca="false">G351-J351</f>
        <v>0</v>
      </c>
      <c r="M351" s="25" t="n">
        <f aca="false">F351</f>
        <v>90294471.1538462</v>
      </c>
      <c r="N351" s="48" t="n">
        <v>0.0125208333333333</v>
      </c>
      <c r="O351" s="25" t="n">
        <f aca="false">IF(AND(B351&gt;=DATE(2026,1,1),B351&lt;=Resumen!$C$5),1,0)</f>
        <v>0</v>
      </c>
      <c r="P351" s="25" t="n">
        <f aca="false">IF(AND(B351&gt;Resumen!$C$5,B351&lt;=DATE(2027,7,31)),1,0)</f>
        <v>0</v>
      </c>
    </row>
    <row r="352" customFormat="false" ht="15" hidden="false" customHeight="false" outlineLevel="0" collapsed="false">
      <c r="A352" s="22" t="n">
        <v>96</v>
      </c>
      <c r="B352" s="23" t="n">
        <v>48294</v>
      </c>
      <c r="C352" s="28" t="n">
        <v>7211538461.53846</v>
      </c>
      <c r="D352" s="28" t="n">
        <v>90294471.1538462</v>
      </c>
      <c r="E352" s="28" t="n">
        <v>288461538.461538</v>
      </c>
      <c r="F352" s="28" t="n">
        <v>378756009.615385</v>
      </c>
      <c r="G352" s="28" t="n">
        <v>6923076923.07692</v>
      </c>
      <c r="H352" s="25" t="n">
        <f aca="false">J351</f>
        <v>7211538461.53846</v>
      </c>
      <c r="I352" s="25" t="n">
        <f aca="false">H352*N352</f>
        <v>90294471.1538461</v>
      </c>
      <c r="J352" s="25" t="n">
        <f aca="false">H352-E352</f>
        <v>6923076923.07692</v>
      </c>
      <c r="K352" s="25" t="n">
        <f aca="false">D352-I352</f>
        <v>0</v>
      </c>
      <c r="L352" s="25" t="n">
        <f aca="false">G352-J352</f>
        <v>0</v>
      </c>
      <c r="M352" s="25" t="n">
        <f aca="false">F352</f>
        <v>378756009.615385</v>
      </c>
      <c r="N352" s="48" t="n">
        <v>0.0125208333333333</v>
      </c>
      <c r="O352" s="25" t="n">
        <f aca="false">IF(AND(B352&gt;=DATE(2026,1,1),B352&lt;=Resumen!$C$5),1,0)</f>
        <v>0</v>
      </c>
      <c r="P352" s="25" t="n">
        <f aca="false">IF(AND(B352&gt;Resumen!$C$5,B352&lt;=DATE(2027,7,31)),1,0)</f>
        <v>0</v>
      </c>
    </row>
    <row r="353" customFormat="false" ht="15" hidden="false" customHeight="false" outlineLevel="0" collapsed="false">
      <c r="A353" s="22" t="n">
        <v>97</v>
      </c>
      <c r="B353" s="23" t="n">
        <v>48325</v>
      </c>
      <c r="C353" s="28" t="n">
        <v>6923076923.07692</v>
      </c>
      <c r="D353" s="28" t="n">
        <v>86682692.3076923</v>
      </c>
      <c r="E353" s="28" t="n">
        <v>0</v>
      </c>
      <c r="F353" s="28" t="n">
        <v>86682692.3076923</v>
      </c>
      <c r="G353" s="28" t="n">
        <v>6923076923.07692</v>
      </c>
      <c r="H353" s="25" t="n">
        <f aca="false">J352</f>
        <v>6923076923.07692</v>
      </c>
      <c r="I353" s="25" t="n">
        <f aca="false">H353*N353</f>
        <v>86682692.3076923</v>
      </c>
      <c r="J353" s="25" t="n">
        <f aca="false">H353-E353</f>
        <v>6923076923.07692</v>
      </c>
      <c r="K353" s="25" t="n">
        <f aca="false">D353-I353</f>
        <v>0</v>
      </c>
      <c r="L353" s="25" t="n">
        <f aca="false">G353-J353</f>
        <v>0</v>
      </c>
      <c r="M353" s="25" t="n">
        <f aca="false">F353</f>
        <v>86682692.3076923</v>
      </c>
      <c r="N353" s="48" t="n">
        <v>0.0125208333333333</v>
      </c>
      <c r="O353" s="25" t="n">
        <f aca="false">IF(AND(B353&gt;=DATE(2026,1,1),B353&lt;=Resumen!$C$5),1,0)</f>
        <v>0</v>
      </c>
      <c r="P353" s="25" t="n">
        <f aca="false">IF(AND(B353&gt;Resumen!$C$5,B353&lt;=DATE(2027,7,31)),1,0)</f>
        <v>0</v>
      </c>
    </row>
    <row r="354" customFormat="false" ht="15" hidden="false" customHeight="false" outlineLevel="0" collapsed="false">
      <c r="A354" s="22" t="n">
        <v>98</v>
      </c>
      <c r="B354" s="23" t="n">
        <v>48355</v>
      </c>
      <c r="C354" s="28" t="n">
        <v>6923076923.07692</v>
      </c>
      <c r="D354" s="28" t="n">
        <v>86682692.3076923</v>
      </c>
      <c r="E354" s="28" t="n">
        <v>0</v>
      </c>
      <c r="F354" s="28" t="n">
        <v>86682692.3076923</v>
      </c>
      <c r="G354" s="28" t="n">
        <v>6923076923.07692</v>
      </c>
      <c r="H354" s="25" t="n">
        <f aca="false">J353</f>
        <v>6923076923.07692</v>
      </c>
      <c r="I354" s="25" t="n">
        <f aca="false">H354*N354</f>
        <v>86682692.3076923</v>
      </c>
      <c r="J354" s="25" t="n">
        <f aca="false">H354-E354</f>
        <v>6923076923.07692</v>
      </c>
      <c r="K354" s="25" t="n">
        <f aca="false">D354-I354</f>
        <v>0</v>
      </c>
      <c r="L354" s="25" t="n">
        <f aca="false">G354-J354</f>
        <v>0</v>
      </c>
      <c r="M354" s="25" t="n">
        <f aca="false">F354</f>
        <v>86682692.3076923</v>
      </c>
      <c r="N354" s="48" t="n">
        <v>0.0125208333333333</v>
      </c>
      <c r="O354" s="25" t="n">
        <f aca="false">IF(AND(B354&gt;=DATE(2026,1,1),B354&lt;=Resumen!$C$5),1,0)</f>
        <v>0</v>
      </c>
      <c r="P354" s="25" t="n">
        <f aca="false">IF(AND(B354&gt;Resumen!$C$5,B354&lt;=DATE(2027,7,31)),1,0)</f>
        <v>0</v>
      </c>
    </row>
    <row r="355" customFormat="false" ht="15" hidden="false" customHeight="false" outlineLevel="0" collapsed="false">
      <c r="A355" s="22" t="n">
        <v>99</v>
      </c>
      <c r="B355" s="23" t="n">
        <v>48386</v>
      </c>
      <c r="C355" s="28" t="n">
        <v>6923076923.07692</v>
      </c>
      <c r="D355" s="28" t="n">
        <v>86682692.3076923</v>
      </c>
      <c r="E355" s="28" t="n">
        <v>0</v>
      </c>
      <c r="F355" s="28" t="n">
        <v>86682692.3076923</v>
      </c>
      <c r="G355" s="28" t="n">
        <v>6923076923.07692</v>
      </c>
      <c r="H355" s="25" t="n">
        <f aca="false">J354</f>
        <v>6923076923.07692</v>
      </c>
      <c r="I355" s="25" t="n">
        <f aca="false">H355*N355</f>
        <v>86682692.3076923</v>
      </c>
      <c r="J355" s="25" t="n">
        <f aca="false">H355-E355</f>
        <v>6923076923.07692</v>
      </c>
      <c r="K355" s="25" t="n">
        <f aca="false">D355-I355</f>
        <v>0</v>
      </c>
      <c r="L355" s="25" t="n">
        <f aca="false">G355-J355</f>
        <v>0</v>
      </c>
      <c r="M355" s="25" t="n">
        <f aca="false">F355</f>
        <v>86682692.3076923</v>
      </c>
      <c r="N355" s="48" t="n">
        <v>0.0125208333333333</v>
      </c>
      <c r="O355" s="25" t="n">
        <f aca="false">IF(AND(B355&gt;=DATE(2026,1,1),B355&lt;=Resumen!$C$5),1,0)</f>
        <v>0</v>
      </c>
      <c r="P355" s="25" t="n">
        <f aca="false">IF(AND(B355&gt;Resumen!$C$5,B355&lt;=DATE(2027,7,31)),1,0)</f>
        <v>0</v>
      </c>
    </row>
    <row r="356" customFormat="false" ht="15" hidden="false" customHeight="false" outlineLevel="0" collapsed="false">
      <c r="A356" s="22" t="n">
        <v>100</v>
      </c>
      <c r="B356" s="23" t="n">
        <v>48416</v>
      </c>
      <c r="C356" s="28" t="n">
        <v>6923076923.07692</v>
      </c>
      <c r="D356" s="28" t="n">
        <v>86682692.3076923</v>
      </c>
      <c r="E356" s="28" t="n">
        <v>0</v>
      </c>
      <c r="F356" s="28" t="n">
        <v>86682692.3076923</v>
      </c>
      <c r="G356" s="28" t="n">
        <v>6923076923.07692</v>
      </c>
      <c r="H356" s="25" t="n">
        <f aca="false">J355</f>
        <v>6923076923.07692</v>
      </c>
      <c r="I356" s="25" t="n">
        <f aca="false">H356*N356</f>
        <v>86682692.3076923</v>
      </c>
      <c r="J356" s="25" t="n">
        <f aca="false">H356-E356</f>
        <v>6923076923.07692</v>
      </c>
      <c r="K356" s="25" t="n">
        <f aca="false">D356-I356</f>
        <v>0</v>
      </c>
      <c r="L356" s="25" t="n">
        <f aca="false">G356-J356</f>
        <v>0</v>
      </c>
      <c r="M356" s="25" t="n">
        <f aca="false">F356</f>
        <v>86682692.3076923</v>
      </c>
      <c r="N356" s="48" t="n">
        <v>0.0125208333333333</v>
      </c>
      <c r="O356" s="25" t="n">
        <f aca="false">IF(AND(B356&gt;=DATE(2026,1,1),B356&lt;=Resumen!$C$5),1,0)</f>
        <v>0</v>
      </c>
      <c r="P356" s="25" t="n">
        <f aca="false">IF(AND(B356&gt;Resumen!$C$5,B356&lt;=DATE(2027,7,31)),1,0)</f>
        <v>0</v>
      </c>
    </row>
    <row r="357" customFormat="false" ht="15" hidden="false" customHeight="false" outlineLevel="0" collapsed="false">
      <c r="A357" s="22" t="n">
        <v>101</v>
      </c>
      <c r="B357" s="23" t="n">
        <v>48447</v>
      </c>
      <c r="C357" s="28" t="n">
        <v>6923076923.07692</v>
      </c>
      <c r="D357" s="28" t="n">
        <v>86682692.3076923</v>
      </c>
      <c r="E357" s="28" t="n">
        <v>0</v>
      </c>
      <c r="F357" s="28" t="n">
        <v>86682692.3076923</v>
      </c>
      <c r="G357" s="28" t="n">
        <v>6923076923.07692</v>
      </c>
      <c r="H357" s="25" t="n">
        <f aca="false">J356</f>
        <v>6923076923.07692</v>
      </c>
      <c r="I357" s="25" t="n">
        <f aca="false">H357*N357</f>
        <v>86682692.3076923</v>
      </c>
      <c r="J357" s="25" t="n">
        <f aca="false">H357-E357</f>
        <v>6923076923.07692</v>
      </c>
      <c r="K357" s="25" t="n">
        <f aca="false">D357-I357</f>
        <v>0</v>
      </c>
      <c r="L357" s="25" t="n">
        <f aca="false">G357-J357</f>
        <v>0</v>
      </c>
      <c r="M357" s="25" t="n">
        <f aca="false">F357</f>
        <v>86682692.3076923</v>
      </c>
      <c r="N357" s="48" t="n">
        <v>0.0125208333333333</v>
      </c>
      <c r="O357" s="25" t="n">
        <f aca="false">IF(AND(B357&gt;=DATE(2026,1,1),B357&lt;=Resumen!$C$5),1,0)</f>
        <v>0</v>
      </c>
      <c r="P357" s="25" t="n">
        <f aca="false">IF(AND(B357&gt;Resumen!$C$5,B357&lt;=DATE(2027,7,31)),1,0)</f>
        <v>0</v>
      </c>
    </row>
    <row r="358" customFormat="false" ht="15" hidden="false" customHeight="false" outlineLevel="0" collapsed="false">
      <c r="A358" s="22" t="n">
        <v>102</v>
      </c>
      <c r="B358" s="23" t="n">
        <v>48478</v>
      </c>
      <c r="C358" s="28" t="n">
        <v>6923076923.07692</v>
      </c>
      <c r="D358" s="28" t="n">
        <v>86682692.3076923</v>
      </c>
      <c r="E358" s="28" t="n">
        <v>288461538.461538</v>
      </c>
      <c r="F358" s="28" t="n">
        <v>375144230.769231</v>
      </c>
      <c r="G358" s="28" t="n">
        <v>6634615384.61539</v>
      </c>
      <c r="H358" s="25" t="n">
        <f aca="false">J357</f>
        <v>6923076923.07692</v>
      </c>
      <c r="I358" s="25" t="n">
        <f aca="false">H358*N358</f>
        <v>86682692.3076923</v>
      </c>
      <c r="J358" s="25" t="n">
        <f aca="false">H358-E358</f>
        <v>6634615384.61539</v>
      </c>
      <c r="K358" s="25" t="n">
        <f aca="false">D358-I358</f>
        <v>0</v>
      </c>
      <c r="L358" s="25" t="n">
        <f aca="false">G358-J358</f>
        <v>0</v>
      </c>
      <c r="M358" s="25" t="n">
        <f aca="false">F358</f>
        <v>375144230.769231</v>
      </c>
      <c r="N358" s="48" t="n">
        <v>0.0125208333333333</v>
      </c>
      <c r="O358" s="25" t="n">
        <f aca="false">IF(AND(B358&gt;=DATE(2026,1,1),B358&lt;=Resumen!$C$5),1,0)</f>
        <v>0</v>
      </c>
      <c r="P358" s="25" t="n">
        <f aca="false">IF(AND(B358&gt;Resumen!$C$5,B358&lt;=DATE(2027,7,31)),1,0)</f>
        <v>0</v>
      </c>
    </row>
    <row r="359" customFormat="false" ht="15" hidden="false" customHeight="false" outlineLevel="0" collapsed="false">
      <c r="A359" s="22" t="n">
        <v>103</v>
      </c>
      <c r="B359" s="23" t="n">
        <v>48508</v>
      </c>
      <c r="C359" s="28" t="n">
        <v>6634615384.61539</v>
      </c>
      <c r="D359" s="28" t="n">
        <v>83070913.4615385</v>
      </c>
      <c r="E359" s="28" t="n">
        <v>0</v>
      </c>
      <c r="F359" s="28" t="n">
        <v>83070913.4615385</v>
      </c>
      <c r="G359" s="28" t="n">
        <v>6634615384.61539</v>
      </c>
      <c r="H359" s="25" t="n">
        <f aca="false">J358</f>
        <v>6634615384.61539</v>
      </c>
      <c r="I359" s="25" t="n">
        <f aca="false">H359*N359</f>
        <v>83070913.4615385</v>
      </c>
      <c r="J359" s="25" t="n">
        <f aca="false">H359-E359</f>
        <v>6634615384.61539</v>
      </c>
      <c r="K359" s="25" t="n">
        <f aca="false">D359-I359</f>
        <v>0</v>
      </c>
      <c r="L359" s="25" t="n">
        <f aca="false">G359-J359</f>
        <v>0</v>
      </c>
      <c r="M359" s="25" t="n">
        <f aca="false">F359</f>
        <v>83070913.4615385</v>
      </c>
      <c r="N359" s="48" t="n">
        <v>0.0125208333333333</v>
      </c>
      <c r="O359" s="25" t="n">
        <f aca="false">IF(AND(B359&gt;=DATE(2026,1,1),B359&lt;=Resumen!$C$5),1,0)</f>
        <v>0</v>
      </c>
      <c r="P359" s="25" t="n">
        <f aca="false">IF(AND(B359&gt;Resumen!$C$5,B359&lt;=DATE(2027,7,31)),1,0)</f>
        <v>0</v>
      </c>
    </row>
    <row r="360" customFormat="false" ht="15" hidden="false" customHeight="false" outlineLevel="0" collapsed="false">
      <c r="A360" s="22" t="n">
        <v>104</v>
      </c>
      <c r="B360" s="23" t="n">
        <v>48539</v>
      </c>
      <c r="C360" s="28" t="n">
        <v>6634615384.61539</v>
      </c>
      <c r="D360" s="28" t="n">
        <v>83070913.4615385</v>
      </c>
      <c r="E360" s="28" t="n">
        <v>0</v>
      </c>
      <c r="F360" s="28" t="n">
        <v>83070913.4615385</v>
      </c>
      <c r="G360" s="28" t="n">
        <v>6634615384.61539</v>
      </c>
      <c r="H360" s="25" t="n">
        <f aca="false">J359</f>
        <v>6634615384.61539</v>
      </c>
      <c r="I360" s="25" t="n">
        <f aca="false">H360*N360</f>
        <v>83070913.4615385</v>
      </c>
      <c r="J360" s="25" t="n">
        <f aca="false">H360-E360</f>
        <v>6634615384.61539</v>
      </c>
      <c r="K360" s="25" t="n">
        <f aca="false">D360-I360</f>
        <v>0</v>
      </c>
      <c r="L360" s="25" t="n">
        <f aca="false">G360-J360</f>
        <v>0</v>
      </c>
      <c r="M360" s="25" t="n">
        <f aca="false">F360</f>
        <v>83070913.4615385</v>
      </c>
      <c r="N360" s="48" t="n">
        <v>0.0125208333333333</v>
      </c>
      <c r="O360" s="25" t="n">
        <f aca="false">IF(AND(B360&gt;=DATE(2026,1,1),B360&lt;=Resumen!$C$5),1,0)</f>
        <v>0</v>
      </c>
      <c r="P360" s="25" t="n">
        <f aca="false">IF(AND(B360&gt;Resumen!$C$5,B360&lt;=DATE(2027,7,31)),1,0)</f>
        <v>0</v>
      </c>
    </row>
    <row r="361" customFormat="false" ht="15" hidden="false" customHeight="false" outlineLevel="0" collapsed="false">
      <c r="A361" s="22" t="n">
        <v>105</v>
      </c>
      <c r="B361" s="23" t="n">
        <v>48569</v>
      </c>
      <c r="C361" s="28" t="n">
        <v>6634615384.61539</v>
      </c>
      <c r="D361" s="28" t="n">
        <v>83070913.4615385</v>
      </c>
      <c r="E361" s="28" t="n">
        <v>0</v>
      </c>
      <c r="F361" s="28" t="n">
        <v>83070913.4615385</v>
      </c>
      <c r="G361" s="28" t="n">
        <v>6634615384.61539</v>
      </c>
      <c r="H361" s="25" t="n">
        <f aca="false">J360</f>
        <v>6634615384.61539</v>
      </c>
      <c r="I361" s="25" t="n">
        <f aca="false">H361*N361</f>
        <v>83070913.4615385</v>
      </c>
      <c r="J361" s="25" t="n">
        <f aca="false">H361-E361</f>
        <v>6634615384.61539</v>
      </c>
      <c r="K361" s="25" t="n">
        <f aca="false">D361-I361</f>
        <v>0</v>
      </c>
      <c r="L361" s="25" t="n">
        <f aca="false">G361-J361</f>
        <v>0</v>
      </c>
      <c r="M361" s="25" t="n">
        <f aca="false">F361</f>
        <v>83070913.4615385</v>
      </c>
      <c r="N361" s="48" t="n">
        <v>0.0125208333333333</v>
      </c>
      <c r="O361" s="25" t="n">
        <f aca="false">IF(AND(B361&gt;=DATE(2026,1,1),B361&lt;=Resumen!$C$5),1,0)</f>
        <v>0</v>
      </c>
      <c r="P361" s="25" t="n">
        <f aca="false">IF(AND(B361&gt;Resumen!$C$5,B361&lt;=DATE(2027,7,31)),1,0)</f>
        <v>0</v>
      </c>
    </row>
    <row r="362" customFormat="false" ht="15" hidden="false" customHeight="false" outlineLevel="0" collapsed="false">
      <c r="A362" s="22" t="n">
        <v>106</v>
      </c>
      <c r="B362" s="23" t="n">
        <v>48600</v>
      </c>
      <c r="C362" s="28" t="n">
        <v>6634615384.61539</v>
      </c>
      <c r="D362" s="28" t="n">
        <v>83070913.4615385</v>
      </c>
      <c r="E362" s="28" t="n">
        <v>0</v>
      </c>
      <c r="F362" s="28" t="n">
        <v>83070913.4615385</v>
      </c>
      <c r="G362" s="28" t="n">
        <v>6634615384.61539</v>
      </c>
      <c r="H362" s="25" t="n">
        <f aca="false">J361</f>
        <v>6634615384.61539</v>
      </c>
      <c r="I362" s="25" t="n">
        <f aca="false">H362*N362</f>
        <v>83070913.4615385</v>
      </c>
      <c r="J362" s="25" t="n">
        <f aca="false">H362-E362</f>
        <v>6634615384.61539</v>
      </c>
      <c r="K362" s="25" t="n">
        <f aca="false">D362-I362</f>
        <v>0</v>
      </c>
      <c r="L362" s="25" t="n">
        <f aca="false">G362-J362</f>
        <v>0</v>
      </c>
      <c r="M362" s="25" t="n">
        <f aca="false">F362</f>
        <v>83070913.4615385</v>
      </c>
      <c r="N362" s="48" t="n">
        <v>0.0125208333333333</v>
      </c>
      <c r="O362" s="25" t="n">
        <f aca="false">IF(AND(B362&gt;=DATE(2026,1,1),B362&lt;=Resumen!$C$5),1,0)</f>
        <v>0</v>
      </c>
      <c r="P362" s="25" t="n">
        <f aca="false">IF(AND(B362&gt;Resumen!$C$5,B362&lt;=DATE(2027,7,31)),1,0)</f>
        <v>0</v>
      </c>
    </row>
    <row r="363" customFormat="false" ht="15" hidden="false" customHeight="false" outlineLevel="0" collapsed="false">
      <c r="A363" s="22" t="n">
        <v>107</v>
      </c>
      <c r="B363" s="23" t="n">
        <v>48631</v>
      </c>
      <c r="C363" s="28" t="n">
        <v>6634615384.61539</v>
      </c>
      <c r="D363" s="28" t="n">
        <v>83070913.4615385</v>
      </c>
      <c r="E363" s="28" t="n">
        <v>0</v>
      </c>
      <c r="F363" s="28" t="n">
        <v>83070913.4615385</v>
      </c>
      <c r="G363" s="28" t="n">
        <v>6634615384.61539</v>
      </c>
      <c r="H363" s="25" t="n">
        <f aca="false">J362</f>
        <v>6634615384.61539</v>
      </c>
      <c r="I363" s="25" t="n">
        <f aca="false">H363*N363</f>
        <v>83070913.4615385</v>
      </c>
      <c r="J363" s="25" t="n">
        <f aca="false">H363-E363</f>
        <v>6634615384.61539</v>
      </c>
      <c r="K363" s="25" t="n">
        <f aca="false">D363-I363</f>
        <v>0</v>
      </c>
      <c r="L363" s="25" t="n">
        <f aca="false">G363-J363</f>
        <v>0</v>
      </c>
      <c r="M363" s="25" t="n">
        <f aca="false">F363</f>
        <v>83070913.4615385</v>
      </c>
      <c r="N363" s="48" t="n">
        <v>0.0125208333333333</v>
      </c>
      <c r="O363" s="25" t="n">
        <f aca="false">IF(AND(B363&gt;=DATE(2026,1,1),B363&lt;=Resumen!$C$5),1,0)</f>
        <v>0</v>
      </c>
      <c r="P363" s="25" t="n">
        <f aca="false">IF(AND(B363&gt;Resumen!$C$5,B363&lt;=DATE(2027,7,31)),1,0)</f>
        <v>0</v>
      </c>
    </row>
    <row r="364" customFormat="false" ht="15" hidden="false" customHeight="false" outlineLevel="0" collapsed="false">
      <c r="A364" s="22" t="n">
        <v>108</v>
      </c>
      <c r="B364" s="23" t="n">
        <v>48659</v>
      </c>
      <c r="C364" s="28" t="n">
        <v>6634615384.61539</v>
      </c>
      <c r="D364" s="28" t="n">
        <v>83070913.4615385</v>
      </c>
      <c r="E364" s="28" t="n">
        <v>288461538.461538</v>
      </c>
      <c r="F364" s="28" t="n">
        <v>371532451.923077</v>
      </c>
      <c r="G364" s="28" t="n">
        <v>6346153846.15385</v>
      </c>
      <c r="H364" s="25" t="n">
        <f aca="false">J363</f>
        <v>6634615384.61539</v>
      </c>
      <c r="I364" s="25" t="n">
        <f aca="false">H364*N364</f>
        <v>83070913.4615385</v>
      </c>
      <c r="J364" s="25" t="n">
        <f aca="false">H364-E364</f>
        <v>6346153846.15385</v>
      </c>
      <c r="K364" s="25" t="n">
        <f aca="false">D364-I364</f>
        <v>0</v>
      </c>
      <c r="L364" s="25" t="n">
        <f aca="false">G364-J364</f>
        <v>0</v>
      </c>
      <c r="M364" s="25" t="n">
        <f aca="false">F364</f>
        <v>371532451.923077</v>
      </c>
      <c r="N364" s="48" t="n">
        <v>0.0125208333333333</v>
      </c>
      <c r="O364" s="25" t="n">
        <f aca="false">IF(AND(B364&gt;=DATE(2026,1,1),B364&lt;=Resumen!$C$5),1,0)</f>
        <v>0</v>
      </c>
      <c r="P364" s="25" t="n">
        <f aca="false">IF(AND(B364&gt;Resumen!$C$5,B364&lt;=DATE(2027,7,31)),1,0)</f>
        <v>0</v>
      </c>
    </row>
    <row r="365" customFormat="false" ht="15" hidden="false" customHeight="false" outlineLevel="0" collapsed="false">
      <c r="A365" s="22" t="n">
        <v>109</v>
      </c>
      <c r="B365" s="23" t="n">
        <v>48690</v>
      </c>
      <c r="C365" s="28" t="n">
        <v>6346153846.15385</v>
      </c>
      <c r="D365" s="28" t="n">
        <v>79459134.6153846</v>
      </c>
      <c r="E365" s="28" t="n">
        <v>0</v>
      </c>
      <c r="F365" s="28" t="n">
        <v>79459134.6153846</v>
      </c>
      <c r="G365" s="28" t="n">
        <v>6346153846.15385</v>
      </c>
      <c r="H365" s="25" t="n">
        <f aca="false">J364</f>
        <v>6346153846.15385</v>
      </c>
      <c r="I365" s="25" t="n">
        <f aca="false">H365*N365</f>
        <v>79459134.6153846</v>
      </c>
      <c r="J365" s="25" t="n">
        <f aca="false">H365-E365</f>
        <v>6346153846.15385</v>
      </c>
      <c r="K365" s="25" t="n">
        <f aca="false">D365-I365</f>
        <v>0</v>
      </c>
      <c r="L365" s="25" t="n">
        <f aca="false">G365-J365</f>
        <v>0</v>
      </c>
      <c r="M365" s="25" t="n">
        <f aca="false">F365</f>
        <v>79459134.6153846</v>
      </c>
      <c r="N365" s="48" t="n">
        <v>0.0125208333333333</v>
      </c>
      <c r="O365" s="25" t="n">
        <f aca="false">IF(AND(B365&gt;=DATE(2026,1,1),B365&lt;=Resumen!$C$5),1,0)</f>
        <v>0</v>
      </c>
      <c r="P365" s="25" t="n">
        <f aca="false">IF(AND(B365&gt;Resumen!$C$5,B365&lt;=DATE(2027,7,31)),1,0)</f>
        <v>0</v>
      </c>
    </row>
    <row r="366" customFormat="false" ht="15" hidden="false" customHeight="false" outlineLevel="0" collapsed="false">
      <c r="A366" s="22" t="n">
        <v>110</v>
      </c>
      <c r="B366" s="23" t="n">
        <v>48720</v>
      </c>
      <c r="C366" s="28" t="n">
        <v>6346153846.15385</v>
      </c>
      <c r="D366" s="28" t="n">
        <v>79459134.6153846</v>
      </c>
      <c r="E366" s="28" t="n">
        <v>0</v>
      </c>
      <c r="F366" s="28" t="n">
        <v>79459134.6153846</v>
      </c>
      <c r="G366" s="28" t="n">
        <v>6346153846.15385</v>
      </c>
      <c r="H366" s="25" t="n">
        <f aca="false">J365</f>
        <v>6346153846.15385</v>
      </c>
      <c r="I366" s="25" t="n">
        <f aca="false">H366*N366</f>
        <v>79459134.6153846</v>
      </c>
      <c r="J366" s="25" t="n">
        <f aca="false">H366-E366</f>
        <v>6346153846.15385</v>
      </c>
      <c r="K366" s="25" t="n">
        <f aca="false">D366-I366</f>
        <v>0</v>
      </c>
      <c r="L366" s="25" t="n">
        <f aca="false">G366-J366</f>
        <v>0</v>
      </c>
      <c r="M366" s="25" t="n">
        <f aca="false">F366</f>
        <v>79459134.6153846</v>
      </c>
      <c r="N366" s="48" t="n">
        <v>0.0125208333333333</v>
      </c>
      <c r="O366" s="25" t="n">
        <f aca="false">IF(AND(B366&gt;=DATE(2026,1,1),B366&lt;=Resumen!$C$5),1,0)</f>
        <v>0</v>
      </c>
      <c r="P366" s="25" t="n">
        <f aca="false">IF(AND(B366&gt;Resumen!$C$5,B366&lt;=DATE(2027,7,31)),1,0)</f>
        <v>0</v>
      </c>
    </row>
    <row r="367" customFormat="false" ht="15" hidden="false" customHeight="false" outlineLevel="0" collapsed="false">
      <c r="A367" s="22" t="n">
        <v>111</v>
      </c>
      <c r="B367" s="23" t="n">
        <v>48751</v>
      </c>
      <c r="C367" s="28" t="n">
        <v>6346153846.15385</v>
      </c>
      <c r="D367" s="28" t="n">
        <v>79459134.6153846</v>
      </c>
      <c r="E367" s="28" t="n">
        <v>0</v>
      </c>
      <c r="F367" s="28" t="n">
        <v>79459134.6153846</v>
      </c>
      <c r="G367" s="28" t="n">
        <v>6346153846.15385</v>
      </c>
      <c r="H367" s="25" t="n">
        <f aca="false">J366</f>
        <v>6346153846.15385</v>
      </c>
      <c r="I367" s="25" t="n">
        <f aca="false">H367*N367</f>
        <v>79459134.6153846</v>
      </c>
      <c r="J367" s="25" t="n">
        <f aca="false">H367-E367</f>
        <v>6346153846.15385</v>
      </c>
      <c r="K367" s="25" t="n">
        <f aca="false">D367-I367</f>
        <v>0</v>
      </c>
      <c r="L367" s="25" t="n">
        <f aca="false">G367-J367</f>
        <v>0</v>
      </c>
      <c r="M367" s="25" t="n">
        <f aca="false">F367</f>
        <v>79459134.6153846</v>
      </c>
      <c r="N367" s="48" t="n">
        <v>0.0125208333333333</v>
      </c>
      <c r="O367" s="25" t="n">
        <f aca="false">IF(AND(B367&gt;=DATE(2026,1,1),B367&lt;=Resumen!$C$5),1,0)</f>
        <v>0</v>
      </c>
      <c r="P367" s="25" t="n">
        <f aca="false">IF(AND(B367&gt;Resumen!$C$5,B367&lt;=DATE(2027,7,31)),1,0)</f>
        <v>0</v>
      </c>
    </row>
    <row r="368" customFormat="false" ht="15" hidden="false" customHeight="false" outlineLevel="0" collapsed="false">
      <c r="A368" s="22" t="n">
        <v>112</v>
      </c>
      <c r="B368" s="23" t="n">
        <v>48781</v>
      </c>
      <c r="C368" s="28" t="n">
        <v>6346153846.15385</v>
      </c>
      <c r="D368" s="28" t="n">
        <v>79459134.6153846</v>
      </c>
      <c r="E368" s="28" t="n">
        <v>0</v>
      </c>
      <c r="F368" s="28" t="n">
        <v>79459134.6153846</v>
      </c>
      <c r="G368" s="28" t="n">
        <v>6346153846.15385</v>
      </c>
      <c r="H368" s="25" t="n">
        <f aca="false">J367</f>
        <v>6346153846.15385</v>
      </c>
      <c r="I368" s="25" t="n">
        <f aca="false">H368*N368</f>
        <v>79459134.6153846</v>
      </c>
      <c r="J368" s="25" t="n">
        <f aca="false">H368-E368</f>
        <v>6346153846.15385</v>
      </c>
      <c r="K368" s="25" t="n">
        <f aca="false">D368-I368</f>
        <v>0</v>
      </c>
      <c r="L368" s="25" t="n">
        <f aca="false">G368-J368</f>
        <v>0</v>
      </c>
      <c r="M368" s="25" t="n">
        <f aca="false">F368</f>
        <v>79459134.6153846</v>
      </c>
      <c r="N368" s="48" t="n">
        <v>0.0125208333333333</v>
      </c>
      <c r="O368" s="25" t="n">
        <f aca="false">IF(AND(B368&gt;=DATE(2026,1,1),B368&lt;=Resumen!$C$5),1,0)</f>
        <v>0</v>
      </c>
      <c r="P368" s="25" t="n">
        <f aca="false">IF(AND(B368&gt;Resumen!$C$5,B368&lt;=DATE(2027,7,31)),1,0)</f>
        <v>0</v>
      </c>
    </row>
    <row r="369" customFormat="false" ht="15" hidden="false" customHeight="false" outlineLevel="0" collapsed="false">
      <c r="A369" s="22" t="n">
        <v>113</v>
      </c>
      <c r="B369" s="23" t="n">
        <v>48812</v>
      </c>
      <c r="C369" s="28" t="n">
        <v>6346153846.15385</v>
      </c>
      <c r="D369" s="28" t="n">
        <v>79459134.6153846</v>
      </c>
      <c r="E369" s="28" t="n">
        <v>0</v>
      </c>
      <c r="F369" s="28" t="n">
        <v>79459134.6153846</v>
      </c>
      <c r="G369" s="28" t="n">
        <v>6346153846.15385</v>
      </c>
      <c r="H369" s="25" t="n">
        <f aca="false">J368</f>
        <v>6346153846.15385</v>
      </c>
      <c r="I369" s="25" t="n">
        <f aca="false">H369*N369</f>
        <v>79459134.6153846</v>
      </c>
      <c r="J369" s="25" t="n">
        <f aca="false">H369-E369</f>
        <v>6346153846.15385</v>
      </c>
      <c r="K369" s="25" t="n">
        <f aca="false">D369-I369</f>
        <v>0</v>
      </c>
      <c r="L369" s="25" t="n">
        <f aca="false">G369-J369</f>
        <v>0</v>
      </c>
      <c r="M369" s="25" t="n">
        <f aca="false">F369</f>
        <v>79459134.6153846</v>
      </c>
      <c r="N369" s="48" t="n">
        <v>0.0125208333333333</v>
      </c>
      <c r="O369" s="25" t="n">
        <f aca="false">IF(AND(B369&gt;=DATE(2026,1,1),B369&lt;=Resumen!$C$5),1,0)</f>
        <v>0</v>
      </c>
      <c r="P369" s="25" t="n">
        <f aca="false">IF(AND(B369&gt;Resumen!$C$5,B369&lt;=DATE(2027,7,31)),1,0)</f>
        <v>0</v>
      </c>
    </row>
    <row r="370" customFormat="false" ht="15" hidden="false" customHeight="false" outlineLevel="0" collapsed="false">
      <c r="A370" s="22" t="n">
        <v>114</v>
      </c>
      <c r="B370" s="23" t="n">
        <v>48843</v>
      </c>
      <c r="C370" s="28" t="n">
        <v>6346153846.15385</v>
      </c>
      <c r="D370" s="28" t="n">
        <v>79459134.6153846</v>
      </c>
      <c r="E370" s="28" t="n">
        <v>288461538.461538</v>
      </c>
      <c r="F370" s="28" t="n">
        <v>367920673.076923</v>
      </c>
      <c r="G370" s="28" t="n">
        <v>6057692307.69231</v>
      </c>
      <c r="H370" s="25" t="n">
        <f aca="false">J369</f>
        <v>6346153846.15385</v>
      </c>
      <c r="I370" s="25" t="n">
        <f aca="false">H370*N370</f>
        <v>79459134.6153846</v>
      </c>
      <c r="J370" s="25" t="n">
        <f aca="false">H370-E370</f>
        <v>6057692307.69231</v>
      </c>
      <c r="K370" s="25" t="n">
        <f aca="false">D370-I370</f>
        <v>0</v>
      </c>
      <c r="L370" s="25" t="n">
        <f aca="false">G370-J370</f>
        <v>0</v>
      </c>
      <c r="M370" s="25" t="n">
        <f aca="false">F370</f>
        <v>367920673.076923</v>
      </c>
      <c r="N370" s="48" t="n">
        <v>0.0125208333333333</v>
      </c>
      <c r="O370" s="25" t="n">
        <f aca="false">IF(AND(B370&gt;=DATE(2026,1,1),B370&lt;=Resumen!$C$5),1,0)</f>
        <v>0</v>
      </c>
      <c r="P370" s="25" t="n">
        <f aca="false">IF(AND(B370&gt;Resumen!$C$5,B370&lt;=DATE(2027,7,31)),1,0)</f>
        <v>0</v>
      </c>
    </row>
    <row r="371" customFormat="false" ht="15" hidden="false" customHeight="false" outlineLevel="0" collapsed="false">
      <c r="A371" s="22" t="n">
        <v>115</v>
      </c>
      <c r="B371" s="23" t="n">
        <v>48873</v>
      </c>
      <c r="C371" s="28" t="n">
        <v>6057692307.69231</v>
      </c>
      <c r="D371" s="28" t="n">
        <v>75847355.7692308</v>
      </c>
      <c r="E371" s="28" t="n">
        <v>0</v>
      </c>
      <c r="F371" s="28" t="n">
        <v>75847355.7692308</v>
      </c>
      <c r="G371" s="28" t="n">
        <v>6057692307.69231</v>
      </c>
      <c r="H371" s="25" t="n">
        <f aca="false">J370</f>
        <v>6057692307.69231</v>
      </c>
      <c r="I371" s="25" t="n">
        <f aca="false">H371*N371</f>
        <v>75847355.7692308</v>
      </c>
      <c r="J371" s="25" t="n">
        <f aca="false">H371-E371</f>
        <v>6057692307.69231</v>
      </c>
      <c r="K371" s="25" t="n">
        <f aca="false">D371-I371</f>
        <v>0</v>
      </c>
      <c r="L371" s="25" t="n">
        <f aca="false">G371-J371</f>
        <v>0</v>
      </c>
      <c r="M371" s="25" t="n">
        <f aca="false">F371</f>
        <v>75847355.7692308</v>
      </c>
      <c r="N371" s="48" t="n">
        <v>0.0125208333333333</v>
      </c>
      <c r="O371" s="25" t="n">
        <f aca="false">IF(AND(B371&gt;=DATE(2026,1,1),B371&lt;=Resumen!$C$5),1,0)</f>
        <v>0</v>
      </c>
      <c r="P371" s="25" t="n">
        <f aca="false">IF(AND(B371&gt;Resumen!$C$5,B371&lt;=DATE(2027,7,31)),1,0)</f>
        <v>0</v>
      </c>
    </row>
    <row r="372" customFormat="false" ht="15" hidden="false" customHeight="false" outlineLevel="0" collapsed="false">
      <c r="A372" s="22" t="n">
        <v>116</v>
      </c>
      <c r="B372" s="23" t="n">
        <v>48904</v>
      </c>
      <c r="C372" s="28" t="n">
        <v>6057692307.69231</v>
      </c>
      <c r="D372" s="28" t="n">
        <v>75847355.7692308</v>
      </c>
      <c r="E372" s="28" t="n">
        <v>0</v>
      </c>
      <c r="F372" s="28" t="n">
        <v>75847355.7692308</v>
      </c>
      <c r="G372" s="28" t="n">
        <v>6057692307.69231</v>
      </c>
      <c r="H372" s="25" t="n">
        <f aca="false">J371</f>
        <v>6057692307.69231</v>
      </c>
      <c r="I372" s="25" t="n">
        <f aca="false">H372*N372</f>
        <v>75847355.7692308</v>
      </c>
      <c r="J372" s="25" t="n">
        <f aca="false">H372-E372</f>
        <v>6057692307.69231</v>
      </c>
      <c r="K372" s="25" t="n">
        <f aca="false">D372-I372</f>
        <v>0</v>
      </c>
      <c r="L372" s="25" t="n">
        <f aca="false">G372-J372</f>
        <v>0</v>
      </c>
      <c r="M372" s="25" t="n">
        <f aca="false">F372</f>
        <v>75847355.7692308</v>
      </c>
      <c r="N372" s="48" t="n">
        <v>0.0125208333333333</v>
      </c>
      <c r="O372" s="25" t="n">
        <f aca="false">IF(AND(B372&gt;=DATE(2026,1,1),B372&lt;=Resumen!$C$5),1,0)</f>
        <v>0</v>
      </c>
      <c r="P372" s="25" t="n">
        <f aca="false">IF(AND(B372&gt;Resumen!$C$5,B372&lt;=DATE(2027,7,31)),1,0)</f>
        <v>0</v>
      </c>
    </row>
    <row r="373" customFormat="false" ht="15" hidden="false" customHeight="false" outlineLevel="0" collapsed="false">
      <c r="A373" s="22" t="n">
        <v>117</v>
      </c>
      <c r="B373" s="23" t="n">
        <v>48934</v>
      </c>
      <c r="C373" s="28" t="n">
        <v>6057692307.69231</v>
      </c>
      <c r="D373" s="28" t="n">
        <v>75847355.7692308</v>
      </c>
      <c r="E373" s="28" t="n">
        <v>0</v>
      </c>
      <c r="F373" s="28" t="n">
        <v>75847355.7692308</v>
      </c>
      <c r="G373" s="28" t="n">
        <v>6057692307.69231</v>
      </c>
      <c r="H373" s="25" t="n">
        <f aca="false">J372</f>
        <v>6057692307.69231</v>
      </c>
      <c r="I373" s="25" t="n">
        <f aca="false">H373*N373</f>
        <v>75847355.7692308</v>
      </c>
      <c r="J373" s="25" t="n">
        <f aca="false">H373-E373</f>
        <v>6057692307.69231</v>
      </c>
      <c r="K373" s="25" t="n">
        <f aca="false">D373-I373</f>
        <v>0</v>
      </c>
      <c r="L373" s="25" t="n">
        <f aca="false">G373-J373</f>
        <v>0</v>
      </c>
      <c r="M373" s="25" t="n">
        <f aca="false">F373</f>
        <v>75847355.7692308</v>
      </c>
      <c r="N373" s="48" t="n">
        <v>0.0125208333333333</v>
      </c>
      <c r="O373" s="25" t="n">
        <f aca="false">IF(AND(B373&gt;=DATE(2026,1,1),B373&lt;=Resumen!$C$5),1,0)</f>
        <v>0</v>
      </c>
      <c r="P373" s="25" t="n">
        <f aca="false">IF(AND(B373&gt;Resumen!$C$5,B373&lt;=DATE(2027,7,31)),1,0)</f>
        <v>0</v>
      </c>
    </row>
    <row r="374" customFormat="false" ht="15" hidden="false" customHeight="false" outlineLevel="0" collapsed="false">
      <c r="A374" s="22" t="n">
        <v>118</v>
      </c>
      <c r="B374" s="23" t="n">
        <v>48965</v>
      </c>
      <c r="C374" s="28" t="n">
        <v>6057692307.69231</v>
      </c>
      <c r="D374" s="28" t="n">
        <v>75847355.7692308</v>
      </c>
      <c r="E374" s="28" t="n">
        <v>0</v>
      </c>
      <c r="F374" s="28" t="n">
        <v>75847355.7692308</v>
      </c>
      <c r="G374" s="28" t="n">
        <v>6057692307.69231</v>
      </c>
      <c r="H374" s="25" t="n">
        <f aca="false">J373</f>
        <v>6057692307.69231</v>
      </c>
      <c r="I374" s="25" t="n">
        <f aca="false">H374*N374</f>
        <v>75847355.7692308</v>
      </c>
      <c r="J374" s="25" t="n">
        <f aca="false">H374-E374</f>
        <v>6057692307.69231</v>
      </c>
      <c r="K374" s="25" t="n">
        <f aca="false">D374-I374</f>
        <v>0</v>
      </c>
      <c r="L374" s="25" t="n">
        <f aca="false">G374-J374</f>
        <v>0</v>
      </c>
      <c r="M374" s="25" t="n">
        <f aca="false">F374</f>
        <v>75847355.7692308</v>
      </c>
      <c r="N374" s="48" t="n">
        <v>0.0125208333333333</v>
      </c>
      <c r="O374" s="25" t="n">
        <f aca="false">IF(AND(B374&gt;=DATE(2026,1,1),B374&lt;=Resumen!$C$5),1,0)</f>
        <v>0</v>
      </c>
      <c r="P374" s="25" t="n">
        <f aca="false">IF(AND(B374&gt;Resumen!$C$5,B374&lt;=DATE(2027,7,31)),1,0)</f>
        <v>0</v>
      </c>
    </row>
    <row r="375" customFormat="false" ht="15" hidden="false" customHeight="false" outlineLevel="0" collapsed="false">
      <c r="A375" s="22" t="n">
        <v>119</v>
      </c>
      <c r="B375" s="23" t="n">
        <v>48996</v>
      </c>
      <c r="C375" s="28" t="n">
        <v>6057692307.69231</v>
      </c>
      <c r="D375" s="28" t="n">
        <v>75847355.7692308</v>
      </c>
      <c r="E375" s="28" t="n">
        <v>0</v>
      </c>
      <c r="F375" s="28" t="n">
        <v>75847355.7692308</v>
      </c>
      <c r="G375" s="28" t="n">
        <v>6057692307.69231</v>
      </c>
      <c r="H375" s="25" t="n">
        <f aca="false">J374</f>
        <v>6057692307.69231</v>
      </c>
      <c r="I375" s="25" t="n">
        <f aca="false">H375*N375</f>
        <v>75847355.7692308</v>
      </c>
      <c r="J375" s="25" t="n">
        <f aca="false">H375-E375</f>
        <v>6057692307.69231</v>
      </c>
      <c r="K375" s="25" t="n">
        <f aca="false">D375-I375</f>
        <v>0</v>
      </c>
      <c r="L375" s="25" t="n">
        <f aca="false">G375-J375</f>
        <v>0</v>
      </c>
      <c r="M375" s="25" t="n">
        <f aca="false">F375</f>
        <v>75847355.7692308</v>
      </c>
      <c r="N375" s="48" t="n">
        <v>0.0125208333333333</v>
      </c>
      <c r="O375" s="25" t="n">
        <f aca="false">IF(AND(B375&gt;=DATE(2026,1,1),B375&lt;=Resumen!$C$5),1,0)</f>
        <v>0</v>
      </c>
      <c r="P375" s="25" t="n">
        <f aca="false">IF(AND(B375&gt;Resumen!$C$5,B375&lt;=DATE(2027,7,31)),1,0)</f>
        <v>0</v>
      </c>
    </row>
    <row r="376" customFormat="false" ht="15" hidden="false" customHeight="false" outlineLevel="0" collapsed="false">
      <c r="A376" s="22" t="n">
        <v>120</v>
      </c>
      <c r="B376" s="23" t="n">
        <v>49024</v>
      </c>
      <c r="C376" s="28" t="n">
        <v>6057692307.69231</v>
      </c>
      <c r="D376" s="28" t="n">
        <v>75847355.7692308</v>
      </c>
      <c r="E376" s="28" t="n">
        <v>288461538.461538</v>
      </c>
      <c r="F376" s="28" t="n">
        <v>364308894.230769</v>
      </c>
      <c r="G376" s="28" t="n">
        <v>5769230769.23077</v>
      </c>
      <c r="H376" s="25" t="n">
        <f aca="false">J375</f>
        <v>6057692307.69231</v>
      </c>
      <c r="I376" s="25" t="n">
        <f aca="false">H376*N376</f>
        <v>75847355.7692308</v>
      </c>
      <c r="J376" s="25" t="n">
        <f aca="false">H376-E376</f>
        <v>5769230769.23077</v>
      </c>
      <c r="K376" s="25" t="n">
        <f aca="false">D376-I376</f>
        <v>0</v>
      </c>
      <c r="L376" s="25" t="n">
        <f aca="false">G376-J376</f>
        <v>0</v>
      </c>
      <c r="M376" s="25" t="n">
        <f aca="false">F376</f>
        <v>364308894.230769</v>
      </c>
      <c r="N376" s="48" t="n">
        <v>0.0125208333333333</v>
      </c>
      <c r="O376" s="25" t="n">
        <f aca="false">IF(AND(B376&gt;=DATE(2026,1,1),B376&lt;=Resumen!$C$5),1,0)</f>
        <v>0</v>
      </c>
      <c r="P376" s="25" t="n">
        <f aca="false">IF(AND(B376&gt;Resumen!$C$5,B376&lt;=DATE(2027,7,31)),1,0)</f>
        <v>0</v>
      </c>
    </row>
    <row r="377" customFormat="false" ht="15" hidden="false" customHeight="false" outlineLevel="0" collapsed="false">
      <c r="A377" s="22" t="n">
        <v>121</v>
      </c>
      <c r="B377" s="23" t="n">
        <v>49055</v>
      </c>
      <c r="C377" s="28" t="n">
        <v>5769230769.23077</v>
      </c>
      <c r="D377" s="28" t="n">
        <v>72235576.9230769</v>
      </c>
      <c r="E377" s="28" t="n">
        <v>0</v>
      </c>
      <c r="F377" s="28" t="n">
        <v>72235576.9230769</v>
      </c>
      <c r="G377" s="28" t="n">
        <v>5769230769.23077</v>
      </c>
      <c r="H377" s="25" t="n">
        <f aca="false">J376</f>
        <v>5769230769.23077</v>
      </c>
      <c r="I377" s="25" t="n">
        <f aca="false">H377*N377</f>
        <v>72235576.9230769</v>
      </c>
      <c r="J377" s="25" t="n">
        <f aca="false">H377-E377</f>
        <v>5769230769.23077</v>
      </c>
      <c r="K377" s="25" t="n">
        <f aca="false">D377-I377</f>
        <v>0</v>
      </c>
      <c r="L377" s="25" t="n">
        <f aca="false">G377-J377</f>
        <v>0</v>
      </c>
      <c r="M377" s="25" t="n">
        <f aca="false">F377</f>
        <v>72235576.9230769</v>
      </c>
      <c r="N377" s="48" t="n">
        <v>0.0125208333333333</v>
      </c>
      <c r="O377" s="25" t="n">
        <f aca="false">IF(AND(B377&gt;=DATE(2026,1,1),B377&lt;=Resumen!$C$5),1,0)</f>
        <v>0</v>
      </c>
      <c r="P377" s="25" t="n">
        <f aca="false">IF(AND(B377&gt;Resumen!$C$5,B377&lt;=DATE(2027,7,31)),1,0)</f>
        <v>0</v>
      </c>
    </row>
    <row r="378" customFormat="false" ht="15" hidden="false" customHeight="false" outlineLevel="0" collapsed="false">
      <c r="A378" s="22" t="n">
        <v>122</v>
      </c>
      <c r="B378" s="23" t="n">
        <v>49085</v>
      </c>
      <c r="C378" s="28" t="n">
        <v>5769230769.23077</v>
      </c>
      <c r="D378" s="28" t="n">
        <v>72235576.9230769</v>
      </c>
      <c r="E378" s="28" t="n">
        <v>0</v>
      </c>
      <c r="F378" s="28" t="n">
        <v>72235576.9230769</v>
      </c>
      <c r="G378" s="28" t="n">
        <v>5769230769.23077</v>
      </c>
      <c r="H378" s="25" t="n">
        <f aca="false">J377</f>
        <v>5769230769.23077</v>
      </c>
      <c r="I378" s="25" t="n">
        <f aca="false">H378*N378</f>
        <v>72235576.9230769</v>
      </c>
      <c r="J378" s="25" t="n">
        <f aca="false">H378-E378</f>
        <v>5769230769.23077</v>
      </c>
      <c r="K378" s="25" t="n">
        <f aca="false">D378-I378</f>
        <v>0</v>
      </c>
      <c r="L378" s="25" t="n">
        <f aca="false">G378-J378</f>
        <v>0</v>
      </c>
      <c r="M378" s="25" t="n">
        <f aca="false">F378</f>
        <v>72235576.9230769</v>
      </c>
      <c r="N378" s="48" t="n">
        <v>0.0125208333333333</v>
      </c>
      <c r="O378" s="25" t="n">
        <f aca="false">IF(AND(B378&gt;=DATE(2026,1,1),B378&lt;=Resumen!$C$5),1,0)</f>
        <v>0</v>
      </c>
      <c r="P378" s="25" t="n">
        <f aca="false">IF(AND(B378&gt;Resumen!$C$5,B378&lt;=DATE(2027,7,31)),1,0)</f>
        <v>0</v>
      </c>
    </row>
    <row r="379" customFormat="false" ht="15" hidden="false" customHeight="false" outlineLevel="0" collapsed="false">
      <c r="A379" s="22" t="n">
        <v>123</v>
      </c>
      <c r="B379" s="23" t="n">
        <v>49116</v>
      </c>
      <c r="C379" s="28" t="n">
        <v>5769230769.23077</v>
      </c>
      <c r="D379" s="28" t="n">
        <v>72235576.9230769</v>
      </c>
      <c r="E379" s="28" t="n">
        <v>0</v>
      </c>
      <c r="F379" s="28" t="n">
        <v>72235576.9230769</v>
      </c>
      <c r="G379" s="28" t="n">
        <v>5769230769.23077</v>
      </c>
      <c r="H379" s="25" t="n">
        <f aca="false">J378</f>
        <v>5769230769.23077</v>
      </c>
      <c r="I379" s="25" t="n">
        <f aca="false">H379*N379</f>
        <v>72235576.9230769</v>
      </c>
      <c r="J379" s="25" t="n">
        <f aca="false">H379-E379</f>
        <v>5769230769.23077</v>
      </c>
      <c r="K379" s="25" t="n">
        <f aca="false">D379-I379</f>
        <v>0</v>
      </c>
      <c r="L379" s="25" t="n">
        <f aca="false">G379-J379</f>
        <v>0</v>
      </c>
      <c r="M379" s="25" t="n">
        <f aca="false">F379</f>
        <v>72235576.9230769</v>
      </c>
      <c r="N379" s="48" t="n">
        <v>0.0125208333333333</v>
      </c>
      <c r="O379" s="25" t="n">
        <f aca="false">IF(AND(B379&gt;=DATE(2026,1,1),B379&lt;=Resumen!$C$5),1,0)</f>
        <v>0</v>
      </c>
      <c r="P379" s="25" t="n">
        <f aca="false">IF(AND(B379&gt;Resumen!$C$5,B379&lt;=DATE(2027,7,31)),1,0)</f>
        <v>0</v>
      </c>
    </row>
    <row r="380" customFormat="false" ht="15" hidden="false" customHeight="false" outlineLevel="0" collapsed="false">
      <c r="A380" s="22" t="n">
        <v>124</v>
      </c>
      <c r="B380" s="23" t="n">
        <v>49146</v>
      </c>
      <c r="C380" s="28" t="n">
        <v>5769230769.23077</v>
      </c>
      <c r="D380" s="28" t="n">
        <v>72235576.9230769</v>
      </c>
      <c r="E380" s="28" t="n">
        <v>0</v>
      </c>
      <c r="F380" s="28" t="n">
        <v>72235576.9230769</v>
      </c>
      <c r="G380" s="28" t="n">
        <v>5769230769.23077</v>
      </c>
      <c r="H380" s="25" t="n">
        <f aca="false">J379</f>
        <v>5769230769.23077</v>
      </c>
      <c r="I380" s="25" t="n">
        <f aca="false">H380*N380</f>
        <v>72235576.9230769</v>
      </c>
      <c r="J380" s="25" t="n">
        <f aca="false">H380-E380</f>
        <v>5769230769.23077</v>
      </c>
      <c r="K380" s="25" t="n">
        <f aca="false">D380-I380</f>
        <v>0</v>
      </c>
      <c r="L380" s="25" t="n">
        <f aca="false">G380-J380</f>
        <v>0</v>
      </c>
      <c r="M380" s="25" t="n">
        <f aca="false">F380</f>
        <v>72235576.9230769</v>
      </c>
      <c r="N380" s="48" t="n">
        <v>0.0125208333333333</v>
      </c>
      <c r="O380" s="25" t="n">
        <f aca="false">IF(AND(B380&gt;=DATE(2026,1,1),B380&lt;=Resumen!$C$5),1,0)</f>
        <v>0</v>
      </c>
      <c r="P380" s="25" t="n">
        <f aca="false">IF(AND(B380&gt;Resumen!$C$5,B380&lt;=DATE(2027,7,31)),1,0)</f>
        <v>0</v>
      </c>
    </row>
    <row r="381" customFormat="false" ht="15" hidden="false" customHeight="false" outlineLevel="0" collapsed="false">
      <c r="A381" s="22" t="n">
        <v>125</v>
      </c>
      <c r="B381" s="23" t="n">
        <v>49177</v>
      </c>
      <c r="C381" s="28" t="n">
        <v>5769230769.23077</v>
      </c>
      <c r="D381" s="28" t="n">
        <v>72235576.9230769</v>
      </c>
      <c r="E381" s="28" t="n">
        <v>0</v>
      </c>
      <c r="F381" s="28" t="n">
        <v>72235576.9230769</v>
      </c>
      <c r="G381" s="28" t="n">
        <v>5769230769.23077</v>
      </c>
      <c r="H381" s="25" t="n">
        <f aca="false">J380</f>
        <v>5769230769.23077</v>
      </c>
      <c r="I381" s="25" t="n">
        <f aca="false">H381*N381</f>
        <v>72235576.9230769</v>
      </c>
      <c r="J381" s="25" t="n">
        <f aca="false">H381-E381</f>
        <v>5769230769.23077</v>
      </c>
      <c r="K381" s="25" t="n">
        <f aca="false">D381-I381</f>
        <v>0</v>
      </c>
      <c r="L381" s="25" t="n">
        <f aca="false">G381-J381</f>
        <v>0</v>
      </c>
      <c r="M381" s="25" t="n">
        <f aca="false">F381</f>
        <v>72235576.9230769</v>
      </c>
      <c r="N381" s="48" t="n">
        <v>0.0125208333333333</v>
      </c>
      <c r="O381" s="25" t="n">
        <f aca="false">IF(AND(B381&gt;=DATE(2026,1,1),B381&lt;=Resumen!$C$5),1,0)</f>
        <v>0</v>
      </c>
      <c r="P381" s="25" t="n">
        <f aca="false">IF(AND(B381&gt;Resumen!$C$5,B381&lt;=DATE(2027,7,31)),1,0)</f>
        <v>0</v>
      </c>
    </row>
    <row r="382" customFormat="false" ht="15" hidden="false" customHeight="false" outlineLevel="0" collapsed="false">
      <c r="A382" s="22" t="n">
        <v>126</v>
      </c>
      <c r="B382" s="23" t="n">
        <v>49208</v>
      </c>
      <c r="C382" s="28" t="n">
        <v>5769230769.23077</v>
      </c>
      <c r="D382" s="28" t="n">
        <v>72235576.9230769</v>
      </c>
      <c r="E382" s="28" t="n">
        <v>288461538.461538</v>
      </c>
      <c r="F382" s="28" t="n">
        <v>360697115.384615</v>
      </c>
      <c r="G382" s="28" t="n">
        <v>5480769230.76923</v>
      </c>
      <c r="H382" s="25" t="n">
        <f aca="false">J381</f>
        <v>5769230769.23077</v>
      </c>
      <c r="I382" s="25" t="n">
        <f aca="false">H382*N382</f>
        <v>72235576.9230769</v>
      </c>
      <c r="J382" s="25" t="n">
        <f aca="false">H382-E382</f>
        <v>5480769230.76923</v>
      </c>
      <c r="K382" s="25" t="n">
        <f aca="false">D382-I382</f>
        <v>0</v>
      </c>
      <c r="L382" s="25" t="n">
        <f aca="false">G382-J382</f>
        <v>0</v>
      </c>
      <c r="M382" s="25" t="n">
        <f aca="false">F382</f>
        <v>360697115.384615</v>
      </c>
      <c r="N382" s="48" t="n">
        <v>0.0125208333333333</v>
      </c>
      <c r="O382" s="25" t="n">
        <f aca="false">IF(AND(B382&gt;=DATE(2026,1,1),B382&lt;=Resumen!$C$5),1,0)</f>
        <v>0</v>
      </c>
      <c r="P382" s="25" t="n">
        <f aca="false">IF(AND(B382&gt;Resumen!$C$5,B382&lt;=DATE(2027,7,31)),1,0)</f>
        <v>0</v>
      </c>
    </row>
    <row r="383" customFormat="false" ht="15" hidden="false" customHeight="false" outlineLevel="0" collapsed="false">
      <c r="A383" s="22" t="n">
        <v>127</v>
      </c>
      <c r="B383" s="23" t="n">
        <v>49238</v>
      </c>
      <c r="C383" s="28" t="n">
        <v>5480769230.76923</v>
      </c>
      <c r="D383" s="28" t="n">
        <v>68623798.0769231</v>
      </c>
      <c r="E383" s="28" t="n">
        <v>0</v>
      </c>
      <c r="F383" s="28" t="n">
        <v>68623798.0769231</v>
      </c>
      <c r="G383" s="28" t="n">
        <v>5480769230.76923</v>
      </c>
      <c r="H383" s="25" t="n">
        <f aca="false">J382</f>
        <v>5480769230.76923</v>
      </c>
      <c r="I383" s="25" t="n">
        <f aca="false">H383*N383</f>
        <v>68623798.0769231</v>
      </c>
      <c r="J383" s="25" t="n">
        <f aca="false">H383-E383</f>
        <v>5480769230.76923</v>
      </c>
      <c r="K383" s="25" t="n">
        <f aca="false">D383-I383</f>
        <v>0</v>
      </c>
      <c r="L383" s="25" t="n">
        <f aca="false">G383-J383</f>
        <v>0</v>
      </c>
      <c r="M383" s="25" t="n">
        <f aca="false">F383</f>
        <v>68623798.0769231</v>
      </c>
      <c r="N383" s="48" t="n">
        <v>0.0125208333333333</v>
      </c>
      <c r="O383" s="25" t="n">
        <f aca="false">IF(AND(B383&gt;=DATE(2026,1,1),B383&lt;=Resumen!$C$5),1,0)</f>
        <v>0</v>
      </c>
      <c r="P383" s="25" t="n">
        <f aca="false">IF(AND(B383&gt;Resumen!$C$5,B383&lt;=DATE(2027,7,31)),1,0)</f>
        <v>0</v>
      </c>
    </row>
    <row r="384" customFormat="false" ht="15" hidden="false" customHeight="false" outlineLevel="0" collapsed="false">
      <c r="A384" s="22" t="n">
        <v>128</v>
      </c>
      <c r="B384" s="23" t="n">
        <v>49269</v>
      </c>
      <c r="C384" s="28" t="n">
        <v>5480769230.76923</v>
      </c>
      <c r="D384" s="28" t="n">
        <v>68623798.0769231</v>
      </c>
      <c r="E384" s="28" t="n">
        <v>0</v>
      </c>
      <c r="F384" s="28" t="n">
        <v>68623798.0769231</v>
      </c>
      <c r="G384" s="28" t="n">
        <v>5480769230.76923</v>
      </c>
      <c r="H384" s="25" t="n">
        <f aca="false">J383</f>
        <v>5480769230.76923</v>
      </c>
      <c r="I384" s="25" t="n">
        <f aca="false">H384*N384</f>
        <v>68623798.0769231</v>
      </c>
      <c r="J384" s="25" t="n">
        <f aca="false">H384-E384</f>
        <v>5480769230.76923</v>
      </c>
      <c r="K384" s="25" t="n">
        <f aca="false">D384-I384</f>
        <v>0</v>
      </c>
      <c r="L384" s="25" t="n">
        <f aca="false">G384-J384</f>
        <v>0</v>
      </c>
      <c r="M384" s="25" t="n">
        <f aca="false">F384</f>
        <v>68623798.0769231</v>
      </c>
      <c r="N384" s="48" t="n">
        <v>0.0125208333333333</v>
      </c>
      <c r="O384" s="25" t="n">
        <f aca="false">IF(AND(B384&gt;=DATE(2026,1,1),B384&lt;=Resumen!$C$5),1,0)</f>
        <v>0</v>
      </c>
      <c r="P384" s="25" t="n">
        <f aca="false">IF(AND(B384&gt;Resumen!$C$5,B384&lt;=DATE(2027,7,31)),1,0)</f>
        <v>0</v>
      </c>
    </row>
    <row r="385" customFormat="false" ht="15" hidden="false" customHeight="false" outlineLevel="0" collapsed="false">
      <c r="A385" s="22" t="n">
        <v>129</v>
      </c>
      <c r="B385" s="23" t="n">
        <v>49299</v>
      </c>
      <c r="C385" s="28" t="n">
        <v>5480769230.76923</v>
      </c>
      <c r="D385" s="28" t="n">
        <v>68623798.0769231</v>
      </c>
      <c r="E385" s="28" t="n">
        <v>0</v>
      </c>
      <c r="F385" s="28" t="n">
        <v>68623798.0769231</v>
      </c>
      <c r="G385" s="28" t="n">
        <v>5480769230.76923</v>
      </c>
      <c r="H385" s="25" t="n">
        <f aca="false">J384</f>
        <v>5480769230.76923</v>
      </c>
      <c r="I385" s="25" t="n">
        <f aca="false">H385*N385</f>
        <v>68623798.0769231</v>
      </c>
      <c r="J385" s="25" t="n">
        <f aca="false">H385-E385</f>
        <v>5480769230.76923</v>
      </c>
      <c r="K385" s="25" t="n">
        <f aca="false">D385-I385</f>
        <v>0</v>
      </c>
      <c r="L385" s="25" t="n">
        <f aca="false">G385-J385</f>
        <v>0</v>
      </c>
      <c r="M385" s="25" t="n">
        <f aca="false">F385</f>
        <v>68623798.0769231</v>
      </c>
      <c r="N385" s="48" t="n">
        <v>0.0125208333333333</v>
      </c>
      <c r="O385" s="25" t="n">
        <f aca="false">IF(AND(B385&gt;=DATE(2026,1,1),B385&lt;=Resumen!$C$5),1,0)</f>
        <v>0</v>
      </c>
      <c r="P385" s="25" t="n">
        <f aca="false">IF(AND(B385&gt;Resumen!$C$5,B385&lt;=DATE(2027,7,31)),1,0)</f>
        <v>0</v>
      </c>
    </row>
    <row r="386" customFormat="false" ht="15" hidden="false" customHeight="false" outlineLevel="0" collapsed="false">
      <c r="A386" s="22" t="n">
        <v>130</v>
      </c>
      <c r="B386" s="23" t="n">
        <v>49330</v>
      </c>
      <c r="C386" s="28" t="n">
        <v>5480769230.76923</v>
      </c>
      <c r="D386" s="28" t="n">
        <v>68623798.0769231</v>
      </c>
      <c r="E386" s="28" t="n">
        <v>0</v>
      </c>
      <c r="F386" s="28" t="n">
        <v>68623798.0769231</v>
      </c>
      <c r="G386" s="28" t="n">
        <v>5480769230.76923</v>
      </c>
      <c r="H386" s="25" t="n">
        <f aca="false">J385</f>
        <v>5480769230.76923</v>
      </c>
      <c r="I386" s="25" t="n">
        <f aca="false">H386*N386</f>
        <v>68623798.0769231</v>
      </c>
      <c r="J386" s="25" t="n">
        <f aca="false">H386-E386</f>
        <v>5480769230.76923</v>
      </c>
      <c r="K386" s="25" t="n">
        <f aca="false">D386-I386</f>
        <v>0</v>
      </c>
      <c r="L386" s="25" t="n">
        <f aca="false">G386-J386</f>
        <v>0</v>
      </c>
      <c r="M386" s="25" t="n">
        <f aca="false">F386</f>
        <v>68623798.0769231</v>
      </c>
      <c r="N386" s="48" t="n">
        <v>0.0125208333333333</v>
      </c>
      <c r="O386" s="25" t="n">
        <f aca="false">IF(AND(B386&gt;=DATE(2026,1,1),B386&lt;=Resumen!$C$5),1,0)</f>
        <v>0</v>
      </c>
      <c r="P386" s="25" t="n">
        <f aca="false">IF(AND(B386&gt;Resumen!$C$5,B386&lt;=DATE(2027,7,31)),1,0)</f>
        <v>0</v>
      </c>
    </row>
    <row r="387" customFormat="false" ht="15" hidden="false" customHeight="false" outlineLevel="0" collapsed="false">
      <c r="A387" s="22" t="n">
        <v>131</v>
      </c>
      <c r="B387" s="23" t="n">
        <v>49361</v>
      </c>
      <c r="C387" s="28" t="n">
        <v>5480769230.76923</v>
      </c>
      <c r="D387" s="28" t="n">
        <v>68623798.0769231</v>
      </c>
      <c r="E387" s="28" t="n">
        <v>0</v>
      </c>
      <c r="F387" s="28" t="n">
        <v>68623798.0769231</v>
      </c>
      <c r="G387" s="28" t="n">
        <v>5480769230.76923</v>
      </c>
      <c r="H387" s="25" t="n">
        <f aca="false">J386</f>
        <v>5480769230.76923</v>
      </c>
      <c r="I387" s="25" t="n">
        <f aca="false">H387*N387</f>
        <v>68623798.0769231</v>
      </c>
      <c r="J387" s="25" t="n">
        <f aca="false">H387-E387</f>
        <v>5480769230.76923</v>
      </c>
      <c r="K387" s="25" t="n">
        <f aca="false">D387-I387</f>
        <v>0</v>
      </c>
      <c r="L387" s="25" t="n">
        <f aca="false">G387-J387</f>
        <v>0</v>
      </c>
      <c r="M387" s="25" t="n">
        <f aca="false">F387</f>
        <v>68623798.0769231</v>
      </c>
      <c r="N387" s="48" t="n">
        <v>0.0125208333333333</v>
      </c>
      <c r="O387" s="25" t="n">
        <f aca="false">IF(AND(B387&gt;=DATE(2026,1,1),B387&lt;=Resumen!$C$5),1,0)</f>
        <v>0</v>
      </c>
      <c r="P387" s="25" t="n">
        <f aca="false">IF(AND(B387&gt;Resumen!$C$5,B387&lt;=DATE(2027,7,31)),1,0)</f>
        <v>0</v>
      </c>
    </row>
    <row r="388" customFormat="false" ht="15" hidden="false" customHeight="false" outlineLevel="0" collapsed="false">
      <c r="A388" s="22" t="n">
        <v>132</v>
      </c>
      <c r="B388" s="23" t="n">
        <v>49389</v>
      </c>
      <c r="C388" s="28" t="n">
        <v>5480769230.76923</v>
      </c>
      <c r="D388" s="28" t="n">
        <v>68623798.0769231</v>
      </c>
      <c r="E388" s="28" t="n">
        <v>288461538.461538</v>
      </c>
      <c r="F388" s="28" t="n">
        <v>357085336.538462</v>
      </c>
      <c r="G388" s="28" t="n">
        <v>5192307692.30769</v>
      </c>
      <c r="H388" s="25" t="n">
        <f aca="false">J387</f>
        <v>5480769230.76923</v>
      </c>
      <c r="I388" s="25" t="n">
        <f aca="false">H388*N388</f>
        <v>68623798.0769231</v>
      </c>
      <c r="J388" s="25" t="n">
        <f aca="false">H388-E388</f>
        <v>5192307692.30769</v>
      </c>
      <c r="K388" s="25" t="n">
        <f aca="false">D388-I388</f>
        <v>0</v>
      </c>
      <c r="L388" s="25" t="n">
        <f aca="false">G388-J388</f>
        <v>0</v>
      </c>
      <c r="M388" s="25" t="n">
        <f aca="false">F388</f>
        <v>357085336.538462</v>
      </c>
      <c r="N388" s="48" t="n">
        <v>0.0125208333333333</v>
      </c>
      <c r="O388" s="25" t="n">
        <f aca="false">IF(AND(B388&gt;=DATE(2026,1,1),B388&lt;=Resumen!$C$5),1,0)</f>
        <v>0</v>
      </c>
      <c r="P388" s="25" t="n">
        <f aca="false">IF(AND(B388&gt;Resumen!$C$5,B388&lt;=DATE(2027,7,31)),1,0)</f>
        <v>0</v>
      </c>
    </row>
    <row r="389" customFormat="false" ht="15" hidden="false" customHeight="false" outlineLevel="0" collapsed="false">
      <c r="A389" s="22" t="n">
        <v>133</v>
      </c>
      <c r="B389" s="23" t="n">
        <v>49420</v>
      </c>
      <c r="C389" s="28" t="n">
        <v>5192307692.30769</v>
      </c>
      <c r="D389" s="28" t="n">
        <v>65012019.2307693</v>
      </c>
      <c r="E389" s="28" t="n">
        <v>0</v>
      </c>
      <c r="F389" s="28" t="n">
        <v>65012019.2307693</v>
      </c>
      <c r="G389" s="28" t="n">
        <v>5192307692.30769</v>
      </c>
      <c r="H389" s="25" t="n">
        <f aca="false">J388</f>
        <v>5192307692.30769</v>
      </c>
      <c r="I389" s="25" t="n">
        <f aca="false">H389*N389</f>
        <v>65012019.2307692</v>
      </c>
      <c r="J389" s="25" t="n">
        <f aca="false">H389-E389</f>
        <v>5192307692.30769</v>
      </c>
      <c r="K389" s="25" t="n">
        <f aca="false">D389-I389</f>
        <v>0</v>
      </c>
      <c r="L389" s="25" t="n">
        <f aca="false">G389-J389</f>
        <v>0</v>
      </c>
      <c r="M389" s="25" t="n">
        <f aca="false">F389</f>
        <v>65012019.2307693</v>
      </c>
      <c r="N389" s="48" t="n">
        <v>0.0125208333333333</v>
      </c>
      <c r="O389" s="25" t="n">
        <f aca="false">IF(AND(B389&gt;=DATE(2026,1,1),B389&lt;=Resumen!$C$5),1,0)</f>
        <v>0</v>
      </c>
      <c r="P389" s="25" t="n">
        <f aca="false">IF(AND(B389&gt;Resumen!$C$5,B389&lt;=DATE(2027,7,31)),1,0)</f>
        <v>0</v>
      </c>
    </row>
    <row r="390" customFormat="false" ht="15" hidden="false" customHeight="false" outlineLevel="0" collapsed="false">
      <c r="A390" s="22" t="n">
        <v>134</v>
      </c>
      <c r="B390" s="23" t="n">
        <v>49450</v>
      </c>
      <c r="C390" s="28" t="n">
        <v>5192307692.30769</v>
      </c>
      <c r="D390" s="28" t="n">
        <v>65012019.2307693</v>
      </c>
      <c r="E390" s="28" t="n">
        <v>0</v>
      </c>
      <c r="F390" s="28" t="n">
        <v>65012019.2307693</v>
      </c>
      <c r="G390" s="28" t="n">
        <v>5192307692.30769</v>
      </c>
      <c r="H390" s="25" t="n">
        <f aca="false">J389</f>
        <v>5192307692.30769</v>
      </c>
      <c r="I390" s="25" t="n">
        <f aca="false">H390*N390</f>
        <v>65012019.2307692</v>
      </c>
      <c r="J390" s="25" t="n">
        <f aca="false">H390-E390</f>
        <v>5192307692.30769</v>
      </c>
      <c r="K390" s="25" t="n">
        <f aca="false">D390-I390</f>
        <v>0</v>
      </c>
      <c r="L390" s="25" t="n">
        <f aca="false">G390-J390</f>
        <v>0</v>
      </c>
      <c r="M390" s="25" t="n">
        <f aca="false">F390</f>
        <v>65012019.2307693</v>
      </c>
      <c r="N390" s="48" t="n">
        <v>0.0125208333333333</v>
      </c>
      <c r="O390" s="25" t="n">
        <f aca="false">IF(AND(B390&gt;=DATE(2026,1,1),B390&lt;=Resumen!$C$5),1,0)</f>
        <v>0</v>
      </c>
      <c r="P390" s="25" t="n">
        <f aca="false">IF(AND(B390&gt;Resumen!$C$5,B390&lt;=DATE(2027,7,31)),1,0)</f>
        <v>0</v>
      </c>
    </row>
    <row r="391" customFormat="false" ht="15" hidden="false" customHeight="false" outlineLevel="0" collapsed="false">
      <c r="A391" s="22" t="n">
        <v>135</v>
      </c>
      <c r="B391" s="23" t="n">
        <v>49481</v>
      </c>
      <c r="C391" s="28" t="n">
        <v>5192307692.30769</v>
      </c>
      <c r="D391" s="28" t="n">
        <v>65012019.2307693</v>
      </c>
      <c r="E391" s="28" t="n">
        <v>0</v>
      </c>
      <c r="F391" s="28" t="n">
        <v>65012019.2307693</v>
      </c>
      <c r="G391" s="28" t="n">
        <v>5192307692.30769</v>
      </c>
      <c r="H391" s="25" t="n">
        <f aca="false">J390</f>
        <v>5192307692.30769</v>
      </c>
      <c r="I391" s="25" t="n">
        <f aca="false">H391*N391</f>
        <v>65012019.2307692</v>
      </c>
      <c r="J391" s="25" t="n">
        <f aca="false">H391-E391</f>
        <v>5192307692.30769</v>
      </c>
      <c r="K391" s="25" t="n">
        <f aca="false">D391-I391</f>
        <v>0</v>
      </c>
      <c r="L391" s="25" t="n">
        <f aca="false">G391-J391</f>
        <v>0</v>
      </c>
      <c r="M391" s="25" t="n">
        <f aca="false">F391</f>
        <v>65012019.2307693</v>
      </c>
      <c r="N391" s="48" t="n">
        <v>0.0125208333333333</v>
      </c>
      <c r="O391" s="25" t="n">
        <f aca="false">IF(AND(B391&gt;=DATE(2026,1,1),B391&lt;=Resumen!$C$5),1,0)</f>
        <v>0</v>
      </c>
      <c r="P391" s="25" t="n">
        <f aca="false">IF(AND(B391&gt;Resumen!$C$5,B391&lt;=DATE(2027,7,31)),1,0)</f>
        <v>0</v>
      </c>
    </row>
    <row r="392" customFormat="false" ht="15" hidden="false" customHeight="false" outlineLevel="0" collapsed="false">
      <c r="A392" s="22" t="n">
        <v>136</v>
      </c>
      <c r="B392" s="23" t="n">
        <v>49511</v>
      </c>
      <c r="C392" s="28" t="n">
        <v>5192307692.30769</v>
      </c>
      <c r="D392" s="28" t="n">
        <v>65012019.2307693</v>
      </c>
      <c r="E392" s="28" t="n">
        <v>0</v>
      </c>
      <c r="F392" s="28" t="n">
        <v>65012019.2307693</v>
      </c>
      <c r="G392" s="28" t="n">
        <v>5192307692.30769</v>
      </c>
      <c r="H392" s="25" t="n">
        <f aca="false">J391</f>
        <v>5192307692.30769</v>
      </c>
      <c r="I392" s="25" t="n">
        <f aca="false">H392*N392</f>
        <v>65012019.2307692</v>
      </c>
      <c r="J392" s="25" t="n">
        <f aca="false">H392-E392</f>
        <v>5192307692.30769</v>
      </c>
      <c r="K392" s="25" t="n">
        <f aca="false">D392-I392</f>
        <v>0</v>
      </c>
      <c r="L392" s="25" t="n">
        <f aca="false">G392-J392</f>
        <v>0</v>
      </c>
      <c r="M392" s="25" t="n">
        <f aca="false">F392</f>
        <v>65012019.2307693</v>
      </c>
      <c r="N392" s="48" t="n">
        <v>0.0125208333333333</v>
      </c>
      <c r="O392" s="25" t="n">
        <f aca="false">IF(AND(B392&gt;=DATE(2026,1,1),B392&lt;=Resumen!$C$5),1,0)</f>
        <v>0</v>
      </c>
      <c r="P392" s="25" t="n">
        <f aca="false">IF(AND(B392&gt;Resumen!$C$5,B392&lt;=DATE(2027,7,31)),1,0)</f>
        <v>0</v>
      </c>
    </row>
    <row r="393" customFormat="false" ht="15" hidden="false" customHeight="false" outlineLevel="0" collapsed="false">
      <c r="A393" s="22" t="n">
        <v>137</v>
      </c>
      <c r="B393" s="23" t="n">
        <v>49542</v>
      </c>
      <c r="C393" s="28" t="n">
        <v>5192307692.30769</v>
      </c>
      <c r="D393" s="28" t="n">
        <v>65012019.2307693</v>
      </c>
      <c r="E393" s="28" t="n">
        <v>0</v>
      </c>
      <c r="F393" s="28" t="n">
        <v>65012019.2307693</v>
      </c>
      <c r="G393" s="28" t="n">
        <v>5192307692.30769</v>
      </c>
      <c r="H393" s="25" t="n">
        <f aca="false">J392</f>
        <v>5192307692.30769</v>
      </c>
      <c r="I393" s="25" t="n">
        <f aca="false">H393*N393</f>
        <v>65012019.2307692</v>
      </c>
      <c r="J393" s="25" t="n">
        <f aca="false">H393-E393</f>
        <v>5192307692.30769</v>
      </c>
      <c r="K393" s="25" t="n">
        <f aca="false">D393-I393</f>
        <v>0</v>
      </c>
      <c r="L393" s="25" t="n">
        <f aca="false">G393-J393</f>
        <v>0</v>
      </c>
      <c r="M393" s="25" t="n">
        <f aca="false">F393</f>
        <v>65012019.2307693</v>
      </c>
      <c r="N393" s="48" t="n">
        <v>0.0125208333333333</v>
      </c>
      <c r="O393" s="25" t="n">
        <f aca="false">IF(AND(B393&gt;=DATE(2026,1,1),B393&lt;=Resumen!$C$5),1,0)</f>
        <v>0</v>
      </c>
      <c r="P393" s="25" t="n">
        <f aca="false">IF(AND(B393&gt;Resumen!$C$5,B393&lt;=DATE(2027,7,31)),1,0)</f>
        <v>0</v>
      </c>
    </row>
    <row r="394" customFormat="false" ht="15" hidden="false" customHeight="false" outlineLevel="0" collapsed="false">
      <c r="A394" s="22" t="n">
        <v>138</v>
      </c>
      <c r="B394" s="23" t="n">
        <v>49573</v>
      </c>
      <c r="C394" s="28" t="n">
        <v>5192307692.30769</v>
      </c>
      <c r="D394" s="28" t="n">
        <v>65012019.2307693</v>
      </c>
      <c r="E394" s="28" t="n">
        <v>288461538.461538</v>
      </c>
      <c r="F394" s="28" t="n">
        <v>353473557.692308</v>
      </c>
      <c r="G394" s="28" t="n">
        <v>4903846153.84616</v>
      </c>
      <c r="H394" s="25" t="n">
        <f aca="false">J393</f>
        <v>5192307692.30769</v>
      </c>
      <c r="I394" s="25" t="n">
        <f aca="false">H394*N394</f>
        <v>65012019.2307692</v>
      </c>
      <c r="J394" s="25" t="n">
        <f aca="false">H394-E394</f>
        <v>4903846153.84616</v>
      </c>
      <c r="K394" s="25" t="n">
        <f aca="false">D394-I394</f>
        <v>0</v>
      </c>
      <c r="L394" s="25" t="n">
        <f aca="false">G394-J394</f>
        <v>0</v>
      </c>
      <c r="M394" s="25" t="n">
        <f aca="false">F394</f>
        <v>353473557.692308</v>
      </c>
      <c r="N394" s="48" t="n">
        <v>0.0125208333333333</v>
      </c>
      <c r="O394" s="25" t="n">
        <f aca="false">IF(AND(B394&gt;=DATE(2026,1,1),B394&lt;=Resumen!$C$5),1,0)</f>
        <v>0</v>
      </c>
      <c r="P394" s="25" t="n">
        <f aca="false">IF(AND(B394&gt;Resumen!$C$5,B394&lt;=DATE(2027,7,31)),1,0)</f>
        <v>0</v>
      </c>
    </row>
    <row r="395" customFormat="false" ht="15" hidden="false" customHeight="false" outlineLevel="0" collapsed="false">
      <c r="A395" s="22" t="n">
        <v>139</v>
      </c>
      <c r="B395" s="23" t="n">
        <v>49603</v>
      </c>
      <c r="C395" s="28" t="n">
        <v>4903846153.84616</v>
      </c>
      <c r="D395" s="28" t="n">
        <v>61400240.3846154</v>
      </c>
      <c r="E395" s="28" t="n">
        <v>0</v>
      </c>
      <c r="F395" s="28" t="n">
        <v>61400240.3846154</v>
      </c>
      <c r="G395" s="28" t="n">
        <v>4903846153.84616</v>
      </c>
      <c r="H395" s="25" t="n">
        <f aca="false">J394</f>
        <v>4903846153.84616</v>
      </c>
      <c r="I395" s="25" t="n">
        <f aca="false">H395*N395</f>
        <v>61400240.3846154</v>
      </c>
      <c r="J395" s="25" t="n">
        <f aca="false">H395-E395</f>
        <v>4903846153.84616</v>
      </c>
      <c r="K395" s="25" t="n">
        <f aca="false">D395-I395</f>
        <v>0</v>
      </c>
      <c r="L395" s="25" t="n">
        <f aca="false">G395-J395</f>
        <v>0</v>
      </c>
      <c r="M395" s="25" t="n">
        <f aca="false">F395</f>
        <v>61400240.3846154</v>
      </c>
      <c r="N395" s="48" t="n">
        <v>0.0125208333333333</v>
      </c>
      <c r="O395" s="25" t="n">
        <f aca="false">IF(AND(B395&gt;=DATE(2026,1,1),B395&lt;=Resumen!$C$5),1,0)</f>
        <v>0</v>
      </c>
      <c r="P395" s="25" t="n">
        <f aca="false">IF(AND(B395&gt;Resumen!$C$5,B395&lt;=DATE(2027,7,31)),1,0)</f>
        <v>0</v>
      </c>
    </row>
    <row r="396" customFormat="false" ht="15" hidden="false" customHeight="false" outlineLevel="0" collapsed="false">
      <c r="A396" s="22" t="n">
        <v>140</v>
      </c>
      <c r="B396" s="23" t="n">
        <v>49634</v>
      </c>
      <c r="C396" s="28" t="n">
        <v>4903846153.84616</v>
      </c>
      <c r="D396" s="28" t="n">
        <v>61400240.3846154</v>
      </c>
      <c r="E396" s="28" t="n">
        <v>0</v>
      </c>
      <c r="F396" s="28" t="n">
        <v>61400240.3846154</v>
      </c>
      <c r="G396" s="28" t="n">
        <v>4903846153.84616</v>
      </c>
      <c r="H396" s="25" t="n">
        <f aca="false">J395</f>
        <v>4903846153.84616</v>
      </c>
      <c r="I396" s="25" t="n">
        <f aca="false">H396*N396</f>
        <v>61400240.3846154</v>
      </c>
      <c r="J396" s="25" t="n">
        <f aca="false">H396-E396</f>
        <v>4903846153.84616</v>
      </c>
      <c r="K396" s="25" t="n">
        <f aca="false">D396-I396</f>
        <v>0</v>
      </c>
      <c r="L396" s="25" t="n">
        <f aca="false">G396-J396</f>
        <v>0</v>
      </c>
      <c r="M396" s="25" t="n">
        <f aca="false">F396</f>
        <v>61400240.3846154</v>
      </c>
      <c r="N396" s="48" t="n">
        <v>0.0125208333333333</v>
      </c>
      <c r="O396" s="25" t="n">
        <f aca="false">IF(AND(B396&gt;=DATE(2026,1,1),B396&lt;=Resumen!$C$5),1,0)</f>
        <v>0</v>
      </c>
      <c r="P396" s="25" t="n">
        <f aca="false">IF(AND(B396&gt;Resumen!$C$5,B396&lt;=DATE(2027,7,31)),1,0)</f>
        <v>0</v>
      </c>
    </row>
    <row r="397" customFormat="false" ht="15" hidden="false" customHeight="false" outlineLevel="0" collapsed="false">
      <c r="A397" s="22" t="n">
        <v>141</v>
      </c>
      <c r="B397" s="23" t="n">
        <v>49664</v>
      </c>
      <c r="C397" s="28" t="n">
        <v>4903846153.84616</v>
      </c>
      <c r="D397" s="28" t="n">
        <v>61400240.3846154</v>
      </c>
      <c r="E397" s="28" t="n">
        <v>0</v>
      </c>
      <c r="F397" s="28" t="n">
        <v>61400240.3846154</v>
      </c>
      <c r="G397" s="28" t="n">
        <v>4903846153.84616</v>
      </c>
      <c r="H397" s="25" t="n">
        <f aca="false">J396</f>
        <v>4903846153.84616</v>
      </c>
      <c r="I397" s="25" t="n">
        <f aca="false">H397*N397</f>
        <v>61400240.3846154</v>
      </c>
      <c r="J397" s="25" t="n">
        <f aca="false">H397-E397</f>
        <v>4903846153.84616</v>
      </c>
      <c r="K397" s="25" t="n">
        <f aca="false">D397-I397</f>
        <v>0</v>
      </c>
      <c r="L397" s="25" t="n">
        <f aca="false">G397-J397</f>
        <v>0</v>
      </c>
      <c r="M397" s="25" t="n">
        <f aca="false">F397</f>
        <v>61400240.3846154</v>
      </c>
      <c r="N397" s="48" t="n">
        <v>0.0125208333333333</v>
      </c>
      <c r="O397" s="25" t="n">
        <f aca="false">IF(AND(B397&gt;=DATE(2026,1,1),B397&lt;=Resumen!$C$5),1,0)</f>
        <v>0</v>
      </c>
      <c r="P397" s="25" t="n">
        <f aca="false">IF(AND(B397&gt;Resumen!$C$5,B397&lt;=DATE(2027,7,31)),1,0)</f>
        <v>0</v>
      </c>
    </row>
    <row r="398" customFormat="false" ht="15" hidden="false" customHeight="false" outlineLevel="0" collapsed="false">
      <c r="A398" s="22" t="n">
        <v>142</v>
      </c>
      <c r="B398" s="23" t="n">
        <v>49695</v>
      </c>
      <c r="C398" s="28" t="n">
        <v>4903846153.84616</v>
      </c>
      <c r="D398" s="28" t="n">
        <v>61400240.3846154</v>
      </c>
      <c r="E398" s="28" t="n">
        <v>0</v>
      </c>
      <c r="F398" s="28" t="n">
        <v>61400240.3846154</v>
      </c>
      <c r="G398" s="28" t="n">
        <v>4903846153.84616</v>
      </c>
      <c r="H398" s="25" t="n">
        <f aca="false">J397</f>
        <v>4903846153.84616</v>
      </c>
      <c r="I398" s="25" t="n">
        <f aca="false">H398*N398</f>
        <v>61400240.3846154</v>
      </c>
      <c r="J398" s="25" t="n">
        <f aca="false">H398-E398</f>
        <v>4903846153.84616</v>
      </c>
      <c r="K398" s="25" t="n">
        <f aca="false">D398-I398</f>
        <v>0</v>
      </c>
      <c r="L398" s="25" t="n">
        <f aca="false">G398-J398</f>
        <v>0</v>
      </c>
      <c r="M398" s="25" t="n">
        <f aca="false">F398</f>
        <v>61400240.3846154</v>
      </c>
      <c r="N398" s="48" t="n">
        <v>0.0125208333333333</v>
      </c>
      <c r="O398" s="25" t="n">
        <f aca="false">IF(AND(B398&gt;=DATE(2026,1,1),B398&lt;=Resumen!$C$5),1,0)</f>
        <v>0</v>
      </c>
      <c r="P398" s="25" t="n">
        <f aca="false">IF(AND(B398&gt;Resumen!$C$5,B398&lt;=DATE(2027,7,31)),1,0)</f>
        <v>0</v>
      </c>
    </row>
    <row r="399" customFormat="false" ht="15" hidden="false" customHeight="false" outlineLevel="0" collapsed="false">
      <c r="A399" s="22" t="n">
        <v>143</v>
      </c>
      <c r="B399" s="23" t="n">
        <v>49726</v>
      </c>
      <c r="C399" s="28" t="n">
        <v>4903846153.84616</v>
      </c>
      <c r="D399" s="28" t="n">
        <v>61400240.3846154</v>
      </c>
      <c r="E399" s="28" t="n">
        <v>0</v>
      </c>
      <c r="F399" s="28" t="n">
        <v>61400240.3846154</v>
      </c>
      <c r="G399" s="28" t="n">
        <v>4903846153.84616</v>
      </c>
      <c r="H399" s="25" t="n">
        <f aca="false">J398</f>
        <v>4903846153.84616</v>
      </c>
      <c r="I399" s="25" t="n">
        <f aca="false">H399*N399</f>
        <v>61400240.3846154</v>
      </c>
      <c r="J399" s="25" t="n">
        <f aca="false">H399-E399</f>
        <v>4903846153.84616</v>
      </c>
      <c r="K399" s="25" t="n">
        <f aca="false">D399-I399</f>
        <v>0</v>
      </c>
      <c r="L399" s="25" t="n">
        <f aca="false">G399-J399</f>
        <v>0</v>
      </c>
      <c r="M399" s="25" t="n">
        <f aca="false">F399</f>
        <v>61400240.3846154</v>
      </c>
      <c r="N399" s="48" t="n">
        <v>0.0125208333333333</v>
      </c>
      <c r="O399" s="25" t="n">
        <f aca="false">IF(AND(B399&gt;=DATE(2026,1,1),B399&lt;=Resumen!$C$5),1,0)</f>
        <v>0</v>
      </c>
      <c r="P399" s="25" t="n">
        <f aca="false">IF(AND(B399&gt;Resumen!$C$5,B399&lt;=DATE(2027,7,31)),1,0)</f>
        <v>0</v>
      </c>
    </row>
    <row r="400" customFormat="false" ht="15" hidden="false" customHeight="false" outlineLevel="0" collapsed="false">
      <c r="A400" s="22" t="n">
        <v>144</v>
      </c>
      <c r="B400" s="23" t="n">
        <v>49755</v>
      </c>
      <c r="C400" s="28" t="n">
        <v>4903846153.84616</v>
      </c>
      <c r="D400" s="28" t="n">
        <v>61400240.3846154</v>
      </c>
      <c r="E400" s="28" t="n">
        <v>288461538.461538</v>
      </c>
      <c r="F400" s="28" t="n">
        <v>349861778.846154</v>
      </c>
      <c r="G400" s="28" t="n">
        <v>4615384615.38462</v>
      </c>
      <c r="H400" s="25" t="n">
        <f aca="false">J399</f>
        <v>4903846153.84616</v>
      </c>
      <c r="I400" s="25" t="n">
        <f aca="false">H400*N400</f>
        <v>61400240.3846154</v>
      </c>
      <c r="J400" s="25" t="n">
        <f aca="false">H400-E400</f>
        <v>4615384615.38462</v>
      </c>
      <c r="K400" s="25" t="n">
        <f aca="false">D400-I400</f>
        <v>0</v>
      </c>
      <c r="L400" s="25" t="n">
        <f aca="false">G400-J400</f>
        <v>0</v>
      </c>
      <c r="M400" s="25" t="n">
        <f aca="false">F400</f>
        <v>349861778.846154</v>
      </c>
      <c r="N400" s="48" t="n">
        <v>0.0125208333333333</v>
      </c>
      <c r="O400" s="25" t="n">
        <f aca="false">IF(AND(B400&gt;=DATE(2026,1,1),B400&lt;=Resumen!$C$5),1,0)</f>
        <v>0</v>
      </c>
      <c r="P400" s="25" t="n">
        <f aca="false">IF(AND(B400&gt;Resumen!$C$5,B400&lt;=DATE(2027,7,31)),1,0)</f>
        <v>0</v>
      </c>
    </row>
    <row r="401" customFormat="false" ht="15" hidden="false" customHeight="false" outlineLevel="0" collapsed="false">
      <c r="A401" s="22" t="n">
        <v>145</v>
      </c>
      <c r="B401" s="23" t="n">
        <v>49786</v>
      </c>
      <c r="C401" s="28" t="n">
        <v>4615384615.38462</v>
      </c>
      <c r="D401" s="28" t="n">
        <v>57788461.5384616</v>
      </c>
      <c r="E401" s="28" t="n">
        <v>0</v>
      </c>
      <c r="F401" s="28" t="n">
        <v>57788461.5384616</v>
      </c>
      <c r="G401" s="28" t="n">
        <v>4615384615.38462</v>
      </c>
      <c r="H401" s="25" t="n">
        <f aca="false">J400</f>
        <v>4615384615.38462</v>
      </c>
      <c r="I401" s="25" t="n">
        <f aca="false">H401*N401</f>
        <v>57788461.5384615</v>
      </c>
      <c r="J401" s="25" t="n">
        <f aca="false">H401-E401</f>
        <v>4615384615.38462</v>
      </c>
      <c r="K401" s="25" t="n">
        <f aca="false">D401-I401</f>
        <v>0</v>
      </c>
      <c r="L401" s="25" t="n">
        <f aca="false">G401-J401</f>
        <v>0</v>
      </c>
      <c r="M401" s="25" t="n">
        <f aca="false">F401</f>
        <v>57788461.5384616</v>
      </c>
      <c r="N401" s="48" t="n">
        <v>0.0125208333333333</v>
      </c>
      <c r="O401" s="25" t="n">
        <f aca="false">IF(AND(B401&gt;=DATE(2026,1,1),B401&lt;=Resumen!$C$5),1,0)</f>
        <v>0</v>
      </c>
      <c r="P401" s="25" t="n">
        <f aca="false">IF(AND(B401&gt;Resumen!$C$5,B401&lt;=DATE(2027,7,31)),1,0)</f>
        <v>0</v>
      </c>
    </row>
    <row r="402" customFormat="false" ht="15" hidden="false" customHeight="false" outlineLevel="0" collapsed="false">
      <c r="A402" s="22" t="n">
        <v>146</v>
      </c>
      <c r="B402" s="23" t="n">
        <v>49816</v>
      </c>
      <c r="C402" s="28" t="n">
        <v>4615384615.38462</v>
      </c>
      <c r="D402" s="28" t="n">
        <v>57788461.5384616</v>
      </c>
      <c r="E402" s="28" t="n">
        <v>0</v>
      </c>
      <c r="F402" s="28" t="n">
        <v>57788461.5384616</v>
      </c>
      <c r="G402" s="28" t="n">
        <v>4615384615.38462</v>
      </c>
      <c r="H402" s="25" t="n">
        <f aca="false">J401</f>
        <v>4615384615.38462</v>
      </c>
      <c r="I402" s="25" t="n">
        <f aca="false">H402*N402</f>
        <v>57788461.5384615</v>
      </c>
      <c r="J402" s="25" t="n">
        <f aca="false">H402-E402</f>
        <v>4615384615.38462</v>
      </c>
      <c r="K402" s="25" t="n">
        <f aca="false">D402-I402</f>
        <v>0</v>
      </c>
      <c r="L402" s="25" t="n">
        <f aca="false">G402-J402</f>
        <v>0</v>
      </c>
      <c r="M402" s="25" t="n">
        <f aca="false">F402</f>
        <v>57788461.5384616</v>
      </c>
      <c r="N402" s="48" t="n">
        <v>0.0125208333333333</v>
      </c>
      <c r="O402" s="25" t="n">
        <f aca="false">IF(AND(B402&gt;=DATE(2026,1,1),B402&lt;=Resumen!$C$5),1,0)</f>
        <v>0</v>
      </c>
      <c r="P402" s="25" t="n">
        <f aca="false">IF(AND(B402&gt;Resumen!$C$5,B402&lt;=DATE(2027,7,31)),1,0)</f>
        <v>0</v>
      </c>
    </row>
    <row r="403" customFormat="false" ht="15" hidden="false" customHeight="false" outlineLevel="0" collapsed="false">
      <c r="A403" s="22" t="n">
        <v>147</v>
      </c>
      <c r="B403" s="23" t="n">
        <v>49847</v>
      </c>
      <c r="C403" s="28" t="n">
        <v>4615384615.38462</v>
      </c>
      <c r="D403" s="28" t="n">
        <v>57788461.5384616</v>
      </c>
      <c r="E403" s="28" t="n">
        <v>0</v>
      </c>
      <c r="F403" s="28" t="n">
        <v>57788461.5384616</v>
      </c>
      <c r="G403" s="28" t="n">
        <v>4615384615.38462</v>
      </c>
      <c r="H403" s="25" t="n">
        <f aca="false">J402</f>
        <v>4615384615.38462</v>
      </c>
      <c r="I403" s="25" t="n">
        <f aca="false">H403*N403</f>
        <v>57788461.5384615</v>
      </c>
      <c r="J403" s="25" t="n">
        <f aca="false">H403-E403</f>
        <v>4615384615.38462</v>
      </c>
      <c r="K403" s="25" t="n">
        <f aca="false">D403-I403</f>
        <v>0</v>
      </c>
      <c r="L403" s="25" t="n">
        <f aca="false">G403-J403</f>
        <v>0</v>
      </c>
      <c r="M403" s="25" t="n">
        <f aca="false">F403</f>
        <v>57788461.5384616</v>
      </c>
      <c r="N403" s="48" t="n">
        <v>0.0125208333333333</v>
      </c>
      <c r="O403" s="25" t="n">
        <f aca="false">IF(AND(B403&gt;=DATE(2026,1,1),B403&lt;=Resumen!$C$5),1,0)</f>
        <v>0</v>
      </c>
      <c r="P403" s="25" t="n">
        <f aca="false">IF(AND(B403&gt;Resumen!$C$5,B403&lt;=DATE(2027,7,31)),1,0)</f>
        <v>0</v>
      </c>
    </row>
    <row r="404" customFormat="false" ht="15" hidden="false" customHeight="false" outlineLevel="0" collapsed="false">
      <c r="A404" s="22" t="n">
        <v>148</v>
      </c>
      <c r="B404" s="23" t="n">
        <v>49877</v>
      </c>
      <c r="C404" s="28" t="n">
        <v>4615384615.38462</v>
      </c>
      <c r="D404" s="28" t="n">
        <v>57788461.5384616</v>
      </c>
      <c r="E404" s="28" t="n">
        <v>0</v>
      </c>
      <c r="F404" s="28" t="n">
        <v>57788461.5384616</v>
      </c>
      <c r="G404" s="28" t="n">
        <v>4615384615.38462</v>
      </c>
      <c r="H404" s="25" t="n">
        <f aca="false">J403</f>
        <v>4615384615.38462</v>
      </c>
      <c r="I404" s="25" t="n">
        <f aca="false">H404*N404</f>
        <v>57788461.5384615</v>
      </c>
      <c r="J404" s="25" t="n">
        <f aca="false">H404-E404</f>
        <v>4615384615.38462</v>
      </c>
      <c r="K404" s="25" t="n">
        <f aca="false">D404-I404</f>
        <v>0</v>
      </c>
      <c r="L404" s="25" t="n">
        <f aca="false">G404-J404</f>
        <v>0</v>
      </c>
      <c r="M404" s="25" t="n">
        <f aca="false">F404</f>
        <v>57788461.5384616</v>
      </c>
      <c r="N404" s="48" t="n">
        <v>0.0125208333333333</v>
      </c>
      <c r="O404" s="25" t="n">
        <f aca="false">IF(AND(B404&gt;=DATE(2026,1,1),B404&lt;=Resumen!$C$5),1,0)</f>
        <v>0</v>
      </c>
      <c r="P404" s="25" t="n">
        <f aca="false">IF(AND(B404&gt;Resumen!$C$5,B404&lt;=DATE(2027,7,31)),1,0)</f>
        <v>0</v>
      </c>
    </row>
    <row r="405" customFormat="false" ht="15" hidden="false" customHeight="false" outlineLevel="0" collapsed="false">
      <c r="A405" s="22" t="n">
        <v>149</v>
      </c>
      <c r="B405" s="23" t="n">
        <v>49908</v>
      </c>
      <c r="C405" s="28" t="n">
        <v>4615384615.38462</v>
      </c>
      <c r="D405" s="28" t="n">
        <v>57788461.5384616</v>
      </c>
      <c r="E405" s="28" t="n">
        <v>0</v>
      </c>
      <c r="F405" s="28" t="n">
        <v>57788461.5384616</v>
      </c>
      <c r="G405" s="28" t="n">
        <v>4615384615.38462</v>
      </c>
      <c r="H405" s="25" t="n">
        <f aca="false">J404</f>
        <v>4615384615.38462</v>
      </c>
      <c r="I405" s="25" t="n">
        <f aca="false">H405*N405</f>
        <v>57788461.5384615</v>
      </c>
      <c r="J405" s="25" t="n">
        <f aca="false">H405-E405</f>
        <v>4615384615.38462</v>
      </c>
      <c r="K405" s="25" t="n">
        <f aca="false">D405-I405</f>
        <v>0</v>
      </c>
      <c r="L405" s="25" t="n">
        <f aca="false">G405-J405</f>
        <v>0</v>
      </c>
      <c r="M405" s="25" t="n">
        <f aca="false">F405</f>
        <v>57788461.5384616</v>
      </c>
      <c r="N405" s="48" t="n">
        <v>0.0125208333333333</v>
      </c>
      <c r="O405" s="25" t="n">
        <f aca="false">IF(AND(B405&gt;=DATE(2026,1,1),B405&lt;=Resumen!$C$5),1,0)</f>
        <v>0</v>
      </c>
      <c r="P405" s="25" t="n">
        <f aca="false">IF(AND(B405&gt;Resumen!$C$5,B405&lt;=DATE(2027,7,31)),1,0)</f>
        <v>0</v>
      </c>
    </row>
    <row r="406" customFormat="false" ht="15" hidden="false" customHeight="false" outlineLevel="0" collapsed="false">
      <c r="A406" s="22" t="n">
        <v>150</v>
      </c>
      <c r="B406" s="23" t="n">
        <v>49939</v>
      </c>
      <c r="C406" s="28" t="n">
        <v>4615384615.38462</v>
      </c>
      <c r="D406" s="28" t="n">
        <v>57788461.5384616</v>
      </c>
      <c r="E406" s="28" t="n">
        <v>288461538.461538</v>
      </c>
      <c r="F406" s="28" t="n">
        <v>346250000</v>
      </c>
      <c r="G406" s="28" t="n">
        <v>4326923076.92308</v>
      </c>
      <c r="H406" s="25" t="n">
        <f aca="false">J405</f>
        <v>4615384615.38462</v>
      </c>
      <c r="I406" s="25" t="n">
        <f aca="false">H406*N406</f>
        <v>57788461.5384615</v>
      </c>
      <c r="J406" s="25" t="n">
        <f aca="false">H406-E406</f>
        <v>4326923076.92308</v>
      </c>
      <c r="K406" s="25" t="n">
        <f aca="false">D406-I406</f>
        <v>0</v>
      </c>
      <c r="L406" s="25" t="n">
        <f aca="false">G406-J406</f>
        <v>0</v>
      </c>
      <c r="M406" s="25" t="n">
        <f aca="false">F406</f>
        <v>346250000</v>
      </c>
      <c r="N406" s="48" t="n">
        <v>0.0125208333333333</v>
      </c>
      <c r="O406" s="25" t="n">
        <f aca="false">IF(AND(B406&gt;=DATE(2026,1,1),B406&lt;=Resumen!$C$5),1,0)</f>
        <v>0</v>
      </c>
      <c r="P406" s="25" t="n">
        <f aca="false">IF(AND(B406&gt;Resumen!$C$5,B406&lt;=DATE(2027,7,31)),1,0)</f>
        <v>0</v>
      </c>
    </row>
    <row r="407" customFormat="false" ht="15" hidden="false" customHeight="false" outlineLevel="0" collapsed="false">
      <c r="A407" s="22" t="n">
        <v>151</v>
      </c>
      <c r="B407" s="23" t="n">
        <v>49969</v>
      </c>
      <c r="C407" s="28" t="n">
        <v>4326923076.92308</v>
      </c>
      <c r="D407" s="28" t="n">
        <v>54176682.6923077</v>
      </c>
      <c r="E407" s="28" t="n">
        <v>0</v>
      </c>
      <c r="F407" s="28" t="n">
        <v>54176682.6923077</v>
      </c>
      <c r="G407" s="28" t="n">
        <v>4326923076.92308</v>
      </c>
      <c r="H407" s="25" t="n">
        <f aca="false">J406</f>
        <v>4326923076.92308</v>
      </c>
      <c r="I407" s="25" t="n">
        <f aca="false">H407*N407</f>
        <v>54176682.6923077</v>
      </c>
      <c r="J407" s="25" t="n">
        <f aca="false">H407-E407</f>
        <v>4326923076.92308</v>
      </c>
      <c r="K407" s="25" t="n">
        <f aca="false">D407-I407</f>
        <v>0</v>
      </c>
      <c r="L407" s="25" t="n">
        <f aca="false">G407-J407</f>
        <v>0</v>
      </c>
      <c r="M407" s="25" t="n">
        <f aca="false">F407</f>
        <v>54176682.6923077</v>
      </c>
      <c r="N407" s="48" t="n">
        <v>0.0125208333333333</v>
      </c>
      <c r="O407" s="25" t="n">
        <f aca="false">IF(AND(B407&gt;=DATE(2026,1,1),B407&lt;=Resumen!$C$5),1,0)</f>
        <v>0</v>
      </c>
      <c r="P407" s="25" t="n">
        <f aca="false">IF(AND(B407&gt;Resumen!$C$5,B407&lt;=DATE(2027,7,31)),1,0)</f>
        <v>0</v>
      </c>
    </row>
    <row r="408" customFormat="false" ht="15" hidden="false" customHeight="false" outlineLevel="0" collapsed="false">
      <c r="A408" s="22" t="n">
        <v>152</v>
      </c>
      <c r="B408" s="23" t="n">
        <v>50000</v>
      </c>
      <c r="C408" s="28" t="n">
        <v>4326923076.92308</v>
      </c>
      <c r="D408" s="28" t="n">
        <v>54176682.6923077</v>
      </c>
      <c r="E408" s="28" t="n">
        <v>0</v>
      </c>
      <c r="F408" s="28" t="n">
        <v>54176682.6923077</v>
      </c>
      <c r="G408" s="28" t="n">
        <v>4326923076.92308</v>
      </c>
      <c r="H408" s="25" t="n">
        <f aca="false">J407</f>
        <v>4326923076.92308</v>
      </c>
      <c r="I408" s="25" t="n">
        <f aca="false">H408*N408</f>
        <v>54176682.6923077</v>
      </c>
      <c r="J408" s="25" t="n">
        <f aca="false">H408-E408</f>
        <v>4326923076.92308</v>
      </c>
      <c r="K408" s="25" t="n">
        <f aca="false">D408-I408</f>
        <v>0</v>
      </c>
      <c r="L408" s="25" t="n">
        <f aca="false">G408-J408</f>
        <v>0</v>
      </c>
      <c r="M408" s="25" t="n">
        <f aca="false">F408</f>
        <v>54176682.6923077</v>
      </c>
      <c r="N408" s="48" t="n">
        <v>0.0125208333333333</v>
      </c>
      <c r="O408" s="25" t="n">
        <f aca="false">IF(AND(B408&gt;=DATE(2026,1,1),B408&lt;=Resumen!$C$5),1,0)</f>
        <v>0</v>
      </c>
      <c r="P408" s="25" t="n">
        <f aca="false">IF(AND(B408&gt;Resumen!$C$5,B408&lt;=DATE(2027,7,31)),1,0)</f>
        <v>0</v>
      </c>
    </row>
    <row r="409" customFormat="false" ht="15" hidden="false" customHeight="false" outlineLevel="0" collapsed="false">
      <c r="A409" s="22" t="n">
        <v>153</v>
      </c>
      <c r="B409" s="23" t="n">
        <v>50030</v>
      </c>
      <c r="C409" s="28" t="n">
        <v>4326923076.92308</v>
      </c>
      <c r="D409" s="28" t="n">
        <v>54176682.6923077</v>
      </c>
      <c r="E409" s="28" t="n">
        <v>0</v>
      </c>
      <c r="F409" s="28" t="n">
        <v>54176682.6923077</v>
      </c>
      <c r="G409" s="28" t="n">
        <v>4326923076.92308</v>
      </c>
      <c r="H409" s="25" t="n">
        <f aca="false">J408</f>
        <v>4326923076.92308</v>
      </c>
      <c r="I409" s="25" t="n">
        <f aca="false">H409*N409</f>
        <v>54176682.6923077</v>
      </c>
      <c r="J409" s="25" t="n">
        <f aca="false">H409-E409</f>
        <v>4326923076.92308</v>
      </c>
      <c r="K409" s="25" t="n">
        <f aca="false">D409-I409</f>
        <v>0</v>
      </c>
      <c r="L409" s="25" t="n">
        <f aca="false">G409-J409</f>
        <v>0</v>
      </c>
      <c r="M409" s="25" t="n">
        <f aca="false">F409</f>
        <v>54176682.6923077</v>
      </c>
      <c r="N409" s="48" t="n">
        <v>0.0125208333333333</v>
      </c>
      <c r="O409" s="25" t="n">
        <f aca="false">IF(AND(B409&gt;=DATE(2026,1,1),B409&lt;=Resumen!$C$5),1,0)</f>
        <v>0</v>
      </c>
      <c r="P409" s="25" t="n">
        <f aca="false">IF(AND(B409&gt;Resumen!$C$5,B409&lt;=DATE(2027,7,31)),1,0)</f>
        <v>0</v>
      </c>
    </row>
    <row r="410" customFormat="false" ht="15" hidden="false" customHeight="false" outlineLevel="0" collapsed="false">
      <c r="A410" s="22" t="n">
        <v>154</v>
      </c>
      <c r="B410" s="23" t="n">
        <v>50061</v>
      </c>
      <c r="C410" s="28" t="n">
        <v>4326923076.92308</v>
      </c>
      <c r="D410" s="28" t="n">
        <v>54176682.6923077</v>
      </c>
      <c r="E410" s="28" t="n">
        <v>0</v>
      </c>
      <c r="F410" s="28" t="n">
        <v>54176682.6923077</v>
      </c>
      <c r="G410" s="28" t="n">
        <v>4326923076.92308</v>
      </c>
      <c r="H410" s="25" t="n">
        <f aca="false">J409</f>
        <v>4326923076.92308</v>
      </c>
      <c r="I410" s="25" t="n">
        <f aca="false">H410*N410</f>
        <v>54176682.6923077</v>
      </c>
      <c r="J410" s="25" t="n">
        <f aca="false">H410-E410</f>
        <v>4326923076.92308</v>
      </c>
      <c r="K410" s="25" t="n">
        <f aca="false">D410-I410</f>
        <v>0</v>
      </c>
      <c r="L410" s="25" t="n">
        <f aca="false">G410-J410</f>
        <v>0</v>
      </c>
      <c r="M410" s="25" t="n">
        <f aca="false">F410</f>
        <v>54176682.6923077</v>
      </c>
      <c r="N410" s="48" t="n">
        <v>0.0125208333333333</v>
      </c>
      <c r="O410" s="25" t="n">
        <f aca="false">IF(AND(B410&gt;=DATE(2026,1,1),B410&lt;=Resumen!$C$5),1,0)</f>
        <v>0</v>
      </c>
      <c r="P410" s="25" t="n">
        <f aca="false">IF(AND(B410&gt;Resumen!$C$5,B410&lt;=DATE(2027,7,31)),1,0)</f>
        <v>0</v>
      </c>
    </row>
    <row r="411" customFormat="false" ht="15" hidden="false" customHeight="false" outlineLevel="0" collapsed="false">
      <c r="A411" s="22" t="n">
        <v>155</v>
      </c>
      <c r="B411" s="23" t="n">
        <v>50092</v>
      </c>
      <c r="C411" s="28" t="n">
        <v>4326923076.92308</v>
      </c>
      <c r="D411" s="28" t="n">
        <v>54176682.6923077</v>
      </c>
      <c r="E411" s="28" t="n">
        <v>0</v>
      </c>
      <c r="F411" s="28" t="n">
        <v>54176682.6923077</v>
      </c>
      <c r="G411" s="28" t="n">
        <v>4326923076.92308</v>
      </c>
      <c r="H411" s="25" t="n">
        <f aca="false">J410</f>
        <v>4326923076.92308</v>
      </c>
      <c r="I411" s="25" t="n">
        <f aca="false">H411*N411</f>
        <v>54176682.6923077</v>
      </c>
      <c r="J411" s="25" t="n">
        <f aca="false">H411-E411</f>
        <v>4326923076.92308</v>
      </c>
      <c r="K411" s="25" t="n">
        <f aca="false">D411-I411</f>
        <v>0</v>
      </c>
      <c r="L411" s="25" t="n">
        <f aca="false">G411-J411</f>
        <v>0</v>
      </c>
      <c r="M411" s="25" t="n">
        <f aca="false">F411</f>
        <v>54176682.6923077</v>
      </c>
      <c r="N411" s="48" t="n">
        <v>0.0125208333333333</v>
      </c>
      <c r="O411" s="25" t="n">
        <f aca="false">IF(AND(B411&gt;=DATE(2026,1,1),B411&lt;=Resumen!$C$5),1,0)</f>
        <v>0</v>
      </c>
      <c r="P411" s="25" t="n">
        <f aca="false">IF(AND(B411&gt;Resumen!$C$5,B411&lt;=DATE(2027,7,31)),1,0)</f>
        <v>0</v>
      </c>
    </row>
    <row r="412" customFormat="false" ht="15" hidden="false" customHeight="false" outlineLevel="0" collapsed="false">
      <c r="A412" s="22" t="n">
        <v>156</v>
      </c>
      <c r="B412" s="23" t="n">
        <v>50120</v>
      </c>
      <c r="C412" s="28" t="n">
        <v>4326923076.92308</v>
      </c>
      <c r="D412" s="28" t="n">
        <v>54176682.6923077</v>
      </c>
      <c r="E412" s="28" t="n">
        <v>288461538.461538</v>
      </c>
      <c r="F412" s="28" t="n">
        <v>342638221.153846</v>
      </c>
      <c r="G412" s="28" t="n">
        <v>4038461538.46154</v>
      </c>
      <c r="H412" s="25" t="n">
        <f aca="false">J411</f>
        <v>4326923076.92308</v>
      </c>
      <c r="I412" s="25" t="n">
        <f aca="false">H412*N412</f>
        <v>54176682.6923077</v>
      </c>
      <c r="J412" s="25" t="n">
        <f aca="false">H412-E412</f>
        <v>4038461538.46154</v>
      </c>
      <c r="K412" s="25" t="n">
        <f aca="false">D412-I412</f>
        <v>0</v>
      </c>
      <c r="L412" s="25" t="n">
        <f aca="false">G412-J412</f>
        <v>0</v>
      </c>
      <c r="M412" s="25" t="n">
        <f aca="false">F412</f>
        <v>342638221.153846</v>
      </c>
      <c r="N412" s="48" t="n">
        <v>0.0125208333333333</v>
      </c>
      <c r="O412" s="25" t="n">
        <f aca="false">IF(AND(B412&gt;=DATE(2026,1,1),B412&lt;=Resumen!$C$5),1,0)</f>
        <v>0</v>
      </c>
      <c r="P412" s="25" t="n">
        <f aca="false">IF(AND(B412&gt;Resumen!$C$5,B412&lt;=DATE(2027,7,31)),1,0)</f>
        <v>0</v>
      </c>
    </row>
    <row r="413" customFormat="false" ht="15" hidden="false" customHeight="false" outlineLevel="0" collapsed="false">
      <c r="A413" s="22" t="n">
        <v>157</v>
      </c>
      <c r="B413" s="23" t="n">
        <v>50151</v>
      </c>
      <c r="C413" s="28" t="n">
        <v>4038461538.46154</v>
      </c>
      <c r="D413" s="28" t="n">
        <v>50564903.8461539</v>
      </c>
      <c r="E413" s="28" t="n">
        <v>0</v>
      </c>
      <c r="F413" s="28" t="n">
        <v>50564903.8461539</v>
      </c>
      <c r="G413" s="28" t="n">
        <v>4038461538.46154</v>
      </c>
      <c r="H413" s="25" t="n">
        <f aca="false">J412</f>
        <v>4038461538.46154</v>
      </c>
      <c r="I413" s="25" t="n">
        <f aca="false">H413*N413</f>
        <v>50564903.8461539</v>
      </c>
      <c r="J413" s="25" t="n">
        <f aca="false">H413-E413</f>
        <v>4038461538.46154</v>
      </c>
      <c r="K413" s="25" t="n">
        <f aca="false">D413-I413</f>
        <v>0</v>
      </c>
      <c r="L413" s="25" t="n">
        <f aca="false">G413-J413</f>
        <v>0</v>
      </c>
      <c r="M413" s="25" t="n">
        <f aca="false">F413</f>
        <v>50564903.8461539</v>
      </c>
      <c r="N413" s="48" t="n">
        <v>0.0125208333333333</v>
      </c>
      <c r="O413" s="25" t="n">
        <f aca="false">IF(AND(B413&gt;=DATE(2026,1,1),B413&lt;=Resumen!$C$5),1,0)</f>
        <v>0</v>
      </c>
      <c r="P413" s="25" t="n">
        <f aca="false">IF(AND(B413&gt;Resumen!$C$5,B413&lt;=DATE(2027,7,31)),1,0)</f>
        <v>0</v>
      </c>
    </row>
    <row r="414" customFormat="false" ht="15" hidden="false" customHeight="false" outlineLevel="0" collapsed="false">
      <c r="A414" s="22" t="n">
        <v>158</v>
      </c>
      <c r="B414" s="23" t="n">
        <v>50181</v>
      </c>
      <c r="C414" s="28" t="n">
        <v>4038461538.46154</v>
      </c>
      <c r="D414" s="28" t="n">
        <v>50564903.8461539</v>
      </c>
      <c r="E414" s="28" t="n">
        <v>0</v>
      </c>
      <c r="F414" s="28" t="n">
        <v>50564903.8461539</v>
      </c>
      <c r="G414" s="28" t="n">
        <v>4038461538.46154</v>
      </c>
      <c r="H414" s="25" t="n">
        <f aca="false">J413</f>
        <v>4038461538.46154</v>
      </c>
      <c r="I414" s="25" t="n">
        <f aca="false">H414*N414</f>
        <v>50564903.8461539</v>
      </c>
      <c r="J414" s="25" t="n">
        <f aca="false">H414-E414</f>
        <v>4038461538.46154</v>
      </c>
      <c r="K414" s="25" t="n">
        <f aca="false">D414-I414</f>
        <v>0</v>
      </c>
      <c r="L414" s="25" t="n">
        <f aca="false">G414-J414</f>
        <v>0</v>
      </c>
      <c r="M414" s="25" t="n">
        <f aca="false">F414</f>
        <v>50564903.8461539</v>
      </c>
      <c r="N414" s="48" t="n">
        <v>0.0125208333333333</v>
      </c>
      <c r="O414" s="25" t="n">
        <f aca="false">IF(AND(B414&gt;=DATE(2026,1,1),B414&lt;=Resumen!$C$5),1,0)</f>
        <v>0</v>
      </c>
      <c r="P414" s="25" t="n">
        <f aca="false">IF(AND(B414&gt;Resumen!$C$5,B414&lt;=DATE(2027,7,31)),1,0)</f>
        <v>0</v>
      </c>
    </row>
    <row r="415" customFormat="false" ht="15" hidden="false" customHeight="false" outlineLevel="0" collapsed="false">
      <c r="A415" s="22" t="n">
        <v>159</v>
      </c>
      <c r="B415" s="23" t="n">
        <v>50212</v>
      </c>
      <c r="C415" s="28" t="n">
        <v>4038461538.46154</v>
      </c>
      <c r="D415" s="28" t="n">
        <v>50564903.8461539</v>
      </c>
      <c r="E415" s="28" t="n">
        <v>0</v>
      </c>
      <c r="F415" s="28" t="n">
        <v>50564903.8461539</v>
      </c>
      <c r="G415" s="28" t="n">
        <v>4038461538.46154</v>
      </c>
      <c r="H415" s="25" t="n">
        <f aca="false">J414</f>
        <v>4038461538.46154</v>
      </c>
      <c r="I415" s="25" t="n">
        <f aca="false">H415*N415</f>
        <v>50564903.8461539</v>
      </c>
      <c r="J415" s="25" t="n">
        <f aca="false">H415-E415</f>
        <v>4038461538.46154</v>
      </c>
      <c r="K415" s="25" t="n">
        <f aca="false">D415-I415</f>
        <v>0</v>
      </c>
      <c r="L415" s="25" t="n">
        <f aca="false">G415-J415</f>
        <v>0</v>
      </c>
      <c r="M415" s="25" t="n">
        <f aca="false">F415</f>
        <v>50564903.8461539</v>
      </c>
      <c r="N415" s="48" t="n">
        <v>0.0125208333333333</v>
      </c>
      <c r="O415" s="25" t="n">
        <f aca="false">IF(AND(B415&gt;=DATE(2026,1,1),B415&lt;=Resumen!$C$5),1,0)</f>
        <v>0</v>
      </c>
      <c r="P415" s="25" t="n">
        <f aca="false">IF(AND(B415&gt;Resumen!$C$5,B415&lt;=DATE(2027,7,31)),1,0)</f>
        <v>0</v>
      </c>
    </row>
    <row r="416" customFormat="false" ht="15" hidden="false" customHeight="false" outlineLevel="0" collapsed="false">
      <c r="A416" s="22" t="n">
        <v>160</v>
      </c>
      <c r="B416" s="23" t="n">
        <v>50242</v>
      </c>
      <c r="C416" s="28" t="n">
        <v>4038461538.46154</v>
      </c>
      <c r="D416" s="28" t="n">
        <v>50564903.8461539</v>
      </c>
      <c r="E416" s="28" t="n">
        <v>0</v>
      </c>
      <c r="F416" s="28" t="n">
        <v>50564903.8461539</v>
      </c>
      <c r="G416" s="28" t="n">
        <v>4038461538.46154</v>
      </c>
      <c r="H416" s="25" t="n">
        <f aca="false">J415</f>
        <v>4038461538.46154</v>
      </c>
      <c r="I416" s="25" t="n">
        <f aca="false">H416*N416</f>
        <v>50564903.8461539</v>
      </c>
      <c r="J416" s="25" t="n">
        <f aca="false">H416-E416</f>
        <v>4038461538.46154</v>
      </c>
      <c r="K416" s="25" t="n">
        <f aca="false">D416-I416</f>
        <v>0</v>
      </c>
      <c r="L416" s="25" t="n">
        <f aca="false">G416-J416</f>
        <v>0</v>
      </c>
      <c r="M416" s="25" t="n">
        <f aca="false">F416</f>
        <v>50564903.8461539</v>
      </c>
      <c r="N416" s="48" t="n">
        <v>0.0125208333333333</v>
      </c>
      <c r="O416" s="25" t="n">
        <f aca="false">IF(AND(B416&gt;=DATE(2026,1,1),B416&lt;=Resumen!$C$5),1,0)</f>
        <v>0</v>
      </c>
      <c r="P416" s="25" t="n">
        <f aca="false">IF(AND(B416&gt;Resumen!$C$5,B416&lt;=DATE(2027,7,31)),1,0)</f>
        <v>0</v>
      </c>
    </row>
    <row r="417" customFormat="false" ht="15" hidden="false" customHeight="false" outlineLevel="0" collapsed="false">
      <c r="A417" s="22" t="n">
        <v>161</v>
      </c>
      <c r="B417" s="23" t="n">
        <v>50273</v>
      </c>
      <c r="C417" s="28" t="n">
        <v>4038461538.46154</v>
      </c>
      <c r="D417" s="28" t="n">
        <v>50564903.8461539</v>
      </c>
      <c r="E417" s="28" t="n">
        <v>0</v>
      </c>
      <c r="F417" s="28" t="n">
        <v>50564903.8461539</v>
      </c>
      <c r="G417" s="28" t="n">
        <v>4038461538.46154</v>
      </c>
      <c r="H417" s="25" t="n">
        <f aca="false">J416</f>
        <v>4038461538.46154</v>
      </c>
      <c r="I417" s="25" t="n">
        <f aca="false">H417*N417</f>
        <v>50564903.8461539</v>
      </c>
      <c r="J417" s="25" t="n">
        <f aca="false">H417-E417</f>
        <v>4038461538.46154</v>
      </c>
      <c r="K417" s="25" t="n">
        <f aca="false">D417-I417</f>
        <v>0</v>
      </c>
      <c r="L417" s="25" t="n">
        <f aca="false">G417-J417</f>
        <v>0</v>
      </c>
      <c r="M417" s="25" t="n">
        <f aca="false">F417</f>
        <v>50564903.8461539</v>
      </c>
      <c r="N417" s="48" t="n">
        <v>0.0125208333333333</v>
      </c>
      <c r="O417" s="25" t="n">
        <f aca="false">IF(AND(B417&gt;=DATE(2026,1,1),B417&lt;=Resumen!$C$5),1,0)</f>
        <v>0</v>
      </c>
      <c r="P417" s="25" t="n">
        <f aca="false">IF(AND(B417&gt;Resumen!$C$5,B417&lt;=DATE(2027,7,31)),1,0)</f>
        <v>0</v>
      </c>
    </row>
    <row r="418" customFormat="false" ht="15" hidden="false" customHeight="false" outlineLevel="0" collapsed="false">
      <c r="A418" s="22" t="n">
        <v>162</v>
      </c>
      <c r="B418" s="23" t="n">
        <v>50304</v>
      </c>
      <c r="C418" s="28" t="n">
        <v>4038461538.46154</v>
      </c>
      <c r="D418" s="28" t="n">
        <v>50564903.8461539</v>
      </c>
      <c r="E418" s="28" t="n">
        <v>288461538.461538</v>
      </c>
      <c r="F418" s="28" t="n">
        <v>339026442.307692</v>
      </c>
      <c r="G418" s="28" t="n">
        <v>3750000000</v>
      </c>
      <c r="H418" s="25" t="n">
        <f aca="false">J417</f>
        <v>4038461538.46154</v>
      </c>
      <c r="I418" s="25" t="n">
        <f aca="false">H418*N418</f>
        <v>50564903.8461539</v>
      </c>
      <c r="J418" s="25" t="n">
        <f aca="false">H418-E418</f>
        <v>3750000000</v>
      </c>
      <c r="K418" s="25" t="n">
        <f aca="false">D418-I418</f>
        <v>0</v>
      </c>
      <c r="L418" s="25" t="n">
        <f aca="false">G418-J418</f>
        <v>0</v>
      </c>
      <c r="M418" s="25" t="n">
        <f aca="false">F418</f>
        <v>339026442.307692</v>
      </c>
      <c r="N418" s="48" t="n">
        <v>0.0125208333333333</v>
      </c>
      <c r="O418" s="25" t="n">
        <f aca="false">IF(AND(B418&gt;=DATE(2026,1,1),B418&lt;=Resumen!$C$5),1,0)</f>
        <v>0</v>
      </c>
      <c r="P418" s="25" t="n">
        <f aca="false">IF(AND(B418&gt;Resumen!$C$5,B418&lt;=DATE(2027,7,31)),1,0)</f>
        <v>0</v>
      </c>
    </row>
    <row r="419" customFormat="false" ht="15" hidden="false" customHeight="false" outlineLevel="0" collapsed="false">
      <c r="A419" s="22" t="n">
        <v>163</v>
      </c>
      <c r="B419" s="23" t="n">
        <v>50334</v>
      </c>
      <c r="C419" s="28" t="n">
        <v>3750000000</v>
      </c>
      <c r="D419" s="28" t="n">
        <v>46953125</v>
      </c>
      <c r="E419" s="28" t="n">
        <v>0</v>
      </c>
      <c r="F419" s="28" t="n">
        <v>46953125</v>
      </c>
      <c r="G419" s="28" t="n">
        <v>3750000000</v>
      </c>
      <c r="H419" s="25" t="n">
        <f aca="false">J418</f>
        <v>3750000000</v>
      </c>
      <c r="I419" s="25" t="n">
        <f aca="false">H419*N419</f>
        <v>46953125</v>
      </c>
      <c r="J419" s="25" t="n">
        <f aca="false">H419-E419</f>
        <v>3750000000</v>
      </c>
      <c r="K419" s="25" t="n">
        <f aca="false">D419-I419</f>
        <v>0</v>
      </c>
      <c r="L419" s="25" t="n">
        <f aca="false">G419-J419</f>
        <v>0</v>
      </c>
      <c r="M419" s="25" t="n">
        <f aca="false">F419</f>
        <v>46953125</v>
      </c>
      <c r="N419" s="48" t="n">
        <v>0.0125208333333333</v>
      </c>
      <c r="O419" s="25" t="n">
        <f aca="false">IF(AND(B419&gt;=DATE(2026,1,1),B419&lt;=Resumen!$C$5),1,0)</f>
        <v>0</v>
      </c>
      <c r="P419" s="25" t="n">
        <f aca="false">IF(AND(B419&gt;Resumen!$C$5,B419&lt;=DATE(2027,7,31)),1,0)</f>
        <v>0</v>
      </c>
    </row>
    <row r="420" customFormat="false" ht="15" hidden="false" customHeight="false" outlineLevel="0" collapsed="false">
      <c r="A420" s="22" t="n">
        <v>164</v>
      </c>
      <c r="B420" s="23" t="n">
        <v>50365</v>
      </c>
      <c r="C420" s="28" t="n">
        <v>3750000000</v>
      </c>
      <c r="D420" s="28" t="n">
        <v>46953125</v>
      </c>
      <c r="E420" s="28" t="n">
        <v>0</v>
      </c>
      <c r="F420" s="28" t="n">
        <v>46953125</v>
      </c>
      <c r="G420" s="28" t="n">
        <v>3750000000</v>
      </c>
      <c r="H420" s="25" t="n">
        <f aca="false">J419</f>
        <v>3750000000</v>
      </c>
      <c r="I420" s="25" t="n">
        <f aca="false">H420*N420</f>
        <v>46953125</v>
      </c>
      <c r="J420" s="25" t="n">
        <f aca="false">H420-E420</f>
        <v>3750000000</v>
      </c>
      <c r="K420" s="25" t="n">
        <f aca="false">D420-I420</f>
        <v>0</v>
      </c>
      <c r="L420" s="25" t="n">
        <f aca="false">G420-J420</f>
        <v>0</v>
      </c>
      <c r="M420" s="25" t="n">
        <f aca="false">F420</f>
        <v>46953125</v>
      </c>
      <c r="N420" s="48" t="n">
        <v>0.0125208333333333</v>
      </c>
      <c r="O420" s="25" t="n">
        <f aca="false">IF(AND(B420&gt;=DATE(2026,1,1),B420&lt;=Resumen!$C$5),1,0)</f>
        <v>0</v>
      </c>
      <c r="P420" s="25" t="n">
        <f aca="false">IF(AND(B420&gt;Resumen!$C$5,B420&lt;=DATE(2027,7,31)),1,0)</f>
        <v>0</v>
      </c>
    </row>
    <row r="421" customFormat="false" ht="15" hidden="false" customHeight="false" outlineLevel="0" collapsed="false">
      <c r="A421" s="22" t="n">
        <v>165</v>
      </c>
      <c r="B421" s="23" t="n">
        <v>50395</v>
      </c>
      <c r="C421" s="28" t="n">
        <v>3750000000</v>
      </c>
      <c r="D421" s="28" t="n">
        <v>46953125</v>
      </c>
      <c r="E421" s="28" t="n">
        <v>0</v>
      </c>
      <c r="F421" s="28" t="n">
        <v>46953125</v>
      </c>
      <c r="G421" s="28" t="n">
        <v>3750000000</v>
      </c>
      <c r="H421" s="25" t="n">
        <f aca="false">J420</f>
        <v>3750000000</v>
      </c>
      <c r="I421" s="25" t="n">
        <f aca="false">H421*N421</f>
        <v>46953125</v>
      </c>
      <c r="J421" s="25" t="n">
        <f aca="false">H421-E421</f>
        <v>3750000000</v>
      </c>
      <c r="K421" s="25" t="n">
        <f aca="false">D421-I421</f>
        <v>0</v>
      </c>
      <c r="L421" s="25" t="n">
        <f aca="false">G421-J421</f>
        <v>0</v>
      </c>
      <c r="M421" s="25" t="n">
        <f aca="false">F421</f>
        <v>46953125</v>
      </c>
      <c r="N421" s="48" t="n">
        <v>0.0125208333333333</v>
      </c>
      <c r="O421" s="25" t="n">
        <f aca="false">IF(AND(B421&gt;=DATE(2026,1,1),B421&lt;=Resumen!$C$5),1,0)</f>
        <v>0</v>
      </c>
      <c r="P421" s="25" t="n">
        <f aca="false">IF(AND(B421&gt;Resumen!$C$5,B421&lt;=DATE(2027,7,31)),1,0)</f>
        <v>0</v>
      </c>
    </row>
    <row r="422" customFormat="false" ht="15" hidden="false" customHeight="false" outlineLevel="0" collapsed="false">
      <c r="A422" s="22" t="n">
        <v>166</v>
      </c>
      <c r="B422" s="23" t="n">
        <v>50426</v>
      </c>
      <c r="C422" s="28" t="n">
        <v>3750000000</v>
      </c>
      <c r="D422" s="28" t="n">
        <v>46953125</v>
      </c>
      <c r="E422" s="28" t="n">
        <v>0</v>
      </c>
      <c r="F422" s="28" t="n">
        <v>46953125</v>
      </c>
      <c r="G422" s="28" t="n">
        <v>3750000000</v>
      </c>
      <c r="H422" s="25" t="n">
        <f aca="false">J421</f>
        <v>3750000000</v>
      </c>
      <c r="I422" s="25" t="n">
        <f aca="false">H422*N422</f>
        <v>46953125</v>
      </c>
      <c r="J422" s="25" t="n">
        <f aca="false">H422-E422</f>
        <v>3750000000</v>
      </c>
      <c r="K422" s="25" t="n">
        <f aca="false">D422-I422</f>
        <v>0</v>
      </c>
      <c r="L422" s="25" t="n">
        <f aca="false">G422-J422</f>
        <v>0</v>
      </c>
      <c r="M422" s="25" t="n">
        <f aca="false">F422</f>
        <v>46953125</v>
      </c>
      <c r="N422" s="48" t="n">
        <v>0.0125208333333333</v>
      </c>
      <c r="O422" s="25" t="n">
        <f aca="false">IF(AND(B422&gt;=DATE(2026,1,1),B422&lt;=Resumen!$C$5),1,0)</f>
        <v>0</v>
      </c>
      <c r="P422" s="25" t="n">
        <f aca="false">IF(AND(B422&gt;Resumen!$C$5,B422&lt;=DATE(2027,7,31)),1,0)</f>
        <v>0</v>
      </c>
    </row>
    <row r="423" customFormat="false" ht="15" hidden="false" customHeight="false" outlineLevel="0" collapsed="false">
      <c r="A423" s="22" t="n">
        <v>167</v>
      </c>
      <c r="B423" s="23" t="n">
        <v>50457</v>
      </c>
      <c r="C423" s="28" t="n">
        <v>3750000000</v>
      </c>
      <c r="D423" s="28" t="n">
        <v>46953125</v>
      </c>
      <c r="E423" s="28" t="n">
        <v>0</v>
      </c>
      <c r="F423" s="28" t="n">
        <v>46953125</v>
      </c>
      <c r="G423" s="28" t="n">
        <v>3750000000</v>
      </c>
      <c r="H423" s="25" t="n">
        <f aca="false">J422</f>
        <v>3750000000</v>
      </c>
      <c r="I423" s="25" t="n">
        <f aca="false">H423*N423</f>
        <v>46953125</v>
      </c>
      <c r="J423" s="25" t="n">
        <f aca="false">H423-E423</f>
        <v>3750000000</v>
      </c>
      <c r="K423" s="25" t="n">
        <f aca="false">D423-I423</f>
        <v>0</v>
      </c>
      <c r="L423" s="25" t="n">
        <f aca="false">G423-J423</f>
        <v>0</v>
      </c>
      <c r="M423" s="25" t="n">
        <f aca="false">F423</f>
        <v>46953125</v>
      </c>
      <c r="N423" s="48" t="n">
        <v>0.0125208333333333</v>
      </c>
      <c r="O423" s="25" t="n">
        <f aca="false">IF(AND(B423&gt;=DATE(2026,1,1),B423&lt;=Resumen!$C$5),1,0)</f>
        <v>0</v>
      </c>
      <c r="P423" s="25" t="n">
        <f aca="false">IF(AND(B423&gt;Resumen!$C$5,B423&lt;=DATE(2027,7,31)),1,0)</f>
        <v>0</v>
      </c>
    </row>
    <row r="424" customFormat="false" ht="15" hidden="false" customHeight="false" outlineLevel="0" collapsed="false">
      <c r="A424" s="22" t="n">
        <v>168</v>
      </c>
      <c r="B424" s="23" t="n">
        <v>50485</v>
      </c>
      <c r="C424" s="28" t="n">
        <v>3750000000</v>
      </c>
      <c r="D424" s="28" t="n">
        <v>46953125</v>
      </c>
      <c r="E424" s="28" t="n">
        <v>288461538.461538</v>
      </c>
      <c r="F424" s="28" t="n">
        <v>335414663.461538</v>
      </c>
      <c r="G424" s="28" t="n">
        <v>3461538461.53846</v>
      </c>
      <c r="H424" s="25" t="n">
        <f aca="false">J423</f>
        <v>3750000000</v>
      </c>
      <c r="I424" s="25" t="n">
        <f aca="false">H424*N424</f>
        <v>46953125</v>
      </c>
      <c r="J424" s="25" t="n">
        <f aca="false">H424-E424</f>
        <v>3461538461.53846</v>
      </c>
      <c r="K424" s="25" t="n">
        <f aca="false">D424-I424</f>
        <v>0</v>
      </c>
      <c r="L424" s="25" t="n">
        <f aca="false">G424-J424</f>
        <v>0</v>
      </c>
      <c r="M424" s="25" t="n">
        <f aca="false">F424</f>
        <v>335414663.461538</v>
      </c>
      <c r="N424" s="48" t="n">
        <v>0.0125208333333333</v>
      </c>
      <c r="O424" s="25" t="n">
        <f aca="false">IF(AND(B424&gt;=DATE(2026,1,1),B424&lt;=Resumen!$C$5),1,0)</f>
        <v>0</v>
      </c>
      <c r="P424" s="25" t="n">
        <f aca="false">IF(AND(B424&gt;Resumen!$C$5,B424&lt;=DATE(2027,7,31)),1,0)</f>
        <v>0</v>
      </c>
    </row>
    <row r="425" customFormat="false" ht="15" hidden="false" customHeight="false" outlineLevel="0" collapsed="false">
      <c r="A425" s="22" t="n">
        <v>169</v>
      </c>
      <c r="B425" s="23" t="n">
        <v>50516</v>
      </c>
      <c r="C425" s="28" t="n">
        <v>3461538461.53846</v>
      </c>
      <c r="D425" s="28" t="n">
        <v>43341346.1538462</v>
      </c>
      <c r="E425" s="28" t="n">
        <v>0</v>
      </c>
      <c r="F425" s="28" t="n">
        <v>43341346.1538462</v>
      </c>
      <c r="G425" s="28" t="n">
        <v>3461538461.53846</v>
      </c>
      <c r="H425" s="25" t="n">
        <f aca="false">J424</f>
        <v>3461538461.53846</v>
      </c>
      <c r="I425" s="25" t="n">
        <f aca="false">H425*N425</f>
        <v>43341346.1538462</v>
      </c>
      <c r="J425" s="25" t="n">
        <f aca="false">H425-E425</f>
        <v>3461538461.53846</v>
      </c>
      <c r="K425" s="25" t="n">
        <f aca="false">D425-I425</f>
        <v>0</v>
      </c>
      <c r="L425" s="25" t="n">
        <f aca="false">G425-J425</f>
        <v>0</v>
      </c>
      <c r="M425" s="25" t="n">
        <f aca="false">F425</f>
        <v>43341346.1538462</v>
      </c>
      <c r="N425" s="48" t="n">
        <v>0.0125208333333333</v>
      </c>
      <c r="O425" s="25" t="n">
        <f aca="false">IF(AND(B425&gt;=DATE(2026,1,1),B425&lt;=Resumen!$C$5),1,0)</f>
        <v>0</v>
      </c>
      <c r="P425" s="25" t="n">
        <f aca="false">IF(AND(B425&gt;Resumen!$C$5,B425&lt;=DATE(2027,7,31)),1,0)</f>
        <v>0</v>
      </c>
    </row>
    <row r="426" customFormat="false" ht="15" hidden="false" customHeight="false" outlineLevel="0" collapsed="false">
      <c r="A426" s="22" t="n">
        <v>170</v>
      </c>
      <c r="B426" s="23" t="n">
        <v>50546</v>
      </c>
      <c r="C426" s="28" t="n">
        <v>3461538461.53846</v>
      </c>
      <c r="D426" s="28" t="n">
        <v>43341346.1538462</v>
      </c>
      <c r="E426" s="28" t="n">
        <v>0</v>
      </c>
      <c r="F426" s="28" t="n">
        <v>43341346.1538462</v>
      </c>
      <c r="G426" s="28" t="n">
        <v>3461538461.53846</v>
      </c>
      <c r="H426" s="25" t="n">
        <f aca="false">J425</f>
        <v>3461538461.53846</v>
      </c>
      <c r="I426" s="25" t="n">
        <f aca="false">H426*N426</f>
        <v>43341346.1538462</v>
      </c>
      <c r="J426" s="25" t="n">
        <f aca="false">H426-E426</f>
        <v>3461538461.53846</v>
      </c>
      <c r="K426" s="25" t="n">
        <f aca="false">D426-I426</f>
        <v>0</v>
      </c>
      <c r="L426" s="25" t="n">
        <f aca="false">G426-J426</f>
        <v>0</v>
      </c>
      <c r="M426" s="25" t="n">
        <f aca="false">F426</f>
        <v>43341346.1538462</v>
      </c>
      <c r="N426" s="48" t="n">
        <v>0.0125208333333333</v>
      </c>
      <c r="O426" s="25" t="n">
        <f aca="false">IF(AND(B426&gt;=DATE(2026,1,1),B426&lt;=Resumen!$C$5),1,0)</f>
        <v>0</v>
      </c>
      <c r="P426" s="25" t="n">
        <f aca="false">IF(AND(B426&gt;Resumen!$C$5,B426&lt;=DATE(2027,7,31)),1,0)</f>
        <v>0</v>
      </c>
    </row>
    <row r="427" customFormat="false" ht="15" hidden="false" customHeight="false" outlineLevel="0" collapsed="false">
      <c r="A427" s="22" t="n">
        <v>171</v>
      </c>
      <c r="B427" s="23" t="n">
        <v>50577</v>
      </c>
      <c r="C427" s="28" t="n">
        <v>3461538461.53846</v>
      </c>
      <c r="D427" s="28" t="n">
        <v>43341346.1538462</v>
      </c>
      <c r="E427" s="28" t="n">
        <v>0</v>
      </c>
      <c r="F427" s="28" t="n">
        <v>43341346.1538462</v>
      </c>
      <c r="G427" s="28" t="n">
        <v>3461538461.53846</v>
      </c>
      <c r="H427" s="25" t="n">
        <f aca="false">J426</f>
        <v>3461538461.53846</v>
      </c>
      <c r="I427" s="25" t="n">
        <f aca="false">H427*N427</f>
        <v>43341346.1538462</v>
      </c>
      <c r="J427" s="25" t="n">
        <f aca="false">H427-E427</f>
        <v>3461538461.53846</v>
      </c>
      <c r="K427" s="25" t="n">
        <f aca="false">D427-I427</f>
        <v>0</v>
      </c>
      <c r="L427" s="25" t="n">
        <f aca="false">G427-J427</f>
        <v>0</v>
      </c>
      <c r="M427" s="25" t="n">
        <f aca="false">F427</f>
        <v>43341346.1538462</v>
      </c>
      <c r="N427" s="48" t="n">
        <v>0.0125208333333333</v>
      </c>
      <c r="O427" s="25" t="n">
        <f aca="false">IF(AND(B427&gt;=DATE(2026,1,1),B427&lt;=Resumen!$C$5),1,0)</f>
        <v>0</v>
      </c>
      <c r="P427" s="25" t="n">
        <f aca="false">IF(AND(B427&gt;Resumen!$C$5,B427&lt;=DATE(2027,7,31)),1,0)</f>
        <v>0</v>
      </c>
    </row>
    <row r="428" customFormat="false" ht="15" hidden="false" customHeight="false" outlineLevel="0" collapsed="false">
      <c r="A428" s="22" t="n">
        <v>172</v>
      </c>
      <c r="B428" s="23" t="n">
        <v>50607</v>
      </c>
      <c r="C428" s="28" t="n">
        <v>3461538461.53846</v>
      </c>
      <c r="D428" s="28" t="n">
        <v>43341346.1538462</v>
      </c>
      <c r="E428" s="28" t="n">
        <v>0</v>
      </c>
      <c r="F428" s="28" t="n">
        <v>43341346.1538462</v>
      </c>
      <c r="G428" s="28" t="n">
        <v>3461538461.53846</v>
      </c>
      <c r="H428" s="25" t="n">
        <f aca="false">J427</f>
        <v>3461538461.53846</v>
      </c>
      <c r="I428" s="25" t="n">
        <f aca="false">H428*N428</f>
        <v>43341346.1538462</v>
      </c>
      <c r="J428" s="25" t="n">
        <f aca="false">H428-E428</f>
        <v>3461538461.53846</v>
      </c>
      <c r="K428" s="25" t="n">
        <f aca="false">D428-I428</f>
        <v>0</v>
      </c>
      <c r="L428" s="25" t="n">
        <f aca="false">G428-J428</f>
        <v>0</v>
      </c>
      <c r="M428" s="25" t="n">
        <f aca="false">F428</f>
        <v>43341346.1538462</v>
      </c>
      <c r="N428" s="48" t="n">
        <v>0.0125208333333333</v>
      </c>
      <c r="O428" s="25" t="n">
        <f aca="false">IF(AND(B428&gt;=DATE(2026,1,1),B428&lt;=Resumen!$C$5),1,0)</f>
        <v>0</v>
      </c>
      <c r="P428" s="25" t="n">
        <f aca="false">IF(AND(B428&gt;Resumen!$C$5,B428&lt;=DATE(2027,7,31)),1,0)</f>
        <v>0</v>
      </c>
    </row>
    <row r="429" customFormat="false" ht="15" hidden="false" customHeight="false" outlineLevel="0" collapsed="false">
      <c r="A429" s="22" t="n">
        <v>173</v>
      </c>
      <c r="B429" s="23" t="n">
        <v>50638</v>
      </c>
      <c r="C429" s="28" t="n">
        <v>3461538461.53846</v>
      </c>
      <c r="D429" s="28" t="n">
        <v>43341346.1538462</v>
      </c>
      <c r="E429" s="28" t="n">
        <v>0</v>
      </c>
      <c r="F429" s="28" t="n">
        <v>43341346.1538462</v>
      </c>
      <c r="G429" s="28" t="n">
        <v>3461538461.53846</v>
      </c>
      <c r="H429" s="25" t="n">
        <f aca="false">J428</f>
        <v>3461538461.53846</v>
      </c>
      <c r="I429" s="25" t="n">
        <f aca="false">H429*N429</f>
        <v>43341346.1538462</v>
      </c>
      <c r="J429" s="25" t="n">
        <f aca="false">H429-E429</f>
        <v>3461538461.53846</v>
      </c>
      <c r="K429" s="25" t="n">
        <f aca="false">D429-I429</f>
        <v>0</v>
      </c>
      <c r="L429" s="25" t="n">
        <f aca="false">G429-J429</f>
        <v>0</v>
      </c>
      <c r="M429" s="25" t="n">
        <f aca="false">F429</f>
        <v>43341346.1538462</v>
      </c>
      <c r="N429" s="48" t="n">
        <v>0.0125208333333333</v>
      </c>
      <c r="O429" s="25" t="n">
        <f aca="false">IF(AND(B429&gt;=DATE(2026,1,1),B429&lt;=Resumen!$C$5),1,0)</f>
        <v>0</v>
      </c>
      <c r="P429" s="25" t="n">
        <f aca="false">IF(AND(B429&gt;Resumen!$C$5,B429&lt;=DATE(2027,7,31)),1,0)</f>
        <v>0</v>
      </c>
    </row>
    <row r="430" customFormat="false" ht="15" hidden="false" customHeight="false" outlineLevel="0" collapsed="false">
      <c r="A430" s="22" t="n">
        <v>174</v>
      </c>
      <c r="B430" s="23" t="n">
        <v>50669</v>
      </c>
      <c r="C430" s="28" t="n">
        <v>3461538461.53846</v>
      </c>
      <c r="D430" s="28" t="n">
        <v>43341346.1538462</v>
      </c>
      <c r="E430" s="28" t="n">
        <v>288461538.461538</v>
      </c>
      <c r="F430" s="28" t="n">
        <v>331802884.615385</v>
      </c>
      <c r="G430" s="28" t="n">
        <v>3173076923.07693</v>
      </c>
      <c r="H430" s="25" t="n">
        <f aca="false">J429</f>
        <v>3461538461.53846</v>
      </c>
      <c r="I430" s="25" t="n">
        <f aca="false">H430*N430</f>
        <v>43341346.1538462</v>
      </c>
      <c r="J430" s="25" t="n">
        <f aca="false">H430-E430</f>
        <v>3173076923.07693</v>
      </c>
      <c r="K430" s="25" t="n">
        <f aca="false">D430-I430</f>
        <v>0</v>
      </c>
      <c r="L430" s="25" t="n">
        <f aca="false">G430-J430</f>
        <v>0</v>
      </c>
      <c r="M430" s="25" t="n">
        <f aca="false">F430</f>
        <v>331802884.615385</v>
      </c>
      <c r="N430" s="48" t="n">
        <v>0.0125208333333333</v>
      </c>
      <c r="O430" s="25" t="n">
        <f aca="false">IF(AND(B430&gt;=DATE(2026,1,1),B430&lt;=Resumen!$C$5),1,0)</f>
        <v>0</v>
      </c>
      <c r="P430" s="25" t="n">
        <f aca="false">IF(AND(B430&gt;Resumen!$C$5,B430&lt;=DATE(2027,7,31)),1,0)</f>
        <v>0</v>
      </c>
    </row>
    <row r="431" customFormat="false" ht="15" hidden="false" customHeight="false" outlineLevel="0" collapsed="false">
      <c r="A431" s="22" t="n">
        <v>175</v>
      </c>
      <c r="B431" s="23" t="n">
        <v>50699</v>
      </c>
      <c r="C431" s="28" t="n">
        <v>3173076923.07693</v>
      </c>
      <c r="D431" s="28" t="n">
        <v>39729567.3076923</v>
      </c>
      <c r="E431" s="28" t="n">
        <v>0</v>
      </c>
      <c r="F431" s="28" t="n">
        <v>39729567.3076923</v>
      </c>
      <c r="G431" s="28" t="n">
        <v>3173076923.07693</v>
      </c>
      <c r="H431" s="25" t="n">
        <f aca="false">J430</f>
        <v>3173076923.07693</v>
      </c>
      <c r="I431" s="25" t="n">
        <f aca="false">H431*N431</f>
        <v>39729567.3076923</v>
      </c>
      <c r="J431" s="25" t="n">
        <f aca="false">H431-E431</f>
        <v>3173076923.07693</v>
      </c>
      <c r="K431" s="25" t="n">
        <f aca="false">D431-I431</f>
        <v>0</v>
      </c>
      <c r="L431" s="25" t="n">
        <f aca="false">G431-J431</f>
        <v>0</v>
      </c>
      <c r="M431" s="25" t="n">
        <f aca="false">F431</f>
        <v>39729567.3076923</v>
      </c>
      <c r="N431" s="48" t="n">
        <v>0.0125208333333333</v>
      </c>
      <c r="O431" s="25" t="n">
        <f aca="false">IF(AND(B431&gt;=DATE(2026,1,1),B431&lt;=Resumen!$C$5),1,0)</f>
        <v>0</v>
      </c>
      <c r="P431" s="25" t="n">
        <f aca="false">IF(AND(B431&gt;Resumen!$C$5,B431&lt;=DATE(2027,7,31)),1,0)</f>
        <v>0</v>
      </c>
    </row>
    <row r="432" customFormat="false" ht="15" hidden="false" customHeight="false" outlineLevel="0" collapsed="false">
      <c r="A432" s="22" t="n">
        <v>176</v>
      </c>
      <c r="B432" s="23" t="n">
        <v>50730</v>
      </c>
      <c r="C432" s="28" t="n">
        <v>3173076923.07693</v>
      </c>
      <c r="D432" s="28" t="n">
        <v>39729567.3076923</v>
      </c>
      <c r="E432" s="28" t="n">
        <v>0</v>
      </c>
      <c r="F432" s="28" t="n">
        <v>39729567.3076923</v>
      </c>
      <c r="G432" s="28" t="n">
        <v>3173076923.07693</v>
      </c>
      <c r="H432" s="25" t="n">
        <f aca="false">J431</f>
        <v>3173076923.07693</v>
      </c>
      <c r="I432" s="25" t="n">
        <f aca="false">H432*N432</f>
        <v>39729567.3076923</v>
      </c>
      <c r="J432" s="25" t="n">
        <f aca="false">H432-E432</f>
        <v>3173076923.07693</v>
      </c>
      <c r="K432" s="25" t="n">
        <f aca="false">D432-I432</f>
        <v>0</v>
      </c>
      <c r="L432" s="25" t="n">
        <f aca="false">G432-J432</f>
        <v>0</v>
      </c>
      <c r="M432" s="25" t="n">
        <f aca="false">F432</f>
        <v>39729567.3076923</v>
      </c>
      <c r="N432" s="48" t="n">
        <v>0.0125208333333333</v>
      </c>
      <c r="O432" s="25" t="n">
        <f aca="false">IF(AND(B432&gt;=DATE(2026,1,1),B432&lt;=Resumen!$C$5),1,0)</f>
        <v>0</v>
      </c>
      <c r="P432" s="25" t="n">
        <f aca="false">IF(AND(B432&gt;Resumen!$C$5,B432&lt;=DATE(2027,7,31)),1,0)</f>
        <v>0</v>
      </c>
    </row>
    <row r="433" customFormat="false" ht="15" hidden="false" customHeight="false" outlineLevel="0" collapsed="false">
      <c r="A433" s="22" t="n">
        <v>177</v>
      </c>
      <c r="B433" s="23" t="n">
        <v>50760</v>
      </c>
      <c r="C433" s="28" t="n">
        <v>3173076923.07693</v>
      </c>
      <c r="D433" s="28" t="n">
        <v>39729567.3076923</v>
      </c>
      <c r="E433" s="28" t="n">
        <v>0</v>
      </c>
      <c r="F433" s="28" t="n">
        <v>39729567.3076923</v>
      </c>
      <c r="G433" s="28" t="n">
        <v>3173076923.07693</v>
      </c>
      <c r="H433" s="25" t="n">
        <f aca="false">J432</f>
        <v>3173076923.07693</v>
      </c>
      <c r="I433" s="25" t="n">
        <f aca="false">H433*N433</f>
        <v>39729567.3076923</v>
      </c>
      <c r="J433" s="25" t="n">
        <f aca="false">H433-E433</f>
        <v>3173076923.07693</v>
      </c>
      <c r="K433" s="25" t="n">
        <f aca="false">D433-I433</f>
        <v>0</v>
      </c>
      <c r="L433" s="25" t="n">
        <f aca="false">G433-J433</f>
        <v>0</v>
      </c>
      <c r="M433" s="25" t="n">
        <f aca="false">F433</f>
        <v>39729567.3076923</v>
      </c>
      <c r="N433" s="48" t="n">
        <v>0.0125208333333333</v>
      </c>
      <c r="O433" s="25" t="n">
        <f aca="false">IF(AND(B433&gt;=DATE(2026,1,1),B433&lt;=Resumen!$C$5),1,0)</f>
        <v>0</v>
      </c>
      <c r="P433" s="25" t="n">
        <f aca="false">IF(AND(B433&gt;Resumen!$C$5,B433&lt;=DATE(2027,7,31)),1,0)</f>
        <v>0</v>
      </c>
    </row>
    <row r="434" customFormat="false" ht="15" hidden="false" customHeight="false" outlineLevel="0" collapsed="false">
      <c r="A434" s="22" t="n">
        <v>178</v>
      </c>
      <c r="B434" s="23" t="n">
        <v>50791</v>
      </c>
      <c r="C434" s="28" t="n">
        <v>3173076923.07693</v>
      </c>
      <c r="D434" s="28" t="n">
        <v>39729567.3076923</v>
      </c>
      <c r="E434" s="28" t="n">
        <v>0</v>
      </c>
      <c r="F434" s="28" t="n">
        <v>39729567.3076923</v>
      </c>
      <c r="G434" s="28" t="n">
        <v>3173076923.07693</v>
      </c>
      <c r="H434" s="25" t="n">
        <f aca="false">J433</f>
        <v>3173076923.07693</v>
      </c>
      <c r="I434" s="25" t="n">
        <f aca="false">H434*N434</f>
        <v>39729567.3076923</v>
      </c>
      <c r="J434" s="25" t="n">
        <f aca="false">H434-E434</f>
        <v>3173076923.07693</v>
      </c>
      <c r="K434" s="25" t="n">
        <f aca="false">D434-I434</f>
        <v>0</v>
      </c>
      <c r="L434" s="25" t="n">
        <f aca="false">G434-J434</f>
        <v>0</v>
      </c>
      <c r="M434" s="25" t="n">
        <f aca="false">F434</f>
        <v>39729567.3076923</v>
      </c>
      <c r="N434" s="48" t="n">
        <v>0.0125208333333333</v>
      </c>
      <c r="O434" s="25" t="n">
        <f aca="false">IF(AND(B434&gt;=DATE(2026,1,1),B434&lt;=Resumen!$C$5),1,0)</f>
        <v>0</v>
      </c>
      <c r="P434" s="25" t="n">
        <f aca="false">IF(AND(B434&gt;Resumen!$C$5,B434&lt;=DATE(2027,7,31)),1,0)</f>
        <v>0</v>
      </c>
    </row>
    <row r="435" customFormat="false" ht="15" hidden="false" customHeight="false" outlineLevel="0" collapsed="false">
      <c r="A435" s="22" t="n">
        <v>179</v>
      </c>
      <c r="B435" s="23" t="n">
        <v>50822</v>
      </c>
      <c r="C435" s="28" t="n">
        <v>3173076923.07693</v>
      </c>
      <c r="D435" s="28" t="n">
        <v>39729567.3076923</v>
      </c>
      <c r="E435" s="28" t="n">
        <v>0</v>
      </c>
      <c r="F435" s="28" t="n">
        <v>39729567.3076923</v>
      </c>
      <c r="G435" s="28" t="n">
        <v>3173076923.07693</v>
      </c>
      <c r="H435" s="25" t="n">
        <f aca="false">J434</f>
        <v>3173076923.07693</v>
      </c>
      <c r="I435" s="25" t="n">
        <f aca="false">H435*N435</f>
        <v>39729567.3076923</v>
      </c>
      <c r="J435" s="25" t="n">
        <f aca="false">H435-E435</f>
        <v>3173076923.07693</v>
      </c>
      <c r="K435" s="25" t="n">
        <f aca="false">D435-I435</f>
        <v>0</v>
      </c>
      <c r="L435" s="25" t="n">
        <f aca="false">G435-J435</f>
        <v>0</v>
      </c>
      <c r="M435" s="25" t="n">
        <f aca="false">F435</f>
        <v>39729567.3076923</v>
      </c>
      <c r="N435" s="48" t="n">
        <v>0.0125208333333333</v>
      </c>
      <c r="O435" s="25" t="n">
        <f aca="false">IF(AND(B435&gt;=DATE(2026,1,1),B435&lt;=Resumen!$C$5),1,0)</f>
        <v>0</v>
      </c>
      <c r="P435" s="25" t="n">
        <f aca="false">IF(AND(B435&gt;Resumen!$C$5,B435&lt;=DATE(2027,7,31)),1,0)</f>
        <v>0</v>
      </c>
    </row>
    <row r="436" customFormat="false" ht="15" hidden="false" customHeight="false" outlineLevel="0" collapsed="false">
      <c r="A436" s="22" t="n">
        <v>180</v>
      </c>
      <c r="B436" s="23" t="n">
        <v>50850</v>
      </c>
      <c r="C436" s="28" t="n">
        <v>3173076923.07693</v>
      </c>
      <c r="D436" s="28" t="n">
        <v>39729567.3076923</v>
      </c>
      <c r="E436" s="28" t="n">
        <v>288461538.461538</v>
      </c>
      <c r="F436" s="28" t="n">
        <v>328191105.769231</v>
      </c>
      <c r="G436" s="28" t="n">
        <v>2884615384.61539</v>
      </c>
      <c r="H436" s="25" t="n">
        <f aca="false">J435</f>
        <v>3173076923.07693</v>
      </c>
      <c r="I436" s="25" t="n">
        <f aca="false">H436*N436</f>
        <v>39729567.3076923</v>
      </c>
      <c r="J436" s="25" t="n">
        <f aca="false">H436-E436</f>
        <v>2884615384.61539</v>
      </c>
      <c r="K436" s="25" t="n">
        <f aca="false">D436-I436</f>
        <v>0</v>
      </c>
      <c r="L436" s="25" t="n">
        <f aca="false">G436-J436</f>
        <v>0</v>
      </c>
      <c r="M436" s="25" t="n">
        <f aca="false">F436</f>
        <v>328191105.769231</v>
      </c>
      <c r="N436" s="48" t="n">
        <v>0.0125208333333333</v>
      </c>
      <c r="O436" s="25" t="n">
        <f aca="false">IF(AND(B436&gt;=DATE(2026,1,1),B436&lt;=Resumen!$C$5),1,0)</f>
        <v>0</v>
      </c>
      <c r="P436" s="25" t="n">
        <f aca="false">IF(AND(B436&gt;Resumen!$C$5,B436&lt;=DATE(2027,7,31)),1,0)</f>
        <v>0</v>
      </c>
    </row>
    <row r="437" customFormat="false" ht="15" hidden="false" customHeight="false" outlineLevel="0" collapsed="false">
      <c r="A437" s="22" t="n">
        <v>181</v>
      </c>
      <c r="B437" s="23" t="n">
        <v>50881</v>
      </c>
      <c r="C437" s="28" t="n">
        <v>2884615384.61539</v>
      </c>
      <c r="D437" s="28" t="n">
        <v>36117788.4615385</v>
      </c>
      <c r="E437" s="28" t="n">
        <v>0</v>
      </c>
      <c r="F437" s="28" t="n">
        <v>36117788.4615385</v>
      </c>
      <c r="G437" s="28" t="n">
        <v>2884615384.61539</v>
      </c>
      <c r="H437" s="25" t="n">
        <f aca="false">J436</f>
        <v>2884615384.61539</v>
      </c>
      <c r="I437" s="25" t="n">
        <f aca="false">H437*N437</f>
        <v>36117788.4615385</v>
      </c>
      <c r="J437" s="25" t="n">
        <f aca="false">H437-E437</f>
        <v>2884615384.61539</v>
      </c>
      <c r="K437" s="25" t="n">
        <f aca="false">D437-I437</f>
        <v>0</v>
      </c>
      <c r="L437" s="25" t="n">
        <f aca="false">G437-J437</f>
        <v>0</v>
      </c>
      <c r="M437" s="25" t="n">
        <f aca="false">F437</f>
        <v>36117788.4615385</v>
      </c>
      <c r="N437" s="48" t="n">
        <v>0.0125208333333333</v>
      </c>
      <c r="O437" s="25" t="n">
        <f aca="false">IF(AND(B437&gt;=DATE(2026,1,1),B437&lt;=Resumen!$C$5),1,0)</f>
        <v>0</v>
      </c>
      <c r="P437" s="25" t="n">
        <f aca="false">IF(AND(B437&gt;Resumen!$C$5,B437&lt;=DATE(2027,7,31)),1,0)</f>
        <v>0</v>
      </c>
    </row>
    <row r="438" customFormat="false" ht="15" hidden="false" customHeight="false" outlineLevel="0" collapsed="false">
      <c r="A438" s="22" t="n">
        <v>182</v>
      </c>
      <c r="B438" s="23" t="n">
        <v>50911</v>
      </c>
      <c r="C438" s="28" t="n">
        <v>2884615384.61539</v>
      </c>
      <c r="D438" s="28" t="n">
        <v>36117788.4615385</v>
      </c>
      <c r="E438" s="28" t="n">
        <v>0</v>
      </c>
      <c r="F438" s="28" t="n">
        <v>36117788.4615385</v>
      </c>
      <c r="G438" s="28" t="n">
        <v>2884615384.61539</v>
      </c>
      <c r="H438" s="25" t="n">
        <f aca="false">J437</f>
        <v>2884615384.61539</v>
      </c>
      <c r="I438" s="25" t="n">
        <f aca="false">H438*N438</f>
        <v>36117788.4615385</v>
      </c>
      <c r="J438" s="25" t="n">
        <f aca="false">H438-E438</f>
        <v>2884615384.61539</v>
      </c>
      <c r="K438" s="25" t="n">
        <f aca="false">D438-I438</f>
        <v>0</v>
      </c>
      <c r="L438" s="25" t="n">
        <f aca="false">G438-J438</f>
        <v>0</v>
      </c>
      <c r="M438" s="25" t="n">
        <f aca="false">F438</f>
        <v>36117788.4615385</v>
      </c>
      <c r="N438" s="48" t="n">
        <v>0.0125208333333333</v>
      </c>
      <c r="O438" s="25" t="n">
        <f aca="false">IF(AND(B438&gt;=DATE(2026,1,1),B438&lt;=Resumen!$C$5),1,0)</f>
        <v>0</v>
      </c>
      <c r="P438" s="25" t="n">
        <f aca="false">IF(AND(B438&gt;Resumen!$C$5,B438&lt;=DATE(2027,7,31)),1,0)</f>
        <v>0</v>
      </c>
    </row>
    <row r="439" customFormat="false" ht="15" hidden="false" customHeight="false" outlineLevel="0" collapsed="false">
      <c r="A439" s="22" t="n">
        <v>183</v>
      </c>
      <c r="B439" s="23" t="n">
        <v>50942</v>
      </c>
      <c r="C439" s="28" t="n">
        <v>2884615384.61539</v>
      </c>
      <c r="D439" s="28" t="n">
        <v>36117788.4615385</v>
      </c>
      <c r="E439" s="28" t="n">
        <v>0</v>
      </c>
      <c r="F439" s="28" t="n">
        <v>36117788.4615385</v>
      </c>
      <c r="G439" s="28" t="n">
        <v>2884615384.61539</v>
      </c>
      <c r="H439" s="25" t="n">
        <f aca="false">J438</f>
        <v>2884615384.61539</v>
      </c>
      <c r="I439" s="25" t="n">
        <f aca="false">H439*N439</f>
        <v>36117788.4615385</v>
      </c>
      <c r="J439" s="25" t="n">
        <f aca="false">H439-E439</f>
        <v>2884615384.61539</v>
      </c>
      <c r="K439" s="25" t="n">
        <f aca="false">D439-I439</f>
        <v>0</v>
      </c>
      <c r="L439" s="25" t="n">
        <f aca="false">G439-J439</f>
        <v>0</v>
      </c>
      <c r="M439" s="25" t="n">
        <f aca="false">F439</f>
        <v>36117788.4615385</v>
      </c>
      <c r="N439" s="48" t="n">
        <v>0.0125208333333333</v>
      </c>
      <c r="O439" s="25" t="n">
        <f aca="false">IF(AND(B439&gt;=DATE(2026,1,1),B439&lt;=Resumen!$C$5),1,0)</f>
        <v>0</v>
      </c>
      <c r="P439" s="25" t="n">
        <f aca="false">IF(AND(B439&gt;Resumen!$C$5,B439&lt;=DATE(2027,7,31)),1,0)</f>
        <v>0</v>
      </c>
    </row>
    <row r="440" customFormat="false" ht="15" hidden="false" customHeight="false" outlineLevel="0" collapsed="false">
      <c r="A440" s="22" t="n">
        <v>184</v>
      </c>
      <c r="B440" s="23" t="n">
        <v>50972</v>
      </c>
      <c r="C440" s="28" t="n">
        <v>2884615384.61539</v>
      </c>
      <c r="D440" s="28" t="n">
        <v>36117788.4615385</v>
      </c>
      <c r="E440" s="28" t="n">
        <v>0</v>
      </c>
      <c r="F440" s="28" t="n">
        <v>36117788.4615385</v>
      </c>
      <c r="G440" s="28" t="n">
        <v>2884615384.61539</v>
      </c>
      <c r="H440" s="25" t="n">
        <f aca="false">J439</f>
        <v>2884615384.61539</v>
      </c>
      <c r="I440" s="25" t="n">
        <f aca="false">H440*N440</f>
        <v>36117788.4615385</v>
      </c>
      <c r="J440" s="25" t="n">
        <f aca="false">H440-E440</f>
        <v>2884615384.61539</v>
      </c>
      <c r="K440" s="25" t="n">
        <f aca="false">D440-I440</f>
        <v>0</v>
      </c>
      <c r="L440" s="25" t="n">
        <f aca="false">G440-J440</f>
        <v>0</v>
      </c>
      <c r="M440" s="25" t="n">
        <f aca="false">F440</f>
        <v>36117788.4615385</v>
      </c>
      <c r="N440" s="48" t="n">
        <v>0.0125208333333333</v>
      </c>
      <c r="O440" s="25" t="n">
        <f aca="false">IF(AND(B440&gt;=DATE(2026,1,1),B440&lt;=Resumen!$C$5),1,0)</f>
        <v>0</v>
      </c>
      <c r="P440" s="25" t="n">
        <f aca="false">IF(AND(B440&gt;Resumen!$C$5,B440&lt;=DATE(2027,7,31)),1,0)</f>
        <v>0</v>
      </c>
    </row>
    <row r="441" customFormat="false" ht="15" hidden="false" customHeight="false" outlineLevel="0" collapsed="false">
      <c r="A441" s="22" t="n">
        <v>185</v>
      </c>
      <c r="B441" s="23" t="n">
        <v>51003</v>
      </c>
      <c r="C441" s="28" t="n">
        <v>2884615384.61539</v>
      </c>
      <c r="D441" s="28" t="n">
        <v>36117788.4615385</v>
      </c>
      <c r="E441" s="28" t="n">
        <v>0</v>
      </c>
      <c r="F441" s="28" t="n">
        <v>36117788.4615385</v>
      </c>
      <c r="G441" s="28" t="n">
        <v>2884615384.61539</v>
      </c>
      <c r="H441" s="25" t="n">
        <f aca="false">J440</f>
        <v>2884615384.61539</v>
      </c>
      <c r="I441" s="25" t="n">
        <f aca="false">H441*N441</f>
        <v>36117788.4615385</v>
      </c>
      <c r="J441" s="25" t="n">
        <f aca="false">H441-E441</f>
        <v>2884615384.61539</v>
      </c>
      <c r="K441" s="25" t="n">
        <f aca="false">D441-I441</f>
        <v>0</v>
      </c>
      <c r="L441" s="25" t="n">
        <f aca="false">G441-J441</f>
        <v>0</v>
      </c>
      <c r="M441" s="25" t="n">
        <f aca="false">F441</f>
        <v>36117788.4615385</v>
      </c>
      <c r="N441" s="48" t="n">
        <v>0.0125208333333333</v>
      </c>
      <c r="O441" s="25" t="n">
        <f aca="false">IF(AND(B441&gt;=DATE(2026,1,1),B441&lt;=Resumen!$C$5),1,0)</f>
        <v>0</v>
      </c>
      <c r="P441" s="25" t="n">
        <f aca="false">IF(AND(B441&gt;Resumen!$C$5,B441&lt;=DATE(2027,7,31)),1,0)</f>
        <v>0</v>
      </c>
    </row>
    <row r="442" customFormat="false" ht="15" hidden="false" customHeight="false" outlineLevel="0" collapsed="false">
      <c r="A442" s="22" t="n">
        <v>186</v>
      </c>
      <c r="B442" s="23" t="n">
        <v>51034</v>
      </c>
      <c r="C442" s="28" t="n">
        <v>2884615384.61539</v>
      </c>
      <c r="D442" s="28" t="n">
        <v>36117788.4615385</v>
      </c>
      <c r="E442" s="28" t="n">
        <v>288461538.461538</v>
      </c>
      <c r="F442" s="28" t="n">
        <v>324579326.923077</v>
      </c>
      <c r="G442" s="28" t="n">
        <v>2596153846.15385</v>
      </c>
      <c r="H442" s="25" t="n">
        <f aca="false">J441</f>
        <v>2884615384.61539</v>
      </c>
      <c r="I442" s="25" t="n">
        <f aca="false">H442*N442</f>
        <v>36117788.4615385</v>
      </c>
      <c r="J442" s="25" t="n">
        <f aca="false">H442-E442</f>
        <v>2596153846.15385</v>
      </c>
      <c r="K442" s="25" t="n">
        <f aca="false">D442-I442</f>
        <v>0</v>
      </c>
      <c r="L442" s="25" t="n">
        <f aca="false">G442-J442</f>
        <v>0</v>
      </c>
      <c r="M442" s="25" t="n">
        <f aca="false">F442</f>
        <v>324579326.923077</v>
      </c>
      <c r="N442" s="48" t="n">
        <v>0.0125208333333333</v>
      </c>
      <c r="O442" s="25" t="n">
        <f aca="false">IF(AND(B442&gt;=DATE(2026,1,1),B442&lt;=Resumen!$C$5),1,0)</f>
        <v>0</v>
      </c>
      <c r="P442" s="25" t="n">
        <f aca="false">IF(AND(B442&gt;Resumen!$C$5,B442&lt;=DATE(2027,7,31)),1,0)</f>
        <v>0</v>
      </c>
    </row>
    <row r="443" customFormat="false" ht="15" hidden="false" customHeight="false" outlineLevel="0" collapsed="false">
      <c r="A443" s="22" t="n">
        <v>187</v>
      </c>
      <c r="B443" s="23" t="n">
        <v>51064</v>
      </c>
      <c r="C443" s="28" t="n">
        <v>2596153846.15385</v>
      </c>
      <c r="D443" s="28" t="n">
        <v>32506009.6153847</v>
      </c>
      <c r="E443" s="28" t="n">
        <v>0</v>
      </c>
      <c r="F443" s="28" t="n">
        <v>32506009.6153847</v>
      </c>
      <c r="G443" s="28" t="n">
        <v>2596153846.15385</v>
      </c>
      <c r="H443" s="25" t="n">
        <f aca="false">J442</f>
        <v>2596153846.15385</v>
      </c>
      <c r="I443" s="25" t="n">
        <f aca="false">H443*N443</f>
        <v>32506009.6153846</v>
      </c>
      <c r="J443" s="25" t="n">
        <f aca="false">H443-E443</f>
        <v>2596153846.15385</v>
      </c>
      <c r="K443" s="25" t="n">
        <f aca="false">D443-I443</f>
        <v>0</v>
      </c>
      <c r="L443" s="25" t="n">
        <f aca="false">G443-J443</f>
        <v>0</v>
      </c>
      <c r="M443" s="25" t="n">
        <f aca="false">F443</f>
        <v>32506009.6153847</v>
      </c>
      <c r="N443" s="48" t="n">
        <v>0.0125208333333333</v>
      </c>
      <c r="O443" s="25" t="n">
        <f aca="false">IF(AND(B443&gt;=DATE(2026,1,1),B443&lt;=Resumen!$C$5),1,0)</f>
        <v>0</v>
      </c>
      <c r="P443" s="25" t="n">
        <f aca="false">IF(AND(B443&gt;Resumen!$C$5,B443&lt;=DATE(2027,7,31)),1,0)</f>
        <v>0</v>
      </c>
    </row>
    <row r="444" customFormat="false" ht="15" hidden="false" customHeight="false" outlineLevel="0" collapsed="false">
      <c r="A444" s="22" t="n">
        <v>188</v>
      </c>
      <c r="B444" s="23" t="n">
        <v>51095</v>
      </c>
      <c r="C444" s="28" t="n">
        <v>2596153846.15385</v>
      </c>
      <c r="D444" s="28" t="n">
        <v>32506009.6153847</v>
      </c>
      <c r="E444" s="28" t="n">
        <v>0</v>
      </c>
      <c r="F444" s="28" t="n">
        <v>32506009.6153847</v>
      </c>
      <c r="G444" s="28" t="n">
        <v>2596153846.15385</v>
      </c>
      <c r="H444" s="25" t="n">
        <f aca="false">J443</f>
        <v>2596153846.15385</v>
      </c>
      <c r="I444" s="25" t="n">
        <f aca="false">H444*N444</f>
        <v>32506009.6153846</v>
      </c>
      <c r="J444" s="25" t="n">
        <f aca="false">H444-E444</f>
        <v>2596153846.15385</v>
      </c>
      <c r="K444" s="25" t="n">
        <f aca="false">D444-I444</f>
        <v>0</v>
      </c>
      <c r="L444" s="25" t="n">
        <f aca="false">G444-J444</f>
        <v>0</v>
      </c>
      <c r="M444" s="25" t="n">
        <f aca="false">F444</f>
        <v>32506009.6153847</v>
      </c>
      <c r="N444" s="48" t="n">
        <v>0.0125208333333333</v>
      </c>
      <c r="O444" s="25" t="n">
        <f aca="false">IF(AND(B444&gt;=DATE(2026,1,1),B444&lt;=Resumen!$C$5),1,0)</f>
        <v>0</v>
      </c>
      <c r="P444" s="25" t="n">
        <f aca="false">IF(AND(B444&gt;Resumen!$C$5,B444&lt;=DATE(2027,7,31)),1,0)</f>
        <v>0</v>
      </c>
    </row>
    <row r="445" customFormat="false" ht="15" hidden="false" customHeight="false" outlineLevel="0" collapsed="false">
      <c r="A445" s="22" t="n">
        <v>189</v>
      </c>
      <c r="B445" s="23" t="n">
        <v>51125</v>
      </c>
      <c r="C445" s="28" t="n">
        <v>2596153846.15385</v>
      </c>
      <c r="D445" s="28" t="n">
        <v>32506009.6153847</v>
      </c>
      <c r="E445" s="28" t="n">
        <v>0</v>
      </c>
      <c r="F445" s="28" t="n">
        <v>32506009.6153847</v>
      </c>
      <c r="G445" s="28" t="n">
        <v>2596153846.15385</v>
      </c>
      <c r="H445" s="25" t="n">
        <f aca="false">J444</f>
        <v>2596153846.15385</v>
      </c>
      <c r="I445" s="25" t="n">
        <f aca="false">H445*N445</f>
        <v>32506009.6153846</v>
      </c>
      <c r="J445" s="25" t="n">
        <f aca="false">H445-E445</f>
        <v>2596153846.15385</v>
      </c>
      <c r="K445" s="25" t="n">
        <f aca="false">D445-I445</f>
        <v>0</v>
      </c>
      <c r="L445" s="25" t="n">
        <f aca="false">G445-J445</f>
        <v>0</v>
      </c>
      <c r="M445" s="25" t="n">
        <f aca="false">F445</f>
        <v>32506009.6153847</v>
      </c>
      <c r="N445" s="48" t="n">
        <v>0.0125208333333333</v>
      </c>
      <c r="O445" s="25" t="n">
        <f aca="false">IF(AND(B445&gt;=DATE(2026,1,1),B445&lt;=Resumen!$C$5),1,0)</f>
        <v>0</v>
      </c>
      <c r="P445" s="25" t="n">
        <f aca="false">IF(AND(B445&gt;Resumen!$C$5,B445&lt;=DATE(2027,7,31)),1,0)</f>
        <v>0</v>
      </c>
    </row>
    <row r="446" customFormat="false" ht="15" hidden="false" customHeight="false" outlineLevel="0" collapsed="false">
      <c r="A446" s="22" t="n">
        <v>190</v>
      </c>
      <c r="B446" s="23" t="n">
        <v>51156</v>
      </c>
      <c r="C446" s="28" t="n">
        <v>2596153846.15385</v>
      </c>
      <c r="D446" s="28" t="n">
        <v>32506009.6153847</v>
      </c>
      <c r="E446" s="28" t="n">
        <v>0</v>
      </c>
      <c r="F446" s="28" t="n">
        <v>32506009.6153847</v>
      </c>
      <c r="G446" s="28" t="n">
        <v>2596153846.15385</v>
      </c>
      <c r="H446" s="25" t="n">
        <f aca="false">J445</f>
        <v>2596153846.15385</v>
      </c>
      <c r="I446" s="25" t="n">
        <f aca="false">H446*N446</f>
        <v>32506009.6153846</v>
      </c>
      <c r="J446" s="25" t="n">
        <f aca="false">H446-E446</f>
        <v>2596153846.15385</v>
      </c>
      <c r="K446" s="25" t="n">
        <f aca="false">D446-I446</f>
        <v>0</v>
      </c>
      <c r="L446" s="25" t="n">
        <f aca="false">G446-J446</f>
        <v>0</v>
      </c>
      <c r="M446" s="25" t="n">
        <f aca="false">F446</f>
        <v>32506009.6153847</v>
      </c>
      <c r="N446" s="48" t="n">
        <v>0.0125208333333333</v>
      </c>
      <c r="O446" s="25" t="n">
        <f aca="false">IF(AND(B446&gt;=DATE(2026,1,1),B446&lt;=Resumen!$C$5),1,0)</f>
        <v>0</v>
      </c>
      <c r="P446" s="25" t="n">
        <f aca="false">IF(AND(B446&gt;Resumen!$C$5,B446&lt;=DATE(2027,7,31)),1,0)</f>
        <v>0</v>
      </c>
    </row>
    <row r="447" customFormat="false" ht="15" hidden="false" customHeight="false" outlineLevel="0" collapsed="false">
      <c r="A447" s="22" t="n">
        <v>191</v>
      </c>
      <c r="B447" s="23" t="n">
        <v>51187</v>
      </c>
      <c r="C447" s="28" t="n">
        <v>2596153846.15385</v>
      </c>
      <c r="D447" s="28" t="n">
        <v>32506009.6153847</v>
      </c>
      <c r="E447" s="28" t="n">
        <v>0</v>
      </c>
      <c r="F447" s="28" t="n">
        <v>32506009.6153847</v>
      </c>
      <c r="G447" s="28" t="n">
        <v>2596153846.15385</v>
      </c>
      <c r="H447" s="25" t="n">
        <f aca="false">J446</f>
        <v>2596153846.15385</v>
      </c>
      <c r="I447" s="25" t="n">
        <f aca="false">H447*N447</f>
        <v>32506009.6153846</v>
      </c>
      <c r="J447" s="25" t="n">
        <f aca="false">H447-E447</f>
        <v>2596153846.15385</v>
      </c>
      <c r="K447" s="25" t="n">
        <f aca="false">D447-I447</f>
        <v>0</v>
      </c>
      <c r="L447" s="25" t="n">
        <f aca="false">G447-J447</f>
        <v>0</v>
      </c>
      <c r="M447" s="25" t="n">
        <f aca="false">F447</f>
        <v>32506009.6153847</v>
      </c>
      <c r="N447" s="48" t="n">
        <v>0.0125208333333333</v>
      </c>
      <c r="O447" s="25" t="n">
        <f aca="false">IF(AND(B447&gt;=DATE(2026,1,1),B447&lt;=Resumen!$C$5),1,0)</f>
        <v>0</v>
      </c>
      <c r="P447" s="25" t="n">
        <f aca="false">IF(AND(B447&gt;Resumen!$C$5,B447&lt;=DATE(2027,7,31)),1,0)</f>
        <v>0</v>
      </c>
    </row>
    <row r="448" customFormat="false" ht="15" hidden="false" customHeight="false" outlineLevel="0" collapsed="false">
      <c r="A448" s="22" t="n">
        <v>192</v>
      </c>
      <c r="B448" s="23" t="n">
        <v>51216</v>
      </c>
      <c r="C448" s="28" t="n">
        <v>2596153846.15385</v>
      </c>
      <c r="D448" s="28" t="n">
        <v>32506009.6153847</v>
      </c>
      <c r="E448" s="28" t="n">
        <v>288461538.461538</v>
      </c>
      <c r="F448" s="28" t="n">
        <v>320967548.076923</v>
      </c>
      <c r="G448" s="28" t="n">
        <v>2307692307.69231</v>
      </c>
      <c r="H448" s="25" t="n">
        <f aca="false">J447</f>
        <v>2596153846.15385</v>
      </c>
      <c r="I448" s="25" t="n">
        <f aca="false">H448*N448</f>
        <v>32506009.6153846</v>
      </c>
      <c r="J448" s="25" t="n">
        <f aca="false">H448-E448</f>
        <v>2307692307.69231</v>
      </c>
      <c r="K448" s="25" t="n">
        <f aca="false">D448-I448</f>
        <v>0</v>
      </c>
      <c r="L448" s="25" t="n">
        <f aca="false">G448-J448</f>
        <v>0</v>
      </c>
      <c r="M448" s="25" t="n">
        <f aca="false">F448</f>
        <v>320967548.076923</v>
      </c>
      <c r="N448" s="48" t="n">
        <v>0.0125208333333333</v>
      </c>
      <c r="O448" s="25" t="n">
        <f aca="false">IF(AND(B448&gt;=DATE(2026,1,1),B448&lt;=Resumen!$C$5),1,0)</f>
        <v>0</v>
      </c>
      <c r="P448" s="25" t="n">
        <f aca="false">IF(AND(B448&gt;Resumen!$C$5,B448&lt;=DATE(2027,7,31)),1,0)</f>
        <v>0</v>
      </c>
    </row>
    <row r="449" customFormat="false" ht="15" hidden="false" customHeight="false" outlineLevel="0" collapsed="false">
      <c r="A449" s="22" t="n">
        <v>193</v>
      </c>
      <c r="B449" s="23" t="n">
        <v>51247</v>
      </c>
      <c r="C449" s="28" t="n">
        <v>2307692307.69231</v>
      </c>
      <c r="D449" s="28" t="n">
        <v>28894230.7692308</v>
      </c>
      <c r="E449" s="28" t="n">
        <v>0</v>
      </c>
      <c r="F449" s="28" t="n">
        <v>28894230.7692308</v>
      </c>
      <c r="G449" s="28" t="n">
        <v>2307692307.69231</v>
      </c>
      <c r="H449" s="25" t="n">
        <f aca="false">J448</f>
        <v>2307692307.69231</v>
      </c>
      <c r="I449" s="25" t="n">
        <f aca="false">H449*N449</f>
        <v>28894230.7692308</v>
      </c>
      <c r="J449" s="25" t="n">
        <f aca="false">H449-E449</f>
        <v>2307692307.69231</v>
      </c>
      <c r="K449" s="25" t="n">
        <f aca="false">D449-I449</f>
        <v>0</v>
      </c>
      <c r="L449" s="25" t="n">
        <f aca="false">G449-J449</f>
        <v>0</v>
      </c>
      <c r="M449" s="25" t="n">
        <f aca="false">F449</f>
        <v>28894230.7692308</v>
      </c>
      <c r="N449" s="48" t="n">
        <v>0.0125208333333333</v>
      </c>
      <c r="O449" s="25" t="n">
        <f aca="false">IF(AND(B449&gt;=DATE(2026,1,1),B449&lt;=Resumen!$C$5),1,0)</f>
        <v>0</v>
      </c>
      <c r="P449" s="25" t="n">
        <f aca="false">IF(AND(B449&gt;Resumen!$C$5,B449&lt;=DATE(2027,7,31)),1,0)</f>
        <v>0</v>
      </c>
    </row>
    <row r="450" customFormat="false" ht="15" hidden="false" customHeight="false" outlineLevel="0" collapsed="false">
      <c r="A450" s="22" t="n">
        <v>194</v>
      </c>
      <c r="B450" s="23" t="n">
        <v>51277</v>
      </c>
      <c r="C450" s="28" t="n">
        <v>2307692307.69231</v>
      </c>
      <c r="D450" s="28" t="n">
        <v>28894230.7692308</v>
      </c>
      <c r="E450" s="28" t="n">
        <v>0</v>
      </c>
      <c r="F450" s="28" t="n">
        <v>28894230.7692308</v>
      </c>
      <c r="G450" s="28" t="n">
        <v>2307692307.69231</v>
      </c>
      <c r="H450" s="25" t="n">
        <f aca="false">J449</f>
        <v>2307692307.69231</v>
      </c>
      <c r="I450" s="25" t="n">
        <f aca="false">H450*N450</f>
        <v>28894230.7692308</v>
      </c>
      <c r="J450" s="25" t="n">
        <f aca="false">H450-E450</f>
        <v>2307692307.69231</v>
      </c>
      <c r="K450" s="25" t="n">
        <f aca="false">D450-I450</f>
        <v>0</v>
      </c>
      <c r="L450" s="25" t="n">
        <f aca="false">G450-J450</f>
        <v>0</v>
      </c>
      <c r="M450" s="25" t="n">
        <f aca="false">F450</f>
        <v>28894230.7692308</v>
      </c>
      <c r="N450" s="48" t="n">
        <v>0.0125208333333333</v>
      </c>
      <c r="O450" s="25" t="n">
        <f aca="false">IF(AND(B450&gt;=DATE(2026,1,1),B450&lt;=Resumen!$C$5),1,0)</f>
        <v>0</v>
      </c>
      <c r="P450" s="25" t="n">
        <f aca="false">IF(AND(B450&gt;Resumen!$C$5,B450&lt;=DATE(2027,7,31)),1,0)</f>
        <v>0</v>
      </c>
    </row>
    <row r="451" customFormat="false" ht="15" hidden="false" customHeight="false" outlineLevel="0" collapsed="false">
      <c r="A451" s="22" t="n">
        <v>195</v>
      </c>
      <c r="B451" s="23" t="n">
        <v>51308</v>
      </c>
      <c r="C451" s="28" t="n">
        <v>2307692307.69231</v>
      </c>
      <c r="D451" s="28" t="n">
        <v>28894230.7692308</v>
      </c>
      <c r="E451" s="28" t="n">
        <v>0</v>
      </c>
      <c r="F451" s="28" t="n">
        <v>28894230.7692308</v>
      </c>
      <c r="G451" s="28" t="n">
        <v>2307692307.69231</v>
      </c>
      <c r="H451" s="25" t="n">
        <f aca="false">J450</f>
        <v>2307692307.69231</v>
      </c>
      <c r="I451" s="25" t="n">
        <f aca="false">H451*N451</f>
        <v>28894230.7692308</v>
      </c>
      <c r="J451" s="25" t="n">
        <f aca="false">H451-E451</f>
        <v>2307692307.69231</v>
      </c>
      <c r="K451" s="25" t="n">
        <f aca="false">D451-I451</f>
        <v>0</v>
      </c>
      <c r="L451" s="25" t="n">
        <f aca="false">G451-J451</f>
        <v>0</v>
      </c>
      <c r="M451" s="25" t="n">
        <f aca="false">F451</f>
        <v>28894230.7692308</v>
      </c>
      <c r="N451" s="48" t="n">
        <v>0.0125208333333333</v>
      </c>
      <c r="O451" s="25" t="n">
        <f aca="false">IF(AND(B451&gt;=DATE(2026,1,1),B451&lt;=Resumen!$C$5),1,0)</f>
        <v>0</v>
      </c>
      <c r="P451" s="25" t="n">
        <f aca="false">IF(AND(B451&gt;Resumen!$C$5,B451&lt;=DATE(2027,7,31)),1,0)</f>
        <v>0</v>
      </c>
    </row>
    <row r="452" customFormat="false" ht="15" hidden="false" customHeight="false" outlineLevel="0" collapsed="false">
      <c r="A452" s="22" t="n">
        <v>196</v>
      </c>
      <c r="B452" s="23" t="n">
        <v>51338</v>
      </c>
      <c r="C452" s="28" t="n">
        <v>2307692307.69231</v>
      </c>
      <c r="D452" s="28" t="n">
        <v>28894230.7692308</v>
      </c>
      <c r="E452" s="28" t="n">
        <v>0</v>
      </c>
      <c r="F452" s="28" t="n">
        <v>28894230.7692308</v>
      </c>
      <c r="G452" s="28" t="n">
        <v>2307692307.69231</v>
      </c>
      <c r="H452" s="25" t="n">
        <f aca="false">J451</f>
        <v>2307692307.69231</v>
      </c>
      <c r="I452" s="25" t="n">
        <f aca="false">H452*N452</f>
        <v>28894230.7692308</v>
      </c>
      <c r="J452" s="25" t="n">
        <f aca="false">H452-E452</f>
        <v>2307692307.69231</v>
      </c>
      <c r="K452" s="25" t="n">
        <f aca="false">D452-I452</f>
        <v>0</v>
      </c>
      <c r="L452" s="25" t="n">
        <f aca="false">G452-J452</f>
        <v>0</v>
      </c>
      <c r="M452" s="25" t="n">
        <f aca="false">F452</f>
        <v>28894230.7692308</v>
      </c>
      <c r="N452" s="48" t="n">
        <v>0.0125208333333333</v>
      </c>
      <c r="O452" s="25" t="n">
        <f aca="false">IF(AND(B452&gt;=DATE(2026,1,1),B452&lt;=Resumen!$C$5),1,0)</f>
        <v>0</v>
      </c>
      <c r="P452" s="25" t="n">
        <f aca="false">IF(AND(B452&gt;Resumen!$C$5,B452&lt;=DATE(2027,7,31)),1,0)</f>
        <v>0</v>
      </c>
    </row>
    <row r="453" customFormat="false" ht="15" hidden="false" customHeight="false" outlineLevel="0" collapsed="false">
      <c r="A453" s="22" t="n">
        <v>197</v>
      </c>
      <c r="B453" s="23" t="n">
        <v>51369</v>
      </c>
      <c r="C453" s="28" t="n">
        <v>2307692307.69231</v>
      </c>
      <c r="D453" s="28" t="n">
        <v>28894230.7692308</v>
      </c>
      <c r="E453" s="28" t="n">
        <v>0</v>
      </c>
      <c r="F453" s="28" t="n">
        <v>28894230.7692308</v>
      </c>
      <c r="G453" s="28" t="n">
        <v>2307692307.69231</v>
      </c>
      <c r="H453" s="25" t="n">
        <f aca="false">J452</f>
        <v>2307692307.69231</v>
      </c>
      <c r="I453" s="25" t="n">
        <f aca="false">H453*N453</f>
        <v>28894230.7692308</v>
      </c>
      <c r="J453" s="25" t="n">
        <f aca="false">H453-E453</f>
        <v>2307692307.69231</v>
      </c>
      <c r="K453" s="25" t="n">
        <f aca="false">D453-I453</f>
        <v>0</v>
      </c>
      <c r="L453" s="25" t="n">
        <f aca="false">G453-J453</f>
        <v>0</v>
      </c>
      <c r="M453" s="25" t="n">
        <f aca="false">F453</f>
        <v>28894230.7692308</v>
      </c>
      <c r="N453" s="48" t="n">
        <v>0.0125208333333333</v>
      </c>
      <c r="O453" s="25" t="n">
        <f aca="false">IF(AND(B453&gt;=DATE(2026,1,1),B453&lt;=Resumen!$C$5),1,0)</f>
        <v>0</v>
      </c>
      <c r="P453" s="25" t="n">
        <f aca="false">IF(AND(B453&gt;Resumen!$C$5,B453&lt;=DATE(2027,7,31)),1,0)</f>
        <v>0</v>
      </c>
    </row>
    <row r="454" customFormat="false" ht="15" hidden="false" customHeight="false" outlineLevel="0" collapsed="false">
      <c r="A454" s="22" t="n">
        <v>198</v>
      </c>
      <c r="B454" s="23" t="n">
        <v>51400</v>
      </c>
      <c r="C454" s="28" t="n">
        <v>2307692307.69231</v>
      </c>
      <c r="D454" s="28" t="n">
        <v>28894230.7692308</v>
      </c>
      <c r="E454" s="28" t="n">
        <v>288461538.461538</v>
      </c>
      <c r="F454" s="28" t="n">
        <v>317355769.230769</v>
      </c>
      <c r="G454" s="28" t="n">
        <v>2019230769.23077</v>
      </c>
      <c r="H454" s="25" t="n">
        <f aca="false">J453</f>
        <v>2307692307.69231</v>
      </c>
      <c r="I454" s="25" t="n">
        <f aca="false">H454*N454</f>
        <v>28894230.7692308</v>
      </c>
      <c r="J454" s="25" t="n">
        <f aca="false">H454-E454</f>
        <v>2019230769.23077</v>
      </c>
      <c r="K454" s="25" t="n">
        <f aca="false">D454-I454</f>
        <v>0</v>
      </c>
      <c r="L454" s="25" t="n">
        <f aca="false">G454-J454</f>
        <v>0</v>
      </c>
      <c r="M454" s="25" t="n">
        <f aca="false">F454</f>
        <v>317355769.230769</v>
      </c>
      <c r="N454" s="48" t="n">
        <v>0.0125208333333333</v>
      </c>
      <c r="O454" s="25" t="n">
        <f aca="false">IF(AND(B454&gt;=DATE(2026,1,1),B454&lt;=Resumen!$C$5),1,0)</f>
        <v>0</v>
      </c>
      <c r="P454" s="25" t="n">
        <f aca="false">IF(AND(B454&gt;Resumen!$C$5,B454&lt;=DATE(2027,7,31)),1,0)</f>
        <v>0</v>
      </c>
    </row>
    <row r="455" customFormat="false" ht="15" hidden="false" customHeight="false" outlineLevel="0" collapsed="false">
      <c r="A455" s="22" t="n">
        <v>199</v>
      </c>
      <c r="B455" s="23" t="n">
        <v>51430</v>
      </c>
      <c r="C455" s="28" t="n">
        <v>2019230769.23077</v>
      </c>
      <c r="D455" s="28" t="n">
        <v>25282451.923077</v>
      </c>
      <c r="E455" s="28" t="n">
        <v>0</v>
      </c>
      <c r="F455" s="28" t="n">
        <v>25282451.923077</v>
      </c>
      <c r="G455" s="28" t="n">
        <v>2019230769.23077</v>
      </c>
      <c r="H455" s="25" t="n">
        <f aca="false">J454</f>
        <v>2019230769.23077</v>
      </c>
      <c r="I455" s="25" t="n">
        <f aca="false">H455*N455</f>
        <v>25282451.923077</v>
      </c>
      <c r="J455" s="25" t="n">
        <f aca="false">H455-E455</f>
        <v>2019230769.23077</v>
      </c>
      <c r="K455" s="25" t="n">
        <f aca="false">D455-I455</f>
        <v>0</v>
      </c>
      <c r="L455" s="25" t="n">
        <f aca="false">G455-J455</f>
        <v>0</v>
      </c>
      <c r="M455" s="25" t="n">
        <f aca="false">F455</f>
        <v>25282451.923077</v>
      </c>
      <c r="N455" s="48" t="n">
        <v>0.0125208333333333</v>
      </c>
      <c r="O455" s="25" t="n">
        <f aca="false">IF(AND(B455&gt;=DATE(2026,1,1),B455&lt;=Resumen!$C$5),1,0)</f>
        <v>0</v>
      </c>
      <c r="P455" s="25" t="n">
        <f aca="false">IF(AND(B455&gt;Resumen!$C$5,B455&lt;=DATE(2027,7,31)),1,0)</f>
        <v>0</v>
      </c>
    </row>
    <row r="456" customFormat="false" ht="15" hidden="false" customHeight="false" outlineLevel="0" collapsed="false">
      <c r="A456" s="22" t="n">
        <v>200</v>
      </c>
      <c r="B456" s="23" t="n">
        <v>51461</v>
      </c>
      <c r="C456" s="28" t="n">
        <v>2019230769.23077</v>
      </c>
      <c r="D456" s="28" t="n">
        <v>25282451.923077</v>
      </c>
      <c r="E456" s="28" t="n">
        <v>0</v>
      </c>
      <c r="F456" s="28" t="n">
        <v>25282451.923077</v>
      </c>
      <c r="G456" s="28" t="n">
        <v>2019230769.23077</v>
      </c>
      <c r="H456" s="25" t="n">
        <f aca="false">J455</f>
        <v>2019230769.23077</v>
      </c>
      <c r="I456" s="25" t="n">
        <f aca="false">H456*N456</f>
        <v>25282451.923077</v>
      </c>
      <c r="J456" s="25" t="n">
        <f aca="false">H456-E456</f>
        <v>2019230769.23077</v>
      </c>
      <c r="K456" s="25" t="n">
        <f aca="false">D456-I456</f>
        <v>0</v>
      </c>
      <c r="L456" s="25" t="n">
        <f aca="false">G456-J456</f>
        <v>0</v>
      </c>
      <c r="M456" s="25" t="n">
        <f aca="false">F456</f>
        <v>25282451.923077</v>
      </c>
      <c r="N456" s="48" t="n">
        <v>0.0125208333333333</v>
      </c>
      <c r="O456" s="25" t="n">
        <f aca="false">IF(AND(B456&gt;=DATE(2026,1,1),B456&lt;=Resumen!$C$5),1,0)</f>
        <v>0</v>
      </c>
      <c r="P456" s="25" t="n">
        <f aca="false">IF(AND(B456&gt;Resumen!$C$5,B456&lt;=DATE(2027,7,31)),1,0)</f>
        <v>0</v>
      </c>
    </row>
    <row r="457" customFormat="false" ht="15" hidden="false" customHeight="false" outlineLevel="0" collapsed="false">
      <c r="A457" s="22" t="n">
        <v>201</v>
      </c>
      <c r="B457" s="23" t="n">
        <v>51491</v>
      </c>
      <c r="C457" s="28" t="n">
        <v>2019230769.23077</v>
      </c>
      <c r="D457" s="28" t="n">
        <v>25282451.923077</v>
      </c>
      <c r="E457" s="28" t="n">
        <v>0</v>
      </c>
      <c r="F457" s="28" t="n">
        <v>25282451.923077</v>
      </c>
      <c r="G457" s="28" t="n">
        <v>2019230769.23077</v>
      </c>
      <c r="H457" s="25" t="n">
        <f aca="false">J456</f>
        <v>2019230769.23077</v>
      </c>
      <c r="I457" s="25" t="n">
        <f aca="false">H457*N457</f>
        <v>25282451.923077</v>
      </c>
      <c r="J457" s="25" t="n">
        <f aca="false">H457-E457</f>
        <v>2019230769.23077</v>
      </c>
      <c r="K457" s="25" t="n">
        <f aca="false">D457-I457</f>
        <v>0</v>
      </c>
      <c r="L457" s="25" t="n">
        <f aca="false">G457-J457</f>
        <v>0</v>
      </c>
      <c r="M457" s="25" t="n">
        <f aca="false">F457</f>
        <v>25282451.923077</v>
      </c>
      <c r="N457" s="48" t="n">
        <v>0.0125208333333333</v>
      </c>
      <c r="O457" s="25" t="n">
        <f aca="false">IF(AND(B457&gt;=DATE(2026,1,1),B457&lt;=Resumen!$C$5),1,0)</f>
        <v>0</v>
      </c>
      <c r="P457" s="25" t="n">
        <f aca="false">IF(AND(B457&gt;Resumen!$C$5,B457&lt;=DATE(2027,7,31)),1,0)</f>
        <v>0</v>
      </c>
    </row>
    <row r="458" customFormat="false" ht="15" hidden="false" customHeight="false" outlineLevel="0" collapsed="false">
      <c r="A458" s="22" t="n">
        <v>202</v>
      </c>
      <c r="B458" s="23" t="n">
        <v>51522</v>
      </c>
      <c r="C458" s="28" t="n">
        <v>2019230769.23077</v>
      </c>
      <c r="D458" s="28" t="n">
        <v>25282451.923077</v>
      </c>
      <c r="E458" s="28" t="n">
        <v>0</v>
      </c>
      <c r="F458" s="28" t="n">
        <v>25282451.923077</v>
      </c>
      <c r="G458" s="28" t="n">
        <v>2019230769.23077</v>
      </c>
      <c r="H458" s="25" t="n">
        <f aca="false">J457</f>
        <v>2019230769.23077</v>
      </c>
      <c r="I458" s="25" t="n">
        <f aca="false">H458*N458</f>
        <v>25282451.923077</v>
      </c>
      <c r="J458" s="25" t="n">
        <f aca="false">H458-E458</f>
        <v>2019230769.23077</v>
      </c>
      <c r="K458" s="25" t="n">
        <f aca="false">D458-I458</f>
        <v>0</v>
      </c>
      <c r="L458" s="25" t="n">
        <f aca="false">G458-J458</f>
        <v>0</v>
      </c>
      <c r="M458" s="25" t="n">
        <f aca="false">F458</f>
        <v>25282451.923077</v>
      </c>
      <c r="N458" s="48" t="n">
        <v>0.0125208333333333</v>
      </c>
      <c r="O458" s="25" t="n">
        <f aca="false">IF(AND(B458&gt;=DATE(2026,1,1),B458&lt;=Resumen!$C$5),1,0)</f>
        <v>0</v>
      </c>
      <c r="P458" s="25" t="n">
        <f aca="false">IF(AND(B458&gt;Resumen!$C$5,B458&lt;=DATE(2027,7,31)),1,0)</f>
        <v>0</v>
      </c>
    </row>
    <row r="459" customFormat="false" ht="15" hidden="false" customHeight="false" outlineLevel="0" collapsed="false">
      <c r="A459" s="22" t="n">
        <v>203</v>
      </c>
      <c r="B459" s="23" t="n">
        <v>51553</v>
      </c>
      <c r="C459" s="28" t="n">
        <v>2019230769.23077</v>
      </c>
      <c r="D459" s="28" t="n">
        <v>25282451.923077</v>
      </c>
      <c r="E459" s="28" t="n">
        <v>0</v>
      </c>
      <c r="F459" s="28" t="n">
        <v>25282451.923077</v>
      </c>
      <c r="G459" s="28" t="n">
        <v>2019230769.23077</v>
      </c>
      <c r="H459" s="25" t="n">
        <f aca="false">J458</f>
        <v>2019230769.23077</v>
      </c>
      <c r="I459" s="25" t="n">
        <f aca="false">H459*N459</f>
        <v>25282451.923077</v>
      </c>
      <c r="J459" s="25" t="n">
        <f aca="false">H459-E459</f>
        <v>2019230769.23077</v>
      </c>
      <c r="K459" s="25" t="n">
        <f aca="false">D459-I459</f>
        <v>0</v>
      </c>
      <c r="L459" s="25" t="n">
        <f aca="false">G459-J459</f>
        <v>0</v>
      </c>
      <c r="M459" s="25" t="n">
        <f aca="false">F459</f>
        <v>25282451.923077</v>
      </c>
      <c r="N459" s="48" t="n">
        <v>0.0125208333333333</v>
      </c>
      <c r="O459" s="25" t="n">
        <f aca="false">IF(AND(B459&gt;=DATE(2026,1,1),B459&lt;=Resumen!$C$5),1,0)</f>
        <v>0</v>
      </c>
      <c r="P459" s="25" t="n">
        <f aca="false">IF(AND(B459&gt;Resumen!$C$5,B459&lt;=DATE(2027,7,31)),1,0)</f>
        <v>0</v>
      </c>
    </row>
    <row r="460" customFormat="false" ht="15" hidden="false" customHeight="false" outlineLevel="0" collapsed="false">
      <c r="A460" s="22" t="n">
        <v>204</v>
      </c>
      <c r="B460" s="23" t="n">
        <v>51581</v>
      </c>
      <c r="C460" s="28" t="n">
        <v>2019230769.23077</v>
      </c>
      <c r="D460" s="28" t="n">
        <v>25282451.923077</v>
      </c>
      <c r="E460" s="28" t="n">
        <v>288461538.461538</v>
      </c>
      <c r="F460" s="28" t="n">
        <v>313743990.384615</v>
      </c>
      <c r="G460" s="28" t="n">
        <v>1730769230.76923</v>
      </c>
      <c r="H460" s="25" t="n">
        <f aca="false">J459</f>
        <v>2019230769.23077</v>
      </c>
      <c r="I460" s="25" t="n">
        <f aca="false">H460*N460</f>
        <v>25282451.923077</v>
      </c>
      <c r="J460" s="25" t="n">
        <f aca="false">H460-E460</f>
        <v>1730769230.76923</v>
      </c>
      <c r="K460" s="25" t="n">
        <f aca="false">D460-I460</f>
        <v>0</v>
      </c>
      <c r="L460" s="25" t="n">
        <f aca="false">G460-J460</f>
        <v>0</v>
      </c>
      <c r="M460" s="25" t="n">
        <f aca="false">F460</f>
        <v>313743990.384615</v>
      </c>
      <c r="N460" s="48" t="n">
        <v>0.0125208333333333</v>
      </c>
      <c r="O460" s="25" t="n">
        <f aca="false">IF(AND(B460&gt;=DATE(2026,1,1),B460&lt;=Resumen!$C$5),1,0)</f>
        <v>0</v>
      </c>
      <c r="P460" s="25" t="n">
        <f aca="false">IF(AND(B460&gt;Resumen!$C$5,B460&lt;=DATE(2027,7,31)),1,0)</f>
        <v>0</v>
      </c>
    </row>
    <row r="461" customFormat="false" ht="15" hidden="false" customHeight="false" outlineLevel="0" collapsed="false">
      <c r="A461" s="22" t="n">
        <v>205</v>
      </c>
      <c r="B461" s="23" t="n">
        <v>51612</v>
      </c>
      <c r="C461" s="28" t="n">
        <v>1730769230.76923</v>
      </c>
      <c r="D461" s="28" t="n">
        <v>21670673.0769231</v>
      </c>
      <c r="E461" s="28" t="n">
        <v>0</v>
      </c>
      <c r="F461" s="28" t="n">
        <v>21670673.0769231</v>
      </c>
      <c r="G461" s="28" t="n">
        <v>1730769230.76923</v>
      </c>
      <c r="H461" s="25" t="n">
        <f aca="false">J460</f>
        <v>1730769230.76923</v>
      </c>
      <c r="I461" s="25" t="n">
        <f aca="false">H461*N461</f>
        <v>21670673.0769231</v>
      </c>
      <c r="J461" s="25" t="n">
        <f aca="false">H461-E461</f>
        <v>1730769230.76923</v>
      </c>
      <c r="K461" s="25" t="n">
        <f aca="false">D461-I461</f>
        <v>0</v>
      </c>
      <c r="L461" s="25" t="n">
        <f aca="false">G461-J461</f>
        <v>0</v>
      </c>
      <c r="M461" s="25" t="n">
        <f aca="false">F461</f>
        <v>21670673.0769231</v>
      </c>
      <c r="N461" s="48" t="n">
        <v>0.0125208333333333</v>
      </c>
      <c r="O461" s="25" t="n">
        <f aca="false">IF(AND(B461&gt;=DATE(2026,1,1),B461&lt;=Resumen!$C$5),1,0)</f>
        <v>0</v>
      </c>
      <c r="P461" s="25" t="n">
        <f aca="false">IF(AND(B461&gt;Resumen!$C$5,B461&lt;=DATE(2027,7,31)),1,0)</f>
        <v>0</v>
      </c>
    </row>
    <row r="462" customFormat="false" ht="15" hidden="false" customHeight="false" outlineLevel="0" collapsed="false">
      <c r="A462" s="22" t="n">
        <v>206</v>
      </c>
      <c r="B462" s="23" t="n">
        <v>51642</v>
      </c>
      <c r="C462" s="28" t="n">
        <v>1730769230.76923</v>
      </c>
      <c r="D462" s="28" t="n">
        <v>21670673.0769231</v>
      </c>
      <c r="E462" s="28" t="n">
        <v>0</v>
      </c>
      <c r="F462" s="28" t="n">
        <v>21670673.0769231</v>
      </c>
      <c r="G462" s="28" t="n">
        <v>1730769230.76923</v>
      </c>
      <c r="H462" s="25" t="n">
        <f aca="false">J461</f>
        <v>1730769230.76923</v>
      </c>
      <c r="I462" s="25" t="n">
        <f aca="false">H462*N462</f>
        <v>21670673.0769231</v>
      </c>
      <c r="J462" s="25" t="n">
        <f aca="false">H462-E462</f>
        <v>1730769230.76923</v>
      </c>
      <c r="K462" s="25" t="n">
        <f aca="false">D462-I462</f>
        <v>0</v>
      </c>
      <c r="L462" s="25" t="n">
        <f aca="false">G462-J462</f>
        <v>0</v>
      </c>
      <c r="M462" s="25" t="n">
        <f aca="false">F462</f>
        <v>21670673.0769231</v>
      </c>
      <c r="N462" s="48" t="n">
        <v>0.0125208333333333</v>
      </c>
      <c r="O462" s="25" t="n">
        <f aca="false">IF(AND(B462&gt;=DATE(2026,1,1),B462&lt;=Resumen!$C$5),1,0)</f>
        <v>0</v>
      </c>
      <c r="P462" s="25" t="n">
        <f aca="false">IF(AND(B462&gt;Resumen!$C$5,B462&lt;=DATE(2027,7,31)),1,0)</f>
        <v>0</v>
      </c>
    </row>
    <row r="463" customFormat="false" ht="15" hidden="false" customHeight="false" outlineLevel="0" collapsed="false">
      <c r="A463" s="22" t="n">
        <v>207</v>
      </c>
      <c r="B463" s="23" t="n">
        <v>51673</v>
      </c>
      <c r="C463" s="28" t="n">
        <v>1730769230.76923</v>
      </c>
      <c r="D463" s="28" t="n">
        <v>21670673.0769231</v>
      </c>
      <c r="E463" s="28" t="n">
        <v>0</v>
      </c>
      <c r="F463" s="28" t="n">
        <v>21670673.0769231</v>
      </c>
      <c r="G463" s="28" t="n">
        <v>1730769230.76923</v>
      </c>
      <c r="H463" s="25" t="n">
        <f aca="false">J462</f>
        <v>1730769230.76923</v>
      </c>
      <c r="I463" s="25" t="n">
        <f aca="false">H463*N463</f>
        <v>21670673.0769231</v>
      </c>
      <c r="J463" s="25" t="n">
        <f aca="false">H463-E463</f>
        <v>1730769230.76923</v>
      </c>
      <c r="K463" s="25" t="n">
        <f aca="false">D463-I463</f>
        <v>0</v>
      </c>
      <c r="L463" s="25" t="n">
        <f aca="false">G463-J463</f>
        <v>0</v>
      </c>
      <c r="M463" s="25" t="n">
        <f aca="false">F463</f>
        <v>21670673.0769231</v>
      </c>
      <c r="N463" s="48" t="n">
        <v>0.0125208333333333</v>
      </c>
      <c r="O463" s="25" t="n">
        <f aca="false">IF(AND(B463&gt;=DATE(2026,1,1),B463&lt;=Resumen!$C$5),1,0)</f>
        <v>0</v>
      </c>
      <c r="P463" s="25" t="n">
        <f aca="false">IF(AND(B463&gt;Resumen!$C$5,B463&lt;=DATE(2027,7,31)),1,0)</f>
        <v>0</v>
      </c>
    </row>
    <row r="464" customFormat="false" ht="15" hidden="false" customHeight="false" outlineLevel="0" collapsed="false">
      <c r="A464" s="22" t="n">
        <v>208</v>
      </c>
      <c r="B464" s="23" t="n">
        <v>51703</v>
      </c>
      <c r="C464" s="28" t="n">
        <v>1730769230.76923</v>
      </c>
      <c r="D464" s="28" t="n">
        <v>21670673.0769231</v>
      </c>
      <c r="E464" s="28" t="n">
        <v>0</v>
      </c>
      <c r="F464" s="28" t="n">
        <v>21670673.0769231</v>
      </c>
      <c r="G464" s="28" t="n">
        <v>1730769230.76923</v>
      </c>
      <c r="H464" s="25" t="n">
        <f aca="false">J463</f>
        <v>1730769230.76923</v>
      </c>
      <c r="I464" s="25" t="n">
        <f aca="false">H464*N464</f>
        <v>21670673.0769231</v>
      </c>
      <c r="J464" s="25" t="n">
        <f aca="false">H464-E464</f>
        <v>1730769230.76923</v>
      </c>
      <c r="K464" s="25" t="n">
        <f aca="false">D464-I464</f>
        <v>0</v>
      </c>
      <c r="L464" s="25" t="n">
        <f aca="false">G464-J464</f>
        <v>0</v>
      </c>
      <c r="M464" s="25" t="n">
        <f aca="false">F464</f>
        <v>21670673.0769231</v>
      </c>
      <c r="N464" s="48" t="n">
        <v>0.0125208333333333</v>
      </c>
      <c r="O464" s="25" t="n">
        <f aca="false">IF(AND(B464&gt;=DATE(2026,1,1),B464&lt;=Resumen!$C$5),1,0)</f>
        <v>0</v>
      </c>
      <c r="P464" s="25" t="n">
        <f aca="false">IF(AND(B464&gt;Resumen!$C$5,B464&lt;=DATE(2027,7,31)),1,0)</f>
        <v>0</v>
      </c>
    </row>
    <row r="465" customFormat="false" ht="15" hidden="false" customHeight="false" outlineLevel="0" collapsed="false">
      <c r="A465" s="22" t="n">
        <v>209</v>
      </c>
      <c r="B465" s="23" t="n">
        <v>51734</v>
      </c>
      <c r="C465" s="28" t="n">
        <v>1730769230.76923</v>
      </c>
      <c r="D465" s="28" t="n">
        <v>21670673.0769231</v>
      </c>
      <c r="E465" s="28" t="n">
        <v>0</v>
      </c>
      <c r="F465" s="28" t="n">
        <v>21670673.0769231</v>
      </c>
      <c r="G465" s="28" t="n">
        <v>1730769230.76923</v>
      </c>
      <c r="H465" s="25" t="n">
        <f aca="false">J464</f>
        <v>1730769230.76923</v>
      </c>
      <c r="I465" s="25" t="n">
        <f aca="false">H465*N465</f>
        <v>21670673.0769231</v>
      </c>
      <c r="J465" s="25" t="n">
        <f aca="false">H465-E465</f>
        <v>1730769230.76923</v>
      </c>
      <c r="K465" s="25" t="n">
        <f aca="false">D465-I465</f>
        <v>0</v>
      </c>
      <c r="L465" s="25" t="n">
        <f aca="false">G465-J465</f>
        <v>0</v>
      </c>
      <c r="M465" s="25" t="n">
        <f aca="false">F465</f>
        <v>21670673.0769231</v>
      </c>
      <c r="N465" s="48" t="n">
        <v>0.0125208333333333</v>
      </c>
      <c r="O465" s="25" t="n">
        <f aca="false">IF(AND(B465&gt;=DATE(2026,1,1),B465&lt;=Resumen!$C$5),1,0)</f>
        <v>0</v>
      </c>
      <c r="P465" s="25" t="n">
        <f aca="false">IF(AND(B465&gt;Resumen!$C$5,B465&lt;=DATE(2027,7,31)),1,0)</f>
        <v>0</v>
      </c>
    </row>
    <row r="466" customFormat="false" ht="15" hidden="false" customHeight="false" outlineLevel="0" collapsed="false">
      <c r="A466" s="22" t="n">
        <v>210</v>
      </c>
      <c r="B466" s="23" t="n">
        <v>51765</v>
      </c>
      <c r="C466" s="28" t="n">
        <v>1730769230.76923</v>
      </c>
      <c r="D466" s="28" t="n">
        <v>21670673.0769231</v>
      </c>
      <c r="E466" s="28" t="n">
        <v>288461538.461538</v>
      </c>
      <c r="F466" s="28" t="n">
        <v>310132211.538462</v>
      </c>
      <c r="G466" s="28" t="n">
        <v>1442307692.3077</v>
      </c>
      <c r="H466" s="25" t="n">
        <f aca="false">J465</f>
        <v>1730769230.76923</v>
      </c>
      <c r="I466" s="25" t="n">
        <f aca="false">H466*N466</f>
        <v>21670673.0769231</v>
      </c>
      <c r="J466" s="25" t="n">
        <f aca="false">H466-E466</f>
        <v>1442307692.3077</v>
      </c>
      <c r="K466" s="25" t="n">
        <f aca="false">D466-I466</f>
        <v>0</v>
      </c>
      <c r="L466" s="25" t="n">
        <f aca="false">G466-J466</f>
        <v>0</v>
      </c>
      <c r="M466" s="25" t="n">
        <f aca="false">F466</f>
        <v>310132211.538462</v>
      </c>
      <c r="N466" s="48" t="n">
        <v>0.0125208333333333</v>
      </c>
      <c r="O466" s="25" t="n">
        <f aca="false">IF(AND(B466&gt;=DATE(2026,1,1),B466&lt;=Resumen!$C$5),1,0)</f>
        <v>0</v>
      </c>
      <c r="P466" s="25" t="n">
        <f aca="false">IF(AND(B466&gt;Resumen!$C$5,B466&lt;=DATE(2027,7,31)),1,0)</f>
        <v>0</v>
      </c>
    </row>
    <row r="467" customFormat="false" ht="15" hidden="false" customHeight="false" outlineLevel="0" collapsed="false">
      <c r="A467" s="22" t="n">
        <v>211</v>
      </c>
      <c r="B467" s="23" t="n">
        <v>51795</v>
      </c>
      <c r="C467" s="28" t="n">
        <v>1442307692.3077</v>
      </c>
      <c r="D467" s="28" t="n">
        <v>18058894.2307693</v>
      </c>
      <c r="E467" s="28" t="n">
        <v>0</v>
      </c>
      <c r="F467" s="28" t="n">
        <v>18058894.2307693</v>
      </c>
      <c r="G467" s="28" t="n">
        <v>1442307692.3077</v>
      </c>
      <c r="H467" s="25" t="n">
        <f aca="false">J466</f>
        <v>1442307692.3077</v>
      </c>
      <c r="I467" s="25" t="n">
        <f aca="false">H467*N467</f>
        <v>18058894.2307693</v>
      </c>
      <c r="J467" s="25" t="n">
        <f aca="false">H467-E467</f>
        <v>1442307692.3077</v>
      </c>
      <c r="K467" s="25" t="n">
        <f aca="false">D467-I467</f>
        <v>0</v>
      </c>
      <c r="L467" s="25" t="n">
        <f aca="false">G467-J467</f>
        <v>0</v>
      </c>
      <c r="M467" s="25" t="n">
        <f aca="false">F467</f>
        <v>18058894.2307693</v>
      </c>
      <c r="N467" s="48" t="n">
        <v>0.0125208333333333</v>
      </c>
      <c r="O467" s="25" t="n">
        <f aca="false">IF(AND(B467&gt;=DATE(2026,1,1),B467&lt;=Resumen!$C$5),1,0)</f>
        <v>0</v>
      </c>
      <c r="P467" s="25" t="n">
        <f aca="false">IF(AND(B467&gt;Resumen!$C$5,B467&lt;=DATE(2027,7,31)),1,0)</f>
        <v>0</v>
      </c>
    </row>
    <row r="468" customFormat="false" ht="15" hidden="false" customHeight="false" outlineLevel="0" collapsed="false">
      <c r="A468" s="22" t="n">
        <v>212</v>
      </c>
      <c r="B468" s="23" t="n">
        <v>51826</v>
      </c>
      <c r="C468" s="28" t="n">
        <v>1442307692.3077</v>
      </c>
      <c r="D468" s="28" t="n">
        <v>18058894.2307693</v>
      </c>
      <c r="E468" s="28" t="n">
        <v>0</v>
      </c>
      <c r="F468" s="28" t="n">
        <v>18058894.2307693</v>
      </c>
      <c r="G468" s="28" t="n">
        <v>1442307692.3077</v>
      </c>
      <c r="H468" s="25" t="n">
        <f aca="false">J467</f>
        <v>1442307692.3077</v>
      </c>
      <c r="I468" s="25" t="n">
        <f aca="false">H468*N468</f>
        <v>18058894.2307693</v>
      </c>
      <c r="J468" s="25" t="n">
        <f aca="false">H468-E468</f>
        <v>1442307692.3077</v>
      </c>
      <c r="K468" s="25" t="n">
        <f aca="false">D468-I468</f>
        <v>0</v>
      </c>
      <c r="L468" s="25" t="n">
        <f aca="false">G468-J468</f>
        <v>0</v>
      </c>
      <c r="M468" s="25" t="n">
        <f aca="false">F468</f>
        <v>18058894.2307693</v>
      </c>
      <c r="N468" s="48" t="n">
        <v>0.0125208333333333</v>
      </c>
      <c r="O468" s="25" t="n">
        <f aca="false">IF(AND(B468&gt;=DATE(2026,1,1),B468&lt;=Resumen!$C$5),1,0)</f>
        <v>0</v>
      </c>
      <c r="P468" s="25" t="n">
        <f aca="false">IF(AND(B468&gt;Resumen!$C$5,B468&lt;=DATE(2027,7,31)),1,0)</f>
        <v>0</v>
      </c>
    </row>
    <row r="469" customFormat="false" ht="15" hidden="false" customHeight="false" outlineLevel="0" collapsed="false">
      <c r="A469" s="22" t="n">
        <v>213</v>
      </c>
      <c r="B469" s="23" t="n">
        <v>51856</v>
      </c>
      <c r="C469" s="28" t="n">
        <v>1442307692.3077</v>
      </c>
      <c r="D469" s="28" t="n">
        <v>18058894.2307693</v>
      </c>
      <c r="E469" s="28" t="n">
        <v>0</v>
      </c>
      <c r="F469" s="28" t="n">
        <v>18058894.2307693</v>
      </c>
      <c r="G469" s="28" t="n">
        <v>1442307692.3077</v>
      </c>
      <c r="H469" s="25" t="n">
        <f aca="false">J468</f>
        <v>1442307692.3077</v>
      </c>
      <c r="I469" s="25" t="n">
        <f aca="false">H469*N469</f>
        <v>18058894.2307693</v>
      </c>
      <c r="J469" s="25" t="n">
        <f aca="false">H469-E469</f>
        <v>1442307692.3077</v>
      </c>
      <c r="K469" s="25" t="n">
        <f aca="false">D469-I469</f>
        <v>0</v>
      </c>
      <c r="L469" s="25" t="n">
        <f aca="false">G469-J469</f>
        <v>0</v>
      </c>
      <c r="M469" s="25" t="n">
        <f aca="false">F469</f>
        <v>18058894.2307693</v>
      </c>
      <c r="N469" s="48" t="n">
        <v>0.0125208333333333</v>
      </c>
      <c r="O469" s="25" t="n">
        <f aca="false">IF(AND(B469&gt;=DATE(2026,1,1),B469&lt;=Resumen!$C$5),1,0)</f>
        <v>0</v>
      </c>
      <c r="P469" s="25" t="n">
        <f aca="false">IF(AND(B469&gt;Resumen!$C$5,B469&lt;=DATE(2027,7,31)),1,0)</f>
        <v>0</v>
      </c>
    </row>
    <row r="470" customFormat="false" ht="15" hidden="false" customHeight="false" outlineLevel="0" collapsed="false">
      <c r="A470" s="22" t="n">
        <v>214</v>
      </c>
      <c r="B470" s="23" t="n">
        <v>51887</v>
      </c>
      <c r="C470" s="28" t="n">
        <v>1442307692.3077</v>
      </c>
      <c r="D470" s="28" t="n">
        <v>18058894.2307693</v>
      </c>
      <c r="E470" s="28" t="n">
        <v>0</v>
      </c>
      <c r="F470" s="28" t="n">
        <v>18058894.2307693</v>
      </c>
      <c r="G470" s="28" t="n">
        <v>1442307692.3077</v>
      </c>
      <c r="H470" s="25" t="n">
        <f aca="false">J469</f>
        <v>1442307692.3077</v>
      </c>
      <c r="I470" s="25" t="n">
        <f aca="false">H470*N470</f>
        <v>18058894.2307693</v>
      </c>
      <c r="J470" s="25" t="n">
        <f aca="false">H470-E470</f>
        <v>1442307692.3077</v>
      </c>
      <c r="K470" s="25" t="n">
        <f aca="false">D470-I470</f>
        <v>0</v>
      </c>
      <c r="L470" s="25" t="n">
        <f aca="false">G470-J470</f>
        <v>0</v>
      </c>
      <c r="M470" s="25" t="n">
        <f aca="false">F470</f>
        <v>18058894.2307693</v>
      </c>
      <c r="N470" s="48" t="n">
        <v>0.0125208333333333</v>
      </c>
      <c r="O470" s="25" t="n">
        <f aca="false">IF(AND(B470&gt;=DATE(2026,1,1),B470&lt;=Resumen!$C$5),1,0)</f>
        <v>0</v>
      </c>
      <c r="P470" s="25" t="n">
        <f aca="false">IF(AND(B470&gt;Resumen!$C$5,B470&lt;=DATE(2027,7,31)),1,0)</f>
        <v>0</v>
      </c>
    </row>
    <row r="471" customFormat="false" ht="15" hidden="false" customHeight="false" outlineLevel="0" collapsed="false">
      <c r="A471" s="22" t="n">
        <v>215</v>
      </c>
      <c r="B471" s="23" t="n">
        <v>51918</v>
      </c>
      <c r="C471" s="28" t="n">
        <v>1442307692.3077</v>
      </c>
      <c r="D471" s="28" t="n">
        <v>18058894.2307693</v>
      </c>
      <c r="E471" s="28" t="n">
        <v>0</v>
      </c>
      <c r="F471" s="28" t="n">
        <v>18058894.2307693</v>
      </c>
      <c r="G471" s="28" t="n">
        <v>1442307692.3077</v>
      </c>
      <c r="H471" s="25" t="n">
        <f aca="false">J470</f>
        <v>1442307692.3077</v>
      </c>
      <c r="I471" s="25" t="n">
        <f aca="false">H471*N471</f>
        <v>18058894.2307693</v>
      </c>
      <c r="J471" s="25" t="n">
        <f aca="false">H471-E471</f>
        <v>1442307692.3077</v>
      </c>
      <c r="K471" s="25" t="n">
        <f aca="false">D471-I471</f>
        <v>0</v>
      </c>
      <c r="L471" s="25" t="n">
        <f aca="false">G471-J471</f>
        <v>0</v>
      </c>
      <c r="M471" s="25" t="n">
        <f aca="false">F471</f>
        <v>18058894.2307693</v>
      </c>
      <c r="N471" s="48" t="n">
        <v>0.0125208333333333</v>
      </c>
      <c r="O471" s="25" t="n">
        <f aca="false">IF(AND(B471&gt;=DATE(2026,1,1),B471&lt;=Resumen!$C$5),1,0)</f>
        <v>0</v>
      </c>
      <c r="P471" s="25" t="n">
        <f aca="false">IF(AND(B471&gt;Resumen!$C$5,B471&lt;=DATE(2027,7,31)),1,0)</f>
        <v>0</v>
      </c>
    </row>
    <row r="472" customFormat="false" ht="15" hidden="false" customHeight="false" outlineLevel="0" collapsed="false">
      <c r="A472" s="22" t="n">
        <v>216</v>
      </c>
      <c r="B472" s="23" t="n">
        <v>51946</v>
      </c>
      <c r="C472" s="28" t="n">
        <v>1442307692.3077</v>
      </c>
      <c r="D472" s="28" t="n">
        <v>18058894.2307693</v>
      </c>
      <c r="E472" s="28" t="n">
        <v>288461538.461538</v>
      </c>
      <c r="F472" s="28" t="n">
        <v>306520432.692308</v>
      </c>
      <c r="G472" s="28" t="n">
        <v>1153846153.84616</v>
      </c>
      <c r="H472" s="25" t="n">
        <f aca="false">J471</f>
        <v>1442307692.3077</v>
      </c>
      <c r="I472" s="25" t="n">
        <f aca="false">H472*N472</f>
        <v>18058894.2307693</v>
      </c>
      <c r="J472" s="25" t="n">
        <f aca="false">H472-E472</f>
        <v>1153846153.84616</v>
      </c>
      <c r="K472" s="25" t="n">
        <f aca="false">D472-I472</f>
        <v>0</v>
      </c>
      <c r="L472" s="25" t="n">
        <f aca="false">G472-J472</f>
        <v>0</v>
      </c>
      <c r="M472" s="25" t="n">
        <f aca="false">F472</f>
        <v>306520432.692308</v>
      </c>
      <c r="N472" s="48" t="n">
        <v>0.0125208333333333</v>
      </c>
      <c r="O472" s="25" t="n">
        <f aca="false">IF(AND(B472&gt;=DATE(2026,1,1),B472&lt;=Resumen!$C$5),1,0)</f>
        <v>0</v>
      </c>
      <c r="P472" s="25" t="n">
        <f aca="false">IF(AND(B472&gt;Resumen!$C$5,B472&lt;=DATE(2027,7,31)),1,0)</f>
        <v>0</v>
      </c>
    </row>
    <row r="473" customFormat="false" ht="15" hidden="false" customHeight="false" outlineLevel="0" collapsed="false">
      <c r="A473" s="22" t="n">
        <v>217</v>
      </c>
      <c r="B473" s="23" t="n">
        <v>51977</v>
      </c>
      <c r="C473" s="28" t="n">
        <v>1153846153.84616</v>
      </c>
      <c r="D473" s="28" t="n">
        <v>14447115.3846154</v>
      </c>
      <c r="E473" s="28" t="n">
        <v>0</v>
      </c>
      <c r="F473" s="28" t="n">
        <v>14447115.3846154</v>
      </c>
      <c r="G473" s="28" t="n">
        <v>1153846153.84616</v>
      </c>
      <c r="H473" s="25" t="n">
        <f aca="false">J472</f>
        <v>1153846153.84616</v>
      </c>
      <c r="I473" s="25" t="n">
        <f aca="false">H473*N473</f>
        <v>14447115.3846154</v>
      </c>
      <c r="J473" s="25" t="n">
        <f aca="false">H473-E473</f>
        <v>1153846153.84616</v>
      </c>
      <c r="K473" s="25" t="n">
        <f aca="false">D473-I473</f>
        <v>0</v>
      </c>
      <c r="L473" s="25" t="n">
        <f aca="false">G473-J473</f>
        <v>0</v>
      </c>
      <c r="M473" s="25" t="n">
        <f aca="false">F473</f>
        <v>14447115.3846154</v>
      </c>
      <c r="N473" s="48" t="n">
        <v>0.0125208333333333</v>
      </c>
      <c r="O473" s="25" t="n">
        <f aca="false">IF(AND(B473&gt;=DATE(2026,1,1),B473&lt;=Resumen!$C$5),1,0)</f>
        <v>0</v>
      </c>
      <c r="P473" s="25" t="n">
        <f aca="false">IF(AND(B473&gt;Resumen!$C$5,B473&lt;=DATE(2027,7,31)),1,0)</f>
        <v>0</v>
      </c>
    </row>
    <row r="474" customFormat="false" ht="15" hidden="false" customHeight="false" outlineLevel="0" collapsed="false">
      <c r="A474" s="22" t="n">
        <v>218</v>
      </c>
      <c r="B474" s="23" t="n">
        <v>52007</v>
      </c>
      <c r="C474" s="28" t="n">
        <v>1153846153.84616</v>
      </c>
      <c r="D474" s="28" t="n">
        <v>14447115.3846154</v>
      </c>
      <c r="E474" s="28" t="n">
        <v>0</v>
      </c>
      <c r="F474" s="28" t="n">
        <v>14447115.3846154</v>
      </c>
      <c r="G474" s="28" t="n">
        <v>1153846153.84616</v>
      </c>
      <c r="H474" s="25" t="n">
        <f aca="false">J473</f>
        <v>1153846153.84616</v>
      </c>
      <c r="I474" s="25" t="n">
        <f aca="false">H474*N474</f>
        <v>14447115.3846154</v>
      </c>
      <c r="J474" s="25" t="n">
        <f aca="false">H474-E474</f>
        <v>1153846153.84616</v>
      </c>
      <c r="K474" s="25" t="n">
        <f aca="false">D474-I474</f>
        <v>0</v>
      </c>
      <c r="L474" s="25" t="n">
        <f aca="false">G474-J474</f>
        <v>0</v>
      </c>
      <c r="M474" s="25" t="n">
        <f aca="false">F474</f>
        <v>14447115.3846154</v>
      </c>
      <c r="N474" s="48" t="n">
        <v>0.0125208333333333</v>
      </c>
      <c r="O474" s="25" t="n">
        <f aca="false">IF(AND(B474&gt;=DATE(2026,1,1),B474&lt;=Resumen!$C$5),1,0)</f>
        <v>0</v>
      </c>
      <c r="P474" s="25" t="n">
        <f aca="false">IF(AND(B474&gt;Resumen!$C$5,B474&lt;=DATE(2027,7,31)),1,0)</f>
        <v>0</v>
      </c>
    </row>
    <row r="475" customFormat="false" ht="15" hidden="false" customHeight="false" outlineLevel="0" collapsed="false">
      <c r="A475" s="22" t="n">
        <v>219</v>
      </c>
      <c r="B475" s="23" t="n">
        <v>52038</v>
      </c>
      <c r="C475" s="28" t="n">
        <v>1153846153.84616</v>
      </c>
      <c r="D475" s="28" t="n">
        <v>14447115.3846154</v>
      </c>
      <c r="E475" s="28" t="n">
        <v>0</v>
      </c>
      <c r="F475" s="28" t="n">
        <v>14447115.3846154</v>
      </c>
      <c r="G475" s="28" t="n">
        <v>1153846153.84616</v>
      </c>
      <c r="H475" s="25" t="n">
        <f aca="false">J474</f>
        <v>1153846153.84616</v>
      </c>
      <c r="I475" s="25" t="n">
        <f aca="false">H475*N475</f>
        <v>14447115.3846154</v>
      </c>
      <c r="J475" s="25" t="n">
        <f aca="false">H475-E475</f>
        <v>1153846153.84616</v>
      </c>
      <c r="K475" s="25" t="n">
        <f aca="false">D475-I475</f>
        <v>0</v>
      </c>
      <c r="L475" s="25" t="n">
        <f aca="false">G475-J475</f>
        <v>0</v>
      </c>
      <c r="M475" s="25" t="n">
        <f aca="false">F475</f>
        <v>14447115.3846154</v>
      </c>
      <c r="N475" s="48" t="n">
        <v>0.0125208333333333</v>
      </c>
      <c r="O475" s="25" t="n">
        <f aca="false">IF(AND(B475&gt;=DATE(2026,1,1),B475&lt;=Resumen!$C$5),1,0)</f>
        <v>0</v>
      </c>
      <c r="P475" s="25" t="n">
        <f aca="false">IF(AND(B475&gt;Resumen!$C$5,B475&lt;=DATE(2027,7,31)),1,0)</f>
        <v>0</v>
      </c>
    </row>
    <row r="476" customFormat="false" ht="15" hidden="false" customHeight="false" outlineLevel="0" collapsed="false">
      <c r="A476" s="22" t="n">
        <v>220</v>
      </c>
      <c r="B476" s="23" t="n">
        <v>52068</v>
      </c>
      <c r="C476" s="28" t="n">
        <v>1153846153.84616</v>
      </c>
      <c r="D476" s="28" t="n">
        <v>14447115.3846154</v>
      </c>
      <c r="E476" s="28" t="n">
        <v>0</v>
      </c>
      <c r="F476" s="28" t="n">
        <v>14447115.3846154</v>
      </c>
      <c r="G476" s="28" t="n">
        <v>1153846153.84616</v>
      </c>
      <c r="H476" s="25" t="n">
        <f aca="false">J475</f>
        <v>1153846153.84616</v>
      </c>
      <c r="I476" s="25" t="n">
        <f aca="false">H476*N476</f>
        <v>14447115.3846154</v>
      </c>
      <c r="J476" s="25" t="n">
        <f aca="false">H476-E476</f>
        <v>1153846153.84616</v>
      </c>
      <c r="K476" s="25" t="n">
        <f aca="false">D476-I476</f>
        <v>0</v>
      </c>
      <c r="L476" s="25" t="n">
        <f aca="false">G476-J476</f>
        <v>0</v>
      </c>
      <c r="M476" s="25" t="n">
        <f aca="false">F476</f>
        <v>14447115.3846154</v>
      </c>
      <c r="N476" s="48" t="n">
        <v>0.0125208333333333</v>
      </c>
      <c r="O476" s="25" t="n">
        <f aca="false">IF(AND(B476&gt;=DATE(2026,1,1),B476&lt;=Resumen!$C$5),1,0)</f>
        <v>0</v>
      </c>
      <c r="P476" s="25" t="n">
        <f aca="false">IF(AND(B476&gt;Resumen!$C$5,B476&lt;=DATE(2027,7,31)),1,0)</f>
        <v>0</v>
      </c>
    </row>
    <row r="477" customFormat="false" ht="15" hidden="false" customHeight="false" outlineLevel="0" collapsed="false">
      <c r="A477" s="22" t="n">
        <v>221</v>
      </c>
      <c r="B477" s="23" t="n">
        <v>52099</v>
      </c>
      <c r="C477" s="28" t="n">
        <v>1153846153.84616</v>
      </c>
      <c r="D477" s="28" t="n">
        <v>14447115.3846154</v>
      </c>
      <c r="E477" s="28" t="n">
        <v>0</v>
      </c>
      <c r="F477" s="28" t="n">
        <v>14447115.3846154</v>
      </c>
      <c r="G477" s="28" t="n">
        <v>1153846153.84616</v>
      </c>
      <c r="H477" s="25" t="n">
        <f aca="false">J476</f>
        <v>1153846153.84616</v>
      </c>
      <c r="I477" s="25" t="n">
        <f aca="false">H477*N477</f>
        <v>14447115.3846154</v>
      </c>
      <c r="J477" s="25" t="n">
        <f aca="false">H477-E477</f>
        <v>1153846153.84616</v>
      </c>
      <c r="K477" s="25" t="n">
        <f aca="false">D477-I477</f>
        <v>0</v>
      </c>
      <c r="L477" s="25" t="n">
        <f aca="false">G477-J477</f>
        <v>0</v>
      </c>
      <c r="M477" s="25" t="n">
        <f aca="false">F477</f>
        <v>14447115.3846154</v>
      </c>
      <c r="N477" s="48" t="n">
        <v>0.0125208333333333</v>
      </c>
      <c r="O477" s="25" t="n">
        <f aca="false">IF(AND(B477&gt;=DATE(2026,1,1),B477&lt;=Resumen!$C$5),1,0)</f>
        <v>0</v>
      </c>
      <c r="P477" s="25" t="n">
        <f aca="false">IF(AND(B477&gt;Resumen!$C$5,B477&lt;=DATE(2027,7,31)),1,0)</f>
        <v>0</v>
      </c>
    </row>
    <row r="478" customFormat="false" ht="15" hidden="false" customHeight="false" outlineLevel="0" collapsed="false">
      <c r="A478" s="22" t="n">
        <v>222</v>
      </c>
      <c r="B478" s="23" t="n">
        <v>52130</v>
      </c>
      <c r="C478" s="28" t="n">
        <v>1153846153.84616</v>
      </c>
      <c r="D478" s="28" t="n">
        <v>14447115.3846154</v>
      </c>
      <c r="E478" s="28" t="n">
        <v>288461538.461538</v>
      </c>
      <c r="F478" s="28" t="n">
        <v>302908653.846154</v>
      </c>
      <c r="G478" s="28" t="n">
        <v>865384615.384619</v>
      </c>
      <c r="H478" s="25" t="n">
        <f aca="false">J477</f>
        <v>1153846153.84616</v>
      </c>
      <c r="I478" s="25" t="n">
        <f aca="false">H478*N478</f>
        <v>14447115.3846154</v>
      </c>
      <c r="J478" s="25" t="n">
        <f aca="false">H478-E478</f>
        <v>865384615.384619</v>
      </c>
      <c r="K478" s="25" t="n">
        <f aca="false">D478-I478</f>
        <v>0</v>
      </c>
      <c r="L478" s="25" t="n">
        <f aca="false">G478-J478</f>
        <v>0</v>
      </c>
      <c r="M478" s="25" t="n">
        <f aca="false">F478</f>
        <v>302908653.846154</v>
      </c>
      <c r="N478" s="48" t="n">
        <v>0.0125208333333333</v>
      </c>
      <c r="O478" s="25" t="n">
        <f aca="false">IF(AND(B478&gt;=DATE(2026,1,1),B478&lt;=Resumen!$C$5),1,0)</f>
        <v>0</v>
      </c>
      <c r="P478" s="25" t="n">
        <f aca="false">IF(AND(B478&gt;Resumen!$C$5,B478&lt;=DATE(2027,7,31)),1,0)</f>
        <v>0</v>
      </c>
    </row>
    <row r="479" customFormat="false" ht="15" hidden="false" customHeight="false" outlineLevel="0" collapsed="false">
      <c r="A479" s="22" t="n">
        <v>223</v>
      </c>
      <c r="B479" s="23" t="n">
        <v>52160</v>
      </c>
      <c r="C479" s="28" t="n">
        <v>865384615.384619</v>
      </c>
      <c r="D479" s="28" t="n">
        <v>10835336.5384616</v>
      </c>
      <c r="E479" s="28" t="n">
        <v>0</v>
      </c>
      <c r="F479" s="28" t="n">
        <v>10835336.5384616</v>
      </c>
      <c r="G479" s="28" t="n">
        <v>865384615.384619</v>
      </c>
      <c r="H479" s="25" t="n">
        <f aca="false">J478</f>
        <v>865384615.384619</v>
      </c>
      <c r="I479" s="25" t="n">
        <f aca="false">H479*N479</f>
        <v>10835336.5384616</v>
      </c>
      <c r="J479" s="25" t="n">
        <f aca="false">H479-E479</f>
        <v>865384615.384619</v>
      </c>
      <c r="K479" s="25" t="n">
        <f aca="false">D479-I479</f>
        <v>0</v>
      </c>
      <c r="L479" s="25" t="n">
        <f aca="false">G479-J479</f>
        <v>0</v>
      </c>
      <c r="M479" s="25" t="n">
        <f aca="false">F479</f>
        <v>10835336.5384616</v>
      </c>
      <c r="N479" s="48" t="n">
        <v>0.0125208333333333</v>
      </c>
      <c r="O479" s="25" t="n">
        <f aca="false">IF(AND(B479&gt;=DATE(2026,1,1),B479&lt;=Resumen!$C$5),1,0)</f>
        <v>0</v>
      </c>
      <c r="P479" s="25" t="n">
        <f aca="false">IF(AND(B479&gt;Resumen!$C$5,B479&lt;=DATE(2027,7,31)),1,0)</f>
        <v>0</v>
      </c>
    </row>
    <row r="480" customFormat="false" ht="15" hidden="false" customHeight="false" outlineLevel="0" collapsed="false">
      <c r="A480" s="22" t="n">
        <v>224</v>
      </c>
      <c r="B480" s="23" t="n">
        <v>52191</v>
      </c>
      <c r="C480" s="28" t="n">
        <v>865384615.384619</v>
      </c>
      <c r="D480" s="28" t="n">
        <v>10835336.5384616</v>
      </c>
      <c r="E480" s="28" t="n">
        <v>0</v>
      </c>
      <c r="F480" s="28" t="n">
        <v>10835336.5384616</v>
      </c>
      <c r="G480" s="28" t="n">
        <v>865384615.384619</v>
      </c>
      <c r="H480" s="25" t="n">
        <f aca="false">J479</f>
        <v>865384615.384619</v>
      </c>
      <c r="I480" s="25" t="n">
        <f aca="false">H480*N480</f>
        <v>10835336.5384616</v>
      </c>
      <c r="J480" s="25" t="n">
        <f aca="false">H480-E480</f>
        <v>865384615.384619</v>
      </c>
      <c r="K480" s="25" t="n">
        <f aca="false">D480-I480</f>
        <v>0</v>
      </c>
      <c r="L480" s="25" t="n">
        <f aca="false">G480-J480</f>
        <v>0</v>
      </c>
      <c r="M480" s="25" t="n">
        <f aca="false">F480</f>
        <v>10835336.5384616</v>
      </c>
      <c r="N480" s="48" t="n">
        <v>0.0125208333333333</v>
      </c>
      <c r="O480" s="25" t="n">
        <f aca="false">IF(AND(B480&gt;=DATE(2026,1,1),B480&lt;=Resumen!$C$5),1,0)</f>
        <v>0</v>
      </c>
      <c r="P480" s="25" t="n">
        <f aca="false">IF(AND(B480&gt;Resumen!$C$5,B480&lt;=DATE(2027,7,31)),1,0)</f>
        <v>0</v>
      </c>
    </row>
    <row r="481" customFormat="false" ht="15" hidden="false" customHeight="false" outlineLevel="0" collapsed="false">
      <c r="A481" s="22" t="n">
        <v>225</v>
      </c>
      <c r="B481" s="23" t="n">
        <v>52221</v>
      </c>
      <c r="C481" s="28" t="n">
        <v>865384615.384619</v>
      </c>
      <c r="D481" s="28" t="n">
        <v>10835336.5384616</v>
      </c>
      <c r="E481" s="28" t="n">
        <v>0</v>
      </c>
      <c r="F481" s="28" t="n">
        <v>10835336.5384616</v>
      </c>
      <c r="G481" s="28" t="n">
        <v>865384615.384619</v>
      </c>
      <c r="H481" s="25" t="n">
        <f aca="false">J480</f>
        <v>865384615.384619</v>
      </c>
      <c r="I481" s="25" t="n">
        <f aca="false">H481*N481</f>
        <v>10835336.5384616</v>
      </c>
      <c r="J481" s="25" t="n">
        <f aca="false">H481-E481</f>
        <v>865384615.384619</v>
      </c>
      <c r="K481" s="25" t="n">
        <f aca="false">D481-I481</f>
        <v>0</v>
      </c>
      <c r="L481" s="25" t="n">
        <f aca="false">G481-J481</f>
        <v>0</v>
      </c>
      <c r="M481" s="25" t="n">
        <f aca="false">F481</f>
        <v>10835336.5384616</v>
      </c>
      <c r="N481" s="48" t="n">
        <v>0.0125208333333333</v>
      </c>
      <c r="O481" s="25" t="n">
        <f aca="false">IF(AND(B481&gt;=DATE(2026,1,1),B481&lt;=Resumen!$C$5),1,0)</f>
        <v>0</v>
      </c>
      <c r="P481" s="25" t="n">
        <f aca="false">IF(AND(B481&gt;Resumen!$C$5,B481&lt;=DATE(2027,7,31)),1,0)</f>
        <v>0</v>
      </c>
    </row>
    <row r="482" customFormat="false" ht="15" hidden="false" customHeight="false" outlineLevel="0" collapsed="false">
      <c r="A482" s="22" t="n">
        <v>226</v>
      </c>
      <c r="B482" s="23" t="n">
        <v>52252</v>
      </c>
      <c r="C482" s="28" t="n">
        <v>865384615.384619</v>
      </c>
      <c r="D482" s="28" t="n">
        <v>10835336.5384616</v>
      </c>
      <c r="E482" s="28" t="n">
        <v>0</v>
      </c>
      <c r="F482" s="28" t="n">
        <v>10835336.5384616</v>
      </c>
      <c r="G482" s="28" t="n">
        <v>865384615.384619</v>
      </c>
      <c r="H482" s="25" t="n">
        <f aca="false">J481</f>
        <v>865384615.384619</v>
      </c>
      <c r="I482" s="25" t="n">
        <f aca="false">H482*N482</f>
        <v>10835336.5384616</v>
      </c>
      <c r="J482" s="25" t="n">
        <f aca="false">H482-E482</f>
        <v>865384615.384619</v>
      </c>
      <c r="K482" s="25" t="n">
        <f aca="false">D482-I482</f>
        <v>0</v>
      </c>
      <c r="L482" s="25" t="n">
        <f aca="false">G482-J482</f>
        <v>0</v>
      </c>
      <c r="M482" s="25" t="n">
        <f aca="false">F482</f>
        <v>10835336.5384616</v>
      </c>
      <c r="N482" s="48" t="n">
        <v>0.0125208333333333</v>
      </c>
      <c r="O482" s="25" t="n">
        <f aca="false">IF(AND(B482&gt;=DATE(2026,1,1),B482&lt;=Resumen!$C$5),1,0)</f>
        <v>0</v>
      </c>
      <c r="P482" s="25" t="n">
        <f aca="false">IF(AND(B482&gt;Resumen!$C$5,B482&lt;=DATE(2027,7,31)),1,0)</f>
        <v>0</v>
      </c>
    </row>
    <row r="483" customFormat="false" ht="15" hidden="false" customHeight="false" outlineLevel="0" collapsed="false">
      <c r="A483" s="22" t="n">
        <v>227</v>
      </c>
      <c r="B483" s="23" t="n">
        <v>52283</v>
      </c>
      <c r="C483" s="28" t="n">
        <v>865384615.384619</v>
      </c>
      <c r="D483" s="28" t="n">
        <v>10835336.5384616</v>
      </c>
      <c r="E483" s="28" t="n">
        <v>0</v>
      </c>
      <c r="F483" s="28" t="n">
        <v>10835336.5384616</v>
      </c>
      <c r="G483" s="28" t="n">
        <v>865384615.384619</v>
      </c>
      <c r="H483" s="25" t="n">
        <f aca="false">J482</f>
        <v>865384615.384619</v>
      </c>
      <c r="I483" s="25" t="n">
        <f aca="false">H483*N483</f>
        <v>10835336.5384616</v>
      </c>
      <c r="J483" s="25" t="n">
        <f aca="false">H483-E483</f>
        <v>865384615.384619</v>
      </c>
      <c r="K483" s="25" t="n">
        <f aca="false">D483-I483</f>
        <v>0</v>
      </c>
      <c r="L483" s="25" t="n">
        <f aca="false">G483-J483</f>
        <v>0</v>
      </c>
      <c r="M483" s="25" t="n">
        <f aca="false">F483</f>
        <v>10835336.5384616</v>
      </c>
      <c r="N483" s="48" t="n">
        <v>0.0125208333333333</v>
      </c>
      <c r="O483" s="25" t="n">
        <f aca="false">IF(AND(B483&gt;=DATE(2026,1,1),B483&lt;=Resumen!$C$5),1,0)</f>
        <v>0</v>
      </c>
      <c r="P483" s="25" t="n">
        <f aca="false">IF(AND(B483&gt;Resumen!$C$5,B483&lt;=DATE(2027,7,31)),1,0)</f>
        <v>0</v>
      </c>
    </row>
    <row r="484" customFormat="false" ht="15" hidden="false" customHeight="false" outlineLevel="0" collapsed="false">
      <c r="A484" s="22" t="n">
        <v>228</v>
      </c>
      <c r="B484" s="23" t="n">
        <v>52311</v>
      </c>
      <c r="C484" s="28" t="n">
        <v>865384615.384619</v>
      </c>
      <c r="D484" s="28" t="n">
        <v>10835336.5384616</v>
      </c>
      <c r="E484" s="28" t="n">
        <v>288461538.461538</v>
      </c>
      <c r="F484" s="28" t="n">
        <v>299296875</v>
      </c>
      <c r="G484" s="28" t="n">
        <v>576923076.92308</v>
      </c>
      <c r="H484" s="25" t="n">
        <f aca="false">J483</f>
        <v>865384615.384619</v>
      </c>
      <c r="I484" s="25" t="n">
        <f aca="false">H484*N484</f>
        <v>10835336.5384616</v>
      </c>
      <c r="J484" s="25" t="n">
        <f aca="false">H484-E484</f>
        <v>576923076.92308</v>
      </c>
      <c r="K484" s="25" t="n">
        <f aca="false">D484-I484</f>
        <v>0</v>
      </c>
      <c r="L484" s="25" t="n">
        <f aca="false">G484-J484</f>
        <v>0</v>
      </c>
      <c r="M484" s="25" t="n">
        <f aca="false">F484</f>
        <v>299296875</v>
      </c>
      <c r="N484" s="48" t="n">
        <v>0.0125208333333333</v>
      </c>
      <c r="O484" s="25" t="n">
        <f aca="false">IF(AND(B484&gt;=DATE(2026,1,1),B484&lt;=Resumen!$C$5),1,0)</f>
        <v>0</v>
      </c>
      <c r="P484" s="25" t="n">
        <f aca="false">IF(AND(B484&gt;Resumen!$C$5,B484&lt;=DATE(2027,7,31)),1,0)</f>
        <v>0</v>
      </c>
    </row>
    <row r="485" customFormat="false" ht="15" hidden="false" customHeight="false" outlineLevel="0" collapsed="false">
      <c r="A485" s="22" t="n">
        <v>229</v>
      </c>
      <c r="B485" s="23" t="n">
        <v>52342</v>
      </c>
      <c r="C485" s="28" t="n">
        <v>576923076.92308</v>
      </c>
      <c r="D485" s="28" t="n">
        <v>7223557.69230773</v>
      </c>
      <c r="E485" s="28" t="n">
        <v>0</v>
      </c>
      <c r="F485" s="28" t="n">
        <v>7223557.69230773</v>
      </c>
      <c r="G485" s="28" t="n">
        <v>576923076.92308</v>
      </c>
      <c r="H485" s="25" t="n">
        <f aca="false">J484</f>
        <v>576923076.92308</v>
      </c>
      <c r="I485" s="25" t="n">
        <f aca="false">H485*N485</f>
        <v>7223557.69230774</v>
      </c>
      <c r="J485" s="25" t="n">
        <f aca="false">H485-E485</f>
        <v>576923076.92308</v>
      </c>
      <c r="K485" s="25" t="n">
        <f aca="false">D485-I485</f>
        <v>0</v>
      </c>
      <c r="L485" s="25" t="n">
        <f aca="false">G485-J485</f>
        <v>0</v>
      </c>
      <c r="M485" s="25" t="n">
        <f aca="false">F485</f>
        <v>7223557.69230773</v>
      </c>
      <c r="N485" s="48" t="n">
        <v>0.0125208333333333</v>
      </c>
      <c r="O485" s="25" t="n">
        <f aca="false">IF(AND(B485&gt;=DATE(2026,1,1),B485&lt;=Resumen!$C$5),1,0)</f>
        <v>0</v>
      </c>
      <c r="P485" s="25" t="n">
        <f aca="false">IF(AND(B485&gt;Resumen!$C$5,B485&lt;=DATE(2027,7,31)),1,0)</f>
        <v>0</v>
      </c>
    </row>
    <row r="486" customFormat="false" ht="15" hidden="false" customHeight="false" outlineLevel="0" collapsed="false">
      <c r="A486" s="22" t="n">
        <v>230</v>
      </c>
      <c r="B486" s="23" t="n">
        <v>52372</v>
      </c>
      <c r="C486" s="28" t="n">
        <v>576923076.92308</v>
      </c>
      <c r="D486" s="28" t="n">
        <v>7223557.69230773</v>
      </c>
      <c r="E486" s="28" t="n">
        <v>0</v>
      </c>
      <c r="F486" s="28" t="n">
        <v>7223557.69230773</v>
      </c>
      <c r="G486" s="28" t="n">
        <v>576923076.92308</v>
      </c>
      <c r="H486" s="25" t="n">
        <f aca="false">J485</f>
        <v>576923076.92308</v>
      </c>
      <c r="I486" s="25" t="n">
        <f aca="false">H486*N486</f>
        <v>7223557.69230774</v>
      </c>
      <c r="J486" s="25" t="n">
        <f aca="false">H486-E486</f>
        <v>576923076.92308</v>
      </c>
      <c r="K486" s="25" t="n">
        <f aca="false">D486-I486</f>
        <v>0</v>
      </c>
      <c r="L486" s="25" t="n">
        <f aca="false">G486-J486</f>
        <v>0</v>
      </c>
      <c r="M486" s="25" t="n">
        <f aca="false">F486</f>
        <v>7223557.69230773</v>
      </c>
      <c r="N486" s="48" t="n">
        <v>0.0125208333333333</v>
      </c>
      <c r="O486" s="25" t="n">
        <f aca="false">IF(AND(B486&gt;=DATE(2026,1,1),B486&lt;=Resumen!$C$5),1,0)</f>
        <v>0</v>
      </c>
      <c r="P486" s="25" t="n">
        <f aca="false">IF(AND(B486&gt;Resumen!$C$5,B486&lt;=DATE(2027,7,31)),1,0)</f>
        <v>0</v>
      </c>
    </row>
    <row r="487" customFormat="false" ht="15" hidden="false" customHeight="false" outlineLevel="0" collapsed="false">
      <c r="A487" s="22" t="n">
        <v>231</v>
      </c>
      <c r="B487" s="23" t="n">
        <v>52403</v>
      </c>
      <c r="C487" s="28" t="n">
        <v>576923076.92308</v>
      </c>
      <c r="D487" s="28" t="n">
        <v>7223557.69230773</v>
      </c>
      <c r="E487" s="28" t="n">
        <v>0</v>
      </c>
      <c r="F487" s="28" t="n">
        <v>7223557.69230773</v>
      </c>
      <c r="G487" s="28" t="n">
        <v>576923076.92308</v>
      </c>
      <c r="H487" s="25" t="n">
        <f aca="false">J486</f>
        <v>576923076.92308</v>
      </c>
      <c r="I487" s="25" t="n">
        <f aca="false">H487*N487</f>
        <v>7223557.69230774</v>
      </c>
      <c r="J487" s="25" t="n">
        <f aca="false">H487-E487</f>
        <v>576923076.92308</v>
      </c>
      <c r="K487" s="25" t="n">
        <f aca="false">D487-I487</f>
        <v>0</v>
      </c>
      <c r="L487" s="25" t="n">
        <f aca="false">G487-J487</f>
        <v>0</v>
      </c>
      <c r="M487" s="25" t="n">
        <f aca="false">F487</f>
        <v>7223557.69230773</v>
      </c>
      <c r="N487" s="48" t="n">
        <v>0.0125208333333333</v>
      </c>
      <c r="O487" s="25" t="n">
        <f aca="false">IF(AND(B487&gt;=DATE(2026,1,1),B487&lt;=Resumen!$C$5),1,0)</f>
        <v>0</v>
      </c>
      <c r="P487" s="25" t="n">
        <f aca="false">IF(AND(B487&gt;Resumen!$C$5,B487&lt;=DATE(2027,7,31)),1,0)</f>
        <v>0</v>
      </c>
    </row>
    <row r="488" customFormat="false" ht="15" hidden="false" customHeight="false" outlineLevel="0" collapsed="false">
      <c r="A488" s="22" t="n">
        <v>232</v>
      </c>
      <c r="B488" s="23" t="n">
        <v>52433</v>
      </c>
      <c r="C488" s="28" t="n">
        <v>576923076.92308</v>
      </c>
      <c r="D488" s="28" t="n">
        <v>7223557.69230773</v>
      </c>
      <c r="E488" s="28" t="n">
        <v>0</v>
      </c>
      <c r="F488" s="28" t="n">
        <v>7223557.69230773</v>
      </c>
      <c r="G488" s="28" t="n">
        <v>576923076.92308</v>
      </c>
      <c r="H488" s="25" t="n">
        <f aca="false">J487</f>
        <v>576923076.92308</v>
      </c>
      <c r="I488" s="25" t="n">
        <f aca="false">H488*N488</f>
        <v>7223557.69230774</v>
      </c>
      <c r="J488" s="25" t="n">
        <f aca="false">H488-E488</f>
        <v>576923076.92308</v>
      </c>
      <c r="K488" s="25" t="n">
        <f aca="false">D488-I488</f>
        <v>0</v>
      </c>
      <c r="L488" s="25" t="n">
        <f aca="false">G488-J488</f>
        <v>0</v>
      </c>
      <c r="M488" s="25" t="n">
        <f aca="false">F488</f>
        <v>7223557.69230773</v>
      </c>
      <c r="N488" s="48" t="n">
        <v>0.0125208333333333</v>
      </c>
      <c r="O488" s="25" t="n">
        <f aca="false">IF(AND(B488&gt;=DATE(2026,1,1),B488&lt;=Resumen!$C$5),1,0)</f>
        <v>0</v>
      </c>
      <c r="P488" s="25" t="n">
        <f aca="false">IF(AND(B488&gt;Resumen!$C$5,B488&lt;=DATE(2027,7,31)),1,0)</f>
        <v>0</v>
      </c>
    </row>
    <row r="489" customFormat="false" ht="15" hidden="false" customHeight="false" outlineLevel="0" collapsed="false">
      <c r="A489" s="22" t="n">
        <v>233</v>
      </c>
      <c r="B489" s="23" t="n">
        <v>52464</v>
      </c>
      <c r="C489" s="28" t="n">
        <v>576923076.92308</v>
      </c>
      <c r="D489" s="28" t="n">
        <v>7223557.69230773</v>
      </c>
      <c r="E489" s="28" t="n">
        <v>0</v>
      </c>
      <c r="F489" s="28" t="n">
        <v>7223557.69230773</v>
      </c>
      <c r="G489" s="28" t="n">
        <v>576923076.92308</v>
      </c>
      <c r="H489" s="25" t="n">
        <f aca="false">J488</f>
        <v>576923076.92308</v>
      </c>
      <c r="I489" s="25" t="n">
        <f aca="false">H489*N489</f>
        <v>7223557.69230774</v>
      </c>
      <c r="J489" s="25" t="n">
        <f aca="false">H489-E489</f>
        <v>576923076.92308</v>
      </c>
      <c r="K489" s="25" t="n">
        <f aca="false">D489-I489</f>
        <v>0</v>
      </c>
      <c r="L489" s="25" t="n">
        <f aca="false">G489-J489</f>
        <v>0</v>
      </c>
      <c r="M489" s="25" t="n">
        <f aca="false">F489</f>
        <v>7223557.69230773</v>
      </c>
      <c r="N489" s="48" t="n">
        <v>0.0125208333333333</v>
      </c>
      <c r="O489" s="25" t="n">
        <f aca="false">IF(AND(B489&gt;=DATE(2026,1,1),B489&lt;=Resumen!$C$5),1,0)</f>
        <v>0</v>
      </c>
      <c r="P489" s="25" t="n">
        <f aca="false">IF(AND(B489&gt;Resumen!$C$5,B489&lt;=DATE(2027,7,31)),1,0)</f>
        <v>0</v>
      </c>
    </row>
    <row r="490" customFormat="false" ht="15" hidden="false" customHeight="false" outlineLevel="0" collapsed="false">
      <c r="A490" s="22" t="n">
        <v>234</v>
      </c>
      <c r="B490" s="23" t="n">
        <v>52495</v>
      </c>
      <c r="C490" s="28" t="n">
        <v>576923076.92308</v>
      </c>
      <c r="D490" s="28" t="n">
        <v>7223557.69230773</v>
      </c>
      <c r="E490" s="28" t="n">
        <v>288461538.461538</v>
      </c>
      <c r="F490" s="28" t="n">
        <v>295685096.153846</v>
      </c>
      <c r="G490" s="28" t="n">
        <v>288461538.461542</v>
      </c>
      <c r="H490" s="25" t="n">
        <f aca="false">J489</f>
        <v>576923076.92308</v>
      </c>
      <c r="I490" s="25" t="n">
        <f aca="false">H490*N490</f>
        <v>7223557.69230774</v>
      </c>
      <c r="J490" s="25" t="n">
        <f aca="false">H490-E490</f>
        <v>288461538.461542</v>
      </c>
      <c r="K490" s="25" t="n">
        <f aca="false">D490-I490</f>
        <v>0</v>
      </c>
      <c r="L490" s="25" t="n">
        <f aca="false">G490-J490</f>
        <v>0</v>
      </c>
      <c r="M490" s="25" t="n">
        <f aca="false">F490</f>
        <v>295685096.153846</v>
      </c>
      <c r="N490" s="48" t="n">
        <v>0.0125208333333333</v>
      </c>
      <c r="O490" s="25" t="n">
        <f aca="false">IF(AND(B490&gt;=DATE(2026,1,1),B490&lt;=Resumen!$C$5),1,0)</f>
        <v>0</v>
      </c>
      <c r="P490" s="25" t="n">
        <f aca="false">IF(AND(B490&gt;Resumen!$C$5,B490&lt;=DATE(2027,7,31)),1,0)</f>
        <v>0</v>
      </c>
    </row>
    <row r="491" customFormat="false" ht="15" hidden="false" customHeight="false" outlineLevel="0" collapsed="false">
      <c r="A491" s="22" t="n">
        <v>235</v>
      </c>
      <c r="B491" s="23" t="n">
        <v>52525</v>
      </c>
      <c r="C491" s="28" t="n">
        <v>288461538.461542</v>
      </c>
      <c r="D491" s="28" t="n">
        <v>3611778.84615389</v>
      </c>
      <c r="E491" s="28" t="n">
        <v>0</v>
      </c>
      <c r="F491" s="28" t="n">
        <v>3611778.84615389</v>
      </c>
      <c r="G491" s="28" t="n">
        <v>288461538.461542</v>
      </c>
      <c r="H491" s="25" t="n">
        <f aca="false">J490</f>
        <v>288461538.461542</v>
      </c>
      <c r="I491" s="25" t="n">
        <f aca="false">H491*N491</f>
        <v>3611778.84615389</v>
      </c>
      <c r="J491" s="25" t="n">
        <f aca="false">H491-E491</f>
        <v>288461538.461542</v>
      </c>
      <c r="K491" s="25" t="n">
        <f aca="false">D491-I491</f>
        <v>0</v>
      </c>
      <c r="L491" s="25" t="n">
        <f aca="false">G491-J491</f>
        <v>0</v>
      </c>
      <c r="M491" s="25" t="n">
        <f aca="false">F491</f>
        <v>3611778.84615389</v>
      </c>
      <c r="N491" s="48" t="n">
        <v>0.0125208333333333</v>
      </c>
      <c r="O491" s="25" t="n">
        <f aca="false">IF(AND(B491&gt;=DATE(2026,1,1),B491&lt;=Resumen!$C$5),1,0)</f>
        <v>0</v>
      </c>
      <c r="P491" s="25" t="n">
        <f aca="false">IF(AND(B491&gt;Resumen!$C$5,B491&lt;=DATE(2027,7,31)),1,0)</f>
        <v>0</v>
      </c>
    </row>
    <row r="492" customFormat="false" ht="15" hidden="false" customHeight="false" outlineLevel="0" collapsed="false">
      <c r="A492" s="22" t="n">
        <v>236</v>
      </c>
      <c r="B492" s="23" t="n">
        <v>52556</v>
      </c>
      <c r="C492" s="28" t="n">
        <v>288461538.461542</v>
      </c>
      <c r="D492" s="28" t="n">
        <v>3611778.84615389</v>
      </c>
      <c r="E492" s="28" t="n">
        <v>0</v>
      </c>
      <c r="F492" s="28" t="n">
        <v>3611778.84615389</v>
      </c>
      <c r="G492" s="28" t="n">
        <v>288461538.461542</v>
      </c>
      <c r="H492" s="25" t="n">
        <f aca="false">J491</f>
        <v>288461538.461542</v>
      </c>
      <c r="I492" s="25" t="n">
        <f aca="false">H492*N492</f>
        <v>3611778.84615389</v>
      </c>
      <c r="J492" s="25" t="n">
        <f aca="false">H492-E492</f>
        <v>288461538.461542</v>
      </c>
      <c r="K492" s="25" t="n">
        <f aca="false">D492-I492</f>
        <v>0</v>
      </c>
      <c r="L492" s="25" t="n">
        <f aca="false">G492-J492</f>
        <v>0</v>
      </c>
      <c r="M492" s="25" t="n">
        <f aca="false">F492</f>
        <v>3611778.84615389</v>
      </c>
      <c r="N492" s="48" t="n">
        <v>0.0125208333333333</v>
      </c>
      <c r="O492" s="25" t="n">
        <f aca="false">IF(AND(B492&gt;=DATE(2026,1,1),B492&lt;=Resumen!$C$5),1,0)</f>
        <v>0</v>
      </c>
      <c r="P492" s="25" t="n">
        <f aca="false">IF(AND(B492&gt;Resumen!$C$5,B492&lt;=DATE(2027,7,31)),1,0)</f>
        <v>0</v>
      </c>
    </row>
    <row r="493" customFormat="false" ht="15" hidden="false" customHeight="false" outlineLevel="0" collapsed="false">
      <c r="A493" s="22" t="n">
        <v>237</v>
      </c>
      <c r="B493" s="23" t="n">
        <v>52586</v>
      </c>
      <c r="C493" s="28" t="n">
        <v>288461538.461542</v>
      </c>
      <c r="D493" s="28" t="n">
        <v>3611778.84615389</v>
      </c>
      <c r="E493" s="28" t="n">
        <v>0</v>
      </c>
      <c r="F493" s="28" t="n">
        <v>3611778.84615389</v>
      </c>
      <c r="G493" s="28" t="n">
        <v>288461538.461542</v>
      </c>
      <c r="H493" s="25" t="n">
        <f aca="false">J492</f>
        <v>288461538.461542</v>
      </c>
      <c r="I493" s="25" t="n">
        <f aca="false">H493*N493</f>
        <v>3611778.84615389</v>
      </c>
      <c r="J493" s="25" t="n">
        <f aca="false">H493-E493</f>
        <v>288461538.461542</v>
      </c>
      <c r="K493" s="25" t="n">
        <f aca="false">D493-I493</f>
        <v>0</v>
      </c>
      <c r="L493" s="25" t="n">
        <f aca="false">G493-J493</f>
        <v>0</v>
      </c>
      <c r="M493" s="25" t="n">
        <f aca="false">F493</f>
        <v>3611778.84615389</v>
      </c>
      <c r="N493" s="48" t="n">
        <v>0.0125208333333333</v>
      </c>
      <c r="O493" s="25" t="n">
        <f aca="false">IF(AND(B493&gt;=DATE(2026,1,1),B493&lt;=Resumen!$C$5),1,0)</f>
        <v>0</v>
      </c>
      <c r="P493" s="25" t="n">
        <f aca="false">IF(AND(B493&gt;Resumen!$C$5,B493&lt;=DATE(2027,7,31)),1,0)</f>
        <v>0</v>
      </c>
    </row>
    <row r="494" customFormat="false" ht="15" hidden="false" customHeight="false" outlineLevel="0" collapsed="false">
      <c r="A494" s="22" t="n">
        <v>238</v>
      </c>
      <c r="B494" s="23" t="n">
        <v>52617</v>
      </c>
      <c r="C494" s="28" t="n">
        <v>288461538.461542</v>
      </c>
      <c r="D494" s="28" t="n">
        <v>3611778.84615389</v>
      </c>
      <c r="E494" s="28" t="n">
        <v>0</v>
      </c>
      <c r="F494" s="28" t="n">
        <v>3611778.84615389</v>
      </c>
      <c r="G494" s="28" t="n">
        <v>288461538.461542</v>
      </c>
      <c r="H494" s="25" t="n">
        <f aca="false">J493</f>
        <v>288461538.461542</v>
      </c>
      <c r="I494" s="25" t="n">
        <f aca="false">H494*N494</f>
        <v>3611778.84615389</v>
      </c>
      <c r="J494" s="25" t="n">
        <f aca="false">H494-E494</f>
        <v>288461538.461542</v>
      </c>
      <c r="K494" s="25" t="n">
        <f aca="false">D494-I494</f>
        <v>0</v>
      </c>
      <c r="L494" s="25" t="n">
        <f aca="false">G494-J494</f>
        <v>0</v>
      </c>
      <c r="M494" s="25" t="n">
        <f aca="false">F494</f>
        <v>3611778.84615389</v>
      </c>
      <c r="N494" s="48" t="n">
        <v>0.0125208333333333</v>
      </c>
      <c r="O494" s="25" t="n">
        <f aca="false">IF(AND(B494&gt;=DATE(2026,1,1),B494&lt;=Resumen!$C$5),1,0)</f>
        <v>0</v>
      </c>
      <c r="P494" s="25" t="n">
        <f aca="false">IF(AND(B494&gt;Resumen!$C$5,B494&lt;=DATE(2027,7,31)),1,0)</f>
        <v>0</v>
      </c>
    </row>
    <row r="495" customFormat="false" ht="15" hidden="false" customHeight="false" outlineLevel="0" collapsed="false">
      <c r="A495" s="22" t="n">
        <v>239</v>
      </c>
      <c r="B495" s="23" t="n">
        <v>52648</v>
      </c>
      <c r="C495" s="28" t="n">
        <v>288461538.461542</v>
      </c>
      <c r="D495" s="28" t="n">
        <v>3611778.84615389</v>
      </c>
      <c r="E495" s="28" t="n">
        <v>0</v>
      </c>
      <c r="F495" s="28" t="n">
        <v>3611778.84615389</v>
      </c>
      <c r="G495" s="28" t="n">
        <v>288461538.461542</v>
      </c>
      <c r="H495" s="25" t="n">
        <f aca="false">J494</f>
        <v>288461538.461542</v>
      </c>
      <c r="I495" s="25" t="n">
        <f aca="false">H495*N495</f>
        <v>3611778.84615389</v>
      </c>
      <c r="J495" s="25" t="n">
        <f aca="false">H495-E495</f>
        <v>288461538.461542</v>
      </c>
      <c r="K495" s="25" t="n">
        <f aca="false">D495-I495</f>
        <v>0</v>
      </c>
      <c r="L495" s="25" t="n">
        <f aca="false">G495-J495</f>
        <v>0</v>
      </c>
      <c r="M495" s="25" t="n">
        <f aca="false">F495</f>
        <v>3611778.84615389</v>
      </c>
      <c r="N495" s="48" t="n">
        <v>0.0125208333333333</v>
      </c>
      <c r="O495" s="25" t="n">
        <f aca="false">IF(AND(B495&gt;=DATE(2026,1,1),B495&lt;=Resumen!$C$5),1,0)</f>
        <v>0</v>
      </c>
      <c r="P495" s="25" t="n">
        <f aca="false">IF(AND(B495&gt;Resumen!$C$5,B495&lt;=DATE(2027,7,31)),1,0)</f>
        <v>0</v>
      </c>
    </row>
    <row r="496" customFormat="false" ht="15" hidden="false" customHeight="false" outlineLevel="0" collapsed="false">
      <c r="A496" s="22" t="n">
        <v>240</v>
      </c>
      <c r="B496" s="23" t="n">
        <v>52677</v>
      </c>
      <c r="C496" s="28" t="n">
        <v>288461538.461542</v>
      </c>
      <c r="D496" s="28" t="n">
        <v>3611778.84615389</v>
      </c>
      <c r="E496" s="28" t="n">
        <v>288461538.461538</v>
      </c>
      <c r="F496" s="28" t="n">
        <v>292073317.307692</v>
      </c>
      <c r="G496" s="28" t="n">
        <v>3.33786010742188E-006</v>
      </c>
      <c r="H496" s="25" t="n">
        <f aca="false">J495</f>
        <v>288461538.461542</v>
      </c>
      <c r="I496" s="25" t="n">
        <f aca="false">H496*N496</f>
        <v>3611778.84615389</v>
      </c>
      <c r="J496" s="25" t="n">
        <f aca="false">H496-E496</f>
        <v>3.69548797607422E-006</v>
      </c>
      <c r="K496" s="25" t="n">
        <f aca="false">D496-I496</f>
        <v>0</v>
      </c>
      <c r="L496" s="25" t="n">
        <f aca="false">G496-J496</f>
        <v>-3.57627868652344E-007</v>
      </c>
      <c r="M496" s="25" t="n">
        <f aca="false">F496</f>
        <v>292073317.307692</v>
      </c>
      <c r="N496" s="48" t="n">
        <v>0.0125208333333333</v>
      </c>
      <c r="O496" s="25" t="n">
        <f aca="false">IF(AND(B496&gt;=DATE(2026,1,1),B496&lt;=Resumen!$C$5),1,0)</f>
        <v>0</v>
      </c>
      <c r="P496" s="25" t="n">
        <f aca="false">IF(AND(B496&gt;Resumen!$C$5,B496&lt;=DATE(2027,7,31)),1,0)</f>
        <v>0</v>
      </c>
    </row>
    <row r="499" customFormat="false" ht="15" hidden="false" customHeight="false" outlineLevel="0" collapsed="false">
      <c r="A499" s="33" t="s">
        <v>819</v>
      </c>
    </row>
    <row r="500" customFormat="false" ht="15" hidden="false" customHeight="false" outlineLevel="0" collapsed="false">
      <c r="A500" s="34" t="s">
        <v>820</v>
      </c>
    </row>
    <row r="501" customFormat="false" ht="15" hidden="false" customHeight="false" outlineLevel="0" collapsed="false">
      <c r="A501" s="19" t="s">
        <v>821</v>
      </c>
    </row>
    <row r="502" customFormat="false" ht="15" hidden="false" customHeight="false" outlineLevel="0" collapsed="false">
      <c r="A502" s="20" t="s">
        <v>822</v>
      </c>
    </row>
    <row r="503" customFormat="false" ht="15" hidden="false" customHeight="false" outlineLevel="0" collapsed="false">
      <c r="A503" s="29" t="s">
        <v>773</v>
      </c>
      <c r="C503" s="22" t="s">
        <v>823</v>
      </c>
      <c r="F503" s="47" t="s">
        <v>775</v>
      </c>
    </row>
    <row r="504" customFormat="false" ht="15" hidden="false" customHeight="false" outlineLevel="0" collapsed="false">
      <c r="A504" s="29" t="s">
        <v>640</v>
      </c>
      <c r="C504" s="28" t="n">
        <v>3960000000</v>
      </c>
      <c r="F504" s="22" t="s">
        <v>776</v>
      </c>
      <c r="I504" s="41" t="n">
        <f aca="false">_xlfn.MAXIFS($B$512:$B$752,$B$512:$B$752,"&lt;="&amp;Resumen!$C$5)</f>
        <v>46231</v>
      </c>
    </row>
    <row r="505" customFormat="false" ht="15" hidden="false" customHeight="false" outlineLevel="0" collapsed="false">
      <c r="A505" s="29" t="s">
        <v>641</v>
      </c>
      <c r="C505" s="23" t="n">
        <v>44405</v>
      </c>
      <c r="F505" s="22" t="s">
        <v>777</v>
      </c>
      <c r="I505" s="25" t="n">
        <f aca="false">SUMIFS($G$512:$G$752,$B$512:$B$752,I504)</f>
        <v>3960000000</v>
      </c>
    </row>
    <row r="506" customFormat="false" ht="15" hidden="false" customHeight="false" outlineLevel="0" collapsed="false">
      <c r="A506" s="29" t="s">
        <v>778</v>
      </c>
      <c r="C506" s="22" t="s">
        <v>824</v>
      </c>
      <c r="F506" s="22" t="s">
        <v>780</v>
      </c>
      <c r="I506" s="25" t="n">
        <f aca="false">SUMIFS($J$512:$J$752,$B$512:$B$752,I504)</f>
        <v>3960000000</v>
      </c>
    </row>
    <row r="507" customFormat="false" ht="15" hidden="false" customHeight="false" outlineLevel="0" collapsed="false">
      <c r="A507" s="29" t="s">
        <v>781</v>
      </c>
      <c r="C507" s="48" t="s">
        <v>818</v>
      </c>
      <c r="F507" s="22" t="s">
        <v>650</v>
      </c>
      <c r="I507" s="25" t="n">
        <f aca="false">SUMIFS($D$512:$D$752,$O$512:$O$752,1)</f>
        <v>346760700</v>
      </c>
    </row>
    <row r="508" customFormat="false" ht="15" hidden="false" customHeight="false" outlineLevel="0" collapsed="false">
      <c r="A508" s="29" t="s">
        <v>782</v>
      </c>
      <c r="C508" s="49" t="str">
        <f aca="false">IFERROR(IRR($M$512:$M$752),"N/A")</f>
        <v>N/A</v>
      </c>
      <c r="F508" s="22" t="s">
        <v>783</v>
      </c>
      <c r="I508" s="25" t="n">
        <f aca="false">SUMIFS($E$512:$E$752,$P$512:$P$752,1)</f>
        <v>0</v>
      </c>
    </row>
    <row r="509" customFormat="false" ht="15" hidden="false" customHeight="false" outlineLevel="0" collapsed="false">
      <c r="A509" s="29" t="s">
        <v>784</v>
      </c>
      <c r="C509" s="50" t="str">
        <f aca="false">IF(ISNUMBER(C508),(1+C508)^12-1,"N/A")</f>
        <v>N/A</v>
      </c>
      <c r="F509" s="22" t="s">
        <v>785</v>
      </c>
      <c r="I509" s="25" t="n">
        <f aca="false">SUMPRODUCT(MAX(ABS($L$512:$L$752)))</f>
        <v>2.14576721191406E-006</v>
      </c>
    </row>
    <row r="511" customFormat="false" ht="36" hidden="false" customHeight="true" outlineLevel="0" collapsed="false">
      <c r="A511" s="27" t="s">
        <v>786</v>
      </c>
      <c r="B511" s="27" t="s">
        <v>396</v>
      </c>
      <c r="C511" s="27" t="s">
        <v>787</v>
      </c>
      <c r="D511" s="27" t="s">
        <v>788</v>
      </c>
      <c r="E511" s="27" t="s">
        <v>789</v>
      </c>
      <c r="F511" s="27" t="s">
        <v>790</v>
      </c>
      <c r="G511" s="27" t="s">
        <v>791</v>
      </c>
      <c r="H511" s="27" t="s">
        <v>792</v>
      </c>
      <c r="I511" s="27" t="s">
        <v>793</v>
      </c>
      <c r="J511" s="27" t="s">
        <v>794</v>
      </c>
      <c r="K511" s="27" t="s">
        <v>795</v>
      </c>
      <c r="L511" s="27" t="s">
        <v>796</v>
      </c>
      <c r="M511" s="27" t="s">
        <v>797</v>
      </c>
      <c r="N511" s="27" t="s">
        <v>798</v>
      </c>
      <c r="O511" s="27" t="s">
        <v>799</v>
      </c>
      <c r="P511" s="27" t="s">
        <v>800</v>
      </c>
    </row>
    <row r="512" customFormat="false" ht="15" hidden="false" customHeight="false" outlineLevel="0" collapsed="false">
      <c r="A512" s="22" t="n">
        <v>0</v>
      </c>
      <c r="B512" s="23" t="n">
        <v>44405</v>
      </c>
      <c r="C512" s="28" t="n">
        <v>3960000000</v>
      </c>
      <c r="D512" s="28" t="n">
        <v>0</v>
      </c>
      <c r="E512" s="28" t="n">
        <v>0</v>
      </c>
      <c r="F512" s="28" t="n">
        <v>0</v>
      </c>
      <c r="G512" s="28" t="n">
        <v>3960000000</v>
      </c>
      <c r="H512" s="25" t="n">
        <f aca="false">C512</f>
        <v>3960000000</v>
      </c>
      <c r="I512" s="25" t="n">
        <f aca="false">H512*N512</f>
        <v>18555900</v>
      </c>
      <c r="J512" s="25" t="n">
        <f aca="false">H512-E512</f>
        <v>3960000000</v>
      </c>
      <c r="K512" s="25" t="n">
        <f aca="false">D512-I512</f>
        <v>-18555900</v>
      </c>
      <c r="L512" s="25" t="n">
        <f aca="false">G512-J512</f>
        <v>0</v>
      </c>
      <c r="M512" s="25" t="n">
        <f aca="false">-$C$504</f>
        <v>-3960000000</v>
      </c>
      <c r="N512" s="48" t="n">
        <v>0.00468583333333333</v>
      </c>
      <c r="O512" s="25" t="n">
        <f aca="false">IF(AND(B512&gt;=DATE(2026,1,1),B512&lt;=Resumen!$C$5),1,0)</f>
        <v>0</v>
      </c>
      <c r="P512" s="25" t="n">
        <f aca="false">IF(AND(B512&gt;Resumen!$C$5,B512&lt;=DATE(2027,7,31)),1,0)</f>
        <v>0</v>
      </c>
    </row>
    <row r="513" customFormat="false" ht="15" hidden="false" customHeight="false" outlineLevel="0" collapsed="false">
      <c r="A513" s="22" t="n">
        <v>1</v>
      </c>
      <c r="B513" s="23" t="n">
        <v>44436</v>
      </c>
      <c r="C513" s="28" t="n">
        <v>3960000000</v>
      </c>
      <c r="D513" s="28" t="n">
        <v>18981600</v>
      </c>
      <c r="E513" s="28" t="n">
        <v>0</v>
      </c>
      <c r="F513" s="28" t="n">
        <v>18981600</v>
      </c>
      <c r="G513" s="28" t="n">
        <v>3960000000</v>
      </c>
      <c r="H513" s="25" t="n">
        <f aca="false">J512</f>
        <v>3960000000</v>
      </c>
      <c r="I513" s="25" t="n">
        <f aca="false">H513*N513</f>
        <v>18981600</v>
      </c>
      <c r="J513" s="25" t="n">
        <f aca="false">H513-E513</f>
        <v>3960000000</v>
      </c>
      <c r="K513" s="25" t="n">
        <f aca="false">D513-I513</f>
        <v>0</v>
      </c>
      <c r="L513" s="25" t="n">
        <f aca="false">G513-J513</f>
        <v>0</v>
      </c>
      <c r="M513" s="25" t="n">
        <f aca="false">F513</f>
        <v>18981600</v>
      </c>
      <c r="N513" s="48" t="n">
        <v>0.00479333333333333</v>
      </c>
      <c r="O513" s="25" t="n">
        <f aca="false">IF(AND(B513&gt;=DATE(2026,1,1),B513&lt;=Resumen!$C$5),1,0)</f>
        <v>0</v>
      </c>
      <c r="P513" s="25" t="n">
        <f aca="false">IF(AND(B513&gt;Resumen!$C$5,B513&lt;=DATE(2027,7,31)),1,0)</f>
        <v>0</v>
      </c>
    </row>
    <row r="514" customFormat="false" ht="15" hidden="false" customHeight="false" outlineLevel="0" collapsed="false">
      <c r="A514" s="22" t="n">
        <v>2</v>
      </c>
      <c r="B514" s="23" t="n">
        <v>44467</v>
      </c>
      <c r="C514" s="28" t="n">
        <v>3960000000</v>
      </c>
      <c r="D514" s="28" t="n">
        <v>20889000</v>
      </c>
      <c r="E514" s="28" t="n">
        <v>0</v>
      </c>
      <c r="F514" s="28" t="n">
        <v>20889000</v>
      </c>
      <c r="G514" s="28" t="n">
        <v>3960000000</v>
      </c>
      <c r="H514" s="25" t="n">
        <f aca="false">J513</f>
        <v>3960000000</v>
      </c>
      <c r="I514" s="25" t="n">
        <f aca="false">H514*N514</f>
        <v>20889000</v>
      </c>
      <c r="J514" s="25" t="n">
        <f aca="false">H514-E514</f>
        <v>3960000000</v>
      </c>
      <c r="K514" s="25" t="n">
        <f aca="false">D514-I514</f>
        <v>0</v>
      </c>
      <c r="L514" s="25" t="n">
        <f aca="false">G514-J514</f>
        <v>0</v>
      </c>
      <c r="M514" s="25" t="n">
        <f aca="false">F514</f>
        <v>20889000</v>
      </c>
      <c r="N514" s="48" t="n">
        <v>0.005275</v>
      </c>
      <c r="O514" s="25" t="n">
        <f aca="false">IF(AND(B514&gt;=DATE(2026,1,1),B514&lt;=Resumen!$C$5),1,0)</f>
        <v>0</v>
      </c>
      <c r="P514" s="25" t="n">
        <f aca="false">IF(AND(B514&gt;Resumen!$C$5,B514&lt;=DATE(2027,7,31)),1,0)</f>
        <v>0</v>
      </c>
    </row>
    <row r="515" customFormat="false" ht="15" hidden="false" customHeight="false" outlineLevel="0" collapsed="false">
      <c r="A515" s="22" t="n">
        <v>3</v>
      </c>
      <c r="B515" s="23" t="n">
        <v>44497</v>
      </c>
      <c r="C515" s="28" t="n">
        <v>3960000000</v>
      </c>
      <c r="D515" s="28" t="n">
        <v>21928500</v>
      </c>
      <c r="E515" s="28" t="n">
        <v>0</v>
      </c>
      <c r="F515" s="28" t="n">
        <v>21928500</v>
      </c>
      <c r="G515" s="28" t="n">
        <v>3960000000</v>
      </c>
      <c r="H515" s="25" t="n">
        <f aca="false">J514</f>
        <v>3960000000</v>
      </c>
      <c r="I515" s="25" t="n">
        <f aca="false">H515*N515</f>
        <v>21928500</v>
      </c>
      <c r="J515" s="25" t="n">
        <f aca="false">H515-E515</f>
        <v>3960000000</v>
      </c>
      <c r="K515" s="25" t="n">
        <f aca="false">D515-I515</f>
        <v>0</v>
      </c>
      <c r="L515" s="25" t="n">
        <f aca="false">G515-J515</f>
        <v>0</v>
      </c>
      <c r="M515" s="25" t="n">
        <f aca="false">F515</f>
        <v>21928500</v>
      </c>
      <c r="N515" s="48" t="n">
        <v>0.0055375</v>
      </c>
      <c r="O515" s="25" t="n">
        <f aca="false">IF(AND(B515&gt;=DATE(2026,1,1),B515&lt;=Resumen!$C$5),1,0)</f>
        <v>0</v>
      </c>
      <c r="P515" s="25" t="n">
        <f aca="false">IF(AND(B515&gt;Resumen!$C$5,B515&lt;=DATE(2027,7,31)),1,0)</f>
        <v>0</v>
      </c>
    </row>
    <row r="516" customFormat="false" ht="15" hidden="false" customHeight="false" outlineLevel="0" collapsed="false">
      <c r="A516" s="22" t="n">
        <v>4</v>
      </c>
      <c r="B516" s="23" t="n">
        <v>44528</v>
      </c>
      <c r="C516" s="28" t="n">
        <v>3960000000</v>
      </c>
      <c r="D516" s="28" t="n">
        <v>22839300</v>
      </c>
      <c r="E516" s="28" t="n">
        <v>0</v>
      </c>
      <c r="F516" s="28" t="n">
        <v>22839300</v>
      </c>
      <c r="G516" s="28" t="n">
        <v>3960000000</v>
      </c>
      <c r="H516" s="25" t="n">
        <f aca="false">J515</f>
        <v>3960000000</v>
      </c>
      <c r="I516" s="25" t="n">
        <f aca="false">H516*N516</f>
        <v>22839300</v>
      </c>
      <c r="J516" s="25" t="n">
        <f aca="false">H516-E516</f>
        <v>3960000000</v>
      </c>
      <c r="K516" s="25" t="n">
        <f aca="false">D516-I516</f>
        <v>0</v>
      </c>
      <c r="L516" s="25" t="n">
        <f aca="false">G516-J516</f>
        <v>0</v>
      </c>
      <c r="M516" s="25" t="n">
        <f aca="false">F516</f>
        <v>22839300</v>
      </c>
      <c r="N516" s="48" t="n">
        <v>0.0057675</v>
      </c>
      <c r="O516" s="25" t="n">
        <f aca="false">IF(AND(B516&gt;=DATE(2026,1,1),B516&lt;=Resumen!$C$5),1,0)</f>
        <v>0</v>
      </c>
      <c r="P516" s="25" t="n">
        <f aca="false">IF(AND(B516&gt;Resumen!$C$5,B516&lt;=DATE(2027,7,31)),1,0)</f>
        <v>0</v>
      </c>
    </row>
    <row r="517" customFormat="false" ht="15" hidden="false" customHeight="false" outlineLevel="0" collapsed="false">
      <c r="A517" s="22" t="n">
        <v>5</v>
      </c>
      <c r="B517" s="23" t="n">
        <v>44558</v>
      </c>
      <c r="C517" s="28" t="n">
        <v>3960000000</v>
      </c>
      <c r="D517" s="28" t="n">
        <v>24984300</v>
      </c>
      <c r="E517" s="28" t="n">
        <v>0</v>
      </c>
      <c r="F517" s="28" t="n">
        <v>24984300</v>
      </c>
      <c r="G517" s="28" t="n">
        <v>3960000000</v>
      </c>
      <c r="H517" s="25" t="n">
        <f aca="false">J516</f>
        <v>3960000000</v>
      </c>
      <c r="I517" s="25" t="n">
        <f aca="false">H517*N517</f>
        <v>24984300</v>
      </c>
      <c r="J517" s="25" t="n">
        <f aca="false">H517-E517</f>
        <v>3960000000</v>
      </c>
      <c r="K517" s="25" t="n">
        <f aca="false">D517-I517</f>
        <v>0</v>
      </c>
      <c r="L517" s="25" t="n">
        <f aca="false">G517-J517</f>
        <v>0</v>
      </c>
      <c r="M517" s="25" t="n">
        <f aca="false">F517</f>
        <v>24984300</v>
      </c>
      <c r="N517" s="48" t="n">
        <v>0.00630916666666667</v>
      </c>
      <c r="O517" s="25" t="n">
        <f aca="false">IF(AND(B517&gt;=DATE(2026,1,1),B517&lt;=Resumen!$C$5),1,0)</f>
        <v>0</v>
      </c>
      <c r="P517" s="25" t="n">
        <f aca="false">IF(AND(B517&gt;Resumen!$C$5,B517&lt;=DATE(2027,7,31)),1,0)</f>
        <v>0</v>
      </c>
    </row>
    <row r="518" customFormat="false" ht="15" hidden="false" customHeight="false" outlineLevel="0" collapsed="false">
      <c r="A518" s="22" t="n">
        <v>6</v>
      </c>
      <c r="B518" s="23" t="n">
        <v>44589</v>
      </c>
      <c r="C518" s="28" t="n">
        <v>3960000000</v>
      </c>
      <c r="D518" s="28" t="n">
        <v>27888300</v>
      </c>
      <c r="E518" s="28" t="n">
        <v>0</v>
      </c>
      <c r="F518" s="28" t="n">
        <v>27888300</v>
      </c>
      <c r="G518" s="28" t="n">
        <v>3960000000</v>
      </c>
      <c r="H518" s="25" t="n">
        <f aca="false">J517</f>
        <v>3960000000</v>
      </c>
      <c r="I518" s="25" t="n">
        <f aca="false">H518*N518</f>
        <v>27888300</v>
      </c>
      <c r="J518" s="25" t="n">
        <f aca="false">H518-E518</f>
        <v>3960000000</v>
      </c>
      <c r="K518" s="25" t="n">
        <f aca="false">D518-I518</f>
        <v>0</v>
      </c>
      <c r="L518" s="25" t="n">
        <f aca="false">G518-J518</f>
        <v>0</v>
      </c>
      <c r="M518" s="25" t="n">
        <f aca="false">F518</f>
        <v>27888300</v>
      </c>
      <c r="N518" s="48" t="n">
        <v>0.0070425</v>
      </c>
      <c r="O518" s="25" t="n">
        <f aca="false">IF(AND(B518&gt;=DATE(2026,1,1),B518&lt;=Resumen!$C$5),1,0)</f>
        <v>0</v>
      </c>
      <c r="P518" s="25" t="n">
        <f aca="false">IF(AND(B518&gt;Resumen!$C$5,B518&lt;=DATE(2027,7,31)),1,0)</f>
        <v>0</v>
      </c>
    </row>
    <row r="519" customFormat="false" ht="15" hidden="false" customHeight="false" outlineLevel="0" collapsed="false">
      <c r="A519" s="22" t="n">
        <v>7</v>
      </c>
      <c r="B519" s="23" t="n">
        <v>44620</v>
      </c>
      <c r="C519" s="28" t="n">
        <v>3960000000</v>
      </c>
      <c r="D519" s="28" t="n">
        <v>34679700</v>
      </c>
      <c r="E519" s="28" t="n">
        <v>0</v>
      </c>
      <c r="F519" s="28" t="n">
        <v>34679700</v>
      </c>
      <c r="G519" s="28" t="n">
        <v>3960000000</v>
      </c>
      <c r="H519" s="25" t="n">
        <f aca="false">J518</f>
        <v>3960000000</v>
      </c>
      <c r="I519" s="25" t="n">
        <f aca="false">H519*N519</f>
        <v>34679700</v>
      </c>
      <c r="J519" s="25" t="n">
        <f aca="false">H519-E519</f>
        <v>3960000000</v>
      </c>
      <c r="K519" s="25" t="n">
        <f aca="false">D519-I519</f>
        <v>0</v>
      </c>
      <c r="L519" s="25" t="n">
        <f aca="false">G519-J519</f>
        <v>0</v>
      </c>
      <c r="M519" s="25" t="n">
        <f aca="false">F519</f>
        <v>34679700</v>
      </c>
      <c r="N519" s="48" t="n">
        <v>0.0087575</v>
      </c>
      <c r="O519" s="25" t="n">
        <f aca="false">IF(AND(B519&gt;=DATE(2026,1,1),B519&lt;=Resumen!$C$5),1,0)</f>
        <v>0</v>
      </c>
      <c r="P519" s="25" t="n">
        <f aca="false">IF(AND(B519&gt;Resumen!$C$5,B519&lt;=DATE(2027,7,31)),1,0)</f>
        <v>0</v>
      </c>
    </row>
    <row r="520" customFormat="false" ht="15" hidden="false" customHeight="false" outlineLevel="0" collapsed="false">
      <c r="A520" s="22" t="n">
        <v>8</v>
      </c>
      <c r="B520" s="23" t="n">
        <v>44648</v>
      </c>
      <c r="C520" s="28" t="n">
        <v>3960000000</v>
      </c>
      <c r="D520" s="28" t="n">
        <v>34438800</v>
      </c>
      <c r="E520" s="28" t="n">
        <v>0</v>
      </c>
      <c r="F520" s="28" t="n">
        <v>34438800</v>
      </c>
      <c r="G520" s="28" t="n">
        <v>3960000000</v>
      </c>
      <c r="H520" s="25" t="n">
        <f aca="false">J519</f>
        <v>3960000000</v>
      </c>
      <c r="I520" s="25" t="n">
        <f aca="false">H520*N520</f>
        <v>34438800</v>
      </c>
      <c r="J520" s="25" t="n">
        <f aca="false">H520-E520</f>
        <v>3960000000</v>
      </c>
      <c r="K520" s="25" t="n">
        <f aca="false">D520-I520</f>
        <v>0</v>
      </c>
      <c r="L520" s="25" t="n">
        <f aca="false">G520-J520</f>
        <v>0</v>
      </c>
      <c r="M520" s="25" t="n">
        <f aca="false">F520</f>
        <v>34438800</v>
      </c>
      <c r="N520" s="48" t="n">
        <v>0.00869666666666667</v>
      </c>
      <c r="O520" s="25" t="n">
        <f aca="false">IF(AND(B520&gt;=DATE(2026,1,1),B520&lt;=Resumen!$C$5),1,0)</f>
        <v>0</v>
      </c>
      <c r="P520" s="25" t="n">
        <f aca="false">IF(AND(B520&gt;Resumen!$C$5,B520&lt;=DATE(2027,7,31)),1,0)</f>
        <v>0</v>
      </c>
    </row>
    <row r="521" customFormat="false" ht="15" hidden="false" customHeight="false" outlineLevel="0" collapsed="false">
      <c r="A521" s="22" t="n">
        <v>9</v>
      </c>
      <c r="B521" s="23" t="n">
        <v>44679</v>
      </c>
      <c r="C521" s="28" t="n">
        <v>3960000000</v>
      </c>
      <c r="D521" s="28" t="n">
        <v>37412100</v>
      </c>
      <c r="E521" s="28" t="n">
        <v>0</v>
      </c>
      <c r="F521" s="28" t="n">
        <v>37412100</v>
      </c>
      <c r="G521" s="28" t="n">
        <v>3960000000</v>
      </c>
      <c r="H521" s="25" t="n">
        <f aca="false">J520</f>
        <v>3960000000</v>
      </c>
      <c r="I521" s="25" t="n">
        <f aca="false">H521*N521</f>
        <v>37412100</v>
      </c>
      <c r="J521" s="25" t="n">
        <f aca="false">H521-E521</f>
        <v>3960000000</v>
      </c>
      <c r="K521" s="25" t="n">
        <f aca="false">D521-I521</f>
        <v>0</v>
      </c>
      <c r="L521" s="25" t="n">
        <f aca="false">G521-J521</f>
        <v>0</v>
      </c>
      <c r="M521" s="25" t="n">
        <f aca="false">F521</f>
        <v>37412100</v>
      </c>
      <c r="N521" s="48" t="n">
        <v>0.0094475</v>
      </c>
      <c r="O521" s="25" t="n">
        <f aca="false">IF(AND(B521&gt;=DATE(2026,1,1),B521&lt;=Resumen!$C$5),1,0)</f>
        <v>0</v>
      </c>
      <c r="P521" s="25" t="n">
        <f aca="false">IF(AND(B521&gt;Resumen!$C$5,B521&lt;=DATE(2027,7,31)),1,0)</f>
        <v>0</v>
      </c>
    </row>
    <row r="522" customFormat="false" ht="15" hidden="false" customHeight="false" outlineLevel="0" collapsed="false">
      <c r="A522" s="22" t="n">
        <v>10</v>
      </c>
      <c r="B522" s="23" t="n">
        <v>44709</v>
      </c>
      <c r="C522" s="28" t="n">
        <v>3960000000</v>
      </c>
      <c r="D522" s="28" t="n">
        <v>38148000</v>
      </c>
      <c r="E522" s="28" t="n">
        <v>0</v>
      </c>
      <c r="F522" s="28" t="n">
        <v>38148000</v>
      </c>
      <c r="G522" s="28" t="n">
        <v>3960000000</v>
      </c>
      <c r="H522" s="25" t="n">
        <f aca="false">J521</f>
        <v>3960000000</v>
      </c>
      <c r="I522" s="25" t="n">
        <f aca="false">H522*N522</f>
        <v>38148000</v>
      </c>
      <c r="J522" s="25" t="n">
        <f aca="false">H522-E522</f>
        <v>3960000000</v>
      </c>
      <c r="K522" s="25" t="n">
        <f aca="false">D522-I522</f>
        <v>0</v>
      </c>
      <c r="L522" s="25" t="n">
        <f aca="false">G522-J522</f>
        <v>0</v>
      </c>
      <c r="M522" s="25" t="n">
        <f aca="false">F522</f>
        <v>38148000</v>
      </c>
      <c r="N522" s="48" t="n">
        <v>0.00963333333333333</v>
      </c>
      <c r="O522" s="25" t="n">
        <f aca="false">IF(AND(B522&gt;=DATE(2026,1,1),B522&lt;=Resumen!$C$5),1,0)</f>
        <v>0</v>
      </c>
      <c r="P522" s="25" t="n">
        <f aca="false">IF(AND(B522&gt;Resumen!$C$5,B522&lt;=DATE(2027,7,31)),1,0)</f>
        <v>0</v>
      </c>
    </row>
    <row r="523" customFormat="false" ht="15" hidden="false" customHeight="false" outlineLevel="0" collapsed="false">
      <c r="A523" s="22" t="n">
        <v>11</v>
      </c>
      <c r="B523" s="23" t="n">
        <v>44740</v>
      </c>
      <c r="C523" s="28" t="n">
        <v>3960000000</v>
      </c>
      <c r="D523" s="28" t="n">
        <v>38148000</v>
      </c>
      <c r="E523" s="28" t="n">
        <v>0</v>
      </c>
      <c r="F523" s="28" t="n">
        <v>38148000</v>
      </c>
      <c r="G523" s="28" t="n">
        <v>3960000000</v>
      </c>
      <c r="H523" s="25" t="n">
        <f aca="false">J522</f>
        <v>3960000000</v>
      </c>
      <c r="I523" s="25" t="n">
        <f aca="false">H523*N523</f>
        <v>38148000</v>
      </c>
      <c r="J523" s="25" t="n">
        <f aca="false">H523-E523</f>
        <v>3960000000</v>
      </c>
      <c r="K523" s="25" t="n">
        <f aca="false">D523-I523</f>
        <v>0</v>
      </c>
      <c r="L523" s="25" t="n">
        <f aca="false">G523-J523</f>
        <v>0</v>
      </c>
      <c r="M523" s="25" t="n">
        <f aca="false">F523</f>
        <v>38148000</v>
      </c>
      <c r="N523" s="48" t="n">
        <v>0.00963333333333333</v>
      </c>
      <c r="O523" s="25" t="n">
        <f aca="false">IF(AND(B523&gt;=DATE(2026,1,1),B523&lt;=Resumen!$C$5),1,0)</f>
        <v>0</v>
      </c>
      <c r="P523" s="25" t="n">
        <f aca="false">IF(AND(B523&gt;Resumen!$C$5,B523&lt;=DATE(2027,7,31)),1,0)</f>
        <v>0</v>
      </c>
    </row>
    <row r="524" customFormat="false" ht="15" hidden="false" customHeight="false" outlineLevel="0" collapsed="false">
      <c r="A524" s="22" t="n">
        <v>12</v>
      </c>
      <c r="B524" s="23" t="n">
        <v>44770</v>
      </c>
      <c r="C524" s="28" t="n">
        <v>3960000000</v>
      </c>
      <c r="D524" s="28" t="n">
        <v>44111100</v>
      </c>
      <c r="E524" s="28" t="n">
        <v>0</v>
      </c>
      <c r="F524" s="28" t="n">
        <v>44111100</v>
      </c>
      <c r="G524" s="28" t="n">
        <v>3960000000</v>
      </c>
      <c r="H524" s="25" t="n">
        <f aca="false">J523</f>
        <v>3960000000</v>
      </c>
      <c r="I524" s="25" t="n">
        <f aca="false">H524*N524</f>
        <v>44111100</v>
      </c>
      <c r="J524" s="25" t="n">
        <f aca="false">H524-E524</f>
        <v>3960000000</v>
      </c>
      <c r="K524" s="25" t="n">
        <f aca="false">D524-I524</f>
        <v>0</v>
      </c>
      <c r="L524" s="25" t="n">
        <f aca="false">G524-J524</f>
        <v>0</v>
      </c>
      <c r="M524" s="25" t="n">
        <f aca="false">F524</f>
        <v>44111100</v>
      </c>
      <c r="N524" s="48" t="n">
        <v>0.0111391666666667</v>
      </c>
      <c r="O524" s="25" t="n">
        <f aca="false">IF(AND(B524&gt;=DATE(2026,1,1),B524&lt;=Resumen!$C$5),1,0)</f>
        <v>0</v>
      </c>
      <c r="P524" s="25" t="n">
        <f aca="false">IF(AND(B524&gt;Resumen!$C$5,B524&lt;=DATE(2027,7,31)),1,0)</f>
        <v>0</v>
      </c>
    </row>
    <row r="525" customFormat="false" ht="15" hidden="false" customHeight="false" outlineLevel="0" collapsed="false">
      <c r="A525" s="22" t="n">
        <v>13</v>
      </c>
      <c r="B525" s="23" t="n">
        <v>44801</v>
      </c>
      <c r="C525" s="28" t="n">
        <v>3960000000</v>
      </c>
      <c r="D525" s="28" t="n">
        <v>46447500</v>
      </c>
      <c r="E525" s="28" t="n">
        <v>0</v>
      </c>
      <c r="F525" s="28" t="n">
        <v>46447500</v>
      </c>
      <c r="G525" s="28" t="n">
        <v>3960000000</v>
      </c>
      <c r="H525" s="25" t="n">
        <f aca="false">J524</f>
        <v>3960000000</v>
      </c>
      <c r="I525" s="25" t="n">
        <f aca="false">H525*N525</f>
        <v>46447500</v>
      </c>
      <c r="J525" s="25" t="n">
        <f aca="false">H525-E525</f>
        <v>3960000000</v>
      </c>
      <c r="K525" s="25" t="n">
        <f aca="false">D525-I525</f>
        <v>0</v>
      </c>
      <c r="L525" s="25" t="n">
        <f aca="false">G525-J525</f>
        <v>0</v>
      </c>
      <c r="M525" s="25" t="n">
        <f aca="false">F525</f>
        <v>46447500</v>
      </c>
      <c r="N525" s="48" t="n">
        <v>0.0117291666666667</v>
      </c>
      <c r="O525" s="25" t="n">
        <f aca="false">IF(AND(B525&gt;=DATE(2026,1,1),B525&lt;=Resumen!$C$5),1,0)</f>
        <v>0</v>
      </c>
      <c r="P525" s="25" t="n">
        <f aca="false">IF(AND(B525&gt;Resumen!$C$5,B525&lt;=DATE(2027,7,31)),1,0)</f>
        <v>0</v>
      </c>
    </row>
    <row r="526" customFormat="false" ht="15" hidden="false" customHeight="false" outlineLevel="0" collapsed="false">
      <c r="A526" s="22" t="n">
        <v>14</v>
      </c>
      <c r="B526" s="23" t="n">
        <v>44832</v>
      </c>
      <c r="C526" s="28" t="n">
        <v>3960000000</v>
      </c>
      <c r="D526" s="28" t="n">
        <v>48404400</v>
      </c>
      <c r="E526" s="28" t="n">
        <v>0</v>
      </c>
      <c r="F526" s="28" t="n">
        <v>48404400</v>
      </c>
      <c r="G526" s="28" t="n">
        <v>3960000000</v>
      </c>
      <c r="H526" s="25" t="n">
        <f aca="false">J525</f>
        <v>3960000000</v>
      </c>
      <c r="I526" s="25" t="n">
        <f aca="false">H526*N526</f>
        <v>48404400</v>
      </c>
      <c r="J526" s="25" t="n">
        <f aca="false">H526-E526</f>
        <v>3960000000</v>
      </c>
      <c r="K526" s="25" t="n">
        <f aca="false">D526-I526</f>
        <v>0</v>
      </c>
      <c r="L526" s="25" t="n">
        <f aca="false">G526-J526</f>
        <v>0</v>
      </c>
      <c r="M526" s="25" t="n">
        <f aca="false">F526</f>
        <v>48404400</v>
      </c>
      <c r="N526" s="48" t="n">
        <v>0.0122233333333333</v>
      </c>
      <c r="O526" s="25" t="n">
        <f aca="false">IF(AND(B526&gt;=DATE(2026,1,1),B526&lt;=Resumen!$C$5),1,0)</f>
        <v>0</v>
      </c>
      <c r="P526" s="25" t="n">
        <f aca="false">IF(AND(B526&gt;Resumen!$C$5,B526&lt;=DATE(2027,7,31)),1,0)</f>
        <v>0</v>
      </c>
    </row>
    <row r="527" customFormat="false" ht="15" hidden="false" customHeight="false" outlineLevel="0" collapsed="false">
      <c r="A527" s="22" t="n">
        <v>15</v>
      </c>
      <c r="B527" s="23" t="n">
        <v>44862</v>
      </c>
      <c r="C527" s="28" t="n">
        <v>3960000000</v>
      </c>
      <c r="D527" s="28" t="n">
        <v>50892600</v>
      </c>
      <c r="E527" s="28" t="n">
        <v>0</v>
      </c>
      <c r="F527" s="28" t="n">
        <v>50892600</v>
      </c>
      <c r="G527" s="28" t="n">
        <v>3960000000</v>
      </c>
      <c r="H527" s="25" t="n">
        <f aca="false">J526</f>
        <v>3960000000</v>
      </c>
      <c r="I527" s="25" t="n">
        <f aca="false">H527*N527</f>
        <v>50892600</v>
      </c>
      <c r="J527" s="25" t="n">
        <f aca="false">H527-E527</f>
        <v>3960000000</v>
      </c>
      <c r="K527" s="25" t="n">
        <f aca="false">D527-I527</f>
        <v>0</v>
      </c>
      <c r="L527" s="25" t="n">
        <f aca="false">G527-J527</f>
        <v>0</v>
      </c>
      <c r="M527" s="25" t="n">
        <f aca="false">F527</f>
        <v>50892600</v>
      </c>
      <c r="N527" s="48" t="n">
        <v>0.0128516666666667</v>
      </c>
      <c r="O527" s="25" t="n">
        <f aca="false">IF(AND(B527&gt;=DATE(2026,1,1),B527&lt;=Resumen!$C$5),1,0)</f>
        <v>0</v>
      </c>
      <c r="P527" s="25" t="n">
        <f aca="false">IF(AND(B527&gt;Resumen!$C$5,B527&lt;=DATE(2027,7,31)),1,0)</f>
        <v>0</v>
      </c>
    </row>
    <row r="528" customFormat="false" ht="15" hidden="false" customHeight="false" outlineLevel="0" collapsed="false">
      <c r="A528" s="22" t="n">
        <v>16</v>
      </c>
      <c r="B528" s="23" t="n">
        <v>44893</v>
      </c>
      <c r="C528" s="28" t="n">
        <v>3960000000</v>
      </c>
      <c r="D528" s="28" t="n">
        <v>51466800</v>
      </c>
      <c r="E528" s="28" t="n">
        <v>0</v>
      </c>
      <c r="F528" s="28" t="n">
        <v>51466800</v>
      </c>
      <c r="G528" s="28" t="n">
        <v>3960000000</v>
      </c>
      <c r="H528" s="25" t="n">
        <f aca="false">J527</f>
        <v>3960000000</v>
      </c>
      <c r="I528" s="25" t="n">
        <f aca="false">H528*N528</f>
        <v>51466800</v>
      </c>
      <c r="J528" s="25" t="n">
        <f aca="false">H528-E528</f>
        <v>3960000000</v>
      </c>
      <c r="K528" s="25" t="n">
        <f aca="false">D528-I528</f>
        <v>0</v>
      </c>
      <c r="L528" s="25" t="n">
        <f aca="false">G528-J528</f>
        <v>0</v>
      </c>
      <c r="M528" s="25" t="n">
        <f aca="false">F528</f>
        <v>51466800</v>
      </c>
      <c r="N528" s="48" t="n">
        <v>0.0129966666666667</v>
      </c>
      <c r="O528" s="25" t="n">
        <f aca="false">IF(AND(B528&gt;=DATE(2026,1,1),B528&lt;=Resumen!$C$5),1,0)</f>
        <v>0</v>
      </c>
      <c r="P528" s="25" t="n">
        <f aca="false">IF(AND(B528&gt;Resumen!$C$5,B528&lt;=DATE(2027,7,31)),1,0)</f>
        <v>0</v>
      </c>
    </row>
    <row r="529" customFormat="false" ht="15" hidden="false" customHeight="false" outlineLevel="0" collapsed="false">
      <c r="A529" s="22" t="n">
        <v>17</v>
      </c>
      <c r="B529" s="23" t="n">
        <v>44923</v>
      </c>
      <c r="C529" s="28" t="n">
        <v>3960000000</v>
      </c>
      <c r="D529" s="28" t="n">
        <v>52684500</v>
      </c>
      <c r="E529" s="28" t="n">
        <v>0</v>
      </c>
      <c r="F529" s="28" t="n">
        <v>52684500</v>
      </c>
      <c r="G529" s="28" t="n">
        <v>3960000000</v>
      </c>
      <c r="H529" s="25" t="n">
        <f aca="false">J528</f>
        <v>3960000000</v>
      </c>
      <c r="I529" s="25" t="n">
        <f aca="false">H529*N529</f>
        <v>52684500</v>
      </c>
      <c r="J529" s="25" t="n">
        <f aca="false">H529-E529</f>
        <v>3960000000</v>
      </c>
      <c r="K529" s="25" t="n">
        <f aca="false">D529-I529</f>
        <v>0</v>
      </c>
      <c r="L529" s="25" t="n">
        <f aca="false">G529-J529</f>
        <v>0</v>
      </c>
      <c r="M529" s="25" t="n">
        <f aca="false">F529</f>
        <v>52684500</v>
      </c>
      <c r="N529" s="48" t="n">
        <v>0.0133041666666667</v>
      </c>
      <c r="O529" s="25" t="n">
        <f aca="false">IF(AND(B529&gt;=DATE(2026,1,1),B529&lt;=Resumen!$C$5),1,0)</f>
        <v>0</v>
      </c>
      <c r="P529" s="25" t="n">
        <f aca="false">IF(AND(B529&gt;Resumen!$C$5,B529&lt;=DATE(2027,7,31)),1,0)</f>
        <v>0</v>
      </c>
    </row>
    <row r="530" customFormat="false" ht="15" hidden="false" customHeight="false" outlineLevel="0" collapsed="false">
      <c r="A530" s="22" t="n">
        <v>18</v>
      </c>
      <c r="B530" s="23" t="n">
        <v>44954</v>
      </c>
      <c r="C530" s="28" t="n">
        <v>3960000000</v>
      </c>
      <c r="D530" s="28" t="n">
        <v>53757000</v>
      </c>
      <c r="E530" s="28" t="n">
        <v>0</v>
      </c>
      <c r="F530" s="28" t="n">
        <v>53757000</v>
      </c>
      <c r="G530" s="28" t="n">
        <v>3960000000</v>
      </c>
      <c r="H530" s="25" t="n">
        <f aca="false">J529</f>
        <v>3960000000</v>
      </c>
      <c r="I530" s="25" t="n">
        <f aca="false">H530*N530</f>
        <v>53757000</v>
      </c>
      <c r="J530" s="25" t="n">
        <f aca="false">H530-E530</f>
        <v>3960000000</v>
      </c>
      <c r="K530" s="25" t="n">
        <f aca="false">D530-I530</f>
        <v>0</v>
      </c>
      <c r="L530" s="25" t="n">
        <f aca="false">G530-J530</f>
        <v>0</v>
      </c>
      <c r="M530" s="25" t="n">
        <f aca="false">F530</f>
        <v>53757000</v>
      </c>
      <c r="N530" s="48" t="n">
        <v>0.013575</v>
      </c>
      <c r="O530" s="25" t="n">
        <f aca="false">IF(AND(B530&gt;=DATE(2026,1,1),B530&lt;=Resumen!$C$5),1,0)</f>
        <v>0</v>
      </c>
      <c r="P530" s="25" t="n">
        <f aca="false">IF(AND(B530&gt;Resumen!$C$5,B530&lt;=DATE(2027,7,31)),1,0)</f>
        <v>0</v>
      </c>
    </row>
    <row r="531" customFormat="false" ht="15" hidden="false" customHeight="false" outlineLevel="0" collapsed="false">
      <c r="A531" s="22" t="n">
        <v>19</v>
      </c>
      <c r="B531" s="23" t="n">
        <v>44985</v>
      </c>
      <c r="C531" s="28" t="n">
        <v>3960000000</v>
      </c>
      <c r="D531" s="28" t="n">
        <v>54628200</v>
      </c>
      <c r="E531" s="28" t="n">
        <v>0</v>
      </c>
      <c r="F531" s="28" t="n">
        <v>54628200</v>
      </c>
      <c r="G531" s="28" t="n">
        <v>3960000000</v>
      </c>
      <c r="H531" s="25" t="n">
        <f aca="false">J530</f>
        <v>3960000000</v>
      </c>
      <c r="I531" s="25" t="n">
        <f aca="false">H531*N531</f>
        <v>54628200</v>
      </c>
      <c r="J531" s="25" t="n">
        <f aca="false">H531-E531</f>
        <v>3960000000</v>
      </c>
      <c r="K531" s="25" t="n">
        <f aca="false">D531-I531</f>
        <v>0</v>
      </c>
      <c r="L531" s="25" t="n">
        <f aca="false">G531-J531</f>
        <v>0</v>
      </c>
      <c r="M531" s="25" t="n">
        <f aca="false">F531</f>
        <v>54628200</v>
      </c>
      <c r="N531" s="48" t="n">
        <v>0.013795</v>
      </c>
      <c r="O531" s="25" t="n">
        <f aca="false">IF(AND(B531&gt;=DATE(2026,1,1),B531&lt;=Resumen!$C$5),1,0)</f>
        <v>0</v>
      </c>
      <c r="P531" s="25" t="n">
        <f aca="false">IF(AND(B531&gt;Resumen!$C$5,B531&lt;=DATE(2027,7,31)),1,0)</f>
        <v>0</v>
      </c>
    </row>
    <row r="532" customFormat="false" ht="15" hidden="false" customHeight="false" outlineLevel="0" collapsed="false">
      <c r="A532" s="22" t="n">
        <v>20</v>
      </c>
      <c r="B532" s="23" t="n">
        <v>45013</v>
      </c>
      <c r="C532" s="28" t="n">
        <v>3960000000</v>
      </c>
      <c r="D532" s="28" t="n">
        <v>53898900</v>
      </c>
      <c r="E532" s="28" t="n">
        <v>0</v>
      </c>
      <c r="F532" s="28" t="n">
        <v>53898900</v>
      </c>
      <c r="G532" s="28" t="n">
        <v>3960000000</v>
      </c>
      <c r="H532" s="25" t="n">
        <f aca="false">J531</f>
        <v>3960000000</v>
      </c>
      <c r="I532" s="25" t="n">
        <f aca="false">H532*N532</f>
        <v>53898900</v>
      </c>
      <c r="J532" s="25" t="n">
        <f aca="false">H532-E532</f>
        <v>3960000000</v>
      </c>
      <c r="K532" s="25" t="n">
        <f aca="false">D532-I532</f>
        <v>0</v>
      </c>
      <c r="L532" s="25" t="n">
        <f aca="false">G532-J532</f>
        <v>0</v>
      </c>
      <c r="M532" s="25" t="n">
        <f aca="false">F532</f>
        <v>53898900</v>
      </c>
      <c r="N532" s="48" t="n">
        <v>0.0136108333333333</v>
      </c>
      <c r="O532" s="25" t="n">
        <f aca="false">IF(AND(B532&gt;=DATE(2026,1,1),B532&lt;=Resumen!$C$5),1,0)</f>
        <v>0</v>
      </c>
      <c r="P532" s="25" t="n">
        <f aca="false">IF(AND(B532&gt;Resumen!$C$5,B532&lt;=DATE(2027,7,31)),1,0)</f>
        <v>0</v>
      </c>
    </row>
    <row r="533" customFormat="false" ht="15" hidden="false" customHeight="false" outlineLevel="0" collapsed="false">
      <c r="A533" s="22" t="n">
        <v>21</v>
      </c>
      <c r="B533" s="23" t="n">
        <v>45044</v>
      </c>
      <c r="C533" s="28" t="n">
        <v>3960000000</v>
      </c>
      <c r="D533" s="28" t="n">
        <v>54420300</v>
      </c>
      <c r="E533" s="28" t="n">
        <v>0</v>
      </c>
      <c r="F533" s="28" t="n">
        <v>54420300</v>
      </c>
      <c r="G533" s="28" t="n">
        <v>3960000000</v>
      </c>
      <c r="H533" s="25" t="n">
        <f aca="false">J532</f>
        <v>3960000000</v>
      </c>
      <c r="I533" s="25" t="n">
        <f aca="false">H533*N533</f>
        <v>54420300</v>
      </c>
      <c r="J533" s="25" t="n">
        <f aca="false">H533-E533</f>
        <v>3960000000</v>
      </c>
      <c r="K533" s="25" t="n">
        <f aca="false">D533-I533</f>
        <v>0</v>
      </c>
      <c r="L533" s="25" t="n">
        <f aca="false">G533-J533</f>
        <v>0</v>
      </c>
      <c r="M533" s="25" t="n">
        <f aca="false">F533</f>
        <v>54420300</v>
      </c>
      <c r="N533" s="48" t="n">
        <v>0.0137425</v>
      </c>
      <c r="O533" s="25" t="n">
        <f aca="false">IF(AND(B533&gt;=DATE(2026,1,1),B533&lt;=Resumen!$C$5),1,0)</f>
        <v>0</v>
      </c>
      <c r="P533" s="25" t="n">
        <f aca="false">IF(AND(B533&gt;Resumen!$C$5,B533&lt;=DATE(2027,7,31)),1,0)</f>
        <v>0</v>
      </c>
    </row>
    <row r="534" customFormat="false" ht="15" hidden="false" customHeight="false" outlineLevel="0" collapsed="false">
      <c r="A534" s="22" t="n">
        <v>22</v>
      </c>
      <c r="B534" s="23" t="n">
        <v>45074</v>
      </c>
      <c r="C534" s="28" t="n">
        <v>3960000000</v>
      </c>
      <c r="D534" s="28" t="n">
        <v>54694200</v>
      </c>
      <c r="E534" s="28" t="n">
        <v>0</v>
      </c>
      <c r="F534" s="28" t="n">
        <v>54694200</v>
      </c>
      <c r="G534" s="28" t="n">
        <v>3960000000</v>
      </c>
      <c r="H534" s="25" t="n">
        <f aca="false">J533</f>
        <v>3960000000</v>
      </c>
      <c r="I534" s="25" t="n">
        <f aca="false">H534*N534</f>
        <v>54694200</v>
      </c>
      <c r="J534" s="25" t="n">
        <f aca="false">H534-E534</f>
        <v>3960000000</v>
      </c>
      <c r="K534" s="25" t="n">
        <f aca="false">D534-I534</f>
        <v>0</v>
      </c>
      <c r="L534" s="25" t="n">
        <f aca="false">G534-J534</f>
        <v>0</v>
      </c>
      <c r="M534" s="25" t="n">
        <f aca="false">F534</f>
        <v>54694200</v>
      </c>
      <c r="N534" s="48" t="n">
        <v>0.0138116666666667</v>
      </c>
      <c r="O534" s="25" t="n">
        <f aca="false">IF(AND(B534&gt;=DATE(2026,1,1),B534&lt;=Resumen!$C$5),1,0)</f>
        <v>0</v>
      </c>
      <c r="P534" s="25" t="n">
        <f aca="false">IF(AND(B534&gt;Resumen!$C$5,B534&lt;=DATE(2027,7,31)),1,0)</f>
        <v>0</v>
      </c>
    </row>
    <row r="535" customFormat="false" ht="15" hidden="false" customHeight="false" outlineLevel="0" collapsed="false">
      <c r="A535" s="22" t="n">
        <v>23</v>
      </c>
      <c r="B535" s="23" t="n">
        <v>45105</v>
      </c>
      <c r="C535" s="28" t="n">
        <v>3960000000</v>
      </c>
      <c r="D535" s="28" t="n">
        <v>53918700</v>
      </c>
      <c r="E535" s="28" t="n">
        <v>0</v>
      </c>
      <c r="F535" s="28" t="n">
        <v>53918700</v>
      </c>
      <c r="G535" s="28" t="n">
        <v>3960000000</v>
      </c>
      <c r="H535" s="25" t="n">
        <f aca="false">J534</f>
        <v>3960000000</v>
      </c>
      <c r="I535" s="25" t="n">
        <f aca="false">H535*N535</f>
        <v>53918700</v>
      </c>
      <c r="J535" s="25" t="n">
        <f aca="false">H535-E535</f>
        <v>3960000000</v>
      </c>
      <c r="K535" s="25" t="n">
        <f aca="false">D535-I535</f>
        <v>0</v>
      </c>
      <c r="L535" s="25" t="n">
        <f aca="false">G535-J535</f>
        <v>0</v>
      </c>
      <c r="M535" s="25" t="n">
        <f aca="false">F535</f>
        <v>53918700</v>
      </c>
      <c r="N535" s="48" t="n">
        <v>0.0136158333333333</v>
      </c>
      <c r="O535" s="25" t="n">
        <f aca="false">IF(AND(B535&gt;=DATE(2026,1,1),B535&lt;=Resumen!$C$5),1,0)</f>
        <v>0</v>
      </c>
      <c r="P535" s="25" t="n">
        <f aca="false">IF(AND(B535&gt;Resumen!$C$5,B535&lt;=DATE(2027,7,31)),1,0)</f>
        <v>0</v>
      </c>
    </row>
    <row r="536" customFormat="false" ht="15" hidden="false" customHeight="false" outlineLevel="0" collapsed="false">
      <c r="A536" s="22" t="n">
        <v>24</v>
      </c>
      <c r="B536" s="23" t="n">
        <v>45135</v>
      </c>
      <c r="C536" s="28" t="n">
        <v>3960000000</v>
      </c>
      <c r="D536" s="28" t="n">
        <v>52740600</v>
      </c>
      <c r="E536" s="28" t="n">
        <v>0</v>
      </c>
      <c r="F536" s="28" t="n">
        <v>52740600</v>
      </c>
      <c r="G536" s="28" t="n">
        <v>3960000000</v>
      </c>
      <c r="H536" s="25" t="n">
        <f aca="false">J535</f>
        <v>3960000000</v>
      </c>
      <c r="I536" s="25" t="n">
        <f aca="false">H536*N536</f>
        <v>52740600</v>
      </c>
      <c r="J536" s="25" t="n">
        <f aca="false">H536-E536</f>
        <v>3960000000</v>
      </c>
      <c r="K536" s="25" t="n">
        <f aca="false">D536-I536</f>
        <v>0</v>
      </c>
      <c r="L536" s="25" t="n">
        <f aca="false">G536-J536</f>
        <v>0</v>
      </c>
      <c r="M536" s="25" t="n">
        <f aca="false">F536</f>
        <v>52740600</v>
      </c>
      <c r="N536" s="48" t="n">
        <v>0.0133183333333333</v>
      </c>
      <c r="O536" s="25" t="n">
        <f aca="false">IF(AND(B536&gt;=DATE(2026,1,1),B536&lt;=Resumen!$C$5),1,0)</f>
        <v>0</v>
      </c>
      <c r="P536" s="25" t="n">
        <f aca="false">IF(AND(B536&gt;Resumen!$C$5,B536&lt;=DATE(2027,7,31)),1,0)</f>
        <v>0</v>
      </c>
    </row>
    <row r="537" customFormat="false" ht="15" hidden="false" customHeight="false" outlineLevel="0" collapsed="false">
      <c r="A537" s="22" t="n">
        <v>25</v>
      </c>
      <c r="B537" s="23" t="n">
        <v>45166</v>
      </c>
      <c r="C537" s="28" t="n">
        <v>3960000000</v>
      </c>
      <c r="D537" s="28" t="n">
        <v>54951600</v>
      </c>
      <c r="E537" s="28" t="n">
        <v>0</v>
      </c>
      <c r="F537" s="28" t="n">
        <v>54951600</v>
      </c>
      <c r="G537" s="28" t="n">
        <v>3960000000</v>
      </c>
      <c r="H537" s="25" t="n">
        <f aca="false">J536</f>
        <v>3960000000</v>
      </c>
      <c r="I537" s="25" t="n">
        <f aca="false">H537*N537</f>
        <v>54951600</v>
      </c>
      <c r="J537" s="25" t="n">
        <f aca="false">H537-E537</f>
        <v>3960000000</v>
      </c>
      <c r="K537" s="25" t="n">
        <f aca="false">D537-I537</f>
        <v>0</v>
      </c>
      <c r="L537" s="25" t="n">
        <f aca="false">G537-J537</f>
        <v>0</v>
      </c>
      <c r="M537" s="25" t="n">
        <f aca="false">F537</f>
        <v>54951600</v>
      </c>
      <c r="N537" s="48" t="n">
        <v>0.0138766666666667</v>
      </c>
      <c r="O537" s="25" t="n">
        <f aca="false">IF(AND(B537&gt;=DATE(2026,1,1),B537&lt;=Resumen!$C$5),1,0)</f>
        <v>0</v>
      </c>
      <c r="P537" s="25" t="n">
        <f aca="false">IF(AND(B537&gt;Resumen!$C$5,B537&lt;=DATE(2027,7,31)),1,0)</f>
        <v>0</v>
      </c>
    </row>
    <row r="538" customFormat="false" ht="15" hidden="false" customHeight="false" outlineLevel="0" collapsed="false">
      <c r="A538" s="22" t="n">
        <v>26</v>
      </c>
      <c r="B538" s="23" t="n">
        <v>45197</v>
      </c>
      <c r="C538" s="28" t="n">
        <v>3960000000</v>
      </c>
      <c r="D538" s="28" t="n">
        <v>51460200</v>
      </c>
      <c r="E538" s="28" t="n">
        <v>0</v>
      </c>
      <c r="F538" s="28" t="n">
        <v>51460200</v>
      </c>
      <c r="G538" s="28" t="n">
        <v>3960000000</v>
      </c>
      <c r="H538" s="25" t="n">
        <f aca="false">J537</f>
        <v>3960000000</v>
      </c>
      <c r="I538" s="25" t="n">
        <f aca="false">H538*N538</f>
        <v>51460200</v>
      </c>
      <c r="J538" s="25" t="n">
        <f aca="false">H538-E538</f>
        <v>3960000000</v>
      </c>
      <c r="K538" s="25" t="n">
        <f aca="false">D538-I538</f>
        <v>0</v>
      </c>
      <c r="L538" s="25" t="n">
        <f aca="false">G538-J538</f>
        <v>0</v>
      </c>
      <c r="M538" s="25" t="n">
        <f aca="false">F538</f>
        <v>51460200</v>
      </c>
      <c r="N538" s="48" t="n">
        <v>0.012995</v>
      </c>
      <c r="O538" s="25" t="n">
        <f aca="false">IF(AND(B538&gt;=DATE(2026,1,1),B538&lt;=Resumen!$C$5),1,0)</f>
        <v>0</v>
      </c>
      <c r="P538" s="25" t="n">
        <f aca="false">IF(AND(B538&gt;Resumen!$C$5,B538&lt;=DATE(2027,7,31)),1,0)</f>
        <v>0</v>
      </c>
    </row>
    <row r="539" customFormat="false" ht="15" hidden="false" customHeight="false" outlineLevel="0" collapsed="false">
      <c r="A539" s="22" t="n">
        <v>27</v>
      </c>
      <c r="B539" s="23" t="n">
        <v>45227</v>
      </c>
      <c r="C539" s="28" t="n">
        <v>3960000000</v>
      </c>
      <c r="D539" s="28" t="n">
        <v>51341400</v>
      </c>
      <c r="E539" s="28" t="n">
        <v>0</v>
      </c>
      <c r="F539" s="28" t="n">
        <v>51341400</v>
      </c>
      <c r="G539" s="28" t="n">
        <v>3960000000</v>
      </c>
      <c r="H539" s="25" t="n">
        <f aca="false">J538</f>
        <v>3960000000</v>
      </c>
      <c r="I539" s="25" t="n">
        <f aca="false">H539*N539</f>
        <v>51341400</v>
      </c>
      <c r="J539" s="25" t="n">
        <f aca="false">H539-E539</f>
        <v>3960000000</v>
      </c>
      <c r="K539" s="25" t="n">
        <f aca="false">D539-I539</f>
        <v>0</v>
      </c>
      <c r="L539" s="25" t="n">
        <f aca="false">G539-J539</f>
        <v>0</v>
      </c>
      <c r="M539" s="25" t="n">
        <f aca="false">F539</f>
        <v>51341400</v>
      </c>
      <c r="N539" s="48" t="n">
        <v>0.012965</v>
      </c>
      <c r="O539" s="25" t="n">
        <f aca="false">IF(AND(B539&gt;=DATE(2026,1,1),B539&lt;=Resumen!$C$5),1,0)</f>
        <v>0</v>
      </c>
      <c r="P539" s="25" t="n">
        <f aca="false">IF(AND(B539&gt;Resumen!$C$5,B539&lt;=DATE(2027,7,31)),1,0)</f>
        <v>0</v>
      </c>
    </row>
    <row r="540" customFormat="false" ht="15" hidden="false" customHeight="false" outlineLevel="0" collapsed="false">
      <c r="A540" s="22" t="n">
        <v>28</v>
      </c>
      <c r="B540" s="23" t="n">
        <v>45258</v>
      </c>
      <c r="C540" s="28" t="n">
        <v>3960000000</v>
      </c>
      <c r="D540" s="28" t="n">
        <v>50539500</v>
      </c>
      <c r="E540" s="28" t="n">
        <v>0</v>
      </c>
      <c r="F540" s="28" t="n">
        <v>50539500</v>
      </c>
      <c r="G540" s="28" t="n">
        <v>3960000000</v>
      </c>
      <c r="H540" s="25" t="n">
        <f aca="false">J539</f>
        <v>3960000000</v>
      </c>
      <c r="I540" s="25" t="n">
        <f aca="false">H540*N540</f>
        <v>50539500</v>
      </c>
      <c r="J540" s="25" t="n">
        <f aca="false">H540-E540</f>
        <v>3960000000</v>
      </c>
      <c r="K540" s="25" t="n">
        <f aca="false">D540-I540</f>
        <v>0</v>
      </c>
      <c r="L540" s="25" t="n">
        <f aca="false">G540-J540</f>
        <v>0</v>
      </c>
      <c r="M540" s="25" t="n">
        <f aca="false">F540</f>
        <v>50539500</v>
      </c>
      <c r="N540" s="48" t="n">
        <v>0.0127625</v>
      </c>
      <c r="O540" s="25" t="n">
        <f aca="false">IF(AND(B540&gt;=DATE(2026,1,1),B540&lt;=Resumen!$C$5),1,0)</f>
        <v>0</v>
      </c>
      <c r="P540" s="25" t="n">
        <f aca="false">IF(AND(B540&gt;Resumen!$C$5,B540&lt;=DATE(2027,7,31)),1,0)</f>
        <v>0</v>
      </c>
    </row>
    <row r="541" customFormat="false" ht="15" hidden="false" customHeight="false" outlineLevel="0" collapsed="false">
      <c r="A541" s="22" t="n">
        <v>29</v>
      </c>
      <c r="B541" s="23" t="n">
        <v>45288</v>
      </c>
      <c r="C541" s="28" t="n">
        <v>3960000000</v>
      </c>
      <c r="D541" s="28" t="n">
        <v>49839900</v>
      </c>
      <c r="E541" s="28" t="n">
        <v>0</v>
      </c>
      <c r="F541" s="28" t="n">
        <v>49839900</v>
      </c>
      <c r="G541" s="28" t="n">
        <v>3960000000</v>
      </c>
      <c r="H541" s="25" t="n">
        <f aca="false">J540</f>
        <v>3960000000</v>
      </c>
      <c r="I541" s="25" t="n">
        <f aca="false">H541*N541</f>
        <v>49839900</v>
      </c>
      <c r="J541" s="25" t="n">
        <f aca="false">H541-E541</f>
        <v>3960000000</v>
      </c>
      <c r="K541" s="25" t="n">
        <f aca="false">D541-I541</f>
        <v>0</v>
      </c>
      <c r="L541" s="25" t="n">
        <f aca="false">G541-J541</f>
        <v>0</v>
      </c>
      <c r="M541" s="25" t="n">
        <f aca="false">F541</f>
        <v>49839900</v>
      </c>
      <c r="N541" s="48" t="n">
        <v>0.0125858333333333</v>
      </c>
      <c r="O541" s="25" t="n">
        <f aca="false">IF(AND(B541&gt;=DATE(2026,1,1),B541&lt;=Resumen!$C$5),1,0)</f>
        <v>0</v>
      </c>
      <c r="P541" s="25" t="n">
        <f aca="false">IF(AND(B541&gt;Resumen!$C$5,B541&lt;=DATE(2027,7,31)),1,0)</f>
        <v>0</v>
      </c>
    </row>
    <row r="542" customFormat="false" ht="15" hidden="false" customHeight="false" outlineLevel="0" collapsed="false">
      <c r="A542" s="22" t="n">
        <v>30</v>
      </c>
      <c r="B542" s="23" t="n">
        <v>45319</v>
      </c>
      <c r="C542" s="28" t="n">
        <v>3960000000</v>
      </c>
      <c r="D542" s="28" t="n">
        <v>48876300</v>
      </c>
      <c r="E542" s="28" t="n">
        <v>0</v>
      </c>
      <c r="F542" s="28" t="n">
        <v>48876300</v>
      </c>
      <c r="G542" s="28" t="n">
        <v>3960000000</v>
      </c>
      <c r="H542" s="25" t="n">
        <f aca="false">J541</f>
        <v>3960000000</v>
      </c>
      <c r="I542" s="25" t="n">
        <f aca="false">H542*N542</f>
        <v>48876300</v>
      </c>
      <c r="J542" s="25" t="n">
        <f aca="false">H542-E542</f>
        <v>3960000000</v>
      </c>
      <c r="K542" s="25" t="n">
        <f aca="false">D542-I542</f>
        <v>0</v>
      </c>
      <c r="L542" s="25" t="n">
        <f aca="false">G542-J542</f>
        <v>0</v>
      </c>
      <c r="M542" s="25" t="n">
        <f aca="false">F542</f>
        <v>48876300</v>
      </c>
      <c r="N542" s="48" t="n">
        <v>0.0123425</v>
      </c>
      <c r="O542" s="25" t="n">
        <f aca="false">IF(AND(B542&gt;=DATE(2026,1,1),B542&lt;=Resumen!$C$5),1,0)</f>
        <v>0</v>
      </c>
      <c r="P542" s="25" t="n">
        <f aca="false">IF(AND(B542&gt;Resumen!$C$5,B542&lt;=DATE(2027,7,31)),1,0)</f>
        <v>0</v>
      </c>
    </row>
    <row r="543" customFormat="false" ht="15" hidden="false" customHeight="false" outlineLevel="0" collapsed="false">
      <c r="A543" s="22" t="n">
        <v>31</v>
      </c>
      <c r="B543" s="23" t="n">
        <v>45350</v>
      </c>
      <c r="C543" s="28" t="n">
        <v>3960000000</v>
      </c>
      <c r="D543" s="28" t="n">
        <v>49519800</v>
      </c>
      <c r="E543" s="28" t="n">
        <v>0</v>
      </c>
      <c r="F543" s="28" t="n">
        <v>49519800</v>
      </c>
      <c r="G543" s="28" t="n">
        <v>3960000000</v>
      </c>
      <c r="H543" s="25" t="n">
        <f aca="false">J542</f>
        <v>3960000000</v>
      </c>
      <c r="I543" s="25" t="n">
        <f aca="false">H543*N543</f>
        <v>49519800</v>
      </c>
      <c r="J543" s="25" t="n">
        <f aca="false">H543-E543</f>
        <v>3960000000</v>
      </c>
      <c r="K543" s="25" t="n">
        <f aca="false">D543-I543</f>
        <v>0</v>
      </c>
      <c r="L543" s="25" t="n">
        <f aca="false">G543-J543</f>
        <v>0</v>
      </c>
      <c r="M543" s="25" t="n">
        <f aca="false">F543</f>
        <v>49519800</v>
      </c>
      <c r="N543" s="48" t="n">
        <v>0.012505</v>
      </c>
      <c r="O543" s="25" t="n">
        <f aca="false">IF(AND(B543&gt;=DATE(2026,1,1),B543&lt;=Resumen!$C$5),1,0)</f>
        <v>0</v>
      </c>
      <c r="P543" s="25" t="n">
        <f aca="false">IF(AND(B543&gt;Resumen!$C$5,B543&lt;=DATE(2027,7,31)),1,0)</f>
        <v>0</v>
      </c>
    </row>
    <row r="544" customFormat="false" ht="15" hidden="false" customHeight="false" outlineLevel="0" collapsed="false">
      <c r="A544" s="22" t="n">
        <v>32</v>
      </c>
      <c r="B544" s="23" t="n">
        <v>45379</v>
      </c>
      <c r="C544" s="28" t="n">
        <v>3960000000</v>
      </c>
      <c r="D544" s="28" t="n">
        <v>46869900</v>
      </c>
      <c r="E544" s="28" t="n">
        <v>0</v>
      </c>
      <c r="F544" s="28" t="n">
        <v>46869900</v>
      </c>
      <c r="G544" s="28" t="n">
        <v>3960000000</v>
      </c>
      <c r="H544" s="25" t="n">
        <f aca="false">J543</f>
        <v>3960000000</v>
      </c>
      <c r="I544" s="25" t="n">
        <f aca="false">H544*N544</f>
        <v>46869900</v>
      </c>
      <c r="J544" s="25" t="n">
        <f aca="false">H544-E544</f>
        <v>3960000000</v>
      </c>
      <c r="K544" s="25" t="n">
        <f aca="false">D544-I544</f>
        <v>0</v>
      </c>
      <c r="L544" s="25" t="n">
        <f aca="false">G544-J544</f>
        <v>0</v>
      </c>
      <c r="M544" s="25" t="n">
        <f aca="false">F544</f>
        <v>46869900</v>
      </c>
      <c r="N544" s="48" t="n">
        <v>0.0118358333333333</v>
      </c>
      <c r="O544" s="25" t="n">
        <f aca="false">IF(AND(B544&gt;=DATE(2026,1,1),B544&lt;=Resumen!$C$5),1,0)</f>
        <v>0</v>
      </c>
      <c r="P544" s="25" t="n">
        <f aca="false">IF(AND(B544&gt;Resumen!$C$5,B544&lt;=DATE(2027,7,31)),1,0)</f>
        <v>0</v>
      </c>
    </row>
    <row r="545" customFormat="false" ht="15" hidden="false" customHeight="false" outlineLevel="0" collapsed="false">
      <c r="A545" s="22" t="n">
        <v>33</v>
      </c>
      <c r="B545" s="23" t="n">
        <v>45410</v>
      </c>
      <c r="C545" s="28" t="n">
        <v>3960000000</v>
      </c>
      <c r="D545" s="28" t="n">
        <v>47417700</v>
      </c>
      <c r="E545" s="28" t="n">
        <v>0</v>
      </c>
      <c r="F545" s="28" t="n">
        <v>47417700</v>
      </c>
      <c r="G545" s="28" t="n">
        <v>3960000000</v>
      </c>
      <c r="H545" s="25" t="n">
        <f aca="false">J544</f>
        <v>3960000000</v>
      </c>
      <c r="I545" s="25" t="n">
        <f aca="false">H545*N545</f>
        <v>47417700</v>
      </c>
      <c r="J545" s="25" t="n">
        <f aca="false">H545-E545</f>
        <v>3960000000</v>
      </c>
      <c r="K545" s="25" t="n">
        <f aca="false">D545-I545</f>
        <v>0</v>
      </c>
      <c r="L545" s="25" t="n">
        <f aca="false">G545-J545</f>
        <v>0</v>
      </c>
      <c r="M545" s="25" t="n">
        <f aca="false">F545</f>
        <v>47417700</v>
      </c>
      <c r="N545" s="48" t="n">
        <v>0.0119741666666667</v>
      </c>
      <c r="O545" s="25" t="n">
        <f aca="false">IF(AND(B545&gt;=DATE(2026,1,1),B545&lt;=Resumen!$C$5),1,0)</f>
        <v>0</v>
      </c>
      <c r="P545" s="25" t="n">
        <f aca="false">IF(AND(B545&gt;Resumen!$C$5,B545&lt;=DATE(2027,7,31)),1,0)</f>
        <v>0</v>
      </c>
    </row>
    <row r="546" customFormat="false" ht="15" hidden="false" customHeight="false" outlineLevel="0" collapsed="false">
      <c r="A546" s="22" t="n">
        <v>34</v>
      </c>
      <c r="B546" s="23" t="n">
        <v>45440</v>
      </c>
      <c r="C546" s="28" t="n">
        <v>3960000000</v>
      </c>
      <c r="D546" s="28" t="n">
        <v>46256100</v>
      </c>
      <c r="E546" s="28" t="n">
        <v>0</v>
      </c>
      <c r="F546" s="28" t="n">
        <v>46256100</v>
      </c>
      <c r="G546" s="28" t="n">
        <v>3960000000</v>
      </c>
      <c r="H546" s="25" t="n">
        <f aca="false">J545</f>
        <v>3960000000</v>
      </c>
      <c r="I546" s="25" t="n">
        <f aca="false">H546*N546</f>
        <v>46256100</v>
      </c>
      <c r="J546" s="25" t="n">
        <f aca="false">H546-E546</f>
        <v>3960000000</v>
      </c>
      <c r="K546" s="25" t="n">
        <f aca="false">D546-I546</f>
        <v>0</v>
      </c>
      <c r="L546" s="25" t="n">
        <f aca="false">G546-J546</f>
        <v>0</v>
      </c>
      <c r="M546" s="25" t="n">
        <f aca="false">F546</f>
        <v>46256100</v>
      </c>
      <c r="N546" s="48" t="n">
        <v>0.0116808333333333</v>
      </c>
      <c r="O546" s="25" t="n">
        <f aca="false">IF(AND(B546&gt;=DATE(2026,1,1),B546&lt;=Resumen!$C$5),1,0)</f>
        <v>0</v>
      </c>
      <c r="P546" s="25" t="n">
        <f aca="false">IF(AND(B546&gt;Resumen!$C$5,B546&lt;=DATE(2027,7,31)),1,0)</f>
        <v>0</v>
      </c>
    </row>
    <row r="547" customFormat="false" ht="15" hidden="false" customHeight="false" outlineLevel="0" collapsed="false">
      <c r="A547" s="22" t="n">
        <v>35</v>
      </c>
      <c r="B547" s="23" t="n">
        <v>45471</v>
      </c>
      <c r="C547" s="28" t="n">
        <v>3960000000</v>
      </c>
      <c r="D547" s="28" t="n">
        <v>43873500</v>
      </c>
      <c r="E547" s="28" t="n">
        <v>0</v>
      </c>
      <c r="F547" s="28" t="n">
        <v>43873500</v>
      </c>
      <c r="G547" s="28" t="n">
        <v>3960000000</v>
      </c>
      <c r="H547" s="25" t="n">
        <f aca="false">J546</f>
        <v>3960000000</v>
      </c>
      <c r="I547" s="25" t="n">
        <f aca="false">H547*N547</f>
        <v>43873500</v>
      </c>
      <c r="J547" s="25" t="n">
        <f aca="false">H547-E547</f>
        <v>3960000000</v>
      </c>
      <c r="K547" s="25" t="n">
        <f aca="false">D547-I547</f>
        <v>0</v>
      </c>
      <c r="L547" s="25" t="n">
        <f aca="false">G547-J547</f>
        <v>0</v>
      </c>
      <c r="M547" s="25" t="n">
        <f aca="false">F547</f>
        <v>43873500</v>
      </c>
      <c r="N547" s="48" t="n">
        <v>0.0110791666666667</v>
      </c>
      <c r="O547" s="25" t="n">
        <f aca="false">IF(AND(B547&gt;=DATE(2026,1,1),B547&lt;=Resumen!$C$5),1,0)</f>
        <v>0</v>
      </c>
      <c r="P547" s="25" t="n">
        <f aca="false">IF(AND(B547&gt;Resumen!$C$5,B547&lt;=DATE(2027,7,31)),1,0)</f>
        <v>0</v>
      </c>
    </row>
    <row r="548" customFormat="false" ht="15" hidden="false" customHeight="false" outlineLevel="0" collapsed="false">
      <c r="A548" s="22" t="n">
        <v>36</v>
      </c>
      <c r="B548" s="23" t="n">
        <v>45501</v>
      </c>
      <c r="C548" s="28" t="n">
        <v>3960000000</v>
      </c>
      <c r="D548" s="28" t="n">
        <v>44101200</v>
      </c>
      <c r="E548" s="28" t="n">
        <v>0</v>
      </c>
      <c r="F548" s="28" t="n">
        <v>44101200</v>
      </c>
      <c r="G548" s="28" t="n">
        <v>3960000000</v>
      </c>
      <c r="H548" s="25" t="n">
        <f aca="false">J547</f>
        <v>3960000000</v>
      </c>
      <c r="I548" s="25" t="n">
        <f aca="false">H548*N548</f>
        <v>44101200</v>
      </c>
      <c r="J548" s="25" t="n">
        <f aca="false">H548-E548</f>
        <v>3960000000</v>
      </c>
      <c r="K548" s="25" t="n">
        <f aca="false">D548-I548</f>
        <v>0</v>
      </c>
      <c r="L548" s="25" t="n">
        <f aca="false">G548-J548</f>
        <v>0</v>
      </c>
      <c r="M548" s="25" t="n">
        <f aca="false">F548</f>
        <v>44101200</v>
      </c>
      <c r="N548" s="48" t="n">
        <v>0.0111366666666667</v>
      </c>
      <c r="O548" s="25" t="n">
        <f aca="false">IF(AND(B548&gt;=DATE(2026,1,1),B548&lt;=Resumen!$C$5),1,0)</f>
        <v>0</v>
      </c>
      <c r="P548" s="25" t="n">
        <f aca="false">IF(AND(B548&gt;Resumen!$C$5,B548&lt;=DATE(2027,7,31)),1,0)</f>
        <v>0</v>
      </c>
    </row>
    <row r="549" customFormat="false" ht="15" hidden="false" customHeight="false" outlineLevel="0" collapsed="false">
      <c r="A549" s="22" t="n">
        <v>37</v>
      </c>
      <c r="B549" s="23" t="n">
        <v>45532</v>
      </c>
      <c r="C549" s="28" t="n">
        <v>3960000000</v>
      </c>
      <c r="D549" s="28" t="n">
        <v>42896700</v>
      </c>
      <c r="E549" s="28" t="n">
        <v>0</v>
      </c>
      <c r="F549" s="28" t="n">
        <v>42896700</v>
      </c>
      <c r="G549" s="28" t="n">
        <v>3960000000</v>
      </c>
      <c r="H549" s="25" t="n">
        <f aca="false">J548</f>
        <v>3960000000</v>
      </c>
      <c r="I549" s="25" t="n">
        <f aca="false">H549*N549</f>
        <v>42896700</v>
      </c>
      <c r="J549" s="25" t="n">
        <f aca="false">H549-E549</f>
        <v>3960000000</v>
      </c>
      <c r="K549" s="25" t="n">
        <f aca="false">D549-I549</f>
        <v>0</v>
      </c>
      <c r="L549" s="25" t="n">
        <f aca="false">G549-J549</f>
        <v>0</v>
      </c>
      <c r="M549" s="25" t="n">
        <f aca="false">F549</f>
        <v>42896700</v>
      </c>
      <c r="N549" s="48" t="n">
        <v>0.0108325</v>
      </c>
      <c r="O549" s="25" t="n">
        <f aca="false">IF(AND(B549&gt;=DATE(2026,1,1),B549&lt;=Resumen!$C$5),1,0)</f>
        <v>0</v>
      </c>
      <c r="P549" s="25" t="n">
        <f aca="false">IF(AND(B549&gt;Resumen!$C$5,B549&lt;=DATE(2027,7,31)),1,0)</f>
        <v>0</v>
      </c>
    </row>
    <row r="550" customFormat="false" ht="15" hidden="false" customHeight="false" outlineLevel="0" collapsed="false">
      <c r="A550" s="22" t="n">
        <v>38</v>
      </c>
      <c r="B550" s="23" t="n">
        <v>45563</v>
      </c>
      <c r="C550" s="28" t="n">
        <v>3960000000</v>
      </c>
      <c r="D550" s="28" t="n">
        <v>40537200</v>
      </c>
      <c r="E550" s="28" t="n">
        <v>0</v>
      </c>
      <c r="F550" s="28" t="n">
        <v>40537200</v>
      </c>
      <c r="G550" s="28" t="n">
        <v>3960000000</v>
      </c>
      <c r="H550" s="25" t="n">
        <f aca="false">J549</f>
        <v>3960000000</v>
      </c>
      <c r="I550" s="25" t="n">
        <f aca="false">H550*N550</f>
        <v>40537200</v>
      </c>
      <c r="J550" s="25" t="n">
        <f aca="false">H550-E550</f>
        <v>3960000000</v>
      </c>
      <c r="K550" s="25" t="n">
        <f aca="false">D550-I550</f>
        <v>0</v>
      </c>
      <c r="L550" s="25" t="n">
        <f aca="false">G550-J550</f>
        <v>0</v>
      </c>
      <c r="M550" s="25" t="n">
        <f aca="false">F550</f>
        <v>40537200</v>
      </c>
      <c r="N550" s="48" t="n">
        <v>0.0102366666666667</v>
      </c>
      <c r="O550" s="25" t="n">
        <f aca="false">IF(AND(B550&gt;=DATE(2026,1,1),B550&lt;=Resumen!$C$5),1,0)</f>
        <v>0</v>
      </c>
      <c r="P550" s="25" t="n">
        <f aca="false">IF(AND(B550&gt;Resumen!$C$5,B550&lt;=DATE(2027,7,31)),1,0)</f>
        <v>0</v>
      </c>
    </row>
    <row r="551" customFormat="false" ht="15" hidden="false" customHeight="false" outlineLevel="0" collapsed="false">
      <c r="A551" s="22" t="n">
        <v>39</v>
      </c>
      <c r="B551" s="23" t="n">
        <v>45593</v>
      </c>
      <c r="C551" s="28" t="n">
        <v>3960000000</v>
      </c>
      <c r="D551" s="28" t="n">
        <v>39616500</v>
      </c>
      <c r="E551" s="28" t="n">
        <v>0</v>
      </c>
      <c r="F551" s="28" t="n">
        <v>39616500</v>
      </c>
      <c r="G551" s="28" t="n">
        <v>3960000000</v>
      </c>
      <c r="H551" s="25" t="n">
        <f aca="false">J550</f>
        <v>3960000000</v>
      </c>
      <c r="I551" s="25" t="n">
        <f aca="false">H551*N551</f>
        <v>39616500</v>
      </c>
      <c r="J551" s="25" t="n">
        <f aca="false">H551-E551</f>
        <v>3960000000</v>
      </c>
      <c r="K551" s="25" t="n">
        <f aca="false">D551-I551</f>
        <v>0</v>
      </c>
      <c r="L551" s="25" t="n">
        <f aca="false">G551-J551</f>
        <v>0</v>
      </c>
      <c r="M551" s="25" t="n">
        <f aca="false">F551</f>
        <v>39616500</v>
      </c>
      <c r="N551" s="48" t="n">
        <v>0.0100041666666667</v>
      </c>
      <c r="O551" s="25" t="n">
        <f aca="false">IF(AND(B551&gt;=DATE(2026,1,1),B551&lt;=Resumen!$C$5),1,0)</f>
        <v>0</v>
      </c>
      <c r="P551" s="25" t="n">
        <f aca="false">IF(AND(B551&gt;Resumen!$C$5,B551&lt;=DATE(2027,7,31)),1,0)</f>
        <v>0</v>
      </c>
    </row>
    <row r="552" customFormat="false" ht="15" hidden="false" customHeight="false" outlineLevel="0" collapsed="false">
      <c r="A552" s="22" t="n">
        <v>40</v>
      </c>
      <c r="B552" s="23" t="n">
        <v>45624</v>
      </c>
      <c r="C552" s="28" t="n">
        <v>3960000000</v>
      </c>
      <c r="D552" s="28" t="n">
        <v>39312900</v>
      </c>
      <c r="E552" s="28" t="n">
        <v>0</v>
      </c>
      <c r="F552" s="28" t="n">
        <v>39312900</v>
      </c>
      <c r="G552" s="28" t="n">
        <v>3960000000</v>
      </c>
      <c r="H552" s="25" t="n">
        <f aca="false">J551</f>
        <v>3960000000</v>
      </c>
      <c r="I552" s="25" t="n">
        <f aca="false">H552*N552</f>
        <v>39312900</v>
      </c>
      <c r="J552" s="25" t="n">
        <f aca="false">H552-E552</f>
        <v>3960000000</v>
      </c>
      <c r="K552" s="25" t="n">
        <f aca="false">D552-I552</f>
        <v>0</v>
      </c>
      <c r="L552" s="25" t="n">
        <f aca="false">G552-J552</f>
        <v>0</v>
      </c>
      <c r="M552" s="25" t="n">
        <f aca="false">F552</f>
        <v>39312900</v>
      </c>
      <c r="N552" s="48" t="n">
        <v>0.0099275</v>
      </c>
      <c r="O552" s="25" t="n">
        <f aca="false">IF(AND(B552&gt;=DATE(2026,1,1),B552&lt;=Resumen!$C$5),1,0)</f>
        <v>0</v>
      </c>
      <c r="P552" s="25" t="n">
        <f aca="false">IF(AND(B552&gt;Resumen!$C$5,B552&lt;=DATE(2027,7,31)),1,0)</f>
        <v>0</v>
      </c>
    </row>
    <row r="553" customFormat="false" ht="15" hidden="false" customHeight="false" outlineLevel="0" collapsed="false">
      <c r="A553" s="22" t="n">
        <v>41</v>
      </c>
      <c r="B553" s="23" t="n">
        <v>45654</v>
      </c>
      <c r="C553" s="28" t="n">
        <v>3960000000</v>
      </c>
      <c r="D553" s="28" t="n">
        <v>40566900</v>
      </c>
      <c r="E553" s="28" t="n">
        <v>0</v>
      </c>
      <c r="F553" s="28" t="n">
        <v>40566900</v>
      </c>
      <c r="G553" s="28" t="n">
        <v>3960000000</v>
      </c>
      <c r="H553" s="25" t="n">
        <f aca="false">J552</f>
        <v>3960000000</v>
      </c>
      <c r="I553" s="25" t="n">
        <f aca="false">H553*N553</f>
        <v>40566900</v>
      </c>
      <c r="J553" s="25" t="n">
        <f aca="false">H553-E553</f>
        <v>3960000000</v>
      </c>
      <c r="K553" s="25" t="n">
        <f aca="false">D553-I553</f>
        <v>0</v>
      </c>
      <c r="L553" s="25" t="n">
        <f aca="false">G553-J553</f>
        <v>0</v>
      </c>
      <c r="M553" s="25" t="n">
        <f aca="false">F553</f>
        <v>40566900</v>
      </c>
      <c r="N553" s="48" t="n">
        <v>0.0102441666666667</v>
      </c>
      <c r="O553" s="25" t="n">
        <f aca="false">IF(AND(B553&gt;=DATE(2026,1,1),B553&lt;=Resumen!$C$5),1,0)</f>
        <v>0</v>
      </c>
      <c r="P553" s="25" t="n">
        <f aca="false">IF(AND(B553&gt;Resumen!$C$5,B553&lt;=DATE(2027,7,31)),1,0)</f>
        <v>0</v>
      </c>
    </row>
    <row r="554" customFormat="false" ht="15" hidden="false" customHeight="false" outlineLevel="0" collapsed="false">
      <c r="A554" s="22" t="n">
        <v>42</v>
      </c>
      <c r="B554" s="23" t="n">
        <v>45685</v>
      </c>
      <c r="C554" s="28" t="n">
        <v>3960000000</v>
      </c>
      <c r="D554" s="28" t="n">
        <v>39840900</v>
      </c>
      <c r="E554" s="28" t="n">
        <v>0</v>
      </c>
      <c r="F554" s="28" t="n">
        <v>39840900</v>
      </c>
      <c r="G554" s="28" t="n">
        <v>3960000000</v>
      </c>
      <c r="H554" s="25" t="n">
        <f aca="false">J553</f>
        <v>3960000000</v>
      </c>
      <c r="I554" s="25" t="n">
        <f aca="false">H554*N554</f>
        <v>39840900</v>
      </c>
      <c r="J554" s="25" t="n">
        <f aca="false">H554-E554</f>
        <v>3960000000</v>
      </c>
      <c r="K554" s="25" t="n">
        <f aca="false">D554-I554</f>
        <v>0</v>
      </c>
      <c r="L554" s="25" t="n">
        <f aca="false">G554-J554</f>
        <v>0</v>
      </c>
      <c r="M554" s="25" t="n">
        <f aca="false">F554</f>
        <v>39840900</v>
      </c>
      <c r="N554" s="48" t="n">
        <v>0.0100608333333333</v>
      </c>
      <c r="O554" s="25" t="n">
        <f aca="false">IF(AND(B554&gt;=DATE(2026,1,1),B554&lt;=Resumen!$C$5),1,0)</f>
        <v>0</v>
      </c>
      <c r="P554" s="25" t="n">
        <f aca="false">IF(AND(B554&gt;Resumen!$C$5,B554&lt;=DATE(2027,7,31)),1,0)</f>
        <v>0</v>
      </c>
    </row>
    <row r="555" customFormat="false" ht="15" hidden="false" customHeight="false" outlineLevel="0" collapsed="false">
      <c r="A555" s="22" t="n">
        <v>43</v>
      </c>
      <c r="B555" s="23" t="n">
        <v>45716</v>
      </c>
      <c r="C555" s="28" t="n">
        <v>3960000000</v>
      </c>
      <c r="D555" s="28" t="n">
        <v>40144500</v>
      </c>
      <c r="E555" s="28" t="n">
        <v>0</v>
      </c>
      <c r="F555" s="28" t="n">
        <v>40144500</v>
      </c>
      <c r="G555" s="28" t="n">
        <v>3960000000</v>
      </c>
      <c r="H555" s="25" t="n">
        <f aca="false">J554</f>
        <v>3960000000</v>
      </c>
      <c r="I555" s="25" t="n">
        <f aca="false">H555*N555</f>
        <v>40144500</v>
      </c>
      <c r="J555" s="25" t="n">
        <f aca="false">H555-E555</f>
        <v>3960000000</v>
      </c>
      <c r="K555" s="25" t="n">
        <f aca="false">D555-I555</f>
        <v>0</v>
      </c>
      <c r="L555" s="25" t="n">
        <f aca="false">G555-J555</f>
        <v>0</v>
      </c>
      <c r="M555" s="25" t="n">
        <f aca="false">F555</f>
        <v>40144500</v>
      </c>
      <c r="N555" s="48" t="n">
        <v>0.0101375</v>
      </c>
      <c r="O555" s="25" t="n">
        <f aca="false">IF(AND(B555&gt;=DATE(2026,1,1),B555&lt;=Resumen!$C$5),1,0)</f>
        <v>0</v>
      </c>
      <c r="P555" s="25" t="n">
        <f aca="false">IF(AND(B555&gt;Resumen!$C$5,B555&lt;=DATE(2027,7,31)),1,0)</f>
        <v>0</v>
      </c>
    </row>
    <row r="556" customFormat="false" ht="15" hidden="false" customHeight="false" outlineLevel="0" collapsed="false">
      <c r="A556" s="22" t="n">
        <v>44</v>
      </c>
      <c r="B556" s="23" t="n">
        <v>45744</v>
      </c>
      <c r="C556" s="28" t="n">
        <v>3960000000</v>
      </c>
      <c r="D556" s="28" t="n">
        <v>40359000</v>
      </c>
      <c r="E556" s="28" t="n">
        <v>0</v>
      </c>
      <c r="F556" s="28" t="n">
        <v>40359000</v>
      </c>
      <c r="G556" s="28" t="n">
        <v>3960000000</v>
      </c>
      <c r="H556" s="25" t="n">
        <f aca="false">J555</f>
        <v>3960000000</v>
      </c>
      <c r="I556" s="25" t="n">
        <f aca="false">H556*N556</f>
        <v>40359000</v>
      </c>
      <c r="J556" s="25" t="n">
        <f aca="false">H556-E556</f>
        <v>3960000000</v>
      </c>
      <c r="K556" s="25" t="n">
        <f aca="false">D556-I556</f>
        <v>0</v>
      </c>
      <c r="L556" s="25" t="n">
        <f aca="false">G556-J556</f>
        <v>0</v>
      </c>
      <c r="M556" s="25" t="n">
        <f aca="false">F556</f>
        <v>40359000</v>
      </c>
      <c r="N556" s="48" t="n">
        <v>0.0101916666666667</v>
      </c>
      <c r="O556" s="25" t="n">
        <f aca="false">IF(AND(B556&gt;=DATE(2026,1,1),B556&lt;=Resumen!$C$5),1,0)</f>
        <v>0</v>
      </c>
      <c r="P556" s="25" t="n">
        <f aca="false">IF(AND(B556&gt;Resumen!$C$5,B556&lt;=DATE(2027,7,31)),1,0)</f>
        <v>0</v>
      </c>
    </row>
    <row r="557" customFormat="false" ht="15" hidden="false" customHeight="false" outlineLevel="0" collapsed="false">
      <c r="A557" s="22" t="n">
        <v>45</v>
      </c>
      <c r="B557" s="23" t="n">
        <v>45775</v>
      </c>
      <c r="C557" s="28" t="n">
        <v>3960000000</v>
      </c>
      <c r="D557" s="28" t="n">
        <v>40500900</v>
      </c>
      <c r="E557" s="28" t="n">
        <v>0</v>
      </c>
      <c r="F557" s="28" t="n">
        <v>40500900</v>
      </c>
      <c r="G557" s="28" t="n">
        <v>3960000000</v>
      </c>
      <c r="H557" s="25" t="n">
        <f aca="false">J556</f>
        <v>3960000000</v>
      </c>
      <c r="I557" s="25" t="n">
        <f aca="false">H557*N557</f>
        <v>40500900</v>
      </c>
      <c r="J557" s="25" t="n">
        <f aca="false">H557-E557</f>
        <v>3960000000</v>
      </c>
      <c r="K557" s="25" t="n">
        <f aca="false">D557-I557</f>
        <v>0</v>
      </c>
      <c r="L557" s="25" t="n">
        <f aca="false">G557-J557</f>
        <v>0</v>
      </c>
      <c r="M557" s="25" t="n">
        <f aca="false">F557</f>
        <v>40500900</v>
      </c>
      <c r="N557" s="48" t="n">
        <v>0.0102275</v>
      </c>
      <c r="O557" s="25" t="n">
        <f aca="false">IF(AND(B557&gt;=DATE(2026,1,1),B557&lt;=Resumen!$C$5),1,0)</f>
        <v>0</v>
      </c>
      <c r="P557" s="25" t="n">
        <f aca="false">IF(AND(B557&gt;Resumen!$C$5,B557&lt;=DATE(2027,7,31)),1,0)</f>
        <v>0</v>
      </c>
    </row>
    <row r="558" customFormat="false" ht="15" hidden="false" customHeight="false" outlineLevel="0" collapsed="false">
      <c r="A558" s="22" t="n">
        <v>46</v>
      </c>
      <c r="B558" s="23" t="n">
        <v>45805</v>
      </c>
      <c r="C558" s="28" t="n">
        <v>3960000000</v>
      </c>
      <c r="D558" s="28" t="n">
        <v>39913500</v>
      </c>
      <c r="E558" s="28" t="n">
        <v>0</v>
      </c>
      <c r="F558" s="28" t="n">
        <v>39913500</v>
      </c>
      <c r="G558" s="28" t="n">
        <v>3960000000</v>
      </c>
      <c r="H558" s="25" t="n">
        <f aca="false">J557</f>
        <v>3960000000</v>
      </c>
      <c r="I558" s="25" t="n">
        <f aca="false">H558*N558</f>
        <v>39913500</v>
      </c>
      <c r="J558" s="25" t="n">
        <f aca="false">H558-E558</f>
        <v>3960000000</v>
      </c>
      <c r="K558" s="25" t="n">
        <f aca="false">D558-I558</f>
        <v>0</v>
      </c>
      <c r="L558" s="25" t="n">
        <f aca="false">G558-J558</f>
        <v>0</v>
      </c>
      <c r="M558" s="25" t="n">
        <f aca="false">F558</f>
        <v>39913500</v>
      </c>
      <c r="N558" s="48" t="n">
        <v>0.0100791666666667</v>
      </c>
      <c r="O558" s="25" t="n">
        <f aca="false">IF(AND(B558&gt;=DATE(2026,1,1),B558&lt;=Resumen!$C$5),1,0)</f>
        <v>0</v>
      </c>
      <c r="P558" s="25" t="n">
        <f aca="false">IF(AND(B558&gt;Resumen!$C$5,B558&lt;=DATE(2027,7,31)),1,0)</f>
        <v>0</v>
      </c>
    </row>
    <row r="559" customFormat="false" ht="15" hidden="false" customHeight="false" outlineLevel="0" collapsed="false">
      <c r="A559" s="22" t="n">
        <v>47</v>
      </c>
      <c r="B559" s="23" t="n">
        <v>45836</v>
      </c>
      <c r="C559" s="28" t="n">
        <v>3960000000</v>
      </c>
      <c r="D559" s="28" t="n">
        <v>39831000</v>
      </c>
      <c r="E559" s="28" t="n">
        <v>0</v>
      </c>
      <c r="F559" s="28" t="n">
        <v>39831000</v>
      </c>
      <c r="G559" s="28" t="n">
        <v>3960000000</v>
      </c>
      <c r="H559" s="25" t="n">
        <f aca="false">J558</f>
        <v>3960000000</v>
      </c>
      <c r="I559" s="25" t="n">
        <f aca="false">H559*N559</f>
        <v>39831000</v>
      </c>
      <c r="J559" s="25" t="n">
        <f aca="false">H559-E559</f>
        <v>3960000000</v>
      </c>
      <c r="K559" s="25" t="n">
        <f aca="false">D559-I559</f>
        <v>0</v>
      </c>
      <c r="L559" s="25" t="n">
        <f aca="false">G559-J559</f>
        <v>0</v>
      </c>
      <c r="M559" s="25" t="n">
        <f aca="false">F559</f>
        <v>39831000</v>
      </c>
      <c r="N559" s="48" t="n">
        <v>0.0100583333333333</v>
      </c>
      <c r="O559" s="25" t="n">
        <f aca="false">IF(AND(B559&gt;=DATE(2026,1,1),B559&lt;=Resumen!$C$5),1,0)</f>
        <v>0</v>
      </c>
      <c r="P559" s="25" t="n">
        <f aca="false">IF(AND(B559&gt;Resumen!$C$5,B559&lt;=DATE(2027,7,31)),1,0)</f>
        <v>0</v>
      </c>
    </row>
    <row r="560" customFormat="false" ht="15" hidden="false" customHeight="false" outlineLevel="0" collapsed="false">
      <c r="A560" s="22" t="n">
        <v>48</v>
      </c>
      <c r="B560" s="23" t="n">
        <v>45866</v>
      </c>
      <c r="C560" s="28" t="n">
        <v>3960000000</v>
      </c>
      <c r="D560" s="28" t="n">
        <v>39567000</v>
      </c>
      <c r="E560" s="28" t="n">
        <v>0</v>
      </c>
      <c r="F560" s="28" t="n">
        <v>39567000</v>
      </c>
      <c r="G560" s="28" t="n">
        <v>3960000000</v>
      </c>
      <c r="H560" s="25" t="n">
        <f aca="false">J559</f>
        <v>3960000000</v>
      </c>
      <c r="I560" s="25" t="n">
        <f aca="false">H560*N560</f>
        <v>39567000</v>
      </c>
      <c r="J560" s="25" t="n">
        <f aca="false">H560-E560</f>
        <v>3960000000</v>
      </c>
      <c r="K560" s="25" t="n">
        <f aca="false">D560-I560</f>
        <v>0</v>
      </c>
      <c r="L560" s="25" t="n">
        <f aca="false">G560-J560</f>
        <v>0</v>
      </c>
      <c r="M560" s="25" t="n">
        <f aca="false">F560</f>
        <v>39567000</v>
      </c>
      <c r="N560" s="48" t="n">
        <v>0.00999166666666667</v>
      </c>
      <c r="O560" s="25" t="n">
        <f aca="false">IF(AND(B560&gt;=DATE(2026,1,1),B560&lt;=Resumen!$C$5),1,0)</f>
        <v>0</v>
      </c>
      <c r="P560" s="25" t="n">
        <f aca="false">IF(AND(B560&gt;Resumen!$C$5,B560&lt;=DATE(2027,7,31)),1,0)</f>
        <v>0</v>
      </c>
    </row>
    <row r="561" customFormat="false" ht="15" hidden="false" customHeight="false" outlineLevel="0" collapsed="false">
      <c r="A561" s="22" t="n">
        <v>49</v>
      </c>
      <c r="B561" s="23" t="n">
        <v>45897</v>
      </c>
      <c r="C561" s="28" t="n">
        <v>3960000000</v>
      </c>
      <c r="D561" s="28" t="n">
        <v>40144500</v>
      </c>
      <c r="E561" s="28" t="n">
        <v>0</v>
      </c>
      <c r="F561" s="28" t="n">
        <v>40144500</v>
      </c>
      <c r="G561" s="28" t="n">
        <v>3960000000</v>
      </c>
      <c r="H561" s="25" t="n">
        <f aca="false">J560</f>
        <v>3960000000</v>
      </c>
      <c r="I561" s="25" t="n">
        <f aca="false">H561*N561</f>
        <v>40144500</v>
      </c>
      <c r="J561" s="25" t="n">
        <f aca="false">H561-E561</f>
        <v>3960000000</v>
      </c>
      <c r="K561" s="25" t="n">
        <f aca="false">D561-I561</f>
        <v>0</v>
      </c>
      <c r="L561" s="25" t="n">
        <f aca="false">G561-J561</f>
        <v>0</v>
      </c>
      <c r="M561" s="25" t="n">
        <f aca="false">F561</f>
        <v>40144500</v>
      </c>
      <c r="N561" s="48" t="n">
        <v>0.0101375</v>
      </c>
      <c r="O561" s="25" t="n">
        <f aca="false">IF(AND(B561&gt;=DATE(2026,1,1),B561&lt;=Resumen!$C$5),1,0)</f>
        <v>0</v>
      </c>
      <c r="P561" s="25" t="n">
        <f aca="false">IF(AND(B561&gt;Resumen!$C$5,B561&lt;=DATE(2027,7,31)),1,0)</f>
        <v>0</v>
      </c>
    </row>
    <row r="562" customFormat="false" ht="15" hidden="false" customHeight="false" outlineLevel="0" collapsed="false">
      <c r="A562" s="22" t="n">
        <v>50</v>
      </c>
      <c r="B562" s="23" t="n">
        <v>45928</v>
      </c>
      <c r="C562" s="28" t="n">
        <v>3960000000</v>
      </c>
      <c r="D562" s="28" t="n">
        <v>40326000</v>
      </c>
      <c r="E562" s="28" t="n">
        <v>0</v>
      </c>
      <c r="F562" s="28" t="n">
        <v>40326000</v>
      </c>
      <c r="G562" s="28" t="n">
        <v>3960000000</v>
      </c>
      <c r="H562" s="25" t="n">
        <f aca="false">J561</f>
        <v>3960000000</v>
      </c>
      <c r="I562" s="25" t="n">
        <f aca="false">H562*N562</f>
        <v>40326000</v>
      </c>
      <c r="J562" s="25" t="n">
        <f aca="false">H562-E562</f>
        <v>3960000000</v>
      </c>
      <c r="K562" s="25" t="n">
        <f aca="false">D562-I562</f>
        <v>0</v>
      </c>
      <c r="L562" s="25" t="n">
        <f aca="false">G562-J562</f>
        <v>0</v>
      </c>
      <c r="M562" s="25" t="n">
        <f aca="false">F562</f>
        <v>40326000</v>
      </c>
      <c r="N562" s="48" t="n">
        <v>0.0101833333333333</v>
      </c>
      <c r="O562" s="25" t="n">
        <f aca="false">IF(AND(B562&gt;=DATE(2026,1,1),B562&lt;=Resumen!$C$5),1,0)</f>
        <v>0</v>
      </c>
      <c r="P562" s="25" t="n">
        <f aca="false">IF(AND(B562&gt;Resumen!$C$5,B562&lt;=DATE(2027,7,31)),1,0)</f>
        <v>0</v>
      </c>
    </row>
    <row r="563" customFormat="false" ht="15" hidden="false" customHeight="false" outlineLevel="0" collapsed="false">
      <c r="A563" s="22" t="n">
        <v>51</v>
      </c>
      <c r="B563" s="23" t="n">
        <v>45958</v>
      </c>
      <c r="C563" s="28" t="n">
        <v>3960000000</v>
      </c>
      <c r="D563" s="28" t="n">
        <v>40966200</v>
      </c>
      <c r="E563" s="28" t="n">
        <v>0</v>
      </c>
      <c r="F563" s="28" t="n">
        <v>40966200</v>
      </c>
      <c r="G563" s="28" t="n">
        <v>3960000000</v>
      </c>
      <c r="H563" s="25" t="n">
        <f aca="false">J562</f>
        <v>3960000000</v>
      </c>
      <c r="I563" s="25" t="n">
        <f aca="false">H563*N563</f>
        <v>40966200</v>
      </c>
      <c r="J563" s="25" t="n">
        <f aca="false">H563-E563</f>
        <v>3960000000</v>
      </c>
      <c r="K563" s="25" t="n">
        <f aca="false">D563-I563</f>
        <v>0</v>
      </c>
      <c r="L563" s="25" t="n">
        <f aca="false">G563-J563</f>
        <v>0</v>
      </c>
      <c r="M563" s="25" t="n">
        <f aca="false">F563</f>
        <v>40966200</v>
      </c>
      <c r="N563" s="48" t="n">
        <v>0.010345</v>
      </c>
      <c r="O563" s="25" t="n">
        <f aca="false">IF(AND(B563&gt;=DATE(2026,1,1),B563&lt;=Resumen!$C$5),1,0)</f>
        <v>0</v>
      </c>
      <c r="P563" s="25" t="n">
        <f aca="false">IF(AND(B563&gt;Resumen!$C$5,B563&lt;=DATE(2027,7,31)),1,0)</f>
        <v>0</v>
      </c>
    </row>
    <row r="564" customFormat="false" ht="15" hidden="false" customHeight="false" outlineLevel="0" collapsed="false">
      <c r="A564" s="22" t="n">
        <v>52</v>
      </c>
      <c r="B564" s="23" t="n">
        <v>45989</v>
      </c>
      <c r="C564" s="28" t="n">
        <v>3960000000</v>
      </c>
      <c r="D564" s="28" t="n">
        <v>42075000</v>
      </c>
      <c r="E564" s="28" t="n">
        <v>0</v>
      </c>
      <c r="F564" s="28" t="n">
        <v>42075000</v>
      </c>
      <c r="G564" s="28" t="n">
        <v>3960000000</v>
      </c>
      <c r="H564" s="25" t="n">
        <f aca="false">J563</f>
        <v>3960000000</v>
      </c>
      <c r="I564" s="25" t="n">
        <f aca="false">H564*N564</f>
        <v>42075000</v>
      </c>
      <c r="J564" s="25" t="n">
        <f aca="false">H564-E564</f>
        <v>3960000000</v>
      </c>
      <c r="K564" s="25" t="n">
        <f aca="false">D564-I564</f>
        <v>0</v>
      </c>
      <c r="L564" s="25" t="n">
        <f aca="false">G564-J564</f>
        <v>0</v>
      </c>
      <c r="M564" s="25" t="n">
        <f aca="false">F564</f>
        <v>42075000</v>
      </c>
      <c r="N564" s="48" t="n">
        <v>0.010625</v>
      </c>
      <c r="O564" s="25" t="n">
        <f aca="false">IF(AND(B564&gt;=DATE(2026,1,1),B564&lt;=Resumen!$C$5),1,0)</f>
        <v>0</v>
      </c>
      <c r="P564" s="25" t="n">
        <f aca="false">IF(AND(B564&gt;Resumen!$C$5,B564&lt;=DATE(2027,7,31)),1,0)</f>
        <v>0</v>
      </c>
    </row>
    <row r="565" customFormat="false" ht="15" hidden="false" customHeight="false" outlineLevel="0" collapsed="false">
      <c r="A565" s="22" t="n">
        <v>53</v>
      </c>
      <c r="B565" s="23" t="n">
        <v>46019</v>
      </c>
      <c r="C565" s="28" t="n">
        <v>3960000000</v>
      </c>
      <c r="D565" s="28" t="n">
        <v>44757900</v>
      </c>
      <c r="E565" s="28" t="n">
        <v>0</v>
      </c>
      <c r="F565" s="28" t="n">
        <v>44757900</v>
      </c>
      <c r="G565" s="28" t="n">
        <v>3960000000</v>
      </c>
      <c r="H565" s="25" t="n">
        <f aca="false">J564</f>
        <v>3960000000</v>
      </c>
      <c r="I565" s="25" t="n">
        <f aca="false">H565*N565</f>
        <v>44757900</v>
      </c>
      <c r="J565" s="25" t="n">
        <f aca="false">H565-E565</f>
        <v>3960000000</v>
      </c>
      <c r="K565" s="25" t="n">
        <f aca="false">D565-I565</f>
        <v>0</v>
      </c>
      <c r="L565" s="25" t="n">
        <f aca="false">G565-J565</f>
        <v>0</v>
      </c>
      <c r="M565" s="25" t="n">
        <f aca="false">F565</f>
        <v>44757900</v>
      </c>
      <c r="N565" s="48" t="n">
        <v>0.0113025</v>
      </c>
      <c r="O565" s="25" t="n">
        <f aca="false">IF(AND(B565&gt;=DATE(2026,1,1),B565&lt;=Resumen!$C$5),1,0)</f>
        <v>0</v>
      </c>
      <c r="P565" s="25" t="n">
        <f aca="false">IF(AND(B565&gt;Resumen!$C$5,B565&lt;=DATE(2027,7,31)),1,0)</f>
        <v>0</v>
      </c>
    </row>
    <row r="566" customFormat="false" ht="15" hidden="false" customHeight="false" outlineLevel="0" collapsed="false">
      <c r="A566" s="22" t="n">
        <v>54</v>
      </c>
      <c r="B566" s="23" t="n">
        <v>46050</v>
      </c>
      <c r="C566" s="28" t="n">
        <v>3960000000</v>
      </c>
      <c r="D566" s="28" t="n">
        <v>45210000</v>
      </c>
      <c r="E566" s="28" t="n">
        <v>0</v>
      </c>
      <c r="F566" s="28" t="n">
        <v>45210000</v>
      </c>
      <c r="G566" s="28" t="n">
        <v>3960000000</v>
      </c>
      <c r="H566" s="25" t="n">
        <f aca="false">J565</f>
        <v>3960000000</v>
      </c>
      <c r="I566" s="25" t="n">
        <f aca="false">H566*N566</f>
        <v>45210000</v>
      </c>
      <c r="J566" s="25" t="n">
        <f aca="false">H566-E566</f>
        <v>3960000000</v>
      </c>
      <c r="K566" s="25" t="n">
        <f aca="false">D566-I566</f>
        <v>0</v>
      </c>
      <c r="L566" s="25" t="n">
        <f aca="false">G566-J566</f>
        <v>0</v>
      </c>
      <c r="M566" s="25" t="n">
        <f aca="false">F566</f>
        <v>45210000</v>
      </c>
      <c r="N566" s="48" t="n">
        <v>0.0114166666666667</v>
      </c>
      <c r="O566" s="25" t="n">
        <f aca="false">IF(AND(B566&gt;=DATE(2026,1,1),B566&lt;=Resumen!$C$5),1,0)</f>
        <v>1</v>
      </c>
      <c r="P566" s="25" t="n">
        <f aca="false">IF(AND(B566&gt;Resumen!$C$5,B566&lt;=DATE(2027,7,31)),1,0)</f>
        <v>0</v>
      </c>
    </row>
    <row r="567" customFormat="false" ht="15" hidden="false" customHeight="false" outlineLevel="0" collapsed="false">
      <c r="A567" s="22" t="n">
        <v>55</v>
      </c>
      <c r="B567" s="23" t="n">
        <v>46081</v>
      </c>
      <c r="C567" s="28" t="n">
        <v>3960000000</v>
      </c>
      <c r="D567" s="28" t="n">
        <v>48741000</v>
      </c>
      <c r="E567" s="28" t="n">
        <v>0</v>
      </c>
      <c r="F567" s="28" t="n">
        <v>48741000</v>
      </c>
      <c r="G567" s="28" t="n">
        <v>3960000000</v>
      </c>
      <c r="H567" s="25" t="n">
        <f aca="false">J566</f>
        <v>3960000000</v>
      </c>
      <c r="I567" s="25" t="n">
        <f aca="false">H567*N567</f>
        <v>48741000</v>
      </c>
      <c r="J567" s="25" t="n">
        <f aca="false">H567-E567</f>
        <v>3960000000</v>
      </c>
      <c r="K567" s="25" t="n">
        <f aca="false">D567-I567</f>
        <v>0</v>
      </c>
      <c r="L567" s="25" t="n">
        <f aca="false">G567-J567</f>
        <v>0</v>
      </c>
      <c r="M567" s="25" t="n">
        <f aca="false">F567</f>
        <v>48741000</v>
      </c>
      <c r="N567" s="48" t="n">
        <v>0.0123083333333333</v>
      </c>
      <c r="O567" s="25" t="n">
        <f aca="false">IF(AND(B567&gt;=DATE(2026,1,1),B567&lt;=Resumen!$C$5),1,0)</f>
        <v>1</v>
      </c>
      <c r="P567" s="25" t="n">
        <f aca="false">IF(AND(B567&gt;Resumen!$C$5,B567&lt;=DATE(2027,7,31)),1,0)</f>
        <v>0</v>
      </c>
    </row>
    <row r="568" customFormat="false" ht="15" hidden="false" customHeight="false" outlineLevel="0" collapsed="false">
      <c r="A568" s="22" t="n">
        <v>56</v>
      </c>
      <c r="B568" s="23" t="n">
        <v>46109</v>
      </c>
      <c r="C568" s="28" t="n">
        <v>3960000000</v>
      </c>
      <c r="D568" s="28" t="n">
        <v>49863000</v>
      </c>
      <c r="E568" s="28" t="n">
        <v>0</v>
      </c>
      <c r="F568" s="28" t="n">
        <v>49863000</v>
      </c>
      <c r="G568" s="28" t="n">
        <v>3960000000</v>
      </c>
      <c r="H568" s="25" t="n">
        <f aca="false">J567</f>
        <v>3960000000</v>
      </c>
      <c r="I568" s="25" t="n">
        <f aca="false">H568*N568</f>
        <v>49863000</v>
      </c>
      <c r="J568" s="25" t="n">
        <f aca="false">H568-E568</f>
        <v>3960000000</v>
      </c>
      <c r="K568" s="25" t="n">
        <f aca="false">D568-I568</f>
        <v>0</v>
      </c>
      <c r="L568" s="25" t="n">
        <f aca="false">G568-J568</f>
        <v>0</v>
      </c>
      <c r="M568" s="25" t="n">
        <f aca="false">F568</f>
        <v>49863000</v>
      </c>
      <c r="N568" s="48" t="n">
        <v>0.0125916666666667</v>
      </c>
      <c r="O568" s="25" t="n">
        <f aca="false">IF(AND(B568&gt;=DATE(2026,1,1),B568&lt;=Resumen!$C$5),1,0)</f>
        <v>1</v>
      </c>
      <c r="P568" s="25" t="n">
        <f aca="false">IF(AND(B568&gt;Resumen!$C$5,B568&lt;=DATE(2027,7,31)),1,0)</f>
        <v>0</v>
      </c>
    </row>
    <row r="569" customFormat="false" ht="15" hidden="false" customHeight="false" outlineLevel="0" collapsed="false">
      <c r="A569" s="22" t="n">
        <v>57</v>
      </c>
      <c r="B569" s="23" t="n">
        <v>46140</v>
      </c>
      <c r="C569" s="28" t="n">
        <v>3960000000</v>
      </c>
      <c r="D569" s="28" t="n">
        <v>50975100</v>
      </c>
      <c r="E569" s="28" t="n">
        <v>0</v>
      </c>
      <c r="F569" s="28" t="n">
        <v>50975100</v>
      </c>
      <c r="G569" s="28" t="n">
        <v>3960000000</v>
      </c>
      <c r="H569" s="25" t="n">
        <f aca="false">J568</f>
        <v>3960000000</v>
      </c>
      <c r="I569" s="25" t="n">
        <f aca="false">H569*N569</f>
        <v>50975100</v>
      </c>
      <c r="J569" s="25" t="n">
        <f aca="false">H569-E569</f>
        <v>3960000000</v>
      </c>
      <c r="K569" s="25" t="n">
        <f aca="false">D569-I569</f>
        <v>0</v>
      </c>
      <c r="L569" s="25" t="n">
        <f aca="false">G569-J569</f>
        <v>0</v>
      </c>
      <c r="M569" s="25" t="n">
        <f aca="false">F569</f>
        <v>50975100</v>
      </c>
      <c r="N569" s="48" t="n">
        <v>0.0128725</v>
      </c>
      <c r="O569" s="25" t="n">
        <f aca="false">IF(AND(B569&gt;=DATE(2026,1,1),B569&lt;=Resumen!$C$5),1,0)</f>
        <v>1</v>
      </c>
      <c r="P569" s="25" t="n">
        <f aca="false">IF(AND(B569&gt;Resumen!$C$5,B569&lt;=DATE(2027,7,31)),1,0)</f>
        <v>0</v>
      </c>
    </row>
    <row r="570" customFormat="false" ht="15" hidden="false" customHeight="false" outlineLevel="0" collapsed="false">
      <c r="A570" s="22" t="n">
        <v>58</v>
      </c>
      <c r="B570" s="23" t="n">
        <v>46170</v>
      </c>
      <c r="C570" s="28" t="n">
        <v>3960000000</v>
      </c>
      <c r="D570" s="28" t="n">
        <v>50975100</v>
      </c>
      <c r="E570" s="28" t="n">
        <v>0</v>
      </c>
      <c r="F570" s="28" t="n">
        <v>50975100</v>
      </c>
      <c r="G570" s="28" t="n">
        <v>3960000000</v>
      </c>
      <c r="H570" s="25" t="n">
        <f aca="false">J569</f>
        <v>3960000000</v>
      </c>
      <c r="I570" s="25" t="n">
        <f aca="false">H570*N570</f>
        <v>50975100</v>
      </c>
      <c r="J570" s="25" t="n">
        <f aca="false">H570-E570</f>
        <v>3960000000</v>
      </c>
      <c r="K570" s="25" t="n">
        <f aca="false">D570-I570</f>
        <v>0</v>
      </c>
      <c r="L570" s="25" t="n">
        <f aca="false">G570-J570</f>
        <v>0</v>
      </c>
      <c r="M570" s="25" t="n">
        <f aca="false">F570</f>
        <v>50975100</v>
      </c>
      <c r="N570" s="48" t="n">
        <v>0.0128725</v>
      </c>
      <c r="O570" s="25" t="n">
        <f aca="false">IF(AND(B570&gt;=DATE(2026,1,1),B570&lt;=Resumen!$C$5),1,0)</f>
        <v>1</v>
      </c>
      <c r="P570" s="25" t="n">
        <f aca="false">IF(AND(B570&gt;Resumen!$C$5,B570&lt;=DATE(2027,7,31)),1,0)</f>
        <v>0</v>
      </c>
    </row>
    <row r="571" customFormat="false" ht="15" hidden="false" customHeight="false" outlineLevel="0" collapsed="false">
      <c r="A571" s="22" t="n">
        <v>59</v>
      </c>
      <c r="B571" s="23" t="n">
        <v>46201</v>
      </c>
      <c r="C571" s="28" t="n">
        <v>3960000000</v>
      </c>
      <c r="D571" s="28" t="n">
        <v>50094000</v>
      </c>
      <c r="E571" s="28" t="n">
        <v>0</v>
      </c>
      <c r="F571" s="28" t="n">
        <v>50094000</v>
      </c>
      <c r="G571" s="28" t="n">
        <v>3960000000</v>
      </c>
      <c r="H571" s="25" t="n">
        <f aca="false">J570</f>
        <v>3960000000</v>
      </c>
      <c r="I571" s="25" t="n">
        <f aca="false">H571*N571</f>
        <v>50094000</v>
      </c>
      <c r="J571" s="25" t="n">
        <f aca="false">H571-E571</f>
        <v>3960000000</v>
      </c>
      <c r="K571" s="25" t="n">
        <f aca="false">D571-I571</f>
        <v>0</v>
      </c>
      <c r="L571" s="25" t="n">
        <f aca="false">G571-J571</f>
        <v>0</v>
      </c>
      <c r="M571" s="25" t="n">
        <f aca="false">F571</f>
        <v>50094000</v>
      </c>
      <c r="N571" s="48" t="n">
        <v>0.01265</v>
      </c>
      <c r="O571" s="25" t="n">
        <f aca="false">IF(AND(B571&gt;=DATE(2026,1,1),B571&lt;=Resumen!$C$5),1,0)</f>
        <v>1</v>
      </c>
      <c r="P571" s="25" t="n">
        <f aca="false">IF(AND(B571&gt;Resumen!$C$5,B571&lt;=DATE(2027,7,31)),1,0)</f>
        <v>0</v>
      </c>
    </row>
    <row r="572" customFormat="false" ht="15" hidden="false" customHeight="false" outlineLevel="0" collapsed="false">
      <c r="A572" s="22" t="n">
        <v>60</v>
      </c>
      <c r="B572" s="23" t="n">
        <v>46231</v>
      </c>
      <c r="C572" s="28" t="n">
        <v>3960000000</v>
      </c>
      <c r="D572" s="28" t="n">
        <v>50902500</v>
      </c>
      <c r="E572" s="28" t="n">
        <v>0</v>
      </c>
      <c r="F572" s="28" t="n">
        <v>50902500</v>
      </c>
      <c r="G572" s="28" t="n">
        <v>3960000000</v>
      </c>
      <c r="H572" s="25" t="n">
        <f aca="false">J571</f>
        <v>3960000000</v>
      </c>
      <c r="I572" s="25" t="n">
        <f aca="false">H572*N572</f>
        <v>50902500</v>
      </c>
      <c r="J572" s="25" t="n">
        <f aca="false">H572-E572</f>
        <v>3960000000</v>
      </c>
      <c r="K572" s="25" t="n">
        <f aca="false">D572-I572</f>
        <v>0</v>
      </c>
      <c r="L572" s="25" t="n">
        <f aca="false">G572-J572</f>
        <v>0</v>
      </c>
      <c r="M572" s="25" t="n">
        <f aca="false">F572</f>
        <v>50902500</v>
      </c>
      <c r="N572" s="48" t="n">
        <v>0.0128541666666667</v>
      </c>
      <c r="O572" s="25" t="n">
        <f aca="false">IF(AND(B572&gt;=DATE(2026,1,1),B572&lt;=Resumen!$C$5),1,0)</f>
        <v>1</v>
      </c>
      <c r="P572" s="25" t="n">
        <f aca="false">IF(AND(B572&gt;Resumen!$C$5,B572&lt;=DATE(2027,7,31)),1,0)</f>
        <v>0</v>
      </c>
    </row>
    <row r="573" customFormat="false" ht="15" hidden="false" customHeight="false" outlineLevel="0" collapsed="false">
      <c r="A573" s="22" t="n">
        <v>61</v>
      </c>
      <c r="B573" s="23" t="n">
        <v>46262</v>
      </c>
      <c r="C573" s="28" t="n">
        <v>3960000000</v>
      </c>
      <c r="D573" s="28" t="n">
        <v>50902500</v>
      </c>
      <c r="E573" s="28" t="n">
        <v>0</v>
      </c>
      <c r="F573" s="28" t="n">
        <v>50902500</v>
      </c>
      <c r="G573" s="28" t="n">
        <v>3960000000</v>
      </c>
      <c r="H573" s="25" t="n">
        <f aca="false">J572</f>
        <v>3960000000</v>
      </c>
      <c r="I573" s="25" t="n">
        <f aca="false">H573*N573</f>
        <v>50902500</v>
      </c>
      <c r="J573" s="25" t="n">
        <f aca="false">H573-E573</f>
        <v>3960000000</v>
      </c>
      <c r="K573" s="25" t="n">
        <f aca="false">D573-I573</f>
        <v>0</v>
      </c>
      <c r="L573" s="25" t="n">
        <f aca="false">G573-J573</f>
        <v>0</v>
      </c>
      <c r="M573" s="25" t="n">
        <f aca="false">F573</f>
        <v>50902500</v>
      </c>
      <c r="N573" s="48" t="n">
        <v>0.0128541666666667</v>
      </c>
      <c r="O573" s="25" t="n">
        <f aca="false">IF(AND(B573&gt;=DATE(2026,1,1),B573&lt;=Resumen!$C$5),1,0)</f>
        <v>0</v>
      </c>
      <c r="P573" s="25" t="n">
        <f aca="false">IF(AND(B573&gt;Resumen!$C$5,B573&lt;=DATE(2027,7,31)),1,0)</f>
        <v>1</v>
      </c>
    </row>
    <row r="574" customFormat="false" ht="15" hidden="false" customHeight="false" outlineLevel="0" collapsed="false">
      <c r="A574" s="22" t="n">
        <v>62</v>
      </c>
      <c r="B574" s="23" t="n">
        <v>46293</v>
      </c>
      <c r="C574" s="28" t="n">
        <v>3960000000</v>
      </c>
      <c r="D574" s="28" t="n">
        <v>50902500</v>
      </c>
      <c r="E574" s="28" t="n">
        <v>0</v>
      </c>
      <c r="F574" s="28" t="n">
        <v>50902500</v>
      </c>
      <c r="G574" s="28" t="n">
        <v>3960000000</v>
      </c>
      <c r="H574" s="25" t="n">
        <f aca="false">J573</f>
        <v>3960000000</v>
      </c>
      <c r="I574" s="25" t="n">
        <f aca="false">H574*N574</f>
        <v>50902500</v>
      </c>
      <c r="J574" s="25" t="n">
        <f aca="false">H574-E574</f>
        <v>3960000000</v>
      </c>
      <c r="K574" s="25" t="n">
        <f aca="false">D574-I574</f>
        <v>0</v>
      </c>
      <c r="L574" s="25" t="n">
        <f aca="false">G574-J574</f>
        <v>0</v>
      </c>
      <c r="M574" s="25" t="n">
        <f aca="false">F574</f>
        <v>50902500</v>
      </c>
      <c r="N574" s="48" t="n">
        <v>0.0128541666666667</v>
      </c>
      <c r="O574" s="25" t="n">
        <f aca="false">IF(AND(B574&gt;=DATE(2026,1,1),B574&lt;=Resumen!$C$5),1,0)</f>
        <v>0</v>
      </c>
      <c r="P574" s="25" t="n">
        <f aca="false">IF(AND(B574&gt;Resumen!$C$5,B574&lt;=DATE(2027,7,31)),1,0)</f>
        <v>1</v>
      </c>
    </row>
    <row r="575" customFormat="false" ht="15" hidden="false" customHeight="false" outlineLevel="0" collapsed="false">
      <c r="A575" s="22" t="n">
        <v>63</v>
      </c>
      <c r="B575" s="23" t="n">
        <v>46323</v>
      </c>
      <c r="C575" s="28" t="n">
        <v>3960000000</v>
      </c>
      <c r="D575" s="28" t="n">
        <v>50902500</v>
      </c>
      <c r="E575" s="28" t="n">
        <v>0</v>
      </c>
      <c r="F575" s="28" t="n">
        <v>50902500</v>
      </c>
      <c r="G575" s="28" t="n">
        <v>3960000000</v>
      </c>
      <c r="H575" s="25" t="n">
        <f aca="false">J574</f>
        <v>3960000000</v>
      </c>
      <c r="I575" s="25" t="n">
        <f aca="false">H575*N575</f>
        <v>50902500</v>
      </c>
      <c r="J575" s="25" t="n">
        <f aca="false">H575-E575</f>
        <v>3960000000</v>
      </c>
      <c r="K575" s="25" t="n">
        <f aca="false">D575-I575</f>
        <v>0</v>
      </c>
      <c r="L575" s="25" t="n">
        <f aca="false">G575-J575</f>
        <v>0</v>
      </c>
      <c r="M575" s="25" t="n">
        <f aca="false">F575</f>
        <v>50902500</v>
      </c>
      <c r="N575" s="48" t="n">
        <v>0.0128541666666667</v>
      </c>
      <c r="O575" s="25" t="n">
        <f aca="false">IF(AND(B575&gt;=DATE(2026,1,1),B575&lt;=Resumen!$C$5),1,0)</f>
        <v>0</v>
      </c>
      <c r="P575" s="25" t="n">
        <f aca="false">IF(AND(B575&gt;Resumen!$C$5,B575&lt;=DATE(2027,7,31)),1,0)</f>
        <v>1</v>
      </c>
    </row>
    <row r="576" customFormat="false" ht="15" hidden="false" customHeight="false" outlineLevel="0" collapsed="false">
      <c r="A576" s="22" t="n">
        <v>64</v>
      </c>
      <c r="B576" s="23" t="n">
        <v>46354</v>
      </c>
      <c r="C576" s="28" t="n">
        <v>3960000000</v>
      </c>
      <c r="D576" s="28" t="n">
        <v>50902500</v>
      </c>
      <c r="E576" s="28" t="n">
        <v>0</v>
      </c>
      <c r="F576" s="28" t="n">
        <v>50902500</v>
      </c>
      <c r="G576" s="28" t="n">
        <v>3960000000</v>
      </c>
      <c r="H576" s="25" t="n">
        <f aca="false">J575</f>
        <v>3960000000</v>
      </c>
      <c r="I576" s="25" t="n">
        <f aca="false">H576*N576</f>
        <v>50902500</v>
      </c>
      <c r="J576" s="25" t="n">
        <f aca="false">H576-E576</f>
        <v>3960000000</v>
      </c>
      <c r="K576" s="25" t="n">
        <f aca="false">D576-I576</f>
        <v>0</v>
      </c>
      <c r="L576" s="25" t="n">
        <f aca="false">G576-J576</f>
        <v>0</v>
      </c>
      <c r="M576" s="25" t="n">
        <f aca="false">F576</f>
        <v>50902500</v>
      </c>
      <c r="N576" s="48" t="n">
        <v>0.0128541666666667</v>
      </c>
      <c r="O576" s="25" t="n">
        <f aca="false">IF(AND(B576&gt;=DATE(2026,1,1),B576&lt;=Resumen!$C$5),1,0)</f>
        <v>0</v>
      </c>
      <c r="P576" s="25" t="n">
        <f aca="false">IF(AND(B576&gt;Resumen!$C$5,B576&lt;=DATE(2027,7,31)),1,0)</f>
        <v>1</v>
      </c>
    </row>
    <row r="577" customFormat="false" ht="15" hidden="false" customHeight="false" outlineLevel="0" collapsed="false">
      <c r="A577" s="22" t="n">
        <v>65</v>
      </c>
      <c r="B577" s="23" t="n">
        <v>46384</v>
      </c>
      <c r="C577" s="28" t="n">
        <v>3960000000</v>
      </c>
      <c r="D577" s="28" t="n">
        <v>50902500</v>
      </c>
      <c r="E577" s="28" t="n">
        <v>0</v>
      </c>
      <c r="F577" s="28" t="n">
        <v>50902500</v>
      </c>
      <c r="G577" s="28" t="n">
        <v>3960000000</v>
      </c>
      <c r="H577" s="25" t="n">
        <f aca="false">J576</f>
        <v>3960000000</v>
      </c>
      <c r="I577" s="25" t="n">
        <f aca="false">H577*N577</f>
        <v>50902500</v>
      </c>
      <c r="J577" s="25" t="n">
        <f aca="false">H577-E577</f>
        <v>3960000000</v>
      </c>
      <c r="K577" s="25" t="n">
        <f aca="false">D577-I577</f>
        <v>0</v>
      </c>
      <c r="L577" s="25" t="n">
        <f aca="false">G577-J577</f>
        <v>0</v>
      </c>
      <c r="M577" s="25" t="n">
        <f aca="false">F577</f>
        <v>50902500</v>
      </c>
      <c r="N577" s="48" t="n">
        <v>0.0128541666666667</v>
      </c>
      <c r="O577" s="25" t="n">
        <f aca="false">IF(AND(B577&gt;=DATE(2026,1,1),B577&lt;=Resumen!$C$5),1,0)</f>
        <v>0</v>
      </c>
      <c r="P577" s="25" t="n">
        <f aca="false">IF(AND(B577&gt;Resumen!$C$5,B577&lt;=DATE(2027,7,31)),1,0)</f>
        <v>1</v>
      </c>
    </row>
    <row r="578" customFormat="false" ht="15" hidden="false" customHeight="false" outlineLevel="0" collapsed="false">
      <c r="A578" s="22" t="n">
        <v>66</v>
      </c>
      <c r="B578" s="23" t="n">
        <v>46415</v>
      </c>
      <c r="C578" s="28" t="n">
        <v>3960000000</v>
      </c>
      <c r="D578" s="28" t="n">
        <v>50902500</v>
      </c>
      <c r="E578" s="28" t="n">
        <v>0</v>
      </c>
      <c r="F578" s="28" t="n">
        <v>50902500</v>
      </c>
      <c r="G578" s="28" t="n">
        <v>3960000000</v>
      </c>
      <c r="H578" s="25" t="n">
        <f aca="false">J577</f>
        <v>3960000000</v>
      </c>
      <c r="I578" s="25" t="n">
        <f aca="false">H578*N578</f>
        <v>50902500</v>
      </c>
      <c r="J578" s="25" t="n">
        <f aca="false">H578-E578</f>
        <v>3960000000</v>
      </c>
      <c r="K578" s="25" t="n">
        <f aca="false">D578-I578</f>
        <v>0</v>
      </c>
      <c r="L578" s="25" t="n">
        <f aca="false">G578-J578</f>
        <v>0</v>
      </c>
      <c r="M578" s="25" t="n">
        <f aca="false">F578</f>
        <v>50902500</v>
      </c>
      <c r="N578" s="48" t="n">
        <v>0.0128541666666667</v>
      </c>
      <c r="O578" s="25" t="n">
        <f aca="false">IF(AND(B578&gt;=DATE(2026,1,1),B578&lt;=Resumen!$C$5),1,0)</f>
        <v>0</v>
      </c>
      <c r="P578" s="25" t="n">
        <f aca="false">IF(AND(B578&gt;Resumen!$C$5,B578&lt;=DATE(2027,7,31)),1,0)</f>
        <v>1</v>
      </c>
    </row>
    <row r="579" customFormat="false" ht="15" hidden="false" customHeight="false" outlineLevel="0" collapsed="false">
      <c r="A579" s="22" t="n">
        <v>67</v>
      </c>
      <c r="B579" s="23" t="n">
        <v>46446</v>
      </c>
      <c r="C579" s="28" t="n">
        <v>3960000000</v>
      </c>
      <c r="D579" s="28" t="n">
        <v>50902500</v>
      </c>
      <c r="E579" s="28" t="n">
        <v>0</v>
      </c>
      <c r="F579" s="28" t="n">
        <v>50902500</v>
      </c>
      <c r="G579" s="28" t="n">
        <v>3960000000</v>
      </c>
      <c r="H579" s="25" t="n">
        <f aca="false">J578</f>
        <v>3960000000</v>
      </c>
      <c r="I579" s="25" t="n">
        <f aca="false">H579*N579</f>
        <v>50902500</v>
      </c>
      <c r="J579" s="25" t="n">
        <f aca="false">H579-E579</f>
        <v>3960000000</v>
      </c>
      <c r="K579" s="25" t="n">
        <f aca="false">D579-I579</f>
        <v>0</v>
      </c>
      <c r="L579" s="25" t="n">
        <f aca="false">G579-J579</f>
        <v>0</v>
      </c>
      <c r="M579" s="25" t="n">
        <f aca="false">F579</f>
        <v>50902500</v>
      </c>
      <c r="N579" s="48" t="n">
        <v>0.0128541666666667</v>
      </c>
      <c r="O579" s="25" t="n">
        <f aca="false">IF(AND(B579&gt;=DATE(2026,1,1),B579&lt;=Resumen!$C$5),1,0)</f>
        <v>0</v>
      </c>
      <c r="P579" s="25" t="n">
        <f aca="false">IF(AND(B579&gt;Resumen!$C$5,B579&lt;=DATE(2027,7,31)),1,0)</f>
        <v>1</v>
      </c>
    </row>
    <row r="580" customFormat="false" ht="15" hidden="false" customHeight="false" outlineLevel="0" collapsed="false">
      <c r="A580" s="22" t="n">
        <v>68</v>
      </c>
      <c r="B580" s="23" t="n">
        <v>46474</v>
      </c>
      <c r="C580" s="28" t="n">
        <v>3960000000</v>
      </c>
      <c r="D580" s="28" t="n">
        <v>50902500</v>
      </c>
      <c r="E580" s="28" t="n">
        <v>0</v>
      </c>
      <c r="F580" s="28" t="n">
        <v>50902500</v>
      </c>
      <c r="G580" s="28" t="n">
        <v>3960000000</v>
      </c>
      <c r="H580" s="25" t="n">
        <f aca="false">J579</f>
        <v>3960000000</v>
      </c>
      <c r="I580" s="25" t="n">
        <f aca="false">H580*N580</f>
        <v>50902500</v>
      </c>
      <c r="J580" s="25" t="n">
        <f aca="false">H580-E580</f>
        <v>3960000000</v>
      </c>
      <c r="K580" s="25" t="n">
        <f aca="false">D580-I580</f>
        <v>0</v>
      </c>
      <c r="L580" s="25" t="n">
        <f aca="false">G580-J580</f>
        <v>0</v>
      </c>
      <c r="M580" s="25" t="n">
        <f aca="false">F580</f>
        <v>50902500</v>
      </c>
      <c r="N580" s="48" t="n">
        <v>0.0128541666666667</v>
      </c>
      <c r="O580" s="25" t="n">
        <f aca="false">IF(AND(B580&gt;=DATE(2026,1,1),B580&lt;=Resumen!$C$5),1,0)</f>
        <v>0</v>
      </c>
      <c r="P580" s="25" t="n">
        <f aca="false">IF(AND(B580&gt;Resumen!$C$5,B580&lt;=DATE(2027,7,31)),1,0)</f>
        <v>1</v>
      </c>
    </row>
    <row r="581" customFormat="false" ht="15" hidden="false" customHeight="false" outlineLevel="0" collapsed="false">
      <c r="A581" s="22" t="n">
        <v>69</v>
      </c>
      <c r="B581" s="23" t="n">
        <v>46505</v>
      </c>
      <c r="C581" s="28" t="n">
        <v>3960000000</v>
      </c>
      <c r="D581" s="28" t="n">
        <v>50902500</v>
      </c>
      <c r="E581" s="28" t="n">
        <v>0</v>
      </c>
      <c r="F581" s="28" t="n">
        <v>50902500</v>
      </c>
      <c r="G581" s="28" t="n">
        <v>3960000000</v>
      </c>
      <c r="H581" s="25" t="n">
        <f aca="false">J580</f>
        <v>3960000000</v>
      </c>
      <c r="I581" s="25" t="n">
        <f aca="false">H581*N581</f>
        <v>50902500</v>
      </c>
      <c r="J581" s="25" t="n">
        <f aca="false">H581-E581</f>
        <v>3960000000</v>
      </c>
      <c r="K581" s="25" t="n">
        <f aca="false">D581-I581</f>
        <v>0</v>
      </c>
      <c r="L581" s="25" t="n">
        <f aca="false">G581-J581</f>
        <v>0</v>
      </c>
      <c r="M581" s="25" t="n">
        <f aca="false">F581</f>
        <v>50902500</v>
      </c>
      <c r="N581" s="48" t="n">
        <v>0.0128541666666667</v>
      </c>
      <c r="O581" s="25" t="n">
        <f aca="false">IF(AND(B581&gt;=DATE(2026,1,1),B581&lt;=Resumen!$C$5),1,0)</f>
        <v>0</v>
      </c>
      <c r="P581" s="25" t="n">
        <f aca="false">IF(AND(B581&gt;Resumen!$C$5,B581&lt;=DATE(2027,7,31)),1,0)</f>
        <v>1</v>
      </c>
    </row>
    <row r="582" customFormat="false" ht="15" hidden="false" customHeight="false" outlineLevel="0" collapsed="false">
      <c r="A582" s="22" t="n">
        <v>70</v>
      </c>
      <c r="B582" s="23" t="n">
        <v>46535</v>
      </c>
      <c r="C582" s="28" t="n">
        <v>3960000000</v>
      </c>
      <c r="D582" s="28" t="n">
        <v>50902500</v>
      </c>
      <c r="E582" s="28" t="n">
        <v>0</v>
      </c>
      <c r="F582" s="28" t="n">
        <v>50902500</v>
      </c>
      <c r="G582" s="28" t="n">
        <v>3960000000</v>
      </c>
      <c r="H582" s="25" t="n">
        <f aca="false">J581</f>
        <v>3960000000</v>
      </c>
      <c r="I582" s="25" t="n">
        <f aca="false">H582*N582</f>
        <v>50902500</v>
      </c>
      <c r="J582" s="25" t="n">
        <f aca="false">H582-E582</f>
        <v>3960000000</v>
      </c>
      <c r="K582" s="25" t="n">
        <f aca="false">D582-I582</f>
        <v>0</v>
      </c>
      <c r="L582" s="25" t="n">
        <f aca="false">G582-J582</f>
        <v>0</v>
      </c>
      <c r="M582" s="25" t="n">
        <f aca="false">F582</f>
        <v>50902500</v>
      </c>
      <c r="N582" s="48" t="n">
        <v>0.0128541666666667</v>
      </c>
      <c r="O582" s="25" t="n">
        <f aca="false">IF(AND(B582&gt;=DATE(2026,1,1),B582&lt;=Resumen!$C$5),1,0)</f>
        <v>0</v>
      </c>
      <c r="P582" s="25" t="n">
        <f aca="false">IF(AND(B582&gt;Resumen!$C$5,B582&lt;=DATE(2027,7,31)),1,0)</f>
        <v>1</v>
      </c>
    </row>
    <row r="583" customFormat="false" ht="15" hidden="false" customHeight="false" outlineLevel="0" collapsed="false">
      <c r="A583" s="22" t="n">
        <v>71</v>
      </c>
      <c r="B583" s="23" t="n">
        <v>46566</v>
      </c>
      <c r="C583" s="28" t="n">
        <v>3960000000</v>
      </c>
      <c r="D583" s="28" t="n">
        <v>50902500</v>
      </c>
      <c r="E583" s="28" t="n">
        <v>0</v>
      </c>
      <c r="F583" s="28" t="n">
        <v>50902500</v>
      </c>
      <c r="G583" s="28" t="n">
        <v>3960000000</v>
      </c>
      <c r="H583" s="25" t="n">
        <f aca="false">J582</f>
        <v>3960000000</v>
      </c>
      <c r="I583" s="25" t="n">
        <f aca="false">H583*N583</f>
        <v>50902500</v>
      </c>
      <c r="J583" s="25" t="n">
        <f aca="false">H583-E583</f>
        <v>3960000000</v>
      </c>
      <c r="K583" s="25" t="n">
        <f aca="false">D583-I583</f>
        <v>0</v>
      </c>
      <c r="L583" s="25" t="n">
        <f aca="false">G583-J583</f>
        <v>0</v>
      </c>
      <c r="M583" s="25" t="n">
        <f aca="false">F583</f>
        <v>50902500</v>
      </c>
      <c r="N583" s="48" t="n">
        <v>0.0128541666666667</v>
      </c>
      <c r="O583" s="25" t="n">
        <f aca="false">IF(AND(B583&gt;=DATE(2026,1,1),B583&lt;=Resumen!$C$5),1,0)</f>
        <v>0</v>
      </c>
      <c r="P583" s="25" t="n">
        <f aca="false">IF(AND(B583&gt;Resumen!$C$5,B583&lt;=DATE(2027,7,31)),1,0)</f>
        <v>1</v>
      </c>
    </row>
    <row r="584" customFormat="false" ht="15" hidden="false" customHeight="false" outlineLevel="0" collapsed="false">
      <c r="A584" s="22" t="n">
        <v>72</v>
      </c>
      <c r="B584" s="23" t="n">
        <v>46596</v>
      </c>
      <c r="C584" s="28" t="n">
        <v>3960000000</v>
      </c>
      <c r="D584" s="28" t="n">
        <v>50902500</v>
      </c>
      <c r="E584" s="28" t="n">
        <v>0</v>
      </c>
      <c r="F584" s="28" t="n">
        <v>50902500</v>
      </c>
      <c r="G584" s="28" t="n">
        <v>3960000000</v>
      </c>
      <c r="H584" s="25" t="n">
        <f aca="false">J583</f>
        <v>3960000000</v>
      </c>
      <c r="I584" s="25" t="n">
        <f aca="false">H584*N584</f>
        <v>50902500</v>
      </c>
      <c r="J584" s="25" t="n">
        <f aca="false">H584-E584</f>
        <v>3960000000</v>
      </c>
      <c r="K584" s="25" t="n">
        <f aca="false">D584-I584</f>
        <v>0</v>
      </c>
      <c r="L584" s="25" t="n">
        <f aca="false">G584-J584</f>
        <v>0</v>
      </c>
      <c r="M584" s="25" t="n">
        <f aca="false">F584</f>
        <v>50902500</v>
      </c>
      <c r="N584" s="48" t="n">
        <v>0.0128541666666667</v>
      </c>
      <c r="O584" s="25" t="n">
        <f aca="false">IF(AND(B584&gt;=DATE(2026,1,1),B584&lt;=Resumen!$C$5),1,0)</f>
        <v>0</v>
      </c>
      <c r="P584" s="25" t="n">
        <f aca="false">IF(AND(B584&gt;Resumen!$C$5,B584&lt;=DATE(2027,7,31)),1,0)</f>
        <v>1</v>
      </c>
    </row>
    <row r="585" customFormat="false" ht="15" hidden="false" customHeight="false" outlineLevel="0" collapsed="false">
      <c r="A585" s="22" t="n">
        <v>73</v>
      </c>
      <c r="B585" s="23" t="n">
        <v>46627</v>
      </c>
      <c r="C585" s="28" t="n">
        <v>3960000000</v>
      </c>
      <c r="D585" s="28" t="n">
        <v>50902500</v>
      </c>
      <c r="E585" s="28" t="n">
        <v>0</v>
      </c>
      <c r="F585" s="28" t="n">
        <v>50902500</v>
      </c>
      <c r="G585" s="28" t="n">
        <v>3960000000</v>
      </c>
      <c r="H585" s="25" t="n">
        <f aca="false">J584</f>
        <v>3960000000</v>
      </c>
      <c r="I585" s="25" t="n">
        <f aca="false">H585*N585</f>
        <v>50902500</v>
      </c>
      <c r="J585" s="25" t="n">
        <f aca="false">H585-E585</f>
        <v>3960000000</v>
      </c>
      <c r="K585" s="25" t="n">
        <f aca="false">D585-I585</f>
        <v>0</v>
      </c>
      <c r="L585" s="25" t="n">
        <f aca="false">G585-J585</f>
        <v>0</v>
      </c>
      <c r="M585" s="25" t="n">
        <f aca="false">F585</f>
        <v>50902500</v>
      </c>
      <c r="N585" s="48" t="n">
        <v>0.0128541666666667</v>
      </c>
      <c r="O585" s="25" t="n">
        <f aca="false">IF(AND(B585&gt;=DATE(2026,1,1),B585&lt;=Resumen!$C$5),1,0)</f>
        <v>0</v>
      </c>
      <c r="P585" s="25" t="n">
        <f aca="false">IF(AND(B585&gt;Resumen!$C$5,B585&lt;=DATE(2027,7,31)),1,0)</f>
        <v>0</v>
      </c>
    </row>
    <row r="586" customFormat="false" ht="15" hidden="false" customHeight="false" outlineLevel="0" collapsed="false">
      <c r="A586" s="22" t="n">
        <v>74</v>
      </c>
      <c r="B586" s="23" t="n">
        <v>46658</v>
      </c>
      <c r="C586" s="28" t="n">
        <v>3960000000</v>
      </c>
      <c r="D586" s="28" t="n">
        <v>50902500</v>
      </c>
      <c r="E586" s="28" t="n">
        <v>0</v>
      </c>
      <c r="F586" s="28" t="n">
        <v>50902500</v>
      </c>
      <c r="G586" s="28" t="n">
        <v>3960000000</v>
      </c>
      <c r="H586" s="25" t="n">
        <f aca="false">J585</f>
        <v>3960000000</v>
      </c>
      <c r="I586" s="25" t="n">
        <f aca="false">H586*N586</f>
        <v>50902500</v>
      </c>
      <c r="J586" s="25" t="n">
        <f aca="false">H586-E586</f>
        <v>3960000000</v>
      </c>
      <c r="K586" s="25" t="n">
        <f aca="false">D586-I586</f>
        <v>0</v>
      </c>
      <c r="L586" s="25" t="n">
        <f aca="false">G586-J586</f>
        <v>0</v>
      </c>
      <c r="M586" s="25" t="n">
        <f aca="false">F586</f>
        <v>50902500</v>
      </c>
      <c r="N586" s="48" t="n">
        <v>0.0128541666666667</v>
      </c>
      <c r="O586" s="25" t="n">
        <f aca="false">IF(AND(B586&gt;=DATE(2026,1,1),B586&lt;=Resumen!$C$5),1,0)</f>
        <v>0</v>
      </c>
      <c r="P586" s="25" t="n">
        <f aca="false">IF(AND(B586&gt;Resumen!$C$5,B586&lt;=DATE(2027,7,31)),1,0)</f>
        <v>0</v>
      </c>
    </row>
    <row r="587" customFormat="false" ht="15" hidden="false" customHeight="false" outlineLevel="0" collapsed="false">
      <c r="A587" s="22" t="n">
        <v>75</v>
      </c>
      <c r="B587" s="23" t="n">
        <v>46688</v>
      </c>
      <c r="C587" s="28" t="n">
        <v>3960000000</v>
      </c>
      <c r="D587" s="28" t="n">
        <v>50902500</v>
      </c>
      <c r="E587" s="28" t="n">
        <v>0</v>
      </c>
      <c r="F587" s="28" t="n">
        <v>50902500</v>
      </c>
      <c r="G587" s="28" t="n">
        <v>3960000000</v>
      </c>
      <c r="H587" s="25" t="n">
        <f aca="false">J586</f>
        <v>3960000000</v>
      </c>
      <c r="I587" s="25" t="n">
        <f aca="false">H587*N587</f>
        <v>50902500</v>
      </c>
      <c r="J587" s="25" t="n">
        <f aca="false">H587-E587</f>
        <v>3960000000</v>
      </c>
      <c r="K587" s="25" t="n">
        <f aca="false">D587-I587</f>
        <v>0</v>
      </c>
      <c r="L587" s="25" t="n">
        <f aca="false">G587-J587</f>
        <v>0</v>
      </c>
      <c r="M587" s="25" t="n">
        <f aca="false">F587</f>
        <v>50902500</v>
      </c>
      <c r="N587" s="48" t="n">
        <v>0.0128541666666667</v>
      </c>
      <c r="O587" s="25" t="n">
        <f aca="false">IF(AND(B587&gt;=DATE(2026,1,1),B587&lt;=Resumen!$C$5),1,0)</f>
        <v>0</v>
      </c>
      <c r="P587" s="25" t="n">
        <f aca="false">IF(AND(B587&gt;Resumen!$C$5,B587&lt;=DATE(2027,7,31)),1,0)</f>
        <v>0</v>
      </c>
    </row>
    <row r="588" customFormat="false" ht="15" hidden="false" customHeight="false" outlineLevel="0" collapsed="false">
      <c r="A588" s="22" t="n">
        <v>76</v>
      </c>
      <c r="B588" s="23" t="n">
        <v>46719</v>
      </c>
      <c r="C588" s="28" t="n">
        <v>3960000000</v>
      </c>
      <c r="D588" s="28" t="n">
        <v>50902500</v>
      </c>
      <c r="E588" s="28" t="n">
        <v>0</v>
      </c>
      <c r="F588" s="28" t="n">
        <v>50902500</v>
      </c>
      <c r="G588" s="28" t="n">
        <v>3960000000</v>
      </c>
      <c r="H588" s="25" t="n">
        <f aca="false">J587</f>
        <v>3960000000</v>
      </c>
      <c r="I588" s="25" t="n">
        <f aca="false">H588*N588</f>
        <v>50902500</v>
      </c>
      <c r="J588" s="25" t="n">
        <f aca="false">H588-E588</f>
        <v>3960000000</v>
      </c>
      <c r="K588" s="25" t="n">
        <f aca="false">D588-I588</f>
        <v>0</v>
      </c>
      <c r="L588" s="25" t="n">
        <f aca="false">G588-J588</f>
        <v>0</v>
      </c>
      <c r="M588" s="25" t="n">
        <f aca="false">F588</f>
        <v>50902500</v>
      </c>
      <c r="N588" s="48" t="n">
        <v>0.0128541666666667</v>
      </c>
      <c r="O588" s="25" t="n">
        <f aca="false">IF(AND(B588&gt;=DATE(2026,1,1),B588&lt;=Resumen!$C$5),1,0)</f>
        <v>0</v>
      </c>
      <c r="P588" s="25" t="n">
        <f aca="false">IF(AND(B588&gt;Resumen!$C$5,B588&lt;=DATE(2027,7,31)),1,0)</f>
        <v>0</v>
      </c>
    </row>
    <row r="589" customFormat="false" ht="15" hidden="false" customHeight="false" outlineLevel="0" collapsed="false">
      <c r="A589" s="22" t="n">
        <v>77</v>
      </c>
      <c r="B589" s="23" t="n">
        <v>46749</v>
      </c>
      <c r="C589" s="28" t="n">
        <v>3960000000</v>
      </c>
      <c r="D589" s="28" t="n">
        <v>50902500</v>
      </c>
      <c r="E589" s="28" t="n">
        <v>0</v>
      </c>
      <c r="F589" s="28" t="n">
        <v>50902500</v>
      </c>
      <c r="G589" s="28" t="n">
        <v>3960000000</v>
      </c>
      <c r="H589" s="25" t="n">
        <f aca="false">J588</f>
        <v>3960000000</v>
      </c>
      <c r="I589" s="25" t="n">
        <f aca="false">H589*N589</f>
        <v>50902500</v>
      </c>
      <c r="J589" s="25" t="n">
        <f aca="false">H589-E589</f>
        <v>3960000000</v>
      </c>
      <c r="K589" s="25" t="n">
        <f aca="false">D589-I589</f>
        <v>0</v>
      </c>
      <c r="L589" s="25" t="n">
        <f aca="false">G589-J589</f>
        <v>0</v>
      </c>
      <c r="M589" s="25" t="n">
        <f aca="false">F589</f>
        <v>50902500</v>
      </c>
      <c r="N589" s="48" t="n">
        <v>0.0128541666666667</v>
      </c>
      <c r="O589" s="25" t="n">
        <f aca="false">IF(AND(B589&gt;=DATE(2026,1,1),B589&lt;=Resumen!$C$5),1,0)</f>
        <v>0</v>
      </c>
      <c r="P589" s="25" t="n">
        <f aca="false">IF(AND(B589&gt;Resumen!$C$5,B589&lt;=DATE(2027,7,31)),1,0)</f>
        <v>0</v>
      </c>
    </row>
    <row r="590" customFormat="false" ht="15" hidden="false" customHeight="false" outlineLevel="0" collapsed="false">
      <c r="A590" s="22" t="n">
        <v>78</v>
      </c>
      <c r="B590" s="23" t="n">
        <v>46780</v>
      </c>
      <c r="C590" s="28" t="n">
        <v>3960000000</v>
      </c>
      <c r="D590" s="28" t="n">
        <v>50902500</v>
      </c>
      <c r="E590" s="28" t="n">
        <v>0</v>
      </c>
      <c r="F590" s="28" t="n">
        <v>50902500</v>
      </c>
      <c r="G590" s="28" t="n">
        <v>3960000000</v>
      </c>
      <c r="H590" s="25" t="n">
        <f aca="false">J589</f>
        <v>3960000000</v>
      </c>
      <c r="I590" s="25" t="n">
        <f aca="false">H590*N590</f>
        <v>50902500</v>
      </c>
      <c r="J590" s="25" t="n">
        <f aca="false">H590-E590</f>
        <v>3960000000</v>
      </c>
      <c r="K590" s="25" t="n">
        <f aca="false">D590-I590</f>
        <v>0</v>
      </c>
      <c r="L590" s="25" t="n">
        <f aca="false">G590-J590</f>
        <v>0</v>
      </c>
      <c r="M590" s="25" t="n">
        <f aca="false">F590</f>
        <v>50902500</v>
      </c>
      <c r="N590" s="48" t="n">
        <v>0.0128541666666667</v>
      </c>
      <c r="O590" s="25" t="n">
        <f aca="false">IF(AND(B590&gt;=DATE(2026,1,1),B590&lt;=Resumen!$C$5),1,0)</f>
        <v>0</v>
      </c>
      <c r="P590" s="25" t="n">
        <f aca="false">IF(AND(B590&gt;Resumen!$C$5,B590&lt;=DATE(2027,7,31)),1,0)</f>
        <v>0</v>
      </c>
    </row>
    <row r="591" customFormat="false" ht="15" hidden="false" customHeight="false" outlineLevel="0" collapsed="false">
      <c r="A591" s="22" t="n">
        <v>79</v>
      </c>
      <c r="B591" s="23" t="n">
        <v>46811</v>
      </c>
      <c r="C591" s="28" t="n">
        <v>3960000000</v>
      </c>
      <c r="D591" s="28" t="n">
        <v>50902500</v>
      </c>
      <c r="E591" s="28" t="n">
        <v>0</v>
      </c>
      <c r="F591" s="28" t="n">
        <v>50902500</v>
      </c>
      <c r="G591" s="28" t="n">
        <v>3960000000</v>
      </c>
      <c r="H591" s="25" t="n">
        <f aca="false">J590</f>
        <v>3960000000</v>
      </c>
      <c r="I591" s="25" t="n">
        <f aca="false">H591*N591</f>
        <v>50902500</v>
      </c>
      <c r="J591" s="25" t="n">
        <f aca="false">H591-E591</f>
        <v>3960000000</v>
      </c>
      <c r="K591" s="25" t="n">
        <f aca="false">D591-I591</f>
        <v>0</v>
      </c>
      <c r="L591" s="25" t="n">
        <f aca="false">G591-J591</f>
        <v>0</v>
      </c>
      <c r="M591" s="25" t="n">
        <f aca="false">F591</f>
        <v>50902500</v>
      </c>
      <c r="N591" s="48" t="n">
        <v>0.0128541666666667</v>
      </c>
      <c r="O591" s="25" t="n">
        <f aca="false">IF(AND(B591&gt;=DATE(2026,1,1),B591&lt;=Resumen!$C$5),1,0)</f>
        <v>0</v>
      </c>
      <c r="P591" s="25" t="n">
        <f aca="false">IF(AND(B591&gt;Resumen!$C$5,B591&lt;=DATE(2027,7,31)),1,0)</f>
        <v>0</v>
      </c>
    </row>
    <row r="592" customFormat="false" ht="15" hidden="false" customHeight="false" outlineLevel="0" collapsed="false">
      <c r="A592" s="22" t="n">
        <v>80</v>
      </c>
      <c r="B592" s="23" t="n">
        <v>46840</v>
      </c>
      <c r="C592" s="28" t="n">
        <v>3960000000</v>
      </c>
      <c r="D592" s="28" t="n">
        <v>50902500</v>
      </c>
      <c r="E592" s="28" t="n">
        <v>0</v>
      </c>
      <c r="F592" s="28" t="n">
        <v>50902500</v>
      </c>
      <c r="G592" s="28" t="n">
        <v>3960000000</v>
      </c>
      <c r="H592" s="25" t="n">
        <f aca="false">J591</f>
        <v>3960000000</v>
      </c>
      <c r="I592" s="25" t="n">
        <f aca="false">H592*N592</f>
        <v>50902500</v>
      </c>
      <c r="J592" s="25" t="n">
        <f aca="false">H592-E592</f>
        <v>3960000000</v>
      </c>
      <c r="K592" s="25" t="n">
        <f aca="false">D592-I592</f>
        <v>0</v>
      </c>
      <c r="L592" s="25" t="n">
        <f aca="false">G592-J592</f>
        <v>0</v>
      </c>
      <c r="M592" s="25" t="n">
        <f aca="false">F592</f>
        <v>50902500</v>
      </c>
      <c r="N592" s="48" t="n">
        <v>0.0128541666666667</v>
      </c>
      <c r="O592" s="25" t="n">
        <f aca="false">IF(AND(B592&gt;=DATE(2026,1,1),B592&lt;=Resumen!$C$5),1,0)</f>
        <v>0</v>
      </c>
      <c r="P592" s="25" t="n">
        <f aca="false">IF(AND(B592&gt;Resumen!$C$5,B592&lt;=DATE(2027,7,31)),1,0)</f>
        <v>0</v>
      </c>
    </row>
    <row r="593" customFormat="false" ht="15" hidden="false" customHeight="false" outlineLevel="0" collapsed="false">
      <c r="A593" s="22" t="n">
        <v>81</v>
      </c>
      <c r="B593" s="23" t="n">
        <v>46871</v>
      </c>
      <c r="C593" s="28" t="n">
        <v>3960000000</v>
      </c>
      <c r="D593" s="28" t="n">
        <v>50902500</v>
      </c>
      <c r="E593" s="28" t="n">
        <v>0</v>
      </c>
      <c r="F593" s="28" t="n">
        <v>50902500</v>
      </c>
      <c r="G593" s="28" t="n">
        <v>3960000000</v>
      </c>
      <c r="H593" s="25" t="n">
        <f aca="false">J592</f>
        <v>3960000000</v>
      </c>
      <c r="I593" s="25" t="n">
        <f aca="false">H593*N593</f>
        <v>50902500</v>
      </c>
      <c r="J593" s="25" t="n">
        <f aca="false">H593-E593</f>
        <v>3960000000</v>
      </c>
      <c r="K593" s="25" t="n">
        <f aca="false">D593-I593</f>
        <v>0</v>
      </c>
      <c r="L593" s="25" t="n">
        <f aca="false">G593-J593</f>
        <v>0</v>
      </c>
      <c r="M593" s="25" t="n">
        <f aca="false">F593</f>
        <v>50902500</v>
      </c>
      <c r="N593" s="48" t="n">
        <v>0.0128541666666667</v>
      </c>
      <c r="O593" s="25" t="n">
        <f aca="false">IF(AND(B593&gt;=DATE(2026,1,1),B593&lt;=Resumen!$C$5),1,0)</f>
        <v>0</v>
      </c>
      <c r="P593" s="25" t="n">
        <f aca="false">IF(AND(B593&gt;Resumen!$C$5,B593&lt;=DATE(2027,7,31)),1,0)</f>
        <v>0</v>
      </c>
    </row>
    <row r="594" customFormat="false" ht="15" hidden="false" customHeight="false" outlineLevel="0" collapsed="false">
      <c r="A594" s="22" t="n">
        <v>82</v>
      </c>
      <c r="B594" s="23" t="n">
        <v>46901</v>
      </c>
      <c r="C594" s="28" t="n">
        <v>3960000000</v>
      </c>
      <c r="D594" s="28" t="n">
        <v>50902500</v>
      </c>
      <c r="E594" s="28" t="n">
        <v>0</v>
      </c>
      <c r="F594" s="28" t="n">
        <v>50902500</v>
      </c>
      <c r="G594" s="28" t="n">
        <v>3960000000</v>
      </c>
      <c r="H594" s="25" t="n">
        <f aca="false">J593</f>
        <v>3960000000</v>
      </c>
      <c r="I594" s="25" t="n">
        <f aca="false">H594*N594</f>
        <v>50902500</v>
      </c>
      <c r="J594" s="25" t="n">
        <f aca="false">H594-E594</f>
        <v>3960000000</v>
      </c>
      <c r="K594" s="25" t="n">
        <f aca="false">D594-I594</f>
        <v>0</v>
      </c>
      <c r="L594" s="25" t="n">
        <f aca="false">G594-J594</f>
        <v>0</v>
      </c>
      <c r="M594" s="25" t="n">
        <f aca="false">F594</f>
        <v>50902500</v>
      </c>
      <c r="N594" s="48" t="n">
        <v>0.0128541666666667</v>
      </c>
      <c r="O594" s="25" t="n">
        <f aca="false">IF(AND(B594&gt;=DATE(2026,1,1),B594&lt;=Resumen!$C$5),1,0)</f>
        <v>0</v>
      </c>
      <c r="P594" s="25" t="n">
        <f aca="false">IF(AND(B594&gt;Resumen!$C$5,B594&lt;=DATE(2027,7,31)),1,0)</f>
        <v>0</v>
      </c>
    </row>
    <row r="595" customFormat="false" ht="15" hidden="false" customHeight="false" outlineLevel="0" collapsed="false">
      <c r="A595" s="22" t="n">
        <v>83</v>
      </c>
      <c r="B595" s="23" t="n">
        <v>46932</v>
      </c>
      <c r="C595" s="28" t="n">
        <v>3960000000</v>
      </c>
      <c r="D595" s="28" t="n">
        <v>50902500</v>
      </c>
      <c r="E595" s="28" t="n">
        <v>0</v>
      </c>
      <c r="F595" s="28" t="n">
        <v>50902500</v>
      </c>
      <c r="G595" s="28" t="n">
        <v>3960000000</v>
      </c>
      <c r="H595" s="25" t="n">
        <f aca="false">J594</f>
        <v>3960000000</v>
      </c>
      <c r="I595" s="25" t="n">
        <f aca="false">H595*N595</f>
        <v>50902500</v>
      </c>
      <c r="J595" s="25" t="n">
        <f aca="false">H595-E595</f>
        <v>3960000000</v>
      </c>
      <c r="K595" s="25" t="n">
        <f aca="false">D595-I595</f>
        <v>0</v>
      </c>
      <c r="L595" s="25" t="n">
        <f aca="false">G595-J595</f>
        <v>0</v>
      </c>
      <c r="M595" s="25" t="n">
        <f aca="false">F595</f>
        <v>50902500</v>
      </c>
      <c r="N595" s="48" t="n">
        <v>0.0128541666666667</v>
      </c>
      <c r="O595" s="25" t="n">
        <f aca="false">IF(AND(B595&gt;=DATE(2026,1,1),B595&lt;=Resumen!$C$5),1,0)</f>
        <v>0</v>
      </c>
      <c r="P595" s="25" t="n">
        <f aca="false">IF(AND(B595&gt;Resumen!$C$5,B595&lt;=DATE(2027,7,31)),1,0)</f>
        <v>0</v>
      </c>
    </row>
    <row r="596" customFormat="false" ht="15" hidden="false" customHeight="false" outlineLevel="0" collapsed="false">
      <c r="A596" s="22" t="n">
        <v>84</v>
      </c>
      <c r="B596" s="23" t="n">
        <v>46962</v>
      </c>
      <c r="C596" s="28" t="n">
        <v>3960000000</v>
      </c>
      <c r="D596" s="28" t="n">
        <v>50902500</v>
      </c>
      <c r="E596" s="28" t="n">
        <v>0</v>
      </c>
      <c r="F596" s="28" t="n">
        <v>50902500</v>
      </c>
      <c r="G596" s="28" t="n">
        <v>3960000000</v>
      </c>
      <c r="H596" s="25" t="n">
        <f aca="false">J595</f>
        <v>3960000000</v>
      </c>
      <c r="I596" s="25" t="n">
        <f aca="false">H596*N596</f>
        <v>50902500</v>
      </c>
      <c r="J596" s="25" t="n">
        <f aca="false">H596-E596</f>
        <v>3960000000</v>
      </c>
      <c r="K596" s="25" t="n">
        <f aca="false">D596-I596</f>
        <v>0</v>
      </c>
      <c r="L596" s="25" t="n">
        <f aca="false">G596-J596</f>
        <v>0</v>
      </c>
      <c r="M596" s="25" t="n">
        <f aca="false">F596</f>
        <v>50902500</v>
      </c>
      <c r="N596" s="48" t="n">
        <v>0.0128541666666667</v>
      </c>
      <c r="O596" s="25" t="n">
        <f aca="false">IF(AND(B596&gt;=DATE(2026,1,1),B596&lt;=Resumen!$C$5),1,0)</f>
        <v>0</v>
      </c>
      <c r="P596" s="25" t="n">
        <f aca="false">IF(AND(B596&gt;Resumen!$C$5,B596&lt;=DATE(2027,7,31)),1,0)</f>
        <v>0</v>
      </c>
    </row>
    <row r="597" customFormat="false" ht="15" hidden="false" customHeight="false" outlineLevel="0" collapsed="false">
      <c r="A597" s="22" t="n">
        <v>85</v>
      </c>
      <c r="B597" s="23" t="n">
        <v>46993</v>
      </c>
      <c r="C597" s="28" t="n">
        <v>3960000000</v>
      </c>
      <c r="D597" s="28" t="n">
        <v>50902500</v>
      </c>
      <c r="E597" s="28" t="n">
        <v>0</v>
      </c>
      <c r="F597" s="28" t="n">
        <v>50902500</v>
      </c>
      <c r="G597" s="28" t="n">
        <v>3960000000</v>
      </c>
      <c r="H597" s="25" t="n">
        <f aca="false">J596</f>
        <v>3960000000</v>
      </c>
      <c r="I597" s="25" t="n">
        <f aca="false">H597*N597</f>
        <v>50902500</v>
      </c>
      <c r="J597" s="25" t="n">
        <f aca="false">H597-E597</f>
        <v>3960000000</v>
      </c>
      <c r="K597" s="25" t="n">
        <f aca="false">D597-I597</f>
        <v>0</v>
      </c>
      <c r="L597" s="25" t="n">
        <f aca="false">G597-J597</f>
        <v>0</v>
      </c>
      <c r="M597" s="25" t="n">
        <f aca="false">F597</f>
        <v>50902500</v>
      </c>
      <c r="N597" s="48" t="n">
        <v>0.0128541666666667</v>
      </c>
      <c r="O597" s="25" t="n">
        <f aca="false">IF(AND(B597&gt;=DATE(2026,1,1),B597&lt;=Resumen!$C$5),1,0)</f>
        <v>0</v>
      </c>
      <c r="P597" s="25" t="n">
        <f aca="false">IF(AND(B597&gt;Resumen!$C$5,B597&lt;=DATE(2027,7,31)),1,0)</f>
        <v>0</v>
      </c>
    </row>
    <row r="598" customFormat="false" ht="15" hidden="false" customHeight="false" outlineLevel="0" collapsed="false">
      <c r="A598" s="22" t="n">
        <v>86</v>
      </c>
      <c r="B598" s="23" t="n">
        <v>47024</v>
      </c>
      <c r="C598" s="28" t="n">
        <v>3960000000</v>
      </c>
      <c r="D598" s="28" t="n">
        <v>50902500</v>
      </c>
      <c r="E598" s="28" t="n">
        <v>0</v>
      </c>
      <c r="F598" s="28" t="n">
        <v>50902500</v>
      </c>
      <c r="G598" s="28" t="n">
        <v>3960000000</v>
      </c>
      <c r="H598" s="25" t="n">
        <f aca="false">J597</f>
        <v>3960000000</v>
      </c>
      <c r="I598" s="25" t="n">
        <f aca="false">H598*N598</f>
        <v>50902500</v>
      </c>
      <c r="J598" s="25" t="n">
        <f aca="false">H598-E598</f>
        <v>3960000000</v>
      </c>
      <c r="K598" s="25" t="n">
        <f aca="false">D598-I598</f>
        <v>0</v>
      </c>
      <c r="L598" s="25" t="n">
        <f aca="false">G598-J598</f>
        <v>0</v>
      </c>
      <c r="M598" s="25" t="n">
        <f aca="false">F598</f>
        <v>50902500</v>
      </c>
      <c r="N598" s="48" t="n">
        <v>0.0128541666666667</v>
      </c>
      <c r="O598" s="25" t="n">
        <f aca="false">IF(AND(B598&gt;=DATE(2026,1,1),B598&lt;=Resumen!$C$5),1,0)</f>
        <v>0</v>
      </c>
      <c r="P598" s="25" t="n">
        <f aca="false">IF(AND(B598&gt;Resumen!$C$5,B598&lt;=DATE(2027,7,31)),1,0)</f>
        <v>0</v>
      </c>
    </row>
    <row r="599" customFormat="false" ht="15" hidden="false" customHeight="false" outlineLevel="0" collapsed="false">
      <c r="A599" s="22" t="n">
        <v>87</v>
      </c>
      <c r="B599" s="23" t="n">
        <v>47054</v>
      </c>
      <c r="C599" s="28" t="n">
        <v>3960000000</v>
      </c>
      <c r="D599" s="28" t="n">
        <v>50902500</v>
      </c>
      <c r="E599" s="28" t="n">
        <v>0</v>
      </c>
      <c r="F599" s="28" t="n">
        <v>50902500</v>
      </c>
      <c r="G599" s="28" t="n">
        <v>3960000000</v>
      </c>
      <c r="H599" s="25" t="n">
        <f aca="false">J598</f>
        <v>3960000000</v>
      </c>
      <c r="I599" s="25" t="n">
        <f aca="false">H599*N599</f>
        <v>50902500</v>
      </c>
      <c r="J599" s="25" t="n">
        <f aca="false">H599-E599</f>
        <v>3960000000</v>
      </c>
      <c r="K599" s="25" t="n">
        <f aca="false">D599-I599</f>
        <v>0</v>
      </c>
      <c r="L599" s="25" t="n">
        <f aca="false">G599-J599</f>
        <v>0</v>
      </c>
      <c r="M599" s="25" t="n">
        <f aca="false">F599</f>
        <v>50902500</v>
      </c>
      <c r="N599" s="48" t="n">
        <v>0.0128541666666667</v>
      </c>
      <c r="O599" s="25" t="n">
        <f aca="false">IF(AND(B599&gt;=DATE(2026,1,1),B599&lt;=Resumen!$C$5),1,0)</f>
        <v>0</v>
      </c>
      <c r="P599" s="25" t="n">
        <f aca="false">IF(AND(B599&gt;Resumen!$C$5,B599&lt;=DATE(2027,7,31)),1,0)</f>
        <v>0</v>
      </c>
    </row>
    <row r="600" customFormat="false" ht="15" hidden="false" customHeight="false" outlineLevel="0" collapsed="false">
      <c r="A600" s="22" t="n">
        <v>88</v>
      </c>
      <c r="B600" s="23" t="n">
        <v>47085</v>
      </c>
      <c r="C600" s="28" t="n">
        <v>3960000000</v>
      </c>
      <c r="D600" s="28" t="n">
        <v>50902500</v>
      </c>
      <c r="E600" s="28" t="n">
        <v>0</v>
      </c>
      <c r="F600" s="28" t="n">
        <v>50902500</v>
      </c>
      <c r="G600" s="28" t="n">
        <v>3960000000</v>
      </c>
      <c r="H600" s="25" t="n">
        <f aca="false">J599</f>
        <v>3960000000</v>
      </c>
      <c r="I600" s="25" t="n">
        <f aca="false">H600*N600</f>
        <v>50902500</v>
      </c>
      <c r="J600" s="25" t="n">
        <f aca="false">H600-E600</f>
        <v>3960000000</v>
      </c>
      <c r="K600" s="25" t="n">
        <f aca="false">D600-I600</f>
        <v>0</v>
      </c>
      <c r="L600" s="25" t="n">
        <f aca="false">G600-J600</f>
        <v>0</v>
      </c>
      <c r="M600" s="25" t="n">
        <f aca="false">F600</f>
        <v>50902500</v>
      </c>
      <c r="N600" s="48" t="n">
        <v>0.0128541666666667</v>
      </c>
      <c r="O600" s="25" t="n">
        <f aca="false">IF(AND(B600&gt;=DATE(2026,1,1),B600&lt;=Resumen!$C$5),1,0)</f>
        <v>0</v>
      </c>
      <c r="P600" s="25" t="n">
        <f aca="false">IF(AND(B600&gt;Resumen!$C$5,B600&lt;=DATE(2027,7,31)),1,0)</f>
        <v>0</v>
      </c>
    </row>
    <row r="601" customFormat="false" ht="15" hidden="false" customHeight="false" outlineLevel="0" collapsed="false">
      <c r="A601" s="22" t="n">
        <v>89</v>
      </c>
      <c r="B601" s="23" t="n">
        <v>47115</v>
      </c>
      <c r="C601" s="28" t="n">
        <v>3960000000</v>
      </c>
      <c r="D601" s="28" t="n">
        <v>50902500</v>
      </c>
      <c r="E601" s="28" t="n">
        <v>0</v>
      </c>
      <c r="F601" s="28" t="n">
        <v>50902500</v>
      </c>
      <c r="G601" s="28" t="n">
        <v>3960000000</v>
      </c>
      <c r="H601" s="25" t="n">
        <f aca="false">J600</f>
        <v>3960000000</v>
      </c>
      <c r="I601" s="25" t="n">
        <f aca="false">H601*N601</f>
        <v>50902500</v>
      </c>
      <c r="J601" s="25" t="n">
        <f aca="false">H601-E601</f>
        <v>3960000000</v>
      </c>
      <c r="K601" s="25" t="n">
        <f aca="false">D601-I601</f>
        <v>0</v>
      </c>
      <c r="L601" s="25" t="n">
        <f aca="false">G601-J601</f>
        <v>0</v>
      </c>
      <c r="M601" s="25" t="n">
        <f aca="false">F601</f>
        <v>50902500</v>
      </c>
      <c r="N601" s="48" t="n">
        <v>0.0128541666666667</v>
      </c>
      <c r="O601" s="25" t="n">
        <f aca="false">IF(AND(B601&gt;=DATE(2026,1,1),B601&lt;=Resumen!$C$5),1,0)</f>
        <v>0</v>
      </c>
      <c r="P601" s="25" t="n">
        <f aca="false">IF(AND(B601&gt;Resumen!$C$5,B601&lt;=DATE(2027,7,31)),1,0)</f>
        <v>0</v>
      </c>
    </row>
    <row r="602" customFormat="false" ht="15" hidden="false" customHeight="false" outlineLevel="0" collapsed="false">
      <c r="A602" s="22" t="n">
        <v>90</v>
      </c>
      <c r="B602" s="23" t="n">
        <v>47146</v>
      </c>
      <c r="C602" s="28" t="n">
        <v>3960000000</v>
      </c>
      <c r="D602" s="28" t="n">
        <v>50902500</v>
      </c>
      <c r="E602" s="28" t="n">
        <v>152307692.307692</v>
      </c>
      <c r="F602" s="28" t="n">
        <v>203210192.307692</v>
      </c>
      <c r="G602" s="28" t="n">
        <v>3807692307.69231</v>
      </c>
      <c r="H602" s="25" t="n">
        <f aca="false">J601</f>
        <v>3960000000</v>
      </c>
      <c r="I602" s="25" t="n">
        <f aca="false">H602*N602</f>
        <v>50902500</v>
      </c>
      <c r="J602" s="25" t="n">
        <f aca="false">H602-E602</f>
        <v>3807692307.69231</v>
      </c>
      <c r="K602" s="25" t="n">
        <f aca="false">D602-I602</f>
        <v>0</v>
      </c>
      <c r="L602" s="25" t="n">
        <f aca="false">G602-J602</f>
        <v>0</v>
      </c>
      <c r="M602" s="25" t="n">
        <f aca="false">F602</f>
        <v>203210192.307692</v>
      </c>
      <c r="N602" s="48" t="n">
        <v>0.0128541666666667</v>
      </c>
      <c r="O602" s="25" t="n">
        <f aca="false">IF(AND(B602&gt;=DATE(2026,1,1),B602&lt;=Resumen!$C$5),1,0)</f>
        <v>0</v>
      </c>
      <c r="P602" s="25" t="n">
        <f aca="false">IF(AND(B602&gt;Resumen!$C$5,B602&lt;=DATE(2027,7,31)),1,0)</f>
        <v>0</v>
      </c>
    </row>
    <row r="603" customFormat="false" ht="15" hidden="false" customHeight="false" outlineLevel="0" collapsed="false">
      <c r="A603" s="22" t="n">
        <v>91</v>
      </c>
      <c r="B603" s="23" t="n">
        <v>47177</v>
      </c>
      <c r="C603" s="28" t="n">
        <v>3807692307.69231</v>
      </c>
      <c r="D603" s="28" t="n">
        <v>48944711.5384615</v>
      </c>
      <c r="E603" s="28" t="n">
        <v>0</v>
      </c>
      <c r="F603" s="28" t="n">
        <v>48944711.5384615</v>
      </c>
      <c r="G603" s="28" t="n">
        <v>3807692307.69231</v>
      </c>
      <c r="H603" s="25" t="n">
        <f aca="false">J602</f>
        <v>3807692307.69231</v>
      </c>
      <c r="I603" s="25" t="n">
        <f aca="false">H603*N603</f>
        <v>48944711.5384616</v>
      </c>
      <c r="J603" s="25" t="n">
        <f aca="false">H603-E603</f>
        <v>3807692307.69231</v>
      </c>
      <c r="K603" s="25" t="n">
        <f aca="false">D603-I603</f>
        <v>0</v>
      </c>
      <c r="L603" s="25" t="n">
        <f aca="false">G603-J603</f>
        <v>0</v>
      </c>
      <c r="M603" s="25" t="n">
        <f aca="false">F603</f>
        <v>48944711.5384615</v>
      </c>
      <c r="N603" s="48" t="n">
        <v>0.0128541666666667</v>
      </c>
      <c r="O603" s="25" t="n">
        <f aca="false">IF(AND(B603&gt;=DATE(2026,1,1),B603&lt;=Resumen!$C$5),1,0)</f>
        <v>0</v>
      </c>
      <c r="P603" s="25" t="n">
        <f aca="false">IF(AND(B603&gt;Resumen!$C$5,B603&lt;=DATE(2027,7,31)),1,0)</f>
        <v>0</v>
      </c>
    </row>
    <row r="604" customFormat="false" ht="15" hidden="false" customHeight="false" outlineLevel="0" collapsed="false">
      <c r="A604" s="22" t="n">
        <v>92</v>
      </c>
      <c r="B604" s="23" t="n">
        <v>47205</v>
      </c>
      <c r="C604" s="28" t="n">
        <v>3807692307.69231</v>
      </c>
      <c r="D604" s="28" t="n">
        <v>48944711.5384615</v>
      </c>
      <c r="E604" s="28" t="n">
        <v>0</v>
      </c>
      <c r="F604" s="28" t="n">
        <v>48944711.5384615</v>
      </c>
      <c r="G604" s="28" t="n">
        <v>3807692307.69231</v>
      </c>
      <c r="H604" s="25" t="n">
        <f aca="false">J603</f>
        <v>3807692307.69231</v>
      </c>
      <c r="I604" s="25" t="n">
        <f aca="false">H604*N604</f>
        <v>48944711.5384616</v>
      </c>
      <c r="J604" s="25" t="n">
        <f aca="false">H604-E604</f>
        <v>3807692307.69231</v>
      </c>
      <c r="K604" s="25" t="n">
        <f aca="false">D604-I604</f>
        <v>0</v>
      </c>
      <c r="L604" s="25" t="n">
        <f aca="false">G604-J604</f>
        <v>0</v>
      </c>
      <c r="M604" s="25" t="n">
        <f aca="false">F604</f>
        <v>48944711.5384615</v>
      </c>
      <c r="N604" s="48" t="n">
        <v>0.0128541666666667</v>
      </c>
      <c r="O604" s="25" t="n">
        <f aca="false">IF(AND(B604&gt;=DATE(2026,1,1),B604&lt;=Resumen!$C$5),1,0)</f>
        <v>0</v>
      </c>
      <c r="P604" s="25" t="n">
        <f aca="false">IF(AND(B604&gt;Resumen!$C$5,B604&lt;=DATE(2027,7,31)),1,0)</f>
        <v>0</v>
      </c>
    </row>
    <row r="605" customFormat="false" ht="15" hidden="false" customHeight="false" outlineLevel="0" collapsed="false">
      <c r="A605" s="22" t="n">
        <v>93</v>
      </c>
      <c r="B605" s="23" t="n">
        <v>47236</v>
      </c>
      <c r="C605" s="28" t="n">
        <v>3807692307.69231</v>
      </c>
      <c r="D605" s="28" t="n">
        <v>48944711.5384615</v>
      </c>
      <c r="E605" s="28" t="n">
        <v>0</v>
      </c>
      <c r="F605" s="28" t="n">
        <v>48944711.5384615</v>
      </c>
      <c r="G605" s="28" t="n">
        <v>3807692307.69231</v>
      </c>
      <c r="H605" s="25" t="n">
        <f aca="false">J604</f>
        <v>3807692307.69231</v>
      </c>
      <c r="I605" s="25" t="n">
        <f aca="false">H605*N605</f>
        <v>48944711.5384616</v>
      </c>
      <c r="J605" s="25" t="n">
        <f aca="false">H605-E605</f>
        <v>3807692307.69231</v>
      </c>
      <c r="K605" s="25" t="n">
        <f aca="false">D605-I605</f>
        <v>0</v>
      </c>
      <c r="L605" s="25" t="n">
        <f aca="false">G605-J605</f>
        <v>0</v>
      </c>
      <c r="M605" s="25" t="n">
        <f aca="false">F605</f>
        <v>48944711.5384615</v>
      </c>
      <c r="N605" s="48" t="n">
        <v>0.0128541666666667</v>
      </c>
      <c r="O605" s="25" t="n">
        <f aca="false">IF(AND(B605&gt;=DATE(2026,1,1),B605&lt;=Resumen!$C$5),1,0)</f>
        <v>0</v>
      </c>
      <c r="P605" s="25" t="n">
        <f aca="false">IF(AND(B605&gt;Resumen!$C$5,B605&lt;=DATE(2027,7,31)),1,0)</f>
        <v>0</v>
      </c>
    </row>
    <row r="606" customFormat="false" ht="15" hidden="false" customHeight="false" outlineLevel="0" collapsed="false">
      <c r="A606" s="22" t="n">
        <v>94</v>
      </c>
      <c r="B606" s="23" t="n">
        <v>47266</v>
      </c>
      <c r="C606" s="28" t="n">
        <v>3807692307.69231</v>
      </c>
      <c r="D606" s="28" t="n">
        <v>48944711.5384615</v>
      </c>
      <c r="E606" s="28" t="n">
        <v>0</v>
      </c>
      <c r="F606" s="28" t="n">
        <v>48944711.5384615</v>
      </c>
      <c r="G606" s="28" t="n">
        <v>3807692307.69231</v>
      </c>
      <c r="H606" s="25" t="n">
        <f aca="false">J605</f>
        <v>3807692307.69231</v>
      </c>
      <c r="I606" s="25" t="n">
        <f aca="false">H606*N606</f>
        <v>48944711.5384616</v>
      </c>
      <c r="J606" s="25" t="n">
        <f aca="false">H606-E606</f>
        <v>3807692307.69231</v>
      </c>
      <c r="K606" s="25" t="n">
        <f aca="false">D606-I606</f>
        <v>0</v>
      </c>
      <c r="L606" s="25" t="n">
        <f aca="false">G606-J606</f>
        <v>0</v>
      </c>
      <c r="M606" s="25" t="n">
        <f aca="false">F606</f>
        <v>48944711.5384615</v>
      </c>
      <c r="N606" s="48" t="n">
        <v>0.0128541666666667</v>
      </c>
      <c r="O606" s="25" t="n">
        <f aca="false">IF(AND(B606&gt;=DATE(2026,1,1),B606&lt;=Resumen!$C$5),1,0)</f>
        <v>0</v>
      </c>
      <c r="P606" s="25" t="n">
        <f aca="false">IF(AND(B606&gt;Resumen!$C$5,B606&lt;=DATE(2027,7,31)),1,0)</f>
        <v>0</v>
      </c>
    </row>
    <row r="607" customFormat="false" ht="15" hidden="false" customHeight="false" outlineLevel="0" collapsed="false">
      <c r="A607" s="22" t="n">
        <v>95</v>
      </c>
      <c r="B607" s="23" t="n">
        <v>47297</v>
      </c>
      <c r="C607" s="28" t="n">
        <v>3807692307.69231</v>
      </c>
      <c r="D607" s="28" t="n">
        <v>48944711.5384615</v>
      </c>
      <c r="E607" s="28" t="n">
        <v>0</v>
      </c>
      <c r="F607" s="28" t="n">
        <v>48944711.5384615</v>
      </c>
      <c r="G607" s="28" t="n">
        <v>3807692307.69231</v>
      </c>
      <c r="H607" s="25" t="n">
        <f aca="false">J606</f>
        <v>3807692307.69231</v>
      </c>
      <c r="I607" s="25" t="n">
        <f aca="false">H607*N607</f>
        <v>48944711.5384616</v>
      </c>
      <c r="J607" s="25" t="n">
        <f aca="false">H607-E607</f>
        <v>3807692307.69231</v>
      </c>
      <c r="K607" s="25" t="n">
        <f aca="false">D607-I607</f>
        <v>0</v>
      </c>
      <c r="L607" s="25" t="n">
        <f aca="false">G607-J607</f>
        <v>0</v>
      </c>
      <c r="M607" s="25" t="n">
        <f aca="false">F607</f>
        <v>48944711.5384615</v>
      </c>
      <c r="N607" s="48" t="n">
        <v>0.0128541666666667</v>
      </c>
      <c r="O607" s="25" t="n">
        <f aca="false">IF(AND(B607&gt;=DATE(2026,1,1),B607&lt;=Resumen!$C$5),1,0)</f>
        <v>0</v>
      </c>
      <c r="P607" s="25" t="n">
        <f aca="false">IF(AND(B607&gt;Resumen!$C$5,B607&lt;=DATE(2027,7,31)),1,0)</f>
        <v>0</v>
      </c>
    </row>
    <row r="608" customFormat="false" ht="15" hidden="false" customHeight="false" outlineLevel="0" collapsed="false">
      <c r="A608" s="22" t="n">
        <v>96</v>
      </c>
      <c r="B608" s="23" t="n">
        <v>47327</v>
      </c>
      <c r="C608" s="28" t="n">
        <v>3807692307.69231</v>
      </c>
      <c r="D608" s="28" t="n">
        <v>48944711.5384615</v>
      </c>
      <c r="E608" s="28" t="n">
        <v>152307692.307692</v>
      </c>
      <c r="F608" s="28" t="n">
        <v>201252403.846154</v>
      </c>
      <c r="G608" s="28" t="n">
        <v>3655384615.38462</v>
      </c>
      <c r="H608" s="25" t="n">
        <f aca="false">J607</f>
        <v>3807692307.69231</v>
      </c>
      <c r="I608" s="25" t="n">
        <f aca="false">H608*N608</f>
        <v>48944711.5384616</v>
      </c>
      <c r="J608" s="25" t="n">
        <f aca="false">H608-E608</f>
        <v>3655384615.38462</v>
      </c>
      <c r="K608" s="25" t="n">
        <f aca="false">D608-I608</f>
        <v>0</v>
      </c>
      <c r="L608" s="25" t="n">
        <f aca="false">G608-J608</f>
        <v>0</v>
      </c>
      <c r="M608" s="25" t="n">
        <f aca="false">F608</f>
        <v>201252403.846154</v>
      </c>
      <c r="N608" s="48" t="n">
        <v>0.0128541666666667</v>
      </c>
      <c r="O608" s="25" t="n">
        <f aca="false">IF(AND(B608&gt;=DATE(2026,1,1),B608&lt;=Resumen!$C$5),1,0)</f>
        <v>0</v>
      </c>
      <c r="P608" s="25" t="n">
        <f aca="false">IF(AND(B608&gt;Resumen!$C$5,B608&lt;=DATE(2027,7,31)),1,0)</f>
        <v>0</v>
      </c>
    </row>
    <row r="609" customFormat="false" ht="15" hidden="false" customHeight="false" outlineLevel="0" collapsed="false">
      <c r="A609" s="22" t="n">
        <v>97</v>
      </c>
      <c r="B609" s="23" t="n">
        <v>47358</v>
      </c>
      <c r="C609" s="28" t="n">
        <v>3655384615.38462</v>
      </c>
      <c r="D609" s="28" t="n">
        <v>46986923.0769231</v>
      </c>
      <c r="E609" s="28" t="n">
        <v>0</v>
      </c>
      <c r="F609" s="28" t="n">
        <v>46986923.0769231</v>
      </c>
      <c r="G609" s="28" t="n">
        <v>3655384615.38462</v>
      </c>
      <c r="H609" s="25" t="n">
        <f aca="false">J608</f>
        <v>3655384615.38462</v>
      </c>
      <c r="I609" s="25" t="n">
        <f aca="false">H609*N609</f>
        <v>46986923.0769231</v>
      </c>
      <c r="J609" s="25" t="n">
        <f aca="false">H609-E609</f>
        <v>3655384615.38462</v>
      </c>
      <c r="K609" s="25" t="n">
        <f aca="false">D609-I609</f>
        <v>0</v>
      </c>
      <c r="L609" s="25" t="n">
        <f aca="false">G609-J609</f>
        <v>0</v>
      </c>
      <c r="M609" s="25" t="n">
        <f aca="false">F609</f>
        <v>46986923.0769231</v>
      </c>
      <c r="N609" s="48" t="n">
        <v>0.0128541666666667</v>
      </c>
      <c r="O609" s="25" t="n">
        <f aca="false">IF(AND(B609&gt;=DATE(2026,1,1),B609&lt;=Resumen!$C$5),1,0)</f>
        <v>0</v>
      </c>
      <c r="P609" s="25" t="n">
        <f aca="false">IF(AND(B609&gt;Resumen!$C$5,B609&lt;=DATE(2027,7,31)),1,0)</f>
        <v>0</v>
      </c>
    </row>
    <row r="610" customFormat="false" ht="15" hidden="false" customHeight="false" outlineLevel="0" collapsed="false">
      <c r="A610" s="22" t="n">
        <v>98</v>
      </c>
      <c r="B610" s="23" t="n">
        <v>47389</v>
      </c>
      <c r="C610" s="28" t="n">
        <v>3655384615.38462</v>
      </c>
      <c r="D610" s="28" t="n">
        <v>46986923.0769231</v>
      </c>
      <c r="E610" s="28" t="n">
        <v>0</v>
      </c>
      <c r="F610" s="28" t="n">
        <v>46986923.0769231</v>
      </c>
      <c r="G610" s="28" t="n">
        <v>3655384615.38462</v>
      </c>
      <c r="H610" s="25" t="n">
        <f aca="false">J609</f>
        <v>3655384615.38462</v>
      </c>
      <c r="I610" s="25" t="n">
        <f aca="false">H610*N610</f>
        <v>46986923.0769231</v>
      </c>
      <c r="J610" s="25" t="n">
        <f aca="false">H610-E610</f>
        <v>3655384615.38462</v>
      </c>
      <c r="K610" s="25" t="n">
        <f aca="false">D610-I610</f>
        <v>0</v>
      </c>
      <c r="L610" s="25" t="n">
        <f aca="false">G610-J610</f>
        <v>0</v>
      </c>
      <c r="M610" s="25" t="n">
        <f aca="false">F610</f>
        <v>46986923.0769231</v>
      </c>
      <c r="N610" s="48" t="n">
        <v>0.0128541666666667</v>
      </c>
      <c r="O610" s="25" t="n">
        <f aca="false">IF(AND(B610&gt;=DATE(2026,1,1),B610&lt;=Resumen!$C$5),1,0)</f>
        <v>0</v>
      </c>
      <c r="P610" s="25" t="n">
        <f aca="false">IF(AND(B610&gt;Resumen!$C$5,B610&lt;=DATE(2027,7,31)),1,0)</f>
        <v>0</v>
      </c>
    </row>
    <row r="611" customFormat="false" ht="15" hidden="false" customHeight="false" outlineLevel="0" collapsed="false">
      <c r="A611" s="22" t="n">
        <v>99</v>
      </c>
      <c r="B611" s="23" t="n">
        <v>47419</v>
      </c>
      <c r="C611" s="28" t="n">
        <v>3655384615.38462</v>
      </c>
      <c r="D611" s="28" t="n">
        <v>46986923.0769231</v>
      </c>
      <c r="E611" s="28" t="n">
        <v>0</v>
      </c>
      <c r="F611" s="28" t="n">
        <v>46986923.0769231</v>
      </c>
      <c r="G611" s="28" t="n">
        <v>3655384615.38462</v>
      </c>
      <c r="H611" s="25" t="n">
        <f aca="false">J610</f>
        <v>3655384615.38462</v>
      </c>
      <c r="I611" s="25" t="n">
        <f aca="false">H611*N611</f>
        <v>46986923.0769231</v>
      </c>
      <c r="J611" s="25" t="n">
        <f aca="false">H611-E611</f>
        <v>3655384615.38462</v>
      </c>
      <c r="K611" s="25" t="n">
        <f aca="false">D611-I611</f>
        <v>0</v>
      </c>
      <c r="L611" s="25" t="n">
        <f aca="false">G611-J611</f>
        <v>0</v>
      </c>
      <c r="M611" s="25" t="n">
        <f aca="false">F611</f>
        <v>46986923.0769231</v>
      </c>
      <c r="N611" s="48" t="n">
        <v>0.0128541666666667</v>
      </c>
      <c r="O611" s="25" t="n">
        <f aca="false">IF(AND(B611&gt;=DATE(2026,1,1),B611&lt;=Resumen!$C$5),1,0)</f>
        <v>0</v>
      </c>
      <c r="P611" s="25" t="n">
        <f aca="false">IF(AND(B611&gt;Resumen!$C$5,B611&lt;=DATE(2027,7,31)),1,0)</f>
        <v>0</v>
      </c>
    </row>
    <row r="612" customFormat="false" ht="15" hidden="false" customHeight="false" outlineLevel="0" collapsed="false">
      <c r="A612" s="22" t="n">
        <v>100</v>
      </c>
      <c r="B612" s="23" t="n">
        <v>47450</v>
      </c>
      <c r="C612" s="28" t="n">
        <v>3655384615.38462</v>
      </c>
      <c r="D612" s="28" t="n">
        <v>46986923.0769231</v>
      </c>
      <c r="E612" s="28" t="n">
        <v>0</v>
      </c>
      <c r="F612" s="28" t="n">
        <v>46986923.0769231</v>
      </c>
      <c r="G612" s="28" t="n">
        <v>3655384615.38462</v>
      </c>
      <c r="H612" s="25" t="n">
        <f aca="false">J611</f>
        <v>3655384615.38462</v>
      </c>
      <c r="I612" s="25" t="n">
        <f aca="false">H612*N612</f>
        <v>46986923.0769231</v>
      </c>
      <c r="J612" s="25" t="n">
        <f aca="false">H612-E612</f>
        <v>3655384615.38462</v>
      </c>
      <c r="K612" s="25" t="n">
        <f aca="false">D612-I612</f>
        <v>0</v>
      </c>
      <c r="L612" s="25" t="n">
        <f aca="false">G612-J612</f>
        <v>0</v>
      </c>
      <c r="M612" s="25" t="n">
        <f aca="false">F612</f>
        <v>46986923.0769231</v>
      </c>
      <c r="N612" s="48" t="n">
        <v>0.0128541666666667</v>
      </c>
      <c r="O612" s="25" t="n">
        <f aca="false">IF(AND(B612&gt;=DATE(2026,1,1),B612&lt;=Resumen!$C$5),1,0)</f>
        <v>0</v>
      </c>
      <c r="P612" s="25" t="n">
        <f aca="false">IF(AND(B612&gt;Resumen!$C$5,B612&lt;=DATE(2027,7,31)),1,0)</f>
        <v>0</v>
      </c>
    </row>
    <row r="613" customFormat="false" ht="15" hidden="false" customHeight="false" outlineLevel="0" collapsed="false">
      <c r="A613" s="22" t="n">
        <v>101</v>
      </c>
      <c r="B613" s="23" t="n">
        <v>47480</v>
      </c>
      <c r="C613" s="28" t="n">
        <v>3655384615.38462</v>
      </c>
      <c r="D613" s="28" t="n">
        <v>46986923.0769231</v>
      </c>
      <c r="E613" s="28" t="n">
        <v>0</v>
      </c>
      <c r="F613" s="28" t="n">
        <v>46986923.0769231</v>
      </c>
      <c r="G613" s="28" t="n">
        <v>3655384615.38462</v>
      </c>
      <c r="H613" s="25" t="n">
        <f aca="false">J612</f>
        <v>3655384615.38462</v>
      </c>
      <c r="I613" s="25" t="n">
        <f aca="false">H613*N613</f>
        <v>46986923.0769231</v>
      </c>
      <c r="J613" s="25" t="n">
        <f aca="false">H613-E613</f>
        <v>3655384615.38462</v>
      </c>
      <c r="K613" s="25" t="n">
        <f aca="false">D613-I613</f>
        <v>0</v>
      </c>
      <c r="L613" s="25" t="n">
        <f aca="false">G613-J613</f>
        <v>0</v>
      </c>
      <c r="M613" s="25" t="n">
        <f aca="false">F613</f>
        <v>46986923.0769231</v>
      </c>
      <c r="N613" s="48" t="n">
        <v>0.0128541666666667</v>
      </c>
      <c r="O613" s="25" t="n">
        <f aca="false">IF(AND(B613&gt;=DATE(2026,1,1),B613&lt;=Resumen!$C$5),1,0)</f>
        <v>0</v>
      </c>
      <c r="P613" s="25" t="n">
        <f aca="false">IF(AND(B613&gt;Resumen!$C$5,B613&lt;=DATE(2027,7,31)),1,0)</f>
        <v>0</v>
      </c>
    </row>
    <row r="614" customFormat="false" ht="15" hidden="false" customHeight="false" outlineLevel="0" collapsed="false">
      <c r="A614" s="22" t="n">
        <v>102</v>
      </c>
      <c r="B614" s="23" t="n">
        <v>47511</v>
      </c>
      <c r="C614" s="28" t="n">
        <v>3655384615.38462</v>
      </c>
      <c r="D614" s="28" t="n">
        <v>46986923.0769231</v>
      </c>
      <c r="E614" s="28" t="n">
        <v>152307692.307692</v>
      </c>
      <c r="F614" s="28" t="n">
        <v>199294615.384615</v>
      </c>
      <c r="G614" s="28" t="n">
        <v>3503076923.07692</v>
      </c>
      <c r="H614" s="25" t="n">
        <f aca="false">J613</f>
        <v>3655384615.38462</v>
      </c>
      <c r="I614" s="25" t="n">
        <f aca="false">H614*N614</f>
        <v>46986923.0769231</v>
      </c>
      <c r="J614" s="25" t="n">
        <f aca="false">H614-E614</f>
        <v>3503076923.07692</v>
      </c>
      <c r="K614" s="25" t="n">
        <f aca="false">D614-I614</f>
        <v>0</v>
      </c>
      <c r="L614" s="25" t="n">
        <f aca="false">G614-J614</f>
        <v>0</v>
      </c>
      <c r="M614" s="25" t="n">
        <f aca="false">F614</f>
        <v>199294615.384615</v>
      </c>
      <c r="N614" s="48" t="n">
        <v>0.0128541666666667</v>
      </c>
      <c r="O614" s="25" t="n">
        <f aca="false">IF(AND(B614&gt;=DATE(2026,1,1),B614&lt;=Resumen!$C$5),1,0)</f>
        <v>0</v>
      </c>
      <c r="P614" s="25" t="n">
        <f aca="false">IF(AND(B614&gt;Resumen!$C$5,B614&lt;=DATE(2027,7,31)),1,0)</f>
        <v>0</v>
      </c>
    </row>
    <row r="615" customFormat="false" ht="15" hidden="false" customHeight="false" outlineLevel="0" collapsed="false">
      <c r="A615" s="22" t="n">
        <v>103</v>
      </c>
      <c r="B615" s="23" t="n">
        <v>47542</v>
      </c>
      <c r="C615" s="28" t="n">
        <v>3503076923.07692</v>
      </c>
      <c r="D615" s="28" t="n">
        <v>45029134.6153846</v>
      </c>
      <c r="E615" s="28" t="n">
        <v>0</v>
      </c>
      <c r="F615" s="28" t="n">
        <v>45029134.6153846</v>
      </c>
      <c r="G615" s="28" t="n">
        <v>3503076923.07692</v>
      </c>
      <c r="H615" s="25" t="n">
        <f aca="false">J614</f>
        <v>3503076923.07692</v>
      </c>
      <c r="I615" s="25" t="n">
        <f aca="false">H615*N615</f>
        <v>45029134.6153846</v>
      </c>
      <c r="J615" s="25" t="n">
        <f aca="false">H615-E615</f>
        <v>3503076923.07692</v>
      </c>
      <c r="K615" s="25" t="n">
        <f aca="false">D615-I615</f>
        <v>0</v>
      </c>
      <c r="L615" s="25" t="n">
        <f aca="false">G615-J615</f>
        <v>0</v>
      </c>
      <c r="M615" s="25" t="n">
        <f aca="false">F615</f>
        <v>45029134.6153846</v>
      </c>
      <c r="N615" s="48" t="n">
        <v>0.0128541666666667</v>
      </c>
      <c r="O615" s="25" t="n">
        <f aca="false">IF(AND(B615&gt;=DATE(2026,1,1),B615&lt;=Resumen!$C$5),1,0)</f>
        <v>0</v>
      </c>
      <c r="P615" s="25" t="n">
        <f aca="false">IF(AND(B615&gt;Resumen!$C$5,B615&lt;=DATE(2027,7,31)),1,0)</f>
        <v>0</v>
      </c>
    </row>
    <row r="616" customFormat="false" ht="15" hidden="false" customHeight="false" outlineLevel="0" collapsed="false">
      <c r="A616" s="22" t="n">
        <v>104</v>
      </c>
      <c r="B616" s="23" t="n">
        <v>47570</v>
      </c>
      <c r="C616" s="28" t="n">
        <v>3503076923.07692</v>
      </c>
      <c r="D616" s="28" t="n">
        <v>45029134.6153846</v>
      </c>
      <c r="E616" s="28" t="n">
        <v>0</v>
      </c>
      <c r="F616" s="28" t="n">
        <v>45029134.6153846</v>
      </c>
      <c r="G616" s="28" t="n">
        <v>3503076923.07692</v>
      </c>
      <c r="H616" s="25" t="n">
        <f aca="false">J615</f>
        <v>3503076923.07692</v>
      </c>
      <c r="I616" s="25" t="n">
        <f aca="false">H616*N616</f>
        <v>45029134.6153846</v>
      </c>
      <c r="J616" s="25" t="n">
        <f aca="false">H616-E616</f>
        <v>3503076923.07692</v>
      </c>
      <c r="K616" s="25" t="n">
        <f aca="false">D616-I616</f>
        <v>0</v>
      </c>
      <c r="L616" s="25" t="n">
        <f aca="false">G616-J616</f>
        <v>0</v>
      </c>
      <c r="M616" s="25" t="n">
        <f aca="false">F616</f>
        <v>45029134.6153846</v>
      </c>
      <c r="N616" s="48" t="n">
        <v>0.0128541666666667</v>
      </c>
      <c r="O616" s="25" t="n">
        <f aca="false">IF(AND(B616&gt;=DATE(2026,1,1),B616&lt;=Resumen!$C$5),1,0)</f>
        <v>0</v>
      </c>
      <c r="P616" s="25" t="n">
        <f aca="false">IF(AND(B616&gt;Resumen!$C$5,B616&lt;=DATE(2027,7,31)),1,0)</f>
        <v>0</v>
      </c>
    </row>
    <row r="617" customFormat="false" ht="15" hidden="false" customHeight="false" outlineLevel="0" collapsed="false">
      <c r="A617" s="22" t="n">
        <v>105</v>
      </c>
      <c r="B617" s="23" t="n">
        <v>47601</v>
      </c>
      <c r="C617" s="28" t="n">
        <v>3503076923.07692</v>
      </c>
      <c r="D617" s="28" t="n">
        <v>45029134.6153846</v>
      </c>
      <c r="E617" s="28" t="n">
        <v>0</v>
      </c>
      <c r="F617" s="28" t="n">
        <v>45029134.6153846</v>
      </c>
      <c r="G617" s="28" t="n">
        <v>3503076923.07692</v>
      </c>
      <c r="H617" s="25" t="n">
        <f aca="false">J616</f>
        <v>3503076923.07692</v>
      </c>
      <c r="I617" s="25" t="n">
        <f aca="false">H617*N617</f>
        <v>45029134.6153846</v>
      </c>
      <c r="J617" s="25" t="n">
        <f aca="false">H617-E617</f>
        <v>3503076923.07692</v>
      </c>
      <c r="K617" s="25" t="n">
        <f aca="false">D617-I617</f>
        <v>0</v>
      </c>
      <c r="L617" s="25" t="n">
        <f aca="false">G617-J617</f>
        <v>0</v>
      </c>
      <c r="M617" s="25" t="n">
        <f aca="false">F617</f>
        <v>45029134.6153846</v>
      </c>
      <c r="N617" s="48" t="n">
        <v>0.0128541666666667</v>
      </c>
      <c r="O617" s="25" t="n">
        <f aca="false">IF(AND(B617&gt;=DATE(2026,1,1),B617&lt;=Resumen!$C$5),1,0)</f>
        <v>0</v>
      </c>
      <c r="P617" s="25" t="n">
        <f aca="false">IF(AND(B617&gt;Resumen!$C$5,B617&lt;=DATE(2027,7,31)),1,0)</f>
        <v>0</v>
      </c>
    </row>
    <row r="618" customFormat="false" ht="15" hidden="false" customHeight="false" outlineLevel="0" collapsed="false">
      <c r="A618" s="22" t="n">
        <v>106</v>
      </c>
      <c r="B618" s="23" t="n">
        <v>47631</v>
      </c>
      <c r="C618" s="28" t="n">
        <v>3503076923.07692</v>
      </c>
      <c r="D618" s="28" t="n">
        <v>45029134.6153846</v>
      </c>
      <c r="E618" s="28" t="n">
        <v>0</v>
      </c>
      <c r="F618" s="28" t="n">
        <v>45029134.6153846</v>
      </c>
      <c r="G618" s="28" t="n">
        <v>3503076923.07692</v>
      </c>
      <c r="H618" s="25" t="n">
        <f aca="false">J617</f>
        <v>3503076923.07692</v>
      </c>
      <c r="I618" s="25" t="n">
        <f aca="false">H618*N618</f>
        <v>45029134.6153846</v>
      </c>
      <c r="J618" s="25" t="n">
        <f aca="false">H618-E618</f>
        <v>3503076923.07692</v>
      </c>
      <c r="K618" s="25" t="n">
        <f aca="false">D618-I618</f>
        <v>0</v>
      </c>
      <c r="L618" s="25" t="n">
        <f aca="false">G618-J618</f>
        <v>0</v>
      </c>
      <c r="M618" s="25" t="n">
        <f aca="false">F618</f>
        <v>45029134.6153846</v>
      </c>
      <c r="N618" s="48" t="n">
        <v>0.0128541666666667</v>
      </c>
      <c r="O618" s="25" t="n">
        <f aca="false">IF(AND(B618&gt;=DATE(2026,1,1),B618&lt;=Resumen!$C$5),1,0)</f>
        <v>0</v>
      </c>
      <c r="P618" s="25" t="n">
        <f aca="false">IF(AND(B618&gt;Resumen!$C$5,B618&lt;=DATE(2027,7,31)),1,0)</f>
        <v>0</v>
      </c>
    </row>
    <row r="619" customFormat="false" ht="15" hidden="false" customHeight="false" outlineLevel="0" collapsed="false">
      <c r="A619" s="22" t="n">
        <v>107</v>
      </c>
      <c r="B619" s="23" t="n">
        <v>47662</v>
      </c>
      <c r="C619" s="28" t="n">
        <v>3503076923.07692</v>
      </c>
      <c r="D619" s="28" t="n">
        <v>45029134.6153846</v>
      </c>
      <c r="E619" s="28" t="n">
        <v>0</v>
      </c>
      <c r="F619" s="28" t="n">
        <v>45029134.6153846</v>
      </c>
      <c r="G619" s="28" t="n">
        <v>3503076923.07692</v>
      </c>
      <c r="H619" s="25" t="n">
        <f aca="false">J618</f>
        <v>3503076923.07692</v>
      </c>
      <c r="I619" s="25" t="n">
        <f aca="false">H619*N619</f>
        <v>45029134.6153846</v>
      </c>
      <c r="J619" s="25" t="n">
        <f aca="false">H619-E619</f>
        <v>3503076923.07692</v>
      </c>
      <c r="K619" s="25" t="n">
        <f aca="false">D619-I619</f>
        <v>0</v>
      </c>
      <c r="L619" s="25" t="n">
        <f aca="false">G619-J619</f>
        <v>0</v>
      </c>
      <c r="M619" s="25" t="n">
        <f aca="false">F619</f>
        <v>45029134.6153846</v>
      </c>
      <c r="N619" s="48" t="n">
        <v>0.0128541666666667</v>
      </c>
      <c r="O619" s="25" t="n">
        <f aca="false">IF(AND(B619&gt;=DATE(2026,1,1),B619&lt;=Resumen!$C$5),1,0)</f>
        <v>0</v>
      </c>
      <c r="P619" s="25" t="n">
        <f aca="false">IF(AND(B619&gt;Resumen!$C$5,B619&lt;=DATE(2027,7,31)),1,0)</f>
        <v>0</v>
      </c>
    </row>
    <row r="620" customFormat="false" ht="15" hidden="false" customHeight="false" outlineLevel="0" collapsed="false">
      <c r="A620" s="22" t="n">
        <v>108</v>
      </c>
      <c r="B620" s="23" t="n">
        <v>47692</v>
      </c>
      <c r="C620" s="28" t="n">
        <v>3503076923.07692</v>
      </c>
      <c r="D620" s="28" t="n">
        <v>45029134.6153846</v>
      </c>
      <c r="E620" s="28" t="n">
        <v>152307692.307692</v>
      </c>
      <c r="F620" s="28" t="n">
        <v>197336826.923077</v>
      </c>
      <c r="G620" s="28" t="n">
        <v>3350769230.76923</v>
      </c>
      <c r="H620" s="25" t="n">
        <f aca="false">J619</f>
        <v>3503076923.07692</v>
      </c>
      <c r="I620" s="25" t="n">
        <f aca="false">H620*N620</f>
        <v>45029134.6153846</v>
      </c>
      <c r="J620" s="25" t="n">
        <f aca="false">H620-E620</f>
        <v>3350769230.76923</v>
      </c>
      <c r="K620" s="25" t="n">
        <f aca="false">D620-I620</f>
        <v>0</v>
      </c>
      <c r="L620" s="25" t="n">
        <f aca="false">G620-J620</f>
        <v>0</v>
      </c>
      <c r="M620" s="25" t="n">
        <f aca="false">F620</f>
        <v>197336826.923077</v>
      </c>
      <c r="N620" s="48" t="n">
        <v>0.0128541666666667</v>
      </c>
      <c r="O620" s="25" t="n">
        <f aca="false">IF(AND(B620&gt;=DATE(2026,1,1),B620&lt;=Resumen!$C$5),1,0)</f>
        <v>0</v>
      </c>
      <c r="P620" s="25" t="n">
        <f aca="false">IF(AND(B620&gt;Resumen!$C$5,B620&lt;=DATE(2027,7,31)),1,0)</f>
        <v>0</v>
      </c>
    </row>
    <row r="621" customFormat="false" ht="15" hidden="false" customHeight="false" outlineLevel="0" collapsed="false">
      <c r="A621" s="22" t="n">
        <v>109</v>
      </c>
      <c r="B621" s="23" t="n">
        <v>47723</v>
      </c>
      <c r="C621" s="28" t="n">
        <v>3350769230.76923</v>
      </c>
      <c r="D621" s="28" t="n">
        <v>43071346.1538461</v>
      </c>
      <c r="E621" s="28" t="n">
        <v>0</v>
      </c>
      <c r="F621" s="28" t="n">
        <v>43071346.1538461</v>
      </c>
      <c r="G621" s="28" t="n">
        <v>3350769230.76923</v>
      </c>
      <c r="H621" s="25" t="n">
        <f aca="false">J620</f>
        <v>3350769230.76923</v>
      </c>
      <c r="I621" s="25" t="n">
        <f aca="false">H621*N621</f>
        <v>43071346.1538462</v>
      </c>
      <c r="J621" s="25" t="n">
        <f aca="false">H621-E621</f>
        <v>3350769230.76923</v>
      </c>
      <c r="K621" s="25" t="n">
        <f aca="false">D621-I621</f>
        <v>0</v>
      </c>
      <c r="L621" s="25" t="n">
        <f aca="false">G621-J621</f>
        <v>0</v>
      </c>
      <c r="M621" s="25" t="n">
        <f aca="false">F621</f>
        <v>43071346.1538461</v>
      </c>
      <c r="N621" s="48" t="n">
        <v>0.0128541666666667</v>
      </c>
      <c r="O621" s="25" t="n">
        <f aca="false">IF(AND(B621&gt;=DATE(2026,1,1),B621&lt;=Resumen!$C$5),1,0)</f>
        <v>0</v>
      </c>
      <c r="P621" s="25" t="n">
        <f aca="false">IF(AND(B621&gt;Resumen!$C$5,B621&lt;=DATE(2027,7,31)),1,0)</f>
        <v>0</v>
      </c>
    </row>
    <row r="622" customFormat="false" ht="15" hidden="false" customHeight="false" outlineLevel="0" collapsed="false">
      <c r="A622" s="22" t="n">
        <v>110</v>
      </c>
      <c r="B622" s="23" t="n">
        <v>47754</v>
      </c>
      <c r="C622" s="28" t="n">
        <v>3350769230.76923</v>
      </c>
      <c r="D622" s="28" t="n">
        <v>43071346.1538461</v>
      </c>
      <c r="E622" s="28" t="n">
        <v>0</v>
      </c>
      <c r="F622" s="28" t="n">
        <v>43071346.1538461</v>
      </c>
      <c r="G622" s="28" t="n">
        <v>3350769230.76923</v>
      </c>
      <c r="H622" s="25" t="n">
        <f aca="false">J621</f>
        <v>3350769230.76923</v>
      </c>
      <c r="I622" s="25" t="n">
        <f aca="false">H622*N622</f>
        <v>43071346.1538462</v>
      </c>
      <c r="J622" s="25" t="n">
        <f aca="false">H622-E622</f>
        <v>3350769230.76923</v>
      </c>
      <c r="K622" s="25" t="n">
        <f aca="false">D622-I622</f>
        <v>0</v>
      </c>
      <c r="L622" s="25" t="n">
        <f aca="false">G622-J622</f>
        <v>0</v>
      </c>
      <c r="M622" s="25" t="n">
        <f aca="false">F622</f>
        <v>43071346.1538461</v>
      </c>
      <c r="N622" s="48" t="n">
        <v>0.0128541666666667</v>
      </c>
      <c r="O622" s="25" t="n">
        <f aca="false">IF(AND(B622&gt;=DATE(2026,1,1),B622&lt;=Resumen!$C$5),1,0)</f>
        <v>0</v>
      </c>
      <c r="P622" s="25" t="n">
        <f aca="false">IF(AND(B622&gt;Resumen!$C$5,B622&lt;=DATE(2027,7,31)),1,0)</f>
        <v>0</v>
      </c>
    </row>
    <row r="623" customFormat="false" ht="15" hidden="false" customHeight="false" outlineLevel="0" collapsed="false">
      <c r="A623" s="22" t="n">
        <v>111</v>
      </c>
      <c r="B623" s="23" t="n">
        <v>47784</v>
      </c>
      <c r="C623" s="28" t="n">
        <v>3350769230.76923</v>
      </c>
      <c r="D623" s="28" t="n">
        <v>43071346.1538461</v>
      </c>
      <c r="E623" s="28" t="n">
        <v>0</v>
      </c>
      <c r="F623" s="28" t="n">
        <v>43071346.1538461</v>
      </c>
      <c r="G623" s="28" t="n">
        <v>3350769230.76923</v>
      </c>
      <c r="H623" s="25" t="n">
        <f aca="false">J622</f>
        <v>3350769230.76923</v>
      </c>
      <c r="I623" s="25" t="n">
        <f aca="false">H623*N623</f>
        <v>43071346.1538462</v>
      </c>
      <c r="J623" s="25" t="n">
        <f aca="false">H623-E623</f>
        <v>3350769230.76923</v>
      </c>
      <c r="K623" s="25" t="n">
        <f aca="false">D623-I623</f>
        <v>0</v>
      </c>
      <c r="L623" s="25" t="n">
        <f aca="false">G623-J623</f>
        <v>0</v>
      </c>
      <c r="M623" s="25" t="n">
        <f aca="false">F623</f>
        <v>43071346.1538461</v>
      </c>
      <c r="N623" s="48" t="n">
        <v>0.0128541666666667</v>
      </c>
      <c r="O623" s="25" t="n">
        <f aca="false">IF(AND(B623&gt;=DATE(2026,1,1),B623&lt;=Resumen!$C$5),1,0)</f>
        <v>0</v>
      </c>
      <c r="P623" s="25" t="n">
        <f aca="false">IF(AND(B623&gt;Resumen!$C$5,B623&lt;=DATE(2027,7,31)),1,0)</f>
        <v>0</v>
      </c>
    </row>
    <row r="624" customFormat="false" ht="15" hidden="false" customHeight="false" outlineLevel="0" collapsed="false">
      <c r="A624" s="22" t="n">
        <v>112</v>
      </c>
      <c r="B624" s="23" t="n">
        <v>47815</v>
      </c>
      <c r="C624" s="28" t="n">
        <v>3350769230.76923</v>
      </c>
      <c r="D624" s="28" t="n">
        <v>43071346.1538461</v>
      </c>
      <c r="E624" s="28" t="n">
        <v>0</v>
      </c>
      <c r="F624" s="28" t="n">
        <v>43071346.1538461</v>
      </c>
      <c r="G624" s="28" t="n">
        <v>3350769230.76923</v>
      </c>
      <c r="H624" s="25" t="n">
        <f aca="false">J623</f>
        <v>3350769230.76923</v>
      </c>
      <c r="I624" s="25" t="n">
        <f aca="false">H624*N624</f>
        <v>43071346.1538462</v>
      </c>
      <c r="J624" s="25" t="n">
        <f aca="false">H624-E624</f>
        <v>3350769230.76923</v>
      </c>
      <c r="K624" s="25" t="n">
        <f aca="false">D624-I624</f>
        <v>0</v>
      </c>
      <c r="L624" s="25" t="n">
        <f aca="false">G624-J624</f>
        <v>0</v>
      </c>
      <c r="M624" s="25" t="n">
        <f aca="false">F624</f>
        <v>43071346.1538461</v>
      </c>
      <c r="N624" s="48" t="n">
        <v>0.0128541666666667</v>
      </c>
      <c r="O624" s="25" t="n">
        <f aca="false">IF(AND(B624&gt;=DATE(2026,1,1),B624&lt;=Resumen!$C$5),1,0)</f>
        <v>0</v>
      </c>
      <c r="P624" s="25" t="n">
        <f aca="false">IF(AND(B624&gt;Resumen!$C$5,B624&lt;=DATE(2027,7,31)),1,0)</f>
        <v>0</v>
      </c>
    </row>
    <row r="625" customFormat="false" ht="15" hidden="false" customHeight="false" outlineLevel="0" collapsed="false">
      <c r="A625" s="22" t="n">
        <v>113</v>
      </c>
      <c r="B625" s="23" t="n">
        <v>47845</v>
      </c>
      <c r="C625" s="28" t="n">
        <v>3350769230.76923</v>
      </c>
      <c r="D625" s="28" t="n">
        <v>43071346.1538461</v>
      </c>
      <c r="E625" s="28" t="n">
        <v>0</v>
      </c>
      <c r="F625" s="28" t="n">
        <v>43071346.1538461</v>
      </c>
      <c r="G625" s="28" t="n">
        <v>3350769230.76923</v>
      </c>
      <c r="H625" s="25" t="n">
        <f aca="false">J624</f>
        <v>3350769230.76923</v>
      </c>
      <c r="I625" s="25" t="n">
        <f aca="false">H625*N625</f>
        <v>43071346.1538462</v>
      </c>
      <c r="J625" s="25" t="n">
        <f aca="false">H625-E625</f>
        <v>3350769230.76923</v>
      </c>
      <c r="K625" s="25" t="n">
        <f aca="false">D625-I625</f>
        <v>0</v>
      </c>
      <c r="L625" s="25" t="n">
        <f aca="false">G625-J625</f>
        <v>0</v>
      </c>
      <c r="M625" s="25" t="n">
        <f aca="false">F625</f>
        <v>43071346.1538461</v>
      </c>
      <c r="N625" s="48" t="n">
        <v>0.0128541666666667</v>
      </c>
      <c r="O625" s="25" t="n">
        <f aca="false">IF(AND(B625&gt;=DATE(2026,1,1),B625&lt;=Resumen!$C$5),1,0)</f>
        <v>0</v>
      </c>
      <c r="P625" s="25" t="n">
        <f aca="false">IF(AND(B625&gt;Resumen!$C$5,B625&lt;=DATE(2027,7,31)),1,0)</f>
        <v>0</v>
      </c>
    </row>
    <row r="626" customFormat="false" ht="15" hidden="false" customHeight="false" outlineLevel="0" collapsed="false">
      <c r="A626" s="22" t="n">
        <v>114</v>
      </c>
      <c r="B626" s="23" t="n">
        <v>47876</v>
      </c>
      <c r="C626" s="28" t="n">
        <v>3350769230.76923</v>
      </c>
      <c r="D626" s="28" t="n">
        <v>43071346.1538461</v>
      </c>
      <c r="E626" s="28" t="n">
        <v>152307692.307692</v>
      </c>
      <c r="F626" s="28" t="n">
        <v>195379038.461539</v>
      </c>
      <c r="G626" s="28" t="n">
        <v>3198461538.46154</v>
      </c>
      <c r="H626" s="25" t="n">
        <f aca="false">J625</f>
        <v>3350769230.76923</v>
      </c>
      <c r="I626" s="25" t="n">
        <f aca="false">H626*N626</f>
        <v>43071346.1538462</v>
      </c>
      <c r="J626" s="25" t="n">
        <f aca="false">H626-E626</f>
        <v>3198461538.46154</v>
      </c>
      <c r="K626" s="25" t="n">
        <f aca="false">D626-I626</f>
        <v>0</v>
      </c>
      <c r="L626" s="25" t="n">
        <f aca="false">G626-J626</f>
        <v>0</v>
      </c>
      <c r="M626" s="25" t="n">
        <f aca="false">F626</f>
        <v>195379038.461539</v>
      </c>
      <c r="N626" s="48" t="n">
        <v>0.0128541666666667</v>
      </c>
      <c r="O626" s="25" t="n">
        <f aca="false">IF(AND(B626&gt;=DATE(2026,1,1),B626&lt;=Resumen!$C$5),1,0)</f>
        <v>0</v>
      </c>
      <c r="P626" s="25" t="n">
        <f aca="false">IF(AND(B626&gt;Resumen!$C$5,B626&lt;=DATE(2027,7,31)),1,0)</f>
        <v>0</v>
      </c>
    </row>
    <row r="627" customFormat="false" ht="15" hidden="false" customHeight="false" outlineLevel="0" collapsed="false">
      <c r="A627" s="22" t="n">
        <v>115</v>
      </c>
      <c r="B627" s="23" t="n">
        <v>47907</v>
      </c>
      <c r="C627" s="28" t="n">
        <v>3198461538.46154</v>
      </c>
      <c r="D627" s="28" t="n">
        <v>41113557.6923077</v>
      </c>
      <c r="E627" s="28" t="n">
        <v>0</v>
      </c>
      <c r="F627" s="28" t="n">
        <v>41113557.6923077</v>
      </c>
      <c r="G627" s="28" t="n">
        <v>3198461538.46154</v>
      </c>
      <c r="H627" s="25" t="n">
        <f aca="false">J626</f>
        <v>3198461538.46154</v>
      </c>
      <c r="I627" s="25" t="n">
        <f aca="false">H627*N627</f>
        <v>41113557.6923077</v>
      </c>
      <c r="J627" s="25" t="n">
        <f aca="false">H627-E627</f>
        <v>3198461538.46154</v>
      </c>
      <c r="K627" s="25" t="n">
        <f aca="false">D627-I627</f>
        <v>0</v>
      </c>
      <c r="L627" s="25" t="n">
        <f aca="false">G627-J627</f>
        <v>0</v>
      </c>
      <c r="M627" s="25" t="n">
        <f aca="false">F627</f>
        <v>41113557.6923077</v>
      </c>
      <c r="N627" s="48" t="n">
        <v>0.0128541666666667</v>
      </c>
      <c r="O627" s="25" t="n">
        <f aca="false">IF(AND(B627&gt;=DATE(2026,1,1),B627&lt;=Resumen!$C$5),1,0)</f>
        <v>0</v>
      </c>
      <c r="P627" s="25" t="n">
        <f aca="false">IF(AND(B627&gt;Resumen!$C$5,B627&lt;=DATE(2027,7,31)),1,0)</f>
        <v>0</v>
      </c>
    </row>
    <row r="628" customFormat="false" ht="15" hidden="false" customHeight="false" outlineLevel="0" collapsed="false">
      <c r="A628" s="22" t="n">
        <v>116</v>
      </c>
      <c r="B628" s="23" t="n">
        <v>47935</v>
      </c>
      <c r="C628" s="28" t="n">
        <v>3198461538.46154</v>
      </c>
      <c r="D628" s="28" t="n">
        <v>41113557.6923077</v>
      </c>
      <c r="E628" s="28" t="n">
        <v>0</v>
      </c>
      <c r="F628" s="28" t="n">
        <v>41113557.6923077</v>
      </c>
      <c r="G628" s="28" t="n">
        <v>3198461538.46154</v>
      </c>
      <c r="H628" s="25" t="n">
        <f aca="false">J627</f>
        <v>3198461538.46154</v>
      </c>
      <c r="I628" s="25" t="n">
        <f aca="false">H628*N628</f>
        <v>41113557.6923077</v>
      </c>
      <c r="J628" s="25" t="n">
        <f aca="false">H628-E628</f>
        <v>3198461538.46154</v>
      </c>
      <c r="K628" s="25" t="n">
        <f aca="false">D628-I628</f>
        <v>0</v>
      </c>
      <c r="L628" s="25" t="n">
        <f aca="false">G628-J628</f>
        <v>0</v>
      </c>
      <c r="M628" s="25" t="n">
        <f aca="false">F628</f>
        <v>41113557.6923077</v>
      </c>
      <c r="N628" s="48" t="n">
        <v>0.0128541666666667</v>
      </c>
      <c r="O628" s="25" t="n">
        <f aca="false">IF(AND(B628&gt;=DATE(2026,1,1),B628&lt;=Resumen!$C$5),1,0)</f>
        <v>0</v>
      </c>
      <c r="P628" s="25" t="n">
        <f aca="false">IF(AND(B628&gt;Resumen!$C$5,B628&lt;=DATE(2027,7,31)),1,0)</f>
        <v>0</v>
      </c>
    </row>
    <row r="629" customFormat="false" ht="15" hidden="false" customHeight="false" outlineLevel="0" collapsed="false">
      <c r="A629" s="22" t="n">
        <v>117</v>
      </c>
      <c r="B629" s="23" t="n">
        <v>47966</v>
      </c>
      <c r="C629" s="28" t="n">
        <v>3198461538.46154</v>
      </c>
      <c r="D629" s="28" t="n">
        <v>41113557.6923077</v>
      </c>
      <c r="E629" s="28" t="n">
        <v>0</v>
      </c>
      <c r="F629" s="28" t="n">
        <v>41113557.6923077</v>
      </c>
      <c r="G629" s="28" t="n">
        <v>3198461538.46154</v>
      </c>
      <c r="H629" s="25" t="n">
        <f aca="false">J628</f>
        <v>3198461538.46154</v>
      </c>
      <c r="I629" s="25" t="n">
        <f aca="false">H629*N629</f>
        <v>41113557.6923077</v>
      </c>
      <c r="J629" s="25" t="n">
        <f aca="false">H629-E629</f>
        <v>3198461538.46154</v>
      </c>
      <c r="K629" s="25" t="n">
        <f aca="false">D629-I629</f>
        <v>0</v>
      </c>
      <c r="L629" s="25" t="n">
        <f aca="false">G629-J629</f>
        <v>0</v>
      </c>
      <c r="M629" s="25" t="n">
        <f aca="false">F629</f>
        <v>41113557.6923077</v>
      </c>
      <c r="N629" s="48" t="n">
        <v>0.0128541666666667</v>
      </c>
      <c r="O629" s="25" t="n">
        <f aca="false">IF(AND(B629&gt;=DATE(2026,1,1),B629&lt;=Resumen!$C$5),1,0)</f>
        <v>0</v>
      </c>
      <c r="P629" s="25" t="n">
        <f aca="false">IF(AND(B629&gt;Resumen!$C$5,B629&lt;=DATE(2027,7,31)),1,0)</f>
        <v>0</v>
      </c>
    </row>
    <row r="630" customFormat="false" ht="15" hidden="false" customHeight="false" outlineLevel="0" collapsed="false">
      <c r="A630" s="22" t="n">
        <v>118</v>
      </c>
      <c r="B630" s="23" t="n">
        <v>47996</v>
      </c>
      <c r="C630" s="28" t="n">
        <v>3198461538.46154</v>
      </c>
      <c r="D630" s="28" t="n">
        <v>41113557.6923077</v>
      </c>
      <c r="E630" s="28" t="n">
        <v>0</v>
      </c>
      <c r="F630" s="28" t="n">
        <v>41113557.6923077</v>
      </c>
      <c r="G630" s="28" t="n">
        <v>3198461538.46154</v>
      </c>
      <c r="H630" s="25" t="n">
        <f aca="false">J629</f>
        <v>3198461538.46154</v>
      </c>
      <c r="I630" s="25" t="n">
        <f aca="false">H630*N630</f>
        <v>41113557.6923077</v>
      </c>
      <c r="J630" s="25" t="n">
        <f aca="false">H630-E630</f>
        <v>3198461538.46154</v>
      </c>
      <c r="K630" s="25" t="n">
        <f aca="false">D630-I630</f>
        <v>0</v>
      </c>
      <c r="L630" s="25" t="n">
        <f aca="false">G630-J630</f>
        <v>0</v>
      </c>
      <c r="M630" s="25" t="n">
        <f aca="false">F630</f>
        <v>41113557.6923077</v>
      </c>
      <c r="N630" s="48" t="n">
        <v>0.0128541666666667</v>
      </c>
      <c r="O630" s="25" t="n">
        <f aca="false">IF(AND(B630&gt;=DATE(2026,1,1),B630&lt;=Resumen!$C$5),1,0)</f>
        <v>0</v>
      </c>
      <c r="P630" s="25" t="n">
        <f aca="false">IF(AND(B630&gt;Resumen!$C$5,B630&lt;=DATE(2027,7,31)),1,0)</f>
        <v>0</v>
      </c>
    </row>
    <row r="631" customFormat="false" ht="15" hidden="false" customHeight="false" outlineLevel="0" collapsed="false">
      <c r="A631" s="22" t="n">
        <v>119</v>
      </c>
      <c r="B631" s="23" t="n">
        <v>48027</v>
      </c>
      <c r="C631" s="28" t="n">
        <v>3198461538.46154</v>
      </c>
      <c r="D631" s="28" t="n">
        <v>41113557.6923077</v>
      </c>
      <c r="E631" s="28" t="n">
        <v>0</v>
      </c>
      <c r="F631" s="28" t="n">
        <v>41113557.6923077</v>
      </c>
      <c r="G631" s="28" t="n">
        <v>3198461538.46154</v>
      </c>
      <c r="H631" s="25" t="n">
        <f aca="false">J630</f>
        <v>3198461538.46154</v>
      </c>
      <c r="I631" s="25" t="n">
        <f aca="false">H631*N631</f>
        <v>41113557.6923077</v>
      </c>
      <c r="J631" s="25" t="n">
        <f aca="false">H631-E631</f>
        <v>3198461538.46154</v>
      </c>
      <c r="K631" s="25" t="n">
        <f aca="false">D631-I631</f>
        <v>0</v>
      </c>
      <c r="L631" s="25" t="n">
        <f aca="false">G631-J631</f>
        <v>0</v>
      </c>
      <c r="M631" s="25" t="n">
        <f aca="false">F631</f>
        <v>41113557.6923077</v>
      </c>
      <c r="N631" s="48" t="n">
        <v>0.0128541666666667</v>
      </c>
      <c r="O631" s="25" t="n">
        <f aca="false">IF(AND(B631&gt;=DATE(2026,1,1),B631&lt;=Resumen!$C$5),1,0)</f>
        <v>0</v>
      </c>
      <c r="P631" s="25" t="n">
        <f aca="false">IF(AND(B631&gt;Resumen!$C$5,B631&lt;=DATE(2027,7,31)),1,0)</f>
        <v>0</v>
      </c>
    </row>
    <row r="632" customFormat="false" ht="15" hidden="false" customHeight="false" outlineLevel="0" collapsed="false">
      <c r="A632" s="22" t="n">
        <v>120</v>
      </c>
      <c r="B632" s="23" t="n">
        <v>48057</v>
      </c>
      <c r="C632" s="28" t="n">
        <v>3198461538.46154</v>
      </c>
      <c r="D632" s="28" t="n">
        <v>41113557.6923077</v>
      </c>
      <c r="E632" s="28" t="n">
        <v>152307692.307692</v>
      </c>
      <c r="F632" s="28" t="n">
        <v>193421250</v>
      </c>
      <c r="G632" s="28" t="n">
        <v>3046153846.15385</v>
      </c>
      <c r="H632" s="25" t="n">
        <f aca="false">J631</f>
        <v>3198461538.46154</v>
      </c>
      <c r="I632" s="25" t="n">
        <f aca="false">H632*N632</f>
        <v>41113557.6923077</v>
      </c>
      <c r="J632" s="25" t="n">
        <f aca="false">H632-E632</f>
        <v>3046153846.15385</v>
      </c>
      <c r="K632" s="25" t="n">
        <f aca="false">D632-I632</f>
        <v>0</v>
      </c>
      <c r="L632" s="25" t="n">
        <f aca="false">G632-J632</f>
        <v>0</v>
      </c>
      <c r="M632" s="25" t="n">
        <f aca="false">F632</f>
        <v>193421250</v>
      </c>
      <c r="N632" s="48" t="n">
        <v>0.0128541666666667</v>
      </c>
      <c r="O632" s="25" t="n">
        <f aca="false">IF(AND(B632&gt;=DATE(2026,1,1),B632&lt;=Resumen!$C$5),1,0)</f>
        <v>0</v>
      </c>
      <c r="P632" s="25" t="n">
        <f aca="false">IF(AND(B632&gt;Resumen!$C$5,B632&lt;=DATE(2027,7,31)),1,0)</f>
        <v>0</v>
      </c>
    </row>
    <row r="633" customFormat="false" ht="15" hidden="false" customHeight="false" outlineLevel="0" collapsed="false">
      <c r="A633" s="22" t="n">
        <v>121</v>
      </c>
      <c r="B633" s="23" t="n">
        <v>48088</v>
      </c>
      <c r="C633" s="28" t="n">
        <v>3046153846.15385</v>
      </c>
      <c r="D633" s="28" t="n">
        <v>39155769.2307692</v>
      </c>
      <c r="E633" s="28" t="n">
        <v>0</v>
      </c>
      <c r="F633" s="28" t="n">
        <v>39155769.2307692</v>
      </c>
      <c r="G633" s="28" t="n">
        <v>3046153846.15385</v>
      </c>
      <c r="H633" s="25" t="n">
        <f aca="false">J632</f>
        <v>3046153846.15385</v>
      </c>
      <c r="I633" s="25" t="n">
        <f aca="false">H633*N633</f>
        <v>39155769.2307692</v>
      </c>
      <c r="J633" s="25" t="n">
        <f aca="false">H633-E633</f>
        <v>3046153846.15385</v>
      </c>
      <c r="K633" s="25" t="n">
        <f aca="false">D633-I633</f>
        <v>0</v>
      </c>
      <c r="L633" s="25" t="n">
        <f aca="false">G633-J633</f>
        <v>0</v>
      </c>
      <c r="M633" s="25" t="n">
        <f aca="false">F633</f>
        <v>39155769.2307692</v>
      </c>
      <c r="N633" s="48" t="n">
        <v>0.0128541666666667</v>
      </c>
      <c r="O633" s="25" t="n">
        <f aca="false">IF(AND(B633&gt;=DATE(2026,1,1),B633&lt;=Resumen!$C$5),1,0)</f>
        <v>0</v>
      </c>
      <c r="P633" s="25" t="n">
        <f aca="false">IF(AND(B633&gt;Resumen!$C$5,B633&lt;=DATE(2027,7,31)),1,0)</f>
        <v>0</v>
      </c>
    </row>
    <row r="634" customFormat="false" ht="15" hidden="false" customHeight="false" outlineLevel="0" collapsed="false">
      <c r="A634" s="22" t="n">
        <v>122</v>
      </c>
      <c r="B634" s="23" t="n">
        <v>48119</v>
      </c>
      <c r="C634" s="28" t="n">
        <v>3046153846.15385</v>
      </c>
      <c r="D634" s="28" t="n">
        <v>39155769.2307692</v>
      </c>
      <c r="E634" s="28" t="n">
        <v>0</v>
      </c>
      <c r="F634" s="28" t="n">
        <v>39155769.2307692</v>
      </c>
      <c r="G634" s="28" t="n">
        <v>3046153846.15385</v>
      </c>
      <c r="H634" s="25" t="n">
        <f aca="false">J633</f>
        <v>3046153846.15385</v>
      </c>
      <c r="I634" s="25" t="n">
        <f aca="false">H634*N634</f>
        <v>39155769.2307692</v>
      </c>
      <c r="J634" s="25" t="n">
        <f aca="false">H634-E634</f>
        <v>3046153846.15385</v>
      </c>
      <c r="K634" s="25" t="n">
        <f aca="false">D634-I634</f>
        <v>0</v>
      </c>
      <c r="L634" s="25" t="n">
        <f aca="false">G634-J634</f>
        <v>0</v>
      </c>
      <c r="M634" s="25" t="n">
        <f aca="false">F634</f>
        <v>39155769.2307692</v>
      </c>
      <c r="N634" s="48" t="n">
        <v>0.0128541666666667</v>
      </c>
      <c r="O634" s="25" t="n">
        <f aca="false">IF(AND(B634&gt;=DATE(2026,1,1),B634&lt;=Resumen!$C$5),1,0)</f>
        <v>0</v>
      </c>
      <c r="P634" s="25" t="n">
        <f aca="false">IF(AND(B634&gt;Resumen!$C$5,B634&lt;=DATE(2027,7,31)),1,0)</f>
        <v>0</v>
      </c>
    </row>
    <row r="635" customFormat="false" ht="15" hidden="false" customHeight="false" outlineLevel="0" collapsed="false">
      <c r="A635" s="22" t="n">
        <v>123</v>
      </c>
      <c r="B635" s="23" t="n">
        <v>48149</v>
      </c>
      <c r="C635" s="28" t="n">
        <v>3046153846.15385</v>
      </c>
      <c r="D635" s="28" t="n">
        <v>39155769.2307692</v>
      </c>
      <c r="E635" s="28" t="n">
        <v>0</v>
      </c>
      <c r="F635" s="28" t="n">
        <v>39155769.2307692</v>
      </c>
      <c r="G635" s="28" t="n">
        <v>3046153846.15385</v>
      </c>
      <c r="H635" s="25" t="n">
        <f aca="false">J634</f>
        <v>3046153846.15385</v>
      </c>
      <c r="I635" s="25" t="n">
        <f aca="false">H635*N635</f>
        <v>39155769.2307692</v>
      </c>
      <c r="J635" s="25" t="n">
        <f aca="false">H635-E635</f>
        <v>3046153846.15385</v>
      </c>
      <c r="K635" s="25" t="n">
        <f aca="false">D635-I635</f>
        <v>0</v>
      </c>
      <c r="L635" s="25" t="n">
        <f aca="false">G635-J635</f>
        <v>0</v>
      </c>
      <c r="M635" s="25" t="n">
        <f aca="false">F635</f>
        <v>39155769.2307692</v>
      </c>
      <c r="N635" s="48" t="n">
        <v>0.0128541666666667</v>
      </c>
      <c r="O635" s="25" t="n">
        <f aca="false">IF(AND(B635&gt;=DATE(2026,1,1),B635&lt;=Resumen!$C$5),1,0)</f>
        <v>0</v>
      </c>
      <c r="P635" s="25" t="n">
        <f aca="false">IF(AND(B635&gt;Resumen!$C$5,B635&lt;=DATE(2027,7,31)),1,0)</f>
        <v>0</v>
      </c>
    </row>
    <row r="636" customFormat="false" ht="15" hidden="false" customHeight="false" outlineLevel="0" collapsed="false">
      <c r="A636" s="22" t="n">
        <v>124</v>
      </c>
      <c r="B636" s="23" t="n">
        <v>48180</v>
      </c>
      <c r="C636" s="28" t="n">
        <v>3046153846.15385</v>
      </c>
      <c r="D636" s="28" t="n">
        <v>39155769.2307692</v>
      </c>
      <c r="E636" s="28" t="n">
        <v>0</v>
      </c>
      <c r="F636" s="28" t="n">
        <v>39155769.2307692</v>
      </c>
      <c r="G636" s="28" t="n">
        <v>3046153846.15385</v>
      </c>
      <c r="H636" s="25" t="n">
        <f aca="false">J635</f>
        <v>3046153846.15385</v>
      </c>
      <c r="I636" s="25" t="n">
        <f aca="false">H636*N636</f>
        <v>39155769.2307692</v>
      </c>
      <c r="J636" s="25" t="n">
        <f aca="false">H636-E636</f>
        <v>3046153846.15385</v>
      </c>
      <c r="K636" s="25" t="n">
        <f aca="false">D636-I636</f>
        <v>0</v>
      </c>
      <c r="L636" s="25" t="n">
        <f aca="false">G636-J636</f>
        <v>0</v>
      </c>
      <c r="M636" s="25" t="n">
        <f aca="false">F636</f>
        <v>39155769.2307692</v>
      </c>
      <c r="N636" s="48" t="n">
        <v>0.0128541666666667</v>
      </c>
      <c r="O636" s="25" t="n">
        <f aca="false">IF(AND(B636&gt;=DATE(2026,1,1),B636&lt;=Resumen!$C$5),1,0)</f>
        <v>0</v>
      </c>
      <c r="P636" s="25" t="n">
        <f aca="false">IF(AND(B636&gt;Resumen!$C$5,B636&lt;=DATE(2027,7,31)),1,0)</f>
        <v>0</v>
      </c>
    </row>
    <row r="637" customFormat="false" ht="15" hidden="false" customHeight="false" outlineLevel="0" collapsed="false">
      <c r="A637" s="22" t="n">
        <v>125</v>
      </c>
      <c r="B637" s="23" t="n">
        <v>48210</v>
      </c>
      <c r="C637" s="28" t="n">
        <v>3046153846.15385</v>
      </c>
      <c r="D637" s="28" t="n">
        <v>39155769.2307692</v>
      </c>
      <c r="E637" s="28" t="n">
        <v>0</v>
      </c>
      <c r="F637" s="28" t="n">
        <v>39155769.2307692</v>
      </c>
      <c r="G637" s="28" t="n">
        <v>3046153846.15385</v>
      </c>
      <c r="H637" s="25" t="n">
        <f aca="false">J636</f>
        <v>3046153846.15385</v>
      </c>
      <c r="I637" s="25" t="n">
        <f aca="false">H637*N637</f>
        <v>39155769.2307692</v>
      </c>
      <c r="J637" s="25" t="n">
        <f aca="false">H637-E637</f>
        <v>3046153846.15385</v>
      </c>
      <c r="K637" s="25" t="n">
        <f aca="false">D637-I637</f>
        <v>0</v>
      </c>
      <c r="L637" s="25" t="n">
        <f aca="false">G637-J637</f>
        <v>0</v>
      </c>
      <c r="M637" s="25" t="n">
        <f aca="false">F637</f>
        <v>39155769.2307692</v>
      </c>
      <c r="N637" s="48" t="n">
        <v>0.0128541666666667</v>
      </c>
      <c r="O637" s="25" t="n">
        <f aca="false">IF(AND(B637&gt;=DATE(2026,1,1),B637&lt;=Resumen!$C$5),1,0)</f>
        <v>0</v>
      </c>
      <c r="P637" s="25" t="n">
        <f aca="false">IF(AND(B637&gt;Resumen!$C$5,B637&lt;=DATE(2027,7,31)),1,0)</f>
        <v>0</v>
      </c>
    </row>
    <row r="638" customFormat="false" ht="15" hidden="false" customHeight="false" outlineLevel="0" collapsed="false">
      <c r="A638" s="22" t="n">
        <v>126</v>
      </c>
      <c r="B638" s="23" t="n">
        <v>48241</v>
      </c>
      <c r="C638" s="28" t="n">
        <v>3046153846.15385</v>
      </c>
      <c r="D638" s="28" t="n">
        <v>39155769.2307692</v>
      </c>
      <c r="E638" s="28" t="n">
        <v>152307692.307692</v>
      </c>
      <c r="F638" s="28" t="n">
        <v>191463461.538462</v>
      </c>
      <c r="G638" s="28" t="n">
        <v>2893846153.84615</v>
      </c>
      <c r="H638" s="25" t="n">
        <f aca="false">J637</f>
        <v>3046153846.15385</v>
      </c>
      <c r="I638" s="25" t="n">
        <f aca="false">H638*N638</f>
        <v>39155769.2307692</v>
      </c>
      <c r="J638" s="25" t="n">
        <f aca="false">H638-E638</f>
        <v>2893846153.84615</v>
      </c>
      <c r="K638" s="25" t="n">
        <f aca="false">D638-I638</f>
        <v>0</v>
      </c>
      <c r="L638" s="25" t="n">
        <f aca="false">G638-J638</f>
        <v>0</v>
      </c>
      <c r="M638" s="25" t="n">
        <f aca="false">F638</f>
        <v>191463461.538462</v>
      </c>
      <c r="N638" s="48" t="n">
        <v>0.0128541666666667</v>
      </c>
      <c r="O638" s="25" t="n">
        <f aca="false">IF(AND(B638&gt;=DATE(2026,1,1),B638&lt;=Resumen!$C$5),1,0)</f>
        <v>0</v>
      </c>
      <c r="P638" s="25" t="n">
        <f aca="false">IF(AND(B638&gt;Resumen!$C$5,B638&lt;=DATE(2027,7,31)),1,0)</f>
        <v>0</v>
      </c>
    </row>
    <row r="639" customFormat="false" ht="15" hidden="false" customHeight="false" outlineLevel="0" collapsed="false">
      <c r="A639" s="22" t="n">
        <v>127</v>
      </c>
      <c r="B639" s="23" t="n">
        <v>48272</v>
      </c>
      <c r="C639" s="28" t="n">
        <v>2893846153.84615</v>
      </c>
      <c r="D639" s="28" t="n">
        <v>37197980.7692308</v>
      </c>
      <c r="E639" s="28" t="n">
        <v>0</v>
      </c>
      <c r="F639" s="28" t="n">
        <v>37197980.7692308</v>
      </c>
      <c r="G639" s="28" t="n">
        <v>2893846153.84615</v>
      </c>
      <c r="H639" s="25" t="n">
        <f aca="false">J638</f>
        <v>2893846153.84615</v>
      </c>
      <c r="I639" s="25" t="n">
        <f aca="false">H639*N639</f>
        <v>37197980.7692308</v>
      </c>
      <c r="J639" s="25" t="n">
        <f aca="false">H639-E639</f>
        <v>2893846153.84615</v>
      </c>
      <c r="K639" s="25" t="n">
        <f aca="false">D639-I639</f>
        <v>0</v>
      </c>
      <c r="L639" s="25" t="n">
        <f aca="false">G639-J639</f>
        <v>0</v>
      </c>
      <c r="M639" s="25" t="n">
        <f aca="false">F639</f>
        <v>37197980.7692308</v>
      </c>
      <c r="N639" s="48" t="n">
        <v>0.0128541666666667</v>
      </c>
      <c r="O639" s="25" t="n">
        <f aca="false">IF(AND(B639&gt;=DATE(2026,1,1),B639&lt;=Resumen!$C$5),1,0)</f>
        <v>0</v>
      </c>
      <c r="P639" s="25" t="n">
        <f aca="false">IF(AND(B639&gt;Resumen!$C$5,B639&lt;=DATE(2027,7,31)),1,0)</f>
        <v>0</v>
      </c>
    </row>
    <row r="640" customFormat="false" ht="15" hidden="false" customHeight="false" outlineLevel="0" collapsed="false">
      <c r="A640" s="22" t="n">
        <v>128</v>
      </c>
      <c r="B640" s="23" t="n">
        <v>48301</v>
      </c>
      <c r="C640" s="28" t="n">
        <v>2893846153.84615</v>
      </c>
      <c r="D640" s="28" t="n">
        <v>37197980.7692308</v>
      </c>
      <c r="E640" s="28" t="n">
        <v>0</v>
      </c>
      <c r="F640" s="28" t="n">
        <v>37197980.7692308</v>
      </c>
      <c r="G640" s="28" t="n">
        <v>2893846153.84615</v>
      </c>
      <c r="H640" s="25" t="n">
        <f aca="false">J639</f>
        <v>2893846153.84615</v>
      </c>
      <c r="I640" s="25" t="n">
        <f aca="false">H640*N640</f>
        <v>37197980.7692308</v>
      </c>
      <c r="J640" s="25" t="n">
        <f aca="false">H640-E640</f>
        <v>2893846153.84615</v>
      </c>
      <c r="K640" s="25" t="n">
        <f aca="false">D640-I640</f>
        <v>0</v>
      </c>
      <c r="L640" s="25" t="n">
        <f aca="false">G640-J640</f>
        <v>0</v>
      </c>
      <c r="M640" s="25" t="n">
        <f aca="false">F640</f>
        <v>37197980.7692308</v>
      </c>
      <c r="N640" s="48" t="n">
        <v>0.0128541666666667</v>
      </c>
      <c r="O640" s="25" t="n">
        <f aca="false">IF(AND(B640&gt;=DATE(2026,1,1),B640&lt;=Resumen!$C$5),1,0)</f>
        <v>0</v>
      </c>
      <c r="P640" s="25" t="n">
        <f aca="false">IF(AND(B640&gt;Resumen!$C$5,B640&lt;=DATE(2027,7,31)),1,0)</f>
        <v>0</v>
      </c>
    </row>
    <row r="641" customFormat="false" ht="15" hidden="false" customHeight="false" outlineLevel="0" collapsed="false">
      <c r="A641" s="22" t="n">
        <v>129</v>
      </c>
      <c r="B641" s="23" t="n">
        <v>48332</v>
      </c>
      <c r="C641" s="28" t="n">
        <v>2893846153.84615</v>
      </c>
      <c r="D641" s="28" t="n">
        <v>37197980.7692308</v>
      </c>
      <c r="E641" s="28" t="n">
        <v>0</v>
      </c>
      <c r="F641" s="28" t="n">
        <v>37197980.7692308</v>
      </c>
      <c r="G641" s="28" t="n">
        <v>2893846153.84615</v>
      </c>
      <c r="H641" s="25" t="n">
        <f aca="false">J640</f>
        <v>2893846153.84615</v>
      </c>
      <c r="I641" s="25" t="n">
        <f aca="false">H641*N641</f>
        <v>37197980.7692308</v>
      </c>
      <c r="J641" s="25" t="n">
        <f aca="false">H641-E641</f>
        <v>2893846153.84615</v>
      </c>
      <c r="K641" s="25" t="n">
        <f aca="false">D641-I641</f>
        <v>0</v>
      </c>
      <c r="L641" s="25" t="n">
        <f aca="false">G641-J641</f>
        <v>0</v>
      </c>
      <c r="M641" s="25" t="n">
        <f aca="false">F641</f>
        <v>37197980.7692308</v>
      </c>
      <c r="N641" s="48" t="n">
        <v>0.0128541666666667</v>
      </c>
      <c r="O641" s="25" t="n">
        <f aca="false">IF(AND(B641&gt;=DATE(2026,1,1),B641&lt;=Resumen!$C$5),1,0)</f>
        <v>0</v>
      </c>
      <c r="P641" s="25" t="n">
        <f aca="false">IF(AND(B641&gt;Resumen!$C$5,B641&lt;=DATE(2027,7,31)),1,0)</f>
        <v>0</v>
      </c>
    </row>
    <row r="642" customFormat="false" ht="15" hidden="false" customHeight="false" outlineLevel="0" collapsed="false">
      <c r="A642" s="22" t="n">
        <v>130</v>
      </c>
      <c r="B642" s="23" t="n">
        <v>48362</v>
      </c>
      <c r="C642" s="28" t="n">
        <v>2893846153.84615</v>
      </c>
      <c r="D642" s="28" t="n">
        <v>37197980.7692308</v>
      </c>
      <c r="E642" s="28" t="n">
        <v>0</v>
      </c>
      <c r="F642" s="28" t="n">
        <v>37197980.7692308</v>
      </c>
      <c r="G642" s="28" t="n">
        <v>2893846153.84615</v>
      </c>
      <c r="H642" s="25" t="n">
        <f aca="false">J641</f>
        <v>2893846153.84615</v>
      </c>
      <c r="I642" s="25" t="n">
        <f aca="false">H642*N642</f>
        <v>37197980.7692308</v>
      </c>
      <c r="J642" s="25" t="n">
        <f aca="false">H642-E642</f>
        <v>2893846153.84615</v>
      </c>
      <c r="K642" s="25" t="n">
        <f aca="false">D642-I642</f>
        <v>0</v>
      </c>
      <c r="L642" s="25" t="n">
        <f aca="false">G642-J642</f>
        <v>0</v>
      </c>
      <c r="M642" s="25" t="n">
        <f aca="false">F642</f>
        <v>37197980.7692308</v>
      </c>
      <c r="N642" s="48" t="n">
        <v>0.0128541666666667</v>
      </c>
      <c r="O642" s="25" t="n">
        <f aca="false">IF(AND(B642&gt;=DATE(2026,1,1),B642&lt;=Resumen!$C$5),1,0)</f>
        <v>0</v>
      </c>
      <c r="P642" s="25" t="n">
        <f aca="false">IF(AND(B642&gt;Resumen!$C$5,B642&lt;=DATE(2027,7,31)),1,0)</f>
        <v>0</v>
      </c>
    </row>
    <row r="643" customFormat="false" ht="15" hidden="false" customHeight="false" outlineLevel="0" collapsed="false">
      <c r="A643" s="22" t="n">
        <v>131</v>
      </c>
      <c r="B643" s="23" t="n">
        <v>48393</v>
      </c>
      <c r="C643" s="28" t="n">
        <v>2893846153.84615</v>
      </c>
      <c r="D643" s="28" t="n">
        <v>37197980.7692308</v>
      </c>
      <c r="E643" s="28" t="n">
        <v>0</v>
      </c>
      <c r="F643" s="28" t="n">
        <v>37197980.7692308</v>
      </c>
      <c r="G643" s="28" t="n">
        <v>2893846153.84615</v>
      </c>
      <c r="H643" s="25" t="n">
        <f aca="false">J642</f>
        <v>2893846153.84615</v>
      </c>
      <c r="I643" s="25" t="n">
        <f aca="false">H643*N643</f>
        <v>37197980.7692308</v>
      </c>
      <c r="J643" s="25" t="n">
        <f aca="false">H643-E643</f>
        <v>2893846153.84615</v>
      </c>
      <c r="K643" s="25" t="n">
        <f aca="false">D643-I643</f>
        <v>0</v>
      </c>
      <c r="L643" s="25" t="n">
        <f aca="false">G643-J643</f>
        <v>0</v>
      </c>
      <c r="M643" s="25" t="n">
        <f aca="false">F643</f>
        <v>37197980.7692308</v>
      </c>
      <c r="N643" s="48" t="n">
        <v>0.0128541666666667</v>
      </c>
      <c r="O643" s="25" t="n">
        <f aca="false">IF(AND(B643&gt;=DATE(2026,1,1),B643&lt;=Resumen!$C$5),1,0)</f>
        <v>0</v>
      </c>
      <c r="P643" s="25" t="n">
        <f aca="false">IF(AND(B643&gt;Resumen!$C$5,B643&lt;=DATE(2027,7,31)),1,0)</f>
        <v>0</v>
      </c>
    </row>
    <row r="644" customFormat="false" ht="15" hidden="false" customHeight="false" outlineLevel="0" collapsed="false">
      <c r="A644" s="22" t="n">
        <v>132</v>
      </c>
      <c r="B644" s="23" t="n">
        <v>48423</v>
      </c>
      <c r="C644" s="28" t="n">
        <v>2893846153.84615</v>
      </c>
      <c r="D644" s="28" t="n">
        <v>37197980.7692308</v>
      </c>
      <c r="E644" s="28" t="n">
        <v>152307692.307692</v>
      </c>
      <c r="F644" s="28" t="n">
        <v>189505673.076923</v>
      </c>
      <c r="G644" s="28" t="n">
        <v>2741538461.53846</v>
      </c>
      <c r="H644" s="25" t="n">
        <f aca="false">J643</f>
        <v>2893846153.84615</v>
      </c>
      <c r="I644" s="25" t="n">
        <f aca="false">H644*N644</f>
        <v>37197980.7692308</v>
      </c>
      <c r="J644" s="25" t="n">
        <f aca="false">H644-E644</f>
        <v>2741538461.53846</v>
      </c>
      <c r="K644" s="25" t="n">
        <f aca="false">D644-I644</f>
        <v>0</v>
      </c>
      <c r="L644" s="25" t="n">
        <f aca="false">G644-J644</f>
        <v>0</v>
      </c>
      <c r="M644" s="25" t="n">
        <f aca="false">F644</f>
        <v>189505673.076923</v>
      </c>
      <c r="N644" s="48" t="n">
        <v>0.0128541666666667</v>
      </c>
      <c r="O644" s="25" t="n">
        <f aca="false">IF(AND(B644&gt;=DATE(2026,1,1),B644&lt;=Resumen!$C$5),1,0)</f>
        <v>0</v>
      </c>
      <c r="P644" s="25" t="n">
        <f aca="false">IF(AND(B644&gt;Resumen!$C$5,B644&lt;=DATE(2027,7,31)),1,0)</f>
        <v>0</v>
      </c>
    </row>
    <row r="645" customFormat="false" ht="15" hidden="false" customHeight="false" outlineLevel="0" collapsed="false">
      <c r="A645" s="22" t="n">
        <v>133</v>
      </c>
      <c r="B645" s="23" t="n">
        <v>48454</v>
      </c>
      <c r="C645" s="28" t="n">
        <v>2741538461.53846</v>
      </c>
      <c r="D645" s="28" t="n">
        <v>35240192.3076923</v>
      </c>
      <c r="E645" s="28" t="n">
        <v>0</v>
      </c>
      <c r="F645" s="28" t="n">
        <v>35240192.3076923</v>
      </c>
      <c r="G645" s="28" t="n">
        <v>2741538461.53846</v>
      </c>
      <c r="H645" s="25" t="n">
        <f aca="false">J644</f>
        <v>2741538461.53846</v>
      </c>
      <c r="I645" s="25" t="n">
        <f aca="false">H645*N645</f>
        <v>35240192.3076923</v>
      </c>
      <c r="J645" s="25" t="n">
        <f aca="false">H645-E645</f>
        <v>2741538461.53846</v>
      </c>
      <c r="K645" s="25" t="n">
        <f aca="false">D645-I645</f>
        <v>0</v>
      </c>
      <c r="L645" s="25" t="n">
        <f aca="false">G645-J645</f>
        <v>0</v>
      </c>
      <c r="M645" s="25" t="n">
        <f aca="false">F645</f>
        <v>35240192.3076923</v>
      </c>
      <c r="N645" s="48" t="n">
        <v>0.0128541666666667</v>
      </c>
      <c r="O645" s="25" t="n">
        <f aca="false">IF(AND(B645&gt;=DATE(2026,1,1),B645&lt;=Resumen!$C$5),1,0)</f>
        <v>0</v>
      </c>
      <c r="P645" s="25" t="n">
        <f aca="false">IF(AND(B645&gt;Resumen!$C$5,B645&lt;=DATE(2027,7,31)),1,0)</f>
        <v>0</v>
      </c>
    </row>
    <row r="646" customFormat="false" ht="15" hidden="false" customHeight="false" outlineLevel="0" collapsed="false">
      <c r="A646" s="22" t="n">
        <v>134</v>
      </c>
      <c r="B646" s="23" t="n">
        <v>48485</v>
      </c>
      <c r="C646" s="28" t="n">
        <v>2741538461.53846</v>
      </c>
      <c r="D646" s="28" t="n">
        <v>35240192.3076923</v>
      </c>
      <c r="E646" s="28" t="n">
        <v>0</v>
      </c>
      <c r="F646" s="28" t="n">
        <v>35240192.3076923</v>
      </c>
      <c r="G646" s="28" t="n">
        <v>2741538461.53846</v>
      </c>
      <c r="H646" s="25" t="n">
        <f aca="false">J645</f>
        <v>2741538461.53846</v>
      </c>
      <c r="I646" s="25" t="n">
        <f aca="false">H646*N646</f>
        <v>35240192.3076923</v>
      </c>
      <c r="J646" s="25" t="n">
        <f aca="false">H646-E646</f>
        <v>2741538461.53846</v>
      </c>
      <c r="K646" s="25" t="n">
        <f aca="false">D646-I646</f>
        <v>0</v>
      </c>
      <c r="L646" s="25" t="n">
        <f aca="false">G646-J646</f>
        <v>0</v>
      </c>
      <c r="M646" s="25" t="n">
        <f aca="false">F646</f>
        <v>35240192.3076923</v>
      </c>
      <c r="N646" s="48" t="n">
        <v>0.0128541666666667</v>
      </c>
      <c r="O646" s="25" t="n">
        <f aca="false">IF(AND(B646&gt;=DATE(2026,1,1),B646&lt;=Resumen!$C$5),1,0)</f>
        <v>0</v>
      </c>
      <c r="P646" s="25" t="n">
        <f aca="false">IF(AND(B646&gt;Resumen!$C$5,B646&lt;=DATE(2027,7,31)),1,0)</f>
        <v>0</v>
      </c>
    </row>
    <row r="647" customFormat="false" ht="15" hidden="false" customHeight="false" outlineLevel="0" collapsed="false">
      <c r="A647" s="22" t="n">
        <v>135</v>
      </c>
      <c r="B647" s="23" t="n">
        <v>48515</v>
      </c>
      <c r="C647" s="28" t="n">
        <v>2741538461.53846</v>
      </c>
      <c r="D647" s="28" t="n">
        <v>35240192.3076923</v>
      </c>
      <c r="E647" s="28" t="n">
        <v>0</v>
      </c>
      <c r="F647" s="28" t="n">
        <v>35240192.3076923</v>
      </c>
      <c r="G647" s="28" t="n">
        <v>2741538461.53846</v>
      </c>
      <c r="H647" s="25" t="n">
        <f aca="false">J646</f>
        <v>2741538461.53846</v>
      </c>
      <c r="I647" s="25" t="n">
        <f aca="false">H647*N647</f>
        <v>35240192.3076923</v>
      </c>
      <c r="J647" s="25" t="n">
        <f aca="false">H647-E647</f>
        <v>2741538461.53846</v>
      </c>
      <c r="K647" s="25" t="n">
        <f aca="false">D647-I647</f>
        <v>0</v>
      </c>
      <c r="L647" s="25" t="n">
        <f aca="false">G647-J647</f>
        <v>0</v>
      </c>
      <c r="M647" s="25" t="n">
        <f aca="false">F647</f>
        <v>35240192.3076923</v>
      </c>
      <c r="N647" s="48" t="n">
        <v>0.0128541666666667</v>
      </c>
      <c r="O647" s="25" t="n">
        <f aca="false">IF(AND(B647&gt;=DATE(2026,1,1),B647&lt;=Resumen!$C$5),1,0)</f>
        <v>0</v>
      </c>
      <c r="P647" s="25" t="n">
        <f aca="false">IF(AND(B647&gt;Resumen!$C$5,B647&lt;=DATE(2027,7,31)),1,0)</f>
        <v>0</v>
      </c>
    </row>
    <row r="648" customFormat="false" ht="15" hidden="false" customHeight="false" outlineLevel="0" collapsed="false">
      <c r="A648" s="22" t="n">
        <v>136</v>
      </c>
      <c r="B648" s="23" t="n">
        <v>48546</v>
      </c>
      <c r="C648" s="28" t="n">
        <v>2741538461.53846</v>
      </c>
      <c r="D648" s="28" t="n">
        <v>35240192.3076923</v>
      </c>
      <c r="E648" s="28" t="n">
        <v>0</v>
      </c>
      <c r="F648" s="28" t="n">
        <v>35240192.3076923</v>
      </c>
      <c r="G648" s="28" t="n">
        <v>2741538461.53846</v>
      </c>
      <c r="H648" s="25" t="n">
        <f aca="false">J647</f>
        <v>2741538461.53846</v>
      </c>
      <c r="I648" s="25" t="n">
        <f aca="false">H648*N648</f>
        <v>35240192.3076923</v>
      </c>
      <c r="J648" s="25" t="n">
        <f aca="false">H648-E648</f>
        <v>2741538461.53846</v>
      </c>
      <c r="K648" s="25" t="n">
        <f aca="false">D648-I648</f>
        <v>0</v>
      </c>
      <c r="L648" s="25" t="n">
        <f aca="false">G648-J648</f>
        <v>0</v>
      </c>
      <c r="M648" s="25" t="n">
        <f aca="false">F648</f>
        <v>35240192.3076923</v>
      </c>
      <c r="N648" s="48" t="n">
        <v>0.0128541666666667</v>
      </c>
      <c r="O648" s="25" t="n">
        <f aca="false">IF(AND(B648&gt;=DATE(2026,1,1),B648&lt;=Resumen!$C$5),1,0)</f>
        <v>0</v>
      </c>
      <c r="P648" s="25" t="n">
        <f aca="false">IF(AND(B648&gt;Resumen!$C$5,B648&lt;=DATE(2027,7,31)),1,0)</f>
        <v>0</v>
      </c>
    </row>
    <row r="649" customFormat="false" ht="15" hidden="false" customHeight="false" outlineLevel="0" collapsed="false">
      <c r="A649" s="22" t="n">
        <v>137</v>
      </c>
      <c r="B649" s="23" t="n">
        <v>48576</v>
      </c>
      <c r="C649" s="28" t="n">
        <v>2741538461.53846</v>
      </c>
      <c r="D649" s="28" t="n">
        <v>35240192.3076923</v>
      </c>
      <c r="E649" s="28" t="n">
        <v>0</v>
      </c>
      <c r="F649" s="28" t="n">
        <v>35240192.3076923</v>
      </c>
      <c r="G649" s="28" t="n">
        <v>2741538461.53846</v>
      </c>
      <c r="H649" s="25" t="n">
        <f aca="false">J648</f>
        <v>2741538461.53846</v>
      </c>
      <c r="I649" s="25" t="n">
        <f aca="false">H649*N649</f>
        <v>35240192.3076923</v>
      </c>
      <c r="J649" s="25" t="n">
        <f aca="false">H649-E649</f>
        <v>2741538461.53846</v>
      </c>
      <c r="K649" s="25" t="n">
        <f aca="false">D649-I649</f>
        <v>0</v>
      </c>
      <c r="L649" s="25" t="n">
        <f aca="false">G649-J649</f>
        <v>0</v>
      </c>
      <c r="M649" s="25" t="n">
        <f aca="false">F649</f>
        <v>35240192.3076923</v>
      </c>
      <c r="N649" s="48" t="n">
        <v>0.0128541666666667</v>
      </c>
      <c r="O649" s="25" t="n">
        <f aca="false">IF(AND(B649&gt;=DATE(2026,1,1),B649&lt;=Resumen!$C$5),1,0)</f>
        <v>0</v>
      </c>
      <c r="P649" s="25" t="n">
        <f aca="false">IF(AND(B649&gt;Resumen!$C$5,B649&lt;=DATE(2027,7,31)),1,0)</f>
        <v>0</v>
      </c>
    </row>
    <row r="650" customFormat="false" ht="15" hidden="false" customHeight="false" outlineLevel="0" collapsed="false">
      <c r="A650" s="22" t="n">
        <v>138</v>
      </c>
      <c r="B650" s="23" t="n">
        <v>48607</v>
      </c>
      <c r="C650" s="28" t="n">
        <v>2741538461.53846</v>
      </c>
      <c r="D650" s="28" t="n">
        <v>35240192.3076923</v>
      </c>
      <c r="E650" s="28" t="n">
        <v>152307692.307692</v>
      </c>
      <c r="F650" s="28" t="n">
        <v>187547884.615385</v>
      </c>
      <c r="G650" s="28" t="n">
        <v>2589230769.23077</v>
      </c>
      <c r="H650" s="25" t="n">
        <f aca="false">J649</f>
        <v>2741538461.53846</v>
      </c>
      <c r="I650" s="25" t="n">
        <f aca="false">H650*N650</f>
        <v>35240192.3076923</v>
      </c>
      <c r="J650" s="25" t="n">
        <f aca="false">H650-E650</f>
        <v>2589230769.23077</v>
      </c>
      <c r="K650" s="25" t="n">
        <f aca="false">D650-I650</f>
        <v>0</v>
      </c>
      <c r="L650" s="25" t="n">
        <f aca="false">G650-J650</f>
        <v>0</v>
      </c>
      <c r="M650" s="25" t="n">
        <f aca="false">F650</f>
        <v>187547884.615385</v>
      </c>
      <c r="N650" s="48" t="n">
        <v>0.0128541666666667</v>
      </c>
      <c r="O650" s="25" t="n">
        <f aca="false">IF(AND(B650&gt;=DATE(2026,1,1),B650&lt;=Resumen!$C$5),1,0)</f>
        <v>0</v>
      </c>
      <c r="P650" s="25" t="n">
        <f aca="false">IF(AND(B650&gt;Resumen!$C$5,B650&lt;=DATE(2027,7,31)),1,0)</f>
        <v>0</v>
      </c>
    </row>
    <row r="651" customFormat="false" ht="15" hidden="false" customHeight="false" outlineLevel="0" collapsed="false">
      <c r="A651" s="22" t="n">
        <v>139</v>
      </c>
      <c r="B651" s="23" t="n">
        <v>48638</v>
      </c>
      <c r="C651" s="28" t="n">
        <v>2589230769.23077</v>
      </c>
      <c r="D651" s="28" t="n">
        <v>33282403.8461538</v>
      </c>
      <c r="E651" s="28" t="n">
        <v>0</v>
      </c>
      <c r="F651" s="28" t="n">
        <v>33282403.8461538</v>
      </c>
      <c r="G651" s="28" t="n">
        <v>2589230769.23077</v>
      </c>
      <c r="H651" s="25" t="n">
        <f aca="false">J650</f>
        <v>2589230769.23077</v>
      </c>
      <c r="I651" s="25" t="n">
        <f aca="false">H651*N651</f>
        <v>33282403.8461538</v>
      </c>
      <c r="J651" s="25" t="n">
        <f aca="false">H651-E651</f>
        <v>2589230769.23077</v>
      </c>
      <c r="K651" s="25" t="n">
        <f aca="false">D651-I651</f>
        <v>0</v>
      </c>
      <c r="L651" s="25" t="n">
        <f aca="false">G651-J651</f>
        <v>0</v>
      </c>
      <c r="M651" s="25" t="n">
        <f aca="false">F651</f>
        <v>33282403.8461538</v>
      </c>
      <c r="N651" s="48" t="n">
        <v>0.0128541666666667</v>
      </c>
      <c r="O651" s="25" t="n">
        <f aca="false">IF(AND(B651&gt;=DATE(2026,1,1),B651&lt;=Resumen!$C$5),1,0)</f>
        <v>0</v>
      </c>
      <c r="P651" s="25" t="n">
        <f aca="false">IF(AND(B651&gt;Resumen!$C$5,B651&lt;=DATE(2027,7,31)),1,0)</f>
        <v>0</v>
      </c>
    </row>
    <row r="652" customFormat="false" ht="15" hidden="false" customHeight="false" outlineLevel="0" collapsed="false">
      <c r="A652" s="22" t="n">
        <v>140</v>
      </c>
      <c r="B652" s="23" t="n">
        <v>48666</v>
      </c>
      <c r="C652" s="28" t="n">
        <v>2589230769.23077</v>
      </c>
      <c r="D652" s="28" t="n">
        <v>33282403.8461538</v>
      </c>
      <c r="E652" s="28" t="n">
        <v>0</v>
      </c>
      <c r="F652" s="28" t="n">
        <v>33282403.8461538</v>
      </c>
      <c r="G652" s="28" t="n">
        <v>2589230769.23077</v>
      </c>
      <c r="H652" s="25" t="n">
        <f aca="false">J651</f>
        <v>2589230769.23077</v>
      </c>
      <c r="I652" s="25" t="n">
        <f aca="false">H652*N652</f>
        <v>33282403.8461538</v>
      </c>
      <c r="J652" s="25" t="n">
        <f aca="false">H652-E652</f>
        <v>2589230769.23077</v>
      </c>
      <c r="K652" s="25" t="n">
        <f aca="false">D652-I652</f>
        <v>0</v>
      </c>
      <c r="L652" s="25" t="n">
        <f aca="false">G652-J652</f>
        <v>0</v>
      </c>
      <c r="M652" s="25" t="n">
        <f aca="false">F652</f>
        <v>33282403.8461538</v>
      </c>
      <c r="N652" s="48" t="n">
        <v>0.0128541666666667</v>
      </c>
      <c r="O652" s="25" t="n">
        <f aca="false">IF(AND(B652&gt;=DATE(2026,1,1),B652&lt;=Resumen!$C$5),1,0)</f>
        <v>0</v>
      </c>
      <c r="P652" s="25" t="n">
        <f aca="false">IF(AND(B652&gt;Resumen!$C$5,B652&lt;=DATE(2027,7,31)),1,0)</f>
        <v>0</v>
      </c>
    </row>
    <row r="653" customFormat="false" ht="15" hidden="false" customHeight="false" outlineLevel="0" collapsed="false">
      <c r="A653" s="22" t="n">
        <v>141</v>
      </c>
      <c r="B653" s="23" t="n">
        <v>48697</v>
      </c>
      <c r="C653" s="28" t="n">
        <v>2589230769.23077</v>
      </c>
      <c r="D653" s="28" t="n">
        <v>33282403.8461538</v>
      </c>
      <c r="E653" s="28" t="n">
        <v>0</v>
      </c>
      <c r="F653" s="28" t="n">
        <v>33282403.8461538</v>
      </c>
      <c r="G653" s="28" t="n">
        <v>2589230769.23077</v>
      </c>
      <c r="H653" s="25" t="n">
        <f aca="false">J652</f>
        <v>2589230769.23077</v>
      </c>
      <c r="I653" s="25" t="n">
        <f aca="false">H653*N653</f>
        <v>33282403.8461538</v>
      </c>
      <c r="J653" s="25" t="n">
        <f aca="false">H653-E653</f>
        <v>2589230769.23077</v>
      </c>
      <c r="K653" s="25" t="n">
        <f aca="false">D653-I653</f>
        <v>0</v>
      </c>
      <c r="L653" s="25" t="n">
        <f aca="false">G653-J653</f>
        <v>0</v>
      </c>
      <c r="M653" s="25" t="n">
        <f aca="false">F653</f>
        <v>33282403.8461538</v>
      </c>
      <c r="N653" s="48" t="n">
        <v>0.0128541666666667</v>
      </c>
      <c r="O653" s="25" t="n">
        <f aca="false">IF(AND(B653&gt;=DATE(2026,1,1),B653&lt;=Resumen!$C$5),1,0)</f>
        <v>0</v>
      </c>
      <c r="P653" s="25" t="n">
        <f aca="false">IF(AND(B653&gt;Resumen!$C$5,B653&lt;=DATE(2027,7,31)),1,0)</f>
        <v>0</v>
      </c>
    </row>
    <row r="654" customFormat="false" ht="15" hidden="false" customHeight="false" outlineLevel="0" collapsed="false">
      <c r="A654" s="22" t="n">
        <v>142</v>
      </c>
      <c r="B654" s="23" t="n">
        <v>48727</v>
      </c>
      <c r="C654" s="28" t="n">
        <v>2589230769.23077</v>
      </c>
      <c r="D654" s="28" t="n">
        <v>33282403.8461538</v>
      </c>
      <c r="E654" s="28" t="n">
        <v>0</v>
      </c>
      <c r="F654" s="28" t="n">
        <v>33282403.8461538</v>
      </c>
      <c r="G654" s="28" t="n">
        <v>2589230769.23077</v>
      </c>
      <c r="H654" s="25" t="n">
        <f aca="false">J653</f>
        <v>2589230769.23077</v>
      </c>
      <c r="I654" s="25" t="n">
        <f aca="false">H654*N654</f>
        <v>33282403.8461538</v>
      </c>
      <c r="J654" s="25" t="n">
        <f aca="false">H654-E654</f>
        <v>2589230769.23077</v>
      </c>
      <c r="K654" s="25" t="n">
        <f aca="false">D654-I654</f>
        <v>0</v>
      </c>
      <c r="L654" s="25" t="n">
        <f aca="false">G654-J654</f>
        <v>0</v>
      </c>
      <c r="M654" s="25" t="n">
        <f aca="false">F654</f>
        <v>33282403.8461538</v>
      </c>
      <c r="N654" s="48" t="n">
        <v>0.0128541666666667</v>
      </c>
      <c r="O654" s="25" t="n">
        <f aca="false">IF(AND(B654&gt;=DATE(2026,1,1),B654&lt;=Resumen!$C$5),1,0)</f>
        <v>0</v>
      </c>
      <c r="P654" s="25" t="n">
        <f aca="false">IF(AND(B654&gt;Resumen!$C$5,B654&lt;=DATE(2027,7,31)),1,0)</f>
        <v>0</v>
      </c>
    </row>
    <row r="655" customFormat="false" ht="15" hidden="false" customHeight="false" outlineLevel="0" collapsed="false">
      <c r="A655" s="22" t="n">
        <v>143</v>
      </c>
      <c r="B655" s="23" t="n">
        <v>48758</v>
      </c>
      <c r="C655" s="28" t="n">
        <v>2589230769.23077</v>
      </c>
      <c r="D655" s="28" t="n">
        <v>33282403.8461538</v>
      </c>
      <c r="E655" s="28" t="n">
        <v>0</v>
      </c>
      <c r="F655" s="28" t="n">
        <v>33282403.8461538</v>
      </c>
      <c r="G655" s="28" t="n">
        <v>2589230769.23077</v>
      </c>
      <c r="H655" s="25" t="n">
        <f aca="false">J654</f>
        <v>2589230769.23077</v>
      </c>
      <c r="I655" s="25" t="n">
        <f aca="false">H655*N655</f>
        <v>33282403.8461538</v>
      </c>
      <c r="J655" s="25" t="n">
        <f aca="false">H655-E655</f>
        <v>2589230769.23077</v>
      </c>
      <c r="K655" s="25" t="n">
        <f aca="false">D655-I655</f>
        <v>0</v>
      </c>
      <c r="L655" s="25" t="n">
        <f aca="false">G655-J655</f>
        <v>0</v>
      </c>
      <c r="M655" s="25" t="n">
        <f aca="false">F655</f>
        <v>33282403.8461538</v>
      </c>
      <c r="N655" s="48" t="n">
        <v>0.0128541666666667</v>
      </c>
      <c r="O655" s="25" t="n">
        <f aca="false">IF(AND(B655&gt;=DATE(2026,1,1),B655&lt;=Resumen!$C$5),1,0)</f>
        <v>0</v>
      </c>
      <c r="P655" s="25" t="n">
        <f aca="false">IF(AND(B655&gt;Resumen!$C$5,B655&lt;=DATE(2027,7,31)),1,0)</f>
        <v>0</v>
      </c>
    </row>
    <row r="656" customFormat="false" ht="15" hidden="false" customHeight="false" outlineLevel="0" collapsed="false">
      <c r="A656" s="22" t="n">
        <v>144</v>
      </c>
      <c r="B656" s="23" t="n">
        <v>48788</v>
      </c>
      <c r="C656" s="28" t="n">
        <v>2589230769.23077</v>
      </c>
      <c r="D656" s="28" t="n">
        <v>33282403.8461538</v>
      </c>
      <c r="E656" s="28" t="n">
        <v>152307692.307692</v>
      </c>
      <c r="F656" s="28" t="n">
        <v>185590096.153846</v>
      </c>
      <c r="G656" s="28" t="n">
        <v>2436923076.92308</v>
      </c>
      <c r="H656" s="25" t="n">
        <f aca="false">J655</f>
        <v>2589230769.23077</v>
      </c>
      <c r="I656" s="25" t="n">
        <f aca="false">H656*N656</f>
        <v>33282403.8461538</v>
      </c>
      <c r="J656" s="25" t="n">
        <f aca="false">H656-E656</f>
        <v>2436923076.92307</v>
      </c>
      <c r="K656" s="25" t="n">
        <f aca="false">D656-I656</f>
        <v>0</v>
      </c>
      <c r="L656" s="25" t="n">
        <f aca="false">G656-J656</f>
        <v>0</v>
      </c>
      <c r="M656" s="25" t="n">
        <f aca="false">F656</f>
        <v>185590096.153846</v>
      </c>
      <c r="N656" s="48" t="n">
        <v>0.0128541666666667</v>
      </c>
      <c r="O656" s="25" t="n">
        <f aca="false">IF(AND(B656&gt;=DATE(2026,1,1),B656&lt;=Resumen!$C$5),1,0)</f>
        <v>0</v>
      </c>
      <c r="P656" s="25" t="n">
        <f aca="false">IF(AND(B656&gt;Resumen!$C$5,B656&lt;=DATE(2027,7,31)),1,0)</f>
        <v>0</v>
      </c>
    </row>
    <row r="657" customFormat="false" ht="15" hidden="false" customHeight="false" outlineLevel="0" collapsed="false">
      <c r="A657" s="22" t="n">
        <v>145</v>
      </c>
      <c r="B657" s="23" t="n">
        <v>48819</v>
      </c>
      <c r="C657" s="28" t="n">
        <v>2436923076.92308</v>
      </c>
      <c r="D657" s="28" t="n">
        <v>31324615.3846154</v>
      </c>
      <c r="E657" s="28" t="n">
        <v>0</v>
      </c>
      <c r="F657" s="28" t="n">
        <v>31324615.3846154</v>
      </c>
      <c r="G657" s="28" t="n">
        <v>2436923076.92308</v>
      </c>
      <c r="H657" s="25" t="n">
        <f aca="false">J656</f>
        <v>2436923076.92307</v>
      </c>
      <c r="I657" s="25" t="n">
        <f aca="false">H657*N657</f>
        <v>31324615.3846154</v>
      </c>
      <c r="J657" s="25" t="n">
        <f aca="false">H657-E657</f>
        <v>2436923076.92307</v>
      </c>
      <c r="K657" s="25" t="n">
        <f aca="false">D657-I657</f>
        <v>0</v>
      </c>
      <c r="L657" s="25" t="n">
        <f aca="false">G657-J657</f>
        <v>0</v>
      </c>
      <c r="M657" s="25" t="n">
        <f aca="false">F657</f>
        <v>31324615.3846154</v>
      </c>
      <c r="N657" s="48" t="n">
        <v>0.0128541666666667</v>
      </c>
      <c r="O657" s="25" t="n">
        <f aca="false">IF(AND(B657&gt;=DATE(2026,1,1),B657&lt;=Resumen!$C$5),1,0)</f>
        <v>0</v>
      </c>
      <c r="P657" s="25" t="n">
        <f aca="false">IF(AND(B657&gt;Resumen!$C$5,B657&lt;=DATE(2027,7,31)),1,0)</f>
        <v>0</v>
      </c>
    </row>
    <row r="658" customFormat="false" ht="15" hidden="false" customHeight="false" outlineLevel="0" collapsed="false">
      <c r="A658" s="22" t="n">
        <v>146</v>
      </c>
      <c r="B658" s="23" t="n">
        <v>48850</v>
      </c>
      <c r="C658" s="28" t="n">
        <v>2436923076.92308</v>
      </c>
      <c r="D658" s="28" t="n">
        <v>31324615.3846154</v>
      </c>
      <c r="E658" s="28" t="n">
        <v>0</v>
      </c>
      <c r="F658" s="28" t="n">
        <v>31324615.3846154</v>
      </c>
      <c r="G658" s="28" t="n">
        <v>2436923076.92308</v>
      </c>
      <c r="H658" s="25" t="n">
        <f aca="false">J657</f>
        <v>2436923076.92307</v>
      </c>
      <c r="I658" s="25" t="n">
        <f aca="false">H658*N658</f>
        <v>31324615.3846154</v>
      </c>
      <c r="J658" s="25" t="n">
        <f aca="false">H658-E658</f>
        <v>2436923076.92307</v>
      </c>
      <c r="K658" s="25" t="n">
        <f aca="false">D658-I658</f>
        <v>0</v>
      </c>
      <c r="L658" s="25" t="n">
        <f aca="false">G658-J658</f>
        <v>0</v>
      </c>
      <c r="M658" s="25" t="n">
        <f aca="false">F658</f>
        <v>31324615.3846154</v>
      </c>
      <c r="N658" s="48" t="n">
        <v>0.0128541666666667</v>
      </c>
      <c r="O658" s="25" t="n">
        <f aca="false">IF(AND(B658&gt;=DATE(2026,1,1),B658&lt;=Resumen!$C$5),1,0)</f>
        <v>0</v>
      </c>
      <c r="P658" s="25" t="n">
        <f aca="false">IF(AND(B658&gt;Resumen!$C$5,B658&lt;=DATE(2027,7,31)),1,0)</f>
        <v>0</v>
      </c>
    </row>
    <row r="659" customFormat="false" ht="15" hidden="false" customHeight="false" outlineLevel="0" collapsed="false">
      <c r="A659" s="22" t="n">
        <v>147</v>
      </c>
      <c r="B659" s="23" t="n">
        <v>48880</v>
      </c>
      <c r="C659" s="28" t="n">
        <v>2436923076.92308</v>
      </c>
      <c r="D659" s="28" t="n">
        <v>31324615.3846154</v>
      </c>
      <c r="E659" s="28" t="n">
        <v>0</v>
      </c>
      <c r="F659" s="28" t="n">
        <v>31324615.3846154</v>
      </c>
      <c r="G659" s="28" t="n">
        <v>2436923076.92308</v>
      </c>
      <c r="H659" s="25" t="n">
        <f aca="false">J658</f>
        <v>2436923076.92307</v>
      </c>
      <c r="I659" s="25" t="n">
        <f aca="false">H659*N659</f>
        <v>31324615.3846154</v>
      </c>
      <c r="J659" s="25" t="n">
        <f aca="false">H659-E659</f>
        <v>2436923076.92307</v>
      </c>
      <c r="K659" s="25" t="n">
        <f aca="false">D659-I659</f>
        <v>0</v>
      </c>
      <c r="L659" s="25" t="n">
        <f aca="false">G659-J659</f>
        <v>0</v>
      </c>
      <c r="M659" s="25" t="n">
        <f aca="false">F659</f>
        <v>31324615.3846154</v>
      </c>
      <c r="N659" s="48" t="n">
        <v>0.0128541666666667</v>
      </c>
      <c r="O659" s="25" t="n">
        <f aca="false">IF(AND(B659&gt;=DATE(2026,1,1),B659&lt;=Resumen!$C$5),1,0)</f>
        <v>0</v>
      </c>
      <c r="P659" s="25" t="n">
        <f aca="false">IF(AND(B659&gt;Resumen!$C$5,B659&lt;=DATE(2027,7,31)),1,0)</f>
        <v>0</v>
      </c>
    </row>
    <row r="660" customFormat="false" ht="15" hidden="false" customHeight="false" outlineLevel="0" collapsed="false">
      <c r="A660" s="22" t="n">
        <v>148</v>
      </c>
      <c r="B660" s="23" t="n">
        <v>48911</v>
      </c>
      <c r="C660" s="28" t="n">
        <v>2436923076.92308</v>
      </c>
      <c r="D660" s="28" t="n">
        <v>31324615.3846154</v>
      </c>
      <c r="E660" s="28" t="n">
        <v>0</v>
      </c>
      <c r="F660" s="28" t="n">
        <v>31324615.3846154</v>
      </c>
      <c r="G660" s="28" t="n">
        <v>2436923076.92308</v>
      </c>
      <c r="H660" s="25" t="n">
        <f aca="false">J659</f>
        <v>2436923076.92307</v>
      </c>
      <c r="I660" s="25" t="n">
        <f aca="false">H660*N660</f>
        <v>31324615.3846154</v>
      </c>
      <c r="J660" s="25" t="n">
        <f aca="false">H660-E660</f>
        <v>2436923076.92307</v>
      </c>
      <c r="K660" s="25" t="n">
        <f aca="false">D660-I660</f>
        <v>0</v>
      </c>
      <c r="L660" s="25" t="n">
        <f aca="false">G660-J660</f>
        <v>0</v>
      </c>
      <c r="M660" s="25" t="n">
        <f aca="false">F660</f>
        <v>31324615.3846154</v>
      </c>
      <c r="N660" s="48" t="n">
        <v>0.0128541666666667</v>
      </c>
      <c r="O660" s="25" t="n">
        <f aca="false">IF(AND(B660&gt;=DATE(2026,1,1),B660&lt;=Resumen!$C$5),1,0)</f>
        <v>0</v>
      </c>
      <c r="P660" s="25" t="n">
        <f aca="false">IF(AND(B660&gt;Resumen!$C$5,B660&lt;=DATE(2027,7,31)),1,0)</f>
        <v>0</v>
      </c>
    </row>
    <row r="661" customFormat="false" ht="15" hidden="false" customHeight="false" outlineLevel="0" collapsed="false">
      <c r="A661" s="22" t="n">
        <v>149</v>
      </c>
      <c r="B661" s="23" t="n">
        <v>48941</v>
      </c>
      <c r="C661" s="28" t="n">
        <v>2436923076.92308</v>
      </c>
      <c r="D661" s="28" t="n">
        <v>31324615.3846154</v>
      </c>
      <c r="E661" s="28" t="n">
        <v>0</v>
      </c>
      <c r="F661" s="28" t="n">
        <v>31324615.3846154</v>
      </c>
      <c r="G661" s="28" t="n">
        <v>2436923076.92308</v>
      </c>
      <c r="H661" s="25" t="n">
        <f aca="false">J660</f>
        <v>2436923076.92307</v>
      </c>
      <c r="I661" s="25" t="n">
        <f aca="false">H661*N661</f>
        <v>31324615.3846154</v>
      </c>
      <c r="J661" s="25" t="n">
        <f aca="false">H661-E661</f>
        <v>2436923076.92307</v>
      </c>
      <c r="K661" s="25" t="n">
        <f aca="false">D661-I661</f>
        <v>0</v>
      </c>
      <c r="L661" s="25" t="n">
        <f aca="false">G661-J661</f>
        <v>0</v>
      </c>
      <c r="M661" s="25" t="n">
        <f aca="false">F661</f>
        <v>31324615.3846154</v>
      </c>
      <c r="N661" s="48" t="n">
        <v>0.0128541666666667</v>
      </c>
      <c r="O661" s="25" t="n">
        <f aca="false">IF(AND(B661&gt;=DATE(2026,1,1),B661&lt;=Resumen!$C$5),1,0)</f>
        <v>0</v>
      </c>
      <c r="P661" s="25" t="n">
        <f aca="false">IF(AND(B661&gt;Resumen!$C$5,B661&lt;=DATE(2027,7,31)),1,0)</f>
        <v>0</v>
      </c>
    </row>
    <row r="662" customFormat="false" ht="15" hidden="false" customHeight="false" outlineLevel="0" collapsed="false">
      <c r="A662" s="22" t="n">
        <v>150</v>
      </c>
      <c r="B662" s="23" t="n">
        <v>48972</v>
      </c>
      <c r="C662" s="28" t="n">
        <v>2436923076.92308</v>
      </c>
      <c r="D662" s="28" t="n">
        <v>31324615.3846154</v>
      </c>
      <c r="E662" s="28" t="n">
        <v>152307692.307692</v>
      </c>
      <c r="F662" s="28" t="n">
        <v>183632307.692308</v>
      </c>
      <c r="G662" s="28" t="n">
        <v>2284615384.61538</v>
      </c>
      <c r="H662" s="25" t="n">
        <f aca="false">J661</f>
        <v>2436923076.92307</v>
      </c>
      <c r="I662" s="25" t="n">
        <f aca="false">H662*N662</f>
        <v>31324615.3846154</v>
      </c>
      <c r="J662" s="25" t="n">
        <f aca="false">H662-E662</f>
        <v>2284615384.61538</v>
      </c>
      <c r="K662" s="25" t="n">
        <f aca="false">D662-I662</f>
        <v>0</v>
      </c>
      <c r="L662" s="25" t="n">
        <f aca="false">G662-J662</f>
        <v>0</v>
      </c>
      <c r="M662" s="25" t="n">
        <f aca="false">F662</f>
        <v>183632307.692308</v>
      </c>
      <c r="N662" s="48" t="n">
        <v>0.0128541666666667</v>
      </c>
      <c r="O662" s="25" t="n">
        <f aca="false">IF(AND(B662&gt;=DATE(2026,1,1),B662&lt;=Resumen!$C$5),1,0)</f>
        <v>0</v>
      </c>
      <c r="P662" s="25" t="n">
        <f aca="false">IF(AND(B662&gt;Resumen!$C$5,B662&lt;=DATE(2027,7,31)),1,0)</f>
        <v>0</v>
      </c>
    </row>
    <row r="663" customFormat="false" ht="15" hidden="false" customHeight="false" outlineLevel="0" collapsed="false">
      <c r="A663" s="22" t="n">
        <v>151</v>
      </c>
      <c r="B663" s="23" t="n">
        <v>49003</v>
      </c>
      <c r="C663" s="28" t="n">
        <v>2284615384.61538</v>
      </c>
      <c r="D663" s="28" t="n">
        <v>29366826.9230769</v>
      </c>
      <c r="E663" s="28" t="n">
        <v>0</v>
      </c>
      <c r="F663" s="28" t="n">
        <v>29366826.9230769</v>
      </c>
      <c r="G663" s="28" t="n">
        <v>2284615384.61538</v>
      </c>
      <c r="H663" s="25" t="n">
        <f aca="false">J662</f>
        <v>2284615384.61538</v>
      </c>
      <c r="I663" s="25" t="n">
        <f aca="false">H663*N663</f>
        <v>29366826.9230769</v>
      </c>
      <c r="J663" s="25" t="n">
        <f aca="false">H663-E663</f>
        <v>2284615384.61538</v>
      </c>
      <c r="K663" s="25" t="n">
        <f aca="false">D663-I663</f>
        <v>0</v>
      </c>
      <c r="L663" s="25" t="n">
        <f aca="false">G663-J663</f>
        <v>0</v>
      </c>
      <c r="M663" s="25" t="n">
        <f aca="false">F663</f>
        <v>29366826.9230769</v>
      </c>
      <c r="N663" s="48" t="n">
        <v>0.0128541666666667</v>
      </c>
      <c r="O663" s="25" t="n">
        <f aca="false">IF(AND(B663&gt;=DATE(2026,1,1),B663&lt;=Resumen!$C$5),1,0)</f>
        <v>0</v>
      </c>
      <c r="P663" s="25" t="n">
        <f aca="false">IF(AND(B663&gt;Resumen!$C$5,B663&lt;=DATE(2027,7,31)),1,0)</f>
        <v>0</v>
      </c>
    </row>
    <row r="664" customFormat="false" ht="15" hidden="false" customHeight="false" outlineLevel="0" collapsed="false">
      <c r="A664" s="22" t="n">
        <v>152</v>
      </c>
      <c r="B664" s="23" t="n">
        <v>49031</v>
      </c>
      <c r="C664" s="28" t="n">
        <v>2284615384.61538</v>
      </c>
      <c r="D664" s="28" t="n">
        <v>29366826.9230769</v>
      </c>
      <c r="E664" s="28" t="n">
        <v>0</v>
      </c>
      <c r="F664" s="28" t="n">
        <v>29366826.9230769</v>
      </c>
      <c r="G664" s="28" t="n">
        <v>2284615384.61538</v>
      </c>
      <c r="H664" s="25" t="n">
        <f aca="false">J663</f>
        <v>2284615384.61538</v>
      </c>
      <c r="I664" s="25" t="n">
        <f aca="false">H664*N664</f>
        <v>29366826.9230769</v>
      </c>
      <c r="J664" s="25" t="n">
        <f aca="false">H664-E664</f>
        <v>2284615384.61538</v>
      </c>
      <c r="K664" s="25" t="n">
        <f aca="false">D664-I664</f>
        <v>0</v>
      </c>
      <c r="L664" s="25" t="n">
        <f aca="false">G664-J664</f>
        <v>0</v>
      </c>
      <c r="M664" s="25" t="n">
        <f aca="false">F664</f>
        <v>29366826.9230769</v>
      </c>
      <c r="N664" s="48" t="n">
        <v>0.0128541666666667</v>
      </c>
      <c r="O664" s="25" t="n">
        <f aca="false">IF(AND(B664&gt;=DATE(2026,1,1),B664&lt;=Resumen!$C$5),1,0)</f>
        <v>0</v>
      </c>
      <c r="P664" s="25" t="n">
        <f aca="false">IF(AND(B664&gt;Resumen!$C$5,B664&lt;=DATE(2027,7,31)),1,0)</f>
        <v>0</v>
      </c>
    </row>
    <row r="665" customFormat="false" ht="15" hidden="false" customHeight="false" outlineLevel="0" collapsed="false">
      <c r="A665" s="22" t="n">
        <v>153</v>
      </c>
      <c r="B665" s="23" t="n">
        <v>49062</v>
      </c>
      <c r="C665" s="28" t="n">
        <v>2284615384.61538</v>
      </c>
      <c r="D665" s="28" t="n">
        <v>29366826.9230769</v>
      </c>
      <c r="E665" s="28" t="n">
        <v>0</v>
      </c>
      <c r="F665" s="28" t="n">
        <v>29366826.9230769</v>
      </c>
      <c r="G665" s="28" t="n">
        <v>2284615384.61538</v>
      </c>
      <c r="H665" s="25" t="n">
        <f aca="false">J664</f>
        <v>2284615384.61538</v>
      </c>
      <c r="I665" s="25" t="n">
        <f aca="false">H665*N665</f>
        <v>29366826.9230769</v>
      </c>
      <c r="J665" s="25" t="n">
        <f aca="false">H665-E665</f>
        <v>2284615384.61538</v>
      </c>
      <c r="K665" s="25" t="n">
        <f aca="false">D665-I665</f>
        <v>0</v>
      </c>
      <c r="L665" s="25" t="n">
        <f aca="false">G665-J665</f>
        <v>0</v>
      </c>
      <c r="M665" s="25" t="n">
        <f aca="false">F665</f>
        <v>29366826.9230769</v>
      </c>
      <c r="N665" s="48" t="n">
        <v>0.0128541666666667</v>
      </c>
      <c r="O665" s="25" t="n">
        <f aca="false">IF(AND(B665&gt;=DATE(2026,1,1),B665&lt;=Resumen!$C$5),1,0)</f>
        <v>0</v>
      </c>
      <c r="P665" s="25" t="n">
        <f aca="false">IF(AND(B665&gt;Resumen!$C$5,B665&lt;=DATE(2027,7,31)),1,0)</f>
        <v>0</v>
      </c>
    </row>
    <row r="666" customFormat="false" ht="15" hidden="false" customHeight="false" outlineLevel="0" collapsed="false">
      <c r="A666" s="22" t="n">
        <v>154</v>
      </c>
      <c r="B666" s="23" t="n">
        <v>49092</v>
      </c>
      <c r="C666" s="28" t="n">
        <v>2284615384.61538</v>
      </c>
      <c r="D666" s="28" t="n">
        <v>29366826.9230769</v>
      </c>
      <c r="E666" s="28" t="n">
        <v>0</v>
      </c>
      <c r="F666" s="28" t="n">
        <v>29366826.9230769</v>
      </c>
      <c r="G666" s="28" t="n">
        <v>2284615384.61538</v>
      </c>
      <c r="H666" s="25" t="n">
        <f aca="false">J665</f>
        <v>2284615384.61538</v>
      </c>
      <c r="I666" s="25" t="n">
        <f aca="false">H666*N666</f>
        <v>29366826.9230769</v>
      </c>
      <c r="J666" s="25" t="n">
        <f aca="false">H666-E666</f>
        <v>2284615384.61538</v>
      </c>
      <c r="K666" s="25" t="n">
        <f aca="false">D666-I666</f>
        <v>0</v>
      </c>
      <c r="L666" s="25" t="n">
        <f aca="false">G666-J666</f>
        <v>0</v>
      </c>
      <c r="M666" s="25" t="n">
        <f aca="false">F666</f>
        <v>29366826.9230769</v>
      </c>
      <c r="N666" s="48" t="n">
        <v>0.0128541666666667</v>
      </c>
      <c r="O666" s="25" t="n">
        <f aca="false">IF(AND(B666&gt;=DATE(2026,1,1),B666&lt;=Resumen!$C$5),1,0)</f>
        <v>0</v>
      </c>
      <c r="P666" s="25" t="n">
        <f aca="false">IF(AND(B666&gt;Resumen!$C$5,B666&lt;=DATE(2027,7,31)),1,0)</f>
        <v>0</v>
      </c>
    </row>
    <row r="667" customFormat="false" ht="15" hidden="false" customHeight="false" outlineLevel="0" collapsed="false">
      <c r="A667" s="22" t="n">
        <v>155</v>
      </c>
      <c r="B667" s="23" t="n">
        <v>49123</v>
      </c>
      <c r="C667" s="28" t="n">
        <v>2284615384.61538</v>
      </c>
      <c r="D667" s="28" t="n">
        <v>29366826.9230769</v>
      </c>
      <c r="E667" s="28" t="n">
        <v>0</v>
      </c>
      <c r="F667" s="28" t="n">
        <v>29366826.9230769</v>
      </c>
      <c r="G667" s="28" t="n">
        <v>2284615384.61538</v>
      </c>
      <c r="H667" s="25" t="n">
        <f aca="false">J666</f>
        <v>2284615384.61538</v>
      </c>
      <c r="I667" s="25" t="n">
        <f aca="false">H667*N667</f>
        <v>29366826.9230769</v>
      </c>
      <c r="J667" s="25" t="n">
        <f aca="false">H667-E667</f>
        <v>2284615384.61538</v>
      </c>
      <c r="K667" s="25" t="n">
        <f aca="false">D667-I667</f>
        <v>0</v>
      </c>
      <c r="L667" s="25" t="n">
        <f aca="false">G667-J667</f>
        <v>0</v>
      </c>
      <c r="M667" s="25" t="n">
        <f aca="false">F667</f>
        <v>29366826.9230769</v>
      </c>
      <c r="N667" s="48" t="n">
        <v>0.0128541666666667</v>
      </c>
      <c r="O667" s="25" t="n">
        <f aca="false">IF(AND(B667&gt;=DATE(2026,1,1),B667&lt;=Resumen!$C$5),1,0)</f>
        <v>0</v>
      </c>
      <c r="P667" s="25" t="n">
        <f aca="false">IF(AND(B667&gt;Resumen!$C$5,B667&lt;=DATE(2027,7,31)),1,0)</f>
        <v>0</v>
      </c>
    </row>
    <row r="668" customFormat="false" ht="15" hidden="false" customHeight="false" outlineLevel="0" collapsed="false">
      <c r="A668" s="22" t="n">
        <v>156</v>
      </c>
      <c r="B668" s="23" t="n">
        <v>49153</v>
      </c>
      <c r="C668" s="28" t="n">
        <v>2284615384.61538</v>
      </c>
      <c r="D668" s="28" t="n">
        <v>29366826.9230769</v>
      </c>
      <c r="E668" s="28" t="n">
        <v>152307692.307692</v>
      </c>
      <c r="F668" s="28" t="n">
        <v>181674519.230769</v>
      </c>
      <c r="G668" s="28" t="n">
        <v>2132307692.30769</v>
      </c>
      <c r="H668" s="25" t="n">
        <f aca="false">J667</f>
        <v>2284615384.61538</v>
      </c>
      <c r="I668" s="25" t="n">
        <f aca="false">H668*N668</f>
        <v>29366826.9230769</v>
      </c>
      <c r="J668" s="25" t="n">
        <f aca="false">H668-E668</f>
        <v>2132307692.30769</v>
      </c>
      <c r="K668" s="25" t="n">
        <f aca="false">D668-I668</f>
        <v>0</v>
      </c>
      <c r="L668" s="25" t="n">
        <f aca="false">G668-J668</f>
        <v>0</v>
      </c>
      <c r="M668" s="25" t="n">
        <f aca="false">F668</f>
        <v>181674519.230769</v>
      </c>
      <c r="N668" s="48" t="n">
        <v>0.0128541666666667</v>
      </c>
      <c r="O668" s="25" t="n">
        <f aca="false">IF(AND(B668&gt;=DATE(2026,1,1),B668&lt;=Resumen!$C$5),1,0)</f>
        <v>0</v>
      </c>
      <c r="P668" s="25" t="n">
        <f aca="false">IF(AND(B668&gt;Resumen!$C$5,B668&lt;=DATE(2027,7,31)),1,0)</f>
        <v>0</v>
      </c>
    </row>
    <row r="669" customFormat="false" ht="15" hidden="false" customHeight="false" outlineLevel="0" collapsed="false">
      <c r="A669" s="22" t="n">
        <v>157</v>
      </c>
      <c r="B669" s="23" t="n">
        <v>49184</v>
      </c>
      <c r="C669" s="28" t="n">
        <v>2132307692.30769</v>
      </c>
      <c r="D669" s="28" t="n">
        <v>27409038.4615384</v>
      </c>
      <c r="E669" s="28" t="n">
        <v>0</v>
      </c>
      <c r="F669" s="28" t="n">
        <v>27409038.4615384</v>
      </c>
      <c r="G669" s="28" t="n">
        <v>2132307692.30769</v>
      </c>
      <c r="H669" s="25" t="n">
        <f aca="false">J668</f>
        <v>2132307692.30769</v>
      </c>
      <c r="I669" s="25" t="n">
        <f aca="false">H669*N669</f>
        <v>27409038.4615384</v>
      </c>
      <c r="J669" s="25" t="n">
        <f aca="false">H669-E669</f>
        <v>2132307692.30769</v>
      </c>
      <c r="K669" s="25" t="n">
        <f aca="false">D669-I669</f>
        <v>0</v>
      </c>
      <c r="L669" s="25" t="n">
        <f aca="false">G669-J669</f>
        <v>0</v>
      </c>
      <c r="M669" s="25" t="n">
        <f aca="false">F669</f>
        <v>27409038.4615384</v>
      </c>
      <c r="N669" s="48" t="n">
        <v>0.0128541666666667</v>
      </c>
      <c r="O669" s="25" t="n">
        <f aca="false">IF(AND(B669&gt;=DATE(2026,1,1),B669&lt;=Resumen!$C$5),1,0)</f>
        <v>0</v>
      </c>
      <c r="P669" s="25" t="n">
        <f aca="false">IF(AND(B669&gt;Resumen!$C$5,B669&lt;=DATE(2027,7,31)),1,0)</f>
        <v>0</v>
      </c>
    </row>
    <row r="670" customFormat="false" ht="15" hidden="false" customHeight="false" outlineLevel="0" collapsed="false">
      <c r="A670" s="22" t="n">
        <v>158</v>
      </c>
      <c r="B670" s="23" t="n">
        <v>49215</v>
      </c>
      <c r="C670" s="28" t="n">
        <v>2132307692.30769</v>
      </c>
      <c r="D670" s="28" t="n">
        <v>27409038.4615384</v>
      </c>
      <c r="E670" s="28" t="n">
        <v>0</v>
      </c>
      <c r="F670" s="28" t="n">
        <v>27409038.4615384</v>
      </c>
      <c r="G670" s="28" t="n">
        <v>2132307692.30769</v>
      </c>
      <c r="H670" s="25" t="n">
        <f aca="false">J669</f>
        <v>2132307692.30769</v>
      </c>
      <c r="I670" s="25" t="n">
        <f aca="false">H670*N670</f>
        <v>27409038.4615384</v>
      </c>
      <c r="J670" s="25" t="n">
        <f aca="false">H670-E670</f>
        <v>2132307692.30769</v>
      </c>
      <c r="K670" s="25" t="n">
        <f aca="false">D670-I670</f>
        <v>0</v>
      </c>
      <c r="L670" s="25" t="n">
        <f aca="false">G670-J670</f>
        <v>0</v>
      </c>
      <c r="M670" s="25" t="n">
        <f aca="false">F670</f>
        <v>27409038.4615384</v>
      </c>
      <c r="N670" s="48" t="n">
        <v>0.0128541666666667</v>
      </c>
      <c r="O670" s="25" t="n">
        <f aca="false">IF(AND(B670&gt;=DATE(2026,1,1),B670&lt;=Resumen!$C$5),1,0)</f>
        <v>0</v>
      </c>
      <c r="P670" s="25" t="n">
        <f aca="false">IF(AND(B670&gt;Resumen!$C$5,B670&lt;=DATE(2027,7,31)),1,0)</f>
        <v>0</v>
      </c>
    </row>
    <row r="671" customFormat="false" ht="15" hidden="false" customHeight="false" outlineLevel="0" collapsed="false">
      <c r="A671" s="22" t="n">
        <v>159</v>
      </c>
      <c r="B671" s="23" t="n">
        <v>49245</v>
      </c>
      <c r="C671" s="28" t="n">
        <v>2132307692.30769</v>
      </c>
      <c r="D671" s="28" t="n">
        <v>27409038.4615384</v>
      </c>
      <c r="E671" s="28" t="n">
        <v>0</v>
      </c>
      <c r="F671" s="28" t="n">
        <v>27409038.4615384</v>
      </c>
      <c r="G671" s="28" t="n">
        <v>2132307692.30769</v>
      </c>
      <c r="H671" s="25" t="n">
        <f aca="false">J670</f>
        <v>2132307692.30769</v>
      </c>
      <c r="I671" s="25" t="n">
        <f aca="false">H671*N671</f>
        <v>27409038.4615384</v>
      </c>
      <c r="J671" s="25" t="n">
        <f aca="false">H671-E671</f>
        <v>2132307692.30769</v>
      </c>
      <c r="K671" s="25" t="n">
        <f aca="false">D671-I671</f>
        <v>0</v>
      </c>
      <c r="L671" s="25" t="n">
        <f aca="false">G671-J671</f>
        <v>0</v>
      </c>
      <c r="M671" s="25" t="n">
        <f aca="false">F671</f>
        <v>27409038.4615384</v>
      </c>
      <c r="N671" s="48" t="n">
        <v>0.0128541666666667</v>
      </c>
      <c r="O671" s="25" t="n">
        <f aca="false">IF(AND(B671&gt;=DATE(2026,1,1),B671&lt;=Resumen!$C$5),1,0)</f>
        <v>0</v>
      </c>
      <c r="P671" s="25" t="n">
        <f aca="false">IF(AND(B671&gt;Resumen!$C$5,B671&lt;=DATE(2027,7,31)),1,0)</f>
        <v>0</v>
      </c>
    </row>
    <row r="672" customFormat="false" ht="15" hidden="false" customHeight="false" outlineLevel="0" collapsed="false">
      <c r="A672" s="22" t="n">
        <v>160</v>
      </c>
      <c r="B672" s="23" t="n">
        <v>49276</v>
      </c>
      <c r="C672" s="28" t="n">
        <v>2132307692.30769</v>
      </c>
      <c r="D672" s="28" t="n">
        <v>27409038.4615384</v>
      </c>
      <c r="E672" s="28" t="n">
        <v>0</v>
      </c>
      <c r="F672" s="28" t="n">
        <v>27409038.4615384</v>
      </c>
      <c r="G672" s="28" t="n">
        <v>2132307692.30769</v>
      </c>
      <c r="H672" s="25" t="n">
        <f aca="false">J671</f>
        <v>2132307692.30769</v>
      </c>
      <c r="I672" s="25" t="n">
        <f aca="false">H672*N672</f>
        <v>27409038.4615384</v>
      </c>
      <c r="J672" s="25" t="n">
        <f aca="false">H672-E672</f>
        <v>2132307692.30769</v>
      </c>
      <c r="K672" s="25" t="n">
        <f aca="false">D672-I672</f>
        <v>0</v>
      </c>
      <c r="L672" s="25" t="n">
        <f aca="false">G672-J672</f>
        <v>0</v>
      </c>
      <c r="M672" s="25" t="n">
        <f aca="false">F672</f>
        <v>27409038.4615384</v>
      </c>
      <c r="N672" s="48" t="n">
        <v>0.0128541666666667</v>
      </c>
      <c r="O672" s="25" t="n">
        <f aca="false">IF(AND(B672&gt;=DATE(2026,1,1),B672&lt;=Resumen!$C$5),1,0)</f>
        <v>0</v>
      </c>
      <c r="P672" s="25" t="n">
        <f aca="false">IF(AND(B672&gt;Resumen!$C$5,B672&lt;=DATE(2027,7,31)),1,0)</f>
        <v>0</v>
      </c>
    </row>
    <row r="673" customFormat="false" ht="15" hidden="false" customHeight="false" outlineLevel="0" collapsed="false">
      <c r="A673" s="22" t="n">
        <v>161</v>
      </c>
      <c r="B673" s="23" t="n">
        <v>49306</v>
      </c>
      <c r="C673" s="28" t="n">
        <v>2132307692.30769</v>
      </c>
      <c r="D673" s="28" t="n">
        <v>27409038.4615384</v>
      </c>
      <c r="E673" s="28" t="n">
        <v>0</v>
      </c>
      <c r="F673" s="28" t="n">
        <v>27409038.4615384</v>
      </c>
      <c r="G673" s="28" t="n">
        <v>2132307692.30769</v>
      </c>
      <c r="H673" s="25" t="n">
        <f aca="false">J672</f>
        <v>2132307692.30769</v>
      </c>
      <c r="I673" s="25" t="n">
        <f aca="false">H673*N673</f>
        <v>27409038.4615384</v>
      </c>
      <c r="J673" s="25" t="n">
        <f aca="false">H673-E673</f>
        <v>2132307692.30769</v>
      </c>
      <c r="K673" s="25" t="n">
        <f aca="false">D673-I673</f>
        <v>0</v>
      </c>
      <c r="L673" s="25" t="n">
        <f aca="false">G673-J673</f>
        <v>0</v>
      </c>
      <c r="M673" s="25" t="n">
        <f aca="false">F673</f>
        <v>27409038.4615384</v>
      </c>
      <c r="N673" s="48" t="n">
        <v>0.0128541666666667</v>
      </c>
      <c r="O673" s="25" t="n">
        <f aca="false">IF(AND(B673&gt;=DATE(2026,1,1),B673&lt;=Resumen!$C$5),1,0)</f>
        <v>0</v>
      </c>
      <c r="P673" s="25" t="n">
        <f aca="false">IF(AND(B673&gt;Resumen!$C$5,B673&lt;=DATE(2027,7,31)),1,0)</f>
        <v>0</v>
      </c>
    </row>
    <row r="674" customFormat="false" ht="15" hidden="false" customHeight="false" outlineLevel="0" collapsed="false">
      <c r="A674" s="22" t="n">
        <v>162</v>
      </c>
      <c r="B674" s="23" t="n">
        <v>49337</v>
      </c>
      <c r="C674" s="28" t="n">
        <v>2132307692.30769</v>
      </c>
      <c r="D674" s="28" t="n">
        <v>27409038.4615384</v>
      </c>
      <c r="E674" s="28" t="n">
        <v>152307692.307692</v>
      </c>
      <c r="F674" s="28" t="n">
        <v>179716730.769231</v>
      </c>
      <c r="G674" s="28" t="n">
        <v>1980000000</v>
      </c>
      <c r="H674" s="25" t="n">
        <f aca="false">J673</f>
        <v>2132307692.30769</v>
      </c>
      <c r="I674" s="25" t="n">
        <f aca="false">H674*N674</f>
        <v>27409038.4615384</v>
      </c>
      <c r="J674" s="25" t="n">
        <f aca="false">H674-E674</f>
        <v>1980000000</v>
      </c>
      <c r="K674" s="25" t="n">
        <f aca="false">D674-I674</f>
        <v>0</v>
      </c>
      <c r="L674" s="25" t="n">
        <f aca="false">G674-J674</f>
        <v>0</v>
      </c>
      <c r="M674" s="25" t="n">
        <f aca="false">F674</f>
        <v>179716730.769231</v>
      </c>
      <c r="N674" s="48" t="n">
        <v>0.0128541666666667</v>
      </c>
      <c r="O674" s="25" t="n">
        <f aca="false">IF(AND(B674&gt;=DATE(2026,1,1),B674&lt;=Resumen!$C$5),1,0)</f>
        <v>0</v>
      </c>
      <c r="P674" s="25" t="n">
        <f aca="false">IF(AND(B674&gt;Resumen!$C$5,B674&lt;=DATE(2027,7,31)),1,0)</f>
        <v>0</v>
      </c>
    </row>
    <row r="675" customFormat="false" ht="15" hidden="false" customHeight="false" outlineLevel="0" collapsed="false">
      <c r="A675" s="22" t="n">
        <v>163</v>
      </c>
      <c r="B675" s="23" t="n">
        <v>49368</v>
      </c>
      <c r="C675" s="28" t="n">
        <v>1980000000</v>
      </c>
      <c r="D675" s="28" t="n">
        <v>25451250</v>
      </c>
      <c r="E675" s="28" t="n">
        <v>0</v>
      </c>
      <c r="F675" s="28" t="n">
        <v>25451250</v>
      </c>
      <c r="G675" s="28" t="n">
        <v>1980000000</v>
      </c>
      <c r="H675" s="25" t="n">
        <f aca="false">J674</f>
        <v>1980000000</v>
      </c>
      <c r="I675" s="25" t="n">
        <f aca="false">H675*N675</f>
        <v>25451250</v>
      </c>
      <c r="J675" s="25" t="n">
        <f aca="false">H675-E675</f>
        <v>1980000000</v>
      </c>
      <c r="K675" s="25" t="n">
        <f aca="false">D675-I675</f>
        <v>0</v>
      </c>
      <c r="L675" s="25" t="n">
        <f aca="false">G675-J675</f>
        <v>0</v>
      </c>
      <c r="M675" s="25" t="n">
        <f aca="false">F675</f>
        <v>25451250</v>
      </c>
      <c r="N675" s="48" t="n">
        <v>0.0128541666666667</v>
      </c>
      <c r="O675" s="25" t="n">
        <f aca="false">IF(AND(B675&gt;=DATE(2026,1,1),B675&lt;=Resumen!$C$5),1,0)</f>
        <v>0</v>
      </c>
      <c r="P675" s="25" t="n">
        <f aca="false">IF(AND(B675&gt;Resumen!$C$5,B675&lt;=DATE(2027,7,31)),1,0)</f>
        <v>0</v>
      </c>
    </row>
    <row r="676" customFormat="false" ht="15" hidden="false" customHeight="false" outlineLevel="0" collapsed="false">
      <c r="A676" s="22" t="n">
        <v>164</v>
      </c>
      <c r="B676" s="23" t="n">
        <v>49396</v>
      </c>
      <c r="C676" s="28" t="n">
        <v>1980000000</v>
      </c>
      <c r="D676" s="28" t="n">
        <v>25451250</v>
      </c>
      <c r="E676" s="28" t="n">
        <v>0</v>
      </c>
      <c r="F676" s="28" t="n">
        <v>25451250</v>
      </c>
      <c r="G676" s="28" t="n">
        <v>1980000000</v>
      </c>
      <c r="H676" s="25" t="n">
        <f aca="false">J675</f>
        <v>1980000000</v>
      </c>
      <c r="I676" s="25" t="n">
        <f aca="false">H676*N676</f>
        <v>25451250</v>
      </c>
      <c r="J676" s="25" t="n">
        <f aca="false">H676-E676</f>
        <v>1980000000</v>
      </c>
      <c r="K676" s="25" t="n">
        <f aca="false">D676-I676</f>
        <v>0</v>
      </c>
      <c r="L676" s="25" t="n">
        <f aca="false">G676-J676</f>
        <v>0</v>
      </c>
      <c r="M676" s="25" t="n">
        <f aca="false">F676</f>
        <v>25451250</v>
      </c>
      <c r="N676" s="48" t="n">
        <v>0.0128541666666667</v>
      </c>
      <c r="O676" s="25" t="n">
        <f aca="false">IF(AND(B676&gt;=DATE(2026,1,1),B676&lt;=Resumen!$C$5),1,0)</f>
        <v>0</v>
      </c>
      <c r="P676" s="25" t="n">
        <f aca="false">IF(AND(B676&gt;Resumen!$C$5,B676&lt;=DATE(2027,7,31)),1,0)</f>
        <v>0</v>
      </c>
    </row>
    <row r="677" customFormat="false" ht="15" hidden="false" customHeight="false" outlineLevel="0" collapsed="false">
      <c r="A677" s="22" t="n">
        <v>165</v>
      </c>
      <c r="B677" s="23" t="n">
        <v>49427</v>
      </c>
      <c r="C677" s="28" t="n">
        <v>1980000000</v>
      </c>
      <c r="D677" s="28" t="n">
        <v>25451250</v>
      </c>
      <c r="E677" s="28" t="n">
        <v>0</v>
      </c>
      <c r="F677" s="28" t="n">
        <v>25451250</v>
      </c>
      <c r="G677" s="28" t="n">
        <v>1980000000</v>
      </c>
      <c r="H677" s="25" t="n">
        <f aca="false">J676</f>
        <v>1980000000</v>
      </c>
      <c r="I677" s="25" t="n">
        <f aca="false">H677*N677</f>
        <v>25451250</v>
      </c>
      <c r="J677" s="25" t="n">
        <f aca="false">H677-E677</f>
        <v>1980000000</v>
      </c>
      <c r="K677" s="25" t="n">
        <f aca="false">D677-I677</f>
        <v>0</v>
      </c>
      <c r="L677" s="25" t="n">
        <f aca="false">G677-J677</f>
        <v>0</v>
      </c>
      <c r="M677" s="25" t="n">
        <f aca="false">F677</f>
        <v>25451250</v>
      </c>
      <c r="N677" s="48" t="n">
        <v>0.0128541666666667</v>
      </c>
      <c r="O677" s="25" t="n">
        <f aca="false">IF(AND(B677&gt;=DATE(2026,1,1),B677&lt;=Resumen!$C$5),1,0)</f>
        <v>0</v>
      </c>
      <c r="P677" s="25" t="n">
        <f aca="false">IF(AND(B677&gt;Resumen!$C$5,B677&lt;=DATE(2027,7,31)),1,0)</f>
        <v>0</v>
      </c>
    </row>
    <row r="678" customFormat="false" ht="15" hidden="false" customHeight="false" outlineLevel="0" collapsed="false">
      <c r="A678" s="22" t="n">
        <v>166</v>
      </c>
      <c r="B678" s="23" t="n">
        <v>49457</v>
      </c>
      <c r="C678" s="28" t="n">
        <v>1980000000</v>
      </c>
      <c r="D678" s="28" t="n">
        <v>25451250</v>
      </c>
      <c r="E678" s="28" t="n">
        <v>0</v>
      </c>
      <c r="F678" s="28" t="n">
        <v>25451250</v>
      </c>
      <c r="G678" s="28" t="n">
        <v>1980000000</v>
      </c>
      <c r="H678" s="25" t="n">
        <f aca="false">J677</f>
        <v>1980000000</v>
      </c>
      <c r="I678" s="25" t="n">
        <f aca="false">H678*N678</f>
        <v>25451250</v>
      </c>
      <c r="J678" s="25" t="n">
        <f aca="false">H678-E678</f>
        <v>1980000000</v>
      </c>
      <c r="K678" s="25" t="n">
        <f aca="false">D678-I678</f>
        <v>0</v>
      </c>
      <c r="L678" s="25" t="n">
        <f aca="false">G678-J678</f>
        <v>0</v>
      </c>
      <c r="M678" s="25" t="n">
        <f aca="false">F678</f>
        <v>25451250</v>
      </c>
      <c r="N678" s="48" t="n">
        <v>0.0128541666666667</v>
      </c>
      <c r="O678" s="25" t="n">
        <f aca="false">IF(AND(B678&gt;=DATE(2026,1,1),B678&lt;=Resumen!$C$5),1,0)</f>
        <v>0</v>
      </c>
      <c r="P678" s="25" t="n">
        <f aca="false">IF(AND(B678&gt;Resumen!$C$5,B678&lt;=DATE(2027,7,31)),1,0)</f>
        <v>0</v>
      </c>
    </row>
    <row r="679" customFormat="false" ht="15" hidden="false" customHeight="false" outlineLevel="0" collapsed="false">
      <c r="A679" s="22" t="n">
        <v>167</v>
      </c>
      <c r="B679" s="23" t="n">
        <v>49488</v>
      </c>
      <c r="C679" s="28" t="n">
        <v>1980000000</v>
      </c>
      <c r="D679" s="28" t="n">
        <v>25451250</v>
      </c>
      <c r="E679" s="28" t="n">
        <v>0</v>
      </c>
      <c r="F679" s="28" t="n">
        <v>25451250</v>
      </c>
      <c r="G679" s="28" t="n">
        <v>1980000000</v>
      </c>
      <c r="H679" s="25" t="n">
        <f aca="false">J678</f>
        <v>1980000000</v>
      </c>
      <c r="I679" s="25" t="n">
        <f aca="false">H679*N679</f>
        <v>25451250</v>
      </c>
      <c r="J679" s="25" t="n">
        <f aca="false">H679-E679</f>
        <v>1980000000</v>
      </c>
      <c r="K679" s="25" t="n">
        <f aca="false">D679-I679</f>
        <v>0</v>
      </c>
      <c r="L679" s="25" t="n">
        <f aca="false">G679-J679</f>
        <v>0</v>
      </c>
      <c r="M679" s="25" t="n">
        <f aca="false">F679</f>
        <v>25451250</v>
      </c>
      <c r="N679" s="48" t="n">
        <v>0.0128541666666667</v>
      </c>
      <c r="O679" s="25" t="n">
        <f aca="false">IF(AND(B679&gt;=DATE(2026,1,1),B679&lt;=Resumen!$C$5),1,0)</f>
        <v>0</v>
      </c>
      <c r="P679" s="25" t="n">
        <f aca="false">IF(AND(B679&gt;Resumen!$C$5,B679&lt;=DATE(2027,7,31)),1,0)</f>
        <v>0</v>
      </c>
    </row>
    <row r="680" customFormat="false" ht="15" hidden="false" customHeight="false" outlineLevel="0" collapsed="false">
      <c r="A680" s="22" t="n">
        <v>168</v>
      </c>
      <c r="B680" s="23" t="n">
        <v>49518</v>
      </c>
      <c r="C680" s="28" t="n">
        <v>1980000000</v>
      </c>
      <c r="D680" s="28" t="n">
        <v>25451250</v>
      </c>
      <c r="E680" s="28" t="n">
        <v>152307692.307692</v>
      </c>
      <c r="F680" s="28" t="n">
        <v>177758942.307692</v>
      </c>
      <c r="G680" s="28" t="n">
        <v>1827692307.69231</v>
      </c>
      <c r="H680" s="25" t="n">
        <f aca="false">J679</f>
        <v>1980000000</v>
      </c>
      <c r="I680" s="25" t="n">
        <f aca="false">H680*N680</f>
        <v>25451250</v>
      </c>
      <c r="J680" s="25" t="n">
        <f aca="false">H680-E680</f>
        <v>1827692307.69231</v>
      </c>
      <c r="K680" s="25" t="n">
        <f aca="false">D680-I680</f>
        <v>0</v>
      </c>
      <c r="L680" s="25" t="n">
        <f aca="false">G680-J680</f>
        <v>0</v>
      </c>
      <c r="M680" s="25" t="n">
        <f aca="false">F680</f>
        <v>177758942.307692</v>
      </c>
      <c r="N680" s="48" t="n">
        <v>0.0128541666666667</v>
      </c>
      <c r="O680" s="25" t="n">
        <f aca="false">IF(AND(B680&gt;=DATE(2026,1,1),B680&lt;=Resumen!$C$5),1,0)</f>
        <v>0</v>
      </c>
      <c r="P680" s="25" t="n">
        <f aca="false">IF(AND(B680&gt;Resumen!$C$5,B680&lt;=DATE(2027,7,31)),1,0)</f>
        <v>0</v>
      </c>
    </row>
    <row r="681" customFormat="false" ht="15" hidden="false" customHeight="false" outlineLevel="0" collapsed="false">
      <c r="A681" s="22" t="n">
        <v>169</v>
      </c>
      <c r="B681" s="23" t="n">
        <v>49549</v>
      </c>
      <c r="C681" s="28" t="n">
        <v>1827692307.69231</v>
      </c>
      <c r="D681" s="28" t="n">
        <v>23493461.5384615</v>
      </c>
      <c r="E681" s="28" t="n">
        <v>0</v>
      </c>
      <c r="F681" s="28" t="n">
        <v>23493461.5384615</v>
      </c>
      <c r="G681" s="28" t="n">
        <v>1827692307.69231</v>
      </c>
      <c r="H681" s="25" t="n">
        <f aca="false">J680</f>
        <v>1827692307.69231</v>
      </c>
      <c r="I681" s="25" t="n">
        <f aca="false">H681*N681</f>
        <v>23493461.5384615</v>
      </c>
      <c r="J681" s="25" t="n">
        <f aca="false">H681-E681</f>
        <v>1827692307.69231</v>
      </c>
      <c r="K681" s="25" t="n">
        <f aca="false">D681-I681</f>
        <v>0</v>
      </c>
      <c r="L681" s="25" t="n">
        <f aca="false">G681-J681</f>
        <v>0</v>
      </c>
      <c r="M681" s="25" t="n">
        <f aca="false">F681</f>
        <v>23493461.5384615</v>
      </c>
      <c r="N681" s="48" t="n">
        <v>0.0128541666666667</v>
      </c>
      <c r="O681" s="25" t="n">
        <f aca="false">IF(AND(B681&gt;=DATE(2026,1,1),B681&lt;=Resumen!$C$5),1,0)</f>
        <v>0</v>
      </c>
      <c r="P681" s="25" t="n">
        <f aca="false">IF(AND(B681&gt;Resumen!$C$5,B681&lt;=DATE(2027,7,31)),1,0)</f>
        <v>0</v>
      </c>
    </row>
    <row r="682" customFormat="false" ht="15" hidden="false" customHeight="false" outlineLevel="0" collapsed="false">
      <c r="A682" s="22" t="n">
        <v>170</v>
      </c>
      <c r="B682" s="23" t="n">
        <v>49580</v>
      </c>
      <c r="C682" s="28" t="n">
        <v>1827692307.69231</v>
      </c>
      <c r="D682" s="28" t="n">
        <v>23493461.5384615</v>
      </c>
      <c r="E682" s="28" t="n">
        <v>0</v>
      </c>
      <c r="F682" s="28" t="n">
        <v>23493461.5384615</v>
      </c>
      <c r="G682" s="28" t="n">
        <v>1827692307.69231</v>
      </c>
      <c r="H682" s="25" t="n">
        <f aca="false">J681</f>
        <v>1827692307.69231</v>
      </c>
      <c r="I682" s="25" t="n">
        <f aca="false">H682*N682</f>
        <v>23493461.5384615</v>
      </c>
      <c r="J682" s="25" t="n">
        <f aca="false">H682-E682</f>
        <v>1827692307.69231</v>
      </c>
      <c r="K682" s="25" t="n">
        <f aca="false">D682-I682</f>
        <v>0</v>
      </c>
      <c r="L682" s="25" t="n">
        <f aca="false">G682-J682</f>
        <v>0</v>
      </c>
      <c r="M682" s="25" t="n">
        <f aca="false">F682</f>
        <v>23493461.5384615</v>
      </c>
      <c r="N682" s="48" t="n">
        <v>0.0128541666666667</v>
      </c>
      <c r="O682" s="25" t="n">
        <f aca="false">IF(AND(B682&gt;=DATE(2026,1,1),B682&lt;=Resumen!$C$5),1,0)</f>
        <v>0</v>
      </c>
      <c r="P682" s="25" t="n">
        <f aca="false">IF(AND(B682&gt;Resumen!$C$5,B682&lt;=DATE(2027,7,31)),1,0)</f>
        <v>0</v>
      </c>
    </row>
    <row r="683" customFormat="false" ht="15" hidden="false" customHeight="false" outlineLevel="0" collapsed="false">
      <c r="A683" s="22" t="n">
        <v>171</v>
      </c>
      <c r="B683" s="23" t="n">
        <v>49610</v>
      </c>
      <c r="C683" s="28" t="n">
        <v>1827692307.69231</v>
      </c>
      <c r="D683" s="28" t="n">
        <v>23493461.5384615</v>
      </c>
      <c r="E683" s="28" t="n">
        <v>0</v>
      </c>
      <c r="F683" s="28" t="n">
        <v>23493461.5384615</v>
      </c>
      <c r="G683" s="28" t="n">
        <v>1827692307.69231</v>
      </c>
      <c r="H683" s="25" t="n">
        <f aca="false">J682</f>
        <v>1827692307.69231</v>
      </c>
      <c r="I683" s="25" t="n">
        <f aca="false">H683*N683</f>
        <v>23493461.5384615</v>
      </c>
      <c r="J683" s="25" t="n">
        <f aca="false">H683-E683</f>
        <v>1827692307.69231</v>
      </c>
      <c r="K683" s="25" t="n">
        <f aca="false">D683-I683</f>
        <v>0</v>
      </c>
      <c r="L683" s="25" t="n">
        <f aca="false">G683-J683</f>
        <v>0</v>
      </c>
      <c r="M683" s="25" t="n">
        <f aca="false">F683</f>
        <v>23493461.5384615</v>
      </c>
      <c r="N683" s="48" t="n">
        <v>0.0128541666666667</v>
      </c>
      <c r="O683" s="25" t="n">
        <f aca="false">IF(AND(B683&gt;=DATE(2026,1,1),B683&lt;=Resumen!$C$5),1,0)</f>
        <v>0</v>
      </c>
      <c r="P683" s="25" t="n">
        <f aca="false">IF(AND(B683&gt;Resumen!$C$5,B683&lt;=DATE(2027,7,31)),1,0)</f>
        <v>0</v>
      </c>
    </row>
    <row r="684" customFormat="false" ht="15" hidden="false" customHeight="false" outlineLevel="0" collapsed="false">
      <c r="A684" s="22" t="n">
        <v>172</v>
      </c>
      <c r="B684" s="23" t="n">
        <v>49641</v>
      </c>
      <c r="C684" s="28" t="n">
        <v>1827692307.69231</v>
      </c>
      <c r="D684" s="28" t="n">
        <v>23493461.5384615</v>
      </c>
      <c r="E684" s="28" t="n">
        <v>0</v>
      </c>
      <c r="F684" s="28" t="n">
        <v>23493461.5384615</v>
      </c>
      <c r="G684" s="28" t="n">
        <v>1827692307.69231</v>
      </c>
      <c r="H684" s="25" t="n">
        <f aca="false">J683</f>
        <v>1827692307.69231</v>
      </c>
      <c r="I684" s="25" t="n">
        <f aca="false">H684*N684</f>
        <v>23493461.5384615</v>
      </c>
      <c r="J684" s="25" t="n">
        <f aca="false">H684-E684</f>
        <v>1827692307.69231</v>
      </c>
      <c r="K684" s="25" t="n">
        <f aca="false">D684-I684</f>
        <v>0</v>
      </c>
      <c r="L684" s="25" t="n">
        <f aca="false">G684-J684</f>
        <v>0</v>
      </c>
      <c r="M684" s="25" t="n">
        <f aca="false">F684</f>
        <v>23493461.5384615</v>
      </c>
      <c r="N684" s="48" t="n">
        <v>0.0128541666666667</v>
      </c>
      <c r="O684" s="25" t="n">
        <f aca="false">IF(AND(B684&gt;=DATE(2026,1,1),B684&lt;=Resumen!$C$5),1,0)</f>
        <v>0</v>
      </c>
      <c r="P684" s="25" t="n">
        <f aca="false">IF(AND(B684&gt;Resumen!$C$5,B684&lt;=DATE(2027,7,31)),1,0)</f>
        <v>0</v>
      </c>
    </row>
    <row r="685" customFormat="false" ht="15" hidden="false" customHeight="false" outlineLevel="0" collapsed="false">
      <c r="A685" s="22" t="n">
        <v>173</v>
      </c>
      <c r="B685" s="23" t="n">
        <v>49671</v>
      </c>
      <c r="C685" s="28" t="n">
        <v>1827692307.69231</v>
      </c>
      <c r="D685" s="28" t="n">
        <v>23493461.5384615</v>
      </c>
      <c r="E685" s="28" t="n">
        <v>0</v>
      </c>
      <c r="F685" s="28" t="n">
        <v>23493461.5384615</v>
      </c>
      <c r="G685" s="28" t="n">
        <v>1827692307.69231</v>
      </c>
      <c r="H685" s="25" t="n">
        <f aca="false">J684</f>
        <v>1827692307.69231</v>
      </c>
      <c r="I685" s="25" t="n">
        <f aca="false">H685*N685</f>
        <v>23493461.5384615</v>
      </c>
      <c r="J685" s="25" t="n">
        <f aca="false">H685-E685</f>
        <v>1827692307.69231</v>
      </c>
      <c r="K685" s="25" t="n">
        <f aca="false">D685-I685</f>
        <v>0</v>
      </c>
      <c r="L685" s="25" t="n">
        <f aca="false">G685-J685</f>
        <v>0</v>
      </c>
      <c r="M685" s="25" t="n">
        <f aca="false">F685</f>
        <v>23493461.5384615</v>
      </c>
      <c r="N685" s="48" t="n">
        <v>0.0128541666666667</v>
      </c>
      <c r="O685" s="25" t="n">
        <f aca="false">IF(AND(B685&gt;=DATE(2026,1,1),B685&lt;=Resumen!$C$5),1,0)</f>
        <v>0</v>
      </c>
      <c r="P685" s="25" t="n">
        <f aca="false">IF(AND(B685&gt;Resumen!$C$5,B685&lt;=DATE(2027,7,31)),1,0)</f>
        <v>0</v>
      </c>
    </row>
    <row r="686" customFormat="false" ht="15" hidden="false" customHeight="false" outlineLevel="0" collapsed="false">
      <c r="A686" s="22" t="n">
        <v>174</v>
      </c>
      <c r="B686" s="23" t="n">
        <v>49702</v>
      </c>
      <c r="C686" s="28" t="n">
        <v>1827692307.69231</v>
      </c>
      <c r="D686" s="28" t="n">
        <v>23493461.5384615</v>
      </c>
      <c r="E686" s="28" t="n">
        <v>152307692.307692</v>
      </c>
      <c r="F686" s="28" t="n">
        <v>175801153.846154</v>
      </c>
      <c r="G686" s="28" t="n">
        <v>1675384615.38461</v>
      </c>
      <c r="H686" s="25" t="n">
        <f aca="false">J685</f>
        <v>1827692307.69231</v>
      </c>
      <c r="I686" s="25" t="n">
        <f aca="false">H686*N686</f>
        <v>23493461.5384615</v>
      </c>
      <c r="J686" s="25" t="n">
        <f aca="false">H686-E686</f>
        <v>1675384615.38461</v>
      </c>
      <c r="K686" s="25" t="n">
        <f aca="false">D686-I686</f>
        <v>0</v>
      </c>
      <c r="L686" s="25" t="n">
        <f aca="false">G686-J686</f>
        <v>0</v>
      </c>
      <c r="M686" s="25" t="n">
        <f aca="false">F686</f>
        <v>175801153.846154</v>
      </c>
      <c r="N686" s="48" t="n">
        <v>0.0128541666666667</v>
      </c>
      <c r="O686" s="25" t="n">
        <f aca="false">IF(AND(B686&gt;=DATE(2026,1,1),B686&lt;=Resumen!$C$5),1,0)</f>
        <v>0</v>
      </c>
      <c r="P686" s="25" t="n">
        <f aca="false">IF(AND(B686&gt;Resumen!$C$5,B686&lt;=DATE(2027,7,31)),1,0)</f>
        <v>0</v>
      </c>
    </row>
    <row r="687" customFormat="false" ht="15" hidden="false" customHeight="false" outlineLevel="0" collapsed="false">
      <c r="A687" s="22" t="n">
        <v>175</v>
      </c>
      <c r="B687" s="23" t="n">
        <v>49733</v>
      </c>
      <c r="C687" s="28" t="n">
        <v>1675384615.38461</v>
      </c>
      <c r="D687" s="28" t="n">
        <v>21535673.0769231</v>
      </c>
      <c r="E687" s="28" t="n">
        <v>0</v>
      </c>
      <c r="F687" s="28" t="n">
        <v>21535673.0769231</v>
      </c>
      <c r="G687" s="28" t="n">
        <v>1675384615.38461</v>
      </c>
      <c r="H687" s="25" t="n">
        <f aca="false">J686</f>
        <v>1675384615.38461</v>
      </c>
      <c r="I687" s="25" t="n">
        <f aca="false">H687*N687</f>
        <v>21535673.0769231</v>
      </c>
      <c r="J687" s="25" t="n">
        <f aca="false">H687-E687</f>
        <v>1675384615.38461</v>
      </c>
      <c r="K687" s="25" t="n">
        <f aca="false">D687-I687</f>
        <v>0</v>
      </c>
      <c r="L687" s="25" t="n">
        <f aca="false">G687-J687</f>
        <v>0</v>
      </c>
      <c r="M687" s="25" t="n">
        <f aca="false">F687</f>
        <v>21535673.0769231</v>
      </c>
      <c r="N687" s="48" t="n">
        <v>0.0128541666666667</v>
      </c>
      <c r="O687" s="25" t="n">
        <f aca="false">IF(AND(B687&gt;=DATE(2026,1,1),B687&lt;=Resumen!$C$5),1,0)</f>
        <v>0</v>
      </c>
      <c r="P687" s="25" t="n">
        <f aca="false">IF(AND(B687&gt;Resumen!$C$5,B687&lt;=DATE(2027,7,31)),1,0)</f>
        <v>0</v>
      </c>
    </row>
    <row r="688" customFormat="false" ht="15" hidden="false" customHeight="false" outlineLevel="0" collapsed="false">
      <c r="A688" s="22" t="n">
        <v>176</v>
      </c>
      <c r="B688" s="23" t="n">
        <v>49762</v>
      </c>
      <c r="C688" s="28" t="n">
        <v>1675384615.38461</v>
      </c>
      <c r="D688" s="28" t="n">
        <v>21535673.0769231</v>
      </c>
      <c r="E688" s="28" t="n">
        <v>0</v>
      </c>
      <c r="F688" s="28" t="n">
        <v>21535673.0769231</v>
      </c>
      <c r="G688" s="28" t="n">
        <v>1675384615.38461</v>
      </c>
      <c r="H688" s="25" t="n">
        <f aca="false">J687</f>
        <v>1675384615.38461</v>
      </c>
      <c r="I688" s="25" t="n">
        <f aca="false">H688*N688</f>
        <v>21535673.0769231</v>
      </c>
      <c r="J688" s="25" t="n">
        <f aca="false">H688-E688</f>
        <v>1675384615.38461</v>
      </c>
      <c r="K688" s="25" t="n">
        <f aca="false">D688-I688</f>
        <v>0</v>
      </c>
      <c r="L688" s="25" t="n">
        <f aca="false">G688-J688</f>
        <v>0</v>
      </c>
      <c r="M688" s="25" t="n">
        <f aca="false">F688</f>
        <v>21535673.0769231</v>
      </c>
      <c r="N688" s="48" t="n">
        <v>0.0128541666666667</v>
      </c>
      <c r="O688" s="25" t="n">
        <f aca="false">IF(AND(B688&gt;=DATE(2026,1,1),B688&lt;=Resumen!$C$5),1,0)</f>
        <v>0</v>
      </c>
      <c r="P688" s="25" t="n">
        <f aca="false">IF(AND(B688&gt;Resumen!$C$5,B688&lt;=DATE(2027,7,31)),1,0)</f>
        <v>0</v>
      </c>
    </row>
    <row r="689" customFormat="false" ht="15" hidden="false" customHeight="false" outlineLevel="0" collapsed="false">
      <c r="A689" s="22" t="n">
        <v>177</v>
      </c>
      <c r="B689" s="23" t="n">
        <v>49793</v>
      </c>
      <c r="C689" s="28" t="n">
        <v>1675384615.38461</v>
      </c>
      <c r="D689" s="28" t="n">
        <v>21535673.0769231</v>
      </c>
      <c r="E689" s="28" t="n">
        <v>0</v>
      </c>
      <c r="F689" s="28" t="n">
        <v>21535673.0769231</v>
      </c>
      <c r="G689" s="28" t="n">
        <v>1675384615.38461</v>
      </c>
      <c r="H689" s="25" t="n">
        <f aca="false">J688</f>
        <v>1675384615.38461</v>
      </c>
      <c r="I689" s="25" t="n">
        <f aca="false">H689*N689</f>
        <v>21535673.0769231</v>
      </c>
      <c r="J689" s="25" t="n">
        <f aca="false">H689-E689</f>
        <v>1675384615.38461</v>
      </c>
      <c r="K689" s="25" t="n">
        <f aca="false">D689-I689</f>
        <v>0</v>
      </c>
      <c r="L689" s="25" t="n">
        <f aca="false">G689-J689</f>
        <v>0</v>
      </c>
      <c r="M689" s="25" t="n">
        <f aca="false">F689</f>
        <v>21535673.0769231</v>
      </c>
      <c r="N689" s="48" t="n">
        <v>0.0128541666666667</v>
      </c>
      <c r="O689" s="25" t="n">
        <f aca="false">IF(AND(B689&gt;=DATE(2026,1,1),B689&lt;=Resumen!$C$5),1,0)</f>
        <v>0</v>
      </c>
      <c r="P689" s="25" t="n">
        <f aca="false">IF(AND(B689&gt;Resumen!$C$5,B689&lt;=DATE(2027,7,31)),1,0)</f>
        <v>0</v>
      </c>
    </row>
    <row r="690" customFormat="false" ht="15" hidden="false" customHeight="false" outlineLevel="0" collapsed="false">
      <c r="A690" s="22" t="n">
        <v>178</v>
      </c>
      <c r="B690" s="23" t="n">
        <v>49823</v>
      </c>
      <c r="C690" s="28" t="n">
        <v>1675384615.38461</v>
      </c>
      <c r="D690" s="28" t="n">
        <v>21535673.0769231</v>
      </c>
      <c r="E690" s="28" t="n">
        <v>0</v>
      </c>
      <c r="F690" s="28" t="n">
        <v>21535673.0769231</v>
      </c>
      <c r="G690" s="28" t="n">
        <v>1675384615.38461</v>
      </c>
      <c r="H690" s="25" t="n">
        <f aca="false">J689</f>
        <v>1675384615.38461</v>
      </c>
      <c r="I690" s="25" t="n">
        <f aca="false">H690*N690</f>
        <v>21535673.0769231</v>
      </c>
      <c r="J690" s="25" t="n">
        <f aca="false">H690-E690</f>
        <v>1675384615.38461</v>
      </c>
      <c r="K690" s="25" t="n">
        <f aca="false">D690-I690</f>
        <v>0</v>
      </c>
      <c r="L690" s="25" t="n">
        <f aca="false">G690-J690</f>
        <v>0</v>
      </c>
      <c r="M690" s="25" t="n">
        <f aca="false">F690</f>
        <v>21535673.0769231</v>
      </c>
      <c r="N690" s="48" t="n">
        <v>0.0128541666666667</v>
      </c>
      <c r="O690" s="25" t="n">
        <f aca="false">IF(AND(B690&gt;=DATE(2026,1,1),B690&lt;=Resumen!$C$5),1,0)</f>
        <v>0</v>
      </c>
      <c r="P690" s="25" t="n">
        <f aca="false">IF(AND(B690&gt;Resumen!$C$5,B690&lt;=DATE(2027,7,31)),1,0)</f>
        <v>0</v>
      </c>
    </row>
    <row r="691" customFormat="false" ht="15" hidden="false" customHeight="false" outlineLevel="0" collapsed="false">
      <c r="A691" s="22" t="n">
        <v>179</v>
      </c>
      <c r="B691" s="23" t="n">
        <v>49854</v>
      </c>
      <c r="C691" s="28" t="n">
        <v>1675384615.38461</v>
      </c>
      <c r="D691" s="28" t="n">
        <v>21535673.0769231</v>
      </c>
      <c r="E691" s="28" t="n">
        <v>0</v>
      </c>
      <c r="F691" s="28" t="n">
        <v>21535673.0769231</v>
      </c>
      <c r="G691" s="28" t="n">
        <v>1675384615.38461</v>
      </c>
      <c r="H691" s="25" t="n">
        <f aca="false">J690</f>
        <v>1675384615.38461</v>
      </c>
      <c r="I691" s="25" t="n">
        <f aca="false">H691*N691</f>
        <v>21535673.0769231</v>
      </c>
      <c r="J691" s="25" t="n">
        <f aca="false">H691-E691</f>
        <v>1675384615.38461</v>
      </c>
      <c r="K691" s="25" t="n">
        <f aca="false">D691-I691</f>
        <v>0</v>
      </c>
      <c r="L691" s="25" t="n">
        <f aca="false">G691-J691</f>
        <v>0</v>
      </c>
      <c r="M691" s="25" t="n">
        <f aca="false">F691</f>
        <v>21535673.0769231</v>
      </c>
      <c r="N691" s="48" t="n">
        <v>0.0128541666666667</v>
      </c>
      <c r="O691" s="25" t="n">
        <f aca="false">IF(AND(B691&gt;=DATE(2026,1,1),B691&lt;=Resumen!$C$5),1,0)</f>
        <v>0</v>
      </c>
      <c r="P691" s="25" t="n">
        <f aca="false">IF(AND(B691&gt;Resumen!$C$5,B691&lt;=DATE(2027,7,31)),1,0)</f>
        <v>0</v>
      </c>
    </row>
    <row r="692" customFormat="false" ht="15" hidden="false" customHeight="false" outlineLevel="0" collapsed="false">
      <c r="A692" s="22" t="n">
        <v>180</v>
      </c>
      <c r="B692" s="23" t="n">
        <v>49884</v>
      </c>
      <c r="C692" s="28" t="n">
        <v>1675384615.38461</v>
      </c>
      <c r="D692" s="28" t="n">
        <v>21535673.0769231</v>
      </c>
      <c r="E692" s="28" t="n">
        <v>152307692.307692</v>
      </c>
      <c r="F692" s="28" t="n">
        <v>173843365.384615</v>
      </c>
      <c r="G692" s="28" t="n">
        <v>1523076923.07692</v>
      </c>
      <c r="H692" s="25" t="n">
        <f aca="false">J691</f>
        <v>1675384615.38461</v>
      </c>
      <c r="I692" s="25" t="n">
        <f aca="false">H692*N692</f>
        <v>21535673.0769231</v>
      </c>
      <c r="J692" s="25" t="n">
        <f aca="false">H692-E692</f>
        <v>1523076923.07692</v>
      </c>
      <c r="K692" s="25" t="n">
        <f aca="false">D692-I692</f>
        <v>0</v>
      </c>
      <c r="L692" s="25" t="n">
        <f aca="false">G692-J692</f>
        <v>0</v>
      </c>
      <c r="M692" s="25" t="n">
        <f aca="false">F692</f>
        <v>173843365.384615</v>
      </c>
      <c r="N692" s="48" t="n">
        <v>0.0128541666666667</v>
      </c>
      <c r="O692" s="25" t="n">
        <f aca="false">IF(AND(B692&gt;=DATE(2026,1,1),B692&lt;=Resumen!$C$5),1,0)</f>
        <v>0</v>
      </c>
      <c r="P692" s="25" t="n">
        <f aca="false">IF(AND(B692&gt;Resumen!$C$5,B692&lt;=DATE(2027,7,31)),1,0)</f>
        <v>0</v>
      </c>
    </row>
    <row r="693" customFormat="false" ht="15" hidden="false" customHeight="false" outlineLevel="0" collapsed="false">
      <c r="A693" s="22" t="n">
        <v>181</v>
      </c>
      <c r="B693" s="23" t="n">
        <v>49915</v>
      </c>
      <c r="C693" s="28" t="n">
        <v>1523076923.07692</v>
      </c>
      <c r="D693" s="28" t="n">
        <v>19577884.6153846</v>
      </c>
      <c r="E693" s="28" t="n">
        <v>0</v>
      </c>
      <c r="F693" s="28" t="n">
        <v>19577884.6153846</v>
      </c>
      <c r="G693" s="28" t="n">
        <v>1523076923.07692</v>
      </c>
      <c r="H693" s="25" t="n">
        <f aca="false">J692</f>
        <v>1523076923.07692</v>
      </c>
      <c r="I693" s="25" t="n">
        <f aca="false">H693*N693</f>
        <v>19577884.6153846</v>
      </c>
      <c r="J693" s="25" t="n">
        <f aca="false">H693-E693</f>
        <v>1523076923.07692</v>
      </c>
      <c r="K693" s="25" t="n">
        <f aca="false">D693-I693</f>
        <v>0</v>
      </c>
      <c r="L693" s="25" t="n">
        <f aca="false">G693-J693</f>
        <v>0</v>
      </c>
      <c r="M693" s="25" t="n">
        <f aca="false">F693</f>
        <v>19577884.6153846</v>
      </c>
      <c r="N693" s="48" t="n">
        <v>0.0128541666666667</v>
      </c>
      <c r="O693" s="25" t="n">
        <f aca="false">IF(AND(B693&gt;=DATE(2026,1,1),B693&lt;=Resumen!$C$5),1,0)</f>
        <v>0</v>
      </c>
      <c r="P693" s="25" t="n">
        <f aca="false">IF(AND(B693&gt;Resumen!$C$5,B693&lt;=DATE(2027,7,31)),1,0)</f>
        <v>0</v>
      </c>
    </row>
    <row r="694" customFormat="false" ht="15" hidden="false" customHeight="false" outlineLevel="0" collapsed="false">
      <c r="A694" s="22" t="n">
        <v>182</v>
      </c>
      <c r="B694" s="23" t="n">
        <v>49946</v>
      </c>
      <c r="C694" s="28" t="n">
        <v>1523076923.07692</v>
      </c>
      <c r="D694" s="28" t="n">
        <v>19577884.6153846</v>
      </c>
      <c r="E694" s="28" t="n">
        <v>0</v>
      </c>
      <c r="F694" s="28" t="n">
        <v>19577884.6153846</v>
      </c>
      <c r="G694" s="28" t="n">
        <v>1523076923.07692</v>
      </c>
      <c r="H694" s="25" t="n">
        <f aca="false">J693</f>
        <v>1523076923.07692</v>
      </c>
      <c r="I694" s="25" t="n">
        <f aca="false">H694*N694</f>
        <v>19577884.6153846</v>
      </c>
      <c r="J694" s="25" t="n">
        <f aca="false">H694-E694</f>
        <v>1523076923.07692</v>
      </c>
      <c r="K694" s="25" t="n">
        <f aca="false">D694-I694</f>
        <v>0</v>
      </c>
      <c r="L694" s="25" t="n">
        <f aca="false">G694-J694</f>
        <v>0</v>
      </c>
      <c r="M694" s="25" t="n">
        <f aca="false">F694</f>
        <v>19577884.6153846</v>
      </c>
      <c r="N694" s="48" t="n">
        <v>0.0128541666666667</v>
      </c>
      <c r="O694" s="25" t="n">
        <f aca="false">IF(AND(B694&gt;=DATE(2026,1,1),B694&lt;=Resumen!$C$5),1,0)</f>
        <v>0</v>
      </c>
      <c r="P694" s="25" t="n">
        <f aca="false">IF(AND(B694&gt;Resumen!$C$5,B694&lt;=DATE(2027,7,31)),1,0)</f>
        <v>0</v>
      </c>
    </row>
    <row r="695" customFormat="false" ht="15" hidden="false" customHeight="false" outlineLevel="0" collapsed="false">
      <c r="A695" s="22" t="n">
        <v>183</v>
      </c>
      <c r="B695" s="23" t="n">
        <v>49976</v>
      </c>
      <c r="C695" s="28" t="n">
        <v>1523076923.07692</v>
      </c>
      <c r="D695" s="28" t="n">
        <v>19577884.6153846</v>
      </c>
      <c r="E695" s="28" t="n">
        <v>0</v>
      </c>
      <c r="F695" s="28" t="n">
        <v>19577884.6153846</v>
      </c>
      <c r="G695" s="28" t="n">
        <v>1523076923.07692</v>
      </c>
      <c r="H695" s="25" t="n">
        <f aca="false">J694</f>
        <v>1523076923.07692</v>
      </c>
      <c r="I695" s="25" t="n">
        <f aca="false">H695*N695</f>
        <v>19577884.6153846</v>
      </c>
      <c r="J695" s="25" t="n">
        <f aca="false">H695-E695</f>
        <v>1523076923.07692</v>
      </c>
      <c r="K695" s="25" t="n">
        <f aca="false">D695-I695</f>
        <v>0</v>
      </c>
      <c r="L695" s="25" t="n">
        <f aca="false">G695-J695</f>
        <v>0</v>
      </c>
      <c r="M695" s="25" t="n">
        <f aca="false">F695</f>
        <v>19577884.6153846</v>
      </c>
      <c r="N695" s="48" t="n">
        <v>0.0128541666666667</v>
      </c>
      <c r="O695" s="25" t="n">
        <f aca="false">IF(AND(B695&gt;=DATE(2026,1,1),B695&lt;=Resumen!$C$5),1,0)</f>
        <v>0</v>
      </c>
      <c r="P695" s="25" t="n">
        <f aca="false">IF(AND(B695&gt;Resumen!$C$5,B695&lt;=DATE(2027,7,31)),1,0)</f>
        <v>0</v>
      </c>
    </row>
    <row r="696" customFormat="false" ht="15" hidden="false" customHeight="false" outlineLevel="0" collapsed="false">
      <c r="A696" s="22" t="n">
        <v>184</v>
      </c>
      <c r="B696" s="23" t="n">
        <v>50007</v>
      </c>
      <c r="C696" s="28" t="n">
        <v>1523076923.07692</v>
      </c>
      <c r="D696" s="28" t="n">
        <v>19577884.6153846</v>
      </c>
      <c r="E696" s="28" t="n">
        <v>0</v>
      </c>
      <c r="F696" s="28" t="n">
        <v>19577884.6153846</v>
      </c>
      <c r="G696" s="28" t="n">
        <v>1523076923.07692</v>
      </c>
      <c r="H696" s="25" t="n">
        <f aca="false">J695</f>
        <v>1523076923.07692</v>
      </c>
      <c r="I696" s="25" t="n">
        <f aca="false">H696*N696</f>
        <v>19577884.6153846</v>
      </c>
      <c r="J696" s="25" t="n">
        <f aca="false">H696-E696</f>
        <v>1523076923.07692</v>
      </c>
      <c r="K696" s="25" t="n">
        <f aca="false">D696-I696</f>
        <v>0</v>
      </c>
      <c r="L696" s="25" t="n">
        <f aca="false">G696-J696</f>
        <v>0</v>
      </c>
      <c r="M696" s="25" t="n">
        <f aca="false">F696</f>
        <v>19577884.6153846</v>
      </c>
      <c r="N696" s="48" t="n">
        <v>0.0128541666666667</v>
      </c>
      <c r="O696" s="25" t="n">
        <f aca="false">IF(AND(B696&gt;=DATE(2026,1,1),B696&lt;=Resumen!$C$5),1,0)</f>
        <v>0</v>
      </c>
      <c r="P696" s="25" t="n">
        <f aca="false">IF(AND(B696&gt;Resumen!$C$5,B696&lt;=DATE(2027,7,31)),1,0)</f>
        <v>0</v>
      </c>
    </row>
    <row r="697" customFormat="false" ht="15" hidden="false" customHeight="false" outlineLevel="0" collapsed="false">
      <c r="A697" s="22" t="n">
        <v>185</v>
      </c>
      <c r="B697" s="23" t="n">
        <v>50037</v>
      </c>
      <c r="C697" s="28" t="n">
        <v>1523076923.07692</v>
      </c>
      <c r="D697" s="28" t="n">
        <v>19577884.6153846</v>
      </c>
      <c r="E697" s="28" t="n">
        <v>0</v>
      </c>
      <c r="F697" s="28" t="n">
        <v>19577884.6153846</v>
      </c>
      <c r="G697" s="28" t="n">
        <v>1523076923.07692</v>
      </c>
      <c r="H697" s="25" t="n">
        <f aca="false">J696</f>
        <v>1523076923.07692</v>
      </c>
      <c r="I697" s="25" t="n">
        <f aca="false">H697*N697</f>
        <v>19577884.6153846</v>
      </c>
      <c r="J697" s="25" t="n">
        <f aca="false">H697-E697</f>
        <v>1523076923.07692</v>
      </c>
      <c r="K697" s="25" t="n">
        <f aca="false">D697-I697</f>
        <v>0</v>
      </c>
      <c r="L697" s="25" t="n">
        <f aca="false">G697-J697</f>
        <v>0</v>
      </c>
      <c r="M697" s="25" t="n">
        <f aca="false">F697</f>
        <v>19577884.6153846</v>
      </c>
      <c r="N697" s="48" t="n">
        <v>0.0128541666666667</v>
      </c>
      <c r="O697" s="25" t="n">
        <f aca="false">IF(AND(B697&gt;=DATE(2026,1,1),B697&lt;=Resumen!$C$5),1,0)</f>
        <v>0</v>
      </c>
      <c r="P697" s="25" t="n">
        <f aca="false">IF(AND(B697&gt;Resumen!$C$5,B697&lt;=DATE(2027,7,31)),1,0)</f>
        <v>0</v>
      </c>
    </row>
    <row r="698" customFormat="false" ht="15" hidden="false" customHeight="false" outlineLevel="0" collapsed="false">
      <c r="A698" s="22" t="n">
        <v>186</v>
      </c>
      <c r="B698" s="23" t="n">
        <v>50068</v>
      </c>
      <c r="C698" s="28" t="n">
        <v>1523076923.07692</v>
      </c>
      <c r="D698" s="28" t="n">
        <v>19577884.6153846</v>
      </c>
      <c r="E698" s="28" t="n">
        <v>152307692.307692</v>
      </c>
      <c r="F698" s="28" t="n">
        <v>171885576.923077</v>
      </c>
      <c r="G698" s="28" t="n">
        <v>1370769230.76923</v>
      </c>
      <c r="H698" s="25" t="n">
        <f aca="false">J697</f>
        <v>1523076923.07692</v>
      </c>
      <c r="I698" s="25" t="n">
        <f aca="false">H698*N698</f>
        <v>19577884.6153846</v>
      </c>
      <c r="J698" s="25" t="n">
        <f aca="false">H698-E698</f>
        <v>1370769230.76923</v>
      </c>
      <c r="K698" s="25" t="n">
        <f aca="false">D698-I698</f>
        <v>0</v>
      </c>
      <c r="L698" s="25" t="n">
        <f aca="false">G698-J698</f>
        <v>0</v>
      </c>
      <c r="M698" s="25" t="n">
        <f aca="false">F698</f>
        <v>171885576.923077</v>
      </c>
      <c r="N698" s="48" t="n">
        <v>0.0128541666666667</v>
      </c>
      <c r="O698" s="25" t="n">
        <f aca="false">IF(AND(B698&gt;=DATE(2026,1,1),B698&lt;=Resumen!$C$5),1,0)</f>
        <v>0</v>
      </c>
      <c r="P698" s="25" t="n">
        <f aca="false">IF(AND(B698&gt;Resumen!$C$5,B698&lt;=DATE(2027,7,31)),1,0)</f>
        <v>0</v>
      </c>
    </row>
    <row r="699" customFormat="false" ht="15" hidden="false" customHeight="false" outlineLevel="0" collapsed="false">
      <c r="A699" s="22" t="n">
        <v>187</v>
      </c>
      <c r="B699" s="23" t="n">
        <v>50099</v>
      </c>
      <c r="C699" s="28" t="n">
        <v>1370769230.76923</v>
      </c>
      <c r="D699" s="28" t="n">
        <v>17620096.1538461</v>
      </c>
      <c r="E699" s="28" t="n">
        <v>0</v>
      </c>
      <c r="F699" s="28" t="n">
        <v>17620096.1538461</v>
      </c>
      <c r="G699" s="28" t="n">
        <v>1370769230.76923</v>
      </c>
      <c r="H699" s="25" t="n">
        <f aca="false">J698</f>
        <v>1370769230.76923</v>
      </c>
      <c r="I699" s="25" t="n">
        <f aca="false">H699*N699</f>
        <v>17620096.1538461</v>
      </c>
      <c r="J699" s="25" t="n">
        <f aca="false">H699-E699</f>
        <v>1370769230.76923</v>
      </c>
      <c r="K699" s="25" t="n">
        <f aca="false">D699-I699</f>
        <v>0</v>
      </c>
      <c r="L699" s="25" t="n">
        <f aca="false">G699-J699</f>
        <v>0</v>
      </c>
      <c r="M699" s="25" t="n">
        <f aca="false">F699</f>
        <v>17620096.1538461</v>
      </c>
      <c r="N699" s="48" t="n">
        <v>0.0128541666666667</v>
      </c>
      <c r="O699" s="25" t="n">
        <f aca="false">IF(AND(B699&gt;=DATE(2026,1,1),B699&lt;=Resumen!$C$5),1,0)</f>
        <v>0</v>
      </c>
      <c r="P699" s="25" t="n">
        <f aca="false">IF(AND(B699&gt;Resumen!$C$5,B699&lt;=DATE(2027,7,31)),1,0)</f>
        <v>0</v>
      </c>
    </row>
    <row r="700" customFormat="false" ht="15" hidden="false" customHeight="false" outlineLevel="0" collapsed="false">
      <c r="A700" s="22" t="n">
        <v>188</v>
      </c>
      <c r="B700" s="23" t="n">
        <v>50127</v>
      </c>
      <c r="C700" s="28" t="n">
        <v>1370769230.76923</v>
      </c>
      <c r="D700" s="28" t="n">
        <v>17620096.1538461</v>
      </c>
      <c r="E700" s="28" t="n">
        <v>0</v>
      </c>
      <c r="F700" s="28" t="n">
        <v>17620096.1538461</v>
      </c>
      <c r="G700" s="28" t="n">
        <v>1370769230.76923</v>
      </c>
      <c r="H700" s="25" t="n">
        <f aca="false">J699</f>
        <v>1370769230.76923</v>
      </c>
      <c r="I700" s="25" t="n">
        <f aca="false">H700*N700</f>
        <v>17620096.1538461</v>
      </c>
      <c r="J700" s="25" t="n">
        <f aca="false">H700-E700</f>
        <v>1370769230.76923</v>
      </c>
      <c r="K700" s="25" t="n">
        <f aca="false">D700-I700</f>
        <v>0</v>
      </c>
      <c r="L700" s="25" t="n">
        <f aca="false">G700-J700</f>
        <v>0</v>
      </c>
      <c r="M700" s="25" t="n">
        <f aca="false">F700</f>
        <v>17620096.1538461</v>
      </c>
      <c r="N700" s="48" t="n">
        <v>0.0128541666666667</v>
      </c>
      <c r="O700" s="25" t="n">
        <f aca="false">IF(AND(B700&gt;=DATE(2026,1,1),B700&lt;=Resumen!$C$5),1,0)</f>
        <v>0</v>
      </c>
      <c r="P700" s="25" t="n">
        <f aca="false">IF(AND(B700&gt;Resumen!$C$5,B700&lt;=DATE(2027,7,31)),1,0)</f>
        <v>0</v>
      </c>
    </row>
    <row r="701" customFormat="false" ht="15" hidden="false" customHeight="false" outlineLevel="0" collapsed="false">
      <c r="A701" s="22" t="n">
        <v>189</v>
      </c>
      <c r="B701" s="23" t="n">
        <v>50158</v>
      </c>
      <c r="C701" s="28" t="n">
        <v>1370769230.76923</v>
      </c>
      <c r="D701" s="28" t="n">
        <v>17620096.1538461</v>
      </c>
      <c r="E701" s="28" t="n">
        <v>0</v>
      </c>
      <c r="F701" s="28" t="n">
        <v>17620096.1538461</v>
      </c>
      <c r="G701" s="28" t="n">
        <v>1370769230.76923</v>
      </c>
      <c r="H701" s="25" t="n">
        <f aca="false">J700</f>
        <v>1370769230.76923</v>
      </c>
      <c r="I701" s="25" t="n">
        <f aca="false">H701*N701</f>
        <v>17620096.1538461</v>
      </c>
      <c r="J701" s="25" t="n">
        <f aca="false">H701-E701</f>
        <v>1370769230.76923</v>
      </c>
      <c r="K701" s="25" t="n">
        <f aca="false">D701-I701</f>
        <v>0</v>
      </c>
      <c r="L701" s="25" t="n">
        <f aca="false">G701-J701</f>
        <v>0</v>
      </c>
      <c r="M701" s="25" t="n">
        <f aca="false">F701</f>
        <v>17620096.1538461</v>
      </c>
      <c r="N701" s="48" t="n">
        <v>0.0128541666666667</v>
      </c>
      <c r="O701" s="25" t="n">
        <f aca="false">IF(AND(B701&gt;=DATE(2026,1,1),B701&lt;=Resumen!$C$5),1,0)</f>
        <v>0</v>
      </c>
      <c r="P701" s="25" t="n">
        <f aca="false">IF(AND(B701&gt;Resumen!$C$5,B701&lt;=DATE(2027,7,31)),1,0)</f>
        <v>0</v>
      </c>
    </row>
    <row r="702" customFormat="false" ht="15" hidden="false" customHeight="false" outlineLevel="0" collapsed="false">
      <c r="A702" s="22" t="n">
        <v>190</v>
      </c>
      <c r="B702" s="23" t="n">
        <v>50188</v>
      </c>
      <c r="C702" s="28" t="n">
        <v>1370769230.76923</v>
      </c>
      <c r="D702" s="28" t="n">
        <v>17620096.1538461</v>
      </c>
      <c r="E702" s="28" t="n">
        <v>0</v>
      </c>
      <c r="F702" s="28" t="n">
        <v>17620096.1538461</v>
      </c>
      <c r="G702" s="28" t="n">
        <v>1370769230.76923</v>
      </c>
      <c r="H702" s="25" t="n">
        <f aca="false">J701</f>
        <v>1370769230.76923</v>
      </c>
      <c r="I702" s="25" t="n">
        <f aca="false">H702*N702</f>
        <v>17620096.1538461</v>
      </c>
      <c r="J702" s="25" t="n">
        <f aca="false">H702-E702</f>
        <v>1370769230.76923</v>
      </c>
      <c r="K702" s="25" t="n">
        <f aca="false">D702-I702</f>
        <v>0</v>
      </c>
      <c r="L702" s="25" t="n">
        <f aca="false">G702-J702</f>
        <v>0</v>
      </c>
      <c r="M702" s="25" t="n">
        <f aca="false">F702</f>
        <v>17620096.1538461</v>
      </c>
      <c r="N702" s="48" t="n">
        <v>0.0128541666666667</v>
      </c>
      <c r="O702" s="25" t="n">
        <f aca="false">IF(AND(B702&gt;=DATE(2026,1,1),B702&lt;=Resumen!$C$5),1,0)</f>
        <v>0</v>
      </c>
      <c r="P702" s="25" t="n">
        <f aca="false">IF(AND(B702&gt;Resumen!$C$5,B702&lt;=DATE(2027,7,31)),1,0)</f>
        <v>0</v>
      </c>
    </row>
    <row r="703" customFormat="false" ht="15" hidden="false" customHeight="false" outlineLevel="0" collapsed="false">
      <c r="A703" s="22" t="n">
        <v>191</v>
      </c>
      <c r="B703" s="23" t="n">
        <v>50219</v>
      </c>
      <c r="C703" s="28" t="n">
        <v>1370769230.76923</v>
      </c>
      <c r="D703" s="28" t="n">
        <v>17620096.1538461</v>
      </c>
      <c r="E703" s="28" t="n">
        <v>0</v>
      </c>
      <c r="F703" s="28" t="n">
        <v>17620096.1538461</v>
      </c>
      <c r="G703" s="28" t="n">
        <v>1370769230.76923</v>
      </c>
      <c r="H703" s="25" t="n">
        <f aca="false">J702</f>
        <v>1370769230.76923</v>
      </c>
      <c r="I703" s="25" t="n">
        <f aca="false">H703*N703</f>
        <v>17620096.1538461</v>
      </c>
      <c r="J703" s="25" t="n">
        <f aca="false">H703-E703</f>
        <v>1370769230.76923</v>
      </c>
      <c r="K703" s="25" t="n">
        <f aca="false">D703-I703</f>
        <v>0</v>
      </c>
      <c r="L703" s="25" t="n">
        <f aca="false">G703-J703</f>
        <v>0</v>
      </c>
      <c r="M703" s="25" t="n">
        <f aca="false">F703</f>
        <v>17620096.1538461</v>
      </c>
      <c r="N703" s="48" t="n">
        <v>0.0128541666666667</v>
      </c>
      <c r="O703" s="25" t="n">
        <f aca="false">IF(AND(B703&gt;=DATE(2026,1,1),B703&lt;=Resumen!$C$5),1,0)</f>
        <v>0</v>
      </c>
      <c r="P703" s="25" t="n">
        <f aca="false">IF(AND(B703&gt;Resumen!$C$5,B703&lt;=DATE(2027,7,31)),1,0)</f>
        <v>0</v>
      </c>
    </row>
    <row r="704" customFormat="false" ht="15" hidden="false" customHeight="false" outlineLevel="0" collapsed="false">
      <c r="A704" s="22" t="n">
        <v>192</v>
      </c>
      <c r="B704" s="23" t="n">
        <v>50249</v>
      </c>
      <c r="C704" s="28" t="n">
        <v>1370769230.76923</v>
      </c>
      <c r="D704" s="28" t="n">
        <v>17620096.1538461</v>
      </c>
      <c r="E704" s="28" t="n">
        <v>152307692.307692</v>
      </c>
      <c r="F704" s="28" t="n">
        <v>169927788.461538</v>
      </c>
      <c r="G704" s="28" t="n">
        <v>1218461538.46154</v>
      </c>
      <c r="H704" s="25" t="n">
        <f aca="false">J703</f>
        <v>1370769230.76923</v>
      </c>
      <c r="I704" s="25" t="n">
        <f aca="false">H704*N704</f>
        <v>17620096.1538461</v>
      </c>
      <c r="J704" s="25" t="n">
        <f aca="false">H704-E704</f>
        <v>1218461538.46154</v>
      </c>
      <c r="K704" s="25" t="n">
        <f aca="false">D704-I704</f>
        <v>0</v>
      </c>
      <c r="L704" s="25" t="n">
        <f aca="false">G704-J704</f>
        <v>0</v>
      </c>
      <c r="M704" s="25" t="n">
        <f aca="false">F704</f>
        <v>169927788.461538</v>
      </c>
      <c r="N704" s="48" t="n">
        <v>0.0128541666666667</v>
      </c>
      <c r="O704" s="25" t="n">
        <f aca="false">IF(AND(B704&gt;=DATE(2026,1,1),B704&lt;=Resumen!$C$5),1,0)</f>
        <v>0</v>
      </c>
      <c r="P704" s="25" t="n">
        <f aca="false">IF(AND(B704&gt;Resumen!$C$5,B704&lt;=DATE(2027,7,31)),1,0)</f>
        <v>0</v>
      </c>
    </row>
    <row r="705" customFormat="false" ht="15" hidden="false" customHeight="false" outlineLevel="0" collapsed="false">
      <c r="A705" s="22" t="n">
        <v>193</v>
      </c>
      <c r="B705" s="23" t="n">
        <v>50280</v>
      </c>
      <c r="C705" s="28" t="n">
        <v>1218461538.46154</v>
      </c>
      <c r="D705" s="28" t="n">
        <v>15662307.6923077</v>
      </c>
      <c r="E705" s="28" t="n">
        <v>0</v>
      </c>
      <c r="F705" s="28" t="n">
        <v>15662307.6923077</v>
      </c>
      <c r="G705" s="28" t="n">
        <v>1218461538.46154</v>
      </c>
      <c r="H705" s="25" t="n">
        <f aca="false">J704</f>
        <v>1218461538.46154</v>
      </c>
      <c r="I705" s="25" t="n">
        <f aca="false">H705*N705</f>
        <v>15662307.6923077</v>
      </c>
      <c r="J705" s="25" t="n">
        <f aca="false">H705-E705</f>
        <v>1218461538.46154</v>
      </c>
      <c r="K705" s="25" t="n">
        <f aca="false">D705-I705</f>
        <v>0</v>
      </c>
      <c r="L705" s="25" t="n">
        <f aca="false">G705-J705</f>
        <v>0</v>
      </c>
      <c r="M705" s="25" t="n">
        <f aca="false">F705</f>
        <v>15662307.6923077</v>
      </c>
      <c r="N705" s="48" t="n">
        <v>0.0128541666666667</v>
      </c>
      <c r="O705" s="25" t="n">
        <f aca="false">IF(AND(B705&gt;=DATE(2026,1,1),B705&lt;=Resumen!$C$5),1,0)</f>
        <v>0</v>
      </c>
      <c r="P705" s="25" t="n">
        <f aca="false">IF(AND(B705&gt;Resumen!$C$5,B705&lt;=DATE(2027,7,31)),1,0)</f>
        <v>0</v>
      </c>
    </row>
    <row r="706" customFormat="false" ht="15" hidden="false" customHeight="false" outlineLevel="0" collapsed="false">
      <c r="A706" s="22" t="n">
        <v>194</v>
      </c>
      <c r="B706" s="23" t="n">
        <v>50311</v>
      </c>
      <c r="C706" s="28" t="n">
        <v>1218461538.46154</v>
      </c>
      <c r="D706" s="28" t="n">
        <v>15662307.6923077</v>
      </c>
      <c r="E706" s="28" t="n">
        <v>0</v>
      </c>
      <c r="F706" s="28" t="n">
        <v>15662307.6923077</v>
      </c>
      <c r="G706" s="28" t="n">
        <v>1218461538.46154</v>
      </c>
      <c r="H706" s="25" t="n">
        <f aca="false">J705</f>
        <v>1218461538.46154</v>
      </c>
      <c r="I706" s="25" t="n">
        <f aca="false">H706*N706</f>
        <v>15662307.6923077</v>
      </c>
      <c r="J706" s="25" t="n">
        <f aca="false">H706-E706</f>
        <v>1218461538.46154</v>
      </c>
      <c r="K706" s="25" t="n">
        <f aca="false">D706-I706</f>
        <v>0</v>
      </c>
      <c r="L706" s="25" t="n">
        <f aca="false">G706-J706</f>
        <v>0</v>
      </c>
      <c r="M706" s="25" t="n">
        <f aca="false">F706</f>
        <v>15662307.6923077</v>
      </c>
      <c r="N706" s="48" t="n">
        <v>0.0128541666666667</v>
      </c>
      <c r="O706" s="25" t="n">
        <f aca="false">IF(AND(B706&gt;=DATE(2026,1,1),B706&lt;=Resumen!$C$5),1,0)</f>
        <v>0</v>
      </c>
      <c r="P706" s="25" t="n">
        <f aca="false">IF(AND(B706&gt;Resumen!$C$5,B706&lt;=DATE(2027,7,31)),1,0)</f>
        <v>0</v>
      </c>
    </row>
    <row r="707" customFormat="false" ht="15" hidden="false" customHeight="false" outlineLevel="0" collapsed="false">
      <c r="A707" s="22" t="n">
        <v>195</v>
      </c>
      <c r="B707" s="23" t="n">
        <v>50341</v>
      </c>
      <c r="C707" s="28" t="n">
        <v>1218461538.46154</v>
      </c>
      <c r="D707" s="28" t="n">
        <v>15662307.6923077</v>
      </c>
      <c r="E707" s="28" t="n">
        <v>0</v>
      </c>
      <c r="F707" s="28" t="n">
        <v>15662307.6923077</v>
      </c>
      <c r="G707" s="28" t="n">
        <v>1218461538.46154</v>
      </c>
      <c r="H707" s="25" t="n">
        <f aca="false">J706</f>
        <v>1218461538.46154</v>
      </c>
      <c r="I707" s="25" t="n">
        <f aca="false">H707*N707</f>
        <v>15662307.6923077</v>
      </c>
      <c r="J707" s="25" t="n">
        <f aca="false">H707-E707</f>
        <v>1218461538.46154</v>
      </c>
      <c r="K707" s="25" t="n">
        <f aca="false">D707-I707</f>
        <v>0</v>
      </c>
      <c r="L707" s="25" t="n">
        <f aca="false">G707-J707</f>
        <v>0</v>
      </c>
      <c r="M707" s="25" t="n">
        <f aca="false">F707</f>
        <v>15662307.6923077</v>
      </c>
      <c r="N707" s="48" t="n">
        <v>0.0128541666666667</v>
      </c>
      <c r="O707" s="25" t="n">
        <f aca="false">IF(AND(B707&gt;=DATE(2026,1,1),B707&lt;=Resumen!$C$5),1,0)</f>
        <v>0</v>
      </c>
      <c r="P707" s="25" t="n">
        <f aca="false">IF(AND(B707&gt;Resumen!$C$5,B707&lt;=DATE(2027,7,31)),1,0)</f>
        <v>0</v>
      </c>
    </row>
    <row r="708" customFormat="false" ht="15" hidden="false" customHeight="false" outlineLevel="0" collapsed="false">
      <c r="A708" s="22" t="n">
        <v>196</v>
      </c>
      <c r="B708" s="23" t="n">
        <v>50372</v>
      </c>
      <c r="C708" s="28" t="n">
        <v>1218461538.46154</v>
      </c>
      <c r="D708" s="28" t="n">
        <v>15662307.6923077</v>
      </c>
      <c r="E708" s="28" t="n">
        <v>0</v>
      </c>
      <c r="F708" s="28" t="n">
        <v>15662307.6923077</v>
      </c>
      <c r="G708" s="28" t="n">
        <v>1218461538.46154</v>
      </c>
      <c r="H708" s="25" t="n">
        <f aca="false">J707</f>
        <v>1218461538.46154</v>
      </c>
      <c r="I708" s="25" t="n">
        <f aca="false">H708*N708</f>
        <v>15662307.6923077</v>
      </c>
      <c r="J708" s="25" t="n">
        <f aca="false">H708-E708</f>
        <v>1218461538.46154</v>
      </c>
      <c r="K708" s="25" t="n">
        <f aca="false">D708-I708</f>
        <v>0</v>
      </c>
      <c r="L708" s="25" t="n">
        <f aca="false">G708-J708</f>
        <v>0</v>
      </c>
      <c r="M708" s="25" t="n">
        <f aca="false">F708</f>
        <v>15662307.6923077</v>
      </c>
      <c r="N708" s="48" t="n">
        <v>0.0128541666666667</v>
      </c>
      <c r="O708" s="25" t="n">
        <f aca="false">IF(AND(B708&gt;=DATE(2026,1,1),B708&lt;=Resumen!$C$5),1,0)</f>
        <v>0</v>
      </c>
      <c r="P708" s="25" t="n">
        <f aca="false">IF(AND(B708&gt;Resumen!$C$5,B708&lt;=DATE(2027,7,31)),1,0)</f>
        <v>0</v>
      </c>
    </row>
    <row r="709" customFormat="false" ht="15" hidden="false" customHeight="false" outlineLevel="0" collapsed="false">
      <c r="A709" s="22" t="n">
        <v>197</v>
      </c>
      <c r="B709" s="23" t="n">
        <v>50402</v>
      </c>
      <c r="C709" s="28" t="n">
        <v>1218461538.46154</v>
      </c>
      <c r="D709" s="28" t="n">
        <v>15662307.6923077</v>
      </c>
      <c r="E709" s="28" t="n">
        <v>0</v>
      </c>
      <c r="F709" s="28" t="n">
        <v>15662307.6923077</v>
      </c>
      <c r="G709" s="28" t="n">
        <v>1218461538.46154</v>
      </c>
      <c r="H709" s="25" t="n">
        <f aca="false">J708</f>
        <v>1218461538.46154</v>
      </c>
      <c r="I709" s="25" t="n">
        <f aca="false">H709*N709</f>
        <v>15662307.6923077</v>
      </c>
      <c r="J709" s="25" t="n">
        <f aca="false">H709-E709</f>
        <v>1218461538.46154</v>
      </c>
      <c r="K709" s="25" t="n">
        <f aca="false">D709-I709</f>
        <v>0</v>
      </c>
      <c r="L709" s="25" t="n">
        <f aca="false">G709-J709</f>
        <v>0</v>
      </c>
      <c r="M709" s="25" t="n">
        <f aca="false">F709</f>
        <v>15662307.6923077</v>
      </c>
      <c r="N709" s="48" t="n">
        <v>0.0128541666666667</v>
      </c>
      <c r="O709" s="25" t="n">
        <f aca="false">IF(AND(B709&gt;=DATE(2026,1,1),B709&lt;=Resumen!$C$5),1,0)</f>
        <v>0</v>
      </c>
      <c r="P709" s="25" t="n">
        <f aca="false">IF(AND(B709&gt;Resumen!$C$5,B709&lt;=DATE(2027,7,31)),1,0)</f>
        <v>0</v>
      </c>
    </row>
    <row r="710" customFormat="false" ht="15" hidden="false" customHeight="false" outlineLevel="0" collapsed="false">
      <c r="A710" s="22" t="n">
        <v>198</v>
      </c>
      <c r="B710" s="23" t="n">
        <v>50433</v>
      </c>
      <c r="C710" s="28" t="n">
        <v>1218461538.46154</v>
      </c>
      <c r="D710" s="28" t="n">
        <v>15662307.6923077</v>
      </c>
      <c r="E710" s="28" t="n">
        <v>152307692.307692</v>
      </c>
      <c r="F710" s="28" t="n">
        <v>167970000</v>
      </c>
      <c r="G710" s="28" t="n">
        <v>1066153846.15384</v>
      </c>
      <c r="H710" s="25" t="n">
        <f aca="false">J709</f>
        <v>1218461538.46154</v>
      </c>
      <c r="I710" s="25" t="n">
        <f aca="false">H710*N710</f>
        <v>15662307.6923077</v>
      </c>
      <c r="J710" s="25" t="n">
        <f aca="false">H710-E710</f>
        <v>1066153846.15384</v>
      </c>
      <c r="K710" s="25" t="n">
        <f aca="false">D710-I710</f>
        <v>0</v>
      </c>
      <c r="L710" s="25" t="n">
        <f aca="false">G710-J710</f>
        <v>0</v>
      </c>
      <c r="M710" s="25" t="n">
        <f aca="false">F710</f>
        <v>167970000</v>
      </c>
      <c r="N710" s="48" t="n">
        <v>0.0128541666666667</v>
      </c>
      <c r="O710" s="25" t="n">
        <f aca="false">IF(AND(B710&gt;=DATE(2026,1,1),B710&lt;=Resumen!$C$5),1,0)</f>
        <v>0</v>
      </c>
      <c r="P710" s="25" t="n">
        <f aca="false">IF(AND(B710&gt;Resumen!$C$5,B710&lt;=DATE(2027,7,31)),1,0)</f>
        <v>0</v>
      </c>
    </row>
    <row r="711" customFormat="false" ht="15" hidden="false" customHeight="false" outlineLevel="0" collapsed="false">
      <c r="A711" s="22" t="n">
        <v>199</v>
      </c>
      <c r="B711" s="23" t="n">
        <v>50464</v>
      </c>
      <c r="C711" s="28" t="n">
        <v>1066153846.15384</v>
      </c>
      <c r="D711" s="28" t="n">
        <v>13704519.2307692</v>
      </c>
      <c r="E711" s="28" t="n">
        <v>0</v>
      </c>
      <c r="F711" s="28" t="n">
        <v>13704519.2307692</v>
      </c>
      <c r="G711" s="28" t="n">
        <v>1066153846.15384</v>
      </c>
      <c r="H711" s="25" t="n">
        <f aca="false">J710</f>
        <v>1066153846.15384</v>
      </c>
      <c r="I711" s="25" t="n">
        <f aca="false">H711*N711</f>
        <v>13704519.2307692</v>
      </c>
      <c r="J711" s="25" t="n">
        <f aca="false">H711-E711</f>
        <v>1066153846.15384</v>
      </c>
      <c r="K711" s="25" t="n">
        <f aca="false">D711-I711</f>
        <v>0</v>
      </c>
      <c r="L711" s="25" t="n">
        <f aca="false">G711-J711</f>
        <v>0</v>
      </c>
      <c r="M711" s="25" t="n">
        <f aca="false">F711</f>
        <v>13704519.2307692</v>
      </c>
      <c r="N711" s="48" t="n">
        <v>0.0128541666666667</v>
      </c>
      <c r="O711" s="25" t="n">
        <f aca="false">IF(AND(B711&gt;=DATE(2026,1,1),B711&lt;=Resumen!$C$5),1,0)</f>
        <v>0</v>
      </c>
      <c r="P711" s="25" t="n">
        <f aca="false">IF(AND(B711&gt;Resumen!$C$5,B711&lt;=DATE(2027,7,31)),1,0)</f>
        <v>0</v>
      </c>
    </row>
    <row r="712" customFormat="false" ht="15" hidden="false" customHeight="false" outlineLevel="0" collapsed="false">
      <c r="A712" s="22" t="n">
        <v>200</v>
      </c>
      <c r="B712" s="23" t="n">
        <v>50492</v>
      </c>
      <c r="C712" s="28" t="n">
        <v>1066153846.15384</v>
      </c>
      <c r="D712" s="28" t="n">
        <v>13704519.2307692</v>
      </c>
      <c r="E712" s="28" t="n">
        <v>0</v>
      </c>
      <c r="F712" s="28" t="n">
        <v>13704519.2307692</v>
      </c>
      <c r="G712" s="28" t="n">
        <v>1066153846.15384</v>
      </c>
      <c r="H712" s="25" t="n">
        <f aca="false">J711</f>
        <v>1066153846.15384</v>
      </c>
      <c r="I712" s="25" t="n">
        <f aca="false">H712*N712</f>
        <v>13704519.2307692</v>
      </c>
      <c r="J712" s="25" t="n">
        <f aca="false">H712-E712</f>
        <v>1066153846.15384</v>
      </c>
      <c r="K712" s="25" t="n">
        <f aca="false">D712-I712</f>
        <v>0</v>
      </c>
      <c r="L712" s="25" t="n">
        <f aca="false">G712-J712</f>
        <v>0</v>
      </c>
      <c r="M712" s="25" t="n">
        <f aca="false">F712</f>
        <v>13704519.2307692</v>
      </c>
      <c r="N712" s="48" t="n">
        <v>0.0128541666666667</v>
      </c>
      <c r="O712" s="25" t="n">
        <f aca="false">IF(AND(B712&gt;=DATE(2026,1,1),B712&lt;=Resumen!$C$5),1,0)</f>
        <v>0</v>
      </c>
      <c r="P712" s="25" t="n">
        <f aca="false">IF(AND(B712&gt;Resumen!$C$5,B712&lt;=DATE(2027,7,31)),1,0)</f>
        <v>0</v>
      </c>
    </row>
    <row r="713" customFormat="false" ht="15" hidden="false" customHeight="false" outlineLevel="0" collapsed="false">
      <c r="A713" s="22" t="n">
        <v>201</v>
      </c>
      <c r="B713" s="23" t="n">
        <v>50523</v>
      </c>
      <c r="C713" s="28" t="n">
        <v>1066153846.15384</v>
      </c>
      <c r="D713" s="28" t="n">
        <v>13704519.2307692</v>
      </c>
      <c r="E713" s="28" t="n">
        <v>0</v>
      </c>
      <c r="F713" s="28" t="n">
        <v>13704519.2307692</v>
      </c>
      <c r="G713" s="28" t="n">
        <v>1066153846.15384</v>
      </c>
      <c r="H713" s="25" t="n">
        <f aca="false">J712</f>
        <v>1066153846.15384</v>
      </c>
      <c r="I713" s="25" t="n">
        <f aca="false">H713*N713</f>
        <v>13704519.2307692</v>
      </c>
      <c r="J713" s="25" t="n">
        <f aca="false">H713-E713</f>
        <v>1066153846.15384</v>
      </c>
      <c r="K713" s="25" t="n">
        <f aca="false">D713-I713</f>
        <v>0</v>
      </c>
      <c r="L713" s="25" t="n">
        <f aca="false">G713-J713</f>
        <v>0</v>
      </c>
      <c r="M713" s="25" t="n">
        <f aca="false">F713</f>
        <v>13704519.2307692</v>
      </c>
      <c r="N713" s="48" t="n">
        <v>0.0128541666666667</v>
      </c>
      <c r="O713" s="25" t="n">
        <f aca="false">IF(AND(B713&gt;=DATE(2026,1,1),B713&lt;=Resumen!$C$5),1,0)</f>
        <v>0</v>
      </c>
      <c r="P713" s="25" t="n">
        <f aca="false">IF(AND(B713&gt;Resumen!$C$5,B713&lt;=DATE(2027,7,31)),1,0)</f>
        <v>0</v>
      </c>
    </row>
    <row r="714" customFormat="false" ht="15" hidden="false" customHeight="false" outlineLevel="0" collapsed="false">
      <c r="A714" s="22" t="n">
        <v>202</v>
      </c>
      <c r="B714" s="23" t="n">
        <v>50553</v>
      </c>
      <c r="C714" s="28" t="n">
        <v>1066153846.15384</v>
      </c>
      <c r="D714" s="28" t="n">
        <v>13704519.2307692</v>
      </c>
      <c r="E714" s="28" t="n">
        <v>0</v>
      </c>
      <c r="F714" s="28" t="n">
        <v>13704519.2307692</v>
      </c>
      <c r="G714" s="28" t="n">
        <v>1066153846.15384</v>
      </c>
      <c r="H714" s="25" t="n">
        <f aca="false">J713</f>
        <v>1066153846.15384</v>
      </c>
      <c r="I714" s="25" t="n">
        <f aca="false">H714*N714</f>
        <v>13704519.2307692</v>
      </c>
      <c r="J714" s="25" t="n">
        <f aca="false">H714-E714</f>
        <v>1066153846.15384</v>
      </c>
      <c r="K714" s="25" t="n">
        <f aca="false">D714-I714</f>
        <v>0</v>
      </c>
      <c r="L714" s="25" t="n">
        <f aca="false">G714-J714</f>
        <v>0</v>
      </c>
      <c r="M714" s="25" t="n">
        <f aca="false">F714</f>
        <v>13704519.2307692</v>
      </c>
      <c r="N714" s="48" t="n">
        <v>0.0128541666666667</v>
      </c>
      <c r="O714" s="25" t="n">
        <f aca="false">IF(AND(B714&gt;=DATE(2026,1,1),B714&lt;=Resumen!$C$5),1,0)</f>
        <v>0</v>
      </c>
      <c r="P714" s="25" t="n">
        <f aca="false">IF(AND(B714&gt;Resumen!$C$5,B714&lt;=DATE(2027,7,31)),1,0)</f>
        <v>0</v>
      </c>
    </row>
    <row r="715" customFormat="false" ht="15" hidden="false" customHeight="false" outlineLevel="0" collapsed="false">
      <c r="A715" s="22" t="n">
        <v>203</v>
      </c>
      <c r="B715" s="23" t="n">
        <v>50584</v>
      </c>
      <c r="C715" s="28" t="n">
        <v>1066153846.15384</v>
      </c>
      <c r="D715" s="28" t="n">
        <v>13704519.2307692</v>
      </c>
      <c r="E715" s="28" t="n">
        <v>0</v>
      </c>
      <c r="F715" s="28" t="n">
        <v>13704519.2307692</v>
      </c>
      <c r="G715" s="28" t="n">
        <v>1066153846.15384</v>
      </c>
      <c r="H715" s="25" t="n">
        <f aca="false">J714</f>
        <v>1066153846.15384</v>
      </c>
      <c r="I715" s="25" t="n">
        <f aca="false">H715*N715</f>
        <v>13704519.2307692</v>
      </c>
      <c r="J715" s="25" t="n">
        <f aca="false">H715-E715</f>
        <v>1066153846.15384</v>
      </c>
      <c r="K715" s="25" t="n">
        <f aca="false">D715-I715</f>
        <v>0</v>
      </c>
      <c r="L715" s="25" t="n">
        <f aca="false">G715-J715</f>
        <v>0</v>
      </c>
      <c r="M715" s="25" t="n">
        <f aca="false">F715</f>
        <v>13704519.2307692</v>
      </c>
      <c r="N715" s="48" t="n">
        <v>0.0128541666666667</v>
      </c>
      <c r="O715" s="25" t="n">
        <f aca="false">IF(AND(B715&gt;=DATE(2026,1,1),B715&lt;=Resumen!$C$5),1,0)</f>
        <v>0</v>
      </c>
      <c r="P715" s="25" t="n">
        <f aca="false">IF(AND(B715&gt;Resumen!$C$5,B715&lt;=DATE(2027,7,31)),1,0)</f>
        <v>0</v>
      </c>
    </row>
    <row r="716" customFormat="false" ht="15" hidden="false" customHeight="false" outlineLevel="0" collapsed="false">
      <c r="A716" s="22" t="n">
        <v>204</v>
      </c>
      <c r="B716" s="23" t="n">
        <v>50614</v>
      </c>
      <c r="C716" s="28" t="n">
        <v>1066153846.15384</v>
      </c>
      <c r="D716" s="28" t="n">
        <v>13704519.2307692</v>
      </c>
      <c r="E716" s="28" t="n">
        <v>152307692.307692</v>
      </c>
      <c r="F716" s="28" t="n">
        <v>166012211.538462</v>
      </c>
      <c r="G716" s="28" t="n">
        <v>913846153.846152</v>
      </c>
      <c r="H716" s="25" t="n">
        <f aca="false">J715</f>
        <v>1066153846.15384</v>
      </c>
      <c r="I716" s="25" t="n">
        <f aca="false">H716*N716</f>
        <v>13704519.2307692</v>
      </c>
      <c r="J716" s="25" t="n">
        <f aca="false">H716-E716</f>
        <v>913846153.846152</v>
      </c>
      <c r="K716" s="25" t="n">
        <f aca="false">D716-I716</f>
        <v>0</v>
      </c>
      <c r="L716" s="25" t="n">
        <f aca="false">G716-J716</f>
        <v>0</v>
      </c>
      <c r="M716" s="25" t="n">
        <f aca="false">F716</f>
        <v>166012211.538462</v>
      </c>
      <c r="N716" s="48" t="n">
        <v>0.0128541666666667</v>
      </c>
      <c r="O716" s="25" t="n">
        <f aca="false">IF(AND(B716&gt;=DATE(2026,1,1),B716&lt;=Resumen!$C$5),1,0)</f>
        <v>0</v>
      </c>
      <c r="P716" s="25" t="n">
        <f aca="false">IF(AND(B716&gt;Resumen!$C$5,B716&lt;=DATE(2027,7,31)),1,0)</f>
        <v>0</v>
      </c>
    </row>
    <row r="717" customFormat="false" ht="15" hidden="false" customHeight="false" outlineLevel="0" collapsed="false">
      <c r="A717" s="22" t="n">
        <v>205</v>
      </c>
      <c r="B717" s="23" t="n">
        <v>50645</v>
      </c>
      <c r="C717" s="28" t="n">
        <v>913846153.846152</v>
      </c>
      <c r="D717" s="28" t="n">
        <v>11746730.7692307</v>
      </c>
      <c r="E717" s="28" t="n">
        <v>0</v>
      </c>
      <c r="F717" s="28" t="n">
        <v>11746730.7692307</v>
      </c>
      <c r="G717" s="28" t="n">
        <v>913846153.846152</v>
      </c>
      <c r="H717" s="25" t="n">
        <f aca="false">J716</f>
        <v>913846153.846152</v>
      </c>
      <c r="I717" s="25" t="n">
        <f aca="false">H717*N717</f>
        <v>11746730.7692307</v>
      </c>
      <c r="J717" s="25" t="n">
        <f aca="false">H717-E717</f>
        <v>913846153.846152</v>
      </c>
      <c r="K717" s="25" t="n">
        <f aca="false">D717-I717</f>
        <v>0</v>
      </c>
      <c r="L717" s="25" t="n">
        <f aca="false">G717-J717</f>
        <v>0</v>
      </c>
      <c r="M717" s="25" t="n">
        <f aca="false">F717</f>
        <v>11746730.7692307</v>
      </c>
      <c r="N717" s="48" t="n">
        <v>0.0128541666666667</v>
      </c>
      <c r="O717" s="25" t="n">
        <f aca="false">IF(AND(B717&gt;=DATE(2026,1,1),B717&lt;=Resumen!$C$5),1,0)</f>
        <v>0</v>
      </c>
      <c r="P717" s="25" t="n">
        <f aca="false">IF(AND(B717&gt;Resumen!$C$5,B717&lt;=DATE(2027,7,31)),1,0)</f>
        <v>0</v>
      </c>
    </row>
    <row r="718" customFormat="false" ht="15" hidden="false" customHeight="false" outlineLevel="0" collapsed="false">
      <c r="A718" s="22" t="n">
        <v>206</v>
      </c>
      <c r="B718" s="23" t="n">
        <v>50676</v>
      </c>
      <c r="C718" s="28" t="n">
        <v>913846153.846152</v>
      </c>
      <c r="D718" s="28" t="n">
        <v>11746730.7692307</v>
      </c>
      <c r="E718" s="28" t="n">
        <v>0</v>
      </c>
      <c r="F718" s="28" t="n">
        <v>11746730.7692307</v>
      </c>
      <c r="G718" s="28" t="n">
        <v>913846153.846152</v>
      </c>
      <c r="H718" s="25" t="n">
        <f aca="false">J717</f>
        <v>913846153.846152</v>
      </c>
      <c r="I718" s="25" t="n">
        <f aca="false">H718*N718</f>
        <v>11746730.7692307</v>
      </c>
      <c r="J718" s="25" t="n">
        <f aca="false">H718-E718</f>
        <v>913846153.846152</v>
      </c>
      <c r="K718" s="25" t="n">
        <f aca="false">D718-I718</f>
        <v>0</v>
      </c>
      <c r="L718" s="25" t="n">
        <f aca="false">G718-J718</f>
        <v>0</v>
      </c>
      <c r="M718" s="25" t="n">
        <f aca="false">F718</f>
        <v>11746730.7692307</v>
      </c>
      <c r="N718" s="48" t="n">
        <v>0.0128541666666667</v>
      </c>
      <c r="O718" s="25" t="n">
        <f aca="false">IF(AND(B718&gt;=DATE(2026,1,1),B718&lt;=Resumen!$C$5),1,0)</f>
        <v>0</v>
      </c>
      <c r="P718" s="25" t="n">
        <f aca="false">IF(AND(B718&gt;Resumen!$C$5,B718&lt;=DATE(2027,7,31)),1,0)</f>
        <v>0</v>
      </c>
    </row>
    <row r="719" customFormat="false" ht="15" hidden="false" customHeight="false" outlineLevel="0" collapsed="false">
      <c r="A719" s="22" t="n">
        <v>207</v>
      </c>
      <c r="B719" s="23" t="n">
        <v>50706</v>
      </c>
      <c r="C719" s="28" t="n">
        <v>913846153.846152</v>
      </c>
      <c r="D719" s="28" t="n">
        <v>11746730.7692307</v>
      </c>
      <c r="E719" s="28" t="n">
        <v>0</v>
      </c>
      <c r="F719" s="28" t="n">
        <v>11746730.7692307</v>
      </c>
      <c r="G719" s="28" t="n">
        <v>913846153.846152</v>
      </c>
      <c r="H719" s="25" t="n">
        <f aca="false">J718</f>
        <v>913846153.846152</v>
      </c>
      <c r="I719" s="25" t="n">
        <f aca="false">H719*N719</f>
        <v>11746730.7692307</v>
      </c>
      <c r="J719" s="25" t="n">
        <f aca="false">H719-E719</f>
        <v>913846153.846152</v>
      </c>
      <c r="K719" s="25" t="n">
        <f aca="false">D719-I719</f>
        <v>0</v>
      </c>
      <c r="L719" s="25" t="n">
        <f aca="false">G719-J719</f>
        <v>0</v>
      </c>
      <c r="M719" s="25" t="n">
        <f aca="false">F719</f>
        <v>11746730.7692307</v>
      </c>
      <c r="N719" s="48" t="n">
        <v>0.0128541666666667</v>
      </c>
      <c r="O719" s="25" t="n">
        <f aca="false">IF(AND(B719&gt;=DATE(2026,1,1),B719&lt;=Resumen!$C$5),1,0)</f>
        <v>0</v>
      </c>
      <c r="P719" s="25" t="n">
        <f aca="false">IF(AND(B719&gt;Resumen!$C$5,B719&lt;=DATE(2027,7,31)),1,0)</f>
        <v>0</v>
      </c>
    </row>
    <row r="720" customFormat="false" ht="15" hidden="false" customHeight="false" outlineLevel="0" collapsed="false">
      <c r="A720" s="22" t="n">
        <v>208</v>
      </c>
      <c r="B720" s="23" t="n">
        <v>50737</v>
      </c>
      <c r="C720" s="28" t="n">
        <v>913846153.846152</v>
      </c>
      <c r="D720" s="28" t="n">
        <v>11746730.7692307</v>
      </c>
      <c r="E720" s="28" t="n">
        <v>0</v>
      </c>
      <c r="F720" s="28" t="n">
        <v>11746730.7692307</v>
      </c>
      <c r="G720" s="28" t="n">
        <v>913846153.846152</v>
      </c>
      <c r="H720" s="25" t="n">
        <f aca="false">J719</f>
        <v>913846153.846152</v>
      </c>
      <c r="I720" s="25" t="n">
        <f aca="false">H720*N720</f>
        <v>11746730.7692307</v>
      </c>
      <c r="J720" s="25" t="n">
        <f aca="false">H720-E720</f>
        <v>913846153.846152</v>
      </c>
      <c r="K720" s="25" t="n">
        <f aca="false">D720-I720</f>
        <v>0</v>
      </c>
      <c r="L720" s="25" t="n">
        <f aca="false">G720-J720</f>
        <v>0</v>
      </c>
      <c r="M720" s="25" t="n">
        <f aca="false">F720</f>
        <v>11746730.7692307</v>
      </c>
      <c r="N720" s="48" t="n">
        <v>0.0128541666666667</v>
      </c>
      <c r="O720" s="25" t="n">
        <f aca="false">IF(AND(B720&gt;=DATE(2026,1,1),B720&lt;=Resumen!$C$5),1,0)</f>
        <v>0</v>
      </c>
      <c r="P720" s="25" t="n">
        <f aca="false">IF(AND(B720&gt;Resumen!$C$5,B720&lt;=DATE(2027,7,31)),1,0)</f>
        <v>0</v>
      </c>
    </row>
    <row r="721" customFormat="false" ht="15" hidden="false" customHeight="false" outlineLevel="0" collapsed="false">
      <c r="A721" s="22" t="n">
        <v>209</v>
      </c>
      <c r="B721" s="23" t="n">
        <v>50767</v>
      </c>
      <c r="C721" s="28" t="n">
        <v>913846153.846152</v>
      </c>
      <c r="D721" s="28" t="n">
        <v>11746730.7692307</v>
      </c>
      <c r="E721" s="28" t="n">
        <v>0</v>
      </c>
      <c r="F721" s="28" t="n">
        <v>11746730.7692307</v>
      </c>
      <c r="G721" s="28" t="n">
        <v>913846153.846152</v>
      </c>
      <c r="H721" s="25" t="n">
        <f aca="false">J720</f>
        <v>913846153.846152</v>
      </c>
      <c r="I721" s="25" t="n">
        <f aca="false">H721*N721</f>
        <v>11746730.7692307</v>
      </c>
      <c r="J721" s="25" t="n">
        <f aca="false">H721-E721</f>
        <v>913846153.846152</v>
      </c>
      <c r="K721" s="25" t="n">
        <f aca="false">D721-I721</f>
        <v>0</v>
      </c>
      <c r="L721" s="25" t="n">
        <f aca="false">G721-J721</f>
        <v>0</v>
      </c>
      <c r="M721" s="25" t="n">
        <f aca="false">F721</f>
        <v>11746730.7692307</v>
      </c>
      <c r="N721" s="48" t="n">
        <v>0.0128541666666667</v>
      </c>
      <c r="O721" s="25" t="n">
        <f aca="false">IF(AND(B721&gt;=DATE(2026,1,1),B721&lt;=Resumen!$C$5),1,0)</f>
        <v>0</v>
      </c>
      <c r="P721" s="25" t="n">
        <f aca="false">IF(AND(B721&gt;Resumen!$C$5,B721&lt;=DATE(2027,7,31)),1,0)</f>
        <v>0</v>
      </c>
    </row>
    <row r="722" customFormat="false" ht="15" hidden="false" customHeight="false" outlineLevel="0" collapsed="false">
      <c r="A722" s="22" t="n">
        <v>210</v>
      </c>
      <c r="B722" s="23" t="n">
        <v>50798</v>
      </c>
      <c r="C722" s="28" t="n">
        <v>913846153.846152</v>
      </c>
      <c r="D722" s="28" t="n">
        <v>11746730.7692307</v>
      </c>
      <c r="E722" s="28" t="n">
        <v>152307692.307692</v>
      </c>
      <c r="F722" s="28" t="n">
        <v>164054423.076923</v>
      </c>
      <c r="G722" s="28" t="n">
        <v>761538461.538459</v>
      </c>
      <c r="H722" s="25" t="n">
        <f aca="false">J721</f>
        <v>913846153.846152</v>
      </c>
      <c r="I722" s="25" t="n">
        <f aca="false">H722*N722</f>
        <v>11746730.7692307</v>
      </c>
      <c r="J722" s="25" t="n">
        <f aca="false">H722-E722</f>
        <v>761538461.538459</v>
      </c>
      <c r="K722" s="25" t="n">
        <f aca="false">D722-I722</f>
        <v>0</v>
      </c>
      <c r="L722" s="25" t="n">
        <f aca="false">G722-J722</f>
        <v>0</v>
      </c>
      <c r="M722" s="25" t="n">
        <f aca="false">F722</f>
        <v>164054423.076923</v>
      </c>
      <c r="N722" s="48" t="n">
        <v>0.0128541666666667</v>
      </c>
      <c r="O722" s="25" t="n">
        <f aca="false">IF(AND(B722&gt;=DATE(2026,1,1),B722&lt;=Resumen!$C$5),1,0)</f>
        <v>0</v>
      </c>
      <c r="P722" s="25" t="n">
        <f aca="false">IF(AND(B722&gt;Resumen!$C$5,B722&lt;=DATE(2027,7,31)),1,0)</f>
        <v>0</v>
      </c>
    </row>
    <row r="723" customFormat="false" ht="15" hidden="false" customHeight="false" outlineLevel="0" collapsed="false">
      <c r="A723" s="22" t="n">
        <v>211</v>
      </c>
      <c r="B723" s="23" t="n">
        <v>50829</v>
      </c>
      <c r="C723" s="28" t="n">
        <v>761538461.538459</v>
      </c>
      <c r="D723" s="28" t="n">
        <v>9788942.30769228</v>
      </c>
      <c r="E723" s="28" t="n">
        <v>0</v>
      </c>
      <c r="F723" s="28" t="n">
        <v>9788942.30769228</v>
      </c>
      <c r="G723" s="28" t="n">
        <v>761538461.538459</v>
      </c>
      <c r="H723" s="25" t="n">
        <f aca="false">J722</f>
        <v>761538461.538459</v>
      </c>
      <c r="I723" s="25" t="n">
        <f aca="false">H723*N723</f>
        <v>9788942.30769228</v>
      </c>
      <c r="J723" s="25" t="n">
        <f aca="false">H723-E723</f>
        <v>761538461.538459</v>
      </c>
      <c r="K723" s="25" t="n">
        <f aca="false">D723-I723</f>
        <v>0</v>
      </c>
      <c r="L723" s="25" t="n">
        <f aca="false">G723-J723</f>
        <v>0</v>
      </c>
      <c r="M723" s="25" t="n">
        <f aca="false">F723</f>
        <v>9788942.30769228</v>
      </c>
      <c r="N723" s="48" t="n">
        <v>0.0128541666666667</v>
      </c>
      <c r="O723" s="25" t="n">
        <f aca="false">IF(AND(B723&gt;=DATE(2026,1,1),B723&lt;=Resumen!$C$5),1,0)</f>
        <v>0</v>
      </c>
      <c r="P723" s="25" t="n">
        <f aca="false">IF(AND(B723&gt;Resumen!$C$5,B723&lt;=DATE(2027,7,31)),1,0)</f>
        <v>0</v>
      </c>
    </row>
    <row r="724" customFormat="false" ht="15" hidden="false" customHeight="false" outlineLevel="0" collapsed="false">
      <c r="A724" s="22" t="n">
        <v>212</v>
      </c>
      <c r="B724" s="23" t="n">
        <v>50857</v>
      </c>
      <c r="C724" s="28" t="n">
        <v>761538461.538459</v>
      </c>
      <c r="D724" s="28" t="n">
        <v>9788942.30769228</v>
      </c>
      <c r="E724" s="28" t="n">
        <v>0</v>
      </c>
      <c r="F724" s="28" t="n">
        <v>9788942.30769228</v>
      </c>
      <c r="G724" s="28" t="n">
        <v>761538461.538459</v>
      </c>
      <c r="H724" s="25" t="n">
        <f aca="false">J723</f>
        <v>761538461.538459</v>
      </c>
      <c r="I724" s="25" t="n">
        <f aca="false">H724*N724</f>
        <v>9788942.30769228</v>
      </c>
      <c r="J724" s="25" t="n">
        <f aca="false">H724-E724</f>
        <v>761538461.538459</v>
      </c>
      <c r="K724" s="25" t="n">
        <f aca="false">D724-I724</f>
        <v>0</v>
      </c>
      <c r="L724" s="25" t="n">
        <f aca="false">G724-J724</f>
        <v>0</v>
      </c>
      <c r="M724" s="25" t="n">
        <f aca="false">F724</f>
        <v>9788942.30769228</v>
      </c>
      <c r="N724" s="48" t="n">
        <v>0.0128541666666667</v>
      </c>
      <c r="O724" s="25" t="n">
        <f aca="false">IF(AND(B724&gt;=DATE(2026,1,1),B724&lt;=Resumen!$C$5),1,0)</f>
        <v>0</v>
      </c>
      <c r="P724" s="25" t="n">
        <f aca="false">IF(AND(B724&gt;Resumen!$C$5,B724&lt;=DATE(2027,7,31)),1,0)</f>
        <v>0</v>
      </c>
    </row>
    <row r="725" customFormat="false" ht="15" hidden="false" customHeight="false" outlineLevel="0" collapsed="false">
      <c r="A725" s="22" t="n">
        <v>213</v>
      </c>
      <c r="B725" s="23" t="n">
        <v>50888</v>
      </c>
      <c r="C725" s="28" t="n">
        <v>761538461.538459</v>
      </c>
      <c r="D725" s="28" t="n">
        <v>9788942.30769228</v>
      </c>
      <c r="E725" s="28" t="n">
        <v>0</v>
      </c>
      <c r="F725" s="28" t="n">
        <v>9788942.30769228</v>
      </c>
      <c r="G725" s="28" t="n">
        <v>761538461.538459</v>
      </c>
      <c r="H725" s="25" t="n">
        <f aca="false">J724</f>
        <v>761538461.538459</v>
      </c>
      <c r="I725" s="25" t="n">
        <f aca="false">H725*N725</f>
        <v>9788942.30769228</v>
      </c>
      <c r="J725" s="25" t="n">
        <f aca="false">H725-E725</f>
        <v>761538461.538459</v>
      </c>
      <c r="K725" s="25" t="n">
        <f aca="false">D725-I725</f>
        <v>0</v>
      </c>
      <c r="L725" s="25" t="n">
        <f aca="false">G725-J725</f>
        <v>0</v>
      </c>
      <c r="M725" s="25" t="n">
        <f aca="false">F725</f>
        <v>9788942.30769228</v>
      </c>
      <c r="N725" s="48" t="n">
        <v>0.0128541666666667</v>
      </c>
      <c r="O725" s="25" t="n">
        <f aca="false">IF(AND(B725&gt;=DATE(2026,1,1),B725&lt;=Resumen!$C$5),1,0)</f>
        <v>0</v>
      </c>
      <c r="P725" s="25" t="n">
        <f aca="false">IF(AND(B725&gt;Resumen!$C$5,B725&lt;=DATE(2027,7,31)),1,0)</f>
        <v>0</v>
      </c>
    </row>
    <row r="726" customFormat="false" ht="15" hidden="false" customHeight="false" outlineLevel="0" collapsed="false">
      <c r="A726" s="22" t="n">
        <v>214</v>
      </c>
      <c r="B726" s="23" t="n">
        <v>50918</v>
      </c>
      <c r="C726" s="28" t="n">
        <v>761538461.538459</v>
      </c>
      <c r="D726" s="28" t="n">
        <v>9788942.30769228</v>
      </c>
      <c r="E726" s="28" t="n">
        <v>0</v>
      </c>
      <c r="F726" s="28" t="n">
        <v>9788942.30769228</v>
      </c>
      <c r="G726" s="28" t="n">
        <v>761538461.538459</v>
      </c>
      <c r="H726" s="25" t="n">
        <f aca="false">J725</f>
        <v>761538461.538459</v>
      </c>
      <c r="I726" s="25" t="n">
        <f aca="false">H726*N726</f>
        <v>9788942.30769228</v>
      </c>
      <c r="J726" s="25" t="n">
        <f aca="false">H726-E726</f>
        <v>761538461.538459</v>
      </c>
      <c r="K726" s="25" t="n">
        <f aca="false">D726-I726</f>
        <v>0</v>
      </c>
      <c r="L726" s="25" t="n">
        <f aca="false">G726-J726</f>
        <v>0</v>
      </c>
      <c r="M726" s="25" t="n">
        <f aca="false">F726</f>
        <v>9788942.30769228</v>
      </c>
      <c r="N726" s="48" t="n">
        <v>0.0128541666666667</v>
      </c>
      <c r="O726" s="25" t="n">
        <f aca="false">IF(AND(B726&gt;=DATE(2026,1,1),B726&lt;=Resumen!$C$5),1,0)</f>
        <v>0</v>
      </c>
      <c r="P726" s="25" t="n">
        <f aca="false">IF(AND(B726&gt;Resumen!$C$5,B726&lt;=DATE(2027,7,31)),1,0)</f>
        <v>0</v>
      </c>
    </row>
    <row r="727" customFormat="false" ht="15" hidden="false" customHeight="false" outlineLevel="0" collapsed="false">
      <c r="A727" s="22" t="n">
        <v>215</v>
      </c>
      <c r="B727" s="23" t="n">
        <v>50949</v>
      </c>
      <c r="C727" s="28" t="n">
        <v>761538461.538459</v>
      </c>
      <c r="D727" s="28" t="n">
        <v>9788942.30769228</v>
      </c>
      <c r="E727" s="28" t="n">
        <v>0</v>
      </c>
      <c r="F727" s="28" t="n">
        <v>9788942.30769228</v>
      </c>
      <c r="G727" s="28" t="n">
        <v>761538461.538459</v>
      </c>
      <c r="H727" s="25" t="n">
        <f aca="false">J726</f>
        <v>761538461.538459</v>
      </c>
      <c r="I727" s="25" t="n">
        <f aca="false">H727*N727</f>
        <v>9788942.30769228</v>
      </c>
      <c r="J727" s="25" t="n">
        <f aca="false">H727-E727</f>
        <v>761538461.538459</v>
      </c>
      <c r="K727" s="25" t="n">
        <f aca="false">D727-I727</f>
        <v>0</v>
      </c>
      <c r="L727" s="25" t="n">
        <f aca="false">G727-J727</f>
        <v>0</v>
      </c>
      <c r="M727" s="25" t="n">
        <f aca="false">F727</f>
        <v>9788942.30769228</v>
      </c>
      <c r="N727" s="48" t="n">
        <v>0.0128541666666667</v>
      </c>
      <c r="O727" s="25" t="n">
        <f aca="false">IF(AND(B727&gt;=DATE(2026,1,1),B727&lt;=Resumen!$C$5),1,0)</f>
        <v>0</v>
      </c>
      <c r="P727" s="25" t="n">
        <f aca="false">IF(AND(B727&gt;Resumen!$C$5,B727&lt;=DATE(2027,7,31)),1,0)</f>
        <v>0</v>
      </c>
    </row>
    <row r="728" customFormat="false" ht="15" hidden="false" customHeight="false" outlineLevel="0" collapsed="false">
      <c r="A728" s="22" t="n">
        <v>216</v>
      </c>
      <c r="B728" s="23" t="n">
        <v>50979</v>
      </c>
      <c r="C728" s="28" t="n">
        <v>761538461.538459</v>
      </c>
      <c r="D728" s="28" t="n">
        <v>9788942.30769228</v>
      </c>
      <c r="E728" s="28" t="n">
        <v>152307692.307692</v>
      </c>
      <c r="F728" s="28" t="n">
        <v>162096634.615385</v>
      </c>
      <c r="G728" s="28" t="n">
        <v>609230769.230767</v>
      </c>
      <c r="H728" s="25" t="n">
        <f aca="false">J727</f>
        <v>761538461.538459</v>
      </c>
      <c r="I728" s="25" t="n">
        <f aca="false">H728*N728</f>
        <v>9788942.30769228</v>
      </c>
      <c r="J728" s="25" t="n">
        <f aca="false">H728-E728</f>
        <v>609230769.230767</v>
      </c>
      <c r="K728" s="25" t="n">
        <f aca="false">D728-I728</f>
        <v>0</v>
      </c>
      <c r="L728" s="25" t="n">
        <f aca="false">G728-J728</f>
        <v>0</v>
      </c>
      <c r="M728" s="25" t="n">
        <f aca="false">F728</f>
        <v>162096634.615385</v>
      </c>
      <c r="N728" s="48" t="n">
        <v>0.0128541666666667</v>
      </c>
      <c r="O728" s="25" t="n">
        <f aca="false">IF(AND(B728&gt;=DATE(2026,1,1),B728&lt;=Resumen!$C$5),1,0)</f>
        <v>0</v>
      </c>
      <c r="P728" s="25" t="n">
        <f aca="false">IF(AND(B728&gt;Resumen!$C$5,B728&lt;=DATE(2027,7,31)),1,0)</f>
        <v>0</v>
      </c>
    </row>
    <row r="729" customFormat="false" ht="15" hidden="false" customHeight="false" outlineLevel="0" collapsed="false">
      <c r="A729" s="22" t="n">
        <v>217</v>
      </c>
      <c r="B729" s="23" t="n">
        <v>51010</v>
      </c>
      <c r="C729" s="28" t="n">
        <v>609230769.230767</v>
      </c>
      <c r="D729" s="28" t="n">
        <v>7831153.84615382</v>
      </c>
      <c r="E729" s="28" t="n">
        <v>0</v>
      </c>
      <c r="F729" s="28" t="n">
        <v>7831153.84615382</v>
      </c>
      <c r="G729" s="28" t="n">
        <v>609230769.230767</v>
      </c>
      <c r="H729" s="25" t="n">
        <f aca="false">J728</f>
        <v>609230769.230767</v>
      </c>
      <c r="I729" s="25" t="n">
        <f aca="false">H729*N729</f>
        <v>7831153.84615382</v>
      </c>
      <c r="J729" s="25" t="n">
        <f aca="false">H729-E729</f>
        <v>609230769.230767</v>
      </c>
      <c r="K729" s="25" t="n">
        <f aca="false">D729-I729</f>
        <v>0</v>
      </c>
      <c r="L729" s="25" t="n">
        <f aca="false">G729-J729</f>
        <v>0</v>
      </c>
      <c r="M729" s="25" t="n">
        <f aca="false">F729</f>
        <v>7831153.84615382</v>
      </c>
      <c r="N729" s="48" t="n">
        <v>0.0128541666666667</v>
      </c>
      <c r="O729" s="25" t="n">
        <f aca="false">IF(AND(B729&gt;=DATE(2026,1,1),B729&lt;=Resumen!$C$5),1,0)</f>
        <v>0</v>
      </c>
      <c r="P729" s="25" t="n">
        <f aca="false">IF(AND(B729&gt;Resumen!$C$5,B729&lt;=DATE(2027,7,31)),1,0)</f>
        <v>0</v>
      </c>
    </row>
    <row r="730" customFormat="false" ht="15" hidden="false" customHeight="false" outlineLevel="0" collapsed="false">
      <c r="A730" s="22" t="n">
        <v>218</v>
      </c>
      <c r="B730" s="23" t="n">
        <v>51041</v>
      </c>
      <c r="C730" s="28" t="n">
        <v>609230769.230767</v>
      </c>
      <c r="D730" s="28" t="n">
        <v>7831153.84615382</v>
      </c>
      <c r="E730" s="28" t="n">
        <v>0</v>
      </c>
      <c r="F730" s="28" t="n">
        <v>7831153.84615382</v>
      </c>
      <c r="G730" s="28" t="n">
        <v>609230769.230767</v>
      </c>
      <c r="H730" s="25" t="n">
        <f aca="false">J729</f>
        <v>609230769.230767</v>
      </c>
      <c r="I730" s="25" t="n">
        <f aca="false">H730*N730</f>
        <v>7831153.84615382</v>
      </c>
      <c r="J730" s="25" t="n">
        <f aca="false">H730-E730</f>
        <v>609230769.230767</v>
      </c>
      <c r="K730" s="25" t="n">
        <f aca="false">D730-I730</f>
        <v>0</v>
      </c>
      <c r="L730" s="25" t="n">
        <f aca="false">G730-J730</f>
        <v>0</v>
      </c>
      <c r="M730" s="25" t="n">
        <f aca="false">F730</f>
        <v>7831153.84615382</v>
      </c>
      <c r="N730" s="48" t="n">
        <v>0.0128541666666667</v>
      </c>
      <c r="O730" s="25" t="n">
        <f aca="false">IF(AND(B730&gt;=DATE(2026,1,1),B730&lt;=Resumen!$C$5),1,0)</f>
        <v>0</v>
      </c>
      <c r="P730" s="25" t="n">
        <f aca="false">IF(AND(B730&gt;Resumen!$C$5,B730&lt;=DATE(2027,7,31)),1,0)</f>
        <v>0</v>
      </c>
    </row>
    <row r="731" customFormat="false" ht="15" hidden="false" customHeight="false" outlineLevel="0" collapsed="false">
      <c r="A731" s="22" t="n">
        <v>219</v>
      </c>
      <c r="B731" s="23" t="n">
        <v>51071</v>
      </c>
      <c r="C731" s="28" t="n">
        <v>609230769.230767</v>
      </c>
      <c r="D731" s="28" t="n">
        <v>7831153.84615382</v>
      </c>
      <c r="E731" s="28" t="n">
        <v>0</v>
      </c>
      <c r="F731" s="28" t="n">
        <v>7831153.84615382</v>
      </c>
      <c r="G731" s="28" t="n">
        <v>609230769.230767</v>
      </c>
      <c r="H731" s="25" t="n">
        <f aca="false">J730</f>
        <v>609230769.230767</v>
      </c>
      <c r="I731" s="25" t="n">
        <f aca="false">H731*N731</f>
        <v>7831153.84615382</v>
      </c>
      <c r="J731" s="25" t="n">
        <f aca="false">H731-E731</f>
        <v>609230769.230767</v>
      </c>
      <c r="K731" s="25" t="n">
        <f aca="false">D731-I731</f>
        <v>0</v>
      </c>
      <c r="L731" s="25" t="n">
        <f aca="false">G731-J731</f>
        <v>0</v>
      </c>
      <c r="M731" s="25" t="n">
        <f aca="false">F731</f>
        <v>7831153.84615382</v>
      </c>
      <c r="N731" s="48" t="n">
        <v>0.0128541666666667</v>
      </c>
      <c r="O731" s="25" t="n">
        <f aca="false">IF(AND(B731&gt;=DATE(2026,1,1),B731&lt;=Resumen!$C$5),1,0)</f>
        <v>0</v>
      </c>
      <c r="P731" s="25" t="n">
        <f aca="false">IF(AND(B731&gt;Resumen!$C$5,B731&lt;=DATE(2027,7,31)),1,0)</f>
        <v>0</v>
      </c>
    </row>
    <row r="732" customFormat="false" ht="15" hidden="false" customHeight="false" outlineLevel="0" collapsed="false">
      <c r="A732" s="22" t="n">
        <v>220</v>
      </c>
      <c r="B732" s="23" t="n">
        <v>51102</v>
      </c>
      <c r="C732" s="28" t="n">
        <v>609230769.230767</v>
      </c>
      <c r="D732" s="28" t="n">
        <v>7831153.84615382</v>
      </c>
      <c r="E732" s="28" t="n">
        <v>0</v>
      </c>
      <c r="F732" s="28" t="n">
        <v>7831153.84615382</v>
      </c>
      <c r="G732" s="28" t="n">
        <v>609230769.230767</v>
      </c>
      <c r="H732" s="25" t="n">
        <f aca="false">J731</f>
        <v>609230769.230767</v>
      </c>
      <c r="I732" s="25" t="n">
        <f aca="false">H732*N732</f>
        <v>7831153.84615382</v>
      </c>
      <c r="J732" s="25" t="n">
        <f aca="false">H732-E732</f>
        <v>609230769.230767</v>
      </c>
      <c r="K732" s="25" t="n">
        <f aca="false">D732-I732</f>
        <v>0</v>
      </c>
      <c r="L732" s="25" t="n">
        <f aca="false">G732-J732</f>
        <v>0</v>
      </c>
      <c r="M732" s="25" t="n">
        <f aca="false">F732</f>
        <v>7831153.84615382</v>
      </c>
      <c r="N732" s="48" t="n">
        <v>0.0128541666666667</v>
      </c>
      <c r="O732" s="25" t="n">
        <f aca="false">IF(AND(B732&gt;=DATE(2026,1,1),B732&lt;=Resumen!$C$5),1,0)</f>
        <v>0</v>
      </c>
      <c r="P732" s="25" t="n">
        <f aca="false">IF(AND(B732&gt;Resumen!$C$5,B732&lt;=DATE(2027,7,31)),1,0)</f>
        <v>0</v>
      </c>
    </row>
    <row r="733" customFormat="false" ht="15" hidden="false" customHeight="false" outlineLevel="0" collapsed="false">
      <c r="A733" s="22" t="n">
        <v>221</v>
      </c>
      <c r="B733" s="23" t="n">
        <v>51132</v>
      </c>
      <c r="C733" s="28" t="n">
        <v>609230769.230767</v>
      </c>
      <c r="D733" s="28" t="n">
        <v>7831153.84615382</v>
      </c>
      <c r="E733" s="28" t="n">
        <v>0</v>
      </c>
      <c r="F733" s="28" t="n">
        <v>7831153.84615382</v>
      </c>
      <c r="G733" s="28" t="n">
        <v>609230769.230767</v>
      </c>
      <c r="H733" s="25" t="n">
        <f aca="false">J732</f>
        <v>609230769.230767</v>
      </c>
      <c r="I733" s="25" t="n">
        <f aca="false">H733*N733</f>
        <v>7831153.84615382</v>
      </c>
      <c r="J733" s="25" t="n">
        <f aca="false">H733-E733</f>
        <v>609230769.230767</v>
      </c>
      <c r="K733" s="25" t="n">
        <f aca="false">D733-I733</f>
        <v>0</v>
      </c>
      <c r="L733" s="25" t="n">
        <f aca="false">G733-J733</f>
        <v>0</v>
      </c>
      <c r="M733" s="25" t="n">
        <f aca="false">F733</f>
        <v>7831153.84615382</v>
      </c>
      <c r="N733" s="48" t="n">
        <v>0.0128541666666667</v>
      </c>
      <c r="O733" s="25" t="n">
        <f aca="false">IF(AND(B733&gt;=DATE(2026,1,1),B733&lt;=Resumen!$C$5),1,0)</f>
        <v>0</v>
      </c>
      <c r="P733" s="25" t="n">
        <f aca="false">IF(AND(B733&gt;Resumen!$C$5,B733&lt;=DATE(2027,7,31)),1,0)</f>
        <v>0</v>
      </c>
    </row>
    <row r="734" customFormat="false" ht="15" hidden="false" customHeight="false" outlineLevel="0" collapsed="false">
      <c r="A734" s="22" t="n">
        <v>222</v>
      </c>
      <c r="B734" s="23" t="n">
        <v>51163</v>
      </c>
      <c r="C734" s="28" t="n">
        <v>609230769.230767</v>
      </c>
      <c r="D734" s="28" t="n">
        <v>7831153.84615382</v>
      </c>
      <c r="E734" s="28" t="n">
        <v>152307692.307692</v>
      </c>
      <c r="F734" s="28" t="n">
        <v>160138846.153846</v>
      </c>
      <c r="G734" s="28" t="n">
        <v>456923076.923075</v>
      </c>
      <c r="H734" s="25" t="n">
        <f aca="false">J733</f>
        <v>609230769.230767</v>
      </c>
      <c r="I734" s="25" t="n">
        <f aca="false">H734*N734</f>
        <v>7831153.84615382</v>
      </c>
      <c r="J734" s="25" t="n">
        <f aca="false">H734-E734</f>
        <v>456923076.923075</v>
      </c>
      <c r="K734" s="25" t="n">
        <f aca="false">D734-I734</f>
        <v>0</v>
      </c>
      <c r="L734" s="25" t="n">
        <f aca="false">G734-J734</f>
        <v>0</v>
      </c>
      <c r="M734" s="25" t="n">
        <f aca="false">F734</f>
        <v>160138846.153846</v>
      </c>
      <c r="N734" s="48" t="n">
        <v>0.0128541666666667</v>
      </c>
      <c r="O734" s="25" t="n">
        <f aca="false">IF(AND(B734&gt;=DATE(2026,1,1),B734&lt;=Resumen!$C$5),1,0)</f>
        <v>0</v>
      </c>
      <c r="P734" s="25" t="n">
        <f aca="false">IF(AND(B734&gt;Resumen!$C$5,B734&lt;=DATE(2027,7,31)),1,0)</f>
        <v>0</v>
      </c>
    </row>
    <row r="735" customFormat="false" ht="15" hidden="false" customHeight="false" outlineLevel="0" collapsed="false">
      <c r="A735" s="22" t="n">
        <v>223</v>
      </c>
      <c r="B735" s="23" t="n">
        <v>51194</v>
      </c>
      <c r="C735" s="28" t="n">
        <v>456923076.923075</v>
      </c>
      <c r="D735" s="28" t="n">
        <v>5873365.38461536</v>
      </c>
      <c r="E735" s="28" t="n">
        <v>0</v>
      </c>
      <c r="F735" s="28" t="n">
        <v>5873365.38461536</v>
      </c>
      <c r="G735" s="28" t="n">
        <v>456923076.923075</v>
      </c>
      <c r="H735" s="25" t="n">
        <f aca="false">J734</f>
        <v>456923076.923075</v>
      </c>
      <c r="I735" s="25" t="n">
        <f aca="false">H735*N735</f>
        <v>5873365.38461536</v>
      </c>
      <c r="J735" s="25" t="n">
        <f aca="false">H735-E735</f>
        <v>456923076.923075</v>
      </c>
      <c r="K735" s="25" t="n">
        <f aca="false">D735-I735</f>
        <v>0</v>
      </c>
      <c r="L735" s="25" t="n">
        <f aca="false">G735-J735</f>
        <v>0</v>
      </c>
      <c r="M735" s="25" t="n">
        <f aca="false">F735</f>
        <v>5873365.38461536</v>
      </c>
      <c r="N735" s="48" t="n">
        <v>0.0128541666666667</v>
      </c>
      <c r="O735" s="25" t="n">
        <f aca="false">IF(AND(B735&gt;=DATE(2026,1,1),B735&lt;=Resumen!$C$5),1,0)</f>
        <v>0</v>
      </c>
      <c r="P735" s="25" t="n">
        <f aca="false">IF(AND(B735&gt;Resumen!$C$5,B735&lt;=DATE(2027,7,31)),1,0)</f>
        <v>0</v>
      </c>
    </row>
    <row r="736" customFormat="false" ht="15" hidden="false" customHeight="false" outlineLevel="0" collapsed="false">
      <c r="A736" s="22" t="n">
        <v>224</v>
      </c>
      <c r="B736" s="23" t="n">
        <v>51223</v>
      </c>
      <c r="C736" s="28" t="n">
        <v>456923076.923075</v>
      </c>
      <c r="D736" s="28" t="n">
        <v>5873365.38461536</v>
      </c>
      <c r="E736" s="28" t="n">
        <v>0</v>
      </c>
      <c r="F736" s="28" t="n">
        <v>5873365.38461536</v>
      </c>
      <c r="G736" s="28" t="n">
        <v>456923076.923075</v>
      </c>
      <c r="H736" s="25" t="n">
        <f aca="false">J735</f>
        <v>456923076.923075</v>
      </c>
      <c r="I736" s="25" t="n">
        <f aca="false">H736*N736</f>
        <v>5873365.38461536</v>
      </c>
      <c r="J736" s="25" t="n">
        <f aca="false">H736-E736</f>
        <v>456923076.923075</v>
      </c>
      <c r="K736" s="25" t="n">
        <f aca="false">D736-I736</f>
        <v>0</v>
      </c>
      <c r="L736" s="25" t="n">
        <f aca="false">G736-J736</f>
        <v>0</v>
      </c>
      <c r="M736" s="25" t="n">
        <f aca="false">F736</f>
        <v>5873365.38461536</v>
      </c>
      <c r="N736" s="48" t="n">
        <v>0.0128541666666667</v>
      </c>
      <c r="O736" s="25" t="n">
        <f aca="false">IF(AND(B736&gt;=DATE(2026,1,1),B736&lt;=Resumen!$C$5),1,0)</f>
        <v>0</v>
      </c>
      <c r="P736" s="25" t="n">
        <f aca="false">IF(AND(B736&gt;Resumen!$C$5,B736&lt;=DATE(2027,7,31)),1,0)</f>
        <v>0</v>
      </c>
    </row>
    <row r="737" customFormat="false" ht="15" hidden="false" customHeight="false" outlineLevel="0" collapsed="false">
      <c r="A737" s="22" t="n">
        <v>225</v>
      </c>
      <c r="B737" s="23" t="n">
        <v>51254</v>
      </c>
      <c r="C737" s="28" t="n">
        <v>456923076.923075</v>
      </c>
      <c r="D737" s="28" t="n">
        <v>5873365.38461536</v>
      </c>
      <c r="E737" s="28" t="n">
        <v>0</v>
      </c>
      <c r="F737" s="28" t="n">
        <v>5873365.38461536</v>
      </c>
      <c r="G737" s="28" t="n">
        <v>456923076.923075</v>
      </c>
      <c r="H737" s="25" t="n">
        <f aca="false">J736</f>
        <v>456923076.923075</v>
      </c>
      <c r="I737" s="25" t="n">
        <f aca="false">H737*N737</f>
        <v>5873365.38461536</v>
      </c>
      <c r="J737" s="25" t="n">
        <f aca="false">H737-E737</f>
        <v>456923076.923075</v>
      </c>
      <c r="K737" s="25" t="n">
        <f aca="false">D737-I737</f>
        <v>0</v>
      </c>
      <c r="L737" s="25" t="n">
        <f aca="false">G737-J737</f>
        <v>0</v>
      </c>
      <c r="M737" s="25" t="n">
        <f aca="false">F737</f>
        <v>5873365.38461536</v>
      </c>
      <c r="N737" s="48" t="n">
        <v>0.0128541666666667</v>
      </c>
      <c r="O737" s="25" t="n">
        <f aca="false">IF(AND(B737&gt;=DATE(2026,1,1),B737&lt;=Resumen!$C$5),1,0)</f>
        <v>0</v>
      </c>
      <c r="P737" s="25" t="n">
        <f aca="false">IF(AND(B737&gt;Resumen!$C$5,B737&lt;=DATE(2027,7,31)),1,0)</f>
        <v>0</v>
      </c>
    </row>
    <row r="738" customFormat="false" ht="15" hidden="false" customHeight="false" outlineLevel="0" collapsed="false">
      <c r="A738" s="22" t="n">
        <v>226</v>
      </c>
      <c r="B738" s="23" t="n">
        <v>51284</v>
      </c>
      <c r="C738" s="28" t="n">
        <v>456923076.923075</v>
      </c>
      <c r="D738" s="28" t="n">
        <v>5873365.38461536</v>
      </c>
      <c r="E738" s="28" t="n">
        <v>0</v>
      </c>
      <c r="F738" s="28" t="n">
        <v>5873365.38461536</v>
      </c>
      <c r="G738" s="28" t="n">
        <v>456923076.923075</v>
      </c>
      <c r="H738" s="25" t="n">
        <f aca="false">J737</f>
        <v>456923076.923075</v>
      </c>
      <c r="I738" s="25" t="n">
        <f aca="false">H738*N738</f>
        <v>5873365.38461536</v>
      </c>
      <c r="J738" s="25" t="n">
        <f aca="false">H738-E738</f>
        <v>456923076.923075</v>
      </c>
      <c r="K738" s="25" t="n">
        <f aca="false">D738-I738</f>
        <v>0</v>
      </c>
      <c r="L738" s="25" t="n">
        <f aca="false">G738-J738</f>
        <v>0</v>
      </c>
      <c r="M738" s="25" t="n">
        <f aca="false">F738</f>
        <v>5873365.38461536</v>
      </c>
      <c r="N738" s="48" t="n">
        <v>0.0128541666666667</v>
      </c>
      <c r="O738" s="25" t="n">
        <f aca="false">IF(AND(B738&gt;=DATE(2026,1,1),B738&lt;=Resumen!$C$5),1,0)</f>
        <v>0</v>
      </c>
      <c r="P738" s="25" t="n">
        <f aca="false">IF(AND(B738&gt;Resumen!$C$5,B738&lt;=DATE(2027,7,31)),1,0)</f>
        <v>0</v>
      </c>
    </row>
    <row r="739" customFormat="false" ht="15" hidden="false" customHeight="false" outlineLevel="0" collapsed="false">
      <c r="A739" s="22" t="n">
        <v>227</v>
      </c>
      <c r="B739" s="23" t="n">
        <v>51315</v>
      </c>
      <c r="C739" s="28" t="n">
        <v>456923076.923075</v>
      </c>
      <c r="D739" s="28" t="n">
        <v>5873365.38461536</v>
      </c>
      <c r="E739" s="28" t="n">
        <v>0</v>
      </c>
      <c r="F739" s="28" t="n">
        <v>5873365.38461536</v>
      </c>
      <c r="G739" s="28" t="n">
        <v>456923076.923075</v>
      </c>
      <c r="H739" s="25" t="n">
        <f aca="false">J738</f>
        <v>456923076.923075</v>
      </c>
      <c r="I739" s="25" t="n">
        <f aca="false">H739*N739</f>
        <v>5873365.38461536</v>
      </c>
      <c r="J739" s="25" t="n">
        <f aca="false">H739-E739</f>
        <v>456923076.923075</v>
      </c>
      <c r="K739" s="25" t="n">
        <f aca="false">D739-I739</f>
        <v>0</v>
      </c>
      <c r="L739" s="25" t="n">
        <f aca="false">G739-J739</f>
        <v>0</v>
      </c>
      <c r="M739" s="25" t="n">
        <f aca="false">F739</f>
        <v>5873365.38461536</v>
      </c>
      <c r="N739" s="48" t="n">
        <v>0.0128541666666667</v>
      </c>
      <c r="O739" s="25" t="n">
        <f aca="false">IF(AND(B739&gt;=DATE(2026,1,1),B739&lt;=Resumen!$C$5),1,0)</f>
        <v>0</v>
      </c>
      <c r="P739" s="25" t="n">
        <f aca="false">IF(AND(B739&gt;Resumen!$C$5,B739&lt;=DATE(2027,7,31)),1,0)</f>
        <v>0</v>
      </c>
    </row>
    <row r="740" customFormat="false" ht="15" hidden="false" customHeight="false" outlineLevel="0" collapsed="false">
      <c r="A740" s="22" t="n">
        <v>228</v>
      </c>
      <c r="B740" s="23" t="n">
        <v>51345</v>
      </c>
      <c r="C740" s="28" t="n">
        <v>456923076.923075</v>
      </c>
      <c r="D740" s="28" t="n">
        <v>5873365.38461536</v>
      </c>
      <c r="E740" s="28" t="n">
        <v>152307692.307692</v>
      </c>
      <c r="F740" s="28" t="n">
        <v>158181057.692308</v>
      </c>
      <c r="G740" s="28" t="n">
        <v>304615384.615382</v>
      </c>
      <c r="H740" s="25" t="n">
        <f aca="false">J739</f>
        <v>456923076.923075</v>
      </c>
      <c r="I740" s="25" t="n">
        <f aca="false">H740*N740</f>
        <v>5873365.38461536</v>
      </c>
      <c r="J740" s="25" t="n">
        <f aca="false">H740-E740</f>
        <v>304615384.615382</v>
      </c>
      <c r="K740" s="25" t="n">
        <f aca="false">D740-I740</f>
        <v>0</v>
      </c>
      <c r="L740" s="25" t="n">
        <f aca="false">G740-J740</f>
        <v>0</v>
      </c>
      <c r="M740" s="25" t="n">
        <f aca="false">F740</f>
        <v>158181057.692308</v>
      </c>
      <c r="N740" s="48" t="n">
        <v>0.0128541666666667</v>
      </c>
      <c r="O740" s="25" t="n">
        <f aca="false">IF(AND(B740&gt;=DATE(2026,1,1),B740&lt;=Resumen!$C$5),1,0)</f>
        <v>0</v>
      </c>
      <c r="P740" s="25" t="n">
        <f aca="false">IF(AND(B740&gt;Resumen!$C$5,B740&lt;=DATE(2027,7,31)),1,0)</f>
        <v>0</v>
      </c>
    </row>
    <row r="741" customFormat="false" ht="15" hidden="false" customHeight="false" outlineLevel="0" collapsed="false">
      <c r="A741" s="22" t="n">
        <v>229</v>
      </c>
      <c r="B741" s="23" t="n">
        <v>51376</v>
      </c>
      <c r="C741" s="28" t="n">
        <v>304615384.615382</v>
      </c>
      <c r="D741" s="28" t="n">
        <v>3915576.9230769</v>
      </c>
      <c r="E741" s="28" t="n">
        <v>0</v>
      </c>
      <c r="F741" s="28" t="n">
        <v>3915576.9230769</v>
      </c>
      <c r="G741" s="28" t="n">
        <v>304615384.615382</v>
      </c>
      <c r="H741" s="25" t="n">
        <f aca="false">J740</f>
        <v>304615384.615382</v>
      </c>
      <c r="I741" s="25" t="n">
        <f aca="false">H741*N741</f>
        <v>3915576.9230769</v>
      </c>
      <c r="J741" s="25" t="n">
        <f aca="false">H741-E741</f>
        <v>304615384.615382</v>
      </c>
      <c r="K741" s="25" t="n">
        <f aca="false">D741-I741</f>
        <v>0</v>
      </c>
      <c r="L741" s="25" t="n">
        <f aca="false">G741-J741</f>
        <v>0</v>
      </c>
      <c r="M741" s="25" t="n">
        <f aca="false">F741</f>
        <v>3915576.9230769</v>
      </c>
      <c r="N741" s="48" t="n">
        <v>0.0128541666666667</v>
      </c>
      <c r="O741" s="25" t="n">
        <f aca="false">IF(AND(B741&gt;=DATE(2026,1,1),B741&lt;=Resumen!$C$5),1,0)</f>
        <v>0</v>
      </c>
      <c r="P741" s="25" t="n">
        <f aca="false">IF(AND(B741&gt;Resumen!$C$5,B741&lt;=DATE(2027,7,31)),1,0)</f>
        <v>0</v>
      </c>
    </row>
    <row r="742" customFormat="false" ht="15" hidden="false" customHeight="false" outlineLevel="0" collapsed="false">
      <c r="A742" s="22" t="n">
        <v>230</v>
      </c>
      <c r="B742" s="23" t="n">
        <v>51407</v>
      </c>
      <c r="C742" s="28" t="n">
        <v>304615384.615382</v>
      </c>
      <c r="D742" s="28" t="n">
        <v>3915576.9230769</v>
      </c>
      <c r="E742" s="28" t="n">
        <v>0</v>
      </c>
      <c r="F742" s="28" t="n">
        <v>3915576.9230769</v>
      </c>
      <c r="G742" s="28" t="n">
        <v>304615384.615382</v>
      </c>
      <c r="H742" s="25" t="n">
        <f aca="false">J741</f>
        <v>304615384.615382</v>
      </c>
      <c r="I742" s="25" t="n">
        <f aca="false">H742*N742</f>
        <v>3915576.9230769</v>
      </c>
      <c r="J742" s="25" t="n">
        <f aca="false">H742-E742</f>
        <v>304615384.615382</v>
      </c>
      <c r="K742" s="25" t="n">
        <f aca="false">D742-I742</f>
        <v>0</v>
      </c>
      <c r="L742" s="25" t="n">
        <f aca="false">G742-J742</f>
        <v>0</v>
      </c>
      <c r="M742" s="25" t="n">
        <f aca="false">F742</f>
        <v>3915576.9230769</v>
      </c>
      <c r="N742" s="48" t="n">
        <v>0.0128541666666667</v>
      </c>
      <c r="O742" s="25" t="n">
        <f aca="false">IF(AND(B742&gt;=DATE(2026,1,1),B742&lt;=Resumen!$C$5),1,0)</f>
        <v>0</v>
      </c>
      <c r="P742" s="25" t="n">
        <f aca="false">IF(AND(B742&gt;Resumen!$C$5,B742&lt;=DATE(2027,7,31)),1,0)</f>
        <v>0</v>
      </c>
    </row>
    <row r="743" customFormat="false" ht="15" hidden="false" customHeight="false" outlineLevel="0" collapsed="false">
      <c r="A743" s="22" t="n">
        <v>231</v>
      </c>
      <c r="B743" s="23" t="n">
        <v>51437</v>
      </c>
      <c r="C743" s="28" t="n">
        <v>304615384.615382</v>
      </c>
      <c r="D743" s="28" t="n">
        <v>3915576.9230769</v>
      </c>
      <c r="E743" s="28" t="n">
        <v>0</v>
      </c>
      <c r="F743" s="28" t="n">
        <v>3915576.9230769</v>
      </c>
      <c r="G743" s="28" t="n">
        <v>304615384.615382</v>
      </c>
      <c r="H743" s="25" t="n">
        <f aca="false">J742</f>
        <v>304615384.615382</v>
      </c>
      <c r="I743" s="25" t="n">
        <f aca="false">H743*N743</f>
        <v>3915576.9230769</v>
      </c>
      <c r="J743" s="25" t="n">
        <f aca="false">H743-E743</f>
        <v>304615384.615382</v>
      </c>
      <c r="K743" s="25" t="n">
        <f aca="false">D743-I743</f>
        <v>0</v>
      </c>
      <c r="L743" s="25" t="n">
        <f aca="false">G743-J743</f>
        <v>0</v>
      </c>
      <c r="M743" s="25" t="n">
        <f aca="false">F743</f>
        <v>3915576.9230769</v>
      </c>
      <c r="N743" s="48" t="n">
        <v>0.0128541666666667</v>
      </c>
      <c r="O743" s="25" t="n">
        <f aca="false">IF(AND(B743&gt;=DATE(2026,1,1),B743&lt;=Resumen!$C$5),1,0)</f>
        <v>0</v>
      </c>
      <c r="P743" s="25" t="n">
        <f aca="false">IF(AND(B743&gt;Resumen!$C$5,B743&lt;=DATE(2027,7,31)),1,0)</f>
        <v>0</v>
      </c>
    </row>
    <row r="744" customFormat="false" ht="15" hidden="false" customHeight="false" outlineLevel="0" collapsed="false">
      <c r="A744" s="22" t="n">
        <v>232</v>
      </c>
      <c r="B744" s="23" t="n">
        <v>51468</v>
      </c>
      <c r="C744" s="28" t="n">
        <v>304615384.615382</v>
      </c>
      <c r="D744" s="28" t="n">
        <v>3915576.9230769</v>
      </c>
      <c r="E744" s="28" t="n">
        <v>0</v>
      </c>
      <c r="F744" s="28" t="n">
        <v>3915576.9230769</v>
      </c>
      <c r="G744" s="28" t="n">
        <v>304615384.615382</v>
      </c>
      <c r="H744" s="25" t="n">
        <f aca="false">J743</f>
        <v>304615384.615382</v>
      </c>
      <c r="I744" s="25" t="n">
        <f aca="false">H744*N744</f>
        <v>3915576.9230769</v>
      </c>
      <c r="J744" s="25" t="n">
        <f aca="false">H744-E744</f>
        <v>304615384.615382</v>
      </c>
      <c r="K744" s="25" t="n">
        <f aca="false">D744-I744</f>
        <v>0</v>
      </c>
      <c r="L744" s="25" t="n">
        <f aca="false">G744-J744</f>
        <v>0</v>
      </c>
      <c r="M744" s="25" t="n">
        <f aca="false">F744</f>
        <v>3915576.9230769</v>
      </c>
      <c r="N744" s="48" t="n">
        <v>0.0128541666666667</v>
      </c>
      <c r="O744" s="25" t="n">
        <f aca="false">IF(AND(B744&gt;=DATE(2026,1,1),B744&lt;=Resumen!$C$5),1,0)</f>
        <v>0</v>
      </c>
      <c r="P744" s="25" t="n">
        <f aca="false">IF(AND(B744&gt;Resumen!$C$5,B744&lt;=DATE(2027,7,31)),1,0)</f>
        <v>0</v>
      </c>
    </row>
    <row r="745" customFormat="false" ht="15" hidden="false" customHeight="false" outlineLevel="0" collapsed="false">
      <c r="A745" s="22" t="n">
        <v>233</v>
      </c>
      <c r="B745" s="23" t="n">
        <v>51498</v>
      </c>
      <c r="C745" s="28" t="n">
        <v>304615384.615382</v>
      </c>
      <c r="D745" s="28" t="n">
        <v>3915576.9230769</v>
      </c>
      <c r="E745" s="28" t="n">
        <v>0</v>
      </c>
      <c r="F745" s="28" t="n">
        <v>3915576.9230769</v>
      </c>
      <c r="G745" s="28" t="n">
        <v>304615384.615382</v>
      </c>
      <c r="H745" s="25" t="n">
        <f aca="false">J744</f>
        <v>304615384.615382</v>
      </c>
      <c r="I745" s="25" t="n">
        <f aca="false">H745*N745</f>
        <v>3915576.9230769</v>
      </c>
      <c r="J745" s="25" t="n">
        <f aca="false">H745-E745</f>
        <v>304615384.615382</v>
      </c>
      <c r="K745" s="25" t="n">
        <f aca="false">D745-I745</f>
        <v>0</v>
      </c>
      <c r="L745" s="25" t="n">
        <f aca="false">G745-J745</f>
        <v>0</v>
      </c>
      <c r="M745" s="25" t="n">
        <f aca="false">F745</f>
        <v>3915576.9230769</v>
      </c>
      <c r="N745" s="48" t="n">
        <v>0.0128541666666667</v>
      </c>
      <c r="O745" s="25" t="n">
        <f aca="false">IF(AND(B745&gt;=DATE(2026,1,1),B745&lt;=Resumen!$C$5),1,0)</f>
        <v>0</v>
      </c>
      <c r="P745" s="25" t="n">
        <f aca="false">IF(AND(B745&gt;Resumen!$C$5,B745&lt;=DATE(2027,7,31)),1,0)</f>
        <v>0</v>
      </c>
    </row>
    <row r="746" customFormat="false" ht="15" hidden="false" customHeight="false" outlineLevel="0" collapsed="false">
      <c r="A746" s="22" t="n">
        <v>234</v>
      </c>
      <c r="B746" s="23" t="n">
        <v>51529</v>
      </c>
      <c r="C746" s="28" t="n">
        <v>304615384.615382</v>
      </c>
      <c r="D746" s="28" t="n">
        <v>3915576.9230769</v>
      </c>
      <c r="E746" s="28" t="n">
        <v>152307692.307692</v>
      </c>
      <c r="F746" s="28" t="n">
        <v>156223269.230769</v>
      </c>
      <c r="G746" s="28" t="n">
        <v>152307692.30769</v>
      </c>
      <c r="H746" s="25" t="n">
        <f aca="false">J745</f>
        <v>304615384.615382</v>
      </c>
      <c r="I746" s="25" t="n">
        <f aca="false">H746*N746</f>
        <v>3915576.9230769</v>
      </c>
      <c r="J746" s="25" t="n">
        <f aca="false">H746-E746</f>
        <v>152307692.30769</v>
      </c>
      <c r="K746" s="25" t="n">
        <f aca="false">D746-I746</f>
        <v>0</v>
      </c>
      <c r="L746" s="25" t="n">
        <f aca="false">G746-J746</f>
        <v>0</v>
      </c>
      <c r="M746" s="25" t="n">
        <f aca="false">F746</f>
        <v>156223269.230769</v>
      </c>
      <c r="N746" s="48" t="n">
        <v>0.0128541666666667</v>
      </c>
      <c r="O746" s="25" t="n">
        <f aca="false">IF(AND(B746&gt;=DATE(2026,1,1),B746&lt;=Resumen!$C$5),1,0)</f>
        <v>0</v>
      </c>
      <c r="P746" s="25" t="n">
        <f aca="false">IF(AND(B746&gt;Resumen!$C$5,B746&lt;=DATE(2027,7,31)),1,0)</f>
        <v>0</v>
      </c>
    </row>
    <row r="747" customFormat="false" ht="15" hidden="false" customHeight="false" outlineLevel="0" collapsed="false">
      <c r="A747" s="22" t="n">
        <v>235</v>
      </c>
      <c r="B747" s="23" t="n">
        <v>51560</v>
      </c>
      <c r="C747" s="28" t="n">
        <v>152307692.30769</v>
      </c>
      <c r="D747" s="28" t="n">
        <v>1957788.46153843</v>
      </c>
      <c r="E747" s="28" t="n">
        <v>0</v>
      </c>
      <c r="F747" s="28" t="n">
        <v>1957788.46153843</v>
      </c>
      <c r="G747" s="28" t="n">
        <v>152307692.30769</v>
      </c>
      <c r="H747" s="25" t="n">
        <f aca="false">J746</f>
        <v>152307692.30769</v>
      </c>
      <c r="I747" s="25" t="n">
        <f aca="false">H747*N747</f>
        <v>1957788.46153843</v>
      </c>
      <c r="J747" s="25" t="n">
        <f aca="false">H747-E747</f>
        <v>152307692.30769</v>
      </c>
      <c r="K747" s="25" t="n">
        <f aca="false">D747-I747</f>
        <v>0</v>
      </c>
      <c r="L747" s="25" t="n">
        <f aca="false">G747-J747</f>
        <v>0</v>
      </c>
      <c r="M747" s="25" t="n">
        <f aca="false">F747</f>
        <v>1957788.46153843</v>
      </c>
      <c r="N747" s="48" t="n">
        <v>0.0128541666666667</v>
      </c>
      <c r="O747" s="25" t="n">
        <f aca="false">IF(AND(B747&gt;=DATE(2026,1,1),B747&lt;=Resumen!$C$5),1,0)</f>
        <v>0</v>
      </c>
      <c r="P747" s="25" t="n">
        <f aca="false">IF(AND(B747&gt;Resumen!$C$5,B747&lt;=DATE(2027,7,31)),1,0)</f>
        <v>0</v>
      </c>
    </row>
    <row r="748" customFormat="false" ht="15" hidden="false" customHeight="false" outlineLevel="0" collapsed="false">
      <c r="A748" s="22" t="n">
        <v>236</v>
      </c>
      <c r="B748" s="23" t="n">
        <v>51588</v>
      </c>
      <c r="C748" s="28" t="n">
        <v>152307692.30769</v>
      </c>
      <c r="D748" s="28" t="n">
        <v>1957788.46153843</v>
      </c>
      <c r="E748" s="28" t="n">
        <v>0</v>
      </c>
      <c r="F748" s="28" t="n">
        <v>1957788.46153843</v>
      </c>
      <c r="G748" s="28" t="n">
        <v>152307692.30769</v>
      </c>
      <c r="H748" s="25" t="n">
        <f aca="false">J747</f>
        <v>152307692.30769</v>
      </c>
      <c r="I748" s="25" t="n">
        <f aca="false">H748*N748</f>
        <v>1957788.46153843</v>
      </c>
      <c r="J748" s="25" t="n">
        <f aca="false">H748-E748</f>
        <v>152307692.30769</v>
      </c>
      <c r="K748" s="25" t="n">
        <f aca="false">D748-I748</f>
        <v>0</v>
      </c>
      <c r="L748" s="25" t="n">
        <f aca="false">G748-J748</f>
        <v>0</v>
      </c>
      <c r="M748" s="25" t="n">
        <f aca="false">F748</f>
        <v>1957788.46153843</v>
      </c>
      <c r="N748" s="48" t="n">
        <v>0.0128541666666667</v>
      </c>
      <c r="O748" s="25" t="n">
        <f aca="false">IF(AND(B748&gt;=DATE(2026,1,1),B748&lt;=Resumen!$C$5),1,0)</f>
        <v>0</v>
      </c>
      <c r="P748" s="25" t="n">
        <f aca="false">IF(AND(B748&gt;Resumen!$C$5,B748&lt;=DATE(2027,7,31)),1,0)</f>
        <v>0</v>
      </c>
    </row>
    <row r="749" customFormat="false" ht="15" hidden="false" customHeight="false" outlineLevel="0" collapsed="false">
      <c r="A749" s="22" t="n">
        <v>237</v>
      </c>
      <c r="B749" s="23" t="n">
        <v>51619</v>
      </c>
      <c r="C749" s="28" t="n">
        <v>152307692.30769</v>
      </c>
      <c r="D749" s="28" t="n">
        <v>1957788.46153843</v>
      </c>
      <c r="E749" s="28" t="n">
        <v>0</v>
      </c>
      <c r="F749" s="28" t="n">
        <v>1957788.46153843</v>
      </c>
      <c r="G749" s="28" t="n">
        <v>152307692.30769</v>
      </c>
      <c r="H749" s="25" t="n">
        <f aca="false">J748</f>
        <v>152307692.30769</v>
      </c>
      <c r="I749" s="25" t="n">
        <f aca="false">H749*N749</f>
        <v>1957788.46153843</v>
      </c>
      <c r="J749" s="25" t="n">
        <f aca="false">H749-E749</f>
        <v>152307692.30769</v>
      </c>
      <c r="K749" s="25" t="n">
        <f aca="false">D749-I749</f>
        <v>0</v>
      </c>
      <c r="L749" s="25" t="n">
        <f aca="false">G749-J749</f>
        <v>0</v>
      </c>
      <c r="M749" s="25" t="n">
        <f aca="false">F749</f>
        <v>1957788.46153843</v>
      </c>
      <c r="N749" s="48" t="n">
        <v>0.0128541666666667</v>
      </c>
      <c r="O749" s="25" t="n">
        <f aca="false">IF(AND(B749&gt;=DATE(2026,1,1),B749&lt;=Resumen!$C$5),1,0)</f>
        <v>0</v>
      </c>
      <c r="P749" s="25" t="n">
        <f aca="false">IF(AND(B749&gt;Resumen!$C$5,B749&lt;=DATE(2027,7,31)),1,0)</f>
        <v>0</v>
      </c>
    </row>
    <row r="750" customFormat="false" ht="15" hidden="false" customHeight="false" outlineLevel="0" collapsed="false">
      <c r="A750" s="22" t="n">
        <v>238</v>
      </c>
      <c r="B750" s="23" t="n">
        <v>51649</v>
      </c>
      <c r="C750" s="28" t="n">
        <v>152307692.30769</v>
      </c>
      <c r="D750" s="28" t="n">
        <v>1957788.46153843</v>
      </c>
      <c r="E750" s="28" t="n">
        <v>0</v>
      </c>
      <c r="F750" s="28" t="n">
        <v>1957788.46153843</v>
      </c>
      <c r="G750" s="28" t="n">
        <v>152307692.30769</v>
      </c>
      <c r="H750" s="25" t="n">
        <f aca="false">J749</f>
        <v>152307692.30769</v>
      </c>
      <c r="I750" s="25" t="n">
        <f aca="false">H750*N750</f>
        <v>1957788.46153843</v>
      </c>
      <c r="J750" s="25" t="n">
        <f aca="false">H750-E750</f>
        <v>152307692.30769</v>
      </c>
      <c r="K750" s="25" t="n">
        <f aca="false">D750-I750</f>
        <v>0</v>
      </c>
      <c r="L750" s="25" t="n">
        <f aca="false">G750-J750</f>
        <v>0</v>
      </c>
      <c r="M750" s="25" t="n">
        <f aca="false">F750</f>
        <v>1957788.46153843</v>
      </c>
      <c r="N750" s="48" t="n">
        <v>0.0128541666666667</v>
      </c>
      <c r="O750" s="25" t="n">
        <f aca="false">IF(AND(B750&gt;=DATE(2026,1,1),B750&lt;=Resumen!$C$5),1,0)</f>
        <v>0</v>
      </c>
      <c r="P750" s="25" t="n">
        <f aca="false">IF(AND(B750&gt;Resumen!$C$5,B750&lt;=DATE(2027,7,31)),1,0)</f>
        <v>0</v>
      </c>
    </row>
    <row r="751" customFormat="false" ht="15" hidden="false" customHeight="false" outlineLevel="0" collapsed="false">
      <c r="A751" s="22" t="n">
        <v>239</v>
      </c>
      <c r="B751" s="23" t="n">
        <v>51680</v>
      </c>
      <c r="C751" s="28" t="n">
        <v>152307692.30769</v>
      </c>
      <c r="D751" s="28" t="n">
        <v>1957788.46153843</v>
      </c>
      <c r="E751" s="28" t="n">
        <v>0</v>
      </c>
      <c r="F751" s="28" t="n">
        <v>1957788.46153843</v>
      </c>
      <c r="G751" s="28" t="n">
        <v>152307692.30769</v>
      </c>
      <c r="H751" s="25" t="n">
        <f aca="false">J750</f>
        <v>152307692.30769</v>
      </c>
      <c r="I751" s="25" t="n">
        <f aca="false">H751*N751</f>
        <v>1957788.46153843</v>
      </c>
      <c r="J751" s="25" t="n">
        <f aca="false">H751-E751</f>
        <v>152307692.30769</v>
      </c>
      <c r="K751" s="25" t="n">
        <f aca="false">D751-I751</f>
        <v>0</v>
      </c>
      <c r="L751" s="25" t="n">
        <f aca="false">G751-J751</f>
        <v>0</v>
      </c>
      <c r="M751" s="25" t="n">
        <f aca="false">F751</f>
        <v>1957788.46153843</v>
      </c>
      <c r="N751" s="48" t="n">
        <v>0.0128541666666667</v>
      </c>
      <c r="O751" s="25" t="n">
        <f aca="false">IF(AND(B751&gt;=DATE(2026,1,1),B751&lt;=Resumen!$C$5),1,0)</f>
        <v>0</v>
      </c>
      <c r="P751" s="25" t="n">
        <f aca="false">IF(AND(B751&gt;Resumen!$C$5,B751&lt;=DATE(2027,7,31)),1,0)</f>
        <v>0</v>
      </c>
    </row>
    <row r="752" customFormat="false" ht="15" hidden="false" customHeight="false" outlineLevel="0" collapsed="false">
      <c r="A752" s="22" t="n">
        <v>240</v>
      </c>
      <c r="B752" s="23" t="n">
        <v>51710</v>
      </c>
      <c r="C752" s="28" t="n">
        <v>152307692.30769</v>
      </c>
      <c r="D752" s="28" t="n">
        <v>1957788.46153843</v>
      </c>
      <c r="E752" s="28" t="n">
        <v>152307692.307692</v>
      </c>
      <c r="F752" s="28" t="n">
        <v>154265480.769231</v>
      </c>
      <c r="G752" s="28" t="n">
        <v>0</v>
      </c>
      <c r="H752" s="25" t="n">
        <f aca="false">J751</f>
        <v>152307692.30769</v>
      </c>
      <c r="I752" s="25" t="n">
        <f aca="false">H752*N752</f>
        <v>1957788.46153843</v>
      </c>
      <c r="J752" s="25" t="n">
        <f aca="false">H752-E752</f>
        <v>-2.14576721191406E-006</v>
      </c>
      <c r="K752" s="25" t="n">
        <f aca="false">D752-I752</f>
        <v>0</v>
      </c>
      <c r="L752" s="25" t="n">
        <f aca="false">G752-J752</f>
        <v>2.14576721191406E-006</v>
      </c>
      <c r="M752" s="25" t="n">
        <f aca="false">F752</f>
        <v>154265480.769231</v>
      </c>
      <c r="N752" s="48" t="n">
        <v>0.0128541666666667</v>
      </c>
      <c r="O752" s="25" t="n">
        <f aca="false">IF(AND(B752&gt;=DATE(2026,1,1),B752&lt;=Resumen!$C$5),1,0)</f>
        <v>0</v>
      </c>
      <c r="P752" s="25" t="n">
        <f aca="false">IF(AND(B752&gt;Resumen!$C$5,B752&lt;=DATE(2027,7,31)),1,0)</f>
        <v>0</v>
      </c>
    </row>
    <row r="755" customFormat="false" ht="15" hidden="false" customHeight="false" outlineLevel="0" collapsed="false">
      <c r="A755" s="33" t="s">
        <v>825</v>
      </c>
    </row>
    <row r="756" customFormat="false" ht="15" hidden="false" customHeight="false" outlineLevel="0" collapsed="false">
      <c r="A756" s="34" t="s">
        <v>826</v>
      </c>
    </row>
    <row r="757" customFormat="false" ht="15" hidden="false" customHeight="false" outlineLevel="0" collapsed="false">
      <c r="A757" s="19" t="s">
        <v>827</v>
      </c>
    </row>
    <row r="758" customFormat="false" ht="15" hidden="false" customHeight="false" outlineLevel="0" collapsed="false">
      <c r="A758" s="20" t="s">
        <v>828</v>
      </c>
    </row>
    <row r="759" customFormat="false" ht="15" hidden="false" customHeight="false" outlineLevel="0" collapsed="false">
      <c r="A759" s="29" t="s">
        <v>773</v>
      </c>
      <c r="C759" s="22" t="s">
        <v>829</v>
      </c>
      <c r="F759" s="47" t="s">
        <v>775</v>
      </c>
    </row>
    <row r="760" customFormat="false" ht="15" hidden="false" customHeight="false" outlineLevel="0" collapsed="false">
      <c r="A760" s="29" t="s">
        <v>640</v>
      </c>
      <c r="C760" s="28" t="n">
        <v>3000000000</v>
      </c>
      <c r="F760" s="22" t="s">
        <v>776</v>
      </c>
      <c r="I760" s="41" t="n">
        <f aca="false">_xlfn.MAXIFS($B$768:$B$1008,$B$768:$B$1008,"&lt;="&amp;Resumen!$C$5)</f>
        <v>46231</v>
      </c>
    </row>
    <row r="761" customFormat="false" ht="15" hidden="false" customHeight="false" outlineLevel="0" collapsed="false">
      <c r="A761" s="29" t="s">
        <v>641</v>
      </c>
      <c r="C761" s="23" t="n">
        <v>44405</v>
      </c>
      <c r="F761" s="22" t="s">
        <v>777</v>
      </c>
      <c r="I761" s="25" t="n">
        <f aca="false">SUMIFS($G$768:$G$1008,$B$768:$B$1008,I760)</f>
        <v>3000000000</v>
      </c>
    </row>
    <row r="762" customFormat="false" ht="15" hidden="false" customHeight="false" outlineLevel="0" collapsed="false">
      <c r="A762" s="29" t="s">
        <v>778</v>
      </c>
      <c r="C762" s="22" t="s">
        <v>824</v>
      </c>
      <c r="F762" s="22" t="s">
        <v>780</v>
      </c>
      <c r="I762" s="25" t="n">
        <f aca="false">SUMIFS($J$768:$J$1008,$B$768:$B$1008,I760)</f>
        <v>3000000000</v>
      </c>
    </row>
    <row r="763" customFormat="false" ht="15" hidden="false" customHeight="false" outlineLevel="0" collapsed="false">
      <c r="A763" s="29" t="s">
        <v>781</v>
      </c>
      <c r="C763" s="48" t="s">
        <v>818</v>
      </c>
      <c r="F763" s="22" t="s">
        <v>650</v>
      </c>
      <c r="I763" s="25" t="n">
        <f aca="false">SUMIFS($D$768:$D$1008,$O$768:$O$1008,1)</f>
        <v>262697500</v>
      </c>
    </row>
    <row r="764" customFormat="false" ht="15" hidden="false" customHeight="false" outlineLevel="0" collapsed="false">
      <c r="A764" s="29" t="s">
        <v>782</v>
      </c>
      <c r="C764" s="49" t="str">
        <f aca="false">IFERROR(IRR($M$768:$M$1008),"N/A")</f>
        <v>N/A</v>
      </c>
      <c r="F764" s="22" t="s">
        <v>783</v>
      </c>
      <c r="I764" s="25" t="n">
        <f aca="false">SUMIFS($E$768:$E$1008,$P$768:$P$1008,1)</f>
        <v>0</v>
      </c>
    </row>
    <row r="765" customFormat="false" ht="15" hidden="false" customHeight="false" outlineLevel="0" collapsed="false">
      <c r="A765" s="29" t="s">
        <v>784</v>
      </c>
      <c r="C765" s="50" t="str">
        <f aca="false">IF(ISNUMBER(C764),(1+C764)^12-1,"N/A")</f>
        <v>N/A</v>
      </c>
      <c r="F765" s="22" t="s">
        <v>785</v>
      </c>
      <c r="I765" s="25" t="n">
        <f aca="false">SUMPRODUCT(MAX(ABS($L$768:$L$1008)))</f>
        <v>9.23871994018555E-007</v>
      </c>
    </row>
    <row r="767" customFormat="false" ht="36" hidden="false" customHeight="true" outlineLevel="0" collapsed="false">
      <c r="A767" s="27" t="s">
        <v>786</v>
      </c>
      <c r="B767" s="27" t="s">
        <v>396</v>
      </c>
      <c r="C767" s="27" t="s">
        <v>787</v>
      </c>
      <c r="D767" s="27" t="s">
        <v>788</v>
      </c>
      <c r="E767" s="27" t="s">
        <v>789</v>
      </c>
      <c r="F767" s="27" t="s">
        <v>790</v>
      </c>
      <c r="G767" s="27" t="s">
        <v>791</v>
      </c>
      <c r="H767" s="27" t="s">
        <v>792</v>
      </c>
      <c r="I767" s="27" t="s">
        <v>793</v>
      </c>
      <c r="J767" s="27" t="s">
        <v>794</v>
      </c>
      <c r="K767" s="27" t="s">
        <v>795</v>
      </c>
      <c r="L767" s="27" t="s">
        <v>796</v>
      </c>
      <c r="M767" s="27" t="s">
        <v>797</v>
      </c>
      <c r="N767" s="27" t="s">
        <v>798</v>
      </c>
      <c r="O767" s="27" t="s">
        <v>799</v>
      </c>
      <c r="P767" s="27" t="s">
        <v>800</v>
      </c>
    </row>
    <row r="768" customFormat="false" ht="15" hidden="false" customHeight="false" outlineLevel="0" collapsed="false">
      <c r="A768" s="22" t="n">
        <v>0</v>
      </c>
      <c r="B768" s="23" t="n">
        <v>44405</v>
      </c>
      <c r="C768" s="28" t="n">
        <v>3000000000</v>
      </c>
      <c r="D768" s="28" t="n">
        <v>0</v>
      </c>
      <c r="E768" s="28" t="n">
        <v>0</v>
      </c>
      <c r="F768" s="28" t="n">
        <v>0</v>
      </c>
      <c r="G768" s="28" t="n">
        <v>3000000000</v>
      </c>
      <c r="H768" s="25" t="n">
        <f aca="false">C768</f>
        <v>3000000000</v>
      </c>
      <c r="I768" s="25" t="n">
        <f aca="false">H768*N768</f>
        <v>14057500</v>
      </c>
      <c r="J768" s="25" t="n">
        <f aca="false">H768-E768</f>
        <v>3000000000</v>
      </c>
      <c r="K768" s="25" t="n">
        <f aca="false">D768-I768</f>
        <v>-14057500</v>
      </c>
      <c r="L768" s="25" t="n">
        <f aca="false">G768-J768</f>
        <v>0</v>
      </c>
      <c r="M768" s="25" t="n">
        <f aca="false">-$C$760</f>
        <v>-3000000000</v>
      </c>
      <c r="N768" s="48" t="n">
        <v>0.00468583333333333</v>
      </c>
      <c r="O768" s="25" t="n">
        <f aca="false">IF(AND(B768&gt;=DATE(2026,1,1),B768&lt;=Resumen!$C$5),1,0)</f>
        <v>0</v>
      </c>
      <c r="P768" s="25" t="n">
        <f aca="false">IF(AND(B768&gt;Resumen!$C$5,B768&lt;=DATE(2027,7,31)),1,0)</f>
        <v>0</v>
      </c>
    </row>
    <row r="769" customFormat="false" ht="15" hidden="false" customHeight="false" outlineLevel="0" collapsed="false">
      <c r="A769" s="22" t="n">
        <v>1</v>
      </c>
      <c r="B769" s="23" t="n">
        <v>44436</v>
      </c>
      <c r="C769" s="28" t="n">
        <v>3000000000</v>
      </c>
      <c r="D769" s="28" t="n">
        <v>14380000</v>
      </c>
      <c r="E769" s="28" t="n">
        <v>0</v>
      </c>
      <c r="F769" s="28" t="n">
        <v>14380000</v>
      </c>
      <c r="G769" s="28" t="n">
        <v>3000000000</v>
      </c>
      <c r="H769" s="25" t="n">
        <f aca="false">J768</f>
        <v>3000000000</v>
      </c>
      <c r="I769" s="25" t="n">
        <f aca="false">H769*N769</f>
        <v>14380000</v>
      </c>
      <c r="J769" s="25" t="n">
        <f aca="false">H769-E769</f>
        <v>3000000000</v>
      </c>
      <c r="K769" s="25" t="n">
        <f aca="false">D769-I769</f>
        <v>0</v>
      </c>
      <c r="L769" s="25" t="n">
        <f aca="false">G769-J769</f>
        <v>0</v>
      </c>
      <c r="M769" s="25" t="n">
        <f aca="false">F769</f>
        <v>14380000</v>
      </c>
      <c r="N769" s="48" t="n">
        <v>0.00479333333333333</v>
      </c>
      <c r="O769" s="25" t="n">
        <f aca="false">IF(AND(B769&gt;=DATE(2026,1,1),B769&lt;=Resumen!$C$5),1,0)</f>
        <v>0</v>
      </c>
      <c r="P769" s="25" t="n">
        <f aca="false">IF(AND(B769&gt;Resumen!$C$5,B769&lt;=DATE(2027,7,31)),1,0)</f>
        <v>0</v>
      </c>
    </row>
    <row r="770" customFormat="false" ht="15" hidden="false" customHeight="false" outlineLevel="0" collapsed="false">
      <c r="A770" s="22" t="n">
        <v>2</v>
      </c>
      <c r="B770" s="23" t="n">
        <v>44467</v>
      </c>
      <c r="C770" s="28" t="n">
        <v>3000000000</v>
      </c>
      <c r="D770" s="28" t="n">
        <v>15825000</v>
      </c>
      <c r="E770" s="28" t="n">
        <v>0</v>
      </c>
      <c r="F770" s="28" t="n">
        <v>15825000</v>
      </c>
      <c r="G770" s="28" t="n">
        <v>3000000000</v>
      </c>
      <c r="H770" s="25" t="n">
        <f aca="false">J769</f>
        <v>3000000000</v>
      </c>
      <c r="I770" s="25" t="n">
        <f aca="false">H770*N770</f>
        <v>15825000</v>
      </c>
      <c r="J770" s="25" t="n">
        <f aca="false">H770-E770</f>
        <v>3000000000</v>
      </c>
      <c r="K770" s="25" t="n">
        <f aca="false">D770-I770</f>
        <v>0</v>
      </c>
      <c r="L770" s="25" t="n">
        <f aca="false">G770-J770</f>
        <v>0</v>
      </c>
      <c r="M770" s="25" t="n">
        <f aca="false">F770</f>
        <v>15825000</v>
      </c>
      <c r="N770" s="48" t="n">
        <v>0.005275</v>
      </c>
      <c r="O770" s="25" t="n">
        <f aca="false">IF(AND(B770&gt;=DATE(2026,1,1),B770&lt;=Resumen!$C$5),1,0)</f>
        <v>0</v>
      </c>
      <c r="P770" s="25" t="n">
        <f aca="false">IF(AND(B770&gt;Resumen!$C$5,B770&lt;=DATE(2027,7,31)),1,0)</f>
        <v>0</v>
      </c>
    </row>
    <row r="771" customFormat="false" ht="15" hidden="false" customHeight="false" outlineLevel="0" collapsed="false">
      <c r="A771" s="22" t="n">
        <v>3</v>
      </c>
      <c r="B771" s="23" t="n">
        <v>44497</v>
      </c>
      <c r="C771" s="28" t="n">
        <v>3000000000</v>
      </c>
      <c r="D771" s="28" t="n">
        <v>16612500</v>
      </c>
      <c r="E771" s="28" t="n">
        <v>0</v>
      </c>
      <c r="F771" s="28" t="n">
        <v>16612500</v>
      </c>
      <c r="G771" s="28" t="n">
        <v>3000000000</v>
      </c>
      <c r="H771" s="25" t="n">
        <f aca="false">J770</f>
        <v>3000000000</v>
      </c>
      <c r="I771" s="25" t="n">
        <f aca="false">H771*N771</f>
        <v>16612500</v>
      </c>
      <c r="J771" s="25" t="n">
        <f aca="false">H771-E771</f>
        <v>3000000000</v>
      </c>
      <c r="K771" s="25" t="n">
        <f aca="false">D771-I771</f>
        <v>0</v>
      </c>
      <c r="L771" s="25" t="n">
        <f aca="false">G771-J771</f>
        <v>0</v>
      </c>
      <c r="M771" s="25" t="n">
        <f aca="false">F771</f>
        <v>16612500</v>
      </c>
      <c r="N771" s="48" t="n">
        <v>0.0055375</v>
      </c>
      <c r="O771" s="25" t="n">
        <f aca="false">IF(AND(B771&gt;=DATE(2026,1,1),B771&lt;=Resumen!$C$5),1,0)</f>
        <v>0</v>
      </c>
      <c r="P771" s="25" t="n">
        <f aca="false">IF(AND(B771&gt;Resumen!$C$5,B771&lt;=DATE(2027,7,31)),1,0)</f>
        <v>0</v>
      </c>
    </row>
    <row r="772" customFormat="false" ht="15" hidden="false" customHeight="false" outlineLevel="0" collapsed="false">
      <c r="A772" s="22" t="n">
        <v>4</v>
      </c>
      <c r="B772" s="23" t="n">
        <v>44528</v>
      </c>
      <c r="C772" s="28" t="n">
        <v>3000000000</v>
      </c>
      <c r="D772" s="28" t="n">
        <v>17302500</v>
      </c>
      <c r="E772" s="28" t="n">
        <v>0</v>
      </c>
      <c r="F772" s="28" t="n">
        <v>17302500</v>
      </c>
      <c r="G772" s="28" t="n">
        <v>3000000000</v>
      </c>
      <c r="H772" s="25" t="n">
        <f aca="false">J771</f>
        <v>3000000000</v>
      </c>
      <c r="I772" s="25" t="n">
        <f aca="false">H772*N772</f>
        <v>17302500</v>
      </c>
      <c r="J772" s="25" t="n">
        <f aca="false">H772-E772</f>
        <v>3000000000</v>
      </c>
      <c r="K772" s="25" t="n">
        <f aca="false">D772-I772</f>
        <v>0</v>
      </c>
      <c r="L772" s="25" t="n">
        <f aca="false">G772-J772</f>
        <v>0</v>
      </c>
      <c r="M772" s="25" t="n">
        <f aca="false">F772</f>
        <v>17302500</v>
      </c>
      <c r="N772" s="48" t="n">
        <v>0.0057675</v>
      </c>
      <c r="O772" s="25" t="n">
        <f aca="false">IF(AND(B772&gt;=DATE(2026,1,1),B772&lt;=Resumen!$C$5),1,0)</f>
        <v>0</v>
      </c>
      <c r="P772" s="25" t="n">
        <f aca="false">IF(AND(B772&gt;Resumen!$C$5,B772&lt;=DATE(2027,7,31)),1,0)</f>
        <v>0</v>
      </c>
    </row>
    <row r="773" customFormat="false" ht="15" hidden="false" customHeight="false" outlineLevel="0" collapsed="false">
      <c r="A773" s="22" t="n">
        <v>5</v>
      </c>
      <c r="B773" s="23" t="n">
        <v>44558</v>
      </c>
      <c r="C773" s="28" t="n">
        <v>3000000000</v>
      </c>
      <c r="D773" s="28" t="n">
        <v>18927500</v>
      </c>
      <c r="E773" s="28" t="n">
        <v>0</v>
      </c>
      <c r="F773" s="28" t="n">
        <v>18927500</v>
      </c>
      <c r="G773" s="28" t="n">
        <v>3000000000</v>
      </c>
      <c r="H773" s="25" t="n">
        <f aca="false">J772</f>
        <v>3000000000</v>
      </c>
      <c r="I773" s="25" t="n">
        <f aca="false">H773*N773</f>
        <v>18927500</v>
      </c>
      <c r="J773" s="25" t="n">
        <f aca="false">H773-E773</f>
        <v>3000000000</v>
      </c>
      <c r="K773" s="25" t="n">
        <f aca="false">D773-I773</f>
        <v>0</v>
      </c>
      <c r="L773" s="25" t="n">
        <f aca="false">G773-J773</f>
        <v>0</v>
      </c>
      <c r="M773" s="25" t="n">
        <f aca="false">F773</f>
        <v>18927500</v>
      </c>
      <c r="N773" s="48" t="n">
        <v>0.00630916666666667</v>
      </c>
      <c r="O773" s="25" t="n">
        <f aca="false">IF(AND(B773&gt;=DATE(2026,1,1),B773&lt;=Resumen!$C$5),1,0)</f>
        <v>0</v>
      </c>
      <c r="P773" s="25" t="n">
        <f aca="false">IF(AND(B773&gt;Resumen!$C$5,B773&lt;=DATE(2027,7,31)),1,0)</f>
        <v>0</v>
      </c>
    </row>
    <row r="774" customFormat="false" ht="15" hidden="false" customHeight="false" outlineLevel="0" collapsed="false">
      <c r="A774" s="22" t="n">
        <v>6</v>
      </c>
      <c r="B774" s="23" t="n">
        <v>44589</v>
      </c>
      <c r="C774" s="28" t="n">
        <v>3000000000</v>
      </c>
      <c r="D774" s="28" t="n">
        <v>21127500</v>
      </c>
      <c r="E774" s="28" t="n">
        <v>0</v>
      </c>
      <c r="F774" s="28" t="n">
        <v>21127500</v>
      </c>
      <c r="G774" s="28" t="n">
        <v>3000000000</v>
      </c>
      <c r="H774" s="25" t="n">
        <f aca="false">J773</f>
        <v>3000000000</v>
      </c>
      <c r="I774" s="25" t="n">
        <f aca="false">H774*N774</f>
        <v>21127500</v>
      </c>
      <c r="J774" s="25" t="n">
        <f aca="false">H774-E774</f>
        <v>3000000000</v>
      </c>
      <c r="K774" s="25" t="n">
        <f aca="false">D774-I774</f>
        <v>0</v>
      </c>
      <c r="L774" s="25" t="n">
        <f aca="false">G774-J774</f>
        <v>0</v>
      </c>
      <c r="M774" s="25" t="n">
        <f aca="false">F774</f>
        <v>21127500</v>
      </c>
      <c r="N774" s="48" t="n">
        <v>0.0070425</v>
      </c>
      <c r="O774" s="25" t="n">
        <f aca="false">IF(AND(B774&gt;=DATE(2026,1,1),B774&lt;=Resumen!$C$5),1,0)</f>
        <v>0</v>
      </c>
      <c r="P774" s="25" t="n">
        <f aca="false">IF(AND(B774&gt;Resumen!$C$5,B774&lt;=DATE(2027,7,31)),1,0)</f>
        <v>0</v>
      </c>
    </row>
    <row r="775" customFormat="false" ht="15" hidden="false" customHeight="false" outlineLevel="0" collapsed="false">
      <c r="A775" s="22" t="n">
        <v>7</v>
      </c>
      <c r="B775" s="23" t="n">
        <v>44620</v>
      </c>
      <c r="C775" s="28" t="n">
        <v>3000000000</v>
      </c>
      <c r="D775" s="28" t="n">
        <v>26272500</v>
      </c>
      <c r="E775" s="28" t="n">
        <v>0</v>
      </c>
      <c r="F775" s="28" t="n">
        <v>26272500</v>
      </c>
      <c r="G775" s="28" t="n">
        <v>3000000000</v>
      </c>
      <c r="H775" s="25" t="n">
        <f aca="false">J774</f>
        <v>3000000000</v>
      </c>
      <c r="I775" s="25" t="n">
        <f aca="false">H775*N775</f>
        <v>26272500</v>
      </c>
      <c r="J775" s="25" t="n">
        <f aca="false">H775-E775</f>
        <v>3000000000</v>
      </c>
      <c r="K775" s="25" t="n">
        <f aca="false">D775-I775</f>
        <v>0</v>
      </c>
      <c r="L775" s="25" t="n">
        <f aca="false">G775-J775</f>
        <v>0</v>
      </c>
      <c r="M775" s="25" t="n">
        <f aca="false">F775</f>
        <v>26272500</v>
      </c>
      <c r="N775" s="48" t="n">
        <v>0.0087575</v>
      </c>
      <c r="O775" s="25" t="n">
        <f aca="false">IF(AND(B775&gt;=DATE(2026,1,1),B775&lt;=Resumen!$C$5),1,0)</f>
        <v>0</v>
      </c>
      <c r="P775" s="25" t="n">
        <f aca="false">IF(AND(B775&gt;Resumen!$C$5,B775&lt;=DATE(2027,7,31)),1,0)</f>
        <v>0</v>
      </c>
    </row>
    <row r="776" customFormat="false" ht="15" hidden="false" customHeight="false" outlineLevel="0" collapsed="false">
      <c r="A776" s="22" t="n">
        <v>8</v>
      </c>
      <c r="B776" s="23" t="n">
        <v>44648</v>
      </c>
      <c r="C776" s="28" t="n">
        <v>3000000000</v>
      </c>
      <c r="D776" s="28" t="n">
        <v>26090000</v>
      </c>
      <c r="E776" s="28" t="n">
        <v>0</v>
      </c>
      <c r="F776" s="28" t="n">
        <v>26090000</v>
      </c>
      <c r="G776" s="28" t="n">
        <v>3000000000</v>
      </c>
      <c r="H776" s="25" t="n">
        <f aca="false">J775</f>
        <v>3000000000</v>
      </c>
      <c r="I776" s="25" t="n">
        <f aca="false">H776*N776</f>
        <v>26090000</v>
      </c>
      <c r="J776" s="25" t="n">
        <f aca="false">H776-E776</f>
        <v>3000000000</v>
      </c>
      <c r="K776" s="25" t="n">
        <f aca="false">D776-I776</f>
        <v>0</v>
      </c>
      <c r="L776" s="25" t="n">
        <f aca="false">G776-J776</f>
        <v>0</v>
      </c>
      <c r="M776" s="25" t="n">
        <f aca="false">F776</f>
        <v>26090000</v>
      </c>
      <c r="N776" s="48" t="n">
        <v>0.00869666666666667</v>
      </c>
      <c r="O776" s="25" t="n">
        <f aca="false">IF(AND(B776&gt;=DATE(2026,1,1),B776&lt;=Resumen!$C$5),1,0)</f>
        <v>0</v>
      </c>
      <c r="P776" s="25" t="n">
        <f aca="false">IF(AND(B776&gt;Resumen!$C$5,B776&lt;=DATE(2027,7,31)),1,0)</f>
        <v>0</v>
      </c>
    </row>
    <row r="777" customFormat="false" ht="15" hidden="false" customHeight="false" outlineLevel="0" collapsed="false">
      <c r="A777" s="22" t="n">
        <v>9</v>
      </c>
      <c r="B777" s="23" t="n">
        <v>44679</v>
      </c>
      <c r="C777" s="28" t="n">
        <v>3000000000</v>
      </c>
      <c r="D777" s="28" t="n">
        <v>28342500</v>
      </c>
      <c r="E777" s="28" t="n">
        <v>0</v>
      </c>
      <c r="F777" s="28" t="n">
        <v>28342500</v>
      </c>
      <c r="G777" s="28" t="n">
        <v>3000000000</v>
      </c>
      <c r="H777" s="25" t="n">
        <f aca="false">J776</f>
        <v>3000000000</v>
      </c>
      <c r="I777" s="25" t="n">
        <f aca="false">H777*N777</f>
        <v>28342500</v>
      </c>
      <c r="J777" s="25" t="n">
        <f aca="false">H777-E777</f>
        <v>3000000000</v>
      </c>
      <c r="K777" s="25" t="n">
        <f aca="false">D777-I777</f>
        <v>0</v>
      </c>
      <c r="L777" s="25" t="n">
        <f aca="false">G777-J777</f>
        <v>0</v>
      </c>
      <c r="M777" s="25" t="n">
        <f aca="false">F777</f>
        <v>28342500</v>
      </c>
      <c r="N777" s="48" t="n">
        <v>0.0094475</v>
      </c>
      <c r="O777" s="25" t="n">
        <f aca="false">IF(AND(B777&gt;=DATE(2026,1,1),B777&lt;=Resumen!$C$5),1,0)</f>
        <v>0</v>
      </c>
      <c r="P777" s="25" t="n">
        <f aca="false">IF(AND(B777&gt;Resumen!$C$5,B777&lt;=DATE(2027,7,31)),1,0)</f>
        <v>0</v>
      </c>
    </row>
    <row r="778" customFormat="false" ht="15" hidden="false" customHeight="false" outlineLevel="0" collapsed="false">
      <c r="A778" s="22" t="n">
        <v>10</v>
      </c>
      <c r="B778" s="23" t="n">
        <v>44709</v>
      </c>
      <c r="C778" s="28" t="n">
        <v>3000000000</v>
      </c>
      <c r="D778" s="28" t="n">
        <v>28900000</v>
      </c>
      <c r="E778" s="28" t="n">
        <v>0</v>
      </c>
      <c r="F778" s="28" t="n">
        <v>28900000</v>
      </c>
      <c r="G778" s="28" t="n">
        <v>3000000000</v>
      </c>
      <c r="H778" s="25" t="n">
        <f aca="false">J777</f>
        <v>3000000000</v>
      </c>
      <c r="I778" s="25" t="n">
        <f aca="false">H778*N778</f>
        <v>28900000</v>
      </c>
      <c r="J778" s="25" t="n">
        <f aca="false">H778-E778</f>
        <v>3000000000</v>
      </c>
      <c r="K778" s="25" t="n">
        <f aca="false">D778-I778</f>
        <v>0</v>
      </c>
      <c r="L778" s="25" t="n">
        <f aca="false">G778-J778</f>
        <v>0</v>
      </c>
      <c r="M778" s="25" t="n">
        <f aca="false">F778</f>
        <v>28900000</v>
      </c>
      <c r="N778" s="48" t="n">
        <v>0.00963333333333333</v>
      </c>
      <c r="O778" s="25" t="n">
        <f aca="false">IF(AND(B778&gt;=DATE(2026,1,1),B778&lt;=Resumen!$C$5),1,0)</f>
        <v>0</v>
      </c>
      <c r="P778" s="25" t="n">
        <f aca="false">IF(AND(B778&gt;Resumen!$C$5,B778&lt;=DATE(2027,7,31)),1,0)</f>
        <v>0</v>
      </c>
    </row>
    <row r="779" customFormat="false" ht="15" hidden="false" customHeight="false" outlineLevel="0" collapsed="false">
      <c r="A779" s="22" t="n">
        <v>11</v>
      </c>
      <c r="B779" s="23" t="n">
        <v>44740</v>
      </c>
      <c r="C779" s="28" t="n">
        <v>3000000000</v>
      </c>
      <c r="D779" s="28" t="n">
        <v>28900000</v>
      </c>
      <c r="E779" s="28" t="n">
        <v>0</v>
      </c>
      <c r="F779" s="28" t="n">
        <v>28900000</v>
      </c>
      <c r="G779" s="28" t="n">
        <v>3000000000</v>
      </c>
      <c r="H779" s="25" t="n">
        <f aca="false">J778</f>
        <v>3000000000</v>
      </c>
      <c r="I779" s="25" t="n">
        <f aca="false">H779*N779</f>
        <v>28900000</v>
      </c>
      <c r="J779" s="25" t="n">
        <f aca="false">H779-E779</f>
        <v>3000000000</v>
      </c>
      <c r="K779" s="25" t="n">
        <f aca="false">D779-I779</f>
        <v>0</v>
      </c>
      <c r="L779" s="25" t="n">
        <f aca="false">G779-J779</f>
        <v>0</v>
      </c>
      <c r="M779" s="25" t="n">
        <f aca="false">F779</f>
        <v>28900000</v>
      </c>
      <c r="N779" s="48" t="n">
        <v>0.00963333333333333</v>
      </c>
      <c r="O779" s="25" t="n">
        <f aca="false">IF(AND(B779&gt;=DATE(2026,1,1),B779&lt;=Resumen!$C$5),1,0)</f>
        <v>0</v>
      </c>
      <c r="P779" s="25" t="n">
        <f aca="false">IF(AND(B779&gt;Resumen!$C$5,B779&lt;=DATE(2027,7,31)),1,0)</f>
        <v>0</v>
      </c>
    </row>
    <row r="780" customFormat="false" ht="15" hidden="false" customHeight="false" outlineLevel="0" collapsed="false">
      <c r="A780" s="22" t="n">
        <v>12</v>
      </c>
      <c r="B780" s="23" t="n">
        <v>44770</v>
      </c>
      <c r="C780" s="28" t="n">
        <v>3000000000</v>
      </c>
      <c r="D780" s="28" t="n">
        <v>33417500</v>
      </c>
      <c r="E780" s="28" t="n">
        <v>0</v>
      </c>
      <c r="F780" s="28" t="n">
        <v>33417500</v>
      </c>
      <c r="G780" s="28" t="n">
        <v>3000000000</v>
      </c>
      <c r="H780" s="25" t="n">
        <f aca="false">J779</f>
        <v>3000000000</v>
      </c>
      <c r="I780" s="25" t="n">
        <f aca="false">H780*N780</f>
        <v>33417500</v>
      </c>
      <c r="J780" s="25" t="n">
        <f aca="false">H780-E780</f>
        <v>3000000000</v>
      </c>
      <c r="K780" s="25" t="n">
        <f aca="false">D780-I780</f>
        <v>0</v>
      </c>
      <c r="L780" s="25" t="n">
        <f aca="false">G780-J780</f>
        <v>0</v>
      </c>
      <c r="M780" s="25" t="n">
        <f aca="false">F780</f>
        <v>33417500</v>
      </c>
      <c r="N780" s="48" t="n">
        <v>0.0111391666666667</v>
      </c>
      <c r="O780" s="25" t="n">
        <f aca="false">IF(AND(B780&gt;=DATE(2026,1,1),B780&lt;=Resumen!$C$5),1,0)</f>
        <v>0</v>
      </c>
      <c r="P780" s="25" t="n">
        <f aca="false">IF(AND(B780&gt;Resumen!$C$5,B780&lt;=DATE(2027,7,31)),1,0)</f>
        <v>0</v>
      </c>
    </row>
    <row r="781" customFormat="false" ht="15" hidden="false" customHeight="false" outlineLevel="0" collapsed="false">
      <c r="A781" s="22" t="n">
        <v>13</v>
      </c>
      <c r="B781" s="23" t="n">
        <v>44801</v>
      </c>
      <c r="C781" s="28" t="n">
        <v>3000000000</v>
      </c>
      <c r="D781" s="28" t="n">
        <v>35187500</v>
      </c>
      <c r="E781" s="28" t="n">
        <v>0</v>
      </c>
      <c r="F781" s="28" t="n">
        <v>35187500</v>
      </c>
      <c r="G781" s="28" t="n">
        <v>3000000000</v>
      </c>
      <c r="H781" s="25" t="n">
        <f aca="false">J780</f>
        <v>3000000000</v>
      </c>
      <c r="I781" s="25" t="n">
        <f aca="false">H781*N781</f>
        <v>35187500</v>
      </c>
      <c r="J781" s="25" t="n">
        <f aca="false">H781-E781</f>
        <v>3000000000</v>
      </c>
      <c r="K781" s="25" t="n">
        <f aca="false">D781-I781</f>
        <v>0</v>
      </c>
      <c r="L781" s="25" t="n">
        <f aca="false">G781-J781</f>
        <v>0</v>
      </c>
      <c r="M781" s="25" t="n">
        <f aca="false">F781</f>
        <v>35187500</v>
      </c>
      <c r="N781" s="48" t="n">
        <v>0.0117291666666667</v>
      </c>
      <c r="O781" s="25" t="n">
        <f aca="false">IF(AND(B781&gt;=DATE(2026,1,1),B781&lt;=Resumen!$C$5),1,0)</f>
        <v>0</v>
      </c>
      <c r="P781" s="25" t="n">
        <f aca="false">IF(AND(B781&gt;Resumen!$C$5,B781&lt;=DATE(2027,7,31)),1,0)</f>
        <v>0</v>
      </c>
    </row>
    <row r="782" customFormat="false" ht="15" hidden="false" customHeight="false" outlineLevel="0" collapsed="false">
      <c r="A782" s="22" t="n">
        <v>14</v>
      </c>
      <c r="B782" s="23" t="n">
        <v>44832</v>
      </c>
      <c r="C782" s="28" t="n">
        <v>3000000000</v>
      </c>
      <c r="D782" s="28" t="n">
        <v>36670000</v>
      </c>
      <c r="E782" s="28" t="n">
        <v>0</v>
      </c>
      <c r="F782" s="28" t="n">
        <v>36670000</v>
      </c>
      <c r="G782" s="28" t="n">
        <v>3000000000</v>
      </c>
      <c r="H782" s="25" t="n">
        <f aca="false">J781</f>
        <v>3000000000</v>
      </c>
      <c r="I782" s="25" t="n">
        <f aca="false">H782*N782</f>
        <v>36670000</v>
      </c>
      <c r="J782" s="25" t="n">
        <f aca="false">H782-E782</f>
        <v>3000000000</v>
      </c>
      <c r="K782" s="25" t="n">
        <f aca="false">D782-I782</f>
        <v>0</v>
      </c>
      <c r="L782" s="25" t="n">
        <f aca="false">G782-J782</f>
        <v>0</v>
      </c>
      <c r="M782" s="25" t="n">
        <f aca="false">F782</f>
        <v>36670000</v>
      </c>
      <c r="N782" s="48" t="n">
        <v>0.0122233333333333</v>
      </c>
      <c r="O782" s="25" t="n">
        <f aca="false">IF(AND(B782&gt;=DATE(2026,1,1),B782&lt;=Resumen!$C$5),1,0)</f>
        <v>0</v>
      </c>
      <c r="P782" s="25" t="n">
        <f aca="false">IF(AND(B782&gt;Resumen!$C$5,B782&lt;=DATE(2027,7,31)),1,0)</f>
        <v>0</v>
      </c>
    </row>
    <row r="783" customFormat="false" ht="15" hidden="false" customHeight="false" outlineLevel="0" collapsed="false">
      <c r="A783" s="22" t="n">
        <v>15</v>
      </c>
      <c r="B783" s="23" t="n">
        <v>44862</v>
      </c>
      <c r="C783" s="28" t="n">
        <v>3000000000</v>
      </c>
      <c r="D783" s="28" t="n">
        <v>38555000</v>
      </c>
      <c r="E783" s="28" t="n">
        <v>0</v>
      </c>
      <c r="F783" s="28" t="n">
        <v>38555000</v>
      </c>
      <c r="G783" s="28" t="n">
        <v>3000000000</v>
      </c>
      <c r="H783" s="25" t="n">
        <f aca="false">J782</f>
        <v>3000000000</v>
      </c>
      <c r="I783" s="25" t="n">
        <f aca="false">H783*N783</f>
        <v>38555000</v>
      </c>
      <c r="J783" s="25" t="n">
        <f aca="false">H783-E783</f>
        <v>3000000000</v>
      </c>
      <c r="K783" s="25" t="n">
        <f aca="false">D783-I783</f>
        <v>0</v>
      </c>
      <c r="L783" s="25" t="n">
        <f aca="false">G783-J783</f>
        <v>0</v>
      </c>
      <c r="M783" s="25" t="n">
        <f aca="false">F783</f>
        <v>38555000</v>
      </c>
      <c r="N783" s="48" t="n">
        <v>0.0128516666666667</v>
      </c>
      <c r="O783" s="25" t="n">
        <f aca="false">IF(AND(B783&gt;=DATE(2026,1,1),B783&lt;=Resumen!$C$5),1,0)</f>
        <v>0</v>
      </c>
      <c r="P783" s="25" t="n">
        <f aca="false">IF(AND(B783&gt;Resumen!$C$5,B783&lt;=DATE(2027,7,31)),1,0)</f>
        <v>0</v>
      </c>
    </row>
    <row r="784" customFormat="false" ht="15" hidden="false" customHeight="false" outlineLevel="0" collapsed="false">
      <c r="A784" s="22" t="n">
        <v>16</v>
      </c>
      <c r="B784" s="23" t="n">
        <v>44893</v>
      </c>
      <c r="C784" s="28" t="n">
        <v>3000000000</v>
      </c>
      <c r="D784" s="28" t="n">
        <v>38990000</v>
      </c>
      <c r="E784" s="28" t="n">
        <v>0</v>
      </c>
      <c r="F784" s="28" t="n">
        <v>38990000</v>
      </c>
      <c r="G784" s="28" t="n">
        <v>3000000000</v>
      </c>
      <c r="H784" s="25" t="n">
        <f aca="false">J783</f>
        <v>3000000000</v>
      </c>
      <c r="I784" s="25" t="n">
        <f aca="false">H784*N784</f>
        <v>38990000</v>
      </c>
      <c r="J784" s="25" t="n">
        <f aca="false">H784-E784</f>
        <v>3000000000</v>
      </c>
      <c r="K784" s="25" t="n">
        <f aca="false">D784-I784</f>
        <v>0</v>
      </c>
      <c r="L784" s="25" t="n">
        <f aca="false">G784-J784</f>
        <v>0</v>
      </c>
      <c r="M784" s="25" t="n">
        <f aca="false">F784</f>
        <v>38990000</v>
      </c>
      <c r="N784" s="48" t="n">
        <v>0.0129966666666667</v>
      </c>
      <c r="O784" s="25" t="n">
        <f aca="false">IF(AND(B784&gt;=DATE(2026,1,1),B784&lt;=Resumen!$C$5),1,0)</f>
        <v>0</v>
      </c>
      <c r="P784" s="25" t="n">
        <f aca="false">IF(AND(B784&gt;Resumen!$C$5,B784&lt;=DATE(2027,7,31)),1,0)</f>
        <v>0</v>
      </c>
    </row>
    <row r="785" customFormat="false" ht="15" hidden="false" customHeight="false" outlineLevel="0" collapsed="false">
      <c r="A785" s="22" t="n">
        <v>17</v>
      </c>
      <c r="B785" s="23" t="n">
        <v>44923</v>
      </c>
      <c r="C785" s="28" t="n">
        <v>3000000000</v>
      </c>
      <c r="D785" s="28" t="n">
        <v>39912500</v>
      </c>
      <c r="E785" s="28" t="n">
        <v>0</v>
      </c>
      <c r="F785" s="28" t="n">
        <v>39912500</v>
      </c>
      <c r="G785" s="28" t="n">
        <v>3000000000</v>
      </c>
      <c r="H785" s="25" t="n">
        <f aca="false">J784</f>
        <v>3000000000</v>
      </c>
      <c r="I785" s="25" t="n">
        <f aca="false">H785*N785</f>
        <v>39912500</v>
      </c>
      <c r="J785" s="25" t="n">
        <f aca="false">H785-E785</f>
        <v>3000000000</v>
      </c>
      <c r="K785" s="25" t="n">
        <f aca="false">D785-I785</f>
        <v>0</v>
      </c>
      <c r="L785" s="25" t="n">
        <f aca="false">G785-J785</f>
        <v>0</v>
      </c>
      <c r="M785" s="25" t="n">
        <f aca="false">F785</f>
        <v>39912500</v>
      </c>
      <c r="N785" s="48" t="n">
        <v>0.0133041666666667</v>
      </c>
      <c r="O785" s="25" t="n">
        <f aca="false">IF(AND(B785&gt;=DATE(2026,1,1),B785&lt;=Resumen!$C$5),1,0)</f>
        <v>0</v>
      </c>
      <c r="P785" s="25" t="n">
        <f aca="false">IF(AND(B785&gt;Resumen!$C$5,B785&lt;=DATE(2027,7,31)),1,0)</f>
        <v>0</v>
      </c>
    </row>
    <row r="786" customFormat="false" ht="15" hidden="false" customHeight="false" outlineLevel="0" collapsed="false">
      <c r="A786" s="22" t="n">
        <v>18</v>
      </c>
      <c r="B786" s="23" t="n">
        <v>44954</v>
      </c>
      <c r="C786" s="28" t="n">
        <v>3000000000</v>
      </c>
      <c r="D786" s="28" t="n">
        <v>40725000</v>
      </c>
      <c r="E786" s="28" t="n">
        <v>0</v>
      </c>
      <c r="F786" s="28" t="n">
        <v>40725000</v>
      </c>
      <c r="G786" s="28" t="n">
        <v>3000000000</v>
      </c>
      <c r="H786" s="25" t="n">
        <f aca="false">J785</f>
        <v>3000000000</v>
      </c>
      <c r="I786" s="25" t="n">
        <f aca="false">H786*N786</f>
        <v>40725000</v>
      </c>
      <c r="J786" s="25" t="n">
        <f aca="false">H786-E786</f>
        <v>3000000000</v>
      </c>
      <c r="K786" s="25" t="n">
        <f aca="false">D786-I786</f>
        <v>0</v>
      </c>
      <c r="L786" s="25" t="n">
        <f aca="false">G786-J786</f>
        <v>0</v>
      </c>
      <c r="M786" s="25" t="n">
        <f aca="false">F786</f>
        <v>40725000</v>
      </c>
      <c r="N786" s="48" t="n">
        <v>0.013575</v>
      </c>
      <c r="O786" s="25" t="n">
        <f aca="false">IF(AND(B786&gt;=DATE(2026,1,1),B786&lt;=Resumen!$C$5),1,0)</f>
        <v>0</v>
      </c>
      <c r="P786" s="25" t="n">
        <f aca="false">IF(AND(B786&gt;Resumen!$C$5,B786&lt;=DATE(2027,7,31)),1,0)</f>
        <v>0</v>
      </c>
    </row>
    <row r="787" customFormat="false" ht="15" hidden="false" customHeight="false" outlineLevel="0" collapsed="false">
      <c r="A787" s="22" t="n">
        <v>19</v>
      </c>
      <c r="B787" s="23" t="n">
        <v>44985</v>
      </c>
      <c r="C787" s="28" t="n">
        <v>3000000000</v>
      </c>
      <c r="D787" s="28" t="n">
        <v>41385000</v>
      </c>
      <c r="E787" s="28" t="n">
        <v>0</v>
      </c>
      <c r="F787" s="28" t="n">
        <v>41385000</v>
      </c>
      <c r="G787" s="28" t="n">
        <v>3000000000</v>
      </c>
      <c r="H787" s="25" t="n">
        <f aca="false">J786</f>
        <v>3000000000</v>
      </c>
      <c r="I787" s="25" t="n">
        <f aca="false">H787*N787</f>
        <v>41385000</v>
      </c>
      <c r="J787" s="25" t="n">
        <f aca="false">H787-E787</f>
        <v>3000000000</v>
      </c>
      <c r="K787" s="25" t="n">
        <f aca="false">D787-I787</f>
        <v>0</v>
      </c>
      <c r="L787" s="25" t="n">
        <f aca="false">G787-J787</f>
        <v>0</v>
      </c>
      <c r="M787" s="25" t="n">
        <f aca="false">F787</f>
        <v>41385000</v>
      </c>
      <c r="N787" s="48" t="n">
        <v>0.013795</v>
      </c>
      <c r="O787" s="25" t="n">
        <f aca="false">IF(AND(B787&gt;=DATE(2026,1,1),B787&lt;=Resumen!$C$5),1,0)</f>
        <v>0</v>
      </c>
      <c r="P787" s="25" t="n">
        <f aca="false">IF(AND(B787&gt;Resumen!$C$5,B787&lt;=DATE(2027,7,31)),1,0)</f>
        <v>0</v>
      </c>
    </row>
    <row r="788" customFormat="false" ht="15" hidden="false" customHeight="false" outlineLevel="0" collapsed="false">
      <c r="A788" s="22" t="n">
        <v>20</v>
      </c>
      <c r="B788" s="23" t="n">
        <v>45013</v>
      </c>
      <c r="C788" s="28" t="n">
        <v>3000000000</v>
      </c>
      <c r="D788" s="28" t="n">
        <v>40832500</v>
      </c>
      <c r="E788" s="28" t="n">
        <v>0</v>
      </c>
      <c r="F788" s="28" t="n">
        <v>40832500</v>
      </c>
      <c r="G788" s="28" t="n">
        <v>3000000000</v>
      </c>
      <c r="H788" s="25" t="n">
        <f aca="false">J787</f>
        <v>3000000000</v>
      </c>
      <c r="I788" s="25" t="n">
        <f aca="false">H788*N788</f>
        <v>40832500</v>
      </c>
      <c r="J788" s="25" t="n">
        <f aca="false">H788-E788</f>
        <v>3000000000</v>
      </c>
      <c r="K788" s="25" t="n">
        <f aca="false">D788-I788</f>
        <v>0</v>
      </c>
      <c r="L788" s="25" t="n">
        <f aca="false">G788-J788</f>
        <v>0</v>
      </c>
      <c r="M788" s="25" t="n">
        <f aca="false">F788</f>
        <v>40832500</v>
      </c>
      <c r="N788" s="48" t="n">
        <v>0.0136108333333333</v>
      </c>
      <c r="O788" s="25" t="n">
        <f aca="false">IF(AND(B788&gt;=DATE(2026,1,1),B788&lt;=Resumen!$C$5),1,0)</f>
        <v>0</v>
      </c>
      <c r="P788" s="25" t="n">
        <f aca="false">IF(AND(B788&gt;Resumen!$C$5,B788&lt;=DATE(2027,7,31)),1,0)</f>
        <v>0</v>
      </c>
    </row>
    <row r="789" customFormat="false" ht="15" hidden="false" customHeight="false" outlineLevel="0" collapsed="false">
      <c r="A789" s="22" t="n">
        <v>21</v>
      </c>
      <c r="B789" s="23" t="n">
        <v>45044</v>
      </c>
      <c r="C789" s="28" t="n">
        <v>3000000000</v>
      </c>
      <c r="D789" s="28" t="n">
        <v>41227500</v>
      </c>
      <c r="E789" s="28" t="n">
        <v>0</v>
      </c>
      <c r="F789" s="28" t="n">
        <v>41227500</v>
      </c>
      <c r="G789" s="28" t="n">
        <v>3000000000</v>
      </c>
      <c r="H789" s="25" t="n">
        <f aca="false">J788</f>
        <v>3000000000</v>
      </c>
      <c r="I789" s="25" t="n">
        <f aca="false">H789*N789</f>
        <v>41227500</v>
      </c>
      <c r="J789" s="25" t="n">
        <f aca="false">H789-E789</f>
        <v>3000000000</v>
      </c>
      <c r="K789" s="25" t="n">
        <f aca="false">D789-I789</f>
        <v>0</v>
      </c>
      <c r="L789" s="25" t="n">
        <f aca="false">G789-J789</f>
        <v>0</v>
      </c>
      <c r="M789" s="25" t="n">
        <f aca="false">F789</f>
        <v>41227500</v>
      </c>
      <c r="N789" s="48" t="n">
        <v>0.0137425</v>
      </c>
      <c r="O789" s="25" t="n">
        <f aca="false">IF(AND(B789&gt;=DATE(2026,1,1),B789&lt;=Resumen!$C$5),1,0)</f>
        <v>0</v>
      </c>
      <c r="P789" s="25" t="n">
        <f aca="false">IF(AND(B789&gt;Resumen!$C$5,B789&lt;=DATE(2027,7,31)),1,0)</f>
        <v>0</v>
      </c>
    </row>
    <row r="790" customFormat="false" ht="15" hidden="false" customHeight="false" outlineLevel="0" collapsed="false">
      <c r="A790" s="22" t="n">
        <v>22</v>
      </c>
      <c r="B790" s="23" t="n">
        <v>45074</v>
      </c>
      <c r="C790" s="28" t="n">
        <v>3000000000</v>
      </c>
      <c r="D790" s="28" t="n">
        <v>41435000</v>
      </c>
      <c r="E790" s="28" t="n">
        <v>0</v>
      </c>
      <c r="F790" s="28" t="n">
        <v>41435000</v>
      </c>
      <c r="G790" s="28" t="n">
        <v>3000000000</v>
      </c>
      <c r="H790" s="25" t="n">
        <f aca="false">J789</f>
        <v>3000000000</v>
      </c>
      <c r="I790" s="25" t="n">
        <f aca="false">H790*N790</f>
        <v>41435000</v>
      </c>
      <c r="J790" s="25" t="n">
        <f aca="false">H790-E790</f>
        <v>3000000000</v>
      </c>
      <c r="K790" s="25" t="n">
        <f aca="false">D790-I790</f>
        <v>0</v>
      </c>
      <c r="L790" s="25" t="n">
        <f aca="false">G790-J790</f>
        <v>0</v>
      </c>
      <c r="M790" s="25" t="n">
        <f aca="false">F790</f>
        <v>41435000</v>
      </c>
      <c r="N790" s="48" t="n">
        <v>0.0138116666666667</v>
      </c>
      <c r="O790" s="25" t="n">
        <f aca="false">IF(AND(B790&gt;=DATE(2026,1,1),B790&lt;=Resumen!$C$5),1,0)</f>
        <v>0</v>
      </c>
      <c r="P790" s="25" t="n">
        <f aca="false">IF(AND(B790&gt;Resumen!$C$5,B790&lt;=DATE(2027,7,31)),1,0)</f>
        <v>0</v>
      </c>
    </row>
    <row r="791" customFormat="false" ht="15" hidden="false" customHeight="false" outlineLevel="0" collapsed="false">
      <c r="A791" s="22" t="n">
        <v>23</v>
      </c>
      <c r="B791" s="23" t="n">
        <v>45105</v>
      </c>
      <c r="C791" s="28" t="n">
        <v>3000000000</v>
      </c>
      <c r="D791" s="28" t="n">
        <v>40847500</v>
      </c>
      <c r="E791" s="28" t="n">
        <v>0</v>
      </c>
      <c r="F791" s="28" t="n">
        <v>40847500</v>
      </c>
      <c r="G791" s="28" t="n">
        <v>3000000000</v>
      </c>
      <c r="H791" s="25" t="n">
        <f aca="false">J790</f>
        <v>3000000000</v>
      </c>
      <c r="I791" s="25" t="n">
        <f aca="false">H791*N791</f>
        <v>40847500</v>
      </c>
      <c r="J791" s="25" t="n">
        <f aca="false">H791-E791</f>
        <v>3000000000</v>
      </c>
      <c r="K791" s="25" t="n">
        <f aca="false">D791-I791</f>
        <v>0</v>
      </c>
      <c r="L791" s="25" t="n">
        <f aca="false">G791-J791</f>
        <v>0</v>
      </c>
      <c r="M791" s="25" t="n">
        <f aca="false">F791</f>
        <v>40847500</v>
      </c>
      <c r="N791" s="48" t="n">
        <v>0.0136158333333333</v>
      </c>
      <c r="O791" s="25" t="n">
        <f aca="false">IF(AND(B791&gt;=DATE(2026,1,1),B791&lt;=Resumen!$C$5),1,0)</f>
        <v>0</v>
      </c>
      <c r="P791" s="25" t="n">
        <f aca="false">IF(AND(B791&gt;Resumen!$C$5,B791&lt;=DATE(2027,7,31)),1,0)</f>
        <v>0</v>
      </c>
    </row>
    <row r="792" customFormat="false" ht="15" hidden="false" customHeight="false" outlineLevel="0" collapsed="false">
      <c r="A792" s="22" t="n">
        <v>24</v>
      </c>
      <c r="B792" s="23" t="n">
        <v>45135</v>
      </c>
      <c r="C792" s="28" t="n">
        <v>3000000000</v>
      </c>
      <c r="D792" s="28" t="n">
        <v>39955000</v>
      </c>
      <c r="E792" s="28" t="n">
        <v>0</v>
      </c>
      <c r="F792" s="28" t="n">
        <v>39955000</v>
      </c>
      <c r="G792" s="28" t="n">
        <v>3000000000</v>
      </c>
      <c r="H792" s="25" t="n">
        <f aca="false">J791</f>
        <v>3000000000</v>
      </c>
      <c r="I792" s="25" t="n">
        <f aca="false">H792*N792</f>
        <v>39955000</v>
      </c>
      <c r="J792" s="25" t="n">
        <f aca="false">H792-E792</f>
        <v>3000000000</v>
      </c>
      <c r="K792" s="25" t="n">
        <f aca="false">D792-I792</f>
        <v>0</v>
      </c>
      <c r="L792" s="25" t="n">
        <f aca="false">G792-J792</f>
        <v>0</v>
      </c>
      <c r="M792" s="25" t="n">
        <f aca="false">F792</f>
        <v>39955000</v>
      </c>
      <c r="N792" s="48" t="n">
        <v>0.0133183333333333</v>
      </c>
      <c r="O792" s="25" t="n">
        <f aca="false">IF(AND(B792&gt;=DATE(2026,1,1),B792&lt;=Resumen!$C$5),1,0)</f>
        <v>0</v>
      </c>
      <c r="P792" s="25" t="n">
        <f aca="false">IF(AND(B792&gt;Resumen!$C$5,B792&lt;=DATE(2027,7,31)),1,0)</f>
        <v>0</v>
      </c>
    </row>
    <row r="793" customFormat="false" ht="15" hidden="false" customHeight="false" outlineLevel="0" collapsed="false">
      <c r="A793" s="22" t="n">
        <v>25</v>
      </c>
      <c r="B793" s="23" t="n">
        <v>45166</v>
      </c>
      <c r="C793" s="28" t="n">
        <v>3000000000</v>
      </c>
      <c r="D793" s="28" t="n">
        <v>41630000</v>
      </c>
      <c r="E793" s="28" t="n">
        <v>0</v>
      </c>
      <c r="F793" s="28" t="n">
        <v>41630000</v>
      </c>
      <c r="G793" s="28" t="n">
        <v>3000000000</v>
      </c>
      <c r="H793" s="25" t="n">
        <f aca="false">J792</f>
        <v>3000000000</v>
      </c>
      <c r="I793" s="25" t="n">
        <f aca="false">H793*N793</f>
        <v>41630000</v>
      </c>
      <c r="J793" s="25" t="n">
        <f aca="false">H793-E793</f>
        <v>3000000000</v>
      </c>
      <c r="K793" s="25" t="n">
        <f aca="false">D793-I793</f>
        <v>0</v>
      </c>
      <c r="L793" s="25" t="n">
        <f aca="false">G793-J793</f>
        <v>0</v>
      </c>
      <c r="M793" s="25" t="n">
        <f aca="false">F793</f>
        <v>41630000</v>
      </c>
      <c r="N793" s="48" t="n">
        <v>0.0138766666666667</v>
      </c>
      <c r="O793" s="25" t="n">
        <f aca="false">IF(AND(B793&gt;=DATE(2026,1,1),B793&lt;=Resumen!$C$5),1,0)</f>
        <v>0</v>
      </c>
      <c r="P793" s="25" t="n">
        <f aca="false">IF(AND(B793&gt;Resumen!$C$5,B793&lt;=DATE(2027,7,31)),1,0)</f>
        <v>0</v>
      </c>
    </row>
    <row r="794" customFormat="false" ht="15" hidden="false" customHeight="false" outlineLevel="0" collapsed="false">
      <c r="A794" s="22" t="n">
        <v>26</v>
      </c>
      <c r="B794" s="23" t="n">
        <v>45197</v>
      </c>
      <c r="C794" s="28" t="n">
        <v>3000000000</v>
      </c>
      <c r="D794" s="28" t="n">
        <v>38985000</v>
      </c>
      <c r="E794" s="28" t="n">
        <v>0</v>
      </c>
      <c r="F794" s="28" t="n">
        <v>38985000</v>
      </c>
      <c r="G794" s="28" t="n">
        <v>3000000000</v>
      </c>
      <c r="H794" s="25" t="n">
        <f aca="false">J793</f>
        <v>3000000000</v>
      </c>
      <c r="I794" s="25" t="n">
        <f aca="false">H794*N794</f>
        <v>38985000</v>
      </c>
      <c r="J794" s="25" t="n">
        <f aca="false">H794-E794</f>
        <v>3000000000</v>
      </c>
      <c r="K794" s="25" t="n">
        <f aca="false">D794-I794</f>
        <v>0</v>
      </c>
      <c r="L794" s="25" t="n">
        <f aca="false">G794-J794</f>
        <v>0</v>
      </c>
      <c r="M794" s="25" t="n">
        <f aca="false">F794</f>
        <v>38985000</v>
      </c>
      <c r="N794" s="48" t="n">
        <v>0.012995</v>
      </c>
      <c r="O794" s="25" t="n">
        <f aca="false">IF(AND(B794&gt;=DATE(2026,1,1),B794&lt;=Resumen!$C$5),1,0)</f>
        <v>0</v>
      </c>
      <c r="P794" s="25" t="n">
        <f aca="false">IF(AND(B794&gt;Resumen!$C$5,B794&lt;=DATE(2027,7,31)),1,0)</f>
        <v>0</v>
      </c>
    </row>
    <row r="795" customFormat="false" ht="15" hidden="false" customHeight="false" outlineLevel="0" collapsed="false">
      <c r="A795" s="22" t="n">
        <v>27</v>
      </c>
      <c r="B795" s="23" t="n">
        <v>45227</v>
      </c>
      <c r="C795" s="28" t="n">
        <v>3000000000</v>
      </c>
      <c r="D795" s="28" t="n">
        <v>38895000</v>
      </c>
      <c r="E795" s="28" t="n">
        <v>0</v>
      </c>
      <c r="F795" s="28" t="n">
        <v>38895000</v>
      </c>
      <c r="G795" s="28" t="n">
        <v>3000000000</v>
      </c>
      <c r="H795" s="25" t="n">
        <f aca="false">J794</f>
        <v>3000000000</v>
      </c>
      <c r="I795" s="25" t="n">
        <f aca="false">H795*N795</f>
        <v>38895000</v>
      </c>
      <c r="J795" s="25" t="n">
        <f aca="false">H795-E795</f>
        <v>3000000000</v>
      </c>
      <c r="K795" s="25" t="n">
        <f aca="false">D795-I795</f>
        <v>0</v>
      </c>
      <c r="L795" s="25" t="n">
        <f aca="false">G795-J795</f>
        <v>0</v>
      </c>
      <c r="M795" s="25" t="n">
        <f aca="false">F795</f>
        <v>38895000</v>
      </c>
      <c r="N795" s="48" t="n">
        <v>0.012965</v>
      </c>
      <c r="O795" s="25" t="n">
        <f aca="false">IF(AND(B795&gt;=DATE(2026,1,1),B795&lt;=Resumen!$C$5),1,0)</f>
        <v>0</v>
      </c>
      <c r="P795" s="25" t="n">
        <f aca="false">IF(AND(B795&gt;Resumen!$C$5,B795&lt;=DATE(2027,7,31)),1,0)</f>
        <v>0</v>
      </c>
    </row>
    <row r="796" customFormat="false" ht="15" hidden="false" customHeight="false" outlineLevel="0" collapsed="false">
      <c r="A796" s="22" t="n">
        <v>28</v>
      </c>
      <c r="B796" s="23" t="n">
        <v>45258</v>
      </c>
      <c r="C796" s="28" t="n">
        <v>3000000000</v>
      </c>
      <c r="D796" s="28" t="n">
        <v>38287500</v>
      </c>
      <c r="E796" s="28" t="n">
        <v>0</v>
      </c>
      <c r="F796" s="28" t="n">
        <v>38287500</v>
      </c>
      <c r="G796" s="28" t="n">
        <v>3000000000</v>
      </c>
      <c r="H796" s="25" t="n">
        <f aca="false">J795</f>
        <v>3000000000</v>
      </c>
      <c r="I796" s="25" t="n">
        <f aca="false">H796*N796</f>
        <v>38287500</v>
      </c>
      <c r="J796" s="25" t="n">
        <f aca="false">H796-E796</f>
        <v>3000000000</v>
      </c>
      <c r="K796" s="25" t="n">
        <f aca="false">D796-I796</f>
        <v>0</v>
      </c>
      <c r="L796" s="25" t="n">
        <f aca="false">G796-J796</f>
        <v>0</v>
      </c>
      <c r="M796" s="25" t="n">
        <f aca="false">F796</f>
        <v>38287500</v>
      </c>
      <c r="N796" s="48" t="n">
        <v>0.0127625</v>
      </c>
      <c r="O796" s="25" t="n">
        <f aca="false">IF(AND(B796&gt;=DATE(2026,1,1),B796&lt;=Resumen!$C$5),1,0)</f>
        <v>0</v>
      </c>
      <c r="P796" s="25" t="n">
        <f aca="false">IF(AND(B796&gt;Resumen!$C$5,B796&lt;=DATE(2027,7,31)),1,0)</f>
        <v>0</v>
      </c>
    </row>
    <row r="797" customFormat="false" ht="15" hidden="false" customHeight="false" outlineLevel="0" collapsed="false">
      <c r="A797" s="22" t="n">
        <v>29</v>
      </c>
      <c r="B797" s="23" t="n">
        <v>45288</v>
      </c>
      <c r="C797" s="28" t="n">
        <v>3000000000</v>
      </c>
      <c r="D797" s="28" t="n">
        <v>37757500</v>
      </c>
      <c r="E797" s="28" t="n">
        <v>0</v>
      </c>
      <c r="F797" s="28" t="n">
        <v>37757500</v>
      </c>
      <c r="G797" s="28" t="n">
        <v>3000000000</v>
      </c>
      <c r="H797" s="25" t="n">
        <f aca="false">J796</f>
        <v>3000000000</v>
      </c>
      <c r="I797" s="25" t="n">
        <f aca="false">H797*N797</f>
        <v>37757500</v>
      </c>
      <c r="J797" s="25" t="n">
        <f aca="false">H797-E797</f>
        <v>3000000000</v>
      </c>
      <c r="K797" s="25" t="n">
        <f aca="false">D797-I797</f>
        <v>0</v>
      </c>
      <c r="L797" s="25" t="n">
        <f aca="false">G797-J797</f>
        <v>0</v>
      </c>
      <c r="M797" s="25" t="n">
        <f aca="false">F797</f>
        <v>37757500</v>
      </c>
      <c r="N797" s="48" t="n">
        <v>0.0125858333333333</v>
      </c>
      <c r="O797" s="25" t="n">
        <f aca="false">IF(AND(B797&gt;=DATE(2026,1,1),B797&lt;=Resumen!$C$5),1,0)</f>
        <v>0</v>
      </c>
      <c r="P797" s="25" t="n">
        <f aca="false">IF(AND(B797&gt;Resumen!$C$5,B797&lt;=DATE(2027,7,31)),1,0)</f>
        <v>0</v>
      </c>
    </row>
    <row r="798" customFormat="false" ht="15" hidden="false" customHeight="false" outlineLevel="0" collapsed="false">
      <c r="A798" s="22" t="n">
        <v>30</v>
      </c>
      <c r="B798" s="23" t="n">
        <v>45319</v>
      </c>
      <c r="C798" s="28" t="n">
        <v>3000000000</v>
      </c>
      <c r="D798" s="28" t="n">
        <v>37027500</v>
      </c>
      <c r="E798" s="28" t="n">
        <v>0</v>
      </c>
      <c r="F798" s="28" t="n">
        <v>37027500</v>
      </c>
      <c r="G798" s="28" t="n">
        <v>3000000000</v>
      </c>
      <c r="H798" s="25" t="n">
        <f aca="false">J797</f>
        <v>3000000000</v>
      </c>
      <c r="I798" s="25" t="n">
        <f aca="false">H798*N798</f>
        <v>37027500</v>
      </c>
      <c r="J798" s="25" t="n">
        <f aca="false">H798-E798</f>
        <v>3000000000</v>
      </c>
      <c r="K798" s="25" t="n">
        <f aca="false">D798-I798</f>
        <v>0</v>
      </c>
      <c r="L798" s="25" t="n">
        <f aca="false">G798-J798</f>
        <v>0</v>
      </c>
      <c r="M798" s="25" t="n">
        <f aca="false">F798</f>
        <v>37027500</v>
      </c>
      <c r="N798" s="48" t="n">
        <v>0.0123425</v>
      </c>
      <c r="O798" s="25" t="n">
        <f aca="false">IF(AND(B798&gt;=DATE(2026,1,1),B798&lt;=Resumen!$C$5),1,0)</f>
        <v>0</v>
      </c>
      <c r="P798" s="25" t="n">
        <f aca="false">IF(AND(B798&gt;Resumen!$C$5,B798&lt;=DATE(2027,7,31)),1,0)</f>
        <v>0</v>
      </c>
    </row>
    <row r="799" customFormat="false" ht="15" hidden="false" customHeight="false" outlineLevel="0" collapsed="false">
      <c r="A799" s="22" t="n">
        <v>31</v>
      </c>
      <c r="B799" s="23" t="n">
        <v>45350</v>
      </c>
      <c r="C799" s="28" t="n">
        <v>3000000000</v>
      </c>
      <c r="D799" s="28" t="n">
        <v>37515000</v>
      </c>
      <c r="E799" s="28" t="n">
        <v>0</v>
      </c>
      <c r="F799" s="28" t="n">
        <v>37515000</v>
      </c>
      <c r="G799" s="28" t="n">
        <v>3000000000</v>
      </c>
      <c r="H799" s="25" t="n">
        <f aca="false">J798</f>
        <v>3000000000</v>
      </c>
      <c r="I799" s="25" t="n">
        <f aca="false">H799*N799</f>
        <v>37515000</v>
      </c>
      <c r="J799" s="25" t="n">
        <f aca="false">H799-E799</f>
        <v>3000000000</v>
      </c>
      <c r="K799" s="25" t="n">
        <f aca="false">D799-I799</f>
        <v>0</v>
      </c>
      <c r="L799" s="25" t="n">
        <f aca="false">G799-J799</f>
        <v>0</v>
      </c>
      <c r="M799" s="25" t="n">
        <f aca="false">F799</f>
        <v>37515000</v>
      </c>
      <c r="N799" s="48" t="n">
        <v>0.012505</v>
      </c>
      <c r="O799" s="25" t="n">
        <f aca="false">IF(AND(B799&gt;=DATE(2026,1,1),B799&lt;=Resumen!$C$5),1,0)</f>
        <v>0</v>
      </c>
      <c r="P799" s="25" t="n">
        <f aca="false">IF(AND(B799&gt;Resumen!$C$5,B799&lt;=DATE(2027,7,31)),1,0)</f>
        <v>0</v>
      </c>
    </row>
    <row r="800" customFormat="false" ht="15" hidden="false" customHeight="false" outlineLevel="0" collapsed="false">
      <c r="A800" s="22" t="n">
        <v>32</v>
      </c>
      <c r="B800" s="23" t="n">
        <v>45379</v>
      </c>
      <c r="C800" s="28" t="n">
        <v>3000000000</v>
      </c>
      <c r="D800" s="28" t="n">
        <v>35507500</v>
      </c>
      <c r="E800" s="28" t="n">
        <v>0</v>
      </c>
      <c r="F800" s="28" t="n">
        <v>35507500</v>
      </c>
      <c r="G800" s="28" t="n">
        <v>3000000000</v>
      </c>
      <c r="H800" s="25" t="n">
        <f aca="false">J799</f>
        <v>3000000000</v>
      </c>
      <c r="I800" s="25" t="n">
        <f aca="false">H800*N800</f>
        <v>35507500</v>
      </c>
      <c r="J800" s="25" t="n">
        <f aca="false">H800-E800</f>
        <v>3000000000</v>
      </c>
      <c r="K800" s="25" t="n">
        <f aca="false">D800-I800</f>
        <v>0</v>
      </c>
      <c r="L800" s="25" t="n">
        <f aca="false">G800-J800</f>
        <v>0</v>
      </c>
      <c r="M800" s="25" t="n">
        <f aca="false">F800</f>
        <v>35507500</v>
      </c>
      <c r="N800" s="48" t="n">
        <v>0.0118358333333333</v>
      </c>
      <c r="O800" s="25" t="n">
        <f aca="false">IF(AND(B800&gt;=DATE(2026,1,1),B800&lt;=Resumen!$C$5),1,0)</f>
        <v>0</v>
      </c>
      <c r="P800" s="25" t="n">
        <f aca="false">IF(AND(B800&gt;Resumen!$C$5,B800&lt;=DATE(2027,7,31)),1,0)</f>
        <v>0</v>
      </c>
    </row>
    <row r="801" customFormat="false" ht="15" hidden="false" customHeight="false" outlineLevel="0" collapsed="false">
      <c r="A801" s="22" t="n">
        <v>33</v>
      </c>
      <c r="B801" s="23" t="n">
        <v>45410</v>
      </c>
      <c r="C801" s="28" t="n">
        <v>3000000000</v>
      </c>
      <c r="D801" s="28" t="n">
        <v>35922500</v>
      </c>
      <c r="E801" s="28" t="n">
        <v>0</v>
      </c>
      <c r="F801" s="28" t="n">
        <v>35922500</v>
      </c>
      <c r="G801" s="28" t="n">
        <v>3000000000</v>
      </c>
      <c r="H801" s="25" t="n">
        <f aca="false">J800</f>
        <v>3000000000</v>
      </c>
      <c r="I801" s="25" t="n">
        <f aca="false">H801*N801</f>
        <v>35922500</v>
      </c>
      <c r="J801" s="25" t="n">
        <f aca="false">H801-E801</f>
        <v>3000000000</v>
      </c>
      <c r="K801" s="25" t="n">
        <f aca="false">D801-I801</f>
        <v>0</v>
      </c>
      <c r="L801" s="25" t="n">
        <f aca="false">G801-J801</f>
        <v>0</v>
      </c>
      <c r="M801" s="25" t="n">
        <f aca="false">F801</f>
        <v>35922500</v>
      </c>
      <c r="N801" s="48" t="n">
        <v>0.0119741666666667</v>
      </c>
      <c r="O801" s="25" t="n">
        <f aca="false">IF(AND(B801&gt;=DATE(2026,1,1),B801&lt;=Resumen!$C$5),1,0)</f>
        <v>0</v>
      </c>
      <c r="P801" s="25" t="n">
        <f aca="false">IF(AND(B801&gt;Resumen!$C$5,B801&lt;=DATE(2027,7,31)),1,0)</f>
        <v>0</v>
      </c>
    </row>
    <row r="802" customFormat="false" ht="15" hidden="false" customHeight="false" outlineLevel="0" collapsed="false">
      <c r="A802" s="22" t="n">
        <v>34</v>
      </c>
      <c r="B802" s="23" t="n">
        <v>45440</v>
      </c>
      <c r="C802" s="28" t="n">
        <v>3000000000</v>
      </c>
      <c r="D802" s="28" t="n">
        <v>35042500</v>
      </c>
      <c r="E802" s="28" t="n">
        <v>0</v>
      </c>
      <c r="F802" s="28" t="n">
        <v>35042500</v>
      </c>
      <c r="G802" s="28" t="n">
        <v>3000000000</v>
      </c>
      <c r="H802" s="25" t="n">
        <f aca="false">J801</f>
        <v>3000000000</v>
      </c>
      <c r="I802" s="25" t="n">
        <f aca="false">H802*N802</f>
        <v>35042500</v>
      </c>
      <c r="J802" s="25" t="n">
        <f aca="false">H802-E802</f>
        <v>3000000000</v>
      </c>
      <c r="K802" s="25" t="n">
        <f aca="false">D802-I802</f>
        <v>0</v>
      </c>
      <c r="L802" s="25" t="n">
        <f aca="false">G802-J802</f>
        <v>0</v>
      </c>
      <c r="M802" s="25" t="n">
        <f aca="false">F802</f>
        <v>35042500</v>
      </c>
      <c r="N802" s="48" t="n">
        <v>0.0116808333333333</v>
      </c>
      <c r="O802" s="25" t="n">
        <f aca="false">IF(AND(B802&gt;=DATE(2026,1,1),B802&lt;=Resumen!$C$5),1,0)</f>
        <v>0</v>
      </c>
      <c r="P802" s="25" t="n">
        <f aca="false">IF(AND(B802&gt;Resumen!$C$5,B802&lt;=DATE(2027,7,31)),1,0)</f>
        <v>0</v>
      </c>
    </row>
    <row r="803" customFormat="false" ht="15" hidden="false" customHeight="false" outlineLevel="0" collapsed="false">
      <c r="A803" s="22" t="n">
        <v>35</v>
      </c>
      <c r="B803" s="23" t="n">
        <v>45471</v>
      </c>
      <c r="C803" s="28" t="n">
        <v>3000000000</v>
      </c>
      <c r="D803" s="28" t="n">
        <v>33237500</v>
      </c>
      <c r="E803" s="28" t="n">
        <v>0</v>
      </c>
      <c r="F803" s="28" t="n">
        <v>33237500</v>
      </c>
      <c r="G803" s="28" t="n">
        <v>3000000000</v>
      </c>
      <c r="H803" s="25" t="n">
        <f aca="false">J802</f>
        <v>3000000000</v>
      </c>
      <c r="I803" s="25" t="n">
        <f aca="false">H803*N803</f>
        <v>33237500</v>
      </c>
      <c r="J803" s="25" t="n">
        <f aca="false">H803-E803</f>
        <v>3000000000</v>
      </c>
      <c r="K803" s="25" t="n">
        <f aca="false">D803-I803</f>
        <v>0</v>
      </c>
      <c r="L803" s="25" t="n">
        <f aca="false">G803-J803</f>
        <v>0</v>
      </c>
      <c r="M803" s="25" t="n">
        <f aca="false">F803</f>
        <v>33237500</v>
      </c>
      <c r="N803" s="48" t="n">
        <v>0.0110791666666667</v>
      </c>
      <c r="O803" s="25" t="n">
        <f aca="false">IF(AND(B803&gt;=DATE(2026,1,1),B803&lt;=Resumen!$C$5),1,0)</f>
        <v>0</v>
      </c>
      <c r="P803" s="25" t="n">
        <f aca="false">IF(AND(B803&gt;Resumen!$C$5,B803&lt;=DATE(2027,7,31)),1,0)</f>
        <v>0</v>
      </c>
    </row>
    <row r="804" customFormat="false" ht="15" hidden="false" customHeight="false" outlineLevel="0" collapsed="false">
      <c r="A804" s="22" t="n">
        <v>36</v>
      </c>
      <c r="B804" s="23" t="n">
        <v>45501</v>
      </c>
      <c r="C804" s="28" t="n">
        <v>3000000000</v>
      </c>
      <c r="D804" s="28" t="n">
        <v>33410000</v>
      </c>
      <c r="E804" s="28" t="n">
        <v>0</v>
      </c>
      <c r="F804" s="28" t="n">
        <v>33410000</v>
      </c>
      <c r="G804" s="28" t="n">
        <v>3000000000</v>
      </c>
      <c r="H804" s="25" t="n">
        <f aca="false">J803</f>
        <v>3000000000</v>
      </c>
      <c r="I804" s="25" t="n">
        <f aca="false">H804*N804</f>
        <v>33410000</v>
      </c>
      <c r="J804" s="25" t="n">
        <f aca="false">H804-E804</f>
        <v>3000000000</v>
      </c>
      <c r="K804" s="25" t="n">
        <f aca="false">D804-I804</f>
        <v>0</v>
      </c>
      <c r="L804" s="25" t="n">
        <f aca="false">G804-J804</f>
        <v>0</v>
      </c>
      <c r="M804" s="25" t="n">
        <f aca="false">F804</f>
        <v>33410000</v>
      </c>
      <c r="N804" s="48" t="n">
        <v>0.0111366666666667</v>
      </c>
      <c r="O804" s="25" t="n">
        <f aca="false">IF(AND(B804&gt;=DATE(2026,1,1),B804&lt;=Resumen!$C$5),1,0)</f>
        <v>0</v>
      </c>
      <c r="P804" s="25" t="n">
        <f aca="false">IF(AND(B804&gt;Resumen!$C$5,B804&lt;=DATE(2027,7,31)),1,0)</f>
        <v>0</v>
      </c>
    </row>
    <row r="805" customFormat="false" ht="15" hidden="false" customHeight="false" outlineLevel="0" collapsed="false">
      <c r="A805" s="22" t="n">
        <v>37</v>
      </c>
      <c r="B805" s="23" t="n">
        <v>45532</v>
      </c>
      <c r="C805" s="28" t="n">
        <v>3000000000</v>
      </c>
      <c r="D805" s="28" t="n">
        <v>32497500</v>
      </c>
      <c r="E805" s="28" t="n">
        <v>0</v>
      </c>
      <c r="F805" s="28" t="n">
        <v>32497500</v>
      </c>
      <c r="G805" s="28" t="n">
        <v>3000000000</v>
      </c>
      <c r="H805" s="25" t="n">
        <f aca="false">J804</f>
        <v>3000000000</v>
      </c>
      <c r="I805" s="25" t="n">
        <f aca="false">H805*N805</f>
        <v>32497500</v>
      </c>
      <c r="J805" s="25" t="n">
        <f aca="false">H805-E805</f>
        <v>3000000000</v>
      </c>
      <c r="K805" s="25" t="n">
        <f aca="false">D805-I805</f>
        <v>0</v>
      </c>
      <c r="L805" s="25" t="n">
        <f aca="false">G805-J805</f>
        <v>0</v>
      </c>
      <c r="M805" s="25" t="n">
        <f aca="false">F805</f>
        <v>32497500</v>
      </c>
      <c r="N805" s="48" t="n">
        <v>0.0108325</v>
      </c>
      <c r="O805" s="25" t="n">
        <f aca="false">IF(AND(B805&gt;=DATE(2026,1,1),B805&lt;=Resumen!$C$5),1,0)</f>
        <v>0</v>
      </c>
      <c r="P805" s="25" t="n">
        <f aca="false">IF(AND(B805&gt;Resumen!$C$5,B805&lt;=DATE(2027,7,31)),1,0)</f>
        <v>0</v>
      </c>
    </row>
    <row r="806" customFormat="false" ht="15" hidden="false" customHeight="false" outlineLevel="0" collapsed="false">
      <c r="A806" s="22" t="n">
        <v>38</v>
      </c>
      <c r="B806" s="23" t="n">
        <v>45563</v>
      </c>
      <c r="C806" s="28" t="n">
        <v>3000000000</v>
      </c>
      <c r="D806" s="28" t="n">
        <v>30710000</v>
      </c>
      <c r="E806" s="28" t="n">
        <v>0</v>
      </c>
      <c r="F806" s="28" t="n">
        <v>30710000</v>
      </c>
      <c r="G806" s="28" t="n">
        <v>3000000000</v>
      </c>
      <c r="H806" s="25" t="n">
        <f aca="false">J805</f>
        <v>3000000000</v>
      </c>
      <c r="I806" s="25" t="n">
        <f aca="false">H806*N806</f>
        <v>30710000</v>
      </c>
      <c r="J806" s="25" t="n">
        <f aca="false">H806-E806</f>
        <v>3000000000</v>
      </c>
      <c r="K806" s="25" t="n">
        <f aca="false">D806-I806</f>
        <v>0</v>
      </c>
      <c r="L806" s="25" t="n">
        <f aca="false">G806-J806</f>
        <v>0</v>
      </c>
      <c r="M806" s="25" t="n">
        <f aca="false">F806</f>
        <v>30710000</v>
      </c>
      <c r="N806" s="48" t="n">
        <v>0.0102366666666667</v>
      </c>
      <c r="O806" s="25" t="n">
        <f aca="false">IF(AND(B806&gt;=DATE(2026,1,1),B806&lt;=Resumen!$C$5),1,0)</f>
        <v>0</v>
      </c>
      <c r="P806" s="25" t="n">
        <f aca="false">IF(AND(B806&gt;Resumen!$C$5,B806&lt;=DATE(2027,7,31)),1,0)</f>
        <v>0</v>
      </c>
    </row>
    <row r="807" customFormat="false" ht="15" hidden="false" customHeight="false" outlineLevel="0" collapsed="false">
      <c r="A807" s="22" t="n">
        <v>39</v>
      </c>
      <c r="B807" s="23" t="n">
        <v>45593</v>
      </c>
      <c r="C807" s="28" t="n">
        <v>3000000000</v>
      </c>
      <c r="D807" s="28" t="n">
        <v>30012500</v>
      </c>
      <c r="E807" s="28" t="n">
        <v>0</v>
      </c>
      <c r="F807" s="28" t="n">
        <v>30012500</v>
      </c>
      <c r="G807" s="28" t="n">
        <v>3000000000</v>
      </c>
      <c r="H807" s="25" t="n">
        <f aca="false">J806</f>
        <v>3000000000</v>
      </c>
      <c r="I807" s="25" t="n">
        <f aca="false">H807*N807</f>
        <v>30012500</v>
      </c>
      <c r="J807" s="25" t="n">
        <f aca="false">H807-E807</f>
        <v>3000000000</v>
      </c>
      <c r="K807" s="25" t="n">
        <f aca="false">D807-I807</f>
        <v>0</v>
      </c>
      <c r="L807" s="25" t="n">
        <f aca="false">G807-J807</f>
        <v>0</v>
      </c>
      <c r="M807" s="25" t="n">
        <f aca="false">F807</f>
        <v>30012500</v>
      </c>
      <c r="N807" s="48" t="n">
        <v>0.0100041666666667</v>
      </c>
      <c r="O807" s="25" t="n">
        <f aca="false">IF(AND(B807&gt;=DATE(2026,1,1),B807&lt;=Resumen!$C$5),1,0)</f>
        <v>0</v>
      </c>
      <c r="P807" s="25" t="n">
        <f aca="false">IF(AND(B807&gt;Resumen!$C$5,B807&lt;=DATE(2027,7,31)),1,0)</f>
        <v>0</v>
      </c>
    </row>
    <row r="808" customFormat="false" ht="15" hidden="false" customHeight="false" outlineLevel="0" collapsed="false">
      <c r="A808" s="22" t="n">
        <v>40</v>
      </c>
      <c r="B808" s="23" t="n">
        <v>45624</v>
      </c>
      <c r="C808" s="28" t="n">
        <v>3000000000</v>
      </c>
      <c r="D808" s="28" t="n">
        <v>29782500</v>
      </c>
      <c r="E808" s="28" t="n">
        <v>0</v>
      </c>
      <c r="F808" s="28" t="n">
        <v>29782500</v>
      </c>
      <c r="G808" s="28" t="n">
        <v>3000000000</v>
      </c>
      <c r="H808" s="25" t="n">
        <f aca="false">J807</f>
        <v>3000000000</v>
      </c>
      <c r="I808" s="25" t="n">
        <f aca="false">H808*N808</f>
        <v>29782500</v>
      </c>
      <c r="J808" s="25" t="n">
        <f aca="false">H808-E808</f>
        <v>3000000000</v>
      </c>
      <c r="K808" s="25" t="n">
        <f aca="false">D808-I808</f>
        <v>0</v>
      </c>
      <c r="L808" s="25" t="n">
        <f aca="false">G808-J808</f>
        <v>0</v>
      </c>
      <c r="M808" s="25" t="n">
        <f aca="false">F808</f>
        <v>29782500</v>
      </c>
      <c r="N808" s="48" t="n">
        <v>0.0099275</v>
      </c>
      <c r="O808" s="25" t="n">
        <f aca="false">IF(AND(B808&gt;=DATE(2026,1,1),B808&lt;=Resumen!$C$5),1,0)</f>
        <v>0</v>
      </c>
      <c r="P808" s="25" t="n">
        <f aca="false">IF(AND(B808&gt;Resumen!$C$5,B808&lt;=DATE(2027,7,31)),1,0)</f>
        <v>0</v>
      </c>
    </row>
    <row r="809" customFormat="false" ht="15" hidden="false" customHeight="false" outlineLevel="0" collapsed="false">
      <c r="A809" s="22" t="n">
        <v>41</v>
      </c>
      <c r="B809" s="23" t="n">
        <v>45654</v>
      </c>
      <c r="C809" s="28" t="n">
        <v>3000000000</v>
      </c>
      <c r="D809" s="28" t="n">
        <v>30732500</v>
      </c>
      <c r="E809" s="28" t="n">
        <v>0</v>
      </c>
      <c r="F809" s="28" t="n">
        <v>30732500</v>
      </c>
      <c r="G809" s="28" t="n">
        <v>3000000000</v>
      </c>
      <c r="H809" s="25" t="n">
        <f aca="false">J808</f>
        <v>3000000000</v>
      </c>
      <c r="I809" s="25" t="n">
        <f aca="false">H809*N809</f>
        <v>30732500</v>
      </c>
      <c r="J809" s="25" t="n">
        <f aca="false">H809-E809</f>
        <v>3000000000</v>
      </c>
      <c r="K809" s="25" t="n">
        <f aca="false">D809-I809</f>
        <v>0</v>
      </c>
      <c r="L809" s="25" t="n">
        <f aca="false">G809-J809</f>
        <v>0</v>
      </c>
      <c r="M809" s="25" t="n">
        <f aca="false">F809</f>
        <v>30732500</v>
      </c>
      <c r="N809" s="48" t="n">
        <v>0.0102441666666667</v>
      </c>
      <c r="O809" s="25" t="n">
        <f aca="false">IF(AND(B809&gt;=DATE(2026,1,1),B809&lt;=Resumen!$C$5),1,0)</f>
        <v>0</v>
      </c>
      <c r="P809" s="25" t="n">
        <f aca="false">IF(AND(B809&gt;Resumen!$C$5,B809&lt;=DATE(2027,7,31)),1,0)</f>
        <v>0</v>
      </c>
    </row>
    <row r="810" customFormat="false" ht="15" hidden="false" customHeight="false" outlineLevel="0" collapsed="false">
      <c r="A810" s="22" t="n">
        <v>42</v>
      </c>
      <c r="B810" s="23" t="n">
        <v>45685</v>
      </c>
      <c r="C810" s="28" t="n">
        <v>3000000000</v>
      </c>
      <c r="D810" s="28" t="n">
        <v>30182500</v>
      </c>
      <c r="E810" s="28" t="n">
        <v>0</v>
      </c>
      <c r="F810" s="28" t="n">
        <v>30182500</v>
      </c>
      <c r="G810" s="28" t="n">
        <v>3000000000</v>
      </c>
      <c r="H810" s="25" t="n">
        <f aca="false">J809</f>
        <v>3000000000</v>
      </c>
      <c r="I810" s="25" t="n">
        <f aca="false">H810*N810</f>
        <v>30182500</v>
      </c>
      <c r="J810" s="25" t="n">
        <f aca="false">H810-E810</f>
        <v>3000000000</v>
      </c>
      <c r="K810" s="25" t="n">
        <f aca="false">D810-I810</f>
        <v>0</v>
      </c>
      <c r="L810" s="25" t="n">
        <f aca="false">G810-J810</f>
        <v>0</v>
      </c>
      <c r="M810" s="25" t="n">
        <f aca="false">F810</f>
        <v>30182500</v>
      </c>
      <c r="N810" s="48" t="n">
        <v>0.0100608333333333</v>
      </c>
      <c r="O810" s="25" t="n">
        <f aca="false">IF(AND(B810&gt;=DATE(2026,1,1),B810&lt;=Resumen!$C$5),1,0)</f>
        <v>0</v>
      </c>
      <c r="P810" s="25" t="n">
        <f aca="false">IF(AND(B810&gt;Resumen!$C$5,B810&lt;=DATE(2027,7,31)),1,0)</f>
        <v>0</v>
      </c>
    </row>
    <row r="811" customFormat="false" ht="15" hidden="false" customHeight="false" outlineLevel="0" collapsed="false">
      <c r="A811" s="22" t="n">
        <v>43</v>
      </c>
      <c r="B811" s="23" t="n">
        <v>45716</v>
      </c>
      <c r="C811" s="28" t="n">
        <v>3000000000</v>
      </c>
      <c r="D811" s="28" t="n">
        <v>30412500</v>
      </c>
      <c r="E811" s="28" t="n">
        <v>0</v>
      </c>
      <c r="F811" s="28" t="n">
        <v>30412500</v>
      </c>
      <c r="G811" s="28" t="n">
        <v>3000000000</v>
      </c>
      <c r="H811" s="25" t="n">
        <f aca="false">J810</f>
        <v>3000000000</v>
      </c>
      <c r="I811" s="25" t="n">
        <f aca="false">H811*N811</f>
        <v>30412500</v>
      </c>
      <c r="J811" s="25" t="n">
        <f aca="false">H811-E811</f>
        <v>3000000000</v>
      </c>
      <c r="K811" s="25" t="n">
        <f aca="false">D811-I811</f>
        <v>0</v>
      </c>
      <c r="L811" s="25" t="n">
        <f aca="false">G811-J811</f>
        <v>0</v>
      </c>
      <c r="M811" s="25" t="n">
        <f aca="false">F811</f>
        <v>30412500</v>
      </c>
      <c r="N811" s="48" t="n">
        <v>0.0101375</v>
      </c>
      <c r="O811" s="25" t="n">
        <f aca="false">IF(AND(B811&gt;=DATE(2026,1,1),B811&lt;=Resumen!$C$5),1,0)</f>
        <v>0</v>
      </c>
      <c r="P811" s="25" t="n">
        <f aca="false">IF(AND(B811&gt;Resumen!$C$5,B811&lt;=DATE(2027,7,31)),1,0)</f>
        <v>0</v>
      </c>
    </row>
    <row r="812" customFormat="false" ht="15" hidden="false" customHeight="false" outlineLevel="0" collapsed="false">
      <c r="A812" s="22" t="n">
        <v>44</v>
      </c>
      <c r="B812" s="23" t="n">
        <v>45744</v>
      </c>
      <c r="C812" s="28" t="n">
        <v>3000000000</v>
      </c>
      <c r="D812" s="28" t="n">
        <v>30575000</v>
      </c>
      <c r="E812" s="28" t="n">
        <v>0</v>
      </c>
      <c r="F812" s="28" t="n">
        <v>30575000</v>
      </c>
      <c r="G812" s="28" t="n">
        <v>3000000000</v>
      </c>
      <c r="H812" s="25" t="n">
        <f aca="false">J811</f>
        <v>3000000000</v>
      </c>
      <c r="I812" s="25" t="n">
        <f aca="false">H812*N812</f>
        <v>30575000</v>
      </c>
      <c r="J812" s="25" t="n">
        <f aca="false">H812-E812</f>
        <v>3000000000</v>
      </c>
      <c r="K812" s="25" t="n">
        <f aca="false">D812-I812</f>
        <v>0</v>
      </c>
      <c r="L812" s="25" t="n">
        <f aca="false">G812-J812</f>
        <v>0</v>
      </c>
      <c r="M812" s="25" t="n">
        <f aca="false">F812</f>
        <v>30575000</v>
      </c>
      <c r="N812" s="48" t="n">
        <v>0.0101916666666667</v>
      </c>
      <c r="O812" s="25" t="n">
        <f aca="false">IF(AND(B812&gt;=DATE(2026,1,1),B812&lt;=Resumen!$C$5),1,0)</f>
        <v>0</v>
      </c>
      <c r="P812" s="25" t="n">
        <f aca="false">IF(AND(B812&gt;Resumen!$C$5,B812&lt;=DATE(2027,7,31)),1,0)</f>
        <v>0</v>
      </c>
    </row>
    <row r="813" customFormat="false" ht="15" hidden="false" customHeight="false" outlineLevel="0" collapsed="false">
      <c r="A813" s="22" t="n">
        <v>45</v>
      </c>
      <c r="B813" s="23" t="n">
        <v>45775</v>
      </c>
      <c r="C813" s="28" t="n">
        <v>3000000000</v>
      </c>
      <c r="D813" s="28" t="n">
        <v>30682500</v>
      </c>
      <c r="E813" s="28" t="n">
        <v>0</v>
      </c>
      <c r="F813" s="28" t="n">
        <v>30682500</v>
      </c>
      <c r="G813" s="28" t="n">
        <v>3000000000</v>
      </c>
      <c r="H813" s="25" t="n">
        <f aca="false">J812</f>
        <v>3000000000</v>
      </c>
      <c r="I813" s="25" t="n">
        <f aca="false">H813*N813</f>
        <v>30682500</v>
      </c>
      <c r="J813" s="25" t="n">
        <f aca="false">H813-E813</f>
        <v>3000000000</v>
      </c>
      <c r="K813" s="25" t="n">
        <f aca="false">D813-I813</f>
        <v>0</v>
      </c>
      <c r="L813" s="25" t="n">
        <f aca="false">G813-J813</f>
        <v>0</v>
      </c>
      <c r="M813" s="25" t="n">
        <f aca="false">F813</f>
        <v>30682500</v>
      </c>
      <c r="N813" s="48" t="n">
        <v>0.0102275</v>
      </c>
      <c r="O813" s="25" t="n">
        <f aca="false">IF(AND(B813&gt;=DATE(2026,1,1),B813&lt;=Resumen!$C$5),1,0)</f>
        <v>0</v>
      </c>
      <c r="P813" s="25" t="n">
        <f aca="false">IF(AND(B813&gt;Resumen!$C$5,B813&lt;=DATE(2027,7,31)),1,0)</f>
        <v>0</v>
      </c>
    </row>
    <row r="814" customFormat="false" ht="15" hidden="false" customHeight="false" outlineLevel="0" collapsed="false">
      <c r="A814" s="22" t="n">
        <v>46</v>
      </c>
      <c r="B814" s="23" t="n">
        <v>45805</v>
      </c>
      <c r="C814" s="28" t="n">
        <v>3000000000</v>
      </c>
      <c r="D814" s="28" t="n">
        <v>30237500</v>
      </c>
      <c r="E814" s="28" t="n">
        <v>0</v>
      </c>
      <c r="F814" s="28" t="n">
        <v>30237500</v>
      </c>
      <c r="G814" s="28" t="n">
        <v>3000000000</v>
      </c>
      <c r="H814" s="25" t="n">
        <f aca="false">J813</f>
        <v>3000000000</v>
      </c>
      <c r="I814" s="25" t="n">
        <f aca="false">H814*N814</f>
        <v>30237500</v>
      </c>
      <c r="J814" s="25" t="n">
        <f aca="false">H814-E814</f>
        <v>3000000000</v>
      </c>
      <c r="K814" s="25" t="n">
        <f aca="false">D814-I814</f>
        <v>0</v>
      </c>
      <c r="L814" s="25" t="n">
        <f aca="false">G814-J814</f>
        <v>0</v>
      </c>
      <c r="M814" s="25" t="n">
        <f aca="false">F814</f>
        <v>30237500</v>
      </c>
      <c r="N814" s="48" t="n">
        <v>0.0100791666666667</v>
      </c>
      <c r="O814" s="25" t="n">
        <f aca="false">IF(AND(B814&gt;=DATE(2026,1,1),B814&lt;=Resumen!$C$5),1,0)</f>
        <v>0</v>
      </c>
      <c r="P814" s="25" t="n">
        <f aca="false">IF(AND(B814&gt;Resumen!$C$5,B814&lt;=DATE(2027,7,31)),1,0)</f>
        <v>0</v>
      </c>
    </row>
    <row r="815" customFormat="false" ht="15" hidden="false" customHeight="false" outlineLevel="0" collapsed="false">
      <c r="A815" s="22" t="n">
        <v>47</v>
      </c>
      <c r="B815" s="23" t="n">
        <v>45836</v>
      </c>
      <c r="C815" s="28" t="n">
        <v>3000000000</v>
      </c>
      <c r="D815" s="28" t="n">
        <v>30175000</v>
      </c>
      <c r="E815" s="28" t="n">
        <v>0</v>
      </c>
      <c r="F815" s="28" t="n">
        <v>30175000</v>
      </c>
      <c r="G815" s="28" t="n">
        <v>3000000000</v>
      </c>
      <c r="H815" s="25" t="n">
        <f aca="false">J814</f>
        <v>3000000000</v>
      </c>
      <c r="I815" s="25" t="n">
        <f aca="false">H815*N815</f>
        <v>30175000</v>
      </c>
      <c r="J815" s="25" t="n">
        <f aca="false">H815-E815</f>
        <v>3000000000</v>
      </c>
      <c r="K815" s="25" t="n">
        <f aca="false">D815-I815</f>
        <v>0</v>
      </c>
      <c r="L815" s="25" t="n">
        <f aca="false">G815-J815</f>
        <v>0</v>
      </c>
      <c r="M815" s="25" t="n">
        <f aca="false">F815</f>
        <v>30175000</v>
      </c>
      <c r="N815" s="48" t="n">
        <v>0.0100583333333333</v>
      </c>
      <c r="O815" s="25" t="n">
        <f aca="false">IF(AND(B815&gt;=DATE(2026,1,1),B815&lt;=Resumen!$C$5),1,0)</f>
        <v>0</v>
      </c>
      <c r="P815" s="25" t="n">
        <f aca="false">IF(AND(B815&gt;Resumen!$C$5,B815&lt;=DATE(2027,7,31)),1,0)</f>
        <v>0</v>
      </c>
    </row>
    <row r="816" customFormat="false" ht="15" hidden="false" customHeight="false" outlineLevel="0" collapsed="false">
      <c r="A816" s="22" t="n">
        <v>48</v>
      </c>
      <c r="B816" s="23" t="n">
        <v>45866</v>
      </c>
      <c r="C816" s="28" t="n">
        <v>3000000000</v>
      </c>
      <c r="D816" s="28" t="n">
        <v>29975000</v>
      </c>
      <c r="E816" s="28" t="n">
        <v>0</v>
      </c>
      <c r="F816" s="28" t="n">
        <v>29975000</v>
      </c>
      <c r="G816" s="28" t="n">
        <v>3000000000</v>
      </c>
      <c r="H816" s="25" t="n">
        <f aca="false">J815</f>
        <v>3000000000</v>
      </c>
      <c r="I816" s="25" t="n">
        <f aca="false">H816*N816</f>
        <v>29975000</v>
      </c>
      <c r="J816" s="25" t="n">
        <f aca="false">H816-E816</f>
        <v>3000000000</v>
      </c>
      <c r="K816" s="25" t="n">
        <f aca="false">D816-I816</f>
        <v>0</v>
      </c>
      <c r="L816" s="25" t="n">
        <f aca="false">G816-J816</f>
        <v>0</v>
      </c>
      <c r="M816" s="25" t="n">
        <f aca="false">F816</f>
        <v>29975000</v>
      </c>
      <c r="N816" s="48" t="n">
        <v>0.00999166666666667</v>
      </c>
      <c r="O816" s="25" t="n">
        <f aca="false">IF(AND(B816&gt;=DATE(2026,1,1),B816&lt;=Resumen!$C$5),1,0)</f>
        <v>0</v>
      </c>
      <c r="P816" s="25" t="n">
        <f aca="false">IF(AND(B816&gt;Resumen!$C$5,B816&lt;=DATE(2027,7,31)),1,0)</f>
        <v>0</v>
      </c>
    </row>
    <row r="817" customFormat="false" ht="15" hidden="false" customHeight="false" outlineLevel="0" collapsed="false">
      <c r="A817" s="22" t="n">
        <v>49</v>
      </c>
      <c r="B817" s="23" t="n">
        <v>45897</v>
      </c>
      <c r="C817" s="28" t="n">
        <v>3000000000</v>
      </c>
      <c r="D817" s="28" t="n">
        <v>30412500</v>
      </c>
      <c r="E817" s="28" t="n">
        <v>0</v>
      </c>
      <c r="F817" s="28" t="n">
        <v>30412500</v>
      </c>
      <c r="G817" s="28" t="n">
        <v>3000000000</v>
      </c>
      <c r="H817" s="25" t="n">
        <f aca="false">J816</f>
        <v>3000000000</v>
      </c>
      <c r="I817" s="25" t="n">
        <f aca="false">H817*N817</f>
        <v>30412500</v>
      </c>
      <c r="J817" s="25" t="n">
        <f aca="false">H817-E817</f>
        <v>3000000000</v>
      </c>
      <c r="K817" s="25" t="n">
        <f aca="false">D817-I817</f>
        <v>0</v>
      </c>
      <c r="L817" s="25" t="n">
        <f aca="false">G817-J817</f>
        <v>0</v>
      </c>
      <c r="M817" s="25" t="n">
        <f aca="false">F817</f>
        <v>30412500</v>
      </c>
      <c r="N817" s="48" t="n">
        <v>0.0101375</v>
      </c>
      <c r="O817" s="25" t="n">
        <f aca="false">IF(AND(B817&gt;=DATE(2026,1,1),B817&lt;=Resumen!$C$5),1,0)</f>
        <v>0</v>
      </c>
      <c r="P817" s="25" t="n">
        <f aca="false">IF(AND(B817&gt;Resumen!$C$5,B817&lt;=DATE(2027,7,31)),1,0)</f>
        <v>0</v>
      </c>
    </row>
    <row r="818" customFormat="false" ht="15" hidden="false" customHeight="false" outlineLevel="0" collapsed="false">
      <c r="A818" s="22" t="n">
        <v>50</v>
      </c>
      <c r="B818" s="23" t="n">
        <v>45928</v>
      </c>
      <c r="C818" s="28" t="n">
        <v>3000000000</v>
      </c>
      <c r="D818" s="28" t="n">
        <v>30550000</v>
      </c>
      <c r="E818" s="28" t="n">
        <v>0</v>
      </c>
      <c r="F818" s="28" t="n">
        <v>30550000</v>
      </c>
      <c r="G818" s="28" t="n">
        <v>3000000000</v>
      </c>
      <c r="H818" s="25" t="n">
        <f aca="false">J817</f>
        <v>3000000000</v>
      </c>
      <c r="I818" s="25" t="n">
        <f aca="false">H818*N818</f>
        <v>30550000</v>
      </c>
      <c r="J818" s="25" t="n">
        <f aca="false">H818-E818</f>
        <v>3000000000</v>
      </c>
      <c r="K818" s="25" t="n">
        <f aca="false">D818-I818</f>
        <v>0</v>
      </c>
      <c r="L818" s="25" t="n">
        <f aca="false">G818-J818</f>
        <v>0</v>
      </c>
      <c r="M818" s="25" t="n">
        <f aca="false">F818</f>
        <v>30550000</v>
      </c>
      <c r="N818" s="48" t="n">
        <v>0.0101833333333333</v>
      </c>
      <c r="O818" s="25" t="n">
        <f aca="false">IF(AND(B818&gt;=DATE(2026,1,1),B818&lt;=Resumen!$C$5),1,0)</f>
        <v>0</v>
      </c>
      <c r="P818" s="25" t="n">
        <f aca="false">IF(AND(B818&gt;Resumen!$C$5,B818&lt;=DATE(2027,7,31)),1,0)</f>
        <v>0</v>
      </c>
    </row>
    <row r="819" customFormat="false" ht="15" hidden="false" customHeight="false" outlineLevel="0" collapsed="false">
      <c r="A819" s="22" t="n">
        <v>51</v>
      </c>
      <c r="B819" s="23" t="n">
        <v>45958</v>
      </c>
      <c r="C819" s="28" t="n">
        <v>3000000000</v>
      </c>
      <c r="D819" s="28" t="n">
        <v>31035000</v>
      </c>
      <c r="E819" s="28" t="n">
        <v>0</v>
      </c>
      <c r="F819" s="28" t="n">
        <v>31035000</v>
      </c>
      <c r="G819" s="28" t="n">
        <v>3000000000</v>
      </c>
      <c r="H819" s="25" t="n">
        <f aca="false">J818</f>
        <v>3000000000</v>
      </c>
      <c r="I819" s="25" t="n">
        <f aca="false">H819*N819</f>
        <v>31035000</v>
      </c>
      <c r="J819" s="25" t="n">
        <f aca="false">H819-E819</f>
        <v>3000000000</v>
      </c>
      <c r="K819" s="25" t="n">
        <f aca="false">D819-I819</f>
        <v>0</v>
      </c>
      <c r="L819" s="25" t="n">
        <f aca="false">G819-J819</f>
        <v>0</v>
      </c>
      <c r="M819" s="25" t="n">
        <f aca="false">F819</f>
        <v>31035000</v>
      </c>
      <c r="N819" s="48" t="n">
        <v>0.010345</v>
      </c>
      <c r="O819" s="25" t="n">
        <f aca="false">IF(AND(B819&gt;=DATE(2026,1,1),B819&lt;=Resumen!$C$5),1,0)</f>
        <v>0</v>
      </c>
      <c r="P819" s="25" t="n">
        <f aca="false">IF(AND(B819&gt;Resumen!$C$5,B819&lt;=DATE(2027,7,31)),1,0)</f>
        <v>0</v>
      </c>
    </row>
    <row r="820" customFormat="false" ht="15" hidden="false" customHeight="false" outlineLevel="0" collapsed="false">
      <c r="A820" s="22" t="n">
        <v>52</v>
      </c>
      <c r="B820" s="23" t="n">
        <v>45989</v>
      </c>
      <c r="C820" s="28" t="n">
        <v>3000000000</v>
      </c>
      <c r="D820" s="28" t="n">
        <v>31875000</v>
      </c>
      <c r="E820" s="28" t="n">
        <v>0</v>
      </c>
      <c r="F820" s="28" t="n">
        <v>31875000</v>
      </c>
      <c r="G820" s="28" t="n">
        <v>3000000000</v>
      </c>
      <c r="H820" s="25" t="n">
        <f aca="false">J819</f>
        <v>3000000000</v>
      </c>
      <c r="I820" s="25" t="n">
        <f aca="false">H820*N820</f>
        <v>31875000</v>
      </c>
      <c r="J820" s="25" t="n">
        <f aca="false">H820-E820</f>
        <v>3000000000</v>
      </c>
      <c r="K820" s="25" t="n">
        <f aca="false">D820-I820</f>
        <v>0</v>
      </c>
      <c r="L820" s="25" t="n">
        <f aca="false">G820-J820</f>
        <v>0</v>
      </c>
      <c r="M820" s="25" t="n">
        <f aca="false">F820</f>
        <v>31875000</v>
      </c>
      <c r="N820" s="48" t="n">
        <v>0.010625</v>
      </c>
      <c r="O820" s="25" t="n">
        <f aca="false">IF(AND(B820&gt;=DATE(2026,1,1),B820&lt;=Resumen!$C$5),1,0)</f>
        <v>0</v>
      </c>
      <c r="P820" s="25" t="n">
        <f aca="false">IF(AND(B820&gt;Resumen!$C$5,B820&lt;=DATE(2027,7,31)),1,0)</f>
        <v>0</v>
      </c>
    </row>
    <row r="821" customFormat="false" ht="15" hidden="false" customHeight="false" outlineLevel="0" collapsed="false">
      <c r="A821" s="22" t="n">
        <v>53</v>
      </c>
      <c r="B821" s="23" t="n">
        <v>46019</v>
      </c>
      <c r="C821" s="28" t="n">
        <v>3000000000</v>
      </c>
      <c r="D821" s="28" t="n">
        <v>33907500</v>
      </c>
      <c r="E821" s="28" t="n">
        <v>0</v>
      </c>
      <c r="F821" s="28" t="n">
        <v>33907500</v>
      </c>
      <c r="G821" s="28" t="n">
        <v>3000000000</v>
      </c>
      <c r="H821" s="25" t="n">
        <f aca="false">J820</f>
        <v>3000000000</v>
      </c>
      <c r="I821" s="25" t="n">
        <f aca="false">H821*N821</f>
        <v>33907500</v>
      </c>
      <c r="J821" s="25" t="n">
        <f aca="false">H821-E821</f>
        <v>3000000000</v>
      </c>
      <c r="K821" s="25" t="n">
        <f aca="false">D821-I821</f>
        <v>0</v>
      </c>
      <c r="L821" s="25" t="n">
        <f aca="false">G821-J821</f>
        <v>0</v>
      </c>
      <c r="M821" s="25" t="n">
        <f aca="false">F821</f>
        <v>33907500</v>
      </c>
      <c r="N821" s="48" t="n">
        <v>0.0113025</v>
      </c>
      <c r="O821" s="25" t="n">
        <f aca="false">IF(AND(B821&gt;=DATE(2026,1,1),B821&lt;=Resumen!$C$5),1,0)</f>
        <v>0</v>
      </c>
      <c r="P821" s="25" t="n">
        <f aca="false">IF(AND(B821&gt;Resumen!$C$5,B821&lt;=DATE(2027,7,31)),1,0)</f>
        <v>0</v>
      </c>
    </row>
    <row r="822" customFormat="false" ht="15" hidden="false" customHeight="false" outlineLevel="0" collapsed="false">
      <c r="A822" s="22" t="n">
        <v>54</v>
      </c>
      <c r="B822" s="23" t="n">
        <v>46050</v>
      </c>
      <c r="C822" s="28" t="n">
        <v>3000000000</v>
      </c>
      <c r="D822" s="28" t="n">
        <v>34250000</v>
      </c>
      <c r="E822" s="28" t="n">
        <v>0</v>
      </c>
      <c r="F822" s="28" t="n">
        <v>34250000</v>
      </c>
      <c r="G822" s="28" t="n">
        <v>3000000000</v>
      </c>
      <c r="H822" s="25" t="n">
        <f aca="false">J821</f>
        <v>3000000000</v>
      </c>
      <c r="I822" s="25" t="n">
        <f aca="false">H822*N822</f>
        <v>34250000</v>
      </c>
      <c r="J822" s="25" t="n">
        <f aca="false">H822-E822</f>
        <v>3000000000</v>
      </c>
      <c r="K822" s="25" t="n">
        <f aca="false">D822-I822</f>
        <v>0</v>
      </c>
      <c r="L822" s="25" t="n">
        <f aca="false">G822-J822</f>
        <v>0</v>
      </c>
      <c r="M822" s="25" t="n">
        <f aca="false">F822</f>
        <v>34250000</v>
      </c>
      <c r="N822" s="48" t="n">
        <v>0.0114166666666667</v>
      </c>
      <c r="O822" s="25" t="n">
        <f aca="false">IF(AND(B822&gt;=DATE(2026,1,1),B822&lt;=Resumen!$C$5),1,0)</f>
        <v>1</v>
      </c>
      <c r="P822" s="25" t="n">
        <f aca="false">IF(AND(B822&gt;Resumen!$C$5,B822&lt;=DATE(2027,7,31)),1,0)</f>
        <v>0</v>
      </c>
    </row>
    <row r="823" customFormat="false" ht="15" hidden="false" customHeight="false" outlineLevel="0" collapsed="false">
      <c r="A823" s="22" t="n">
        <v>55</v>
      </c>
      <c r="B823" s="23" t="n">
        <v>46081</v>
      </c>
      <c r="C823" s="28" t="n">
        <v>3000000000</v>
      </c>
      <c r="D823" s="28" t="n">
        <v>36925000</v>
      </c>
      <c r="E823" s="28" t="n">
        <v>0</v>
      </c>
      <c r="F823" s="28" t="n">
        <v>36925000</v>
      </c>
      <c r="G823" s="28" t="n">
        <v>3000000000</v>
      </c>
      <c r="H823" s="25" t="n">
        <f aca="false">J822</f>
        <v>3000000000</v>
      </c>
      <c r="I823" s="25" t="n">
        <f aca="false">H823*N823</f>
        <v>36925000</v>
      </c>
      <c r="J823" s="25" t="n">
        <f aca="false">H823-E823</f>
        <v>3000000000</v>
      </c>
      <c r="K823" s="25" t="n">
        <f aca="false">D823-I823</f>
        <v>0</v>
      </c>
      <c r="L823" s="25" t="n">
        <f aca="false">G823-J823</f>
        <v>0</v>
      </c>
      <c r="M823" s="25" t="n">
        <f aca="false">F823</f>
        <v>36925000</v>
      </c>
      <c r="N823" s="48" t="n">
        <v>0.0123083333333333</v>
      </c>
      <c r="O823" s="25" t="n">
        <f aca="false">IF(AND(B823&gt;=DATE(2026,1,1),B823&lt;=Resumen!$C$5),1,0)</f>
        <v>1</v>
      </c>
      <c r="P823" s="25" t="n">
        <f aca="false">IF(AND(B823&gt;Resumen!$C$5,B823&lt;=DATE(2027,7,31)),1,0)</f>
        <v>0</v>
      </c>
    </row>
    <row r="824" customFormat="false" ht="15" hidden="false" customHeight="false" outlineLevel="0" collapsed="false">
      <c r="A824" s="22" t="n">
        <v>56</v>
      </c>
      <c r="B824" s="23" t="n">
        <v>46109</v>
      </c>
      <c r="C824" s="28" t="n">
        <v>3000000000</v>
      </c>
      <c r="D824" s="28" t="n">
        <v>37775000</v>
      </c>
      <c r="E824" s="28" t="n">
        <v>0</v>
      </c>
      <c r="F824" s="28" t="n">
        <v>37775000</v>
      </c>
      <c r="G824" s="28" t="n">
        <v>3000000000</v>
      </c>
      <c r="H824" s="25" t="n">
        <f aca="false">J823</f>
        <v>3000000000</v>
      </c>
      <c r="I824" s="25" t="n">
        <f aca="false">H824*N824</f>
        <v>37775000</v>
      </c>
      <c r="J824" s="25" t="n">
        <f aca="false">H824-E824</f>
        <v>3000000000</v>
      </c>
      <c r="K824" s="25" t="n">
        <f aca="false">D824-I824</f>
        <v>0</v>
      </c>
      <c r="L824" s="25" t="n">
        <f aca="false">G824-J824</f>
        <v>0</v>
      </c>
      <c r="M824" s="25" t="n">
        <f aca="false">F824</f>
        <v>37775000</v>
      </c>
      <c r="N824" s="48" t="n">
        <v>0.0125916666666667</v>
      </c>
      <c r="O824" s="25" t="n">
        <f aca="false">IF(AND(B824&gt;=DATE(2026,1,1),B824&lt;=Resumen!$C$5),1,0)</f>
        <v>1</v>
      </c>
      <c r="P824" s="25" t="n">
        <f aca="false">IF(AND(B824&gt;Resumen!$C$5,B824&lt;=DATE(2027,7,31)),1,0)</f>
        <v>0</v>
      </c>
    </row>
    <row r="825" customFormat="false" ht="15" hidden="false" customHeight="false" outlineLevel="0" collapsed="false">
      <c r="A825" s="22" t="n">
        <v>57</v>
      </c>
      <c r="B825" s="23" t="n">
        <v>46140</v>
      </c>
      <c r="C825" s="28" t="n">
        <v>3000000000</v>
      </c>
      <c r="D825" s="28" t="n">
        <v>38617500</v>
      </c>
      <c r="E825" s="28" t="n">
        <v>0</v>
      </c>
      <c r="F825" s="28" t="n">
        <v>38617500</v>
      </c>
      <c r="G825" s="28" t="n">
        <v>3000000000</v>
      </c>
      <c r="H825" s="25" t="n">
        <f aca="false">J824</f>
        <v>3000000000</v>
      </c>
      <c r="I825" s="25" t="n">
        <f aca="false">H825*N825</f>
        <v>38617500</v>
      </c>
      <c r="J825" s="25" t="n">
        <f aca="false">H825-E825</f>
        <v>3000000000</v>
      </c>
      <c r="K825" s="25" t="n">
        <f aca="false">D825-I825</f>
        <v>0</v>
      </c>
      <c r="L825" s="25" t="n">
        <f aca="false">G825-J825</f>
        <v>0</v>
      </c>
      <c r="M825" s="25" t="n">
        <f aca="false">F825</f>
        <v>38617500</v>
      </c>
      <c r="N825" s="48" t="n">
        <v>0.0128725</v>
      </c>
      <c r="O825" s="25" t="n">
        <f aca="false">IF(AND(B825&gt;=DATE(2026,1,1),B825&lt;=Resumen!$C$5),1,0)</f>
        <v>1</v>
      </c>
      <c r="P825" s="25" t="n">
        <f aca="false">IF(AND(B825&gt;Resumen!$C$5,B825&lt;=DATE(2027,7,31)),1,0)</f>
        <v>0</v>
      </c>
    </row>
    <row r="826" customFormat="false" ht="15" hidden="false" customHeight="false" outlineLevel="0" collapsed="false">
      <c r="A826" s="22" t="n">
        <v>58</v>
      </c>
      <c r="B826" s="23" t="n">
        <v>46170</v>
      </c>
      <c r="C826" s="28" t="n">
        <v>3000000000</v>
      </c>
      <c r="D826" s="28" t="n">
        <v>38617500</v>
      </c>
      <c r="E826" s="28" t="n">
        <v>0</v>
      </c>
      <c r="F826" s="28" t="n">
        <v>38617500</v>
      </c>
      <c r="G826" s="28" t="n">
        <v>3000000000</v>
      </c>
      <c r="H826" s="25" t="n">
        <f aca="false">J825</f>
        <v>3000000000</v>
      </c>
      <c r="I826" s="25" t="n">
        <f aca="false">H826*N826</f>
        <v>38617500</v>
      </c>
      <c r="J826" s="25" t="n">
        <f aca="false">H826-E826</f>
        <v>3000000000</v>
      </c>
      <c r="K826" s="25" t="n">
        <f aca="false">D826-I826</f>
        <v>0</v>
      </c>
      <c r="L826" s="25" t="n">
        <f aca="false">G826-J826</f>
        <v>0</v>
      </c>
      <c r="M826" s="25" t="n">
        <f aca="false">F826</f>
        <v>38617500</v>
      </c>
      <c r="N826" s="48" t="n">
        <v>0.0128725</v>
      </c>
      <c r="O826" s="25" t="n">
        <f aca="false">IF(AND(B826&gt;=DATE(2026,1,1),B826&lt;=Resumen!$C$5),1,0)</f>
        <v>1</v>
      </c>
      <c r="P826" s="25" t="n">
        <f aca="false">IF(AND(B826&gt;Resumen!$C$5,B826&lt;=DATE(2027,7,31)),1,0)</f>
        <v>0</v>
      </c>
    </row>
    <row r="827" customFormat="false" ht="15" hidden="false" customHeight="false" outlineLevel="0" collapsed="false">
      <c r="A827" s="22" t="n">
        <v>59</v>
      </c>
      <c r="B827" s="23" t="n">
        <v>46201</v>
      </c>
      <c r="C827" s="28" t="n">
        <v>3000000000</v>
      </c>
      <c r="D827" s="28" t="n">
        <v>37950000</v>
      </c>
      <c r="E827" s="28" t="n">
        <v>0</v>
      </c>
      <c r="F827" s="28" t="n">
        <v>37950000</v>
      </c>
      <c r="G827" s="28" t="n">
        <v>3000000000</v>
      </c>
      <c r="H827" s="25" t="n">
        <f aca="false">J826</f>
        <v>3000000000</v>
      </c>
      <c r="I827" s="25" t="n">
        <f aca="false">H827*N827</f>
        <v>37950000</v>
      </c>
      <c r="J827" s="25" t="n">
        <f aca="false">H827-E827</f>
        <v>3000000000</v>
      </c>
      <c r="K827" s="25" t="n">
        <f aca="false">D827-I827</f>
        <v>0</v>
      </c>
      <c r="L827" s="25" t="n">
        <f aca="false">G827-J827</f>
        <v>0</v>
      </c>
      <c r="M827" s="25" t="n">
        <f aca="false">F827</f>
        <v>37950000</v>
      </c>
      <c r="N827" s="48" t="n">
        <v>0.01265</v>
      </c>
      <c r="O827" s="25" t="n">
        <f aca="false">IF(AND(B827&gt;=DATE(2026,1,1),B827&lt;=Resumen!$C$5),1,0)</f>
        <v>1</v>
      </c>
      <c r="P827" s="25" t="n">
        <f aca="false">IF(AND(B827&gt;Resumen!$C$5,B827&lt;=DATE(2027,7,31)),1,0)</f>
        <v>0</v>
      </c>
    </row>
    <row r="828" customFormat="false" ht="15" hidden="false" customHeight="false" outlineLevel="0" collapsed="false">
      <c r="A828" s="22" t="n">
        <v>60</v>
      </c>
      <c r="B828" s="23" t="n">
        <v>46231</v>
      </c>
      <c r="C828" s="28" t="n">
        <v>3000000000</v>
      </c>
      <c r="D828" s="28" t="n">
        <v>38562500</v>
      </c>
      <c r="E828" s="28" t="n">
        <v>0</v>
      </c>
      <c r="F828" s="28" t="n">
        <v>38562500</v>
      </c>
      <c r="G828" s="28" t="n">
        <v>3000000000</v>
      </c>
      <c r="H828" s="25" t="n">
        <f aca="false">J827</f>
        <v>3000000000</v>
      </c>
      <c r="I828" s="25" t="n">
        <f aca="false">H828*N828</f>
        <v>38562500</v>
      </c>
      <c r="J828" s="25" t="n">
        <f aca="false">H828-E828</f>
        <v>3000000000</v>
      </c>
      <c r="K828" s="25" t="n">
        <f aca="false">D828-I828</f>
        <v>0</v>
      </c>
      <c r="L828" s="25" t="n">
        <f aca="false">G828-J828</f>
        <v>0</v>
      </c>
      <c r="M828" s="25" t="n">
        <f aca="false">F828</f>
        <v>38562500</v>
      </c>
      <c r="N828" s="48" t="n">
        <v>0.0128541666666667</v>
      </c>
      <c r="O828" s="25" t="n">
        <f aca="false">IF(AND(B828&gt;=DATE(2026,1,1),B828&lt;=Resumen!$C$5),1,0)</f>
        <v>1</v>
      </c>
      <c r="P828" s="25" t="n">
        <f aca="false">IF(AND(B828&gt;Resumen!$C$5,B828&lt;=DATE(2027,7,31)),1,0)</f>
        <v>0</v>
      </c>
    </row>
    <row r="829" customFormat="false" ht="15" hidden="false" customHeight="false" outlineLevel="0" collapsed="false">
      <c r="A829" s="22" t="n">
        <v>61</v>
      </c>
      <c r="B829" s="23" t="n">
        <v>46262</v>
      </c>
      <c r="C829" s="28" t="n">
        <v>3000000000</v>
      </c>
      <c r="D829" s="28" t="n">
        <v>38562500</v>
      </c>
      <c r="E829" s="28" t="n">
        <v>0</v>
      </c>
      <c r="F829" s="28" t="n">
        <v>38562500</v>
      </c>
      <c r="G829" s="28" t="n">
        <v>3000000000</v>
      </c>
      <c r="H829" s="25" t="n">
        <f aca="false">J828</f>
        <v>3000000000</v>
      </c>
      <c r="I829" s="25" t="n">
        <f aca="false">H829*N829</f>
        <v>38562500</v>
      </c>
      <c r="J829" s="25" t="n">
        <f aca="false">H829-E829</f>
        <v>3000000000</v>
      </c>
      <c r="K829" s="25" t="n">
        <f aca="false">D829-I829</f>
        <v>0</v>
      </c>
      <c r="L829" s="25" t="n">
        <f aca="false">G829-J829</f>
        <v>0</v>
      </c>
      <c r="M829" s="25" t="n">
        <f aca="false">F829</f>
        <v>38562500</v>
      </c>
      <c r="N829" s="48" t="n">
        <v>0.0128541666666667</v>
      </c>
      <c r="O829" s="25" t="n">
        <f aca="false">IF(AND(B829&gt;=DATE(2026,1,1),B829&lt;=Resumen!$C$5),1,0)</f>
        <v>0</v>
      </c>
      <c r="P829" s="25" t="n">
        <f aca="false">IF(AND(B829&gt;Resumen!$C$5,B829&lt;=DATE(2027,7,31)),1,0)</f>
        <v>1</v>
      </c>
    </row>
    <row r="830" customFormat="false" ht="15" hidden="false" customHeight="false" outlineLevel="0" collapsed="false">
      <c r="A830" s="22" t="n">
        <v>62</v>
      </c>
      <c r="B830" s="23" t="n">
        <v>46293</v>
      </c>
      <c r="C830" s="28" t="n">
        <v>3000000000</v>
      </c>
      <c r="D830" s="28" t="n">
        <v>38562500</v>
      </c>
      <c r="E830" s="28" t="n">
        <v>0</v>
      </c>
      <c r="F830" s="28" t="n">
        <v>38562500</v>
      </c>
      <c r="G830" s="28" t="n">
        <v>3000000000</v>
      </c>
      <c r="H830" s="25" t="n">
        <f aca="false">J829</f>
        <v>3000000000</v>
      </c>
      <c r="I830" s="25" t="n">
        <f aca="false">H830*N830</f>
        <v>38562500</v>
      </c>
      <c r="J830" s="25" t="n">
        <f aca="false">H830-E830</f>
        <v>3000000000</v>
      </c>
      <c r="K830" s="25" t="n">
        <f aca="false">D830-I830</f>
        <v>0</v>
      </c>
      <c r="L830" s="25" t="n">
        <f aca="false">G830-J830</f>
        <v>0</v>
      </c>
      <c r="M830" s="25" t="n">
        <f aca="false">F830</f>
        <v>38562500</v>
      </c>
      <c r="N830" s="48" t="n">
        <v>0.0128541666666667</v>
      </c>
      <c r="O830" s="25" t="n">
        <f aca="false">IF(AND(B830&gt;=DATE(2026,1,1),B830&lt;=Resumen!$C$5),1,0)</f>
        <v>0</v>
      </c>
      <c r="P830" s="25" t="n">
        <f aca="false">IF(AND(B830&gt;Resumen!$C$5,B830&lt;=DATE(2027,7,31)),1,0)</f>
        <v>1</v>
      </c>
    </row>
    <row r="831" customFormat="false" ht="15" hidden="false" customHeight="false" outlineLevel="0" collapsed="false">
      <c r="A831" s="22" t="n">
        <v>63</v>
      </c>
      <c r="B831" s="23" t="n">
        <v>46323</v>
      </c>
      <c r="C831" s="28" t="n">
        <v>3000000000</v>
      </c>
      <c r="D831" s="28" t="n">
        <v>38562500</v>
      </c>
      <c r="E831" s="28" t="n">
        <v>0</v>
      </c>
      <c r="F831" s="28" t="n">
        <v>38562500</v>
      </c>
      <c r="G831" s="28" t="n">
        <v>3000000000</v>
      </c>
      <c r="H831" s="25" t="n">
        <f aca="false">J830</f>
        <v>3000000000</v>
      </c>
      <c r="I831" s="25" t="n">
        <f aca="false">H831*N831</f>
        <v>38562500</v>
      </c>
      <c r="J831" s="25" t="n">
        <f aca="false">H831-E831</f>
        <v>3000000000</v>
      </c>
      <c r="K831" s="25" t="n">
        <f aca="false">D831-I831</f>
        <v>0</v>
      </c>
      <c r="L831" s="25" t="n">
        <f aca="false">G831-J831</f>
        <v>0</v>
      </c>
      <c r="M831" s="25" t="n">
        <f aca="false">F831</f>
        <v>38562500</v>
      </c>
      <c r="N831" s="48" t="n">
        <v>0.0128541666666667</v>
      </c>
      <c r="O831" s="25" t="n">
        <f aca="false">IF(AND(B831&gt;=DATE(2026,1,1),B831&lt;=Resumen!$C$5),1,0)</f>
        <v>0</v>
      </c>
      <c r="P831" s="25" t="n">
        <f aca="false">IF(AND(B831&gt;Resumen!$C$5,B831&lt;=DATE(2027,7,31)),1,0)</f>
        <v>1</v>
      </c>
    </row>
    <row r="832" customFormat="false" ht="15" hidden="false" customHeight="false" outlineLevel="0" collapsed="false">
      <c r="A832" s="22" t="n">
        <v>64</v>
      </c>
      <c r="B832" s="23" t="n">
        <v>46354</v>
      </c>
      <c r="C832" s="28" t="n">
        <v>3000000000</v>
      </c>
      <c r="D832" s="28" t="n">
        <v>38562500</v>
      </c>
      <c r="E832" s="28" t="n">
        <v>0</v>
      </c>
      <c r="F832" s="28" t="n">
        <v>38562500</v>
      </c>
      <c r="G832" s="28" t="n">
        <v>3000000000</v>
      </c>
      <c r="H832" s="25" t="n">
        <f aca="false">J831</f>
        <v>3000000000</v>
      </c>
      <c r="I832" s="25" t="n">
        <f aca="false">H832*N832</f>
        <v>38562500</v>
      </c>
      <c r="J832" s="25" t="n">
        <f aca="false">H832-E832</f>
        <v>3000000000</v>
      </c>
      <c r="K832" s="25" t="n">
        <f aca="false">D832-I832</f>
        <v>0</v>
      </c>
      <c r="L832" s="25" t="n">
        <f aca="false">G832-J832</f>
        <v>0</v>
      </c>
      <c r="M832" s="25" t="n">
        <f aca="false">F832</f>
        <v>38562500</v>
      </c>
      <c r="N832" s="48" t="n">
        <v>0.0128541666666667</v>
      </c>
      <c r="O832" s="25" t="n">
        <f aca="false">IF(AND(B832&gt;=DATE(2026,1,1),B832&lt;=Resumen!$C$5),1,0)</f>
        <v>0</v>
      </c>
      <c r="P832" s="25" t="n">
        <f aca="false">IF(AND(B832&gt;Resumen!$C$5,B832&lt;=DATE(2027,7,31)),1,0)</f>
        <v>1</v>
      </c>
    </row>
    <row r="833" customFormat="false" ht="15" hidden="false" customHeight="false" outlineLevel="0" collapsed="false">
      <c r="A833" s="22" t="n">
        <v>65</v>
      </c>
      <c r="B833" s="23" t="n">
        <v>46384</v>
      </c>
      <c r="C833" s="28" t="n">
        <v>3000000000</v>
      </c>
      <c r="D833" s="28" t="n">
        <v>38562500</v>
      </c>
      <c r="E833" s="28" t="n">
        <v>0</v>
      </c>
      <c r="F833" s="28" t="n">
        <v>38562500</v>
      </c>
      <c r="G833" s="28" t="n">
        <v>3000000000</v>
      </c>
      <c r="H833" s="25" t="n">
        <f aca="false">J832</f>
        <v>3000000000</v>
      </c>
      <c r="I833" s="25" t="n">
        <f aca="false">H833*N833</f>
        <v>38562500</v>
      </c>
      <c r="J833" s="25" t="n">
        <f aca="false">H833-E833</f>
        <v>3000000000</v>
      </c>
      <c r="K833" s="25" t="n">
        <f aca="false">D833-I833</f>
        <v>0</v>
      </c>
      <c r="L833" s="25" t="n">
        <f aca="false">G833-J833</f>
        <v>0</v>
      </c>
      <c r="M833" s="25" t="n">
        <f aca="false">F833</f>
        <v>38562500</v>
      </c>
      <c r="N833" s="48" t="n">
        <v>0.0128541666666667</v>
      </c>
      <c r="O833" s="25" t="n">
        <f aca="false">IF(AND(B833&gt;=DATE(2026,1,1),B833&lt;=Resumen!$C$5),1,0)</f>
        <v>0</v>
      </c>
      <c r="P833" s="25" t="n">
        <f aca="false">IF(AND(B833&gt;Resumen!$C$5,B833&lt;=DATE(2027,7,31)),1,0)</f>
        <v>1</v>
      </c>
    </row>
    <row r="834" customFormat="false" ht="15" hidden="false" customHeight="false" outlineLevel="0" collapsed="false">
      <c r="A834" s="22" t="n">
        <v>66</v>
      </c>
      <c r="B834" s="23" t="n">
        <v>46415</v>
      </c>
      <c r="C834" s="28" t="n">
        <v>3000000000</v>
      </c>
      <c r="D834" s="28" t="n">
        <v>38562500</v>
      </c>
      <c r="E834" s="28" t="n">
        <v>0</v>
      </c>
      <c r="F834" s="28" t="n">
        <v>38562500</v>
      </c>
      <c r="G834" s="28" t="n">
        <v>3000000000</v>
      </c>
      <c r="H834" s="25" t="n">
        <f aca="false">J833</f>
        <v>3000000000</v>
      </c>
      <c r="I834" s="25" t="n">
        <f aca="false">H834*N834</f>
        <v>38562500</v>
      </c>
      <c r="J834" s="25" t="n">
        <f aca="false">H834-E834</f>
        <v>3000000000</v>
      </c>
      <c r="K834" s="25" t="n">
        <f aca="false">D834-I834</f>
        <v>0</v>
      </c>
      <c r="L834" s="25" t="n">
        <f aca="false">G834-J834</f>
        <v>0</v>
      </c>
      <c r="M834" s="25" t="n">
        <f aca="false">F834</f>
        <v>38562500</v>
      </c>
      <c r="N834" s="48" t="n">
        <v>0.0128541666666667</v>
      </c>
      <c r="O834" s="25" t="n">
        <f aca="false">IF(AND(B834&gt;=DATE(2026,1,1),B834&lt;=Resumen!$C$5),1,0)</f>
        <v>0</v>
      </c>
      <c r="P834" s="25" t="n">
        <f aca="false">IF(AND(B834&gt;Resumen!$C$5,B834&lt;=DATE(2027,7,31)),1,0)</f>
        <v>1</v>
      </c>
    </row>
    <row r="835" customFormat="false" ht="15" hidden="false" customHeight="false" outlineLevel="0" collapsed="false">
      <c r="A835" s="22" t="n">
        <v>67</v>
      </c>
      <c r="B835" s="23" t="n">
        <v>46446</v>
      </c>
      <c r="C835" s="28" t="n">
        <v>3000000000</v>
      </c>
      <c r="D835" s="28" t="n">
        <v>38562500</v>
      </c>
      <c r="E835" s="28" t="n">
        <v>0</v>
      </c>
      <c r="F835" s="28" t="n">
        <v>38562500</v>
      </c>
      <c r="G835" s="28" t="n">
        <v>3000000000</v>
      </c>
      <c r="H835" s="25" t="n">
        <f aca="false">J834</f>
        <v>3000000000</v>
      </c>
      <c r="I835" s="25" t="n">
        <f aca="false">H835*N835</f>
        <v>38562500</v>
      </c>
      <c r="J835" s="25" t="n">
        <f aca="false">H835-E835</f>
        <v>3000000000</v>
      </c>
      <c r="K835" s="25" t="n">
        <f aca="false">D835-I835</f>
        <v>0</v>
      </c>
      <c r="L835" s="25" t="n">
        <f aca="false">G835-J835</f>
        <v>0</v>
      </c>
      <c r="M835" s="25" t="n">
        <f aca="false">F835</f>
        <v>38562500</v>
      </c>
      <c r="N835" s="48" t="n">
        <v>0.0128541666666667</v>
      </c>
      <c r="O835" s="25" t="n">
        <f aca="false">IF(AND(B835&gt;=DATE(2026,1,1),B835&lt;=Resumen!$C$5),1,0)</f>
        <v>0</v>
      </c>
      <c r="P835" s="25" t="n">
        <f aca="false">IF(AND(B835&gt;Resumen!$C$5,B835&lt;=DATE(2027,7,31)),1,0)</f>
        <v>1</v>
      </c>
    </row>
    <row r="836" customFormat="false" ht="15" hidden="false" customHeight="false" outlineLevel="0" collapsed="false">
      <c r="A836" s="22" t="n">
        <v>68</v>
      </c>
      <c r="B836" s="23" t="n">
        <v>46474</v>
      </c>
      <c r="C836" s="28" t="n">
        <v>3000000000</v>
      </c>
      <c r="D836" s="28" t="n">
        <v>38562500</v>
      </c>
      <c r="E836" s="28" t="n">
        <v>0</v>
      </c>
      <c r="F836" s="28" t="n">
        <v>38562500</v>
      </c>
      <c r="G836" s="28" t="n">
        <v>3000000000</v>
      </c>
      <c r="H836" s="25" t="n">
        <f aca="false">J835</f>
        <v>3000000000</v>
      </c>
      <c r="I836" s="25" t="n">
        <f aca="false">H836*N836</f>
        <v>38562500</v>
      </c>
      <c r="J836" s="25" t="n">
        <f aca="false">H836-E836</f>
        <v>3000000000</v>
      </c>
      <c r="K836" s="25" t="n">
        <f aca="false">D836-I836</f>
        <v>0</v>
      </c>
      <c r="L836" s="25" t="n">
        <f aca="false">G836-J836</f>
        <v>0</v>
      </c>
      <c r="M836" s="25" t="n">
        <f aca="false">F836</f>
        <v>38562500</v>
      </c>
      <c r="N836" s="48" t="n">
        <v>0.0128541666666667</v>
      </c>
      <c r="O836" s="25" t="n">
        <f aca="false">IF(AND(B836&gt;=DATE(2026,1,1),B836&lt;=Resumen!$C$5),1,0)</f>
        <v>0</v>
      </c>
      <c r="P836" s="25" t="n">
        <f aca="false">IF(AND(B836&gt;Resumen!$C$5,B836&lt;=DATE(2027,7,31)),1,0)</f>
        <v>1</v>
      </c>
    </row>
    <row r="837" customFormat="false" ht="15" hidden="false" customHeight="false" outlineLevel="0" collapsed="false">
      <c r="A837" s="22" t="n">
        <v>69</v>
      </c>
      <c r="B837" s="23" t="n">
        <v>46505</v>
      </c>
      <c r="C837" s="28" t="n">
        <v>3000000000</v>
      </c>
      <c r="D837" s="28" t="n">
        <v>38562500</v>
      </c>
      <c r="E837" s="28" t="n">
        <v>0</v>
      </c>
      <c r="F837" s="28" t="n">
        <v>38562500</v>
      </c>
      <c r="G837" s="28" t="n">
        <v>3000000000</v>
      </c>
      <c r="H837" s="25" t="n">
        <f aca="false">J836</f>
        <v>3000000000</v>
      </c>
      <c r="I837" s="25" t="n">
        <f aca="false">H837*N837</f>
        <v>38562500</v>
      </c>
      <c r="J837" s="25" t="n">
        <f aca="false">H837-E837</f>
        <v>3000000000</v>
      </c>
      <c r="K837" s="25" t="n">
        <f aca="false">D837-I837</f>
        <v>0</v>
      </c>
      <c r="L837" s="25" t="n">
        <f aca="false">G837-J837</f>
        <v>0</v>
      </c>
      <c r="M837" s="25" t="n">
        <f aca="false">F837</f>
        <v>38562500</v>
      </c>
      <c r="N837" s="48" t="n">
        <v>0.0128541666666667</v>
      </c>
      <c r="O837" s="25" t="n">
        <f aca="false">IF(AND(B837&gt;=DATE(2026,1,1),B837&lt;=Resumen!$C$5),1,0)</f>
        <v>0</v>
      </c>
      <c r="P837" s="25" t="n">
        <f aca="false">IF(AND(B837&gt;Resumen!$C$5,B837&lt;=DATE(2027,7,31)),1,0)</f>
        <v>1</v>
      </c>
    </row>
    <row r="838" customFormat="false" ht="15" hidden="false" customHeight="false" outlineLevel="0" collapsed="false">
      <c r="A838" s="22" t="n">
        <v>70</v>
      </c>
      <c r="B838" s="23" t="n">
        <v>46535</v>
      </c>
      <c r="C838" s="28" t="n">
        <v>3000000000</v>
      </c>
      <c r="D838" s="28" t="n">
        <v>38562500</v>
      </c>
      <c r="E838" s="28" t="n">
        <v>0</v>
      </c>
      <c r="F838" s="28" t="n">
        <v>38562500</v>
      </c>
      <c r="G838" s="28" t="n">
        <v>3000000000</v>
      </c>
      <c r="H838" s="25" t="n">
        <f aca="false">J837</f>
        <v>3000000000</v>
      </c>
      <c r="I838" s="25" t="n">
        <f aca="false">H838*N838</f>
        <v>38562500</v>
      </c>
      <c r="J838" s="25" t="n">
        <f aca="false">H838-E838</f>
        <v>3000000000</v>
      </c>
      <c r="K838" s="25" t="n">
        <f aca="false">D838-I838</f>
        <v>0</v>
      </c>
      <c r="L838" s="25" t="n">
        <f aca="false">G838-J838</f>
        <v>0</v>
      </c>
      <c r="M838" s="25" t="n">
        <f aca="false">F838</f>
        <v>38562500</v>
      </c>
      <c r="N838" s="48" t="n">
        <v>0.0128541666666667</v>
      </c>
      <c r="O838" s="25" t="n">
        <f aca="false">IF(AND(B838&gt;=DATE(2026,1,1),B838&lt;=Resumen!$C$5),1,0)</f>
        <v>0</v>
      </c>
      <c r="P838" s="25" t="n">
        <f aca="false">IF(AND(B838&gt;Resumen!$C$5,B838&lt;=DATE(2027,7,31)),1,0)</f>
        <v>1</v>
      </c>
    </row>
    <row r="839" customFormat="false" ht="15" hidden="false" customHeight="false" outlineLevel="0" collapsed="false">
      <c r="A839" s="22" t="n">
        <v>71</v>
      </c>
      <c r="B839" s="23" t="n">
        <v>46566</v>
      </c>
      <c r="C839" s="28" t="n">
        <v>3000000000</v>
      </c>
      <c r="D839" s="28" t="n">
        <v>38562500</v>
      </c>
      <c r="E839" s="28" t="n">
        <v>0</v>
      </c>
      <c r="F839" s="28" t="n">
        <v>38562500</v>
      </c>
      <c r="G839" s="28" t="n">
        <v>3000000000</v>
      </c>
      <c r="H839" s="25" t="n">
        <f aca="false">J838</f>
        <v>3000000000</v>
      </c>
      <c r="I839" s="25" t="n">
        <f aca="false">H839*N839</f>
        <v>38562500</v>
      </c>
      <c r="J839" s="25" t="n">
        <f aca="false">H839-E839</f>
        <v>3000000000</v>
      </c>
      <c r="K839" s="25" t="n">
        <f aca="false">D839-I839</f>
        <v>0</v>
      </c>
      <c r="L839" s="25" t="n">
        <f aca="false">G839-J839</f>
        <v>0</v>
      </c>
      <c r="M839" s="25" t="n">
        <f aca="false">F839</f>
        <v>38562500</v>
      </c>
      <c r="N839" s="48" t="n">
        <v>0.0128541666666667</v>
      </c>
      <c r="O839" s="25" t="n">
        <f aca="false">IF(AND(B839&gt;=DATE(2026,1,1),B839&lt;=Resumen!$C$5),1,0)</f>
        <v>0</v>
      </c>
      <c r="P839" s="25" t="n">
        <f aca="false">IF(AND(B839&gt;Resumen!$C$5,B839&lt;=DATE(2027,7,31)),1,0)</f>
        <v>1</v>
      </c>
    </row>
    <row r="840" customFormat="false" ht="15" hidden="false" customHeight="false" outlineLevel="0" collapsed="false">
      <c r="A840" s="22" t="n">
        <v>72</v>
      </c>
      <c r="B840" s="23" t="n">
        <v>46596</v>
      </c>
      <c r="C840" s="28" t="n">
        <v>3000000000</v>
      </c>
      <c r="D840" s="28" t="n">
        <v>38562500</v>
      </c>
      <c r="E840" s="28" t="n">
        <v>0</v>
      </c>
      <c r="F840" s="28" t="n">
        <v>38562500</v>
      </c>
      <c r="G840" s="28" t="n">
        <v>3000000000</v>
      </c>
      <c r="H840" s="25" t="n">
        <f aca="false">J839</f>
        <v>3000000000</v>
      </c>
      <c r="I840" s="25" t="n">
        <f aca="false">H840*N840</f>
        <v>38562500</v>
      </c>
      <c r="J840" s="25" t="n">
        <f aca="false">H840-E840</f>
        <v>3000000000</v>
      </c>
      <c r="K840" s="25" t="n">
        <f aca="false">D840-I840</f>
        <v>0</v>
      </c>
      <c r="L840" s="25" t="n">
        <f aca="false">G840-J840</f>
        <v>0</v>
      </c>
      <c r="M840" s="25" t="n">
        <f aca="false">F840</f>
        <v>38562500</v>
      </c>
      <c r="N840" s="48" t="n">
        <v>0.0128541666666667</v>
      </c>
      <c r="O840" s="25" t="n">
        <f aca="false">IF(AND(B840&gt;=DATE(2026,1,1),B840&lt;=Resumen!$C$5),1,0)</f>
        <v>0</v>
      </c>
      <c r="P840" s="25" t="n">
        <f aca="false">IF(AND(B840&gt;Resumen!$C$5,B840&lt;=DATE(2027,7,31)),1,0)</f>
        <v>1</v>
      </c>
    </row>
    <row r="841" customFormat="false" ht="15" hidden="false" customHeight="false" outlineLevel="0" collapsed="false">
      <c r="A841" s="22" t="n">
        <v>73</v>
      </c>
      <c r="B841" s="23" t="n">
        <v>46627</v>
      </c>
      <c r="C841" s="28" t="n">
        <v>3000000000</v>
      </c>
      <c r="D841" s="28" t="n">
        <v>38562500</v>
      </c>
      <c r="E841" s="28" t="n">
        <v>0</v>
      </c>
      <c r="F841" s="28" t="n">
        <v>38562500</v>
      </c>
      <c r="G841" s="28" t="n">
        <v>3000000000</v>
      </c>
      <c r="H841" s="25" t="n">
        <f aca="false">J840</f>
        <v>3000000000</v>
      </c>
      <c r="I841" s="25" t="n">
        <f aca="false">H841*N841</f>
        <v>38562500</v>
      </c>
      <c r="J841" s="25" t="n">
        <f aca="false">H841-E841</f>
        <v>3000000000</v>
      </c>
      <c r="K841" s="25" t="n">
        <f aca="false">D841-I841</f>
        <v>0</v>
      </c>
      <c r="L841" s="25" t="n">
        <f aca="false">G841-J841</f>
        <v>0</v>
      </c>
      <c r="M841" s="25" t="n">
        <f aca="false">F841</f>
        <v>38562500</v>
      </c>
      <c r="N841" s="48" t="n">
        <v>0.0128541666666667</v>
      </c>
      <c r="O841" s="25" t="n">
        <f aca="false">IF(AND(B841&gt;=DATE(2026,1,1),B841&lt;=Resumen!$C$5),1,0)</f>
        <v>0</v>
      </c>
      <c r="P841" s="25" t="n">
        <f aca="false">IF(AND(B841&gt;Resumen!$C$5,B841&lt;=DATE(2027,7,31)),1,0)</f>
        <v>0</v>
      </c>
    </row>
    <row r="842" customFormat="false" ht="15" hidden="false" customHeight="false" outlineLevel="0" collapsed="false">
      <c r="A842" s="22" t="n">
        <v>74</v>
      </c>
      <c r="B842" s="23" t="n">
        <v>46658</v>
      </c>
      <c r="C842" s="28" t="n">
        <v>3000000000</v>
      </c>
      <c r="D842" s="28" t="n">
        <v>38562500</v>
      </c>
      <c r="E842" s="28" t="n">
        <v>0</v>
      </c>
      <c r="F842" s="28" t="n">
        <v>38562500</v>
      </c>
      <c r="G842" s="28" t="n">
        <v>3000000000</v>
      </c>
      <c r="H842" s="25" t="n">
        <f aca="false">J841</f>
        <v>3000000000</v>
      </c>
      <c r="I842" s="25" t="n">
        <f aca="false">H842*N842</f>
        <v>38562500</v>
      </c>
      <c r="J842" s="25" t="n">
        <f aca="false">H842-E842</f>
        <v>3000000000</v>
      </c>
      <c r="K842" s="25" t="n">
        <f aca="false">D842-I842</f>
        <v>0</v>
      </c>
      <c r="L842" s="25" t="n">
        <f aca="false">G842-J842</f>
        <v>0</v>
      </c>
      <c r="M842" s="25" t="n">
        <f aca="false">F842</f>
        <v>38562500</v>
      </c>
      <c r="N842" s="48" t="n">
        <v>0.0128541666666667</v>
      </c>
      <c r="O842" s="25" t="n">
        <f aca="false">IF(AND(B842&gt;=DATE(2026,1,1),B842&lt;=Resumen!$C$5),1,0)</f>
        <v>0</v>
      </c>
      <c r="P842" s="25" t="n">
        <f aca="false">IF(AND(B842&gt;Resumen!$C$5,B842&lt;=DATE(2027,7,31)),1,0)</f>
        <v>0</v>
      </c>
    </row>
    <row r="843" customFormat="false" ht="15" hidden="false" customHeight="false" outlineLevel="0" collapsed="false">
      <c r="A843" s="22" t="n">
        <v>75</v>
      </c>
      <c r="B843" s="23" t="n">
        <v>46688</v>
      </c>
      <c r="C843" s="28" t="n">
        <v>3000000000</v>
      </c>
      <c r="D843" s="28" t="n">
        <v>38562500</v>
      </c>
      <c r="E843" s="28" t="n">
        <v>0</v>
      </c>
      <c r="F843" s="28" t="n">
        <v>38562500</v>
      </c>
      <c r="G843" s="28" t="n">
        <v>3000000000</v>
      </c>
      <c r="H843" s="25" t="n">
        <f aca="false">J842</f>
        <v>3000000000</v>
      </c>
      <c r="I843" s="25" t="n">
        <f aca="false">H843*N843</f>
        <v>38562500</v>
      </c>
      <c r="J843" s="25" t="n">
        <f aca="false">H843-E843</f>
        <v>3000000000</v>
      </c>
      <c r="K843" s="25" t="n">
        <f aca="false">D843-I843</f>
        <v>0</v>
      </c>
      <c r="L843" s="25" t="n">
        <f aca="false">G843-J843</f>
        <v>0</v>
      </c>
      <c r="M843" s="25" t="n">
        <f aca="false">F843</f>
        <v>38562500</v>
      </c>
      <c r="N843" s="48" t="n">
        <v>0.0128541666666667</v>
      </c>
      <c r="O843" s="25" t="n">
        <f aca="false">IF(AND(B843&gt;=DATE(2026,1,1),B843&lt;=Resumen!$C$5),1,0)</f>
        <v>0</v>
      </c>
      <c r="P843" s="25" t="n">
        <f aca="false">IF(AND(B843&gt;Resumen!$C$5,B843&lt;=DATE(2027,7,31)),1,0)</f>
        <v>0</v>
      </c>
    </row>
    <row r="844" customFormat="false" ht="15" hidden="false" customHeight="false" outlineLevel="0" collapsed="false">
      <c r="A844" s="22" t="n">
        <v>76</v>
      </c>
      <c r="B844" s="23" t="n">
        <v>46719</v>
      </c>
      <c r="C844" s="28" t="n">
        <v>3000000000</v>
      </c>
      <c r="D844" s="28" t="n">
        <v>38562500</v>
      </c>
      <c r="E844" s="28" t="n">
        <v>0</v>
      </c>
      <c r="F844" s="28" t="n">
        <v>38562500</v>
      </c>
      <c r="G844" s="28" t="n">
        <v>3000000000</v>
      </c>
      <c r="H844" s="25" t="n">
        <f aca="false">J843</f>
        <v>3000000000</v>
      </c>
      <c r="I844" s="25" t="n">
        <f aca="false">H844*N844</f>
        <v>38562500</v>
      </c>
      <c r="J844" s="25" t="n">
        <f aca="false">H844-E844</f>
        <v>3000000000</v>
      </c>
      <c r="K844" s="25" t="n">
        <f aca="false">D844-I844</f>
        <v>0</v>
      </c>
      <c r="L844" s="25" t="n">
        <f aca="false">G844-J844</f>
        <v>0</v>
      </c>
      <c r="M844" s="25" t="n">
        <f aca="false">F844</f>
        <v>38562500</v>
      </c>
      <c r="N844" s="48" t="n">
        <v>0.0128541666666667</v>
      </c>
      <c r="O844" s="25" t="n">
        <f aca="false">IF(AND(B844&gt;=DATE(2026,1,1),B844&lt;=Resumen!$C$5),1,0)</f>
        <v>0</v>
      </c>
      <c r="P844" s="25" t="n">
        <f aca="false">IF(AND(B844&gt;Resumen!$C$5,B844&lt;=DATE(2027,7,31)),1,0)</f>
        <v>0</v>
      </c>
    </row>
    <row r="845" customFormat="false" ht="15" hidden="false" customHeight="false" outlineLevel="0" collapsed="false">
      <c r="A845" s="22" t="n">
        <v>77</v>
      </c>
      <c r="B845" s="23" t="n">
        <v>46749</v>
      </c>
      <c r="C845" s="28" t="n">
        <v>3000000000</v>
      </c>
      <c r="D845" s="28" t="n">
        <v>38562500</v>
      </c>
      <c r="E845" s="28" t="n">
        <v>0</v>
      </c>
      <c r="F845" s="28" t="n">
        <v>38562500</v>
      </c>
      <c r="G845" s="28" t="n">
        <v>3000000000</v>
      </c>
      <c r="H845" s="25" t="n">
        <f aca="false">J844</f>
        <v>3000000000</v>
      </c>
      <c r="I845" s="25" t="n">
        <f aca="false">H845*N845</f>
        <v>38562500</v>
      </c>
      <c r="J845" s="25" t="n">
        <f aca="false">H845-E845</f>
        <v>3000000000</v>
      </c>
      <c r="K845" s="25" t="n">
        <f aca="false">D845-I845</f>
        <v>0</v>
      </c>
      <c r="L845" s="25" t="n">
        <f aca="false">G845-J845</f>
        <v>0</v>
      </c>
      <c r="M845" s="25" t="n">
        <f aca="false">F845</f>
        <v>38562500</v>
      </c>
      <c r="N845" s="48" t="n">
        <v>0.0128541666666667</v>
      </c>
      <c r="O845" s="25" t="n">
        <f aca="false">IF(AND(B845&gt;=DATE(2026,1,1),B845&lt;=Resumen!$C$5),1,0)</f>
        <v>0</v>
      </c>
      <c r="P845" s="25" t="n">
        <f aca="false">IF(AND(B845&gt;Resumen!$C$5,B845&lt;=DATE(2027,7,31)),1,0)</f>
        <v>0</v>
      </c>
    </row>
    <row r="846" customFormat="false" ht="15" hidden="false" customHeight="false" outlineLevel="0" collapsed="false">
      <c r="A846" s="22" t="n">
        <v>78</v>
      </c>
      <c r="B846" s="23" t="n">
        <v>46780</v>
      </c>
      <c r="C846" s="28" t="n">
        <v>3000000000</v>
      </c>
      <c r="D846" s="28" t="n">
        <v>38562500</v>
      </c>
      <c r="E846" s="28" t="n">
        <v>0</v>
      </c>
      <c r="F846" s="28" t="n">
        <v>38562500</v>
      </c>
      <c r="G846" s="28" t="n">
        <v>3000000000</v>
      </c>
      <c r="H846" s="25" t="n">
        <f aca="false">J845</f>
        <v>3000000000</v>
      </c>
      <c r="I846" s="25" t="n">
        <f aca="false">H846*N846</f>
        <v>38562500</v>
      </c>
      <c r="J846" s="25" t="n">
        <f aca="false">H846-E846</f>
        <v>3000000000</v>
      </c>
      <c r="K846" s="25" t="n">
        <f aca="false">D846-I846</f>
        <v>0</v>
      </c>
      <c r="L846" s="25" t="n">
        <f aca="false">G846-J846</f>
        <v>0</v>
      </c>
      <c r="M846" s="25" t="n">
        <f aca="false">F846</f>
        <v>38562500</v>
      </c>
      <c r="N846" s="48" t="n">
        <v>0.0128541666666667</v>
      </c>
      <c r="O846" s="25" t="n">
        <f aca="false">IF(AND(B846&gt;=DATE(2026,1,1),B846&lt;=Resumen!$C$5),1,0)</f>
        <v>0</v>
      </c>
      <c r="P846" s="25" t="n">
        <f aca="false">IF(AND(B846&gt;Resumen!$C$5,B846&lt;=DATE(2027,7,31)),1,0)</f>
        <v>0</v>
      </c>
    </row>
    <row r="847" customFormat="false" ht="15" hidden="false" customHeight="false" outlineLevel="0" collapsed="false">
      <c r="A847" s="22" t="n">
        <v>79</v>
      </c>
      <c r="B847" s="23" t="n">
        <v>46811</v>
      </c>
      <c r="C847" s="28" t="n">
        <v>3000000000</v>
      </c>
      <c r="D847" s="28" t="n">
        <v>38562500</v>
      </c>
      <c r="E847" s="28" t="n">
        <v>0</v>
      </c>
      <c r="F847" s="28" t="n">
        <v>38562500</v>
      </c>
      <c r="G847" s="28" t="n">
        <v>3000000000</v>
      </c>
      <c r="H847" s="25" t="n">
        <f aca="false">J846</f>
        <v>3000000000</v>
      </c>
      <c r="I847" s="25" t="n">
        <f aca="false">H847*N847</f>
        <v>38562500</v>
      </c>
      <c r="J847" s="25" t="n">
        <f aca="false">H847-E847</f>
        <v>3000000000</v>
      </c>
      <c r="K847" s="25" t="n">
        <f aca="false">D847-I847</f>
        <v>0</v>
      </c>
      <c r="L847" s="25" t="n">
        <f aca="false">G847-J847</f>
        <v>0</v>
      </c>
      <c r="M847" s="25" t="n">
        <f aca="false">F847</f>
        <v>38562500</v>
      </c>
      <c r="N847" s="48" t="n">
        <v>0.0128541666666667</v>
      </c>
      <c r="O847" s="25" t="n">
        <f aca="false">IF(AND(B847&gt;=DATE(2026,1,1),B847&lt;=Resumen!$C$5),1,0)</f>
        <v>0</v>
      </c>
      <c r="P847" s="25" t="n">
        <f aca="false">IF(AND(B847&gt;Resumen!$C$5,B847&lt;=DATE(2027,7,31)),1,0)</f>
        <v>0</v>
      </c>
    </row>
    <row r="848" customFormat="false" ht="15" hidden="false" customHeight="false" outlineLevel="0" collapsed="false">
      <c r="A848" s="22" t="n">
        <v>80</v>
      </c>
      <c r="B848" s="23" t="n">
        <v>46840</v>
      </c>
      <c r="C848" s="28" t="n">
        <v>3000000000</v>
      </c>
      <c r="D848" s="28" t="n">
        <v>38562500</v>
      </c>
      <c r="E848" s="28" t="n">
        <v>0</v>
      </c>
      <c r="F848" s="28" t="n">
        <v>38562500</v>
      </c>
      <c r="G848" s="28" t="n">
        <v>3000000000</v>
      </c>
      <c r="H848" s="25" t="n">
        <f aca="false">J847</f>
        <v>3000000000</v>
      </c>
      <c r="I848" s="25" t="n">
        <f aca="false">H848*N848</f>
        <v>38562500</v>
      </c>
      <c r="J848" s="25" t="n">
        <f aca="false">H848-E848</f>
        <v>3000000000</v>
      </c>
      <c r="K848" s="25" t="n">
        <f aca="false">D848-I848</f>
        <v>0</v>
      </c>
      <c r="L848" s="25" t="n">
        <f aca="false">G848-J848</f>
        <v>0</v>
      </c>
      <c r="M848" s="25" t="n">
        <f aca="false">F848</f>
        <v>38562500</v>
      </c>
      <c r="N848" s="48" t="n">
        <v>0.0128541666666667</v>
      </c>
      <c r="O848" s="25" t="n">
        <f aca="false">IF(AND(B848&gt;=DATE(2026,1,1),B848&lt;=Resumen!$C$5),1,0)</f>
        <v>0</v>
      </c>
      <c r="P848" s="25" t="n">
        <f aca="false">IF(AND(B848&gt;Resumen!$C$5,B848&lt;=DATE(2027,7,31)),1,0)</f>
        <v>0</v>
      </c>
    </row>
    <row r="849" customFormat="false" ht="15" hidden="false" customHeight="false" outlineLevel="0" collapsed="false">
      <c r="A849" s="22" t="n">
        <v>81</v>
      </c>
      <c r="B849" s="23" t="n">
        <v>46871</v>
      </c>
      <c r="C849" s="28" t="n">
        <v>3000000000</v>
      </c>
      <c r="D849" s="28" t="n">
        <v>38562500</v>
      </c>
      <c r="E849" s="28" t="n">
        <v>0</v>
      </c>
      <c r="F849" s="28" t="n">
        <v>38562500</v>
      </c>
      <c r="G849" s="28" t="n">
        <v>3000000000</v>
      </c>
      <c r="H849" s="25" t="n">
        <f aca="false">J848</f>
        <v>3000000000</v>
      </c>
      <c r="I849" s="25" t="n">
        <f aca="false">H849*N849</f>
        <v>38562500</v>
      </c>
      <c r="J849" s="25" t="n">
        <f aca="false">H849-E849</f>
        <v>3000000000</v>
      </c>
      <c r="K849" s="25" t="n">
        <f aca="false">D849-I849</f>
        <v>0</v>
      </c>
      <c r="L849" s="25" t="n">
        <f aca="false">G849-J849</f>
        <v>0</v>
      </c>
      <c r="M849" s="25" t="n">
        <f aca="false">F849</f>
        <v>38562500</v>
      </c>
      <c r="N849" s="48" t="n">
        <v>0.0128541666666667</v>
      </c>
      <c r="O849" s="25" t="n">
        <f aca="false">IF(AND(B849&gt;=DATE(2026,1,1),B849&lt;=Resumen!$C$5),1,0)</f>
        <v>0</v>
      </c>
      <c r="P849" s="25" t="n">
        <f aca="false">IF(AND(B849&gt;Resumen!$C$5,B849&lt;=DATE(2027,7,31)),1,0)</f>
        <v>0</v>
      </c>
    </row>
    <row r="850" customFormat="false" ht="15" hidden="false" customHeight="false" outlineLevel="0" collapsed="false">
      <c r="A850" s="22" t="n">
        <v>82</v>
      </c>
      <c r="B850" s="23" t="n">
        <v>46901</v>
      </c>
      <c r="C850" s="28" t="n">
        <v>3000000000</v>
      </c>
      <c r="D850" s="28" t="n">
        <v>38562500</v>
      </c>
      <c r="E850" s="28" t="n">
        <v>0</v>
      </c>
      <c r="F850" s="28" t="n">
        <v>38562500</v>
      </c>
      <c r="G850" s="28" t="n">
        <v>3000000000</v>
      </c>
      <c r="H850" s="25" t="n">
        <f aca="false">J849</f>
        <v>3000000000</v>
      </c>
      <c r="I850" s="25" t="n">
        <f aca="false">H850*N850</f>
        <v>38562500</v>
      </c>
      <c r="J850" s="25" t="n">
        <f aca="false">H850-E850</f>
        <v>3000000000</v>
      </c>
      <c r="K850" s="25" t="n">
        <f aca="false">D850-I850</f>
        <v>0</v>
      </c>
      <c r="L850" s="25" t="n">
        <f aca="false">G850-J850</f>
        <v>0</v>
      </c>
      <c r="M850" s="25" t="n">
        <f aca="false">F850</f>
        <v>38562500</v>
      </c>
      <c r="N850" s="48" t="n">
        <v>0.0128541666666667</v>
      </c>
      <c r="O850" s="25" t="n">
        <f aca="false">IF(AND(B850&gt;=DATE(2026,1,1),B850&lt;=Resumen!$C$5),1,0)</f>
        <v>0</v>
      </c>
      <c r="P850" s="25" t="n">
        <f aca="false">IF(AND(B850&gt;Resumen!$C$5,B850&lt;=DATE(2027,7,31)),1,0)</f>
        <v>0</v>
      </c>
    </row>
    <row r="851" customFormat="false" ht="15" hidden="false" customHeight="false" outlineLevel="0" collapsed="false">
      <c r="A851" s="22" t="n">
        <v>83</v>
      </c>
      <c r="B851" s="23" t="n">
        <v>46932</v>
      </c>
      <c r="C851" s="28" t="n">
        <v>3000000000</v>
      </c>
      <c r="D851" s="28" t="n">
        <v>38562500</v>
      </c>
      <c r="E851" s="28" t="n">
        <v>0</v>
      </c>
      <c r="F851" s="28" t="n">
        <v>38562500</v>
      </c>
      <c r="G851" s="28" t="n">
        <v>3000000000</v>
      </c>
      <c r="H851" s="25" t="n">
        <f aca="false">J850</f>
        <v>3000000000</v>
      </c>
      <c r="I851" s="25" t="n">
        <f aca="false">H851*N851</f>
        <v>38562500</v>
      </c>
      <c r="J851" s="25" t="n">
        <f aca="false">H851-E851</f>
        <v>3000000000</v>
      </c>
      <c r="K851" s="25" t="n">
        <f aca="false">D851-I851</f>
        <v>0</v>
      </c>
      <c r="L851" s="25" t="n">
        <f aca="false">G851-J851</f>
        <v>0</v>
      </c>
      <c r="M851" s="25" t="n">
        <f aca="false">F851</f>
        <v>38562500</v>
      </c>
      <c r="N851" s="48" t="n">
        <v>0.0128541666666667</v>
      </c>
      <c r="O851" s="25" t="n">
        <f aca="false">IF(AND(B851&gt;=DATE(2026,1,1),B851&lt;=Resumen!$C$5),1,0)</f>
        <v>0</v>
      </c>
      <c r="P851" s="25" t="n">
        <f aca="false">IF(AND(B851&gt;Resumen!$C$5,B851&lt;=DATE(2027,7,31)),1,0)</f>
        <v>0</v>
      </c>
    </row>
    <row r="852" customFormat="false" ht="15" hidden="false" customHeight="false" outlineLevel="0" collapsed="false">
      <c r="A852" s="22" t="n">
        <v>84</v>
      </c>
      <c r="B852" s="23" t="n">
        <v>46962</v>
      </c>
      <c r="C852" s="28" t="n">
        <v>3000000000</v>
      </c>
      <c r="D852" s="28" t="n">
        <v>38562500</v>
      </c>
      <c r="E852" s="28" t="n">
        <v>0</v>
      </c>
      <c r="F852" s="28" t="n">
        <v>38562500</v>
      </c>
      <c r="G852" s="28" t="n">
        <v>3000000000</v>
      </c>
      <c r="H852" s="25" t="n">
        <f aca="false">J851</f>
        <v>3000000000</v>
      </c>
      <c r="I852" s="25" t="n">
        <f aca="false">H852*N852</f>
        <v>38562500</v>
      </c>
      <c r="J852" s="25" t="n">
        <f aca="false">H852-E852</f>
        <v>3000000000</v>
      </c>
      <c r="K852" s="25" t="n">
        <f aca="false">D852-I852</f>
        <v>0</v>
      </c>
      <c r="L852" s="25" t="n">
        <f aca="false">G852-J852</f>
        <v>0</v>
      </c>
      <c r="M852" s="25" t="n">
        <f aca="false">F852</f>
        <v>38562500</v>
      </c>
      <c r="N852" s="48" t="n">
        <v>0.0128541666666667</v>
      </c>
      <c r="O852" s="25" t="n">
        <f aca="false">IF(AND(B852&gt;=DATE(2026,1,1),B852&lt;=Resumen!$C$5),1,0)</f>
        <v>0</v>
      </c>
      <c r="P852" s="25" t="n">
        <f aca="false">IF(AND(B852&gt;Resumen!$C$5,B852&lt;=DATE(2027,7,31)),1,0)</f>
        <v>0</v>
      </c>
    </row>
    <row r="853" customFormat="false" ht="15" hidden="false" customHeight="false" outlineLevel="0" collapsed="false">
      <c r="A853" s="22" t="n">
        <v>85</v>
      </c>
      <c r="B853" s="23" t="n">
        <v>46993</v>
      </c>
      <c r="C853" s="28" t="n">
        <v>3000000000</v>
      </c>
      <c r="D853" s="28" t="n">
        <v>38562500</v>
      </c>
      <c r="E853" s="28" t="n">
        <v>0</v>
      </c>
      <c r="F853" s="28" t="n">
        <v>38562500</v>
      </c>
      <c r="G853" s="28" t="n">
        <v>3000000000</v>
      </c>
      <c r="H853" s="25" t="n">
        <f aca="false">J852</f>
        <v>3000000000</v>
      </c>
      <c r="I853" s="25" t="n">
        <f aca="false">H853*N853</f>
        <v>38562500</v>
      </c>
      <c r="J853" s="25" t="n">
        <f aca="false">H853-E853</f>
        <v>3000000000</v>
      </c>
      <c r="K853" s="25" t="n">
        <f aca="false">D853-I853</f>
        <v>0</v>
      </c>
      <c r="L853" s="25" t="n">
        <f aca="false">G853-J853</f>
        <v>0</v>
      </c>
      <c r="M853" s="25" t="n">
        <f aca="false">F853</f>
        <v>38562500</v>
      </c>
      <c r="N853" s="48" t="n">
        <v>0.0128541666666667</v>
      </c>
      <c r="O853" s="25" t="n">
        <f aca="false">IF(AND(B853&gt;=DATE(2026,1,1),B853&lt;=Resumen!$C$5),1,0)</f>
        <v>0</v>
      </c>
      <c r="P853" s="25" t="n">
        <f aca="false">IF(AND(B853&gt;Resumen!$C$5,B853&lt;=DATE(2027,7,31)),1,0)</f>
        <v>0</v>
      </c>
    </row>
    <row r="854" customFormat="false" ht="15" hidden="false" customHeight="false" outlineLevel="0" collapsed="false">
      <c r="A854" s="22" t="n">
        <v>86</v>
      </c>
      <c r="B854" s="23" t="n">
        <v>47024</v>
      </c>
      <c r="C854" s="28" t="n">
        <v>3000000000</v>
      </c>
      <c r="D854" s="28" t="n">
        <v>38562500</v>
      </c>
      <c r="E854" s="28" t="n">
        <v>0</v>
      </c>
      <c r="F854" s="28" t="n">
        <v>38562500</v>
      </c>
      <c r="G854" s="28" t="n">
        <v>3000000000</v>
      </c>
      <c r="H854" s="25" t="n">
        <f aca="false">J853</f>
        <v>3000000000</v>
      </c>
      <c r="I854" s="25" t="n">
        <f aca="false">H854*N854</f>
        <v>38562500</v>
      </c>
      <c r="J854" s="25" t="n">
        <f aca="false">H854-E854</f>
        <v>3000000000</v>
      </c>
      <c r="K854" s="25" t="n">
        <f aca="false">D854-I854</f>
        <v>0</v>
      </c>
      <c r="L854" s="25" t="n">
        <f aca="false">G854-J854</f>
        <v>0</v>
      </c>
      <c r="M854" s="25" t="n">
        <f aca="false">F854</f>
        <v>38562500</v>
      </c>
      <c r="N854" s="48" t="n">
        <v>0.0128541666666667</v>
      </c>
      <c r="O854" s="25" t="n">
        <f aca="false">IF(AND(B854&gt;=DATE(2026,1,1),B854&lt;=Resumen!$C$5),1,0)</f>
        <v>0</v>
      </c>
      <c r="P854" s="25" t="n">
        <f aca="false">IF(AND(B854&gt;Resumen!$C$5,B854&lt;=DATE(2027,7,31)),1,0)</f>
        <v>0</v>
      </c>
    </row>
    <row r="855" customFormat="false" ht="15" hidden="false" customHeight="false" outlineLevel="0" collapsed="false">
      <c r="A855" s="22" t="n">
        <v>87</v>
      </c>
      <c r="B855" s="23" t="n">
        <v>47054</v>
      </c>
      <c r="C855" s="28" t="n">
        <v>3000000000</v>
      </c>
      <c r="D855" s="28" t="n">
        <v>38562500</v>
      </c>
      <c r="E855" s="28" t="n">
        <v>0</v>
      </c>
      <c r="F855" s="28" t="n">
        <v>38562500</v>
      </c>
      <c r="G855" s="28" t="n">
        <v>3000000000</v>
      </c>
      <c r="H855" s="25" t="n">
        <f aca="false">J854</f>
        <v>3000000000</v>
      </c>
      <c r="I855" s="25" t="n">
        <f aca="false">H855*N855</f>
        <v>38562500</v>
      </c>
      <c r="J855" s="25" t="n">
        <f aca="false">H855-E855</f>
        <v>3000000000</v>
      </c>
      <c r="K855" s="25" t="n">
        <f aca="false">D855-I855</f>
        <v>0</v>
      </c>
      <c r="L855" s="25" t="n">
        <f aca="false">G855-J855</f>
        <v>0</v>
      </c>
      <c r="M855" s="25" t="n">
        <f aca="false">F855</f>
        <v>38562500</v>
      </c>
      <c r="N855" s="48" t="n">
        <v>0.0128541666666667</v>
      </c>
      <c r="O855" s="25" t="n">
        <f aca="false">IF(AND(B855&gt;=DATE(2026,1,1),B855&lt;=Resumen!$C$5),1,0)</f>
        <v>0</v>
      </c>
      <c r="P855" s="25" t="n">
        <f aca="false">IF(AND(B855&gt;Resumen!$C$5,B855&lt;=DATE(2027,7,31)),1,0)</f>
        <v>0</v>
      </c>
    </row>
    <row r="856" customFormat="false" ht="15" hidden="false" customHeight="false" outlineLevel="0" collapsed="false">
      <c r="A856" s="22" t="n">
        <v>88</v>
      </c>
      <c r="B856" s="23" t="n">
        <v>47085</v>
      </c>
      <c r="C856" s="28" t="n">
        <v>3000000000</v>
      </c>
      <c r="D856" s="28" t="n">
        <v>38562500</v>
      </c>
      <c r="E856" s="28" t="n">
        <v>0</v>
      </c>
      <c r="F856" s="28" t="n">
        <v>38562500</v>
      </c>
      <c r="G856" s="28" t="n">
        <v>3000000000</v>
      </c>
      <c r="H856" s="25" t="n">
        <f aca="false">J855</f>
        <v>3000000000</v>
      </c>
      <c r="I856" s="25" t="n">
        <f aca="false">H856*N856</f>
        <v>38562500</v>
      </c>
      <c r="J856" s="25" t="n">
        <f aca="false">H856-E856</f>
        <v>3000000000</v>
      </c>
      <c r="K856" s="25" t="n">
        <f aca="false">D856-I856</f>
        <v>0</v>
      </c>
      <c r="L856" s="25" t="n">
        <f aca="false">G856-J856</f>
        <v>0</v>
      </c>
      <c r="M856" s="25" t="n">
        <f aca="false">F856</f>
        <v>38562500</v>
      </c>
      <c r="N856" s="48" t="n">
        <v>0.0128541666666667</v>
      </c>
      <c r="O856" s="25" t="n">
        <f aca="false">IF(AND(B856&gt;=DATE(2026,1,1),B856&lt;=Resumen!$C$5),1,0)</f>
        <v>0</v>
      </c>
      <c r="P856" s="25" t="n">
        <f aca="false">IF(AND(B856&gt;Resumen!$C$5,B856&lt;=DATE(2027,7,31)),1,0)</f>
        <v>0</v>
      </c>
    </row>
    <row r="857" customFormat="false" ht="15" hidden="false" customHeight="false" outlineLevel="0" collapsed="false">
      <c r="A857" s="22" t="n">
        <v>89</v>
      </c>
      <c r="B857" s="23" t="n">
        <v>47115</v>
      </c>
      <c r="C857" s="28" t="n">
        <v>3000000000</v>
      </c>
      <c r="D857" s="28" t="n">
        <v>38562500</v>
      </c>
      <c r="E857" s="28" t="n">
        <v>0</v>
      </c>
      <c r="F857" s="28" t="n">
        <v>38562500</v>
      </c>
      <c r="G857" s="28" t="n">
        <v>3000000000</v>
      </c>
      <c r="H857" s="25" t="n">
        <f aca="false">J856</f>
        <v>3000000000</v>
      </c>
      <c r="I857" s="25" t="n">
        <f aca="false">H857*N857</f>
        <v>38562500</v>
      </c>
      <c r="J857" s="25" t="n">
        <f aca="false">H857-E857</f>
        <v>3000000000</v>
      </c>
      <c r="K857" s="25" t="n">
        <f aca="false">D857-I857</f>
        <v>0</v>
      </c>
      <c r="L857" s="25" t="n">
        <f aca="false">G857-J857</f>
        <v>0</v>
      </c>
      <c r="M857" s="25" t="n">
        <f aca="false">F857</f>
        <v>38562500</v>
      </c>
      <c r="N857" s="48" t="n">
        <v>0.0128541666666667</v>
      </c>
      <c r="O857" s="25" t="n">
        <f aca="false">IF(AND(B857&gt;=DATE(2026,1,1),B857&lt;=Resumen!$C$5),1,0)</f>
        <v>0</v>
      </c>
      <c r="P857" s="25" t="n">
        <f aca="false">IF(AND(B857&gt;Resumen!$C$5,B857&lt;=DATE(2027,7,31)),1,0)</f>
        <v>0</v>
      </c>
    </row>
    <row r="858" customFormat="false" ht="15" hidden="false" customHeight="false" outlineLevel="0" collapsed="false">
      <c r="A858" s="22" t="n">
        <v>90</v>
      </c>
      <c r="B858" s="23" t="n">
        <v>47146</v>
      </c>
      <c r="C858" s="28" t="n">
        <v>3000000000</v>
      </c>
      <c r="D858" s="28" t="n">
        <v>38562500</v>
      </c>
      <c r="E858" s="28" t="n">
        <v>115384615.384615</v>
      </c>
      <c r="F858" s="28" t="n">
        <v>153947115.384615</v>
      </c>
      <c r="G858" s="28" t="n">
        <v>2884615384.61539</v>
      </c>
      <c r="H858" s="25" t="n">
        <f aca="false">J857</f>
        <v>3000000000</v>
      </c>
      <c r="I858" s="25" t="n">
        <f aca="false">H858*N858</f>
        <v>38562500</v>
      </c>
      <c r="J858" s="25" t="n">
        <f aca="false">H858-E858</f>
        <v>2884615384.61538</v>
      </c>
      <c r="K858" s="25" t="n">
        <f aca="false">D858-I858</f>
        <v>0</v>
      </c>
      <c r="L858" s="25" t="n">
        <f aca="false">G858-J858</f>
        <v>0</v>
      </c>
      <c r="M858" s="25" t="n">
        <f aca="false">F858</f>
        <v>153947115.384615</v>
      </c>
      <c r="N858" s="48" t="n">
        <v>0.0128541666666667</v>
      </c>
      <c r="O858" s="25" t="n">
        <f aca="false">IF(AND(B858&gt;=DATE(2026,1,1),B858&lt;=Resumen!$C$5),1,0)</f>
        <v>0</v>
      </c>
      <c r="P858" s="25" t="n">
        <f aca="false">IF(AND(B858&gt;Resumen!$C$5,B858&lt;=DATE(2027,7,31)),1,0)</f>
        <v>0</v>
      </c>
    </row>
    <row r="859" customFormat="false" ht="15" hidden="false" customHeight="false" outlineLevel="0" collapsed="false">
      <c r="A859" s="22" t="n">
        <v>91</v>
      </c>
      <c r="B859" s="23" t="n">
        <v>47177</v>
      </c>
      <c r="C859" s="28" t="n">
        <v>2884615384.61539</v>
      </c>
      <c r="D859" s="28" t="n">
        <v>37079326.9230769</v>
      </c>
      <c r="E859" s="28" t="n">
        <v>0</v>
      </c>
      <c r="F859" s="28" t="n">
        <v>37079326.9230769</v>
      </c>
      <c r="G859" s="28" t="n">
        <v>2884615384.61539</v>
      </c>
      <c r="H859" s="25" t="n">
        <f aca="false">J858</f>
        <v>2884615384.61538</v>
      </c>
      <c r="I859" s="25" t="n">
        <f aca="false">H859*N859</f>
        <v>37079326.9230769</v>
      </c>
      <c r="J859" s="25" t="n">
        <f aca="false">H859-E859</f>
        <v>2884615384.61538</v>
      </c>
      <c r="K859" s="25" t="n">
        <f aca="false">D859-I859</f>
        <v>0</v>
      </c>
      <c r="L859" s="25" t="n">
        <f aca="false">G859-J859</f>
        <v>0</v>
      </c>
      <c r="M859" s="25" t="n">
        <f aca="false">F859</f>
        <v>37079326.9230769</v>
      </c>
      <c r="N859" s="48" t="n">
        <v>0.0128541666666667</v>
      </c>
      <c r="O859" s="25" t="n">
        <f aca="false">IF(AND(B859&gt;=DATE(2026,1,1),B859&lt;=Resumen!$C$5),1,0)</f>
        <v>0</v>
      </c>
      <c r="P859" s="25" t="n">
        <f aca="false">IF(AND(B859&gt;Resumen!$C$5,B859&lt;=DATE(2027,7,31)),1,0)</f>
        <v>0</v>
      </c>
    </row>
    <row r="860" customFormat="false" ht="15" hidden="false" customHeight="false" outlineLevel="0" collapsed="false">
      <c r="A860" s="22" t="n">
        <v>92</v>
      </c>
      <c r="B860" s="23" t="n">
        <v>47205</v>
      </c>
      <c r="C860" s="28" t="n">
        <v>2884615384.61539</v>
      </c>
      <c r="D860" s="28" t="n">
        <v>37079326.9230769</v>
      </c>
      <c r="E860" s="28" t="n">
        <v>0</v>
      </c>
      <c r="F860" s="28" t="n">
        <v>37079326.9230769</v>
      </c>
      <c r="G860" s="28" t="n">
        <v>2884615384.61539</v>
      </c>
      <c r="H860" s="25" t="n">
        <f aca="false">J859</f>
        <v>2884615384.61538</v>
      </c>
      <c r="I860" s="25" t="n">
        <f aca="false">H860*N860</f>
        <v>37079326.9230769</v>
      </c>
      <c r="J860" s="25" t="n">
        <f aca="false">H860-E860</f>
        <v>2884615384.61538</v>
      </c>
      <c r="K860" s="25" t="n">
        <f aca="false">D860-I860</f>
        <v>0</v>
      </c>
      <c r="L860" s="25" t="n">
        <f aca="false">G860-J860</f>
        <v>0</v>
      </c>
      <c r="M860" s="25" t="n">
        <f aca="false">F860</f>
        <v>37079326.9230769</v>
      </c>
      <c r="N860" s="48" t="n">
        <v>0.0128541666666667</v>
      </c>
      <c r="O860" s="25" t="n">
        <f aca="false">IF(AND(B860&gt;=DATE(2026,1,1),B860&lt;=Resumen!$C$5),1,0)</f>
        <v>0</v>
      </c>
      <c r="P860" s="25" t="n">
        <f aca="false">IF(AND(B860&gt;Resumen!$C$5,B860&lt;=DATE(2027,7,31)),1,0)</f>
        <v>0</v>
      </c>
    </row>
    <row r="861" customFormat="false" ht="15" hidden="false" customHeight="false" outlineLevel="0" collapsed="false">
      <c r="A861" s="22" t="n">
        <v>93</v>
      </c>
      <c r="B861" s="23" t="n">
        <v>47236</v>
      </c>
      <c r="C861" s="28" t="n">
        <v>2884615384.61539</v>
      </c>
      <c r="D861" s="28" t="n">
        <v>37079326.9230769</v>
      </c>
      <c r="E861" s="28" t="n">
        <v>0</v>
      </c>
      <c r="F861" s="28" t="n">
        <v>37079326.9230769</v>
      </c>
      <c r="G861" s="28" t="n">
        <v>2884615384.61539</v>
      </c>
      <c r="H861" s="25" t="n">
        <f aca="false">J860</f>
        <v>2884615384.61538</v>
      </c>
      <c r="I861" s="25" t="n">
        <f aca="false">H861*N861</f>
        <v>37079326.9230769</v>
      </c>
      <c r="J861" s="25" t="n">
        <f aca="false">H861-E861</f>
        <v>2884615384.61538</v>
      </c>
      <c r="K861" s="25" t="n">
        <f aca="false">D861-I861</f>
        <v>0</v>
      </c>
      <c r="L861" s="25" t="n">
        <f aca="false">G861-J861</f>
        <v>0</v>
      </c>
      <c r="M861" s="25" t="n">
        <f aca="false">F861</f>
        <v>37079326.9230769</v>
      </c>
      <c r="N861" s="48" t="n">
        <v>0.0128541666666667</v>
      </c>
      <c r="O861" s="25" t="n">
        <f aca="false">IF(AND(B861&gt;=DATE(2026,1,1),B861&lt;=Resumen!$C$5),1,0)</f>
        <v>0</v>
      </c>
      <c r="P861" s="25" t="n">
        <f aca="false">IF(AND(B861&gt;Resumen!$C$5,B861&lt;=DATE(2027,7,31)),1,0)</f>
        <v>0</v>
      </c>
    </row>
    <row r="862" customFormat="false" ht="15" hidden="false" customHeight="false" outlineLevel="0" collapsed="false">
      <c r="A862" s="22" t="n">
        <v>94</v>
      </c>
      <c r="B862" s="23" t="n">
        <v>47266</v>
      </c>
      <c r="C862" s="28" t="n">
        <v>2884615384.61539</v>
      </c>
      <c r="D862" s="28" t="n">
        <v>37079326.9230769</v>
      </c>
      <c r="E862" s="28" t="n">
        <v>0</v>
      </c>
      <c r="F862" s="28" t="n">
        <v>37079326.9230769</v>
      </c>
      <c r="G862" s="28" t="n">
        <v>2884615384.61539</v>
      </c>
      <c r="H862" s="25" t="n">
        <f aca="false">J861</f>
        <v>2884615384.61538</v>
      </c>
      <c r="I862" s="25" t="n">
        <f aca="false">H862*N862</f>
        <v>37079326.9230769</v>
      </c>
      <c r="J862" s="25" t="n">
        <f aca="false">H862-E862</f>
        <v>2884615384.61538</v>
      </c>
      <c r="K862" s="25" t="n">
        <f aca="false">D862-I862</f>
        <v>0</v>
      </c>
      <c r="L862" s="25" t="n">
        <f aca="false">G862-J862</f>
        <v>0</v>
      </c>
      <c r="M862" s="25" t="n">
        <f aca="false">F862</f>
        <v>37079326.9230769</v>
      </c>
      <c r="N862" s="48" t="n">
        <v>0.0128541666666667</v>
      </c>
      <c r="O862" s="25" t="n">
        <f aca="false">IF(AND(B862&gt;=DATE(2026,1,1),B862&lt;=Resumen!$C$5),1,0)</f>
        <v>0</v>
      </c>
      <c r="P862" s="25" t="n">
        <f aca="false">IF(AND(B862&gt;Resumen!$C$5,B862&lt;=DATE(2027,7,31)),1,0)</f>
        <v>0</v>
      </c>
    </row>
    <row r="863" customFormat="false" ht="15" hidden="false" customHeight="false" outlineLevel="0" collapsed="false">
      <c r="A863" s="22" t="n">
        <v>95</v>
      </c>
      <c r="B863" s="23" t="n">
        <v>47297</v>
      </c>
      <c r="C863" s="28" t="n">
        <v>2884615384.61539</v>
      </c>
      <c r="D863" s="28" t="n">
        <v>37079326.9230769</v>
      </c>
      <c r="E863" s="28" t="n">
        <v>0</v>
      </c>
      <c r="F863" s="28" t="n">
        <v>37079326.9230769</v>
      </c>
      <c r="G863" s="28" t="n">
        <v>2884615384.61539</v>
      </c>
      <c r="H863" s="25" t="n">
        <f aca="false">J862</f>
        <v>2884615384.61538</v>
      </c>
      <c r="I863" s="25" t="n">
        <f aca="false">H863*N863</f>
        <v>37079326.9230769</v>
      </c>
      <c r="J863" s="25" t="n">
        <f aca="false">H863-E863</f>
        <v>2884615384.61538</v>
      </c>
      <c r="K863" s="25" t="n">
        <f aca="false">D863-I863</f>
        <v>0</v>
      </c>
      <c r="L863" s="25" t="n">
        <f aca="false">G863-J863</f>
        <v>0</v>
      </c>
      <c r="M863" s="25" t="n">
        <f aca="false">F863</f>
        <v>37079326.9230769</v>
      </c>
      <c r="N863" s="48" t="n">
        <v>0.0128541666666667</v>
      </c>
      <c r="O863" s="25" t="n">
        <f aca="false">IF(AND(B863&gt;=DATE(2026,1,1),B863&lt;=Resumen!$C$5),1,0)</f>
        <v>0</v>
      </c>
      <c r="P863" s="25" t="n">
        <f aca="false">IF(AND(B863&gt;Resumen!$C$5,B863&lt;=DATE(2027,7,31)),1,0)</f>
        <v>0</v>
      </c>
    </row>
    <row r="864" customFormat="false" ht="15" hidden="false" customHeight="false" outlineLevel="0" collapsed="false">
      <c r="A864" s="22" t="n">
        <v>96</v>
      </c>
      <c r="B864" s="23" t="n">
        <v>47327</v>
      </c>
      <c r="C864" s="28" t="n">
        <v>2884615384.61539</v>
      </c>
      <c r="D864" s="28" t="n">
        <v>37079326.9230769</v>
      </c>
      <c r="E864" s="28" t="n">
        <v>115384615.384615</v>
      </c>
      <c r="F864" s="28" t="n">
        <v>152463942.307692</v>
      </c>
      <c r="G864" s="28" t="n">
        <v>2769230769.23077</v>
      </c>
      <c r="H864" s="25" t="n">
        <f aca="false">J863</f>
        <v>2884615384.61538</v>
      </c>
      <c r="I864" s="25" t="n">
        <f aca="false">H864*N864</f>
        <v>37079326.9230769</v>
      </c>
      <c r="J864" s="25" t="n">
        <f aca="false">H864-E864</f>
        <v>2769230769.23077</v>
      </c>
      <c r="K864" s="25" t="n">
        <f aca="false">D864-I864</f>
        <v>0</v>
      </c>
      <c r="L864" s="25" t="n">
        <f aca="false">G864-J864</f>
        <v>0</v>
      </c>
      <c r="M864" s="25" t="n">
        <f aca="false">F864</f>
        <v>152463942.307692</v>
      </c>
      <c r="N864" s="48" t="n">
        <v>0.0128541666666667</v>
      </c>
      <c r="O864" s="25" t="n">
        <f aca="false">IF(AND(B864&gt;=DATE(2026,1,1),B864&lt;=Resumen!$C$5),1,0)</f>
        <v>0</v>
      </c>
      <c r="P864" s="25" t="n">
        <f aca="false">IF(AND(B864&gt;Resumen!$C$5,B864&lt;=DATE(2027,7,31)),1,0)</f>
        <v>0</v>
      </c>
    </row>
    <row r="865" customFormat="false" ht="15" hidden="false" customHeight="false" outlineLevel="0" collapsed="false">
      <c r="A865" s="22" t="n">
        <v>97</v>
      </c>
      <c r="B865" s="23" t="n">
        <v>47358</v>
      </c>
      <c r="C865" s="28" t="n">
        <v>2769230769.23077</v>
      </c>
      <c r="D865" s="28" t="n">
        <v>35596153.8461539</v>
      </c>
      <c r="E865" s="28" t="n">
        <v>0</v>
      </c>
      <c r="F865" s="28" t="n">
        <v>35596153.8461539</v>
      </c>
      <c r="G865" s="28" t="n">
        <v>2769230769.23077</v>
      </c>
      <c r="H865" s="25" t="n">
        <f aca="false">J864</f>
        <v>2769230769.23077</v>
      </c>
      <c r="I865" s="25" t="n">
        <f aca="false">H865*N865</f>
        <v>35596153.8461539</v>
      </c>
      <c r="J865" s="25" t="n">
        <f aca="false">H865-E865</f>
        <v>2769230769.23077</v>
      </c>
      <c r="K865" s="25" t="n">
        <f aca="false">D865-I865</f>
        <v>0</v>
      </c>
      <c r="L865" s="25" t="n">
        <f aca="false">G865-J865</f>
        <v>0</v>
      </c>
      <c r="M865" s="25" t="n">
        <f aca="false">F865</f>
        <v>35596153.8461539</v>
      </c>
      <c r="N865" s="48" t="n">
        <v>0.0128541666666667</v>
      </c>
      <c r="O865" s="25" t="n">
        <f aca="false">IF(AND(B865&gt;=DATE(2026,1,1),B865&lt;=Resumen!$C$5),1,0)</f>
        <v>0</v>
      </c>
      <c r="P865" s="25" t="n">
        <f aca="false">IF(AND(B865&gt;Resumen!$C$5,B865&lt;=DATE(2027,7,31)),1,0)</f>
        <v>0</v>
      </c>
    </row>
    <row r="866" customFormat="false" ht="15" hidden="false" customHeight="false" outlineLevel="0" collapsed="false">
      <c r="A866" s="22" t="n">
        <v>98</v>
      </c>
      <c r="B866" s="23" t="n">
        <v>47389</v>
      </c>
      <c r="C866" s="28" t="n">
        <v>2769230769.23077</v>
      </c>
      <c r="D866" s="28" t="n">
        <v>35596153.8461539</v>
      </c>
      <c r="E866" s="28" t="n">
        <v>0</v>
      </c>
      <c r="F866" s="28" t="n">
        <v>35596153.8461539</v>
      </c>
      <c r="G866" s="28" t="n">
        <v>2769230769.23077</v>
      </c>
      <c r="H866" s="25" t="n">
        <f aca="false">J865</f>
        <v>2769230769.23077</v>
      </c>
      <c r="I866" s="25" t="n">
        <f aca="false">H866*N866</f>
        <v>35596153.8461539</v>
      </c>
      <c r="J866" s="25" t="n">
        <f aca="false">H866-E866</f>
        <v>2769230769.23077</v>
      </c>
      <c r="K866" s="25" t="n">
        <f aca="false">D866-I866</f>
        <v>0</v>
      </c>
      <c r="L866" s="25" t="n">
        <f aca="false">G866-J866</f>
        <v>0</v>
      </c>
      <c r="M866" s="25" t="n">
        <f aca="false">F866</f>
        <v>35596153.8461539</v>
      </c>
      <c r="N866" s="48" t="n">
        <v>0.0128541666666667</v>
      </c>
      <c r="O866" s="25" t="n">
        <f aca="false">IF(AND(B866&gt;=DATE(2026,1,1),B866&lt;=Resumen!$C$5),1,0)</f>
        <v>0</v>
      </c>
      <c r="P866" s="25" t="n">
        <f aca="false">IF(AND(B866&gt;Resumen!$C$5,B866&lt;=DATE(2027,7,31)),1,0)</f>
        <v>0</v>
      </c>
    </row>
    <row r="867" customFormat="false" ht="15" hidden="false" customHeight="false" outlineLevel="0" collapsed="false">
      <c r="A867" s="22" t="n">
        <v>99</v>
      </c>
      <c r="B867" s="23" t="n">
        <v>47419</v>
      </c>
      <c r="C867" s="28" t="n">
        <v>2769230769.23077</v>
      </c>
      <c r="D867" s="28" t="n">
        <v>35596153.8461539</v>
      </c>
      <c r="E867" s="28" t="n">
        <v>0</v>
      </c>
      <c r="F867" s="28" t="n">
        <v>35596153.8461539</v>
      </c>
      <c r="G867" s="28" t="n">
        <v>2769230769.23077</v>
      </c>
      <c r="H867" s="25" t="n">
        <f aca="false">J866</f>
        <v>2769230769.23077</v>
      </c>
      <c r="I867" s="25" t="n">
        <f aca="false">H867*N867</f>
        <v>35596153.8461539</v>
      </c>
      <c r="J867" s="25" t="n">
        <f aca="false">H867-E867</f>
        <v>2769230769.23077</v>
      </c>
      <c r="K867" s="25" t="n">
        <f aca="false">D867-I867</f>
        <v>0</v>
      </c>
      <c r="L867" s="25" t="n">
        <f aca="false">G867-J867</f>
        <v>0</v>
      </c>
      <c r="M867" s="25" t="n">
        <f aca="false">F867</f>
        <v>35596153.8461539</v>
      </c>
      <c r="N867" s="48" t="n">
        <v>0.0128541666666667</v>
      </c>
      <c r="O867" s="25" t="n">
        <f aca="false">IF(AND(B867&gt;=DATE(2026,1,1),B867&lt;=Resumen!$C$5),1,0)</f>
        <v>0</v>
      </c>
      <c r="P867" s="25" t="n">
        <f aca="false">IF(AND(B867&gt;Resumen!$C$5,B867&lt;=DATE(2027,7,31)),1,0)</f>
        <v>0</v>
      </c>
    </row>
    <row r="868" customFormat="false" ht="15" hidden="false" customHeight="false" outlineLevel="0" collapsed="false">
      <c r="A868" s="22" t="n">
        <v>100</v>
      </c>
      <c r="B868" s="23" t="n">
        <v>47450</v>
      </c>
      <c r="C868" s="28" t="n">
        <v>2769230769.23077</v>
      </c>
      <c r="D868" s="28" t="n">
        <v>35596153.8461539</v>
      </c>
      <c r="E868" s="28" t="n">
        <v>0</v>
      </c>
      <c r="F868" s="28" t="n">
        <v>35596153.8461539</v>
      </c>
      <c r="G868" s="28" t="n">
        <v>2769230769.23077</v>
      </c>
      <c r="H868" s="25" t="n">
        <f aca="false">J867</f>
        <v>2769230769.23077</v>
      </c>
      <c r="I868" s="25" t="n">
        <f aca="false">H868*N868</f>
        <v>35596153.8461539</v>
      </c>
      <c r="J868" s="25" t="n">
        <f aca="false">H868-E868</f>
        <v>2769230769.23077</v>
      </c>
      <c r="K868" s="25" t="n">
        <f aca="false">D868-I868</f>
        <v>0</v>
      </c>
      <c r="L868" s="25" t="n">
        <f aca="false">G868-J868</f>
        <v>0</v>
      </c>
      <c r="M868" s="25" t="n">
        <f aca="false">F868</f>
        <v>35596153.8461539</v>
      </c>
      <c r="N868" s="48" t="n">
        <v>0.0128541666666667</v>
      </c>
      <c r="O868" s="25" t="n">
        <f aca="false">IF(AND(B868&gt;=DATE(2026,1,1),B868&lt;=Resumen!$C$5),1,0)</f>
        <v>0</v>
      </c>
      <c r="P868" s="25" t="n">
        <f aca="false">IF(AND(B868&gt;Resumen!$C$5,B868&lt;=DATE(2027,7,31)),1,0)</f>
        <v>0</v>
      </c>
    </row>
    <row r="869" customFormat="false" ht="15" hidden="false" customHeight="false" outlineLevel="0" collapsed="false">
      <c r="A869" s="22" t="n">
        <v>101</v>
      </c>
      <c r="B869" s="23" t="n">
        <v>47480</v>
      </c>
      <c r="C869" s="28" t="n">
        <v>2769230769.23077</v>
      </c>
      <c r="D869" s="28" t="n">
        <v>35596153.8461539</v>
      </c>
      <c r="E869" s="28" t="n">
        <v>0</v>
      </c>
      <c r="F869" s="28" t="n">
        <v>35596153.8461539</v>
      </c>
      <c r="G869" s="28" t="n">
        <v>2769230769.23077</v>
      </c>
      <c r="H869" s="25" t="n">
        <f aca="false">J868</f>
        <v>2769230769.23077</v>
      </c>
      <c r="I869" s="25" t="n">
        <f aca="false">H869*N869</f>
        <v>35596153.8461539</v>
      </c>
      <c r="J869" s="25" t="n">
        <f aca="false">H869-E869</f>
        <v>2769230769.23077</v>
      </c>
      <c r="K869" s="25" t="n">
        <f aca="false">D869-I869</f>
        <v>0</v>
      </c>
      <c r="L869" s="25" t="n">
        <f aca="false">G869-J869</f>
        <v>0</v>
      </c>
      <c r="M869" s="25" t="n">
        <f aca="false">F869</f>
        <v>35596153.8461539</v>
      </c>
      <c r="N869" s="48" t="n">
        <v>0.0128541666666667</v>
      </c>
      <c r="O869" s="25" t="n">
        <f aca="false">IF(AND(B869&gt;=DATE(2026,1,1),B869&lt;=Resumen!$C$5),1,0)</f>
        <v>0</v>
      </c>
      <c r="P869" s="25" t="n">
        <f aca="false">IF(AND(B869&gt;Resumen!$C$5,B869&lt;=DATE(2027,7,31)),1,0)</f>
        <v>0</v>
      </c>
    </row>
    <row r="870" customFormat="false" ht="15" hidden="false" customHeight="false" outlineLevel="0" collapsed="false">
      <c r="A870" s="22" t="n">
        <v>102</v>
      </c>
      <c r="B870" s="23" t="n">
        <v>47511</v>
      </c>
      <c r="C870" s="28" t="n">
        <v>2769230769.23077</v>
      </c>
      <c r="D870" s="28" t="n">
        <v>35596153.8461539</v>
      </c>
      <c r="E870" s="28" t="n">
        <v>115384615.384615</v>
      </c>
      <c r="F870" s="28" t="n">
        <v>150980769.230769</v>
      </c>
      <c r="G870" s="28" t="n">
        <v>2653846153.84615</v>
      </c>
      <c r="H870" s="25" t="n">
        <f aca="false">J869</f>
        <v>2769230769.23077</v>
      </c>
      <c r="I870" s="25" t="n">
        <f aca="false">H870*N870</f>
        <v>35596153.8461539</v>
      </c>
      <c r="J870" s="25" t="n">
        <f aca="false">H870-E870</f>
        <v>2653846153.84615</v>
      </c>
      <c r="K870" s="25" t="n">
        <f aca="false">D870-I870</f>
        <v>0</v>
      </c>
      <c r="L870" s="25" t="n">
        <f aca="false">G870-J870</f>
        <v>0</v>
      </c>
      <c r="M870" s="25" t="n">
        <f aca="false">F870</f>
        <v>150980769.230769</v>
      </c>
      <c r="N870" s="48" t="n">
        <v>0.0128541666666667</v>
      </c>
      <c r="O870" s="25" t="n">
        <f aca="false">IF(AND(B870&gt;=DATE(2026,1,1),B870&lt;=Resumen!$C$5),1,0)</f>
        <v>0</v>
      </c>
      <c r="P870" s="25" t="n">
        <f aca="false">IF(AND(B870&gt;Resumen!$C$5,B870&lt;=DATE(2027,7,31)),1,0)</f>
        <v>0</v>
      </c>
    </row>
    <row r="871" customFormat="false" ht="15" hidden="false" customHeight="false" outlineLevel="0" collapsed="false">
      <c r="A871" s="22" t="n">
        <v>103</v>
      </c>
      <c r="B871" s="23" t="n">
        <v>47542</v>
      </c>
      <c r="C871" s="28" t="n">
        <v>2653846153.84615</v>
      </c>
      <c r="D871" s="28" t="n">
        <v>34112980.7692308</v>
      </c>
      <c r="E871" s="28" t="n">
        <v>0</v>
      </c>
      <c r="F871" s="28" t="n">
        <v>34112980.7692308</v>
      </c>
      <c r="G871" s="28" t="n">
        <v>2653846153.84615</v>
      </c>
      <c r="H871" s="25" t="n">
        <f aca="false">J870</f>
        <v>2653846153.84615</v>
      </c>
      <c r="I871" s="25" t="n">
        <f aca="false">H871*N871</f>
        <v>34112980.7692308</v>
      </c>
      <c r="J871" s="25" t="n">
        <f aca="false">H871-E871</f>
        <v>2653846153.84615</v>
      </c>
      <c r="K871" s="25" t="n">
        <f aca="false">D871-I871</f>
        <v>0</v>
      </c>
      <c r="L871" s="25" t="n">
        <f aca="false">G871-J871</f>
        <v>0</v>
      </c>
      <c r="M871" s="25" t="n">
        <f aca="false">F871</f>
        <v>34112980.7692308</v>
      </c>
      <c r="N871" s="48" t="n">
        <v>0.0128541666666667</v>
      </c>
      <c r="O871" s="25" t="n">
        <f aca="false">IF(AND(B871&gt;=DATE(2026,1,1),B871&lt;=Resumen!$C$5),1,0)</f>
        <v>0</v>
      </c>
      <c r="P871" s="25" t="n">
        <f aca="false">IF(AND(B871&gt;Resumen!$C$5,B871&lt;=DATE(2027,7,31)),1,0)</f>
        <v>0</v>
      </c>
    </row>
    <row r="872" customFormat="false" ht="15" hidden="false" customHeight="false" outlineLevel="0" collapsed="false">
      <c r="A872" s="22" t="n">
        <v>104</v>
      </c>
      <c r="B872" s="23" t="n">
        <v>47570</v>
      </c>
      <c r="C872" s="28" t="n">
        <v>2653846153.84615</v>
      </c>
      <c r="D872" s="28" t="n">
        <v>34112980.7692308</v>
      </c>
      <c r="E872" s="28" t="n">
        <v>0</v>
      </c>
      <c r="F872" s="28" t="n">
        <v>34112980.7692308</v>
      </c>
      <c r="G872" s="28" t="n">
        <v>2653846153.84615</v>
      </c>
      <c r="H872" s="25" t="n">
        <f aca="false">J871</f>
        <v>2653846153.84615</v>
      </c>
      <c r="I872" s="25" t="n">
        <f aca="false">H872*N872</f>
        <v>34112980.7692308</v>
      </c>
      <c r="J872" s="25" t="n">
        <f aca="false">H872-E872</f>
        <v>2653846153.84615</v>
      </c>
      <c r="K872" s="25" t="n">
        <f aca="false">D872-I872</f>
        <v>0</v>
      </c>
      <c r="L872" s="25" t="n">
        <f aca="false">G872-J872</f>
        <v>0</v>
      </c>
      <c r="M872" s="25" t="n">
        <f aca="false">F872</f>
        <v>34112980.7692308</v>
      </c>
      <c r="N872" s="48" t="n">
        <v>0.0128541666666667</v>
      </c>
      <c r="O872" s="25" t="n">
        <f aca="false">IF(AND(B872&gt;=DATE(2026,1,1),B872&lt;=Resumen!$C$5),1,0)</f>
        <v>0</v>
      </c>
      <c r="P872" s="25" t="n">
        <f aca="false">IF(AND(B872&gt;Resumen!$C$5,B872&lt;=DATE(2027,7,31)),1,0)</f>
        <v>0</v>
      </c>
    </row>
    <row r="873" customFormat="false" ht="15" hidden="false" customHeight="false" outlineLevel="0" collapsed="false">
      <c r="A873" s="22" t="n">
        <v>105</v>
      </c>
      <c r="B873" s="23" t="n">
        <v>47601</v>
      </c>
      <c r="C873" s="28" t="n">
        <v>2653846153.84615</v>
      </c>
      <c r="D873" s="28" t="n">
        <v>34112980.7692308</v>
      </c>
      <c r="E873" s="28" t="n">
        <v>0</v>
      </c>
      <c r="F873" s="28" t="n">
        <v>34112980.7692308</v>
      </c>
      <c r="G873" s="28" t="n">
        <v>2653846153.84615</v>
      </c>
      <c r="H873" s="25" t="n">
        <f aca="false">J872</f>
        <v>2653846153.84615</v>
      </c>
      <c r="I873" s="25" t="n">
        <f aca="false">H873*N873</f>
        <v>34112980.7692308</v>
      </c>
      <c r="J873" s="25" t="n">
        <f aca="false">H873-E873</f>
        <v>2653846153.84615</v>
      </c>
      <c r="K873" s="25" t="n">
        <f aca="false">D873-I873</f>
        <v>0</v>
      </c>
      <c r="L873" s="25" t="n">
        <f aca="false">G873-J873</f>
        <v>0</v>
      </c>
      <c r="M873" s="25" t="n">
        <f aca="false">F873</f>
        <v>34112980.7692308</v>
      </c>
      <c r="N873" s="48" t="n">
        <v>0.0128541666666667</v>
      </c>
      <c r="O873" s="25" t="n">
        <f aca="false">IF(AND(B873&gt;=DATE(2026,1,1),B873&lt;=Resumen!$C$5),1,0)</f>
        <v>0</v>
      </c>
      <c r="P873" s="25" t="n">
        <f aca="false">IF(AND(B873&gt;Resumen!$C$5,B873&lt;=DATE(2027,7,31)),1,0)</f>
        <v>0</v>
      </c>
    </row>
    <row r="874" customFormat="false" ht="15" hidden="false" customHeight="false" outlineLevel="0" collapsed="false">
      <c r="A874" s="22" t="n">
        <v>106</v>
      </c>
      <c r="B874" s="23" t="n">
        <v>47631</v>
      </c>
      <c r="C874" s="28" t="n">
        <v>2653846153.84615</v>
      </c>
      <c r="D874" s="28" t="n">
        <v>34112980.7692308</v>
      </c>
      <c r="E874" s="28" t="n">
        <v>0</v>
      </c>
      <c r="F874" s="28" t="n">
        <v>34112980.7692308</v>
      </c>
      <c r="G874" s="28" t="n">
        <v>2653846153.84615</v>
      </c>
      <c r="H874" s="25" t="n">
        <f aca="false">J873</f>
        <v>2653846153.84615</v>
      </c>
      <c r="I874" s="25" t="n">
        <f aca="false">H874*N874</f>
        <v>34112980.7692308</v>
      </c>
      <c r="J874" s="25" t="n">
        <f aca="false">H874-E874</f>
        <v>2653846153.84615</v>
      </c>
      <c r="K874" s="25" t="n">
        <f aca="false">D874-I874</f>
        <v>0</v>
      </c>
      <c r="L874" s="25" t="n">
        <f aca="false">G874-J874</f>
        <v>0</v>
      </c>
      <c r="M874" s="25" t="n">
        <f aca="false">F874</f>
        <v>34112980.7692308</v>
      </c>
      <c r="N874" s="48" t="n">
        <v>0.0128541666666667</v>
      </c>
      <c r="O874" s="25" t="n">
        <f aca="false">IF(AND(B874&gt;=DATE(2026,1,1),B874&lt;=Resumen!$C$5),1,0)</f>
        <v>0</v>
      </c>
      <c r="P874" s="25" t="n">
        <f aca="false">IF(AND(B874&gt;Resumen!$C$5,B874&lt;=DATE(2027,7,31)),1,0)</f>
        <v>0</v>
      </c>
    </row>
    <row r="875" customFormat="false" ht="15" hidden="false" customHeight="false" outlineLevel="0" collapsed="false">
      <c r="A875" s="22" t="n">
        <v>107</v>
      </c>
      <c r="B875" s="23" t="n">
        <v>47662</v>
      </c>
      <c r="C875" s="28" t="n">
        <v>2653846153.84615</v>
      </c>
      <c r="D875" s="28" t="n">
        <v>34112980.7692308</v>
      </c>
      <c r="E875" s="28" t="n">
        <v>0</v>
      </c>
      <c r="F875" s="28" t="n">
        <v>34112980.7692308</v>
      </c>
      <c r="G875" s="28" t="n">
        <v>2653846153.84615</v>
      </c>
      <c r="H875" s="25" t="n">
        <f aca="false">J874</f>
        <v>2653846153.84615</v>
      </c>
      <c r="I875" s="25" t="n">
        <f aca="false">H875*N875</f>
        <v>34112980.7692308</v>
      </c>
      <c r="J875" s="25" t="n">
        <f aca="false">H875-E875</f>
        <v>2653846153.84615</v>
      </c>
      <c r="K875" s="25" t="n">
        <f aca="false">D875-I875</f>
        <v>0</v>
      </c>
      <c r="L875" s="25" t="n">
        <f aca="false">G875-J875</f>
        <v>0</v>
      </c>
      <c r="M875" s="25" t="n">
        <f aca="false">F875</f>
        <v>34112980.7692308</v>
      </c>
      <c r="N875" s="48" t="n">
        <v>0.0128541666666667</v>
      </c>
      <c r="O875" s="25" t="n">
        <f aca="false">IF(AND(B875&gt;=DATE(2026,1,1),B875&lt;=Resumen!$C$5),1,0)</f>
        <v>0</v>
      </c>
      <c r="P875" s="25" t="n">
        <f aca="false">IF(AND(B875&gt;Resumen!$C$5,B875&lt;=DATE(2027,7,31)),1,0)</f>
        <v>0</v>
      </c>
    </row>
    <row r="876" customFormat="false" ht="15" hidden="false" customHeight="false" outlineLevel="0" collapsed="false">
      <c r="A876" s="22" t="n">
        <v>108</v>
      </c>
      <c r="B876" s="23" t="n">
        <v>47692</v>
      </c>
      <c r="C876" s="28" t="n">
        <v>2653846153.84615</v>
      </c>
      <c r="D876" s="28" t="n">
        <v>34112980.7692308</v>
      </c>
      <c r="E876" s="28" t="n">
        <v>115384615.384615</v>
      </c>
      <c r="F876" s="28" t="n">
        <v>149497596.153846</v>
      </c>
      <c r="G876" s="28" t="n">
        <v>2538461538.46154</v>
      </c>
      <c r="H876" s="25" t="n">
        <f aca="false">J875</f>
        <v>2653846153.84615</v>
      </c>
      <c r="I876" s="25" t="n">
        <f aca="false">H876*N876</f>
        <v>34112980.7692308</v>
      </c>
      <c r="J876" s="25" t="n">
        <f aca="false">H876-E876</f>
        <v>2538461538.46154</v>
      </c>
      <c r="K876" s="25" t="n">
        <f aca="false">D876-I876</f>
        <v>0</v>
      </c>
      <c r="L876" s="25" t="n">
        <f aca="false">G876-J876</f>
        <v>0</v>
      </c>
      <c r="M876" s="25" t="n">
        <f aca="false">F876</f>
        <v>149497596.153846</v>
      </c>
      <c r="N876" s="48" t="n">
        <v>0.0128541666666667</v>
      </c>
      <c r="O876" s="25" t="n">
        <f aca="false">IF(AND(B876&gt;=DATE(2026,1,1),B876&lt;=Resumen!$C$5),1,0)</f>
        <v>0</v>
      </c>
      <c r="P876" s="25" t="n">
        <f aca="false">IF(AND(B876&gt;Resumen!$C$5,B876&lt;=DATE(2027,7,31)),1,0)</f>
        <v>0</v>
      </c>
    </row>
    <row r="877" customFormat="false" ht="15" hidden="false" customHeight="false" outlineLevel="0" collapsed="false">
      <c r="A877" s="22" t="n">
        <v>109</v>
      </c>
      <c r="B877" s="23" t="n">
        <v>47723</v>
      </c>
      <c r="C877" s="28" t="n">
        <v>2538461538.46154</v>
      </c>
      <c r="D877" s="28" t="n">
        <v>32629807.6923077</v>
      </c>
      <c r="E877" s="28" t="n">
        <v>0</v>
      </c>
      <c r="F877" s="28" t="n">
        <v>32629807.6923077</v>
      </c>
      <c r="G877" s="28" t="n">
        <v>2538461538.46154</v>
      </c>
      <c r="H877" s="25" t="n">
        <f aca="false">J876</f>
        <v>2538461538.46154</v>
      </c>
      <c r="I877" s="25" t="n">
        <f aca="false">H877*N877</f>
        <v>32629807.6923077</v>
      </c>
      <c r="J877" s="25" t="n">
        <f aca="false">H877-E877</f>
        <v>2538461538.46154</v>
      </c>
      <c r="K877" s="25" t="n">
        <f aca="false">D877-I877</f>
        <v>0</v>
      </c>
      <c r="L877" s="25" t="n">
        <f aca="false">G877-J877</f>
        <v>0</v>
      </c>
      <c r="M877" s="25" t="n">
        <f aca="false">F877</f>
        <v>32629807.6923077</v>
      </c>
      <c r="N877" s="48" t="n">
        <v>0.0128541666666667</v>
      </c>
      <c r="O877" s="25" t="n">
        <f aca="false">IF(AND(B877&gt;=DATE(2026,1,1),B877&lt;=Resumen!$C$5),1,0)</f>
        <v>0</v>
      </c>
      <c r="P877" s="25" t="n">
        <f aca="false">IF(AND(B877&gt;Resumen!$C$5,B877&lt;=DATE(2027,7,31)),1,0)</f>
        <v>0</v>
      </c>
    </row>
    <row r="878" customFormat="false" ht="15" hidden="false" customHeight="false" outlineLevel="0" collapsed="false">
      <c r="A878" s="22" t="n">
        <v>110</v>
      </c>
      <c r="B878" s="23" t="n">
        <v>47754</v>
      </c>
      <c r="C878" s="28" t="n">
        <v>2538461538.46154</v>
      </c>
      <c r="D878" s="28" t="n">
        <v>32629807.6923077</v>
      </c>
      <c r="E878" s="28" t="n">
        <v>0</v>
      </c>
      <c r="F878" s="28" t="n">
        <v>32629807.6923077</v>
      </c>
      <c r="G878" s="28" t="n">
        <v>2538461538.46154</v>
      </c>
      <c r="H878" s="25" t="n">
        <f aca="false">J877</f>
        <v>2538461538.46154</v>
      </c>
      <c r="I878" s="25" t="n">
        <f aca="false">H878*N878</f>
        <v>32629807.6923077</v>
      </c>
      <c r="J878" s="25" t="n">
        <f aca="false">H878-E878</f>
        <v>2538461538.46154</v>
      </c>
      <c r="K878" s="25" t="n">
        <f aca="false">D878-I878</f>
        <v>0</v>
      </c>
      <c r="L878" s="25" t="n">
        <f aca="false">G878-J878</f>
        <v>0</v>
      </c>
      <c r="M878" s="25" t="n">
        <f aca="false">F878</f>
        <v>32629807.6923077</v>
      </c>
      <c r="N878" s="48" t="n">
        <v>0.0128541666666667</v>
      </c>
      <c r="O878" s="25" t="n">
        <f aca="false">IF(AND(B878&gt;=DATE(2026,1,1),B878&lt;=Resumen!$C$5),1,0)</f>
        <v>0</v>
      </c>
      <c r="P878" s="25" t="n">
        <f aca="false">IF(AND(B878&gt;Resumen!$C$5,B878&lt;=DATE(2027,7,31)),1,0)</f>
        <v>0</v>
      </c>
    </row>
    <row r="879" customFormat="false" ht="15" hidden="false" customHeight="false" outlineLevel="0" collapsed="false">
      <c r="A879" s="22" t="n">
        <v>111</v>
      </c>
      <c r="B879" s="23" t="n">
        <v>47784</v>
      </c>
      <c r="C879" s="28" t="n">
        <v>2538461538.46154</v>
      </c>
      <c r="D879" s="28" t="n">
        <v>32629807.6923077</v>
      </c>
      <c r="E879" s="28" t="n">
        <v>0</v>
      </c>
      <c r="F879" s="28" t="n">
        <v>32629807.6923077</v>
      </c>
      <c r="G879" s="28" t="n">
        <v>2538461538.46154</v>
      </c>
      <c r="H879" s="25" t="n">
        <f aca="false">J878</f>
        <v>2538461538.46154</v>
      </c>
      <c r="I879" s="25" t="n">
        <f aca="false">H879*N879</f>
        <v>32629807.6923077</v>
      </c>
      <c r="J879" s="25" t="n">
        <f aca="false">H879-E879</f>
        <v>2538461538.46154</v>
      </c>
      <c r="K879" s="25" t="n">
        <f aca="false">D879-I879</f>
        <v>0</v>
      </c>
      <c r="L879" s="25" t="n">
        <f aca="false">G879-J879</f>
        <v>0</v>
      </c>
      <c r="M879" s="25" t="n">
        <f aca="false">F879</f>
        <v>32629807.6923077</v>
      </c>
      <c r="N879" s="48" t="n">
        <v>0.0128541666666667</v>
      </c>
      <c r="O879" s="25" t="n">
        <f aca="false">IF(AND(B879&gt;=DATE(2026,1,1),B879&lt;=Resumen!$C$5),1,0)</f>
        <v>0</v>
      </c>
      <c r="P879" s="25" t="n">
        <f aca="false">IF(AND(B879&gt;Resumen!$C$5,B879&lt;=DATE(2027,7,31)),1,0)</f>
        <v>0</v>
      </c>
    </row>
    <row r="880" customFormat="false" ht="15" hidden="false" customHeight="false" outlineLevel="0" collapsed="false">
      <c r="A880" s="22" t="n">
        <v>112</v>
      </c>
      <c r="B880" s="23" t="n">
        <v>47815</v>
      </c>
      <c r="C880" s="28" t="n">
        <v>2538461538.46154</v>
      </c>
      <c r="D880" s="28" t="n">
        <v>32629807.6923077</v>
      </c>
      <c r="E880" s="28" t="n">
        <v>0</v>
      </c>
      <c r="F880" s="28" t="n">
        <v>32629807.6923077</v>
      </c>
      <c r="G880" s="28" t="n">
        <v>2538461538.46154</v>
      </c>
      <c r="H880" s="25" t="n">
        <f aca="false">J879</f>
        <v>2538461538.46154</v>
      </c>
      <c r="I880" s="25" t="n">
        <f aca="false">H880*N880</f>
        <v>32629807.6923077</v>
      </c>
      <c r="J880" s="25" t="n">
        <f aca="false">H880-E880</f>
        <v>2538461538.46154</v>
      </c>
      <c r="K880" s="25" t="n">
        <f aca="false">D880-I880</f>
        <v>0</v>
      </c>
      <c r="L880" s="25" t="n">
        <f aca="false">G880-J880</f>
        <v>0</v>
      </c>
      <c r="M880" s="25" t="n">
        <f aca="false">F880</f>
        <v>32629807.6923077</v>
      </c>
      <c r="N880" s="48" t="n">
        <v>0.0128541666666667</v>
      </c>
      <c r="O880" s="25" t="n">
        <f aca="false">IF(AND(B880&gt;=DATE(2026,1,1),B880&lt;=Resumen!$C$5),1,0)</f>
        <v>0</v>
      </c>
      <c r="P880" s="25" t="n">
        <f aca="false">IF(AND(B880&gt;Resumen!$C$5,B880&lt;=DATE(2027,7,31)),1,0)</f>
        <v>0</v>
      </c>
    </row>
    <row r="881" customFormat="false" ht="15" hidden="false" customHeight="false" outlineLevel="0" collapsed="false">
      <c r="A881" s="22" t="n">
        <v>113</v>
      </c>
      <c r="B881" s="23" t="n">
        <v>47845</v>
      </c>
      <c r="C881" s="28" t="n">
        <v>2538461538.46154</v>
      </c>
      <c r="D881" s="28" t="n">
        <v>32629807.6923077</v>
      </c>
      <c r="E881" s="28" t="n">
        <v>0</v>
      </c>
      <c r="F881" s="28" t="n">
        <v>32629807.6923077</v>
      </c>
      <c r="G881" s="28" t="n">
        <v>2538461538.46154</v>
      </c>
      <c r="H881" s="25" t="n">
        <f aca="false">J880</f>
        <v>2538461538.46154</v>
      </c>
      <c r="I881" s="25" t="n">
        <f aca="false">H881*N881</f>
        <v>32629807.6923077</v>
      </c>
      <c r="J881" s="25" t="n">
        <f aca="false">H881-E881</f>
        <v>2538461538.46154</v>
      </c>
      <c r="K881" s="25" t="n">
        <f aca="false">D881-I881</f>
        <v>0</v>
      </c>
      <c r="L881" s="25" t="n">
        <f aca="false">G881-J881</f>
        <v>0</v>
      </c>
      <c r="M881" s="25" t="n">
        <f aca="false">F881</f>
        <v>32629807.6923077</v>
      </c>
      <c r="N881" s="48" t="n">
        <v>0.0128541666666667</v>
      </c>
      <c r="O881" s="25" t="n">
        <f aca="false">IF(AND(B881&gt;=DATE(2026,1,1),B881&lt;=Resumen!$C$5),1,0)</f>
        <v>0</v>
      </c>
      <c r="P881" s="25" t="n">
        <f aca="false">IF(AND(B881&gt;Resumen!$C$5,B881&lt;=DATE(2027,7,31)),1,0)</f>
        <v>0</v>
      </c>
    </row>
    <row r="882" customFormat="false" ht="15" hidden="false" customHeight="false" outlineLevel="0" collapsed="false">
      <c r="A882" s="22" t="n">
        <v>114</v>
      </c>
      <c r="B882" s="23" t="n">
        <v>47876</v>
      </c>
      <c r="C882" s="28" t="n">
        <v>2538461538.46154</v>
      </c>
      <c r="D882" s="28" t="n">
        <v>32629807.6923077</v>
      </c>
      <c r="E882" s="28" t="n">
        <v>115384615.384615</v>
      </c>
      <c r="F882" s="28" t="n">
        <v>148014423.076923</v>
      </c>
      <c r="G882" s="28" t="n">
        <v>2423076923.07692</v>
      </c>
      <c r="H882" s="25" t="n">
        <f aca="false">J881</f>
        <v>2538461538.46154</v>
      </c>
      <c r="I882" s="25" t="n">
        <f aca="false">H882*N882</f>
        <v>32629807.6923077</v>
      </c>
      <c r="J882" s="25" t="n">
        <f aca="false">H882-E882</f>
        <v>2423076923.07692</v>
      </c>
      <c r="K882" s="25" t="n">
        <f aca="false">D882-I882</f>
        <v>0</v>
      </c>
      <c r="L882" s="25" t="n">
        <f aca="false">G882-J882</f>
        <v>0</v>
      </c>
      <c r="M882" s="25" t="n">
        <f aca="false">F882</f>
        <v>148014423.076923</v>
      </c>
      <c r="N882" s="48" t="n">
        <v>0.0128541666666667</v>
      </c>
      <c r="O882" s="25" t="n">
        <f aca="false">IF(AND(B882&gt;=DATE(2026,1,1),B882&lt;=Resumen!$C$5),1,0)</f>
        <v>0</v>
      </c>
      <c r="P882" s="25" t="n">
        <f aca="false">IF(AND(B882&gt;Resumen!$C$5,B882&lt;=DATE(2027,7,31)),1,0)</f>
        <v>0</v>
      </c>
    </row>
    <row r="883" customFormat="false" ht="15" hidden="false" customHeight="false" outlineLevel="0" collapsed="false">
      <c r="A883" s="22" t="n">
        <v>115</v>
      </c>
      <c r="B883" s="23" t="n">
        <v>47907</v>
      </c>
      <c r="C883" s="28" t="n">
        <v>2423076923.07692</v>
      </c>
      <c r="D883" s="28" t="n">
        <v>31146634.6153846</v>
      </c>
      <c r="E883" s="28" t="n">
        <v>0</v>
      </c>
      <c r="F883" s="28" t="n">
        <v>31146634.6153846</v>
      </c>
      <c r="G883" s="28" t="n">
        <v>2423076923.07692</v>
      </c>
      <c r="H883" s="25" t="n">
        <f aca="false">J882</f>
        <v>2423076923.07692</v>
      </c>
      <c r="I883" s="25" t="n">
        <f aca="false">H883*N883</f>
        <v>31146634.6153846</v>
      </c>
      <c r="J883" s="25" t="n">
        <f aca="false">H883-E883</f>
        <v>2423076923.07692</v>
      </c>
      <c r="K883" s="25" t="n">
        <f aca="false">D883-I883</f>
        <v>0</v>
      </c>
      <c r="L883" s="25" t="n">
        <f aca="false">G883-J883</f>
        <v>0</v>
      </c>
      <c r="M883" s="25" t="n">
        <f aca="false">F883</f>
        <v>31146634.6153846</v>
      </c>
      <c r="N883" s="48" t="n">
        <v>0.0128541666666667</v>
      </c>
      <c r="O883" s="25" t="n">
        <f aca="false">IF(AND(B883&gt;=DATE(2026,1,1),B883&lt;=Resumen!$C$5),1,0)</f>
        <v>0</v>
      </c>
      <c r="P883" s="25" t="n">
        <f aca="false">IF(AND(B883&gt;Resumen!$C$5,B883&lt;=DATE(2027,7,31)),1,0)</f>
        <v>0</v>
      </c>
    </row>
    <row r="884" customFormat="false" ht="15" hidden="false" customHeight="false" outlineLevel="0" collapsed="false">
      <c r="A884" s="22" t="n">
        <v>116</v>
      </c>
      <c r="B884" s="23" t="n">
        <v>47935</v>
      </c>
      <c r="C884" s="28" t="n">
        <v>2423076923.07692</v>
      </c>
      <c r="D884" s="28" t="n">
        <v>31146634.6153846</v>
      </c>
      <c r="E884" s="28" t="n">
        <v>0</v>
      </c>
      <c r="F884" s="28" t="n">
        <v>31146634.6153846</v>
      </c>
      <c r="G884" s="28" t="n">
        <v>2423076923.07692</v>
      </c>
      <c r="H884" s="25" t="n">
        <f aca="false">J883</f>
        <v>2423076923.07692</v>
      </c>
      <c r="I884" s="25" t="n">
        <f aca="false">H884*N884</f>
        <v>31146634.6153846</v>
      </c>
      <c r="J884" s="25" t="n">
        <f aca="false">H884-E884</f>
        <v>2423076923.07692</v>
      </c>
      <c r="K884" s="25" t="n">
        <f aca="false">D884-I884</f>
        <v>0</v>
      </c>
      <c r="L884" s="25" t="n">
        <f aca="false">G884-J884</f>
        <v>0</v>
      </c>
      <c r="M884" s="25" t="n">
        <f aca="false">F884</f>
        <v>31146634.6153846</v>
      </c>
      <c r="N884" s="48" t="n">
        <v>0.0128541666666667</v>
      </c>
      <c r="O884" s="25" t="n">
        <f aca="false">IF(AND(B884&gt;=DATE(2026,1,1),B884&lt;=Resumen!$C$5),1,0)</f>
        <v>0</v>
      </c>
      <c r="P884" s="25" t="n">
        <f aca="false">IF(AND(B884&gt;Resumen!$C$5,B884&lt;=DATE(2027,7,31)),1,0)</f>
        <v>0</v>
      </c>
    </row>
    <row r="885" customFormat="false" ht="15" hidden="false" customHeight="false" outlineLevel="0" collapsed="false">
      <c r="A885" s="22" t="n">
        <v>117</v>
      </c>
      <c r="B885" s="23" t="n">
        <v>47966</v>
      </c>
      <c r="C885" s="28" t="n">
        <v>2423076923.07692</v>
      </c>
      <c r="D885" s="28" t="n">
        <v>31146634.6153846</v>
      </c>
      <c r="E885" s="28" t="n">
        <v>0</v>
      </c>
      <c r="F885" s="28" t="n">
        <v>31146634.6153846</v>
      </c>
      <c r="G885" s="28" t="n">
        <v>2423076923.07692</v>
      </c>
      <c r="H885" s="25" t="n">
        <f aca="false">J884</f>
        <v>2423076923.07692</v>
      </c>
      <c r="I885" s="25" t="n">
        <f aca="false">H885*N885</f>
        <v>31146634.6153846</v>
      </c>
      <c r="J885" s="25" t="n">
        <f aca="false">H885-E885</f>
        <v>2423076923.07692</v>
      </c>
      <c r="K885" s="25" t="n">
        <f aca="false">D885-I885</f>
        <v>0</v>
      </c>
      <c r="L885" s="25" t="n">
        <f aca="false">G885-J885</f>
        <v>0</v>
      </c>
      <c r="M885" s="25" t="n">
        <f aca="false">F885</f>
        <v>31146634.6153846</v>
      </c>
      <c r="N885" s="48" t="n">
        <v>0.0128541666666667</v>
      </c>
      <c r="O885" s="25" t="n">
        <f aca="false">IF(AND(B885&gt;=DATE(2026,1,1),B885&lt;=Resumen!$C$5),1,0)</f>
        <v>0</v>
      </c>
      <c r="P885" s="25" t="n">
        <f aca="false">IF(AND(B885&gt;Resumen!$C$5,B885&lt;=DATE(2027,7,31)),1,0)</f>
        <v>0</v>
      </c>
    </row>
    <row r="886" customFormat="false" ht="15" hidden="false" customHeight="false" outlineLevel="0" collapsed="false">
      <c r="A886" s="22" t="n">
        <v>118</v>
      </c>
      <c r="B886" s="23" t="n">
        <v>47996</v>
      </c>
      <c r="C886" s="28" t="n">
        <v>2423076923.07692</v>
      </c>
      <c r="D886" s="28" t="n">
        <v>31146634.6153846</v>
      </c>
      <c r="E886" s="28" t="n">
        <v>0</v>
      </c>
      <c r="F886" s="28" t="n">
        <v>31146634.6153846</v>
      </c>
      <c r="G886" s="28" t="n">
        <v>2423076923.07692</v>
      </c>
      <c r="H886" s="25" t="n">
        <f aca="false">J885</f>
        <v>2423076923.07692</v>
      </c>
      <c r="I886" s="25" t="n">
        <f aca="false">H886*N886</f>
        <v>31146634.6153846</v>
      </c>
      <c r="J886" s="25" t="n">
        <f aca="false">H886-E886</f>
        <v>2423076923.07692</v>
      </c>
      <c r="K886" s="25" t="n">
        <f aca="false">D886-I886</f>
        <v>0</v>
      </c>
      <c r="L886" s="25" t="n">
        <f aca="false">G886-J886</f>
        <v>0</v>
      </c>
      <c r="M886" s="25" t="n">
        <f aca="false">F886</f>
        <v>31146634.6153846</v>
      </c>
      <c r="N886" s="48" t="n">
        <v>0.0128541666666667</v>
      </c>
      <c r="O886" s="25" t="n">
        <f aca="false">IF(AND(B886&gt;=DATE(2026,1,1),B886&lt;=Resumen!$C$5),1,0)</f>
        <v>0</v>
      </c>
      <c r="P886" s="25" t="n">
        <f aca="false">IF(AND(B886&gt;Resumen!$C$5,B886&lt;=DATE(2027,7,31)),1,0)</f>
        <v>0</v>
      </c>
    </row>
    <row r="887" customFormat="false" ht="15" hidden="false" customHeight="false" outlineLevel="0" collapsed="false">
      <c r="A887" s="22" t="n">
        <v>119</v>
      </c>
      <c r="B887" s="23" t="n">
        <v>48027</v>
      </c>
      <c r="C887" s="28" t="n">
        <v>2423076923.07692</v>
      </c>
      <c r="D887" s="28" t="n">
        <v>31146634.6153846</v>
      </c>
      <c r="E887" s="28" t="n">
        <v>0</v>
      </c>
      <c r="F887" s="28" t="n">
        <v>31146634.6153846</v>
      </c>
      <c r="G887" s="28" t="n">
        <v>2423076923.07692</v>
      </c>
      <c r="H887" s="25" t="n">
        <f aca="false">J886</f>
        <v>2423076923.07692</v>
      </c>
      <c r="I887" s="25" t="n">
        <f aca="false">H887*N887</f>
        <v>31146634.6153846</v>
      </c>
      <c r="J887" s="25" t="n">
        <f aca="false">H887-E887</f>
        <v>2423076923.07692</v>
      </c>
      <c r="K887" s="25" t="n">
        <f aca="false">D887-I887</f>
        <v>0</v>
      </c>
      <c r="L887" s="25" t="n">
        <f aca="false">G887-J887</f>
        <v>0</v>
      </c>
      <c r="M887" s="25" t="n">
        <f aca="false">F887</f>
        <v>31146634.6153846</v>
      </c>
      <c r="N887" s="48" t="n">
        <v>0.0128541666666667</v>
      </c>
      <c r="O887" s="25" t="n">
        <f aca="false">IF(AND(B887&gt;=DATE(2026,1,1),B887&lt;=Resumen!$C$5),1,0)</f>
        <v>0</v>
      </c>
      <c r="P887" s="25" t="n">
        <f aca="false">IF(AND(B887&gt;Resumen!$C$5,B887&lt;=DATE(2027,7,31)),1,0)</f>
        <v>0</v>
      </c>
    </row>
    <row r="888" customFormat="false" ht="15" hidden="false" customHeight="false" outlineLevel="0" collapsed="false">
      <c r="A888" s="22" t="n">
        <v>120</v>
      </c>
      <c r="B888" s="23" t="n">
        <v>48057</v>
      </c>
      <c r="C888" s="28" t="n">
        <v>2423076923.07692</v>
      </c>
      <c r="D888" s="28" t="n">
        <v>31146634.6153846</v>
      </c>
      <c r="E888" s="28" t="n">
        <v>115384615.384615</v>
      </c>
      <c r="F888" s="28" t="n">
        <v>146531250</v>
      </c>
      <c r="G888" s="28" t="n">
        <v>2307692307.69231</v>
      </c>
      <c r="H888" s="25" t="n">
        <f aca="false">J887</f>
        <v>2423076923.07692</v>
      </c>
      <c r="I888" s="25" t="n">
        <f aca="false">H888*N888</f>
        <v>31146634.6153846</v>
      </c>
      <c r="J888" s="25" t="n">
        <f aca="false">H888-E888</f>
        <v>2307692307.69231</v>
      </c>
      <c r="K888" s="25" t="n">
        <f aca="false">D888-I888</f>
        <v>0</v>
      </c>
      <c r="L888" s="25" t="n">
        <f aca="false">G888-J888</f>
        <v>0</v>
      </c>
      <c r="M888" s="25" t="n">
        <f aca="false">F888</f>
        <v>146531250</v>
      </c>
      <c r="N888" s="48" t="n">
        <v>0.0128541666666667</v>
      </c>
      <c r="O888" s="25" t="n">
        <f aca="false">IF(AND(B888&gt;=DATE(2026,1,1),B888&lt;=Resumen!$C$5),1,0)</f>
        <v>0</v>
      </c>
      <c r="P888" s="25" t="n">
        <f aca="false">IF(AND(B888&gt;Resumen!$C$5,B888&lt;=DATE(2027,7,31)),1,0)</f>
        <v>0</v>
      </c>
    </row>
    <row r="889" customFormat="false" ht="15" hidden="false" customHeight="false" outlineLevel="0" collapsed="false">
      <c r="A889" s="22" t="n">
        <v>121</v>
      </c>
      <c r="B889" s="23" t="n">
        <v>48088</v>
      </c>
      <c r="C889" s="28" t="n">
        <v>2307692307.69231</v>
      </c>
      <c r="D889" s="28" t="n">
        <v>29663461.5384615</v>
      </c>
      <c r="E889" s="28" t="n">
        <v>0</v>
      </c>
      <c r="F889" s="28" t="n">
        <v>29663461.5384615</v>
      </c>
      <c r="G889" s="28" t="n">
        <v>2307692307.69231</v>
      </c>
      <c r="H889" s="25" t="n">
        <f aca="false">J888</f>
        <v>2307692307.69231</v>
      </c>
      <c r="I889" s="25" t="n">
        <f aca="false">H889*N889</f>
        <v>29663461.5384615</v>
      </c>
      <c r="J889" s="25" t="n">
        <f aca="false">H889-E889</f>
        <v>2307692307.69231</v>
      </c>
      <c r="K889" s="25" t="n">
        <f aca="false">D889-I889</f>
        <v>0</v>
      </c>
      <c r="L889" s="25" t="n">
        <f aca="false">G889-J889</f>
        <v>0</v>
      </c>
      <c r="M889" s="25" t="n">
        <f aca="false">F889</f>
        <v>29663461.5384615</v>
      </c>
      <c r="N889" s="48" t="n">
        <v>0.0128541666666667</v>
      </c>
      <c r="O889" s="25" t="n">
        <f aca="false">IF(AND(B889&gt;=DATE(2026,1,1),B889&lt;=Resumen!$C$5),1,0)</f>
        <v>0</v>
      </c>
      <c r="P889" s="25" t="n">
        <f aca="false">IF(AND(B889&gt;Resumen!$C$5,B889&lt;=DATE(2027,7,31)),1,0)</f>
        <v>0</v>
      </c>
    </row>
    <row r="890" customFormat="false" ht="15" hidden="false" customHeight="false" outlineLevel="0" collapsed="false">
      <c r="A890" s="22" t="n">
        <v>122</v>
      </c>
      <c r="B890" s="23" t="n">
        <v>48119</v>
      </c>
      <c r="C890" s="28" t="n">
        <v>2307692307.69231</v>
      </c>
      <c r="D890" s="28" t="n">
        <v>29663461.5384615</v>
      </c>
      <c r="E890" s="28" t="n">
        <v>0</v>
      </c>
      <c r="F890" s="28" t="n">
        <v>29663461.5384615</v>
      </c>
      <c r="G890" s="28" t="n">
        <v>2307692307.69231</v>
      </c>
      <c r="H890" s="25" t="n">
        <f aca="false">J889</f>
        <v>2307692307.69231</v>
      </c>
      <c r="I890" s="25" t="n">
        <f aca="false">H890*N890</f>
        <v>29663461.5384615</v>
      </c>
      <c r="J890" s="25" t="n">
        <f aca="false">H890-E890</f>
        <v>2307692307.69231</v>
      </c>
      <c r="K890" s="25" t="n">
        <f aca="false">D890-I890</f>
        <v>0</v>
      </c>
      <c r="L890" s="25" t="n">
        <f aca="false">G890-J890</f>
        <v>0</v>
      </c>
      <c r="M890" s="25" t="n">
        <f aca="false">F890</f>
        <v>29663461.5384615</v>
      </c>
      <c r="N890" s="48" t="n">
        <v>0.0128541666666667</v>
      </c>
      <c r="O890" s="25" t="n">
        <f aca="false">IF(AND(B890&gt;=DATE(2026,1,1),B890&lt;=Resumen!$C$5),1,0)</f>
        <v>0</v>
      </c>
      <c r="P890" s="25" t="n">
        <f aca="false">IF(AND(B890&gt;Resumen!$C$5,B890&lt;=DATE(2027,7,31)),1,0)</f>
        <v>0</v>
      </c>
    </row>
    <row r="891" customFormat="false" ht="15" hidden="false" customHeight="false" outlineLevel="0" collapsed="false">
      <c r="A891" s="22" t="n">
        <v>123</v>
      </c>
      <c r="B891" s="23" t="n">
        <v>48149</v>
      </c>
      <c r="C891" s="28" t="n">
        <v>2307692307.69231</v>
      </c>
      <c r="D891" s="28" t="n">
        <v>29663461.5384615</v>
      </c>
      <c r="E891" s="28" t="n">
        <v>0</v>
      </c>
      <c r="F891" s="28" t="n">
        <v>29663461.5384615</v>
      </c>
      <c r="G891" s="28" t="n">
        <v>2307692307.69231</v>
      </c>
      <c r="H891" s="25" t="n">
        <f aca="false">J890</f>
        <v>2307692307.69231</v>
      </c>
      <c r="I891" s="25" t="n">
        <f aca="false">H891*N891</f>
        <v>29663461.5384615</v>
      </c>
      <c r="J891" s="25" t="n">
        <f aca="false">H891-E891</f>
        <v>2307692307.69231</v>
      </c>
      <c r="K891" s="25" t="n">
        <f aca="false">D891-I891</f>
        <v>0</v>
      </c>
      <c r="L891" s="25" t="n">
        <f aca="false">G891-J891</f>
        <v>0</v>
      </c>
      <c r="M891" s="25" t="n">
        <f aca="false">F891</f>
        <v>29663461.5384615</v>
      </c>
      <c r="N891" s="48" t="n">
        <v>0.0128541666666667</v>
      </c>
      <c r="O891" s="25" t="n">
        <f aca="false">IF(AND(B891&gt;=DATE(2026,1,1),B891&lt;=Resumen!$C$5),1,0)</f>
        <v>0</v>
      </c>
      <c r="P891" s="25" t="n">
        <f aca="false">IF(AND(B891&gt;Resumen!$C$5,B891&lt;=DATE(2027,7,31)),1,0)</f>
        <v>0</v>
      </c>
    </row>
    <row r="892" customFormat="false" ht="15" hidden="false" customHeight="false" outlineLevel="0" collapsed="false">
      <c r="A892" s="22" t="n">
        <v>124</v>
      </c>
      <c r="B892" s="23" t="n">
        <v>48180</v>
      </c>
      <c r="C892" s="28" t="n">
        <v>2307692307.69231</v>
      </c>
      <c r="D892" s="28" t="n">
        <v>29663461.5384615</v>
      </c>
      <c r="E892" s="28" t="n">
        <v>0</v>
      </c>
      <c r="F892" s="28" t="n">
        <v>29663461.5384615</v>
      </c>
      <c r="G892" s="28" t="n">
        <v>2307692307.69231</v>
      </c>
      <c r="H892" s="25" t="n">
        <f aca="false">J891</f>
        <v>2307692307.69231</v>
      </c>
      <c r="I892" s="25" t="n">
        <f aca="false">H892*N892</f>
        <v>29663461.5384615</v>
      </c>
      <c r="J892" s="25" t="n">
        <f aca="false">H892-E892</f>
        <v>2307692307.69231</v>
      </c>
      <c r="K892" s="25" t="n">
        <f aca="false">D892-I892</f>
        <v>0</v>
      </c>
      <c r="L892" s="25" t="n">
        <f aca="false">G892-J892</f>
        <v>0</v>
      </c>
      <c r="M892" s="25" t="n">
        <f aca="false">F892</f>
        <v>29663461.5384615</v>
      </c>
      <c r="N892" s="48" t="n">
        <v>0.0128541666666667</v>
      </c>
      <c r="O892" s="25" t="n">
        <f aca="false">IF(AND(B892&gt;=DATE(2026,1,1),B892&lt;=Resumen!$C$5),1,0)</f>
        <v>0</v>
      </c>
      <c r="P892" s="25" t="n">
        <f aca="false">IF(AND(B892&gt;Resumen!$C$5,B892&lt;=DATE(2027,7,31)),1,0)</f>
        <v>0</v>
      </c>
    </row>
    <row r="893" customFormat="false" ht="15" hidden="false" customHeight="false" outlineLevel="0" collapsed="false">
      <c r="A893" s="22" t="n">
        <v>125</v>
      </c>
      <c r="B893" s="23" t="n">
        <v>48210</v>
      </c>
      <c r="C893" s="28" t="n">
        <v>2307692307.69231</v>
      </c>
      <c r="D893" s="28" t="n">
        <v>29663461.5384615</v>
      </c>
      <c r="E893" s="28" t="n">
        <v>0</v>
      </c>
      <c r="F893" s="28" t="n">
        <v>29663461.5384615</v>
      </c>
      <c r="G893" s="28" t="n">
        <v>2307692307.69231</v>
      </c>
      <c r="H893" s="25" t="n">
        <f aca="false">J892</f>
        <v>2307692307.69231</v>
      </c>
      <c r="I893" s="25" t="n">
        <f aca="false">H893*N893</f>
        <v>29663461.5384615</v>
      </c>
      <c r="J893" s="25" t="n">
        <f aca="false">H893-E893</f>
        <v>2307692307.69231</v>
      </c>
      <c r="K893" s="25" t="n">
        <f aca="false">D893-I893</f>
        <v>0</v>
      </c>
      <c r="L893" s="25" t="n">
        <f aca="false">G893-J893</f>
        <v>0</v>
      </c>
      <c r="M893" s="25" t="n">
        <f aca="false">F893</f>
        <v>29663461.5384615</v>
      </c>
      <c r="N893" s="48" t="n">
        <v>0.0128541666666667</v>
      </c>
      <c r="O893" s="25" t="n">
        <f aca="false">IF(AND(B893&gt;=DATE(2026,1,1),B893&lt;=Resumen!$C$5),1,0)</f>
        <v>0</v>
      </c>
      <c r="P893" s="25" t="n">
        <f aca="false">IF(AND(B893&gt;Resumen!$C$5,B893&lt;=DATE(2027,7,31)),1,0)</f>
        <v>0</v>
      </c>
    </row>
    <row r="894" customFormat="false" ht="15" hidden="false" customHeight="false" outlineLevel="0" collapsed="false">
      <c r="A894" s="22" t="n">
        <v>126</v>
      </c>
      <c r="B894" s="23" t="n">
        <v>48241</v>
      </c>
      <c r="C894" s="28" t="n">
        <v>2307692307.69231</v>
      </c>
      <c r="D894" s="28" t="n">
        <v>29663461.5384615</v>
      </c>
      <c r="E894" s="28" t="n">
        <v>115384615.384615</v>
      </c>
      <c r="F894" s="28" t="n">
        <v>145048076.923077</v>
      </c>
      <c r="G894" s="28" t="n">
        <v>2192307692.30769</v>
      </c>
      <c r="H894" s="25" t="n">
        <f aca="false">J893</f>
        <v>2307692307.69231</v>
      </c>
      <c r="I894" s="25" t="n">
        <f aca="false">H894*N894</f>
        <v>29663461.5384615</v>
      </c>
      <c r="J894" s="25" t="n">
        <f aca="false">H894-E894</f>
        <v>2192307692.30769</v>
      </c>
      <c r="K894" s="25" t="n">
        <f aca="false">D894-I894</f>
        <v>0</v>
      </c>
      <c r="L894" s="25" t="n">
        <f aca="false">G894-J894</f>
        <v>0</v>
      </c>
      <c r="M894" s="25" t="n">
        <f aca="false">F894</f>
        <v>145048076.923077</v>
      </c>
      <c r="N894" s="48" t="n">
        <v>0.0128541666666667</v>
      </c>
      <c r="O894" s="25" t="n">
        <f aca="false">IF(AND(B894&gt;=DATE(2026,1,1),B894&lt;=Resumen!$C$5),1,0)</f>
        <v>0</v>
      </c>
      <c r="P894" s="25" t="n">
        <f aca="false">IF(AND(B894&gt;Resumen!$C$5,B894&lt;=DATE(2027,7,31)),1,0)</f>
        <v>0</v>
      </c>
    </row>
    <row r="895" customFormat="false" ht="15" hidden="false" customHeight="false" outlineLevel="0" collapsed="false">
      <c r="A895" s="22" t="n">
        <v>127</v>
      </c>
      <c r="B895" s="23" t="n">
        <v>48272</v>
      </c>
      <c r="C895" s="28" t="n">
        <v>2192307692.30769</v>
      </c>
      <c r="D895" s="28" t="n">
        <v>28180288.4615385</v>
      </c>
      <c r="E895" s="28" t="n">
        <v>0</v>
      </c>
      <c r="F895" s="28" t="n">
        <v>28180288.4615385</v>
      </c>
      <c r="G895" s="28" t="n">
        <v>2192307692.30769</v>
      </c>
      <c r="H895" s="25" t="n">
        <f aca="false">J894</f>
        <v>2192307692.30769</v>
      </c>
      <c r="I895" s="25" t="n">
        <f aca="false">H895*N895</f>
        <v>28180288.4615385</v>
      </c>
      <c r="J895" s="25" t="n">
        <f aca="false">H895-E895</f>
        <v>2192307692.30769</v>
      </c>
      <c r="K895" s="25" t="n">
        <f aca="false">D895-I895</f>
        <v>0</v>
      </c>
      <c r="L895" s="25" t="n">
        <f aca="false">G895-J895</f>
        <v>0</v>
      </c>
      <c r="M895" s="25" t="n">
        <f aca="false">F895</f>
        <v>28180288.4615385</v>
      </c>
      <c r="N895" s="48" t="n">
        <v>0.0128541666666667</v>
      </c>
      <c r="O895" s="25" t="n">
        <f aca="false">IF(AND(B895&gt;=DATE(2026,1,1),B895&lt;=Resumen!$C$5),1,0)</f>
        <v>0</v>
      </c>
      <c r="P895" s="25" t="n">
        <f aca="false">IF(AND(B895&gt;Resumen!$C$5,B895&lt;=DATE(2027,7,31)),1,0)</f>
        <v>0</v>
      </c>
    </row>
    <row r="896" customFormat="false" ht="15" hidden="false" customHeight="false" outlineLevel="0" collapsed="false">
      <c r="A896" s="22" t="n">
        <v>128</v>
      </c>
      <c r="B896" s="23" t="n">
        <v>48301</v>
      </c>
      <c r="C896" s="28" t="n">
        <v>2192307692.30769</v>
      </c>
      <c r="D896" s="28" t="n">
        <v>28180288.4615385</v>
      </c>
      <c r="E896" s="28" t="n">
        <v>0</v>
      </c>
      <c r="F896" s="28" t="n">
        <v>28180288.4615385</v>
      </c>
      <c r="G896" s="28" t="n">
        <v>2192307692.30769</v>
      </c>
      <c r="H896" s="25" t="n">
        <f aca="false">J895</f>
        <v>2192307692.30769</v>
      </c>
      <c r="I896" s="25" t="n">
        <f aca="false">H896*N896</f>
        <v>28180288.4615385</v>
      </c>
      <c r="J896" s="25" t="n">
        <f aca="false">H896-E896</f>
        <v>2192307692.30769</v>
      </c>
      <c r="K896" s="25" t="n">
        <f aca="false">D896-I896</f>
        <v>0</v>
      </c>
      <c r="L896" s="25" t="n">
        <f aca="false">G896-J896</f>
        <v>0</v>
      </c>
      <c r="M896" s="25" t="n">
        <f aca="false">F896</f>
        <v>28180288.4615385</v>
      </c>
      <c r="N896" s="48" t="n">
        <v>0.0128541666666667</v>
      </c>
      <c r="O896" s="25" t="n">
        <f aca="false">IF(AND(B896&gt;=DATE(2026,1,1),B896&lt;=Resumen!$C$5),1,0)</f>
        <v>0</v>
      </c>
      <c r="P896" s="25" t="n">
        <f aca="false">IF(AND(B896&gt;Resumen!$C$5,B896&lt;=DATE(2027,7,31)),1,0)</f>
        <v>0</v>
      </c>
    </row>
    <row r="897" customFormat="false" ht="15" hidden="false" customHeight="false" outlineLevel="0" collapsed="false">
      <c r="A897" s="22" t="n">
        <v>129</v>
      </c>
      <c r="B897" s="23" t="n">
        <v>48332</v>
      </c>
      <c r="C897" s="28" t="n">
        <v>2192307692.30769</v>
      </c>
      <c r="D897" s="28" t="n">
        <v>28180288.4615385</v>
      </c>
      <c r="E897" s="28" t="n">
        <v>0</v>
      </c>
      <c r="F897" s="28" t="n">
        <v>28180288.4615385</v>
      </c>
      <c r="G897" s="28" t="n">
        <v>2192307692.30769</v>
      </c>
      <c r="H897" s="25" t="n">
        <f aca="false">J896</f>
        <v>2192307692.30769</v>
      </c>
      <c r="I897" s="25" t="n">
        <f aca="false">H897*N897</f>
        <v>28180288.4615385</v>
      </c>
      <c r="J897" s="25" t="n">
        <f aca="false">H897-E897</f>
        <v>2192307692.30769</v>
      </c>
      <c r="K897" s="25" t="n">
        <f aca="false">D897-I897</f>
        <v>0</v>
      </c>
      <c r="L897" s="25" t="n">
        <f aca="false">G897-J897</f>
        <v>0</v>
      </c>
      <c r="M897" s="25" t="n">
        <f aca="false">F897</f>
        <v>28180288.4615385</v>
      </c>
      <c r="N897" s="48" t="n">
        <v>0.0128541666666667</v>
      </c>
      <c r="O897" s="25" t="n">
        <f aca="false">IF(AND(B897&gt;=DATE(2026,1,1),B897&lt;=Resumen!$C$5),1,0)</f>
        <v>0</v>
      </c>
      <c r="P897" s="25" t="n">
        <f aca="false">IF(AND(B897&gt;Resumen!$C$5,B897&lt;=DATE(2027,7,31)),1,0)</f>
        <v>0</v>
      </c>
    </row>
    <row r="898" customFormat="false" ht="15" hidden="false" customHeight="false" outlineLevel="0" collapsed="false">
      <c r="A898" s="22" t="n">
        <v>130</v>
      </c>
      <c r="B898" s="23" t="n">
        <v>48362</v>
      </c>
      <c r="C898" s="28" t="n">
        <v>2192307692.30769</v>
      </c>
      <c r="D898" s="28" t="n">
        <v>28180288.4615385</v>
      </c>
      <c r="E898" s="28" t="n">
        <v>0</v>
      </c>
      <c r="F898" s="28" t="n">
        <v>28180288.4615385</v>
      </c>
      <c r="G898" s="28" t="n">
        <v>2192307692.30769</v>
      </c>
      <c r="H898" s="25" t="n">
        <f aca="false">J897</f>
        <v>2192307692.30769</v>
      </c>
      <c r="I898" s="25" t="n">
        <f aca="false">H898*N898</f>
        <v>28180288.4615385</v>
      </c>
      <c r="J898" s="25" t="n">
        <f aca="false">H898-E898</f>
        <v>2192307692.30769</v>
      </c>
      <c r="K898" s="25" t="n">
        <f aca="false">D898-I898</f>
        <v>0</v>
      </c>
      <c r="L898" s="25" t="n">
        <f aca="false">G898-J898</f>
        <v>0</v>
      </c>
      <c r="M898" s="25" t="n">
        <f aca="false">F898</f>
        <v>28180288.4615385</v>
      </c>
      <c r="N898" s="48" t="n">
        <v>0.0128541666666667</v>
      </c>
      <c r="O898" s="25" t="n">
        <f aca="false">IF(AND(B898&gt;=DATE(2026,1,1),B898&lt;=Resumen!$C$5),1,0)</f>
        <v>0</v>
      </c>
      <c r="P898" s="25" t="n">
        <f aca="false">IF(AND(B898&gt;Resumen!$C$5,B898&lt;=DATE(2027,7,31)),1,0)</f>
        <v>0</v>
      </c>
    </row>
    <row r="899" customFormat="false" ht="15" hidden="false" customHeight="false" outlineLevel="0" collapsed="false">
      <c r="A899" s="22" t="n">
        <v>131</v>
      </c>
      <c r="B899" s="23" t="n">
        <v>48393</v>
      </c>
      <c r="C899" s="28" t="n">
        <v>2192307692.30769</v>
      </c>
      <c r="D899" s="28" t="n">
        <v>28180288.4615385</v>
      </c>
      <c r="E899" s="28" t="n">
        <v>0</v>
      </c>
      <c r="F899" s="28" t="n">
        <v>28180288.4615385</v>
      </c>
      <c r="G899" s="28" t="n">
        <v>2192307692.30769</v>
      </c>
      <c r="H899" s="25" t="n">
        <f aca="false">J898</f>
        <v>2192307692.30769</v>
      </c>
      <c r="I899" s="25" t="n">
        <f aca="false">H899*N899</f>
        <v>28180288.4615385</v>
      </c>
      <c r="J899" s="25" t="n">
        <f aca="false">H899-E899</f>
        <v>2192307692.30769</v>
      </c>
      <c r="K899" s="25" t="n">
        <f aca="false">D899-I899</f>
        <v>0</v>
      </c>
      <c r="L899" s="25" t="n">
        <f aca="false">G899-J899</f>
        <v>0</v>
      </c>
      <c r="M899" s="25" t="n">
        <f aca="false">F899</f>
        <v>28180288.4615385</v>
      </c>
      <c r="N899" s="48" t="n">
        <v>0.0128541666666667</v>
      </c>
      <c r="O899" s="25" t="n">
        <f aca="false">IF(AND(B899&gt;=DATE(2026,1,1),B899&lt;=Resumen!$C$5),1,0)</f>
        <v>0</v>
      </c>
      <c r="P899" s="25" t="n">
        <f aca="false">IF(AND(B899&gt;Resumen!$C$5,B899&lt;=DATE(2027,7,31)),1,0)</f>
        <v>0</v>
      </c>
    </row>
    <row r="900" customFormat="false" ht="15" hidden="false" customHeight="false" outlineLevel="0" collapsed="false">
      <c r="A900" s="22" t="n">
        <v>132</v>
      </c>
      <c r="B900" s="23" t="n">
        <v>48423</v>
      </c>
      <c r="C900" s="28" t="n">
        <v>2192307692.30769</v>
      </c>
      <c r="D900" s="28" t="n">
        <v>28180288.4615385</v>
      </c>
      <c r="E900" s="28" t="n">
        <v>115384615.384615</v>
      </c>
      <c r="F900" s="28" t="n">
        <v>143564903.846154</v>
      </c>
      <c r="G900" s="28" t="n">
        <v>2076923076.92308</v>
      </c>
      <c r="H900" s="25" t="n">
        <f aca="false">J899</f>
        <v>2192307692.30769</v>
      </c>
      <c r="I900" s="25" t="n">
        <f aca="false">H900*N900</f>
        <v>28180288.4615385</v>
      </c>
      <c r="J900" s="25" t="n">
        <f aca="false">H900-E900</f>
        <v>2076923076.92308</v>
      </c>
      <c r="K900" s="25" t="n">
        <f aca="false">D900-I900</f>
        <v>0</v>
      </c>
      <c r="L900" s="25" t="n">
        <f aca="false">G900-J900</f>
        <v>0</v>
      </c>
      <c r="M900" s="25" t="n">
        <f aca="false">F900</f>
        <v>143564903.846154</v>
      </c>
      <c r="N900" s="48" t="n">
        <v>0.0128541666666667</v>
      </c>
      <c r="O900" s="25" t="n">
        <f aca="false">IF(AND(B900&gt;=DATE(2026,1,1),B900&lt;=Resumen!$C$5),1,0)</f>
        <v>0</v>
      </c>
      <c r="P900" s="25" t="n">
        <f aca="false">IF(AND(B900&gt;Resumen!$C$5,B900&lt;=DATE(2027,7,31)),1,0)</f>
        <v>0</v>
      </c>
    </row>
    <row r="901" customFormat="false" ht="15" hidden="false" customHeight="false" outlineLevel="0" collapsed="false">
      <c r="A901" s="22" t="n">
        <v>133</v>
      </c>
      <c r="B901" s="23" t="n">
        <v>48454</v>
      </c>
      <c r="C901" s="28" t="n">
        <v>2076923076.92308</v>
      </c>
      <c r="D901" s="28" t="n">
        <v>26697115.3846154</v>
      </c>
      <c r="E901" s="28" t="n">
        <v>0</v>
      </c>
      <c r="F901" s="28" t="n">
        <v>26697115.3846154</v>
      </c>
      <c r="G901" s="28" t="n">
        <v>2076923076.92308</v>
      </c>
      <c r="H901" s="25" t="n">
        <f aca="false">J900</f>
        <v>2076923076.92308</v>
      </c>
      <c r="I901" s="25" t="n">
        <f aca="false">H901*N901</f>
        <v>26697115.3846154</v>
      </c>
      <c r="J901" s="25" t="n">
        <f aca="false">H901-E901</f>
        <v>2076923076.92308</v>
      </c>
      <c r="K901" s="25" t="n">
        <f aca="false">D901-I901</f>
        <v>0</v>
      </c>
      <c r="L901" s="25" t="n">
        <f aca="false">G901-J901</f>
        <v>0</v>
      </c>
      <c r="M901" s="25" t="n">
        <f aca="false">F901</f>
        <v>26697115.3846154</v>
      </c>
      <c r="N901" s="48" t="n">
        <v>0.0128541666666667</v>
      </c>
      <c r="O901" s="25" t="n">
        <f aca="false">IF(AND(B901&gt;=DATE(2026,1,1),B901&lt;=Resumen!$C$5),1,0)</f>
        <v>0</v>
      </c>
      <c r="P901" s="25" t="n">
        <f aca="false">IF(AND(B901&gt;Resumen!$C$5,B901&lt;=DATE(2027,7,31)),1,0)</f>
        <v>0</v>
      </c>
    </row>
    <row r="902" customFormat="false" ht="15" hidden="false" customHeight="false" outlineLevel="0" collapsed="false">
      <c r="A902" s="22" t="n">
        <v>134</v>
      </c>
      <c r="B902" s="23" t="n">
        <v>48485</v>
      </c>
      <c r="C902" s="28" t="n">
        <v>2076923076.92308</v>
      </c>
      <c r="D902" s="28" t="n">
        <v>26697115.3846154</v>
      </c>
      <c r="E902" s="28" t="n">
        <v>0</v>
      </c>
      <c r="F902" s="28" t="n">
        <v>26697115.3846154</v>
      </c>
      <c r="G902" s="28" t="n">
        <v>2076923076.92308</v>
      </c>
      <c r="H902" s="25" t="n">
        <f aca="false">J901</f>
        <v>2076923076.92308</v>
      </c>
      <c r="I902" s="25" t="n">
        <f aca="false">H902*N902</f>
        <v>26697115.3846154</v>
      </c>
      <c r="J902" s="25" t="n">
        <f aca="false">H902-E902</f>
        <v>2076923076.92308</v>
      </c>
      <c r="K902" s="25" t="n">
        <f aca="false">D902-I902</f>
        <v>0</v>
      </c>
      <c r="L902" s="25" t="n">
        <f aca="false">G902-J902</f>
        <v>0</v>
      </c>
      <c r="M902" s="25" t="n">
        <f aca="false">F902</f>
        <v>26697115.3846154</v>
      </c>
      <c r="N902" s="48" t="n">
        <v>0.0128541666666667</v>
      </c>
      <c r="O902" s="25" t="n">
        <f aca="false">IF(AND(B902&gt;=DATE(2026,1,1),B902&lt;=Resumen!$C$5),1,0)</f>
        <v>0</v>
      </c>
      <c r="P902" s="25" t="n">
        <f aca="false">IF(AND(B902&gt;Resumen!$C$5,B902&lt;=DATE(2027,7,31)),1,0)</f>
        <v>0</v>
      </c>
    </row>
    <row r="903" customFormat="false" ht="15" hidden="false" customHeight="false" outlineLevel="0" collapsed="false">
      <c r="A903" s="22" t="n">
        <v>135</v>
      </c>
      <c r="B903" s="23" t="n">
        <v>48515</v>
      </c>
      <c r="C903" s="28" t="n">
        <v>2076923076.92308</v>
      </c>
      <c r="D903" s="28" t="n">
        <v>26697115.3846154</v>
      </c>
      <c r="E903" s="28" t="n">
        <v>0</v>
      </c>
      <c r="F903" s="28" t="n">
        <v>26697115.3846154</v>
      </c>
      <c r="G903" s="28" t="n">
        <v>2076923076.92308</v>
      </c>
      <c r="H903" s="25" t="n">
        <f aca="false">J902</f>
        <v>2076923076.92308</v>
      </c>
      <c r="I903" s="25" t="n">
        <f aca="false">H903*N903</f>
        <v>26697115.3846154</v>
      </c>
      <c r="J903" s="25" t="n">
        <f aca="false">H903-E903</f>
        <v>2076923076.92308</v>
      </c>
      <c r="K903" s="25" t="n">
        <f aca="false">D903-I903</f>
        <v>0</v>
      </c>
      <c r="L903" s="25" t="n">
        <f aca="false">G903-J903</f>
        <v>0</v>
      </c>
      <c r="M903" s="25" t="n">
        <f aca="false">F903</f>
        <v>26697115.3846154</v>
      </c>
      <c r="N903" s="48" t="n">
        <v>0.0128541666666667</v>
      </c>
      <c r="O903" s="25" t="n">
        <f aca="false">IF(AND(B903&gt;=DATE(2026,1,1),B903&lt;=Resumen!$C$5),1,0)</f>
        <v>0</v>
      </c>
      <c r="P903" s="25" t="n">
        <f aca="false">IF(AND(B903&gt;Resumen!$C$5,B903&lt;=DATE(2027,7,31)),1,0)</f>
        <v>0</v>
      </c>
    </row>
    <row r="904" customFormat="false" ht="15" hidden="false" customHeight="false" outlineLevel="0" collapsed="false">
      <c r="A904" s="22" t="n">
        <v>136</v>
      </c>
      <c r="B904" s="23" t="n">
        <v>48546</v>
      </c>
      <c r="C904" s="28" t="n">
        <v>2076923076.92308</v>
      </c>
      <c r="D904" s="28" t="n">
        <v>26697115.3846154</v>
      </c>
      <c r="E904" s="28" t="n">
        <v>0</v>
      </c>
      <c r="F904" s="28" t="n">
        <v>26697115.3846154</v>
      </c>
      <c r="G904" s="28" t="n">
        <v>2076923076.92308</v>
      </c>
      <c r="H904" s="25" t="n">
        <f aca="false">J903</f>
        <v>2076923076.92308</v>
      </c>
      <c r="I904" s="25" t="n">
        <f aca="false">H904*N904</f>
        <v>26697115.3846154</v>
      </c>
      <c r="J904" s="25" t="n">
        <f aca="false">H904-E904</f>
        <v>2076923076.92308</v>
      </c>
      <c r="K904" s="25" t="n">
        <f aca="false">D904-I904</f>
        <v>0</v>
      </c>
      <c r="L904" s="25" t="n">
        <f aca="false">G904-J904</f>
        <v>0</v>
      </c>
      <c r="M904" s="25" t="n">
        <f aca="false">F904</f>
        <v>26697115.3846154</v>
      </c>
      <c r="N904" s="48" t="n">
        <v>0.0128541666666667</v>
      </c>
      <c r="O904" s="25" t="n">
        <f aca="false">IF(AND(B904&gt;=DATE(2026,1,1),B904&lt;=Resumen!$C$5),1,0)</f>
        <v>0</v>
      </c>
      <c r="P904" s="25" t="n">
        <f aca="false">IF(AND(B904&gt;Resumen!$C$5,B904&lt;=DATE(2027,7,31)),1,0)</f>
        <v>0</v>
      </c>
    </row>
    <row r="905" customFormat="false" ht="15" hidden="false" customHeight="false" outlineLevel="0" collapsed="false">
      <c r="A905" s="22" t="n">
        <v>137</v>
      </c>
      <c r="B905" s="23" t="n">
        <v>48576</v>
      </c>
      <c r="C905" s="28" t="n">
        <v>2076923076.92308</v>
      </c>
      <c r="D905" s="28" t="n">
        <v>26697115.3846154</v>
      </c>
      <c r="E905" s="28" t="n">
        <v>0</v>
      </c>
      <c r="F905" s="28" t="n">
        <v>26697115.3846154</v>
      </c>
      <c r="G905" s="28" t="n">
        <v>2076923076.92308</v>
      </c>
      <c r="H905" s="25" t="n">
        <f aca="false">J904</f>
        <v>2076923076.92308</v>
      </c>
      <c r="I905" s="25" t="n">
        <f aca="false">H905*N905</f>
        <v>26697115.3846154</v>
      </c>
      <c r="J905" s="25" t="n">
        <f aca="false">H905-E905</f>
        <v>2076923076.92308</v>
      </c>
      <c r="K905" s="25" t="n">
        <f aca="false">D905-I905</f>
        <v>0</v>
      </c>
      <c r="L905" s="25" t="n">
        <f aca="false">G905-J905</f>
        <v>0</v>
      </c>
      <c r="M905" s="25" t="n">
        <f aca="false">F905</f>
        <v>26697115.3846154</v>
      </c>
      <c r="N905" s="48" t="n">
        <v>0.0128541666666667</v>
      </c>
      <c r="O905" s="25" t="n">
        <f aca="false">IF(AND(B905&gt;=DATE(2026,1,1),B905&lt;=Resumen!$C$5),1,0)</f>
        <v>0</v>
      </c>
      <c r="P905" s="25" t="n">
        <f aca="false">IF(AND(B905&gt;Resumen!$C$5,B905&lt;=DATE(2027,7,31)),1,0)</f>
        <v>0</v>
      </c>
    </row>
    <row r="906" customFormat="false" ht="15" hidden="false" customHeight="false" outlineLevel="0" collapsed="false">
      <c r="A906" s="22" t="n">
        <v>138</v>
      </c>
      <c r="B906" s="23" t="n">
        <v>48607</v>
      </c>
      <c r="C906" s="28" t="n">
        <v>2076923076.92308</v>
      </c>
      <c r="D906" s="28" t="n">
        <v>26697115.3846154</v>
      </c>
      <c r="E906" s="28" t="n">
        <v>115384615.384615</v>
      </c>
      <c r="F906" s="28" t="n">
        <v>142081730.769231</v>
      </c>
      <c r="G906" s="28" t="n">
        <v>1961538461.53846</v>
      </c>
      <c r="H906" s="25" t="n">
        <f aca="false">J905</f>
        <v>2076923076.92308</v>
      </c>
      <c r="I906" s="25" t="n">
        <f aca="false">H906*N906</f>
        <v>26697115.3846154</v>
      </c>
      <c r="J906" s="25" t="n">
        <f aca="false">H906-E906</f>
        <v>1961538461.53846</v>
      </c>
      <c r="K906" s="25" t="n">
        <f aca="false">D906-I906</f>
        <v>0</v>
      </c>
      <c r="L906" s="25" t="n">
        <f aca="false">G906-J906</f>
        <v>0</v>
      </c>
      <c r="M906" s="25" t="n">
        <f aca="false">F906</f>
        <v>142081730.769231</v>
      </c>
      <c r="N906" s="48" t="n">
        <v>0.0128541666666667</v>
      </c>
      <c r="O906" s="25" t="n">
        <f aca="false">IF(AND(B906&gt;=DATE(2026,1,1),B906&lt;=Resumen!$C$5),1,0)</f>
        <v>0</v>
      </c>
      <c r="P906" s="25" t="n">
        <f aca="false">IF(AND(B906&gt;Resumen!$C$5,B906&lt;=DATE(2027,7,31)),1,0)</f>
        <v>0</v>
      </c>
    </row>
    <row r="907" customFormat="false" ht="15" hidden="false" customHeight="false" outlineLevel="0" collapsed="false">
      <c r="A907" s="22" t="n">
        <v>139</v>
      </c>
      <c r="B907" s="23" t="n">
        <v>48638</v>
      </c>
      <c r="C907" s="28" t="n">
        <v>1961538461.53846</v>
      </c>
      <c r="D907" s="28" t="n">
        <v>25213942.3076923</v>
      </c>
      <c r="E907" s="28" t="n">
        <v>0</v>
      </c>
      <c r="F907" s="28" t="n">
        <v>25213942.3076923</v>
      </c>
      <c r="G907" s="28" t="n">
        <v>1961538461.53846</v>
      </c>
      <c r="H907" s="25" t="n">
        <f aca="false">J906</f>
        <v>1961538461.53846</v>
      </c>
      <c r="I907" s="25" t="n">
        <f aca="false">H907*N907</f>
        <v>25213942.3076923</v>
      </c>
      <c r="J907" s="25" t="n">
        <f aca="false">H907-E907</f>
        <v>1961538461.53846</v>
      </c>
      <c r="K907" s="25" t="n">
        <f aca="false">D907-I907</f>
        <v>0</v>
      </c>
      <c r="L907" s="25" t="n">
        <f aca="false">G907-J907</f>
        <v>0</v>
      </c>
      <c r="M907" s="25" t="n">
        <f aca="false">F907</f>
        <v>25213942.3076923</v>
      </c>
      <c r="N907" s="48" t="n">
        <v>0.0128541666666667</v>
      </c>
      <c r="O907" s="25" t="n">
        <f aca="false">IF(AND(B907&gt;=DATE(2026,1,1),B907&lt;=Resumen!$C$5),1,0)</f>
        <v>0</v>
      </c>
      <c r="P907" s="25" t="n">
        <f aca="false">IF(AND(B907&gt;Resumen!$C$5,B907&lt;=DATE(2027,7,31)),1,0)</f>
        <v>0</v>
      </c>
    </row>
    <row r="908" customFormat="false" ht="15" hidden="false" customHeight="false" outlineLevel="0" collapsed="false">
      <c r="A908" s="22" t="n">
        <v>140</v>
      </c>
      <c r="B908" s="23" t="n">
        <v>48666</v>
      </c>
      <c r="C908" s="28" t="n">
        <v>1961538461.53846</v>
      </c>
      <c r="D908" s="28" t="n">
        <v>25213942.3076923</v>
      </c>
      <c r="E908" s="28" t="n">
        <v>0</v>
      </c>
      <c r="F908" s="28" t="n">
        <v>25213942.3076923</v>
      </c>
      <c r="G908" s="28" t="n">
        <v>1961538461.53846</v>
      </c>
      <c r="H908" s="25" t="n">
        <f aca="false">J907</f>
        <v>1961538461.53846</v>
      </c>
      <c r="I908" s="25" t="n">
        <f aca="false">H908*N908</f>
        <v>25213942.3076923</v>
      </c>
      <c r="J908" s="25" t="n">
        <f aca="false">H908-E908</f>
        <v>1961538461.53846</v>
      </c>
      <c r="K908" s="25" t="n">
        <f aca="false">D908-I908</f>
        <v>0</v>
      </c>
      <c r="L908" s="25" t="n">
        <f aca="false">G908-J908</f>
        <v>0</v>
      </c>
      <c r="M908" s="25" t="n">
        <f aca="false">F908</f>
        <v>25213942.3076923</v>
      </c>
      <c r="N908" s="48" t="n">
        <v>0.0128541666666667</v>
      </c>
      <c r="O908" s="25" t="n">
        <f aca="false">IF(AND(B908&gt;=DATE(2026,1,1),B908&lt;=Resumen!$C$5),1,0)</f>
        <v>0</v>
      </c>
      <c r="P908" s="25" t="n">
        <f aca="false">IF(AND(B908&gt;Resumen!$C$5,B908&lt;=DATE(2027,7,31)),1,0)</f>
        <v>0</v>
      </c>
    </row>
    <row r="909" customFormat="false" ht="15" hidden="false" customHeight="false" outlineLevel="0" collapsed="false">
      <c r="A909" s="22" t="n">
        <v>141</v>
      </c>
      <c r="B909" s="23" t="n">
        <v>48697</v>
      </c>
      <c r="C909" s="28" t="n">
        <v>1961538461.53846</v>
      </c>
      <c r="D909" s="28" t="n">
        <v>25213942.3076923</v>
      </c>
      <c r="E909" s="28" t="n">
        <v>0</v>
      </c>
      <c r="F909" s="28" t="n">
        <v>25213942.3076923</v>
      </c>
      <c r="G909" s="28" t="n">
        <v>1961538461.53846</v>
      </c>
      <c r="H909" s="25" t="n">
        <f aca="false">J908</f>
        <v>1961538461.53846</v>
      </c>
      <c r="I909" s="25" t="n">
        <f aca="false">H909*N909</f>
        <v>25213942.3076923</v>
      </c>
      <c r="J909" s="25" t="n">
        <f aca="false">H909-E909</f>
        <v>1961538461.53846</v>
      </c>
      <c r="K909" s="25" t="n">
        <f aca="false">D909-I909</f>
        <v>0</v>
      </c>
      <c r="L909" s="25" t="n">
        <f aca="false">G909-J909</f>
        <v>0</v>
      </c>
      <c r="M909" s="25" t="n">
        <f aca="false">F909</f>
        <v>25213942.3076923</v>
      </c>
      <c r="N909" s="48" t="n">
        <v>0.0128541666666667</v>
      </c>
      <c r="O909" s="25" t="n">
        <f aca="false">IF(AND(B909&gt;=DATE(2026,1,1),B909&lt;=Resumen!$C$5),1,0)</f>
        <v>0</v>
      </c>
      <c r="P909" s="25" t="n">
        <f aca="false">IF(AND(B909&gt;Resumen!$C$5,B909&lt;=DATE(2027,7,31)),1,0)</f>
        <v>0</v>
      </c>
    </row>
    <row r="910" customFormat="false" ht="15" hidden="false" customHeight="false" outlineLevel="0" collapsed="false">
      <c r="A910" s="22" t="n">
        <v>142</v>
      </c>
      <c r="B910" s="23" t="n">
        <v>48727</v>
      </c>
      <c r="C910" s="28" t="n">
        <v>1961538461.53846</v>
      </c>
      <c r="D910" s="28" t="n">
        <v>25213942.3076923</v>
      </c>
      <c r="E910" s="28" t="n">
        <v>0</v>
      </c>
      <c r="F910" s="28" t="n">
        <v>25213942.3076923</v>
      </c>
      <c r="G910" s="28" t="n">
        <v>1961538461.53846</v>
      </c>
      <c r="H910" s="25" t="n">
        <f aca="false">J909</f>
        <v>1961538461.53846</v>
      </c>
      <c r="I910" s="25" t="n">
        <f aca="false">H910*N910</f>
        <v>25213942.3076923</v>
      </c>
      <c r="J910" s="25" t="n">
        <f aca="false">H910-E910</f>
        <v>1961538461.53846</v>
      </c>
      <c r="K910" s="25" t="n">
        <f aca="false">D910-I910</f>
        <v>0</v>
      </c>
      <c r="L910" s="25" t="n">
        <f aca="false">G910-J910</f>
        <v>0</v>
      </c>
      <c r="M910" s="25" t="n">
        <f aca="false">F910</f>
        <v>25213942.3076923</v>
      </c>
      <c r="N910" s="48" t="n">
        <v>0.0128541666666667</v>
      </c>
      <c r="O910" s="25" t="n">
        <f aca="false">IF(AND(B910&gt;=DATE(2026,1,1),B910&lt;=Resumen!$C$5),1,0)</f>
        <v>0</v>
      </c>
      <c r="P910" s="25" t="n">
        <f aca="false">IF(AND(B910&gt;Resumen!$C$5,B910&lt;=DATE(2027,7,31)),1,0)</f>
        <v>0</v>
      </c>
    </row>
    <row r="911" customFormat="false" ht="15" hidden="false" customHeight="false" outlineLevel="0" collapsed="false">
      <c r="A911" s="22" t="n">
        <v>143</v>
      </c>
      <c r="B911" s="23" t="n">
        <v>48758</v>
      </c>
      <c r="C911" s="28" t="n">
        <v>1961538461.53846</v>
      </c>
      <c r="D911" s="28" t="n">
        <v>25213942.3076923</v>
      </c>
      <c r="E911" s="28" t="n">
        <v>0</v>
      </c>
      <c r="F911" s="28" t="n">
        <v>25213942.3076923</v>
      </c>
      <c r="G911" s="28" t="n">
        <v>1961538461.53846</v>
      </c>
      <c r="H911" s="25" t="n">
        <f aca="false">J910</f>
        <v>1961538461.53846</v>
      </c>
      <c r="I911" s="25" t="n">
        <f aca="false">H911*N911</f>
        <v>25213942.3076923</v>
      </c>
      <c r="J911" s="25" t="n">
        <f aca="false">H911-E911</f>
        <v>1961538461.53846</v>
      </c>
      <c r="K911" s="25" t="n">
        <f aca="false">D911-I911</f>
        <v>0</v>
      </c>
      <c r="L911" s="25" t="n">
        <f aca="false">G911-J911</f>
        <v>0</v>
      </c>
      <c r="M911" s="25" t="n">
        <f aca="false">F911</f>
        <v>25213942.3076923</v>
      </c>
      <c r="N911" s="48" t="n">
        <v>0.0128541666666667</v>
      </c>
      <c r="O911" s="25" t="n">
        <f aca="false">IF(AND(B911&gt;=DATE(2026,1,1),B911&lt;=Resumen!$C$5),1,0)</f>
        <v>0</v>
      </c>
      <c r="P911" s="25" t="n">
        <f aca="false">IF(AND(B911&gt;Resumen!$C$5,B911&lt;=DATE(2027,7,31)),1,0)</f>
        <v>0</v>
      </c>
    </row>
    <row r="912" customFormat="false" ht="15" hidden="false" customHeight="false" outlineLevel="0" collapsed="false">
      <c r="A912" s="22" t="n">
        <v>144</v>
      </c>
      <c r="B912" s="23" t="n">
        <v>48788</v>
      </c>
      <c r="C912" s="28" t="n">
        <v>1961538461.53846</v>
      </c>
      <c r="D912" s="28" t="n">
        <v>25213942.3076923</v>
      </c>
      <c r="E912" s="28" t="n">
        <v>115384615.384615</v>
      </c>
      <c r="F912" s="28" t="n">
        <v>140598557.692308</v>
      </c>
      <c r="G912" s="28" t="n">
        <v>1846153846.15385</v>
      </c>
      <c r="H912" s="25" t="n">
        <f aca="false">J911</f>
        <v>1961538461.53846</v>
      </c>
      <c r="I912" s="25" t="n">
        <f aca="false">H912*N912</f>
        <v>25213942.3076923</v>
      </c>
      <c r="J912" s="25" t="n">
        <f aca="false">H912-E912</f>
        <v>1846153846.15385</v>
      </c>
      <c r="K912" s="25" t="n">
        <f aca="false">D912-I912</f>
        <v>0</v>
      </c>
      <c r="L912" s="25" t="n">
        <f aca="false">G912-J912</f>
        <v>0</v>
      </c>
      <c r="M912" s="25" t="n">
        <f aca="false">F912</f>
        <v>140598557.692308</v>
      </c>
      <c r="N912" s="48" t="n">
        <v>0.0128541666666667</v>
      </c>
      <c r="O912" s="25" t="n">
        <f aca="false">IF(AND(B912&gt;=DATE(2026,1,1),B912&lt;=Resumen!$C$5),1,0)</f>
        <v>0</v>
      </c>
      <c r="P912" s="25" t="n">
        <f aca="false">IF(AND(B912&gt;Resumen!$C$5,B912&lt;=DATE(2027,7,31)),1,0)</f>
        <v>0</v>
      </c>
    </row>
    <row r="913" customFormat="false" ht="15" hidden="false" customHeight="false" outlineLevel="0" collapsed="false">
      <c r="A913" s="22" t="n">
        <v>145</v>
      </c>
      <c r="B913" s="23" t="n">
        <v>48819</v>
      </c>
      <c r="C913" s="28" t="n">
        <v>1846153846.15385</v>
      </c>
      <c r="D913" s="28" t="n">
        <v>23730769.2307692</v>
      </c>
      <c r="E913" s="28" t="n">
        <v>0</v>
      </c>
      <c r="F913" s="28" t="n">
        <v>23730769.2307692</v>
      </c>
      <c r="G913" s="28" t="n">
        <v>1846153846.15385</v>
      </c>
      <c r="H913" s="25" t="n">
        <f aca="false">J912</f>
        <v>1846153846.15385</v>
      </c>
      <c r="I913" s="25" t="n">
        <f aca="false">H913*N913</f>
        <v>23730769.2307692</v>
      </c>
      <c r="J913" s="25" t="n">
        <f aca="false">H913-E913</f>
        <v>1846153846.15385</v>
      </c>
      <c r="K913" s="25" t="n">
        <f aca="false">D913-I913</f>
        <v>0</v>
      </c>
      <c r="L913" s="25" t="n">
        <f aca="false">G913-J913</f>
        <v>0</v>
      </c>
      <c r="M913" s="25" t="n">
        <f aca="false">F913</f>
        <v>23730769.2307692</v>
      </c>
      <c r="N913" s="48" t="n">
        <v>0.0128541666666667</v>
      </c>
      <c r="O913" s="25" t="n">
        <f aca="false">IF(AND(B913&gt;=DATE(2026,1,1),B913&lt;=Resumen!$C$5),1,0)</f>
        <v>0</v>
      </c>
      <c r="P913" s="25" t="n">
        <f aca="false">IF(AND(B913&gt;Resumen!$C$5,B913&lt;=DATE(2027,7,31)),1,0)</f>
        <v>0</v>
      </c>
    </row>
    <row r="914" customFormat="false" ht="15" hidden="false" customHeight="false" outlineLevel="0" collapsed="false">
      <c r="A914" s="22" t="n">
        <v>146</v>
      </c>
      <c r="B914" s="23" t="n">
        <v>48850</v>
      </c>
      <c r="C914" s="28" t="n">
        <v>1846153846.15385</v>
      </c>
      <c r="D914" s="28" t="n">
        <v>23730769.2307692</v>
      </c>
      <c r="E914" s="28" t="n">
        <v>0</v>
      </c>
      <c r="F914" s="28" t="n">
        <v>23730769.2307692</v>
      </c>
      <c r="G914" s="28" t="n">
        <v>1846153846.15385</v>
      </c>
      <c r="H914" s="25" t="n">
        <f aca="false">J913</f>
        <v>1846153846.15385</v>
      </c>
      <c r="I914" s="25" t="n">
        <f aca="false">H914*N914</f>
        <v>23730769.2307692</v>
      </c>
      <c r="J914" s="25" t="n">
        <f aca="false">H914-E914</f>
        <v>1846153846.15385</v>
      </c>
      <c r="K914" s="25" t="n">
        <f aca="false">D914-I914</f>
        <v>0</v>
      </c>
      <c r="L914" s="25" t="n">
        <f aca="false">G914-J914</f>
        <v>0</v>
      </c>
      <c r="M914" s="25" t="n">
        <f aca="false">F914</f>
        <v>23730769.2307692</v>
      </c>
      <c r="N914" s="48" t="n">
        <v>0.0128541666666667</v>
      </c>
      <c r="O914" s="25" t="n">
        <f aca="false">IF(AND(B914&gt;=DATE(2026,1,1),B914&lt;=Resumen!$C$5),1,0)</f>
        <v>0</v>
      </c>
      <c r="P914" s="25" t="n">
        <f aca="false">IF(AND(B914&gt;Resumen!$C$5,B914&lt;=DATE(2027,7,31)),1,0)</f>
        <v>0</v>
      </c>
    </row>
    <row r="915" customFormat="false" ht="15" hidden="false" customHeight="false" outlineLevel="0" collapsed="false">
      <c r="A915" s="22" t="n">
        <v>147</v>
      </c>
      <c r="B915" s="23" t="n">
        <v>48880</v>
      </c>
      <c r="C915" s="28" t="n">
        <v>1846153846.15385</v>
      </c>
      <c r="D915" s="28" t="n">
        <v>23730769.2307692</v>
      </c>
      <c r="E915" s="28" t="n">
        <v>0</v>
      </c>
      <c r="F915" s="28" t="n">
        <v>23730769.2307692</v>
      </c>
      <c r="G915" s="28" t="n">
        <v>1846153846.15385</v>
      </c>
      <c r="H915" s="25" t="n">
        <f aca="false">J914</f>
        <v>1846153846.15385</v>
      </c>
      <c r="I915" s="25" t="n">
        <f aca="false">H915*N915</f>
        <v>23730769.2307692</v>
      </c>
      <c r="J915" s="25" t="n">
        <f aca="false">H915-E915</f>
        <v>1846153846.15385</v>
      </c>
      <c r="K915" s="25" t="n">
        <f aca="false">D915-I915</f>
        <v>0</v>
      </c>
      <c r="L915" s="25" t="n">
        <f aca="false">G915-J915</f>
        <v>0</v>
      </c>
      <c r="M915" s="25" t="n">
        <f aca="false">F915</f>
        <v>23730769.2307692</v>
      </c>
      <c r="N915" s="48" t="n">
        <v>0.0128541666666667</v>
      </c>
      <c r="O915" s="25" t="n">
        <f aca="false">IF(AND(B915&gt;=DATE(2026,1,1),B915&lt;=Resumen!$C$5),1,0)</f>
        <v>0</v>
      </c>
      <c r="P915" s="25" t="n">
        <f aca="false">IF(AND(B915&gt;Resumen!$C$5,B915&lt;=DATE(2027,7,31)),1,0)</f>
        <v>0</v>
      </c>
    </row>
    <row r="916" customFormat="false" ht="15" hidden="false" customHeight="false" outlineLevel="0" collapsed="false">
      <c r="A916" s="22" t="n">
        <v>148</v>
      </c>
      <c r="B916" s="23" t="n">
        <v>48911</v>
      </c>
      <c r="C916" s="28" t="n">
        <v>1846153846.15385</v>
      </c>
      <c r="D916" s="28" t="n">
        <v>23730769.2307692</v>
      </c>
      <c r="E916" s="28" t="n">
        <v>0</v>
      </c>
      <c r="F916" s="28" t="n">
        <v>23730769.2307692</v>
      </c>
      <c r="G916" s="28" t="n">
        <v>1846153846.15385</v>
      </c>
      <c r="H916" s="25" t="n">
        <f aca="false">J915</f>
        <v>1846153846.15385</v>
      </c>
      <c r="I916" s="25" t="n">
        <f aca="false">H916*N916</f>
        <v>23730769.2307692</v>
      </c>
      <c r="J916" s="25" t="n">
        <f aca="false">H916-E916</f>
        <v>1846153846.15385</v>
      </c>
      <c r="K916" s="25" t="n">
        <f aca="false">D916-I916</f>
        <v>0</v>
      </c>
      <c r="L916" s="25" t="n">
        <f aca="false">G916-J916</f>
        <v>0</v>
      </c>
      <c r="M916" s="25" t="n">
        <f aca="false">F916</f>
        <v>23730769.2307692</v>
      </c>
      <c r="N916" s="48" t="n">
        <v>0.0128541666666667</v>
      </c>
      <c r="O916" s="25" t="n">
        <f aca="false">IF(AND(B916&gt;=DATE(2026,1,1),B916&lt;=Resumen!$C$5),1,0)</f>
        <v>0</v>
      </c>
      <c r="P916" s="25" t="n">
        <f aca="false">IF(AND(B916&gt;Resumen!$C$5,B916&lt;=DATE(2027,7,31)),1,0)</f>
        <v>0</v>
      </c>
    </row>
    <row r="917" customFormat="false" ht="15" hidden="false" customHeight="false" outlineLevel="0" collapsed="false">
      <c r="A917" s="22" t="n">
        <v>149</v>
      </c>
      <c r="B917" s="23" t="n">
        <v>48941</v>
      </c>
      <c r="C917" s="28" t="n">
        <v>1846153846.15385</v>
      </c>
      <c r="D917" s="28" t="n">
        <v>23730769.2307692</v>
      </c>
      <c r="E917" s="28" t="n">
        <v>0</v>
      </c>
      <c r="F917" s="28" t="n">
        <v>23730769.2307692</v>
      </c>
      <c r="G917" s="28" t="n">
        <v>1846153846.15385</v>
      </c>
      <c r="H917" s="25" t="n">
        <f aca="false">J916</f>
        <v>1846153846.15385</v>
      </c>
      <c r="I917" s="25" t="n">
        <f aca="false">H917*N917</f>
        <v>23730769.2307692</v>
      </c>
      <c r="J917" s="25" t="n">
        <f aca="false">H917-E917</f>
        <v>1846153846.15385</v>
      </c>
      <c r="K917" s="25" t="n">
        <f aca="false">D917-I917</f>
        <v>0</v>
      </c>
      <c r="L917" s="25" t="n">
        <f aca="false">G917-J917</f>
        <v>0</v>
      </c>
      <c r="M917" s="25" t="n">
        <f aca="false">F917</f>
        <v>23730769.2307692</v>
      </c>
      <c r="N917" s="48" t="n">
        <v>0.0128541666666667</v>
      </c>
      <c r="O917" s="25" t="n">
        <f aca="false">IF(AND(B917&gt;=DATE(2026,1,1),B917&lt;=Resumen!$C$5),1,0)</f>
        <v>0</v>
      </c>
      <c r="P917" s="25" t="n">
        <f aca="false">IF(AND(B917&gt;Resumen!$C$5,B917&lt;=DATE(2027,7,31)),1,0)</f>
        <v>0</v>
      </c>
    </row>
    <row r="918" customFormat="false" ht="15" hidden="false" customHeight="false" outlineLevel="0" collapsed="false">
      <c r="A918" s="22" t="n">
        <v>150</v>
      </c>
      <c r="B918" s="23" t="n">
        <v>48972</v>
      </c>
      <c r="C918" s="28" t="n">
        <v>1846153846.15385</v>
      </c>
      <c r="D918" s="28" t="n">
        <v>23730769.2307692</v>
      </c>
      <c r="E918" s="28" t="n">
        <v>115384615.384615</v>
      </c>
      <c r="F918" s="28" t="n">
        <v>139115384.615385</v>
      </c>
      <c r="G918" s="28" t="n">
        <v>1730769230.76923</v>
      </c>
      <c r="H918" s="25" t="n">
        <f aca="false">J917</f>
        <v>1846153846.15385</v>
      </c>
      <c r="I918" s="25" t="n">
        <f aca="false">H918*N918</f>
        <v>23730769.2307692</v>
      </c>
      <c r="J918" s="25" t="n">
        <f aca="false">H918-E918</f>
        <v>1730769230.76923</v>
      </c>
      <c r="K918" s="25" t="n">
        <f aca="false">D918-I918</f>
        <v>0</v>
      </c>
      <c r="L918" s="25" t="n">
        <f aca="false">G918-J918</f>
        <v>0</v>
      </c>
      <c r="M918" s="25" t="n">
        <f aca="false">F918</f>
        <v>139115384.615385</v>
      </c>
      <c r="N918" s="48" t="n">
        <v>0.0128541666666667</v>
      </c>
      <c r="O918" s="25" t="n">
        <f aca="false">IF(AND(B918&gt;=DATE(2026,1,1),B918&lt;=Resumen!$C$5),1,0)</f>
        <v>0</v>
      </c>
      <c r="P918" s="25" t="n">
        <f aca="false">IF(AND(B918&gt;Resumen!$C$5,B918&lt;=DATE(2027,7,31)),1,0)</f>
        <v>0</v>
      </c>
    </row>
    <row r="919" customFormat="false" ht="15" hidden="false" customHeight="false" outlineLevel="0" collapsed="false">
      <c r="A919" s="22" t="n">
        <v>151</v>
      </c>
      <c r="B919" s="23" t="n">
        <v>49003</v>
      </c>
      <c r="C919" s="28" t="n">
        <v>1730769230.76923</v>
      </c>
      <c r="D919" s="28" t="n">
        <v>22247596.1538462</v>
      </c>
      <c r="E919" s="28" t="n">
        <v>0</v>
      </c>
      <c r="F919" s="28" t="n">
        <v>22247596.1538462</v>
      </c>
      <c r="G919" s="28" t="n">
        <v>1730769230.76923</v>
      </c>
      <c r="H919" s="25" t="n">
        <f aca="false">J918</f>
        <v>1730769230.76923</v>
      </c>
      <c r="I919" s="25" t="n">
        <f aca="false">H919*N919</f>
        <v>22247596.1538462</v>
      </c>
      <c r="J919" s="25" t="n">
        <f aca="false">H919-E919</f>
        <v>1730769230.76923</v>
      </c>
      <c r="K919" s="25" t="n">
        <f aca="false">D919-I919</f>
        <v>0</v>
      </c>
      <c r="L919" s="25" t="n">
        <f aca="false">G919-J919</f>
        <v>0</v>
      </c>
      <c r="M919" s="25" t="n">
        <f aca="false">F919</f>
        <v>22247596.1538462</v>
      </c>
      <c r="N919" s="48" t="n">
        <v>0.0128541666666667</v>
      </c>
      <c r="O919" s="25" t="n">
        <f aca="false">IF(AND(B919&gt;=DATE(2026,1,1),B919&lt;=Resumen!$C$5),1,0)</f>
        <v>0</v>
      </c>
      <c r="P919" s="25" t="n">
        <f aca="false">IF(AND(B919&gt;Resumen!$C$5,B919&lt;=DATE(2027,7,31)),1,0)</f>
        <v>0</v>
      </c>
    </row>
    <row r="920" customFormat="false" ht="15" hidden="false" customHeight="false" outlineLevel="0" collapsed="false">
      <c r="A920" s="22" t="n">
        <v>152</v>
      </c>
      <c r="B920" s="23" t="n">
        <v>49031</v>
      </c>
      <c r="C920" s="28" t="n">
        <v>1730769230.76923</v>
      </c>
      <c r="D920" s="28" t="n">
        <v>22247596.1538462</v>
      </c>
      <c r="E920" s="28" t="n">
        <v>0</v>
      </c>
      <c r="F920" s="28" t="n">
        <v>22247596.1538462</v>
      </c>
      <c r="G920" s="28" t="n">
        <v>1730769230.76923</v>
      </c>
      <c r="H920" s="25" t="n">
        <f aca="false">J919</f>
        <v>1730769230.76923</v>
      </c>
      <c r="I920" s="25" t="n">
        <f aca="false">H920*N920</f>
        <v>22247596.1538462</v>
      </c>
      <c r="J920" s="25" t="n">
        <f aca="false">H920-E920</f>
        <v>1730769230.76923</v>
      </c>
      <c r="K920" s="25" t="n">
        <f aca="false">D920-I920</f>
        <v>0</v>
      </c>
      <c r="L920" s="25" t="n">
        <f aca="false">G920-J920</f>
        <v>0</v>
      </c>
      <c r="M920" s="25" t="n">
        <f aca="false">F920</f>
        <v>22247596.1538462</v>
      </c>
      <c r="N920" s="48" t="n">
        <v>0.0128541666666667</v>
      </c>
      <c r="O920" s="25" t="n">
        <f aca="false">IF(AND(B920&gt;=DATE(2026,1,1),B920&lt;=Resumen!$C$5),1,0)</f>
        <v>0</v>
      </c>
      <c r="P920" s="25" t="n">
        <f aca="false">IF(AND(B920&gt;Resumen!$C$5,B920&lt;=DATE(2027,7,31)),1,0)</f>
        <v>0</v>
      </c>
    </row>
    <row r="921" customFormat="false" ht="15" hidden="false" customHeight="false" outlineLevel="0" collapsed="false">
      <c r="A921" s="22" t="n">
        <v>153</v>
      </c>
      <c r="B921" s="23" t="n">
        <v>49062</v>
      </c>
      <c r="C921" s="28" t="n">
        <v>1730769230.76923</v>
      </c>
      <c r="D921" s="28" t="n">
        <v>22247596.1538462</v>
      </c>
      <c r="E921" s="28" t="n">
        <v>0</v>
      </c>
      <c r="F921" s="28" t="n">
        <v>22247596.1538462</v>
      </c>
      <c r="G921" s="28" t="n">
        <v>1730769230.76923</v>
      </c>
      <c r="H921" s="25" t="n">
        <f aca="false">J920</f>
        <v>1730769230.76923</v>
      </c>
      <c r="I921" s="25" t="n">
        <f aca="false">H921*N921</f>
        <v>22247596.1538462</v>
      </c>
      <c r="J921" s="25" t="n">
        <f aca="false">H921-E921</f>
        <v>1730769230.76923</v>
      </c>
      <c r="K921" s="25" t="n">
        <f aca="false">D921-I921</f>
        <v>0</v>
      </c>
      <c r="L921" s="25" t="n">
        <f aca="false">G921-J921</f>
        <v>0</v>
      </c>
      <c r="M921" s="25" t="n">
        <f aca="false">F921</f>
        <v>22247596.1538462</v>
      </c>
      <c r="N921" s="48" t="n">
        <v>0.0128541666666667</v>
      </c>
      <c r="O921" s="25" t="n">
        <f aca="false">IF(AND(B921&gt;=DATE(2026,1,1),B921&lt;=Resumen!$C$5),1,0)</f>
        <v>0</v>
      </c>
      <c r="P921" s="25" t="n">
        <f aca="false">IF(AND(B921&gt;Resumen!$C$5,B921&lt;=DATE(2027,7,31)),1,0)</f>
        <v>0</v>
      </c>
    </row>
    <row r="922" customFormat="false" ht="15" hidden="false" customHeight="false" outlineLevel="0" collapsed="false">
      <c r="A922" s="22" t="n">
        <v>154</v>
      </c>
      <c r="B922" s="23" t="n">
        <v>49092</v>
      </c>
      <c r="C922" s="28" t="n">
        <v>1730769230.76923</v>
      </c>
      <c r="D922" s="28" t="n">
        <v>22247596.1538462</v>
      </c>
      <c r="E922" s="28" t="n">
        <v>0</v>
      </c>
      <c r="F922" s="28" t="n">
        <v>22247596.1538462</v>
      </c>
      <c r="G922" s="28" t="n">
        <v>1730769230.76923</v>
      </c>
      <c r="H922" s="25" t="n">
        <f aca="false">J921</f>
        <v>1730769230.76923</v>
      </c>
      <c r="I922" s="25" t="n">
        <f aca="false">H922*N922</f>
        <v>22247596.1538462</v>
      </c>
      <c r="J922" s="25" t="n">
        <f aca="false">H922-E922</f>
        <v>1730769230.76923</v>
      </c>
      <c r="K922" s="25" t="n">
        <f aca="false">D922-I922</f>
        <v>0</v>
      </c>
      <c r="L922" s="25" t="n">
        <f aca="false">G922-J922</f>
        <v>0</v>
      </c>
      <c r="M922" s="25" t="n">
        <f aca="false">F922</f>
        <v>22247596.1538462</v>
      </c>
      <c r="N922" s="48" t="n">
        <v>0.0128541666666667</v>
      </c>
      <c r="O922" s="25" t="n">
        <f aca="false">IF(AND(B922&gt;=DATE(2026,1,1),B922&lt;=Resumen!$C$5),1,0)</f>
        <v>0</v>
      </c>
      <c r="P922" s="25" t="n">
        <f aca="false">IF(AND(B922&gt;Resumen!$C$5,B922&lt;=DATE(2027,7,31)),1,0)</f>
        <v>0</v>
      </c>
    </row>
    <row r="923" customFormat="false" ht="15" hidden="false" customHeight="false" outlineLevel="0" collapsed="false">
      <c r="A923" s="22" t="n">
        <v>155</v>
      </c>
      <c r="B923" s="23" t="n">
        <v>49123</v>
      </c>
      <c r="C923" s="28" t="n">
        <v>1730769230.76923</v>
      </c>
      <c r="D923" s="28" t="n">
        <v>22247596.1538462</v>
      </c>
      <c r="E923" s="28" t="n">
        <v>0</v>
      </c>
      <c r="F923" s="28" t="n">
        <v>22247596.1538462</v>
      </c>
      <c r="G923" s="28" t="n">
        <v>1730769230.76923</v>
      </c>
      <c r="H923" s="25" t="n">
        <f aca="false">J922</f>
        <v>1730769230.76923</v>
      </c>
      <c r="I923" s="25" t="n">
        <f aca="false">H923*N923</f>
        <v>22247596.1538462</v>
      </c>
      <c r="J923" s="25" t="n">
        <f aca="false">H923-E923</f>
        <v>1730769230.76923</v>
      </c>
      <c r="K923" s="25" t="n">
        <f aca="false">D923-I923</f>
        <v>0</v>
      </c>
      <c r="L923" s="25" t="n">
        <f aca="false">G923-J923</f>
        <v>0</v>
      </c>
      <c r="M923" s="25" t="n">
        <f aca="false">F923</f>
        <v>22247596.1538462</v>
      </c>
      <c r="N923" s="48" t="n">
        <v>0.0128541666666667</v>
      </c>
      <c r="O923" s="25" t="n">
        <f aca="false">IF(AND(B923&gt;=DATE(2026,1,1),B923&lt;=Resumen!$C$5),1,0)</f>
        <v>0</v>
      </c>
      <c r="P923" s="25" t="n">
        <f aca="false">IF(AND(B923&gt;Resumen!$C$5,B923&lt;=DATE(2027,7,31)),1,0)</f>
        <v>0</v>
      </c>
    </row>
    <row r="924" customFormat="false" ht="15" hidden="false" customHeight="false" outlineLevel="0" collapsed="false">
      <c r="A924" s="22" t="n">
        <v>156</v>
      </c>
      <c r="B924" s="23" t="n">
        <v>49153</v>
      </c>
      <c r="C924" s="28" t="n">
        <v>1730769230.76923</v>
      </c>
      <c r="D924" s="28" t="n">
        <v>22247596.1538462</v>
      </c>
      <c r="E924" s="28" t="n">
        <v>115384615.384615</v>
      </c>
      <c r="F924" s="28" t="n">
        <v>137632211.538462</v>
      </c>
      <c r="G924" s="28" t="n">
        <v>1615384615.38462</v>
      </c>
      <c r="H924" s="25" t="n">
        <f aca="false">J923</f>
        <v>1730769230.76923</v>
      </c>
      <c r="I924" s="25" t="n">
        <f aca="false">H924*N924</f>
        <v>22247596.1538462</v>
      </c>
      <c r="J924" s="25" t="n">
        <f aca="false">H924-E924</f>
        <v>1615384615.38462</v>
      </c>
      <c r="K924" s="25" t="n">
        <f aca="false">D924-I924</f>
        <v>0</v>
      </c>
      <c r="L924" s="25" t="n">
        <f aca="false">G924-J924</f>
        <v>0</v>
      </c>
      <c r="M924" s="25" t="n">
        <f aca="false">F924</f>
        <v>137632211.538462</v>
      </c>
      <c r="N924" s="48" t="n">
        <v>0.0128541666666667</v>
      </c>
      <c r="O924" s="25" t="n">
        <f aca="false">IF(AND(B924&gt;=DATE(2026,1,1),B924&lt;=Resumen!$C$5),1,0)</f>
        <v>0</v>
      </c>
      <c r="P924" s="25" t="n">
        <f aca="false">IF(AND(B924&gt;Resumen!$C$5,B924&lt;=DATE(2027,7,31)),1,0)</f>
        <v>0</v>
      </c>
    </row>
    <row r="925" customFormat="false" ht="15" hidden="false" customHeight="false" outlineLevel="0" collapsed="false">
      <c r="A925" s="22" t="n">
        <v>157</v>
      </c>
      <c r="B925" s="23" t="n">
        <v>49184</v>
      </c>
      <c r="C925" s="28" t="n">
        <v>1615384615.38462</v>
      </c>
      <c r="D925" s="28" t="n">
        <v>20764423.0769231</v>
      </c>
      <c r="E925" s="28" t="n">
        <v>0</v>
      </c>
      <c r="F925" s="28" t="n">
        <v>20764423.0769231</v>
      </c>
      <c r="G925" s="28" t="n">
        <v>1615384615.38462</v>
      </c>
      <c r="H925" s="25" t="n">
        <f aca="false">J924</f>
        <v>1615384615.38462</v>
      </c>
      <c r="I925" s="25" t="n">
        <f aca="false">H925*N925</f>
        <v>20764423.0769231</v>
      </c>
      <c r="J925" s="25" t="n">
        <f aca="false">H925-E925</f>
        <v>1615384615.38462</v>
      </c>
      <c r="K925" s="25" t="n">
        <f aca="false">D925-I925</f>
        <v>0</v>
      </c>
      <c r="L925" s="25" t="n">
        <f aca="false">G925-J925</f>
        <v>0</v>
      </c>
      <c r="M925" s="25" t="n">
        <f aca="false">F925</f>
        <v>20764423.0769231</v>
      </c>
      <c r="N925" s="48" t="n">
        <v>0.0128541666666667</v>
      </c>
      <c r="O925" s="25" t="n">
        <f aca="false">IF(AND(B925&gt;=DATE(2026,1,1),B925&lt;=Resumen!$C$5),1,0)</f>
        <v>0</v>
      </c>
      <c r="P925" s="25" t="n">
        <f aca="false">IF(AND(B925&gt;Resumen!$C$5,B925&lt;=DATE(2027,7,31)),1,0)</f>
        <v>0</v>
      </c>
    </row>
    <row r="926" customFormat="false" ht="15" hidden="false" customHeight="false" outlineLevel="0" collapsed="false">
      <c r="A926" s="22" t="n">
        <v>158</v>
      </c>
      <c r="B926" s="23" t="n">
        <v>49215</v>
      </c>
      <c r="C926" s="28" t="n">
        <v>1615384615.38462</v>
      </c>
      <c r="D926" s="28" t="n">
        <v>20764423.0769231</v>
      </c>
      <c r="E926" s="28" t="n">
        <v>0</v>
      </c>
      <c r="F926" s="28" t="n">
        <v>20764423.0769231</v>
      </c>
      <c r="G926" s="28" t="n">
        <v>1615384615.38462</v>
      </c>
      <c r="H926" s="25" t="n">
        <f aca="false">J925</f>
        <v>1615384615.38462</v>
      </c>
      <c r="I926" s="25" t="n">
        <f aca="false">H926*N926</f>
        <v>20764423.0769231</v>
      </c>
      <c r="J926" s="25" t="n">
        <f aca="false">H926-E926</f>
        <v>1615384615.38462</v>
      </c>
      <c r="K926" s="25" t="n">
        <f aca="false">D926-I926</f>
        <v>0</v>
      </c>
      <c r="L926" s="25" t="n">
        <f aca="false">G926-J926</f>
        <v>0</v>
      </c>
      <c r="M926" s="25" t="n">
        <f aca="false">F926</f>
        <v>20764423.0769231</v>
      </c>
      <c r="N926" s="48" t="n">
        <v>0.0128541666666667</v>
      </c>
      <c r="O926" s="25" t="n">
        <f aca="false">IF(AND(B926&gt;=DATE(2026,1,1),B926&lt;=Resumen!$C$5),1,0)</f>
        <v>0</v>
      </c>
      <c r="P926" s="25" t="n">
        <f aca="false">IF(AND(B926&gt;Resumen!$C$5,B926&lt;=DATE(2027,7,31)),1,0)</f>
        <v>0</v>
      </c>
    </row>
    <row r="927" customFormat="false" ht="15" hidden="false" customHeight="false" outlineLevel="0" collapsed="false">
      <c r="A927" s="22" t="n">
        <v>159</v>
      </c>
      <c r="B927" s="23" t="n">
        <v>49245</v>
      </c>
      <c r="C927" s="28" t="n">
        <v>1615384615.38462</v>
      </c>
      <c r="D927" s="28" t="n">
        <v>20764423.0769231</v>
      </c>
      <c r="E927" s="28" t="n">
        <v>0</v>
      </c>
      <c r="F927" s="28" t="n">
        <v>20764423.0769231</v>
      </c>
      <c r="G927" s="28" t="n">
        <v>1615384615.38462</v>
      </c>
      <c r="H927" s="25" t="n">
        <f aca="false">J926</f>
        <v>1615384615.38462</v>
      </c>
      <c r="I927" s="25" t="n">
        <f aca="false">H927*N927</f>
        <v>20764423.0769231</v>
      </c>
      <c r="J927" s="25" t="n">
        <f aca="false">H927-E927</f>
        <v>1615384615.38462</v>
      </c>
      <c r="K927" s="25" t="n">
        <f aca="false">D927-I927</f>
        <v>0</v>
      </c>
      <c r="L927" s="25" t="n">
        <f aca="false">G927-J927</f>
        <v>0</v>
      </c>
      <c r="M927" s="25" t="n">
        <f aca="false">F927</f>
        <v>20764423.0769231</v>
      </c>
      <c r="N927" s="48" t="n">
        <v>0.0128541666666667</v>
      </c>
      <c r="O927" s="25" t="n">
        <f aca="false">IF(AND(B927&gt;=DATE(2026,1,1),B927&lt;=Resumen!$C$5),1,0)</f>
        <v>0</v>
      </c>
      <c r="P927" s="25" t="n">
        <f aca="false">IF(AND(B927&gt;Resumen!$C$5,B927&lt;=DATE(2027,7,31)),1,0)</f>
        <v>0</v>
      </c>
    </row>
    <row r="928" customFormat="false" ht="15" hidden="false" customHeight="false" outlineLevel="0" collapsed="false">
      <c r="A928" s="22" t="n">
        <v>160</v>
      </c>
      <c r="B928" s="23" t="n">
        <v>49276</v>
      </c>
      <c r="C928" s="28" t="n">
        <v>1615384615.38462</v>
      </c>
      <c r="D928" s="28" t="n">
        <v>20764423.0769231</v>
      </c>
      <c r="E928" s="28" t="n">
        <v>0</v>
      </c>
      <c r="F928" s="28" t="n">
        <v>20764423.0769231</v>
      </c>
      <c r="G928" s="28" t="n">
        <v>1615384615.38462</v>
      </c>
      <c r="H928" s="25" t="n">
        <f aca="false">J927</f>
        <v>1615384615.38462</v>
      </c>
      <c r="I928" s="25" t="n">
        <f aca="false">H928*N928</f>
        <v>20764423.0769231</v>
      </c>
      <c r="J928" s="25" t="n">
        <f aca="false">H928-E928</f>
        <v>1615384615.38462</v>
      </c>
      <c r="K928" s="25" t="n">
        <f aca="false">D928-I928</f>
        <v>0</v>
      </c>
      <c r="L928" s="25" t="n">
        <f aca="false">G928-J928</f>
        <v>0</v>
      </c>
      <c r="M928" s="25" t="n">
        <f aca="false">F928</f>
        <v>20764423.0769231</v>
      </c>
      <c r="N928" s="48" t="n">
        <v>0.0128541666666667</v>
      </c>
      <c r="O928" s="25" t="n">
        <f aca="false">IF(AND(B928&gt;=DATE(2026,1,1),B928&lt;=Resumen!$C$5),1,0)</f>
        <v>0</v>
      </c>
      <c r="P928" s="25" t="n">
        <f aca="false">IF(AND(B928&gt;Resumen!$C$5,B928&lt;=DATE(2027,7,31)),1,0)</f>
        <v>0</v>
      </c>
    </row>
    <row r="929" customFormat="false" ht="15" hidden="false" customHeight="false" outlineLevel="0" collapsed="false">
      <c r="A929" s="22" t="n">
        <v>161</v>
      </c>
      <c r="B929" s="23" t="n">
        <v>49306</v>
      </c>
      <c r="C929" s="28" t="n">
        <v>1615384615.38462</v>
      </c>
      <c r="D929" s="28" t="n">
        <v>20764423.0769231</v>
      </c>
      <c r="E929" s="28" t="n">
        <v>0</v>
      </c>
      <c r="F929" s="28" t="n">
        <v>20764423.0769231</v>
      </c>
      <c r="G929" s="28" t="n">
        <v>1615384615.38462</v>
      </c>
      <c r="H929" s="25" t="n">
        <f aca="false">J928</f>
        <v>1615384615.38462</v>
      </c>
      <c r="I929" s="25" t="n">
        <f aca="false">H929*N929</f>
        <v>20764423.0769231</v>
      </c>
      <c r="J929" s="25" t="n">
        <f aca="false">H929-E929</f>
        <v>1615384615.38462</v>
      </c>
      <c r="K929" s="25" t="n">
        <f aca="false">D929-I929</f>
        <v>0</v>
      </c>
      <c r="L929" s="25" t="n">
        <f aca="false">G929-J929</f>
        <v>0</v>
      </c>
      <c r="M929" s="25" t="n">
        <f aca="false">F929</f>
        <v>20764423.0769231</v>
      </c>
      <c r="N929" s="48" t="n">
        <v>0.0128541666666667</v>
      </c>
      <c r="O929" s="25" t="n">
        <f aca="false">IF(AND(B929&gt;=DATE(2026,1,1),B929&lt;=Resumen!$C$5),1,0)</f>
        <v>0</v>
      </c>
      <c r="P929" s="25" t="n">
        <f aca="false">IF(AND(B929&gt;Resumen!$C$5,B929&lt;=DATE(2027,7,31)),1,0)</f>
        <v>0</v>
      </c>
    </row>
    <row r="930" customFormat="false" ht="15" hidden="false" customHeight="false" outlineLevel="0" collapsed="false">
      <c r="A930" s="22" t="n">
        <v>162</v>
      </c>
      <c r="B930" s="23" t="n">
        <v>49337</v>
      </c>
      <c r="C930" s="28" t="n">
        <v>1615384615.38462</v>
      </c>
      <c r="D930" s="28" t="n">
        <v>20764423.0769231</v>
      </c>
      <c r="E930" s="28" t="n">
        <v>115384615.384615</v>
      </c>
      <c r="F930" s="28" t="n">
        <v>136149038.461539</v>
      </c>
      <c r="G930" s="28" t="n">
        <v>1500000000</v>
      </c>
      <c r="H930" s="25" t="n">
        <f aca="false">J929</f>
        <v>1615384615.38462</v>
      </c>
      <c r="I930" s="25" t="n">
        <f aca="false">H930*N930</f>
        <v>20764423.0769231</v>
      </c>
      <c r="J930" s="25" t="n">
        <f aca="false">H930-E930</f>
        <v>1500000000</v>
      </c>
      <c r="K930" s="25" t="n">
        <f aca="false">D930-I930</f>
        <v>0</v>
      </c>
      <c r="L930" s="25" t="n">
        <f aca="false">G930-J930</f>
        <v>0</v>
      </c>
      <c r="M930" s="25" t="n">
        <f aca="false">F930</f>
        <v>136149038.461539</v>
      </c>
      <c r="N930" s="48" t="n">
        <v>0.0128541666666667</v>
      </c>
      <c r="O930" s="25" t="n">
        <f aca="false">IF(AND(B930&gt;=DATE(2026,1,1),B930&lt;=Resumen!$C$5),1,0)</f>
        <v>0</v>
      </c>
      <c r="P930" s="25" t="n">
        <f aca="false">IF(AND(B930&gt;Resumen!$C$5,B930&lt;=DATE(2027,7,31)),1,0)</f>
        <v>0</v>
      </c>
    </row>
    <row r="931" customFormat="false" ht="15" hidden="false" customHeight="false" outlineLevel="0" collapsed="false">
      <c r="A931" s="22" t="n">
        <v>163</v>
      </c>
      <c r="B931" s="23" t="n">
        <v>49368</v>
      </c>
      <c r="C931" s="28" t="n">
        <v>1500000000</v>
      </c>
      <c r="D931" s="28" t="n">
        <v>19281250</v>
      </c>
      <c r="E931" s="28" t="n">
        <v>0</v>
      </c>
      <c r="F931" s="28" t="n">
        <v>19281250</v>
      </c>
      <c r="G931" s="28" t="n">
        <v>1500000000</v>
      </c>
      <c r="H931" s="25" t="n">
        <f aca="false">J930</f>
        <v>1500000000</v>
      </c>
      <c r="I931" s="25" t="n">
        <f aca="false">H931*N931</f>
        <v>19281250</v>
      </c>
      <c r="J931" s="25" t="n">
        <f aca="false">H931-E931</f>
        <v>1500000000</v>
      </c>
      <c r="K931" s="25" t="n">
        <f aca="false">D931-I931</f>
        <v>0</v>
      </c>
      <c r="L931" s="25" t="n">
        <f aca="false">G931-J931</f>
        <v>0</v>
      </c>
      <c r="M931" s="25" t="n">
        <f aca="false">F931</f>
        <v>19281250</v>
      </c>
      <c r="N931" s="48" t="n">
        <v>0.0128541666666667</v>
      </c>
      <c r="O931" s="25" t="n">
        <f aca="false">IF(AND(B931&gt;=DATE(2026,1,1),B931&lt;=Resumen!$C$5),1,0)</f>
        <v>0</v>
      </c>
      <c r="P931" s="25" t="n">
        <f aca="false">IF(AND(B931&gt;Resumen!$C$5,B931&lt;=DATE(2027,7,31)),1,0)</f>
        <v>0</v>
      </c>
    </row>
    <row r="932" customFormat="false" ht="15" hidden="false" customHeight="false" outlineLevel="0" collapsed="false">
      <c r="A932" s="22" t="n">
        <v>164</v>
      </c>
      <c r="B932" s="23" t="n">
        <v>49396</v>
      </c>
      <c r="C932" s="28" t="n">
        <v>1500000000</v>
      </c>
      <c r="D932" s="28" t="n">
        <v>19281250</v>
      </c>
      <c r="E932" s="28" t="n">
        <v>0</v>
      </c>
      <c r="F932" s="28" t="n">
        <v>19281250</v>
      </c>
      <c r="G932" s="28" t="n">
        <v>1500000000</v>
      </c>
      <c r="H932" s="25" t="n">
        <f aca="false">J931</f>
        <v>1500000000</v>
      </c>
      <c r="I932" s="25" t="n">
        <f aca="false">H932*N932</f>
        <v>19281250</v>
      </c>
      <c r="J932" s="25" t="n">
        <f aca="false">H932-E932</f>
        <v>1500000000</v>
      </c>
      <c r="K932" s="25" t="n">
        <f aca="false">D932-I932</f>
        <v>0</v>
      </c>
      <c r="L932" s="25" t="n">
        <f aca="false">G932-J932</f>
        <v>0</v>
      </c>
      <c r="M932" s="25" t="n">
        <f aca="false">F932</f>
        <v>19281250</v>
      </c>
      <c r="N932" s="48" t="n">
        <v>0.0128541666666667</v>
      </c>
      <c r="O932" s="25" t="n">
        <f aca="false">IF(AND(B932&gt;=DATE(2026,1,1),B932&lt;=Resumen!$C$5),1,0)</f>
        <v>0</v>
      </c>
      <c r="P932" s="25" t="n">
        <f aca="false">IF(AND(B932&gt;Resumen!$C$5,B932&lt;=DATE(2027,7,31)),1,0)</f>
        <v>0</v>
      </c>
    </row>
    <row r="933" customFormat="false" ht="15" hidden="false" customHeight="false" outlineLevel="0" collapsed="false">
      <c r="A933" s="22" t="n">
        <v>165</v>
      </c>
      <c r="B933" s="23" t="n">
        <v>49427</v>
      </c>
      <c r="C933" s="28" t="n">
        <v>1500000000</v>
      </c>
      <c r="D933" s="28" t="n">
        <v>19281250</v>
      </c>
      <c r="E933" s="28" t="n">
        <v>0</v>
      </c>
      <c r="F933" s="28" t="n">
        <v>19281250</v>
      </c>
      <c r="G933" s="28" t="n">
        <v>1500000000</v>
      </c>
      <c r="H933" s="25" t="n">
        <f aca="false">J932</f>
        <v>1500000000</v>
      </c>
      <c r="I933" s="25" t="n">
        <f aca="false">H933*N933</f>
        <v>19281250</v>
      </c>
      <c r="J933" s="25" t="n">
        <f aca="false">H933-E933</f>
        <v>1500000000</v>
      </c>
      <c r="K933" s="25" t="n">
        <f aca="false">D933-I933</f>
        <v>0</v>
      </c>
      <c r="L933" s="25" t="n">
        <f aca="false">G933-J933</f>
        <v>0</v>
      </c>
      <c r="M933" s="25" t="n">
        <f aca="false">F933</f>
        <v>19281250</v>
      </c>
      <c r="N933" s="48" t="n">
        <v>0.0128541666666667</v>
      </c>
      <c r="O933" s="25" t="n">
        <f aca="false">IF(AND(B933&gt;=DATE(2026,1,1),B933&lt;=Resumen!$C$5),1,0)</f>
        <v>0</v>
      </c>
      <c r="P933" s="25" t="n">
        <f aca="false">IF(AND(B933&gt;Resumen!$C$5,B933&lt;=DATE(2027,7,31)),1,0)</f>
        <v>0</v>
      </c>
    </row>
    <row r="934" customFormat="false" ht="15" hidden="false" customHeight="false" outlineLevel="0" collapsed="false">
      <c r="A934" s="22" t="n">
        <v>166</v>
      </c>
      <c r="B934" s="23" t="n">
        <v>49457</v>
      </c>
      <c r="C934" s="28" t="n">
        <v>1500000000</v>
      </c>
      <c r="D934" s="28" t="n">
        <v>19281250</v>
      </c>
      <c r="E934" s="28" t="n">
        <v>0</v>
      </c>
      <c r="F934" s="28" t="n">
        <v>19281250</v>
      </c>
      <c r="G934" s="28" t="n">
        <v>1500000000</v>
      </c>
      <c r="H934" s="25" t="n">
        <f aca="false">J933</f>
        <v>1500000000</v>
      </c>
      <c r="I934" s="25" t="n">
        <f aca="false">H934*N934</f>
        <v>19281250</v>
      </c>
      <c r="J934" s="25" t="n">
        <f aca="false">H934-E934</f>
        <v>1500000000</v>
      </c>
      <c r="K934" s="25" t="n">
        <f aca="false">D934-I934</f>
        <v>0</v>
      </c>
      <c r="L934" s="25" t="n">
        <f aca="false">G934-J934</f>
        <v>0</v>
      </c>
      <c r="M934" s="25" t="n">
        <f aca="false">F934</f>
        <v>19281250</v>
      </c>
      <c r="N934" s="48" t="n">
        <v>0.0128541666666667</v>
      </c>
      <c r="O934" s="25" t="n">
        <f aca="false">IF(AND(B934&gt;=DATE(2026,1,1),B934&lt;=Resumen!$C$5),1,0)</f>
        <v>0</v>
      </c>
      <c r="P934" s="25" t="n">
        <f aca="false">IF(AND(B934&gt;Resumen!$C$5,B934&lt;=DATE(2027,7,31)),1,0)</f>
        <v>0</v>
      </c>
    </row>
    <row r="935" customFormat="false" ht="15" hidden="false" customHeight="false" outlineLevel="0" collapsed="false">
      <c r="A935" s="22" t="n">
        <v>167</v>
      </c>
      <c r="B935" s="23" t="n">
        <v>49488</v>
      </c>
      <c r="C935" s="28" t="n">
        <v>1500000000</v>
      </c>
      <c r="D935" s="28" t="n">
        <v>19281250</v>
      </c>
      <c r="E935" s="28" t="n">
        <v>0</v>
      </c>
      <c r="F935" s="28" t="n">
        <v>19281250</v>
      </c>
      <c r="G935" s="28" t="n">
        <v>1500000000</v>
      </c>
      <c r="H935" s="25" t="n">
        <f aca="false">J934</f>
        <v>1500000000</v>
      </c>
      <c r="I935" s="25" t="n">
        <f aca="false">H935*N935</f>
        <v>19281250</v>
      </c>
      <c r="J935" s="25" t="n">
        <f aca="false">H935-E935</f>
        <v>1500000000</v>
      </c>
      <c r="K935" s="25" t="n">
        <f aca="false">D935-I935</f>
        <v>0</v>
      </c>
      <c r="L935" s="25" t="n">
        <f aca="false">G935-J935</f>
        <v>0</v>
      </c>
      <c r="M935" s="25" t="n">
        <f aca="false">F935</f>
        <v>19281250</v>
      </c>
      <c r="N935" s="48" t="n">
        <v>0.0128541666666667</v>
      </c>
      <c r="O935" s="25" t="n">
        <f aca="false">IF(AND(B935&gt;=DATE(2026,1,1),B935&lt;=Resumen!$C$5),1,0)</f>
        <v>0</v>
      </c>
      <c r="P935" s="25" t="n">
        <f aca="false">IF(AND(B935&gt;Resumen!$C$5,B935&lt;=DATE(2027,7,31)),1,0)</f>
        <v>0</v>
      </c>
    </row>
    <row r="936" customFormat="false" ht="15" hidden="false" customHeight="false" outlineLevel="0" collapsed="false">
      <c r="A936" s="22" t="n">
        <v>168</v>
      </c>
      <c r="B936" s="23" t="n">
        <v>49518</v>
      </c>
      <c r="C936" s="28" t="n">
        <v>1500000000</v>
      </c>
      <c r="D936" s="28" t="n">
        <v>19281250</v>
      </c>
      <c r="E936" s="28" t="n">
        <v>115384615.384615</v>
      </c>
      <c r="F936" s="28" t="n">
        <v>134665865.384615</v>
      </c>
      <c r="G936" s="28" t="n">
        <v>1384615384.61538</v>
      </c>
      <c r="H936" s="25" t="n">
        <f aca="false">J935</f>
        <v>1500000000</v>
      </c>
      <c r="I936" s="25" t="n">
        <f aca="false">H936*N936</f>
        <v>19281250</v>
      </c>
      <c r="J936" s="25" t="n">
        <f aca="false">H936-E936</f>
        <v>1384615384.61538</v>
      </c>
      <c r="K936" s="25" t="n">
        <f aca="false">D936-I936</f>
        <v>0</v>
      </c>
      <c r="L936" s="25" t="n">
        <f aca="false">G936-J936</f>
        <v>0</v>
      </c>
      <c r="M936" s="25" t="n">
        <f aca="false">F936</f>
        <v>134665865.384615</v>
      </c>
      <c r="N936" s="48" t="n">
        <v>0.0128541666666667</v>
      </c>
      <c r="O936" s="25" t="n">
        <f aca="false">IF(AND(B936&gt;=DATE(2026,1,1),B936&lt;=Resumen!$C$5),1,0)</f>
        <v>0</v>
      </c>
      <c r="P936" s="25" t="n">
        <f aca="false">IF(AND(B936&gt;Resumen!$C$5,B936&lt;=DATE(2027,7,31)),1,0)</f>
        <v>0</v>
      </c>
    </row>
    <row r="937" customFormat="false" ht="15" hidden="false" customHeight="false" outlineLevel="0" collapsed="false">
      <c r="A937" s="22" t="n">
        <v>169</v>
      </c>
      <c r="B937" s="23" t="n">
        <v>49549</v>
      </c>
      <c r="C937" s="28" t="n">
        <v>1384615384.61538</v>
      </c>
      <c r="D937" s="28" t="n">
        <v>17798076.9230769</v>
      </c>
      <c r="E937" s="28" t="n">
        <v>0</v>
      </c>
      <c r="F937" s="28" t="n">
        <v>17798076.9230769</v>
      </c>
      <c r="G937" s="28" t="n">
        <v>1384615384.61538</v>
      </c>
      <c r="H937" s="25" t="n">
        <f aca="false">J936</f>
        <v>1384615384.61538</v>
      </c>
      <c r="I937" s="25" t="n">
        <f aca="false">H937*N937</f>
        <v>17798076.9230769</v>
      </c>
      <c r="J937" s="25" t="n">
        <f aca="false">H937-E937</f>
        <v>1384615384.61538</v>
      </c>
      <c r="K937" s="25" t="n">
        <f aca="false">D937-I937</f>
        <v>0</v>
      </c>
      <c r="L937" s="25" t="n">
        <f aca="false">G937-J937</f>
        <v>0</v>
      </c>
      <c r="M937" s="25" t="n">
        <f aca="false">F937</f>
        <v>17798076.9230769</v>
      </c>
      <c r="N937" s="48" t="n">
        <v>0.0128541666666667</v>
      </c>
      <c r="O937" s="25" t="n">
        <f aca="false">IF(AND(B937&gt;=DATE(2026,1,1),B937&lt;=Resumen!$C$5),1,0)</f>
        <v>0</v>
      </c>
      <c r="P937" s="25" t="n">
        <f aca="false">IF(AND(B937&gt;Resumen!$C$5,B937&lt;=DATE(2027,7,31)),1,0)</f>
        <v>0</v>
      </c>
    </row>
    <row r="938" customFormat="false" ht="15" hidden="false" customHeight="false" outlineLevel="0" collapsed="false">
      <c r="A938" s="22" t="n">
        <v>170</v>
      </c>
      <c r="B938" s="23" t="n">
        <v>49580</v>
      </c>
      <c r="C938" s="28" t="n">
        <v>1384615384.61538</v>
      </c>
      <c r="D938" s="28" t="n">
        <v>17798076.9230769</v>
      </c>
      <c r="E938" s="28" t="n">
        <v>0</v>
      </c>
      <c r="F938" s="28" t="n">
        <v>17798076.9230769</v>
      </c>
      <c r="G938" s="28" t="n">
        <v>1384615384.61538</v>
      </c>
      <c r="H938" s="25" t="n">
        <f aca="false">J937</f>
        <v>1384615384.61538</v>
      </c>
      <c r="I938" s="25" t="n">
        <f aca="false">H938*N938</f>
        <v>17798076.9230769</v>
      </c>
      <c r="J938" s="25" t="n">
        <f aca="false">H938-E938</f>
        <v>1384615384.61538</v>
      </c>
      <c r="K938" s="25" t="n">
        <f aca="false">D938-I938</f>
        <v>0</v>
      </c>
      <c r="L938" s="25" t="n">
        <f aca="false">G938-J938</f>
        <v>0</v>
      </c>
      <c r="M938" s="25" t="n">
        <f aca="false">F938</f>
        <v>17798076.9230769</v>
      </c>
      <c r="N938" s="48" t="n">
        <v>0.0128541666666667</v>
      </c>
      <c r="O938" s="25" t="n">
        <f aca="false">IF(AND(B938&gt;=DATE(2026,1,1),B938&lt;=Resumen!$C$5),1,0)</f>
        <v>0</v>
      </c>
      <c r="P938" s="25" t="n">
        <f aca="false">IF(AND(B938&gt;Resumen!$C$5,B938&lt;=DATE(2027,7,31)),1,0)</f>
        <v>0</v>
      </c>
    </row>
    <row r="939" customFormat="false" ht="15" hidden="false" customHeight="false" outlineLevel="0" collapsed="false">
      <c r="A939" s="22" t="n">
        <v>171</v>
      </c>
      <c r="B939" s="23" t="n">
        <v>49610</v>
      </c>
      <c r="C939" s="28" t="n">
        <v>1384615384.61538</v>
      </c>
      <c r="D939" s="28" t="n">
        <v>17798076.9230769</v>
      </c>
      <c r="E939" s="28" t="n">
        <v>0</v>
      </c>
      <c r="F939" s="28" t="n">
        <v>17798076.9230769</v>
      </c>
      <c r="G939" s="28" t="n">
        <v>1384615384.61538</v>
      </c>
      <c r="H939" s="25" t="n">
        <f aca="false">J938</f>
        <v>1384615384.61538</v>
      </c>
      <c r="I939" s="25" t="n">
        <f aca="false">H939*N939</f>
        <v>17798076.9230769</v>
      </c>
      <c r="J939" s="25" t="n">
        <f aca="false">H939-E939</f>
        <v>1384615384.61538</v>
      </c>
      <c r="K939" s="25" t="n">
        <f aca="false">D939-I939</f>
        <v>0</v>
      </c>
      <c r="L939" s="25" t="n">
        <f aca="false">G939-J939</f>
        <v>0</v>
      </c>
      <c r="M939" s="25" t="n">
        <f aca="false">F939</f>
        <v>17798076.9230769</v>
      </c>
      <c r="N939" s="48" t="n">
        <v>0.0128541666666667</v>
      </c>
      <c r="O939" s="25" t="n">
        <f aca="false">IF(AND(B939&gt;=DATE(2026,1,1),B939&lt;=Resumen!$C$5),1,0)</f>
        <v>0</v>
      </c>
      <c r="P939" s="25" t="n">
        <f aca="false">IF(AND(B939&gt;Resumen!$C$5,B939&lt;=DATE(2027,7,31)),1,0)</f>
        <v>0</v>
      </c>
    </row>
    <row r="940" customFormat="false" ht="15" hidden="false" customHeight="false" outlineLevel="0" collapsed="false">
      <c r="A940" s="22" t="n">
        <v>172</v>
      </c>
      <c r="B940" s="23" t="n">
        <v>49641</v>
      </c>
      <c r="C940" s="28" t="n">
        <v>1384615384.61538</v>
      </c>
      <c r="D940" s="28" t="n">
        <v>17798076.9230769</v>
      </c>
      <c r="E940" s="28" t="n">
        <v>0</v>
      </c>
      <c r="F940" s="28" t="n">
        <v>17798076.9230769</v>
      </c>
      <c r="G940" s="28" t="n">
        <v>1384615384.61538</v>
      </c>
      <c r="H940" s="25" t="n">
        <f aca="false">J939</f>
        <v>1384615384.61538</v>
      </c>
      <c r="I940" s="25" t="n">
        <f aca="false">H940*N940</f>
        <v>17798076.9230769</v>
      </c>
      <c r="J940" s="25" t="n">
        <f aca="false">H940-E940</f>
        <v>1384615384.61538</v>
      </c>
      <c r="K940" s="25" t="n">
        <f aca="false">D940-I940</f>
        <v>0</v>
      </c>
      <c r="L940" s="25" t="n">
        <f aca="false">G940-J940</f>
        <v>0</v>
      </c>
      <c r="M940" s="25" t="n">
        <f aca="false">F940</f>
        <v>17798076.9230769</v>
      </c>
      <c r="N940" s="48" t="n">
        <v>0.0128541666666667</v>
      </c>
      <c r="O940" s="25" t="n">
        <f aca="false">IF(AND(B940&gt;=DATE(2026,1,1),B940&lt;=Resumen!$C$5),1,0)</f>
        <v>0</v>
      </c>
      <c r="P940" s="25" t="n">
        <f aca="false">IF(AND(B940&gt;Resumen!$C$5,B940&lt;=DATE(2027,7,31)),1,0)</f>
        <v>0</v>
      </c>
    </row>
    <row r="941" customFormat="false" ht="15" hidden="false" customHeight="false" outlineLevel="0" collapsed="false">
      <c r="A941" s="22" t="n">
        <v>173</v>
      </c>
      <c r="B941" s="23" t="n">
        <v>49671</v>
      </c>
      <c r="C941" s="28" t="n">
        <v>1384615384.61538</v>
      </c>
      <c r="D941" s="28" t="n">
        <v>17798076.9230769</v>
      </c>
      <c r="E941" s="28" t="n">
        <v>0</v>
      </c>
      <c r="F941" s="28" t="n">
        <v>17798076.9230769</v>
      </c>
      <c r="G941" s="28" t="n">
        <v>1384615384.61538</v>
      </c>
      <c r="H941" s="25" t="n">
        <f aca="false">J940</f>
        <v>1384615384.61538</v>
      </c>
      <c r="I941" s="25" t="n">
        <f aca="false">H941*N941</f>
        <v>17798076.9230769</v>
      </c>
      <c r="J941" s="25" t="n">
        <f aca="false">H941-E941</f>
        <v>1384615384.61538</v>
      </c>
      <c r="K941" s="25" t="n">
        <f aca="false">D941-I941</f>
        <v>0</v>
      </c>
      <c r="L941" s="25" t="n">
        <f aca="false">G941-J941</f>
        <v>0</v>
      </c>
      <c r="M941" s="25" t="n">
        <f aca="false">F941</f>
        <v>17798076.9230769</v>
      </c>
      <c r="N941" s="48" t="n">
        <v>0.0128541666666667</v>
      </c>
      <c r="O941" s="25" t="n">
        <f aca="false">IF(AND(B941&gt;=DATE(2026,1,1),B941&lt;=Resumen!$C$5),1,0)</f>
        <v>0</v>
      </c>
      <c r="P941" s="25" t="n">
        <f aca="false">IF(AND(B941&gt;Resumen!$C$5,B941&lt;=DATE(2027,7,31)),1,0)</f>
        <v>0</v>
      </c>
    </row>
    <row r="942" customFormat="false" ht="15" hidden="false" customHeight="false" outlineLevel="0" collapsed="false">
      <c r="A942" s="22" t="n">
        <v>174</v>
      </c>
      <c r="B942" s="23" t="n">
        <v>49702</v>
      </c>
      <c r="C942" s="28" t="n">
        <v>1384615384.61538</v>
      </c>
      <c r="D942" s="28" t="n">
        <v>17798076.9230769</v>
      </c>
      <c r="E942" s="28" t="n">
        <v>115384615.384615</v>
      </c>
      <c r="F942" s="28" t="n">
        <v>133182692.307692</v>
      </c>
      <c r="G942" s="28" t="n">
        <v>1269230769.23077</v>
      </c>
      <c r="H942" s="25" t="n">
        <f aca="false">J941</f>
        <v>1384615384.61538</v>
      </c>
      <c r="I942" s="25" t="n">
        <f aca="false">H942*N942</f>
        <v>17798076.9230769</v>
      </c>
      <c r="J942" s="25" t="n">
        <f aca="false">H942-E942</f>
        <v>1269230769.23077</v>
      </c>
      <c r="K942" s="25" t="n">
        <f aca="false">D942-I942</f>
        <v>0</v>
      </c>
      <c r="L942" s="25" t="n">
        <f aca="false">G942-J942</f>
        <v>0</v>
      </c>
      <c r="M942" s="25" t="n">
        <f aca="false">F942</f>
        <v>133182692.307692</v>
      </c>
      <c r="N942" s="48" t="n">
        <v>0.0128541666666667</v>
      </c>
      <c r="O942" s="25" t="n">
        <f aca="false">IF(AND(B942&gt;=DATE(2026,1,1),B942&lt;=Resumen!$C$5),1,0)</f>
        <v>0</v>
      </c>
      <c r="P942" s="25" t="n">
        <f aca="false">IF(AND(B942&gt;Resumen!$C$5,B942&lt;=DATE(2027,7,31)),1,0)</f>
        <v>0</v>
      </c>
    </row>
    <row r="943" customFormat="false" ht="15" hidden="false" customHeight="false" outlineLevel="0" collapsed="false">
      <c r="A943" s="22" t="n">
        <v>175</v>
      </c>
      <c r="B943" s="23" t="n">
        <v>49733</v>
      </c>
      <c r="C943" s="28" t="n">
        <v>1269230769.23077</v>
      </c>
      <c r="D943" s="28" t="n">
        <v>16314903.8461538</v>
      </c>
      <c r="E943" s="28" t="n">
        <v>0</v>
      </c>
      <c r="F943" s="28" t="n">
        <v>16314903.8461538</v>
      </c>
      <c r="G943" s="28" t="n">
        <v>1269230769.23077</v>
      </c>
      <c r="H943" s="25" t="n">
        <f aca="false">J942</f>
        <v>1269230769.23077</v>
      </c>
      <c r="I943" s="25" t="n">
        <f aca="false">H943*N943</f>
        <v>16314903.8461538</v>
      </c>
      <c r="J943" s="25" t="n">
        <f aca="false">H943-E943</f>
        <v>1269230769.23077</v>
      </c>
      <c r="K943" s="25" t="n">
        <f aca="false">D943-I943</f>
        <v>0</v>
      </c>
      <c r="L943" s="25" t="n">
        <f aca="false">G943-J943</f>
        <v>0</v>
      </c>
      <c r="M943" s="25" t="n">
        <f aca="false">F943</f>
        <v>16314903.8461538</v>
      </c>
      <c r="N943" s="48" t="n">
        <v>0.0128541666666667</v>
      </c>
      <c r="O943" s="25" t="n">
        <f aca="false">IF(AND(B943&gt;=DATE(2026,1,1),B943&lt;=Resumen!$C$5),1,0)</f>
        <v>0</v>
      </c>
      <c r="P943" s="25" t="n">
        <f aca="false">IF(AND(B943&gt;Resumen!$C$5,B943&lt;=DATE(2027,7,31)),1,0)</f>
        <v>0</v>
      </c>
    </row>
    <row r="944" customFormat="false" ht="15" hidden="false" customHeight="false" outlineLevel="0" collapsed="false">
      <c r="A944" s="22" t="n">
        <v>176</v>
      </c>
      <c r="B944" s="23" t="n">
        <v>49762</v>
      </c>
      <c r="C944" s="28" t="n">
        <v>1269230769.23077</v>
      </c>
      <c r="D944" s="28" t="n">
        <v>16314903.8461538</v>
      </c>
      <c r="E944" s="28" t="n">
        <v>0</v>
      </c>
      <c r="F944" s="28" t="n">
        <v>16314903.8461538</v>
      </c>
      <c r="G944" s="28" t="n">
        <v>1269230769.23077</v>
      </c>
      <c r="H944" s="25" t="n">
        <f aca="false">J943</f>
        <v>1269230769.23077</v>
      </c>
      <c r="I944" s="25" t="n">
        <f aca="false">H944*N944</f>
        <v>16314903.8461538</v>
      </c>
      <c r="J944" s="25" t="n">
        <f aca="false">H944-E944</f>
        <v>1269230769.23077</v>
      </c>
      <c r="K944" s="25" t="n">
        <f aca="false">D944-I944</f>
        <v>0</v>
      </c>
      <c r="L944" s="25" t="n">
        <f aca="false">G944-J944</f>
        <v>0</v>
      </c>
      <c r="M944" s="25" t="n">
        <f aca="false">F944</f>
        <v>16314903.8461538</v>
      </c>
      <c r="N944" s="48" t="n">
        <v>0.0128541666666667</v>
      </c>
      <c r="O944" s="25" t="n">
        <f aca="false">IF(AND(B944&gt;=DATE(2026,1,1),B944&lt;=Resumen!$C$5),1,0)</f>
        <v>0</v>
      </c>
      <c r="P944" s="25" t="n">
        <f aca="false">IF(AND(B944&gt;Resumen!$C$5,B944&lt;=DATE(2027,7,31)),1,0)</f>
        <v>0</v>
      </c>
    </row>
    <row r="945" customFormat="false" ht="15" hidden="false" customHeight="false" outlineLevel="0" collapsed="false">
      <c r="A945" s="22" t="n">
        <v>177</v>
      </c>
      <c r="B945" s="23" t="n">
        <v>49793</v>
      </c>
      <c r="C945" s="28" t="n">
        <v>1269230769.23077</v>
      </c>
      <c r="D945" s="28" t="n">
        <v>16314903.8461538</v>
      </c>
      <c r="E945" s="28" t="n">
        <v>0</v>
      </c>
      <c r="F945" s="28" t="n">
        <v>16314903.8461538</v>
      </c>
      <c r="G945" s="28" t="n">
        <v>1269230769.23077</v>
      </c>
      <c r="H945" s="25" t="n">
        <f aca="false">J944</f>
        <v>1269230769.23077</v>
      </c>
      <c r="I945" s="25" t="n">
        <f aca="false">H945*N945</f>
        <v>16314903.8461538</v>
      </c>
      <c r="J945" s="25" t="n">
        <f aca="false">H945-E945</f>
        <v>1269230769.23077</v>
      </c>
      <c r="K945" s="25" t="n">
        <f aca="false">D945-I945</f>
        <v>0</v>
      </c>
      <c r="L945" s="25" t="n">
        <f aca="false">G945-J945</f>
        <v>0</v>
      </c>
      <c r="M945" s="25" t="n">
        <f aca="false">F945</f>
        <v>16314903.8461538</v>
      </c>
      <c r="N945" s="48" t="n">
        <v>0.0128541666666667</v>
      </c>
      <c r="O945" s="25" t="n">
        <f aca="false">IF(AND(B945&gt;=DATE(2026,1,1),B945&lt;=Resumen!$C$5),1,0)</f>
        <v>0</v>
      </c>
      <c r="P945" s="25" t="n">
        <f aca="false">IF(AND(B945&gt;Resumen!$C$5,B945&lt;=DATE(2027,7,31)),1,0)</f>
        <v>0</v>
      </c>
    </row>
    <row r="946" customFormat="false" ht="15" hidden="false" customHeight="false" outlineLevel="0" collapsed="false">
      <c r="A946" s="22" t="n">
        <v>178</v>
      </c>
      <c r="B946" s="23" t="n">
        <v>49823</v>
      </c>
      <c r="C946" s="28" t="n">
        <v>1269230769.23077</v>
      </c>
      <c r="D946" s="28" t="n">
        <v>16314903.8461538</v>
      </c>
      <c r="E946" s="28" t="n">
        <v>0</v>
      </c>
      <c r="F946" s="28" t="n">
        <v>16314903.8461538</v>
      </c>
      <c r="G946" s="28" t="n">
        <v>1269230769.23077</v>
      </c>
      <c r="H946" s="25" t="n">
        <f aca="false">J945</f>
        <v>1269230769.23077</v>
      </c>
      <c r="I946" s="25" t="n">
        <f aca="false">H946*N946</f>
        <v>16314903.8461538</v>
      </c>
      <c r="J946" s="25" t="n">
        <f aca="false">H946-E946</f>
        <v>1269230769.23077</v>
      </c>
      <c r="K946" s="25" t="n">
        <f aca="false">D946-I946</f>
        <v>0</v>
      </c>
      <c r="L946" s="25" t="n">
        <f aca="false">G946-J946</f>
        <v>0</v>
      </c>
      <c r="M946" s="25" t="n">
        <f aca="false">F946</f>
        <v>16314903.8461538</v>
      </c>
      <c r="N946" s="48" t="n">
        <v>0.0128541666666667</v>
      </c>
      <c r="O946" s="25" t="n">
        <f aca="false">IF(AND(B946&gt;=DATE(2026,1,1),B946&lt;=Resumen!$C$5),1,0)</f>
        <v>0</v>
      </c>
      <c r="P946" s="25" t="n">
        <f aca="false">IF(AND(B946&gt;Resumen!$C$5,B946&lt;=DATE(2027,7,31)),1,0)</f>
        <v>0</v>
      </c>
    </row>
    <row r="947" customFormat="false" ht="15" hidden="false" customHeight="false" outlineLevel="0" collapsed="false">
      <c r="A947" s="22" t="n">
        <v>179</v>
      </c>
      <c r="B947" s="23" t="n">
        <v>49854</v>
      </c>
      <c r="C947" s="28" t="n">
        <v>1269230769.23077</v>
      </c>
      <c r="D947" s="28" t="n">
        <v>16314903.8461538</v>
      </c>
      <c r="E947" s="28" t="n">
        <v>0</v>
      </c>
      <c r="F947" s="28" t="n">
        <v>16314903.8461538</v>
      </c>
      <c r="G947" s="28" t="n">
        <v>1269230769.23077</v>
      </c>
      <c r="H947" s="25" t="n">
        <f aca="false">J946</f>
        <v>1269230769.23077</v>
      </c>
      <c r="I947" s="25" t="n">
        <f aca="false">H947*N947</f>
        <v>16314903.8461538</v>
      </c>
      <c r="J947" s="25" t="n">
        <f aca="false">H947-E947</f>
        <v>1269230769.23077</v>
      </c>
      <c r="K947" s="25" t="n">
        <f aca="false">D947-I947</f>
        <v>0</v>
      </c>
      <c r="L947" s="25" t="n">
        <f aca="false">G947-J947</f>
        <v>0</v>
      </c>
      <c r="M947" s="25" t="n">
        <f aca="false">F947</f>
        <v>16314903.8461538</v>
      </c>
      <c r="N947" s="48" t="n">
        <v>0.0128541666666667</v>
      </c>
      <c r="O947" s="25" t="n">
        <f aca="false">IF(AND(B947&gt;=DATE(2026,1,1),B947&lt;=Resumen!$C$5),1,0)</f>
        <v>0</v>
      </c>
      <c r="P947" s="25" t="n">
        <f aca="false">IF(AND(B947&gt;Resumen!$C$5,B947&lt;=DATE(2027,7,31)),1,0)</f>
        <v>0</v>
      </c>
    </row>
    <row r="948" customFormat="false" ht="15" hidden="false" customHeight="false" outlineLevel="0" collapsed="false">
      <c r="A948" s="22" t="n">
        <v>180</v>
      </c>
      <c r="B948" s="23" t="n">
        <v>49884</v>
      </c>
      <c r="C948" s="28" t="n">
        <v>1269230769.23077</v>
      </c>
      <c r="D948" s="28" t="n">
        <v>16314903.8461538</v>
      </c>
      <c r="E948" s="28" t="n">
        <v>115384615.384615</v>
      </c>
      <c r="F948" s="28" t="n">
        <v>131699519.230769</v>
      </c>
      <c r="G948" s="28" t="n">
        <v>1153846153.84615</v>
      </c>
      <c r="H948" s="25" t="n">
        <f aca="false">J947</f>
        <v>1269230769.23077</v>
      </c>
      <c r="I948" s="25" t="n">
        <f aca="false">H948*N948</f>
        <v>16314903.8461538</v>
      </c>
      <c r="J948" s="25" t="n">
        <f aca="false">H948-E948</f>
        <v>1153846153.84615</v>
      </c>
      <c r="K948" s="25" t="n">
        <f aca="false">D948-I948</f>
        <v>0</v>
      </c>
      <c r="L948" s="25" t="n">
        <f aca="false">G948-J948</f>
        <v>0</v>
      </c>
      <c r="M948" s="25" t="n">
        <f aca="false">F948</f>
        <v>131699519.230769</v>
      </c>
      <c r="N948" s="48" t="n">
        <v>0.0128541666666667</v>
      </c>
      <c r="O948" s="25" t="n">
        <f aca="false">IF(AND(B948&gt;=DATE(2026,1,1),B948&lt;=Resumen!$C$5),1,0)</f>
        <v>0</v>
      </c>
      <c r="P948" s="25" t="n">
        <f aca="false">IF(AND(B948&gt;Resumen!$C$5,B948&lt;=DATE(2027,7,31)),1,0)</f>
        <v>0</v>
      </c>
    </row>
    <row r="949" customFormat="false" ht="15" hidden="false" customHeight="false" outlineLevel="0" collapsed="false">
      <c r="A949" s="22" t="n">
        <v>181</v>
      </c>
      <c r="B949" s="23" t="n">
        <v>49915</v>
      </c>
      <c r="C949" s="28" t="n">
        <v>1153846153.84615</v>
      </c>
      <c r="D949" s="28" t="n">
        <v>14831730.7692308</v>
      </c>
      <c r="E949" s="28" t="n">
        <v>0</v>
      </c>
      <c r="F949" s="28" t="n">
        <v>14831730.7692308</v>
      </c>
      <c r="G949" s="28" t="n">
        <v>1153846153.84615</v>
      </c>
      <c r="H949" s="25" t="n">
        <f aca="false">J948</f>
        <v>1153846153.84615</v>
      </c>
      <c r="I949" s="25" t="n">
        <f aca="false">H949*N949</f>
        <v>14831730.7692308</v>
      </c>
      <c r="J949" s="25" t="n">
        <f aca="false">H949-E949</f>
        <v>1153846153.84615</v>
      </c>
      <c r="K949" s="25" t="n">
        <f aca="false">D949-I949</f>
        <v>0</v>
      </c>
      <c r="L949" s="25" t="n">
        <f aca="false">G949-J949</f>
        <v>0</v>
      </c>
      <c r="M949" s="25" t="n">
        <f aca="false">F949</f>
        <v>14831730.7692308</v>
      </c>
      <c r="N949" s="48" t="n">
        <v>0.0128541666666667</v>
      </c>
      <c r="O949" s="25" t="n">
        <f aca="false">IF(AND(B949&gt;=DATE(2026,1,1),B949&lt;=Resumen!$C$5),1,0)</f>
        <v>0</v>
      </c>
      <c r="P949" s="25" t="n">
        <f aca="false">IF(AND(B949&gt;Resumen!$C$5,B949&lt;=DATE(2027,7,31)),1,0)</f>
        <v>0</v>
      </c>
    </row>
    <row r="950" customFormat="false" ht="15" hidden="false" customHeight="false" outlineLevel="0" collapsed="false">
      <c r="A950" s="22" t="n">
        <v>182</v>
      </c>
      <c r="B950" s="23" t="n">
        <v>49946</v>
      </c>
      <c r="C950" s="28" t="n">
        <v>1153846153.84615</v>
      </c>
      <c r="D950" s="28" t="n">
        <v>14831730.7692308</v>
      </c>
      <c r="E950" s="28" t="n">
        <v>0</v>
      </c>
      <c r="F950" s="28" t="n">
        <v>14831730.7692308</v>
      </c>
      <c r="G950" s="28" t="n">
        <v>1153846153.84615</v>
      </c>
      <c r="H950" s="25" t="n">
        <f aca="false">J949</f>
        <v>1153846153.84615</v>
      </c>
      <c r="I950" s="25" t="n">
        <f aca="false">H950*N950</f>
        <v>14831730.7692308</v>
      </c>
      <c r="J950" s="25" t="n">
        <f aca="false">H950-E950</f>
        <v>1153846153.84615</v>
      </c>
      <c r="K950" s="25" t="n">
        <f aca="false">D950-I950</f>
        <v>0</v>
      </c>
      <c r="L950" s="25" t="n">
        <f aca="false">G950-J950</f>
        <v>0</v>
      </c>
      <c r="M950" s="25" t="n">
        <f aca="false">F950</f>
        <v>14831730.7692308</v>
      </c>
      <c r="N950" s="48" t="n">
        <v>0.0128541666666667</v>
      </c>
      <c r="O950" s="25" t="n">
        <f aca="false">IF(AND(B950&gt;=DATE(2026,1,1),B950&lt;=Resumen!$C$5),1,0)</f>
        <v>0</v>
      </c>
      <c r="P950" s="25" t="n">
        <f aca="false">IF(AND(B950&gt;Resumen!$C$5,B950&lt;=DATE(2027,7,31)),1,0)</f>
        <v>0</v>
      </c>
    </row>
    <row r="951" customFormat="false" ht="15" hidden="false" customHeight="false" outlineLevel="0" collapsed="false">
      <c r="A951" s="22" t="n">
        <v>183</v>
      </c>
      <c r="B951" s="23" t="n">
        <v>49976</v>
      </c>
      <c r="C951" s="28" t="n">
        <v>1153846153.84615</v>
      </c>
      <c r="D951" s="28" t="n">
        <v>14831730.7692308</v>
      </c>
      <c r="E951" s="28" t="n">
        <v>0</v>
      </c>
      <c r="F951" s="28" t="n">
        <v>14831730.7692308</v>
      </c>
      <c r="G951" s="28" t="n">
        <v>1153846153.84615</v>
      </c>
      <c r="H951" s="25" t="n">
        <f aca="false">J950</f>
        <v>1153846153.84615</v>
      </c>
      <c r="I951" s="25" t="n">
        <f aca="false">H951*N951</f>
        <v>14831730.7692308</v>
      </c>
      <c r="J951" s="25" t="n">
        <f aca="false">H951-E951</f>
        <v>1153846153.84615</v>
      </c>
      <c r="K951" s="25" t="n">
        <f aca="false">D951-I951</f>
        <v>0</v>
      </c>
      <c r="L951" s="25" t="n">
        <f aca="false">G951-J951</f>
        <v>0</v>
      </c>
      <c r="M951" s="25" t="n">
        <f aca="false">F951</f>
        <v>14831730.7692308</v>
      </c>
      <c r="N951" s="48" t="n">
        <v>0.0128541666666667</v>
      </c>
      <c r="O951" s="25" t="n">
        <f aca="false">IF(AND(B951&gt;=DATE(2026,1,1),B951&lt;=Resumen!$C$5),1,0)</f>
        <v>0</v>
      </c>
      <c r="P951" s="25" t="n">
        <f aca="false">IF(AND(B951&gt;Resumen!$C$5,B951&lt;=DATE(2027,7,31)),1,0)</f>
        <v>0</v>
      </c>
    </row>
    <row r="952" customFormat="false" ht="15" hidden="false" customHeight="false" outlineLevel="0" collapsed="false">
      <c r="A952" s="22" t="n">
        <v>184</v>
      </c>
      <c r="B952" s="23" t="n">
        <v>50007</v>
      </c>
      <c r="C952" s="28" t="n">
        <v>1153846153.84615</v>
      </c>
      <c r="D952" s="28" t="n">
        <v>14831730.7692308</v>
      </c>
      <c r="E952" s="28" t="n">
        <v>0</v>
      </c>
      <c r="F952" s="28" t="n">
        <v>14831730.7692308</v>
      </c>
      <c r="G952" s="28" t="n">
        <v>1153846153.84615</v>
      </c>
      <c r="H952" s="25" t="n">
        <f aca="false">J951</f>
        <v>1153846153.84615</v>
      </c>
      <c r="I952" s="25" t="n">
        <f aca="false">H952*N952</f>
        <v>14831730.7692308</v>
      </c>
      <c r="J952" s="25" t="n">
        <f aca="false">H952-E952</f>
        <v>1153846153.84615</v>
      </c>
      <c r="K952" s="25" t="n">
        <f aca="false">D952-I952</f>
        <v>0</v>
      </c>
      <c r="L952" s="25" t="n">
        <f aca="false">G952-J952</f>
        <v>0</v>
      </c>
      <c r="M952" s="25" t="n">
        <f aca="false">F952</f>
        <v>14831730.7692308</v>
      </c>
      <c r="N952" s="48" t="n">
        <v>0.0128541666666667</v>
      </c>
      <c r="O952" s="25" t="n">
        <f aca="false">IF(AND(B952&gt;=DATE(2026,1,1),B952&lt;=Resumen!$C$5),1,0)</f>
        <v>0</v>
      </c>
      <c r="P952" s="25" t="n">
        <f aca="false">IF(AND(B952&gt;Resumen!$C$5,B952&lt;=DATE(2027,7,31)),1,0)</f>
        <v>0</v>
      </c>
    </row>
    <row r="953" customFormat="false" ht="15" hidden="false" customHeight="false" outlineLevel="0" collapsed="false">
      <c r="A953" s="22" t="n">
        <v>185</v>
      </c>
      <c r="B953" s="23" t="n">
        <v>50037</v>
      </c>
      <c r="C953" s="28" t="n">
        <v>1153846153.84615</v>
      </c>
      <c r="D953" s="28" t="n">
        <v>14831730.7692308</v>
      </c>
      <c r="E953" s="28" t="n">
        <v>0</v>
      </c>
      <c r="F953" s="28" t="n">
        <v>14831730.7692308</v>
      </c>
      <c r="G953" s="28" t="n">
        <v>1153846153.84615</v>
      </c>
      <c r="H953" s="25" t="n">
        <f aca="false">J952</f>
        <v>1153846153.84615</v>
      </c>
      <c r="I953" s="25" t="n">
        <f aca="false">H953*N953</f>
        <v>14831730.7692308</v>
      </c>
      <c r="J953" s="25" t="n">
        <f aca="false">H953-E953</f>
        <v>1153846153.84615</v>
      </c>
      <c r="K953" s="25" t="n">
        <f aca="false">D953-I953</f>
        <v>0</v>
      </c>
      <c r="L953" s="25" t="n">
        <f aca="false">G953-J953</f>
        <v>0</v>
      </c>
      <c r="M953" s="25" t="n">
        <f aca="false">F953</f>
        <v>14831730.7692308</v>
      </c>
      <c r="N953" s="48" t="n">
        <v>0.0128541666666667</v>
      </c>
      <c r="O953" s="25" t="n">
        <f aca="false">IF(AND(B953&gt;=DATE(2026,1,1),B953&lt;=Resumen!$C$5),1,0)</f>
        <v>0</v>
      </c>
      <c r="P953" s="25" t="n">
        <f aca="false">IF(AND(B953&gt;Resumen!$C$5,B953&lt;=DATE(2027,7,31)),1,0)</f>
        <v>0</v>
      </c>
    </row>
    <row r="954" customFormat="false" ht="15" hidden="false" customHeight="false" outlineLevel="0" collapsed="false">
      <c r="A954" s="22" t="n">
        <v>186</v>
      </c>
      <c r="B954" s="23" t="n">
        <v>50068</v>
      </c>
      <c r="C954" s="28" t="n">
        <v>1153846153.84615</v>
      </c>
      <c r="D954" s="28" t="n">
        <v>14831730.7692308</v>
      </c>
      <c r="E954" s="28" t="n">
        <v>115384615.384615</v>
      </c>
      <c r="F954" s="28" t="n">
        <v>130216346.153846</v>
      </c>
      <c r="G954" s="28" t="n">
        <v>1038461538.46154</v>
      </c>
      <c r="H954" s="25" t="n">
        <f aca="false">J953</f>
        <v>1153846153.84615</v>
      </c>
      <c r="I954" s="25" t="n">
        <f aca="false">H954*N954</f>
        <v>14831730.7692308</v>
      </c>
      <c r="J954" s="25" t="n">
        <f aca="false">H954-E954</f>
        <v>1038461538.46154</v>
      </c>
      <c r="K954" s="25" t="n">
        <f aca="false">D954-I954</f>
        <v>0</v>
      </c>
      <c r="L954" s="25" t="n">
        <f aca="false">G954-J954</f>
        <v>0</v>
      </c>
      <c r="M954" s="25" t="n">
        <f aca="false">F954</f>
        <v>130216346.153846</v>
      </c>
      <c r="N954" s="48" t="n">
        <v>0.0128541666666667</v>
      </c>
      <c r="O954" s="25" t="n">
        <f aca="false">IF(AND(B954&gt;=DATE(2026,1,1),B954&lt;=Resumen!$C$5),1,0)</f>
        <v>0</v>
      </c>
      <c r="P954" s="25" t="n">
        <f aca="false">IF(AND(B954&gt;Resumen!$C$5,B954&lt;=DATE(2027,7,31)),1,0)</f>
        <v>0</v>
      </c>
    </row>
    <row r="955" customFormat="false" ht="15" hidden="false" customHeight="false" outlineLevel="0" collapsed="false">
      <c r="A955" s="22" t="n">
        <v>187</v>
      </c>
      <c r="B955" s="23" t="n">
        <v>50099</v>
      </c>
      <c r="C955" s="28" t="n">
        <v>1038461538.46154</v>
      </c>
      <c r="D955" s="28" t="n">
        <v>13348557.6923077</v>
      </c>
      <c r="E955" s="28" t="n">
        <v>0</v>
      </c>
      <c r="F955" s="28" t="n">
        <v>13348557.6923077</v>
      </c>
      <c r="G955" s="28" t="n">
        <v>1038461538.46154</v>
      </c>
      <c r="H955" s="25" t="n">
        <f aca="false">J954</f>
        <v>1038461538.46154</v>
      </c>
      <c r="I955" s="25" t="n">
        <f aca="false">H955*N955</f>
        <v>13348557.6923077</v>
      </c>
      <c r="J955" s="25" t="n">
        <f aca="false">H955-E955</f>
        <v>1038461538.46154</v>
      </c>
      <c r="K955" s="25" t="n">
        <f aca="false">D955-I955</f>
        <v>0</v>
      </c>
      <c r="L955" s="25" t="n">
        <f aca="false">G955-J955</f>
        <v>0</v>
      </c>
      <c r="M955" s="25" t="n">
        <f aca="false">F955</f>
        <v>13348557.6923077</v>
      </c>
      <c r="N955" s="48" t="n">
        <v>0.0128541666666667</v>
      </c>
      <c r="O955" s="25" t="n">
        <f aca="false">IF(AND(B955&gt;=DATE(2026,1,1),B955&lt;=Resumen!$C$5),1,0)</f>
        <v>0</v>
      </c>
      <c r="P955" s="25" t="n">
        <f aca="false">IF(AND(B955&gt;Resumen!$C$5,B955&lt;=DATE(2027,7,31)),1,0)</f>
        <v>0</v>
      </c>
    </row>
    <row r="956" customFormat="false" ht="15" hidden="false" customHeight="false" outlineLevel="0" collapsed="false">
      <c r="A956" s="22" t="n">
        <v>188</v>
      </c>
      <c r="B956" s="23" t="n">
        <v>50127</v>
      </c>
      <c r="C956" s="28" t="n">
        <v>1038461538.46154</v>
      </c>
      <c r="D956" s="28" t="n">
        <v>13348557.6923077</v>
      </c>
      <c r="E956" s="28" t="n">
        <v>0</v>
      </c>
      <c r="F956" s="28" t="n">
        <v>13348557.6923077</v>
      </c>
      <c r="G956" s="28" t="n">
        <v>1038461538.46154</v>
      </c>
      <c r="H956" s="25" t="n">
        <f aca="false">J955</f>
        <v>1038461538.46154</v>
      </c>
      <c r="I956" s="25" t="n">
        <f aca="false">H956*N956</f>
        <v>13348557.6923077</v>
      </c>
      <c r="J956" s="25" t="n">
        <f aca="false">H956-E956</f>
        <v>1038461538.46154</v>
      </c>
      <c r="K956" s="25" t="n">
        <f aca="false">D956-I956</f>
        <v>0</v>
      </c>
      <c r="L956" s="25" t="n">
        <f aca="false">G956-J956</f>
        <v>0</v>
      </c>
      <c r="M956" s="25" t="n">
        <f aca="false">F956</f>
        <v>13348557.6923077</v>
      </c>
      <c r="N956" s="48" t="n">
        <v>0.0128541666666667</v>
      </c>
      <c r="O956" s="25" t="n">
        <f aca="false">IF(AND(B956&gt;=DATE(2026,1,1),B956&lt;=Resumen!$C$5),1,0)</f>
        <v>0</v>
      </c>
      <c r="P956" s="25" t="n">
        <f aca="false">IF(AND(B956&gt;Resumen!$C$5,B956&lt;=DATE(2027,7,31)),1,0)</f>
        <v>0</v>
      </c>
    </row>
    <row r="957" customFormat="false" ht="15" hidden="false" customHeight="false" outlineLevel="0" collapsed="false">
      <c r="A957" s="22" t="n">
        <v>189</v>
      </c>
      <c r="B957" s="23" t="n">
        <v>50158</v>
      </c>
      <c r="C957" s="28" t="n">
        <v>1038461538.46154</v>
      </c>
      <c r="D957" s="28" t="n">
        <v>13348557.6923077</v>
      </c>
      <c r="E957" s="28" t="n">
        <v>0</v>
      </c>
      <c r="F957" s="28" t="n">
        <v>13348557.6923077</v>
      </c>
      <c r="G957" s="28" t="n">
        <v>1038461538.46154</v>
      </c>
      <c r="H957" s="25" t="n">
        <f aca="false">J956</f>
        <v>1038461538.46154</v>
      </c>
      <c r="I957" s="25" t="n">
        <f aca="false">H957*N957</f>
        <v>13348557.6923077</v>
      </c>
      <c r="J957" s="25" t="n">
        <f aca="false">H957-E957</f>
        <v>1038461538.46154</v>
      </c>
      <c r="K957" s="25" t="n">
        <f aca="false">D957-I957</f>
        <v>0</v>
      </c>
      <c r="L957" s="25" t="n">
        <f aca="false">G957-J957</f>
        <v>0</v>
      </c>
      <c r="M957" s="25" t="n">
        <f aca="false">F957</f>
        <v>13348557.6923077</v>
      </c>
      <c r="N957" s="48" t="n">
        <v>0.0128541666666667</v>
      </c>
      <c r="O957" s="25" t="n">
        <f aca="false">IF(AND(B957&gt;=DATE(2026,1,1),B957&lt;=Resumen!$C$5),1,0)</f>
        <v>0</v>
      </c>
      <c r="P957" s="25" t="n">
        <f aca="false">IF(AND(B957&gt;Resumen!$C$5,B957&lt;=DATE(2027,7,31)),1,0)</f>
        <v>0</v>
      </c>
    </row>
    <row r="958" customFormat="false" ht="15" hidden="false" customHeight="false" outlineLevel="0" collapsed="false">
      <c r="A958" s="22" t="n">
        <v>190</v>
      </c>
      <c r="B958" s="23" t="n">
        <v>50188</v>
      </c>
      <c r="C958" s="28" t="n">
        <v>1038461538.46154</v>
      </c>
      <c r="D958" s="28" t="n">
        <v>13348557.6923077</v>
      </c>
      <c r="E958" s="28" t="n">
        <v>0</v>
      </c>
      <c r="F958" s="28" t="n">
        <v>13348557.6923077</v>
      </c>
      <c r="G958" s="28" t="n">
        <v>1038461538.46154</v>
      </c>
      <c r="H958" s="25" t="n">
        <f aca="false">J957</f>
        <v>1038461538.46154</v>
      </c>
      <c r="I958" s="25" t="n">
        <f aca="false">H958*N958</f>
        <v>13348557.6923077</v>
      </c>
      <c r="J958" s="25" t="n">
        <f aca="false">H958-E958</f>
        <v>1038461538.46154</v>
      </c>
      <c r="K958" s="25" t="n">
        <f aca="false">D958-I958</f>
        <v>0</v>
      </c>
      <c r="L958" s="25" t="n">
        <f aca="false">G958-J958</f>
        <v>0</v>
      </c>
      <c r="M958" s="25" t="n">
        <f aca="false">F958</f>
        <v>13348557.6923077</v>
      </c>
      <c r="N958" s="48" t="n">
        <v>0.0128541666666667</v>
      </c>
      <c r="O958" s="25" t="n">
        <f aca="false">IF(AND(B958&gt;=DATE(2026,1,1),B958&lt;=Resumen!$C$5),1,0)</f>
        <v>0</v>
      </c>
      <c r="P958" s="25" t="n">
        <f aca="false">IF(AND(B958&gt;Resumen!$C$5,B958&lt;=DATE(2027,7,31)),1,0)</f>
        <v>0</v>
      </c>
    </row>
    <row r="959" customFormat="false" ht="15" hidden="false" customHeight="false" outlineLevel="0" collapsed="false">
      <c r="A959" s="22" t="n">
        <v>191</v>
      </c>
      <c r="B959" s="23" t="n">
        <v>50219</v>
      </c>
      <c r="C959" s="28" t="n">
        <v>1038461538.46154</v>
      </c>
      <c r="D959" s="28" t="n">
        <v>13348557.6923077</v>
      </c>
      <c r="E959" s="28" t="n">
        <v>0</v>
      </c>
      <c r="F959" s="28" t="n">
        <v>13348557.6923077</v>
      </c>
      <c r="G959" s="28" t="n">
        <v>1038461538.46154</v>
      </c>
      <c r="H959" s="25" t="n">
        <f aca="false">J958</f>
        <v>1038461538.46154</v>
      </c>
      <c r="I959" s="25" t="n">
        <f aca="false">H959*N959</f>
        <v>13348557.6923077</v>
      </c>
      <c r="J959" s="25" t="n">
        <f aca="false">H959-E959</f>
        <v>1038461538.46154</v>
      </c>
      <c r="K959" s="25" t="n">
        <f aca="false">D959-I959</f>
        <v>0</v>
      </c>
      <c r="L959" s="25" t="n">
        <f aca="false">G959-J959</f>
        <v>0</v>
      </c>
      <c r="M959" s="25" t="n">
        <f aca="false">F959</f>
        <v>13348557.6923077</v>
      </c>
      <c r="N959" s="48" t="n">
        <v>0.0128541666666667</v>
      </c>
      <c r="O959" s="25" t="n">
        <f aca="false">IF(AND(B959&gt;=DATE(2026,1,1),B959&lt;=Resumen!$C$5),1,0)</f>
        <v>0</v>
      </c>
      <c r="P959" s="25" t="n">
        <f aca="false">IF(AND(B959&gt;Resumen!$C$5,B959&lt;=DATE(2027,7,31)),1,0)</f>
        <v>0</v>
      </c>
    </row>
    <row r="960" customFormat="false" ht="15" hidden="false" customHeight="false" outlineLevel="0" collapsed="false">
      <c r="A960" s="22" t="n">
        <v>192</v>
      </c>
      <c r="B960" s="23" t="n">
        <v>50249</v>
      </c>
      <c r="C960" s="28" t="n">
        <v>1038461538.46154</v>
      </c>
      <c r="D960" s="28" t="n">
        <v>13348557.6923077</v>
      </c>
      <c r="E960" s="28" t="n">
        <v>115384615.384615</v>
      </c>
      <c r="F960" s="28" t="n">
        <v>128733173.076923</v>
      </c>
      <c r="G960" s="28" t="n">
        <v>923076923.076922</v>
      </c>
      <c r="H960" s="25" t="n">
        <f aca="false">J959</f>
        <v>1038461538.46154</v>
      </c>
      <c r="I960" s="25" t="n">
        <f aca="false">H960*N960</f>
        <v>13348557.6923077</v>
      </c>
      <c r="J960" s="25" t="n">
        <f aca="false">H960-E960</f>
        <v>923076923.076922</v>
      </c>
      <c r="K960" s="25" t="n">
        <f aca="false">D960-I960</f>
        <v>0</v>
      </c>
      <c r="L960" s="25" t="n">
        <f aca="false">G960-J960</f>
        <v>0</v>
      </c>
      <c r="M960" s="25" t="n">
        <f aca="false">F960</f>
        <v>128733173.076923</v>
      </c>
      <c r="N960" s="48" t="n">
        <v>0.0128541666666667</v>
      </c>
      <c r="O960" s="25" t="n">
        <f aca="false">IF(AND(B960&gt;=DATE(2026,1,1),B960&lt;=Resumen!$C$5),1,0)</f>
        <v>0</v>
      </c>
      <c r="P960" s="25" t="n">
        <f aca="false">IF(AND(B960&gt;Resumen!$C$5,B960&lt;=DATE(2027,7,31)),1,0)</f>
        <v>0</v>
      </c>
    </row>
    <row r="961" customFormat="false" ht="15" hidden="false" customHeight="false" outlineLevel="0" collapsed="false">
      <c r="A961" s="22" t="n">
        <v>193</v>
      </c>
      <c r="B961" s="23" t="n">
        <v>50280</v>
      </c>
      <c r="C961" s="28" t="n">
        <v>923076923.076922</v>
      </c>
      <c r="D961" s="28" t="n">
        <v>11865384.6153846</v>
      </c>
      <c r="E961" s="28" t="n">
        <v>0</v>
      </c>
      <c r="F961" s="28" t="n">
        <v>11865384.6153846</v>
      </c>
      <c r="G961" s="28" t="n">
        <v>923076923.076922</v>
      </c>
      <c r="H961" s="25" t="n">
        <f aca="false">J960</f>
        <v>923076923.076922</v>
      </c>
      <c r="I961" s="25" t="n">
        <f aca="false">H961*N961</f>
        <v>11865384.6153846</v>
      </c>
      <c r="J961" s="25" t="n">
        <f aca="false">H961-E961</f>
        <v>923076923.076922</v>
      </c>
      <c r="K961" s="25" t="n">
        <f aca="false">D961-I961</f>
        <v>0</v>
      </c>
      <c r="L961" s="25" t="n">
        <f aca="false">G961-J961</f>
        <v>0</v>
      </c>
      <c r="M961" s="25" t="n">
        <f aca="false">F961</f>
        <v>11865384.6153846</v>
      </c>
      <c r="N961" s="48" t="n">
        <v>0.0128541666666667</v>
      </c>
      <c r="O961" s="25" t="n">
        <f aca="false">IF(AND(B961&gt;=DATE(2026,1,1),B961&lt;=Resumen!$C$5),1,0)</f>
        <v>0</v>
      </c>
      <c r="P961" s="25" t="n">
        <f aca="false">IF(AND(B961&gt;Resumen!$C$5,B961&lt;=DATE(2027,7,31)),1,0)</f>
        <v>0</v>
      </c>
    </row>
    <row r="962" customFormat="false" ht="15" hidden="false" customHeight="false" outlineLevel="0" collapsed="false">
      <c r="A962" s="22" t="n">
        <v>194</v>
      </c>
      <c r="B962" s="23" t="n">
        <v>50311</v>
      </c>
      <c r="C962" s="28" t="n">
        <v>923076923.076922</v>
      </c>
      <c r="D962" s="28" t="n">
        <v>11865384.6153846</v>
      </c>
      <c r="E962" s="28" t="n">
        <v>0</v>
      </c>
      <c r="F962" s="28" t="n">
        <v>11865384.6153846</v>
      </c>
      <c r="G962" s="28" t="n">
        <v>923076923.076922</v>
      </c>
      <c r="H962" s="25" t="n">
        <f aca="false">J961</f>
        <v>923076923.076922</v>
      </c>
      <c r="I962" s="25" t="n">
        <f aca="false">H962*N962</f>
        <v>11865384.6153846</v>
      </c>
      <c r="J962" s="25" t="n">
        <f aca="false">H962-E962</f>
        <v>923076923.076922</v>
      </c>
      <c r="K962" s="25" t="n">
        <f aca="false">D962-I962</f>
        <v>0</v>
      </c>
      <c r="L962" s="25" t="n">
        <f aca="false">G962-J962</f>
        <v>0</v>
      </c>
      <c r="M962" s="25" t="n">
        <f aca="false">F962</f>
        <v>11865384.6153846</v>
      </c>
      <c r="N962" s="48" t="n">
        <v>0.0128541666666667</v>
      </c>
      <c r="O962" s="25" t="n">
        <f aca="false">IF(AND(B962&gt;=DATE(2026,1,1),B962&lt;=Resumen!$C$5),1,0)</f>
        <v>0</v>
      </c>
      <c r="P962" s="25" t="n">
        <f aca="false">IF(AND(B962&gt;Resumen!$C$5,B962&lt;=DATE(2027,7,31)),1,0)</f>
        <v>0</v>
      </c>
    </row>
    <row r="963" customFormat="false" ht="15" hidden="false" customHeight="false" outlineLevel="0" collapsed="false">
      <c r="A963" s="22" t="n">
        <v>195</v>
      </c>
      <c r="B963" s="23" t="n">
        <v>50341</v>
      </c>
      <c r="C963" s="28" t="n">
        <v>923076923.076922</v>
      </c>
      <c r="D963" s="28" t="n">
        <v>11865384.6153846</v>
      </c>
      <c r="E963" s="28" t="n">
        <v>0</v>
      </c>
      <c r="F963" s="28" t="n">
        <v>11865384.6153846</v>
      </c>
      <c r="G963" s="28" t="n">
        <v>923076923.076922</v>
      </c>
      <c r="H963" s="25" t="n">
        <f aca="false">J962</f>
        <v>923076923.076922</v>
      </c>
      <c r="I963" s="25" t="n">
        <f aca="false">H963*N963</f>
        <v>11865384.6153846</v>
      </c>
      <c r="J963" s="25" t="n">
        <f aca="false">H963-E963</f>
        <v>923076923.076922</v>
      </c>
      <c r="K963" s="25" t="n">
        <f aca="false">D963-I963</f>
        <v>0</v>
      </c>
      <c r="L963" s="25" t="n">
        <f aca="false">G963-J963</f>
        <v>0</v>
      </c>
      <c r="M963" s="25" t="n">
        <f aca="false">F963</f>
        <v>11865384.6153846</v>
      </c>
      <c r="N963" s="48" t="n">
        <v>0.0128541666666667</v>
      </c>
      <c r="O963" s="25" t="n">
        <f aca="false">IF(AND(B963&gt;=DATE(2026,1,1),B963&lt;=Resumen!$C$5),1,0)</f>
        <v>0</v>
      </c>
      <c r="P963" s="25" t="n">
        <f aca="false">IF(AND(B963&gt;Resumen!$C$5,B963&lt;=DATE(2027,7,31)),1,0)</f>
        <v>0</v>
      </c>
    </row>
    <row r="964" customFormat="false" ht="15" hidden="false" customHeight="false" outlineLevel="0" collapsed="false">
      <c r="A964" s="22" t="n">
        <v>196</v>
      </c>
      <c r="B964" s="23" t="n">
        <v>50372</v>
      </c>
      <c r="C964" s="28" t="n">
        <v>923076923.076922</v>
      </c>
      <c r="D964" s="28" t="n">
        <v>11865384.6153846</v>
      </c>
      <c r="E964" s="28" t="n">
        <v>0</v>
      </c>
      <c r="F964" s="28" t="n">
        <v>11865384.6153846</v>
      </c>
      <c r="G964" s="28" t="n">
        <v>923076923.076922</v>
      </c>
      <c r="H964" s="25" t="n">
        <f aca="false">J963</f>
        <v>923076923.076922</v>
      </c>
      <c r="I964" s="25" t="n">
        <f aca="false">H964*N964</f>
        <v>11865384.6153846</v>
      </c>
      <c r="J964" s="25" t="n">
        <f aca="false">H964-E964</f>
        <v>923076923.076922</v>
      </c>
      <c r="K964" s="25" t="n">
        <f aca="false">D964-I964</f>
        <v>0</v>
      </c>
      <c r="L964" s="25" t="n">
        <f aca="false">G964-J964</f>
        <v>0</v>
      </c>
      <c r="M964" s="25" t="n">
        <f aca="false">F964</f>
        <v>11865384.6153846</v>
      </c>
      <c r="N964" s="48" t="n">
        <v>0.0128541666666667</v>
      </c>
      <c r="O964" s="25" t="n">
        <f aca="false">IF(AND(B964&gt;=DATE(2026,1,1),B964&lt;=Resumen!$C$5),1,0)</f>
        <v>0</v>
      </c>
      <c r="P964" s="25" t="n">
        <f aca="false">IF(AND(B964&gt;Resumen!$C$5,B964&lt;=DATE(2027,7,31)),1,0)</f>
        <v>0</v>
      </c>
    </row>
    <row r="965" customFormat="false" ht="15" hidden="false" customHeight="false" outlineLevel="0" collapsed="false">
      <c r="A965" s="22" t="n">
        <v>197</v>
      </c>
      <c r="B965" s="23" t="n">
        <v>50402</v>
      </c>
      <c r="C965" s="28" t="n">
        <v>923076923.076922</v>
      </c>
      <c r="D965" s="28" t="n">
        <v>11865384.6153846</v>
      </c>
      <c r="E965" s="28" t="n">
        <v>0</v>
      </c>
      <c r="F965" s="28" t="n">
        <v>11865384.6153846</v>
      </c>
      <c r="G965" s="28" t="n">
        <v>923076923.076922</v>
      </c>
      <c r="H965" s="25" t="n">
        <f aca="false">J964</f>
        <v>923076923.076922</v>
      </c>
      <c r="I965" s="25" t="n">
        <f aca="false">H965*N965</f>
        <v>11865384.6153846</v>
      </c>
      <c r="J965" s="25" t="n">
        <f aca="false">H965-E965</f>
        <v>923076923.076922</v>
      </c>
      <c r="K965" s="25" t="n">
        <f aca="false">D965-I965</f>
        <v>0</v>
      </c>
      <c r="L965" s="25" t="n">
        <f aca="false">G965-J965</f>
        <v>0</v>
      </c>
      <c r="M965" s="25" t="n">
        <f aca="false">F965</f>
        <v>11865384.6153846</v>
      </c>
      <c r="N965" s="48" t="n">
        <v>0.0128541666666667</v>
      </c>
      <c r="O965" s="25" t="n">
        <f aca="false">IF(AND(B965&gt;=DATE(2026,1,1),B965&lt;=Resumen!$C$5),1,0)</f>
        <v>0</v>
      </c>
      <c r="P965" s="25" t="n">
        <f aca="false">IF(AND(B965&gt;Resumen!$C$5,B965&lt;=DATE(2027,7,31)),1,0)</f>
        <v>0</v>
      </c>
    </row>
    <row r="966" customFormat="false" ht="15" hidden="false" customHeight="false" outlineLevel="0" collapsed="false">
      <c r="A966" s="22" t="n">
        <v>198</v>
      </c>
      <c r="B966" s="23" t="n">
        <v>50433</v>
      </c>
      <c r="C966" s="28" t="n">
        <v>923076923.076922</v>
      </c>
      <c r="D966" s="28" t="n">
        <v>11865384.6153846</v>
      </c>
      <c r="E966" s="28" t="n">
        <v>115384615.384615</v>
      </c>
      <c r="F966" s="28" t="n">
        <v>127250000</v>
      </c>
      <c r="G966" s="28" t="n">
        <v>807692307.692307</v>
      </c>
      <c r="H966" s="25" t="n">
        <f aca="false">J965</f>
        <v>923076923.076922</v>
      </c>
      <c r="I966" s="25" t="n">
        <f aca="false">H966*N966</f>
        <v>11865384.6153846</v>
      </c>
      <c r="J966" s="25" t="n">
        <f aca="false">H966-E966</f>
        <v>807692307.692307</v>
      </c>
      <c r="K966" s="25" t="n">
        <f aca="false">D966-I966</f>
        <v>0</v>
      </c>
      <c r="L966" s="25" t="n">
        <f aca="false">G966-J966</f>
        <v>0</v>
      </c>
      <c r="M966" s="25" t="n">
        <f aca="false">F966</f>
        <v>127250000</v>
      </c>
      <c r="N966" s="48" t="n">
        <v>0.0128541666666667</v>
      </c>
      <c r="O966" s="25" t="n">
        <f aca="false">IF(AND(B966&gt;=DATE(2026,1,1),B966&lt;=Resumen!$C$5),1,0)</f>
        <v>0</v>
      </c>
      <c r="P966" s="25" t="n">
        <f aca="false">IF(AND(B966&gt;Resumen!$C$5,B966&lt;=DATE(2027,7,31)),1,0)</f>
        <v>0</v>
      </c>
    </row>
    <row r="967" customFormat="false" ht="15" hidden="false" customHeight="false" outlineLevel="0" collapsed="false">
      <c r="A967" s="22" t="n">
        <v>199</v>
      </c>
      <c r="B967" s="23" t="n">
        <v>50464</v>
      </c>
      <c r="C967" s="28" t="n">
        <v>807692307.692307</v>
      </c>
      <c r="D967" s="28" t="n">
        <v>10382211.5384615</v>
      </c>
      <c r="E967" s="28" t="n">
        <v>0</v>
      </c>
      <c r="F967" s="28" t="n">
        <v>10382211.5384615</v>
      </c>
      <c r="G967" s="28" t="n">
        <v>807692307.692307</v>
      </c>
      <c r="H967" s="25" t="n">
        <f aca="false">J966</f>
        <v>807692307.692307</v>
      </c>
      <c r="I967" s="25" t="n">
        <f aca="false">H967*N967</f>
        <v>10382211.5384615</v>
      </c>
      <c r="J967" s="25" t="n">
        <f aca="false">H967-E967</f>
        <v>807692307.692307</v>
      </c>
      <c r="K967" s="25" t="n">
        <f aca="false">D967-I967</f>
        <v>0</v>
      </c>
      <c r="L967" s="25" t="n">
        <f aca="false">G967-J967</f>
        <v>0</v>
      </c>
      <c r="M967" s="25" t="n">
        <f aca="false">F967</f>
        <v>10382211.5384615</v>
      </c>
      <c r="N967" s="48" t="n">
        <v>0.0128541666666667</v>
      </c>
      <c r="O967" s="25" t="n">
        <f aca="false">IF(AND(B967&gt;=DATE(2026,1,1),B967&lt;=Resumen!$C$5),1,0)</f>
        <v>0</v>
      </c>
      <c r="P967" s="25" t="n">
        <f aca="false">IF(AND(B967&gt;Resumen!$C$5,B967&lt;=DATE(2027,7,31)),1,0)</f>
        <v>0</v>
      </c>
    </row>
    <row r="968" customFormat="false" ht="15" hidden="false" customHeight="false" outlineLevel="0" collapsed="false">
      <c r="A968" s="22" t="n">
        <v>200</v>
      </c>
      <c r="B968" s="23" t="n">
        <v>50492</v>
      </c>
      <c r="C968" s="28" t="n">
        <v>807692307.692307</v>
      </c>
      <c r="D968" s="28" t="n">
        <v>10382211.5384615</v>
      </c>
      <c r="E968" s="28" t="n">
        <v>0</v>
      </c>
      <c r="F968" s="28" t="n">
        <v>10382211.5384615</v>
      </c>
      <c r="G968" s="28" t="n">
        <v>807692307.692307</v>
      </c>
      <c r="H968" s="25" t="n">
        <f aca="false">J967</f>
        <v>807692307.692307</v>
      </c>
      <c r="I968" s="25" t="n">
        <f aca="false">H968*N968</f>
        <v>10382211.5384615</v>
      </c>
      <c r="J968" s="25" t="n">
        <f aca="false">H968-E968</f>
        <v>807692307.692307</v>
      </c>
      <c r="K968" s="25" t="n">
        <f aca="false">D968-I968</f>
        <v>0</v>
      </c>
      <c r="L968" s="25" t="n">
        <f aca="false">G968-J968</f>
        <v>0</v>
      </c>
      <c r="M968" s="25" t="n">
        <f aca="false">F968</f>
        <v>10382211.5384615</v>
      </c>
      <c r="N968" s="48" t="n">
        <v>0.0128541666666667</v>
      </c>
      <c r="O968" s="25" t="n">
        <f aca="false">IF(AND(B968&gt;=DATE(2026,1,1),B968&lt;=Resumen!$C$5),1,0)</f>
        <v>0</v>
      </c>
      <c r="P968" s="25" t="n">
        <f aca="false">IF(AND(B968&gt;Resumen!$C$5,B968&lt;=DATE(2027,7,31)),1,0)</f>
        <v>0</v>
      </c>
    </row>
    <row r="969" customFormat="false" ht="15" hidden="false" customHeight="false" outlineLevel="0" collapsed="false">
      <c r="A969" s="22" t="n">
        <v>201</v>
      </c>
      <c r="B969" s="23" t="n">
        <v>50523</v>
      </c>
      <c r="C969" s="28" t="n">
        <v>807692307.692307</v>
      </c>
      <c r="D969" s="28" t="n">
        <v>10382211.5384615</v>
      </c>
      <c r="E969" s="28" t="n">
        <v>0</v>
      </c>
      <c r="F969" s="28" t="n">
        <v>10382211.5384615</v>
      </c>
      <c r="G969" s="28" t="n">
        <v>807692307.692307</v>
      </c>
      <c r="H969" s="25" t="n">
        <f aca="false">J968</f>
        <v>807692307.692307</v>
      </c>
      <c r="I969" s="25" t="n">
        <f aca="false">H969*N969</f>
        <v>10382211.5384615</v>
      </c>
      <c r="J969" s="25" t="n">
        <f aca="false">H969-E969</f>
        <v>807692307.692307</v>
      </c>
      <c r="K969" s="25" t="n">
        <f aca="false">D969-I969</f>
        <v>0</v>
      </c>
      <c r="L969" s="25" t="n">
        <f aca="false">G969-J969</f>
        <v>0</v>
      </c>
      <c r="M969" s="25" t="n">
        <f aca="false">F969</f>
        <v>10382211.5384615</v>
      </c>
      <c r="N969" s="48" t="n">
        <v>0.0128541666666667</v>
      </c>
      <c r="O969" s="25" t="n">
        <f aca="false">IF(AND(B969&gt;=DATE(2026,1,1),B969&lt;=Resumen!$C$5),1,0)</f>
        <v>0</v>
      </c>
      <c r="P969" s="25" t="n">
        <f aca="false">IF(AND(B969&gt;Resumen!$C$5,B969&lt;=DATE(2027,7,31)),1,0)</f>
        <v>0</v>
      </c>
    </row>
    <row r="970" customFormat="false" ht="15" hidden="false" customHeight="false" outlineLevel="0" collapsed="false">
      <c r="A970" s="22" t="n">
        <v>202</v>
      </c>
      <c r="B970" s="23" t="n">
        <v>50553</v>
      </c>
      <c r="C970" s="28" t="n">
        <v>807692307.692307</v>
      </c>
      <c r="D970" s="28" t="n">
        <v>10382211.5384615</v>
      </c>
      <c r="E970" s="28" t="n">
        <v>0</v>
      </c>
      <c r="F970" s="28" t="n">
        <v>10382211.5384615</v>
      </c>
      <c r="G970" s="28" t="n">
        <v>807692307.692307</v>
      </c>
      <c r="H970" s="25" t="n">
        <f aca="false">J969</f>
        <v>807692307.692307</v>
      </c>
      <c r="I970" s="25" t="n">
        <f aca="false">H970*N970</f>
        <v>10382211.5384615</v>
      </c>
      <c r="J970" s="25" t="n">
        <f aca="false">H970-E970</f>
        <v>807692307.692307</v>
      </c>
      <c r="K970" s="25" t="n">
        <f aca="false">D970-I970</f>
        <v>0</v>
      </c>
      <c r="L970" s="25" t="n">
        <f aca="false">G970-J970</f>
        <v>0</v>
      </c>
      <c r="M970" s="25" t="n">
        <f aca="false">F970</f>
        <v>10382211.5384615</v>
      </c>
      <c r="N970" s="48" t="n">
        <v>0.0128541666666667</v>
      </c>
      <c r="O970" s="25" t="n">
        <f aca="false">IF(AND(B970&gt;=DATE(2026,1,1),B970&lt;=Resumen!$C$5),1,0)</f>
        <v>0</v>
      </c>
      <c r="P970" s="25" t="n">
        <f aca="false">IF(AND(B970&gt;Resumen!$C$5,B970&lt;=DATE(2027,7,31)),1,0)</f>
        <v>0</v>
      </c>
    </row>
    <row r="971" customFormat="false" ht="15" hidden="false" customHeight="false" outlineLevel="0" collapsed="false">
      <c r="A971" s="22" t="n">
        <v>203</v>
      </c>
      <c r="B971" s="23" t="n">
        <v>50584</v>
      </c>
      <c r="C971" s="28" t="n">
        <v>807692307.692307</v>
      </c>
      <c r="D971" s="28" t="n">
        <v>10382211.5384615</v>
      </c>
      <c r="E971" s="28" t="n">
        <v>0</v>
      </c>
      <c r="F971" s="28" t="n">
        <v>10382211.5384615</v>
      </c>
      <c r="G971" s="28" t="n">
        <v>807692307.692307</v>
      </c>
      <c r="H971" s="25" t="n">
        <f aca="false">J970</f>
        <v>807692307.692307</v>
      </c>
      <c r="I971" s="25" t="n">
        <f aca="false">H971*N971</f>
        <v>10382211.5384615</v>
      </c>
      <c r="J971" s="25" t="n">
        <f aca="false">H971-E971</f>
        <v>807692307.692307</v>
      </c>
      <c r="K971" s="25" t="n">
        <f aca="false">D971-I971</f>
        <v>0</v>
      </c>
      <c r="L971" s="25" t="n">
        <f aca="false">G971-J971</f>
        <v>0</v>
      </c>
      <c r="M971" s="25" t="n">
        <f aca="false">F971</f>
        <v>10382211.5384615</v>
      </c>
      <c r="N971" s="48" t="n">
        <v>0.0128541666666667</v>
      </c>
      <c r="O971" s="25" t="n">
        <f aca="false">IF(AND(B971&gt;=DATE(2026,1,1),B971&lt;=Resumen!$C$5),1,0)</f>
        <v>0</v>
      </c>
      <c r="P971" s="25" t="n">
        <f aca="false">IF(AND(B971&gt;Resumen!$C$5,B971&lt;=DATE(2027,7,31)),1,0)</f>
        <v>0</v>
      </c>
    </row>
    <row r="972" customFormat="false" ht="15" hidden="false" customHeight="false" outlineLevel="0" collapsed="false">
      <c r="A972" s="22" t="n">
        <v>204</v>
      </c>
      <c r="B972" s="23" t="n">
        <v>50614</v>
      </c>
      <c r="C972" s="28" t="n">
        <v>807692307.692307</v>
      </c>
      <c r="D972" s="28" t="n">
        <v>10382211.5384615</v>
      </c>
      <c r="E972" s="28" t="n">
        <v>115384615.384615</v>
      </c>
      <c r="F972" s="28" t="n">
        <v>125766826.923077</v>
      </c>
      <c r="G972" s="28" t="n">
        <v>692307692.307692</v>
      </c>
      <c r="H972" s="25" t="n">
        <f aca="false">J971</f>
        <v>807692307.692307</v>
      </c>
      <c r="I972" s="25" t="n">
        <f aca="false">H972*N972</f>
        <v>10382211.5384615</v>
      </c>
      <c r="J972" s="25" t="n">
        <f aca="false">H972-E972</f>
        <v>692307692.307692</v>
      </c>
      <c r="K972" s="25" t="n">
        <f aca="false">D972-I972</f>
        <v>0</v>
      </c>
      <c r="L972" s="25" t="n">
        <f aca="false">G972-J972</f>
        <v>0</v>
      </c>
      <c r="M972" s="25" t="n">
        <f aca="false">F972</f>
        <v>125766826.923077</v>
      </c>
      <c r="N972" s="48" t="n">
        <v>0.0128541666666667</v>
      </c>
      <c r="O972" s="25" t="n">
        <f aca="false">IF(AND(B972&gt;=DATE(2026,1,1),B972&lt;=Resumen!$C$5),1,0)</f>
        <v>0</v>
      </c>
      <c r="P972" s="25" t="n">
        <f aca="false">IF(AND(B972&gt;Resumen!$C$5,B972&lt;=DATE(2027,7,31)),1,0)</f>
        <v>0</v>
      </c>
    </row>
    <row r="973" customFormat="false" ht="15" hidden="false" customHeight="false" outlineLevel="0" collapsed="false">
      <c r="A973" s="22" t="n">
        <v>205</v>
      </c>
      <c r="B973" s="23" t="n">
        <v>50645</v>
      </c>
      <c r="C973" s="28" t="n">
        <v>692307692.307692</v>
      </c>
      <c r="D973" s="28" t="n">
        <v>8899038.46153845</v>
      </c>
      <c r="E973" s="28" t="n">
        <v>0</v>
      </c>
      <c r="F973" s="28" t="n">
        <v>8899038.46153845</v>
      </c>
      <c r="G973" s="28" t="n">
        <v>692307692.307692</v>
      </c>
      <c r="H973" s="25" t="n">
        <f aca="false">J972</f>
        <v>692307692.307692</v>
      </c>
      <c r="I973" s="25" t="n">
        <f aca="false">H973*N973</f>
        <v>8899038.46153846</v>
      </c>
      <c r="J973" s="25" t="n">
        <f aca="false">H973-E973</f>
        <v>692307692.307692</v>
      </c>
      <c r="K973" s="25" t="n">
        <f aca="false">D973-I973</f>
        <v>0</v>
      </c>
      <c r="L973" s="25" t="n">
        <f aca="false">G973-J973</f>
        <v>0</v>
      </c>
      <c r="M973" s="25" t="n">
        <f aca="false">F973</f>
        <v>8899038.46153845</v>
      </c>
      <c r="N973" s="48" t="n">
        <v>0.0128541666666667</v>
      </c>
      <c r="O973" s="25" t="n">
        <f aca="false">IF(AND(B973&gt;=DATE(2026,1,1),B973&lt;=Resumen!$C$5),1,0)</f>
        <v>0</v>
      </c>
      <c r="P973" s="25" t="n">
        <f aca="false">IF(AND(B973&gt;Resumen!$C$5,B973&lt;=DATE(2027,7,31)),1,0)</f>
        <v>0</v>
      </c>
    </row>
    <row r="974" customFormat="false" ht="15" hidden="false" customHeight="false" outlineLevel="0" collapsed="false">
      <c r="A974" s="22" t="n">
        <v>206</v>
      </c>
      <c r="B974" s="23" t="n">
        <v>50676</v>
      </c>
      <c r="C974" s="28" t="n">
        <v>692307692.307692</v>
      </c>
      <c r="D974" s="28" t="n">
        <v>8899038.46153845</v>
      </c>
      <c r="E974" s="28" t="n">
        <v>0</v>
      </c>
      <c r="F974" s="28" t="n">
        <v>8899038.46153845</v>
      </c>
      <c r="G974" s="28" t="n">
        <v>692307692.307692</v>
      </c>
      <c r="H974" s="25" t="n">
        <f aca="false">J973</f>
        <v>692307692.307692</v>
      </c>
      <c r="I974" s="25" t="n">
        <f aca="false">H974*N974</f>
        <v>8899038.46153846</v>
      </c>
      <c r="J974" s="25" t="n">
        <f aca="false">H974-E974</f>
        <v>692307692.307692</v>
      </c>
      <c r="K974" s="25" t="n">
        <f aca="false">D974-I974</f>
        <v>0</v>
      </c>
      <c r="L974" s="25" t="n">
        <f aca="false">G974-J974</f>
        <v>0</v>
      </c>
      <c r="M974" s="25" t="n">
        <f aca="false">F974</f>
        <v>8899038.46153845</v>
      </c>
      <c r="N974" s="48" t="n">
        <v>0.0128541666666667</v>
      </c>
      <c r="O974" s="25" t="n">
        <f aca="false">IF(AND(B974&gt;=DATE(2026,1,1),B974&lt;=Resumen!$C$5),1,0)</f>
        <v>0</v>
      </c>
      <c r="P974" s="25" t="n">
        <f aca="false">IF(AND(B974&gt;Resumen!$C$5,B974&lt;=DATE(2027,7,31)),1,0)</f>
        <v>0</v>
      </c>
    </row>
    <row r="975" customFormat="false" ht="15" hidden="false" customHeight="false" outlineLevel="0" collapsed="false">
      <c r="A975" s="22" t="n">
        <v>207</v>
      </c>
      <c r="B975" s="23" t="n">
        <v>50706</v>
      </c>
      <c r="C975" s="28" t="n">
        <v>692307692.307692</v>
      </c>
      <c r="D975" s="28" t="n">
        <v>8899038.46153845</v>
      </c>
      <c r="E975" s="28" t="n">
        <v>0</v>
      </c>
      <c r="F975" s="28" t="n">
        <v>8899038.46153845</v>
      </c>
      <c r="G975" s="28" t="n">
        <v>692307692.307692</v>
      </c>
      <c r="H975" s="25" t="n">
        <f aca="false">J974</f>
        <v>692307692.307692</v>
      </c>
      <c r="I975" s="25" t="n">
        <f aca="false">H975*N975</f>
        <v>8899038.46153846</v>
      </c>
      <c r="J975" s="25" t="n">
        <f aca="false">H975-E975</f>
        <v>692307692.307692</v>
      </c>
      <c r="K975" s="25" t="n">
        <f aca="false">D975-I975</f>
        <v>0</v>
      </c>
      <c r="L975" s="25" t="n">
        <f aca="false">G975-J975</f>
        <v>0</v>
      </c>
      <c r="M975" s="25" t="n">
        <f aca="false">F975</f>
        <v>8899038.46153845</v>
      </c>
      <c r="N975" s="48" t="n">
        <v>0.0128541666666667</v>
      </c>
      <c r="O975" s="25" t="n">
        <f aca="false">IF(AND(B975&gt;=DATE(2026,1,1),B975&lt;=Resumen!$C$5),1,0)</f>
        <v>0</v>
      </c>
      <c r="P975" s="25" t="n">
        <f aca="false">IF(AND(B975&gt;Resumen!$C$5,B975&lt;=DATE(2027,7,31)),1,0)</f>
        <v>0</v>
      </c>
    </row>
    <row r="976" customFormat="false" ht="15" hidden="false" customHeight="false" outlineLevel="0" collapsed="false">
      <c r="A976" s="22" t="n">
        <v>208</v>
      </c>
      <c r="B976" s="23" t="n">
        <v>50737</v>
      </c>
      <c r="C976" s="28" t="n">
        <v>692307692.307692</v>
      </c>
      <c r="D976" s="28" t="n">
        <v>8899038.46153845</v>
      </c>
      <c r="E976" s="28" t="n">
        <v>0</v>
      </c>
      <c r="F976" s="28" t="n">
        <v>8899038.46153845</v>
      </c>
      <c r="G976" s="28" t="n">
        <v>692307692.307692</v>
      </c>
      <c r="H976" s="25" t="n">
        <f aca="false">J975</f>
        <v>692307692.307692</v>
      </c>
      <c r="I976" s="25" t="n">
        <f aca="false">H976*N976</f>
        <v>8899038.46153846</v>
      </c>
      <c r="J976" s="25" t="n">
        <f aca="false">H976-E976</f>
        <v>692307692.307692</v>
      </c>
      <c r="K976" s="25" t="n">
        <f aca="false">D976-I976</f>
        <v>0</v>
      </c>
      <c r="L976" s="25" t="n">
        <f aca="false">G976-J976</f>
        <v>0</v>
      </c>
      <c r="M976" s="25" t="n">
        <f aca="false">F976</f>
        <v>8899038.46153845</v>
      </c>
      <c r="N976" s="48" t="n">
        <v>0.0128541666666667</v>
      </c>
      <c r="O976" s="25" t="n">
        <f aca="false">IF(AND(B976&gt;=DATE(2026,1,1),B976&lt;=Resumen!$C$5),1,0)</f>
        <v>0</v>
      </c>
      <c r="P976" s="25" t="n">
        <f aca="false">IF(AND(B976&gt;Resumen!$C$5,B976&lt;=DATE(2027,7,31)),1,0)</f>
        <v>0</v>
      </c>
    </row>
    <row r="977" customFormat="false" ht="15" hidden="false" customHeight="false" outlineLevel="0" collapsed="false">
      <c r="A977" s="22" t="n">
        <v>209</v>
      </c>
      <c r="B977" s="23" t="n">
        <v>50767</v>
      </c>
      <c r="C977" s="28" t="n">
        <v>692307692.307692</v>
      </c>
      <c r="D977" s="28" t="n">
        <v>8899038.46153845</v>
      </c>
      <c r="E977" s="28" t="n">
        <v>0</v>
      </c>
      <c r="F977" s="28" t="n">
        <v>8899038.46153845</v>
      </c>
      <c r="G977" s="28" t="n">
        <v>692307692.307692</v>
      </c>
      <c r="H977" s="25" t="n">
        <f aca="false">J976</f>
        <v>692307692.307692</v>
      </c>
      <c r="I977" s="25" t="n">
        <f aca="false">H977*N977</f>
        <v>8899038.46153846</v>
      </c>
      <c r="J977" s="25" t="n">
        <f aca="false">H977-E977</f>
        <v>692307692.307692</v>
      </c>
      <c r="K977" s="25" t="n">
        <f aca="false">D977-I977</f>
        <v>0</v>
      </c>
      <c r="L977" s="25" t="n">
        <f aca="false">G977-J977</f>
        <v>0</v>
      </c>
      <c r="M977" s="25" t="n">
        <f aca="false">F977</f>
        <v>8899038.46153845</v>
      </c>
      <c r="N977" s="48" t="n">
        <v>0.0128541666666667</v>
      </c>
      <c r="O977" s="25" t="n">
        <f aca="false">IF(AND(B977&gt;=DATE(2026,1,1),B977&lt;=Resumen!$C$5),1,0)</f>
        <v>0</v>
      </c>
      <c r="P977" s="25" t="n">
        <f aca="false">IF(AND(B977&gt;Resumen!$C$5,B977&lt;=DATE(2027,7,31)),1,0)</f>
        <v>0</v>
      </c>
    </row>
    <row r="978" customFormat="false" ht="15" hidden="false" customHeight="false" outlineLevel="0" collapsed="false">
      <c r="A978" s="22" t="n">
        <v>210</v>
      </c>
      <c r="B978" s="23" t="n">
        <v>50798</v>
      </c>
      <c r="C978" s="28" t="n">
        <v>692307692.307692</v>
      </c>
      <c r="D978" s="28" t="n">
        <v>8899038.46153845</v>
      </c>
      <c r="E978" s="28" t="n">
        <v>115384615.384615</v>
      </c>
      <c r="F978" s="28" t="n">
        <v>124283653.846154</v>
      </c>
      <c r="G978" s="28" t="n">
        <v>576923076.923076</v>
      </c>
      <c r="H978" s="25" t="n">
        <f aca="false">J977</f>
        <v>692307692.307692</v>
      </c>
      <c r="I978" s="25" t="n">
        <f aca="false">H978*N978</f>
        <v>8899038.46153846</v>
      </c>
      <c r="J978" s="25" t="n">
        <f aca="false">H978-E978</f>
        <v>576923076.923076</v>
      </c>
      <c r="K978" s="25" t="n">
        <f aca="false">D978-I978</f>
        <v>0</v>
      </c>
      <c r="L978" s="25" t="n">
        <f aca="false">G978-J978</f>
        <v>0</v>
      </c>
      <c r="M978" s="25" t="n">
        <f aca="false">F978</f>
        <v>124283653.846154</v>
      </c>
      <c r="N978" s="48" t="n">
        <v>0.0128541666666667</v>
      </c>
      <c r="O978" s="25" t="n">
        <f aca="false">IF(AND(B978&gt;=DATE(2026,1,1),B978&lt;=Resumen!$C$5),1,0)</f>
        <v>0</v>
      </c>
      <c r="P978" s="25" t="n">
        <f aca="false">IF(AND(B978&gt;Resumen!$C$5,B978&lt;=DATE(2027,7,31)),1,0)</f>
        <v>0</v>
      </c>
    </row>
    <row r="979" customFormat="false" ht="15" hidden="false" customHeight="false" outlineLevel="0" collapsed="false">
      <c r="A979" s="22" t="n">
        <v>211</v>
      </c>
      <c r="B979" s="23" t="n">
        <v>50829</v>
      </c>
      <c r="C979" s="28" t="n">
        <v>576923076.923076</v>
      </c>
      <c r="D979" s="28" t="n">
        <v>7415865.38461538</v>
      </c>
      <c r="E979" s="28" t="n">
        <v>0</v>
      </c>
      <c r="F979" s="28" t="n">
        <v>7415865.38461538</v>
      </c>
      <c r="G979" s="28" t="n">
        <v>576923076.923076</v>
      </c>
      <c r="H979" s="25" t="n">
        <f aca="false">J978</f>
        <v>576923076.923076</v>
      </c>
      <c r="I979" s="25" t="n">
        <f aca="false">H979*N979</f>
        <v>7415865.38461538</v>
      </c>
      <c r="J979" s="25" t="n">
        <f aca="false">H979-E979</f>
        <v>576923076.923076</v>
      </c>
      <c r="K979" s="25" t="n">
        <f aca="false">D979-I979</f>
        <v>0</v>
      </c>
      <c r="L979" s="25" t="n">
        <f aca="false">G979-J979</f>
        <v>0</v>
      </c>
      <c r="M979" s="25" t="n">
        <f aca="false">F979</f>
        <v>7415865.38461538</v>
      </c>
      <c r="N979" s="48" t="n">
        <v>0.0128541666666667</v>
      </c>
      <c r="O979" s="25" t="n">
        <f aca="false">IF(AND(B979&gt;=DATE(2026,1,1),B979&lt;=Resumen!$C$5),1,0)</f>
        <v>0</v>
      </c>
      <c r="P979" s="25" t="n">
        <f aca="false">IF(AND(B979&gt;Resumen!$C$5,B979&lt;=DATE(2027,7,31)),1,0)</f>
        <v>0</v>
      </c>
    </row>
    <row r="980" customFormat="false" ht="15" hidden="false" customHeight="false" outlineLevel="0" collapsed="false">
      <c r="A980" s="22" t="n">
        <v>212</v>
      </c>
      <c r="B980" s="23" t="n">
        <v>50857</v>
      </c>
      <c r="C980" s="28" t="n">
        <v>576923076.923076</v>
      </c>
      <c r="D980" s="28" t="n">
        <v>7415865.38461538</v>
      </c>
      <c r="E980" s="28" t="n">
        <v>0</v>
      </c>
      <c r="F980" s="28" t="n">
        <v>7415865.38461538</v>
      </c>
      <c r="G980" s="28" t="n">
        <v>576923076.923076</v>
      </c>
      <c r="H980" s="25" t="n">
        <f aca="false">J979</f>
        <v>576923076.923076</v>
      </c>
      <c r="I980" s="25" t="n">
        <f aca="false">H980*N980</f>
        <v>7415865.38461538</v>
      </c>
      <c r="J980" s="25" t="n">
        <f aca="false">H980-E980</f>
        <v>576923076.923076</v>
      </c>
      <c r="K980" s="25" t="n">
        <f aca="false">D980-I980</f>
        <v>0</v>
      </c>
      <c r="L980" s="25" t="n">
        <f aca="false">G980-J980</f>
        <v>0</v>
      </c>
      <c r="M980" s="25" t="n">
        <f aca="false">F980</f>
        <v>7415865.38461538</v>
      </c>
      <c r="N980" s="48" t="n">
        <v>0.0128541666666667</v>
      </c>
      <c r="O980" s="25" t="n">
        <f aca="false">IF(AND(B980&gt;=DATE(2026,1,1),B980&lt;=Resumen!$C$5),1,0)</f>
        <v>0</v>
      </c>
      <c r="P980" s="25" t="n">
        <f aca="false">IF(AND(B980&gt;Resumen!$C$5,B980&lt;=DATE(2027,7,31)),1,0)</f>
        <v>0</v>
      </c>
    </row>
    <row r="981" customFormat="false" ht="15" hidden="false" customHeight="false" outlineLevel="0" collapsed="false">
      <c r="A981" s="22" t="n">
        <v>213</v>
      </c>
      <c r="B981" s="23" t="n">
        <v>50888</v>
      </c>
      <c r="C981" s="28" t="n">
        <v>576923076.923076</v>
      </c>
      <c r="D981" s="28" t="n">
        <v>7415865.38461538</v>
      </c>
      <c r="E981" s="28" t="n">
        <v>0</v>
      </c>
      <c r="F981" s="28" t="n">
        <v>7415865.38461538</v>
      </c>
      <c r="G981" s="28" t="n">
        <v>576923076.923076</v>
      </c>
      <c r="H981" s="25" t="n">
        <f aca="false">J980</f>
        <v>576923076.923076</v>
      </c>
      <c r="I981" s="25" t="n">
        <f aca="false">H981*N981</f>
        <v>7415865.38461538</v>
      </c>
      <c r="J981" s="25" t="n">
        <f aca="false">H981-E981</f>
        <v>576923076.923076</v>
      </c>
      <c r="K981" s="25" t="n">
        <f aca="false">D981-I981</f>
        <v>0</v>
      </c>
      <c r="L981" s="25" t="n">
        <f aca="false">G981-J981</f>
        <v>0</v>
      </c>
      <c r="M981" s="25" t="n">
        <f aca="false">F981</f>
        <v>7415865.38461538</v>
      </c>
      <c r="N981" s="48" t="n">
        <v>0.0128541666666667</v>
      </c>
      <c r="O981" s="25" t="n">
        <f aca="false">IF(AND(B981&gt;=DATE(2026,1,1),B981&lt;=Resumen!$C$5),1,0)</f>
        <v>0</v>
      </c>
      <c r="P981" s="25" t="n">
        <f aca="false">IF(AND(B981&gt;Resumen!$C$5,B981&lt;=DATE(2027,7,31)),1,0)</f>
        <v>0</v>
      </c>
    </row>
    <row r="982" customFormat="false" ht="15" hidden="false" customHeight="false" outlineLevel="0" collapsed="false">
      <c r="A982" s="22" t="n">
        <v>214</v>
      </c>
      <c r="B982" s="23" t="n">
        <v>50918</v>
      </c>
      <c r="C982" s="28" t="n">
        <v>576923076.923076</v>
      </c>
      <c r="D982" s="28" t="n">
        <v>7415865.38461538</v>
      </c>
      <c r="E982" s="28" t="n">
        <v>0</v>
      </c>
      <c r="F982" s="28" t="n">
        <v>7415865.38461538</v>
      </c>
      <c r="G982" s="28" t="n">
        <v>576923076.923076</v>
      </c>
      <c r="H982" s="25" t="n">
        <f aca="false">J981</f>
        <v>576923076.923076</v>
      </c>
      <c r="I982" s="25" t="n">
        <f aca="false">H982*N982</f>
        <v>7415865.38461538</v>
      </c>
      <c r="J982" s="25" t="n">
        <f aca="false">H982-E982</f>
        <v>576923076.923076</v>
      </c>
      <c r="K982" s="25" t="n">
        <f aca="false">D982-I982</f>
        <v>0</v>
      </c>
      <c r="L982" s="25" t="n">
        <f aca="false">G982-J982</f>
        <v>0</v>
      </c>
      <c r="M982" s="25" t="n">
        <f aca="false">F982</f>
        <v>7415865.38461538</v>
      </c>
      <c r="N982" s="48" t="n">
        <v>0.0128541666666667</v>
      </c>
      <c r="O982" s="25" t="n">
        <f aca="false">IF(AND(B982&gt;=DATE(2026,1,1),B982&lt;=Resumen!$C$5),1,0)</f>
        <v>0</v>
      </c>
      <c r="P982" s="25" t="n">
        <f aca="false">IF(AND(B982&gt;Resumen!$C$5,B982&lt;=DATE(2027,7,31)),1,0)</f>
        <v>0</v>
      </c>
    </row>
    <row r="983" customFormat="false" ht="15" hidden="false" customHeight="false" outlineLevel="0" collapsed="false">
      <c r="A983" s="22" t="n">
        <v>215</v>
      </c>
      <c r="B983" s="23" t="n">
        <v>50949</v>
      </c>
      <c r="C983" s="28" t="n">
        <v>576923076.923076</v>
      </c>
      <c r="D983" s="28" t="n">
        <v>7415865.38461538</v>
      </c>
      <c r="E983" s="28" t="n">
        <v>0</v>
      </c>
      <c r="F983" s="28" t="n">
        <v>7415865.38461538</v>
      </c>
      <c r="G983" s="28" t="n">
        <v>576923076.923076</v>
      </c>
      <c r="H983" s="25" t="n">
        <f aca="false">J982</f>
        <v>576923076.923076</v>
      </c>
      <c r="I983" s="25" t="n">
        <f aca="false">H983*N983</f>
        <v>7415865.38461538</v>
      </c>
      <c r="J983" s="25" t="n">
        <f aca="false">H983-E983</f>
        <v>576923076.923076</v>
      </c>
      <c r="K983" s="25" t="n">
        <f aca="false">D983-I983</f>
        <v>0</v>
      </c>
      <c r="L983" s="25" t="n">
        <f aca="false">G983-J983</f>
        <v>0</v>
      </c>
      <c r="M983" s="25" t="n">
        <f aca="false">F983</f>
        <v>7415865.38461538</v>
      </c>
      <c r="N983" s="48" t="n">
        <v>0.0128541666666667</v>
      </c>
      <c r="O983" s="25" t="n">
        <f aca="false">IF(AND(B983&gt;=DATE(2026,1,1),B983&lt;=Resumen!$C$5),1,0)</f>
        <v>0</v>
      </c>
      <c r="P983" s="25" t="n">
        <f aca="false">IF(AND(B983&gt;Resumen!$C$5,B983&lt;=DATE(2027,7,31)),1,0)</f>
        <v>0</v>
      </c>
    </row>
    <row r="984" customFormat="false" ht="15" hidden="false" customHeight="false" outlineLevel="0" collapsed="false">
      <c r="A984" s="22" t="n">
        <v>216</v>
      </c>
      <c r="B984" s="23" t="n">
        <v>50979</v>
      </c>
      <c r="C984" s="28" t="n">
        <v>576923076.923076</v>
      </c>
      <c r="D984" s="28" t="n">
        <v>7415865.38461538</v>
      </c>
      <c r="E984" s="28" t="n">
        <v>115384615.384615</v>
      </c>
      <c r="F984" s="28" t="n">
        <v>122800480.769231</v>
      </c>
      <c r="G984" s="28" t="n">
        <v>461538461.538461</v>
      </c>
      <c r="H984" s="25" t="n">
        <f aca="false">J983</f>
        <v>576923076.923076</v>
      </c>
      <c r="I984" s="25" t="n">
        <f aca="false">H984*N984</f>
        <v>7415865.38461538</v>
      </c>
      <c r="J984" s="25" t="n">
        <f aca="false">H984-E984</f>
        <v>461538461.538461</v>
      </c>
      <c r="K984" s="25" t="n">
        <f aca="false">D984-I984</f>
        <v>0</v>
      </c>
      <c r="L984" s="25" t="n">
        <f aca="false">G984-J984</f>
        <v>0</v>
      </c>
      <c r="M984" s="25" t="n">
        <f aca="false">F984</f>
        <v>122800480.769231</v>
      </c>
      <c r="N984" s="48" t="n">
        <v>0.0128541666666667</v>
      </c>
      <c r="O984" s="25" t="n">
        <f aca="false">IF(AND(B984&gt;=DATE(2026,1,1),B984&lt;=Resumen!$C$5),1,0)</f>
        <v>0</v>
      </c>
      <c r="P984" s="25" t="n">
        <f aca="false">IF(AND(B984&gt;Resumen!$C$5,B984&lt;=DATE(2027,7,31)),1,0)</f>
        <v>0</v>
      </c>
    </row>
    <row r="985" customFormat="false" ht="15" hidden="false" customHeight="false" outlineLevel="0" collapsed="false">
      <c r="A985" s="22" t="n">
        <v>217</v>
      </c>
      <c r="B985" s="23" t="n">
        <v>51010</v>
      </c>
      <c r="C985" s="28" t="n">
        <v>461538461.538461</v>
      </c>
      <c r="D985" s="28" t="n">
        <v>5932692.3076923</v>
      </c>
      <c r="E985" s="28" t="n">
        <v>0</v>
      </c>
      <c r="F985" s="28" t="n">
        <v>5932692.3076923</v>
      </c>
      <c r="G985" s="28" t="n">
        <v>461538461.538461</v>
      </c>
      <c r="H985" s="25" t="n">
        <f aca="false">J984</f>
        <v>461538461.538461</v>
      </c>
      <c r="I985" s="25" t="n">
        <f aca="false">H985*N985</f>
        <v>5932692.3076923</v>
      </c>
      <c r="J985" s="25" t="n">
        <f aca="false">H985-E985</f>
        <v>461538461.538461</v>
      </c>
      <c r="K985" s="25" t="n">
        <f aca="false">D985-I985</f>
        <v>0</v>
      </c>
      <c r="L985" s="25" t="n">
        <f aca="false">G985-J985</f>
        <v>0</v>
      </c>
      <c r="M985" s="25" t="n">
        <f aca="false">F985</f>
        <v>5932692.3076923</v>
      </c>
      <c r="N985" s="48" t="n">
        <v>0.0128541666666667</v>
      </c>
      <c r="O985" s="25" t="n">
        <f aca="false">IF(AND(B985&gt;=DATE(2026,1,1),B985&lt;=Resumen!$C$5),1,0)</f>
        <v>0</v>
      </c>
      <c r="P985" s="25" t="n">
        <f aca="false">IF(AND(B985&gt;Resumen!$C$5,B985&lt;=DATE(2027,7,31)),1,0)</f>
        <v>0</v>
      </c>
    </row>
    <row r="986" customFormat="false" ht="15" hidden="false" customHeight="false" outlineLevel="0" collapsed="false">
      <c r="A986" s="22" t="n">
        <v>218</v>
      </c>
      <c r="B986" s="23" t="n">
        <v>51041</v>
      </c>
      <c r="C986" s="28" t="n">
        <v>461538461.538461</v>
      </c>
      <c r="D986" s="28" t="n">
        <v>5932692.3076923</v>
      </c>
      <c r="E986" s="28" t="n">
        <v>0</v>
      </c>
      <c r="F986" s="28" t="n">
        <v>5932692.3076923</v>
      </c>
      <c r="G986" s="28" t="n">
        <v>461538461.538461</v>
      </c>
      <c r="H986" s="25" t="n">
        <f aca="false">J985</f>
        <v>461538461.538461</v>
      </c>
      <c r="I986" s="25" t="n">
        <f aca="false">H986*N986</f>
        <v>5932692.3076923</v>
      </c>
      <c r="J986" s="25" t="n">
        <f aca="false">H986-E986</f>
        <v>461538461.538461</v>
      </c>
      <c r="K986" s="25" t="n">
        <f aca="false">D986-I986</f>
        <v>0</v>
      </c>
      <c r="L986" s="25" t="n">
        <f aca="false">G986-J986</f>
        <v>0</v>
      </c>
      <c r="M986" s="25" t="n">
        <f aca="false">F986</f>
        <v>5932692.3076923</v>
      </c>
      <c r="N986" s="48" t="n">
        <v>0.0128541666666667</v>
      </c>
      <c r="O986" s="25" t="n">
        <f aca="false">IF(AND(B986&gt;=DATE(2026,1,1),B986&lt;=Resumen!$C$5),1,0)</f>
        <v>0</v>
      </c>
      <c r="P986" s="25" t="n">
        <f aca="false">IF(AND(B986&gt;Resumen!$C$5,B986&lt;=DATE(2027,7,31)),1,0)</f>
        <v>0</v>
      </c>
    </row>
    <row r="987" customFormat="false" ht="15" hidden="false" customHeight="false" outlineLevel="0" collapsed="false">
      <c r="A987" s="22" t="n">
        <v>219</v>
      </c>
      <c r="B987" s="23" t="n">
        <v>51071</v>
      </c>
      <c r="C987" s="28" t="n">
        <v>461538461.538461</v>
      </c>
      <c r="D987" s="28" t="n">
        <v>5932692.3076923</v>
      </c>
      <c r="E987" s="28" t="n">
        <v>0</v>
      </c>
      <c r="F987" s="28" t="n">
        <v>5932692.3076923</v>
      </c>
      <c r="G987" s="28" t="n">
        <v>461538461.538461</v>
      </c>
      <c r="H987" s="25" t="n">
        <f aca="false">J986</f>
        <v>461538461.538461</v>
      </c>
      <c r="I987" s="25" t="n">
        <f aca="false">H987*N987</f>
        <v>5932692.3076923</v>
      </c>
      <c r="J987" s="25" t="n">
        <f aca="false">H987-E987</f>
        <v>461538461.538461</v>
      </c>
      <c r="K987" s="25" t="n">
        <f aca="false">D987-I987</f>
        <v>0</v>
      </c>
      <c r="L987" s="25" t="n">
        <f aca="false">G987-J987</f>
        <v>0</v>
      </c>
      <c r="M987" s="25" t="n">
        <f aca="false">F987</f>
        <v>5932692.3076923</v>
      </c>
      <c r="N987" s="48" t="n">
        <v>0.0128541666666667</v>
      </c>
      <c r="O987" s="25" t="n">
        <f aca="false">IF(AND(B987&gt;=DATE(2026,1,1),B987&lt;=Resumen!$C$5),1,0)</f>
        <v>0</v>
      </c>
      <c r="P987" s="25" t="n">
        <f aca="false">IF(AND(B987&gt;Resumen!$C$5,B987&lt;=DATE(2027,7,31)),1,0)</f>
        <v>0</v>
      </c>
    </row>
    <row r="988" customFormat="false" ht="15" hidden="false" customHeight="false" outlineLevel="0" collapsed="false">
      <c r="A988" s="22" t="n">
        <v>220</v>
      </c>
      <c r="B988" s="23" t="n">
        <v>51102</v>
      </c>
      <c r="C988" s="28" t="n">
        <v>461538461.538461</v>
      </c>
      <c r="D988" s="28" t="n">
        <v>5932692.3076923</v>
      </c>
      <c r="E988" s="28" t="n">
        <v>0</v>
      </c>
      <c r="F988" s="28" t="n">
        <v>5932692.3076923</v>
      </c>
      <c r="G988" s="28" t="n">
        <v>461538461.538461</v>
      </c>
      <c r="H988" s="25" t="n">
        <f aca="false">J987</f>
        <v>461538461.538461</v>
      </c>
      <c r="I988" s="25" t="n">
        <f aca="false">H988*N988</f>
        <v>5932692.3076923</v>
      </c>
      <c r="J988" s="25" t="n">
        <f aca="false">H988-E988</f>
        <v>461538461.538461</v>
      </c>
      <c r="K988" s="25" t="n">
        <f aca="false">D988-I988</f>
        <v>0</v>
      </c>
      <c r="L988" s="25" t="n">
        <f aca="false">G988-J988</f>
        <v>0</v>
      </c>
      <c r="M988" s="25" t="n">
        <f aca="false">F988</f>
        <v>5932692.3076923</v>
      </c>
      <c r="N988" s="48" t="n">
        <v>0.0128541666666667</v>
      </c>
      <c r="O988" s="25" t="n">
        <f aca="false">IF(AND(B988&gt;=DATE(2026,1,1),B988&lt;=Resumen!$C$5),1,0)</f>
        <v>0</v>
      </c>
      <c r="P988" s="25" t="n">
        <f aca="false">IF(AND(B988&gt;Resumen!$C$5,B988&lt;=DATE(2027,7,31)),1,0)</f>
        <v>0</v>
      </c>
    </row>
    <row r="989" customFormat="false" ht="15" hidden="false" customHeight="false" outlineLevel="0" collapsed="false">
      <c r="A989" s="22" t="n">
        <v>221</v>
      </c>
      <c r="B989" s="23" t="n">
        <v>51132</v>
      </c>
      <c r="C989" s="28" t="n">
        <v>461538461.538461</v>
      </c>
      <c r="D989" s="28" t="n">
        <v>5932692.3076923</v>
      </c>
      <c r="E989" s="28" t="n">
        <v>0</v>
      </c>
      <c r="F989" s="28" t="n">
        <v>5932692.3076923</v>
      </c>
      <c r="G989" s="28" t="n">
        <v>461538461.538461</v>
      </c>
      <c r="H989" s="25" t="n">
        <f aca="false">J988</f>
        <v>461538461.538461</v>
      </c>
      <c r="I989" s="25" t="n">
        <f aca="false">H989*N989</f>
        <v>5932692.3076923</v>
      </c>
      <c r="J989" s="25" t="n">
        <f aca="false">H989-E989</f>
        <v>461538461.538461</v>
      </c>
      <c r="K989" s="25" t="n">
        <f aca="false">D989-I989</f>
        <v>0</v>
      </c>
      <c r="L989" s="25" t="n">
        <f aca="false">G989-J989</f>
        <v>0</v>
      </c>
      <c r="M989" s="25" t="n">
        <f aca="false">F989</f>
        <v>5932692.3076923</v>
      </c>
      <c r="N989" s="48" t="n">
        <v>0.0128541666666667</v>
      </c>
      <c r="O989" s="25" t="n">
        <f aca="false">IF(AND(B989&gt;=DATE(2026,1,1),B989&lt;=Resumen!$C$5),1,0)</f>
        <v>0</v>
      </c>
      <c r="P989" s="25" t="n">
        <f aca="false">IF(AND(B989&gt;Resumen!$C$5,B989&lt;=DATE(2027,7,31)),1,0)</f>
        <v>0</v>
      </c>
    </row>
    <row r="990" customFormat="false" ht="15" hidden="false" customHeight="false" outlineLevel="0" collapsed="false">
      <c r="A990" s="22" t="n">
        <v>222</v>
      </c>
      <c r="B990" s="23" t="n">
        <v>51163</v>
      </c>
      <c r="C990" s="28" t="n">
        <v>461538461.538461</v>
      </c>
      <c r="D990" s="28" t="n">
        <v>5932692.3076923</v>
      </c>
      <c r="E990" s="28" t="n">
        <v>115384615.384615</v>
      </c>
      <c r="F990" s="28" t="n">
        <v>121317307.692308</v>
      </c>
      <c r="G990" s="28" t="n">
        <v>346153846.153845</v>
      </c>
      <c r="H990" s="25" t="n">
        <f aca="false">J989</f>
        <v>461538461.538461</v>
      </c>
      <c r="I990" s="25" t="n">
        <f aca="false">H990*N990</f>
        <v>5932692.3076923</v>
      </c>
      <c r="J990" s="25" t="n">
        <f aca="false">H990-E990</f>
        <v>346153846.153845</v>
      </c>
      <c r="K990" s="25" t="n">
        <f aca="false">D990-I990</f>
        <v>0</v>
      </c>
      <c r="L990" s="25" t="n">
        <f aca="false">G990-J990</f>
        <v>0</v>
      </c>
      <c r="M990" s="25" t="n">
        <f aca="false">F990</f>
        <v>121317307.692308</v>
      </c>
      <c r="N990" s="48" t="n">
        <v>0.0128541666666667</v>
      </c>
      <c r="O990" s="25" t="n">
        <f aca="false">IF(AND(B990&gt;=DATE(2026,1,1),B990&lt;=Resumen!$C$5),1,0)</f>
        <v>0</v>
      </c>
      <c r="P990" s="25" t="n">
        <f aca="false">IF(AND(B990&gt;Resumen!$C$5,B990&lt;=DATE(2027,7,31)),1,0)</f>
        <v>0</v>
      </c>
    </row>
    <row r="991" customFormat="false" ht="15" hidden="false" customHeight="false" outlineLevel="0" collapsed="false">
      <c r="A991" s="22" t="n">
        <v>223</v>
      </c>
      <c r="B991" s="23" t="n">
        <v>51194</v>
      </c>
      <c r="C991" s="28" t="n">
        <v>346153846.153845</v>
      </c>
      <c r="D991" s="28" t="n">
        <v>4449519.23076922</v>
      </c>
      <c r="E991" s="28" t="n">
        <v>0</v>
      </c>
      <c r="F991" s="28" t="n">
        <v>4449519.23076922</v>
      </c>
      <c r="G991" s="28" t="n">
        <v>346153846.153845</v>
      </c>
      <c r="H991" s="25" t="n">
        <f aca="false">J990</f>
        <v>346153846.153845</v>
      </c>
      <c r="I991" s="25" t="n">
        <f aca="false">H991*N991</f>
        <v>4449519.23076922</v>
      </c>
      <c r="J991" s="25" t="n">
        <f aca="false">H991-E991</f>
        <v>346153846.153845</v>
      </c>
      <c r="K991" s="25" t="n">
        <f aca="false">D991-I991</f>
        <v>0</v>
      </c>
      <c r="L991" s="25" t="n">
        <f aca="false">G991-J991</f>
        <v>0</v>
      </c>
      <c r="M991" s="25" t="n">
        <f aca="false">F991</f>
        <v>4449519.23076922</v>
      </c>
      <c r="N991" s="48" t="n">
        <v>0.0128541666666667</v>
      </c>
      <c r="O991" s="25" t="n">
        <f aca="false">IF(AND(B991&gt;=DATE(2026,1,1),B991&lt;=Resumen!$C$5),1,0)</f>
        <v>0</v>
      </c>
      <c r="P991" s="25" t="n">
        <f aca="false">IF(AND(B991&gt;Resumen!$C$5,B991&lt;=DATE(2027,7,31)),1,0)</f>
        <v>0</v>
      </c>
    </row>
    <row r="992" customFormat="false" ht="15" hidden="false" customHeight="false" outlineLevel="0" collapsed="false">
      <c r="A992" s="22" t="n">
        <v>224</v>
      </c>
      <c r="B992" s="23" t="n">
        <v>51223</v>
      </c>
      <c r="C992" s="28" t="n">
        <v>346153846.153845</v>
      </c>
      <c r="D992" s="28" t="n">
        <v>4449519.23076922</v>
      </c>
      <c r="E992" s="28" t="n">
        <v>0</v>
      </c>
      <c r="F992" s="28" t="n">
        <v>4449519.23076922</v>
      </c>
      <c r="G992" s="28" t="n">
        <v>346153846.153845</v>
      </c>
      <c r="H992" s="25" t="n">
        <f aca="false">J991</f>
        <v>346153846.153845</v>
      </c>
      <c r="I992" s="25" t="n">
        <f aca="false">H992*N992</f>
        <v>4449519.23076922</v>
      </c>
      <c r="J992" s="25" t="n">
        <f aca="false">H992-E992</f>
        <v>346153846.153845</v>
      </c>
      <c r="K992" s="25" t="n">
        <f aca="false">D992-I992</f>
        <v>0</v>
      </c>
      <c r="L992" s="25" t="n">
        <f aca="false">G992-J992</f>
        <v>0</v>
      </c>
      <c r="M992" s="25" t="n">
        <f aca="false">F992</f>
        <v>4449519.23076922</v>
      </c>
      <c r="N992" s="48" t="n">
        <v>0.0128541666666667</v>
      </c>
      <c r="O992" s="25" t="n">
        <f aca="false">IF(AND(B992&gt;=DATE(2026,1,1),B992&lt;=Resumen!$C$5),1,0)</f>
        <v>0</v>
      </c>
      <c r="P992" s="25" t="n">
        <f aca="false">IF(AND(B992&gt;Resumen!$C$5,B992&lt;=DATE(2027,7,31)),1,0)</f>
        <v>0</v>
      </c>
    </row>
    <row r="993" customFormat="false" ht="15" hidden="false" customHeight="false" outlineLevel="0" collapsed="false">
      <c r="A993" s="22" t="n">
        <v>225</v>
      </c>
      <c r="B993" s="23" t="n">
        <v>51254</v>
      </c>
      <c r="C993" s="28" t="n">
        <v>346153846.153845</v>
      </c>
      <c r="D993" s="28" t="n">
        <v>4449519.23076922</v>
      </c>
      <c r="E993" s="28" t="n">
        <v>0</v>
      </c>
      <c r="F993" s="28" t="n">
        <v>4449519.23076922</v>
      </c>
      <c r="G993" s="28" t="n">
        <v>346153846.153845</v>
      </c>
      <c r="H993" s="25" t="n">
        <f aca="false">J992</f>
        <v>346153846.153845</v>
      </c>
      <c r="I993" s="25" t="n">
        <f aca="false">H993*N993</f>
        <v>4449519.23076922</v>
      </c>
      <c r="J993" s="25" t="n">
        <f aca="false">H993-E993</f>
        <v>346153846.153845</v>
      </c>
      <c r="K993" s="25" t="n">
        <f aca="false">D993-I993</f>
        <v>0</v>
      </c>
      <c r="L993" s="25" t="n">
        <f aca="false">G993-J993</f>
        <v>0</v>
      </c>
      <c r="M993" s="25" t="n">
        <f aca="false">F993</f>
        <v>4449519.23076922</v>
      </c>
      <c r="N993" s="48" t="n">
        <v>0.0128541666666667</v>
      </c>
      <c r="O993" s="25" t="n">
        <f aca="false">IF(AND(B993&gt;=DATE(2026,1,1),B993&lt;=Resumen!$C$5),1,0)</f>
        <v>0</v>
      </c>
      <c r="P993" s="25" t="n">
        <f aca="false">IF(AND(B993&gt;Resumen!$C$5,B993&lt;=DATE(2027,7,31)),1,0)</f>
        <v>0</v>
      </c>
    </row>
    <row r="994" customFormat="false" ht="15" hidden="false" customHeight="false" outlineLevel="0" collapsed="false">
      <c r="A994" s="22" t="n">
        <v>226</v>
      </c>
      <c r="B994" s="23" t="n">
        <v>51284</v>
      </c>
      <c r="C994" s="28" t="n">
        <v>346153846.153845</v>
      </c>
      <c r="D994" s="28" t="n">
        <v>4449519.23076922</v>
      </c>
      <c r="E994" s="28" t="n">
        <v>0</v>
      </c>
      <c r="F994" s="28" t="n">
        <v>4449519.23076922</v>
      </c>
      <c r="G994" s="28" t="n">
        <v>346153846.153845</v>
      </c>
      <c r="H994" s="25" t="n">
        <f aca="false">J993</f>
        <v>346153846.153845</v>
      </c>
      <c r="I994" s="25" t="n">
        <f aca="false">H994*N994</f>
        <v>4449519.23076922</v>
      </c>
      <c r="J994" s="25" t="n">
        <f aca="false">H994-E994</f>
        <v>346153846.153845</v>
      </c>
      <c r="K994" s="25" t="n">
        <f aca="false">D994-I994</f>
        <v>0</v>
      </c>
      <c r="L994" s="25" t="n">
        <f aca="false">G994-J994</f>
        <v>0</v>
      </c>
      <c r="M994" s="25" t="n">
        <f aca="false">F994</f>
        <v>4449519.23076922</v>
      </c>
      <c r="N994" s="48" t="n">
        <v>0.0128541666666667</v>
      </c>
      <c r="O994" s="25" t="n">
        <f aca="false">IF(AND(B994&gt;=DATE(2026,1,1),B994&lt;=Resumen!$C$5),1,0)</f>
        <v>0</v>
      </c>
      <c r="P994" s="25" t="n">
        <f aca="false">IF(AND(B994&gt;Resumen!$C$5,B994&lt;=DATE(2027,7,31)),1,0)</f>
        <v>0</v>
      </c>
    </row>
    <row r="995" customFormat="false" ht="15" hidden="false" customHeight="false" outlineLevel="0" collapsed="false">
      <c r="A995" s="22" t="n">
        <v>227</v>
      </c>
      <c r="B995" s="23" t="n">
        <v>51315</v>
      </c>
      <c r="C995" s="28" t="n">
        <v>346153846.153845</v>
      </c>
      <c r="D995" s="28" t="n">
        <v>4449519.23076922</v>
      </c>
      <c r="E995" s="28" t="n">
        <v>0</v>
      </c>
      <c r="F995" s="28" t="n">
        <v>4449519.23076922</v>
      </c>
      <c r="G995" s="28" t="n">
        <v>346153846.153845</v>
      </c>
      <c r="H995" s="25" t="n">
        <f aca="false">J994</f>
        <v>346153846.153845</v>
      </c>
      <c r="I995" s="25" t="n">
        <f aca="false">H995*N995</f>
        <v>4449519.23076922</v>
      </c>
      <c r="J995" s="25" t="n">
        <f aca="false">H995-E995</f>
        <v>346153846.153845</v>
      </c>
      <c r="K995" s="25" t="n">
        <f aca="false">D995-I995</f>
        <v>0</v>
      </c>
      <c r="L995" s="25" t="n">
        <f aca="false">G995-J995</f>
        <v>0</v>
      </c>
      <c r="M995" s="25" t="n">
        <f aca="false">F995</f>
        <v>4449519.23076922</v>
      </c>
      <c r="N995" s="48" t="n">
        <v>0.0128541666666667</v>
      </c>
      <c r="O995" s="25" t="n">
        <f aca="false">IF(AND(B995&gt;=DATE(2026,1,1),B995&lt;=Resumen!$C$5),1,0)</f>
        <v>0</v>
      </c>
      <c r="P995" s="25" t="n">
        <f aca="false">IF(AND(B995&gt;Resumen!$C$5,B995&lt;=DATE(2027,7,31)),1,0)</f>
        <v>0</v>
      </c>
    </row>
    <row r="996" customFormat="false" ht="15" hidden="false" customHeight="false" outlineLevel="0" collapsed="false">
      <c r="A996" s="22" t="n">
        <v>228</v>
      </c>
      <c r="B996" s="23" t="n">
        <v>51345</v>
      </c>
      <c r="C996" s="28" t="n">
        <v>346153846.153845</v>
      </c>
      <c r="D996" s="28" t="n">
        <v>4449519.23076922</v>
      </c>
      <c r="E996" s="28" t="n">
        <v>115384615.384615</v>
      </c>
      <c r="F996" s="28" t="n">
        <v>119834134.615385</v>
      </c>
      <c r="G996" s="28" t="n">
        <v>230769230.76923</v>
      </c>
      <c r="H996" s="25" t="n">
        <f aca="false">J995</f>
        <v>346153846.153845</v>
      </c>
      <c r="I996" s="25" t="n">
        <f aca="false">H996*N996</f>
        <v>4449519.23076922</v>
      </c>
      <c r="J996" s="25" t="n">
        <f aca="false">H996-E996</f>
        <v>230769230.76923</v>
      </c>
      <c r="K996" s="25" t="n">
        <f aca="false">D996-I996</f>
        <v>0</v>
      </c>
      <c r="L996" s="25" t="n">
        <f aca="false">G996-J996</f>
        <v>0</v>
      </c>
      <c r="M996" s="25" t="n">
        <f aca="false">F996</f>
        <v>119834134.615385</v>
      </c>
      <c r="N996" s="48" t="n">
        <v>0.0128541666666667</v>
      </c>
      <c r="O996" s="25" t="n">
        <f aca="false">IF(AND(B996&gt;=DATE(2026,1,1),B996&lt;=Resumen!$C$5),1,0)</f>
        <v>0</v>
      </c>
      <c r="P996" s="25" t="n">
        <f aca="false">IF(AND(B996&gt;Resumen!$C$5,B996&lt;=DATE(2027,7,31)),1,0)</f>
        <v>0</v>
      </c>
    </row>
    <row r="997" customFormat="false" ht="15" hidden="false" customHeight="false" outlineLevel="0" collapsed="false">
      <c r="A997" s="22" t="n">
        <v>229</v>
      </c>
      <c r="B997" s="23" t="n">
        <v>51376</v>
      </c>
      <c r="C997" s="28" t="n">
        <v>230769230.76923</v>
      </c>
      <c r="D997" s="28" t="n">
        <v>2966346.15384614</v>
      </c>
      <c r="E997" s="28" t="n">
        <v>0</v>
      </c>
      <c r="F997" s="28" t="n">
        <v>2966346.15384614</v>
      </c>
      <c r="G997" s="28" t="n">
        <v>230769230.76923</v>
      </c>
      <c r="H997" s="25" t="n">
        <f aca="false">J996</f>
        <v>230769230.76923</v>
      </c>
      <c r="I997" s="25" t="n">
        <f aca="false">H997*N997</f>
        <v>2966346.15384614</v>
      </c>
      <c r="J997" s="25" t="n">
        <f aca="false">H997-E997</f>
        <v>230769230.76923</v>
      </c>
      <c r="K997" s="25" t="n">
        <f aca="false">D997-I997</f>
        <v>0</v>
      </c>
      <c r="L997" s="25" t="n">
        <f aca="false">G997-J997</f>
        <v>0</v>
      </c>
      <c r="M997" s="25" t="n">
        <f aca="false">F997</f>
        <v>2966346.15384614</v>
      </c>
      <c r="N997" s="48" t="n">
        <v>0.0128541666666667</v>
      </c>
      <c r="O997" s="25" t="n">
        <f aca="false">IF(AND(B997&gt;=DATE(2026,1,1),B997&lt;=Resumen!$C$5),1,0)</f>
        <v>0</v>
      </c>
      <c r="P997" s="25" t="n">
        <f aca="false">IF(AND(B997&gt;Resumen!$C$5,B997&lt;=DATE(2027,7,31)),1,0)</f>
        <v>0</v>
      </c>
    </row>
    <row r="998" customFormat="false" ht="15" hidden="false" customHeight="false" outlineLevel="0" collapsed="false">
      <c r="A998" s="22" t="n">
        <v>230</v>
      </c>
      <c r="B998" s="23" t="n">
        <v>51407</v>
      </c>
      <c r="C998" s="28" t="n">
        <v>230769230.76923</v>
      </c>
      <c r="D998" s="28" t="n">
        <v>2966346.15384614</v>
      </c>
      <c r="E998" s="28" t="n">
        <v>0</v>
      </c>
      <c r="F998" s="28" t="n">
        <v>2966346.15384614</v>
      </c>
      <c r="G998" s="28" t="n">
        <v>230769230.76923</v>
      </c>
      <c r="H998" s="25" t="n">
        <f aca="false">J997</f>
        <v>230769230.76923</v>
      </c>
      <c r="I998" s="25" t="n">
        <f aca="false">H998*N998</f>
        <v>2966346.15384614</v>
      </c>
      <c r="J998" s="25" t="n">
        <f aca="false">H998-E998</f>
        <v>230769230.76923</v>
      </c>
      <c r="K998" s="25" t="n">
        <f aca="false">D998-I998</f>
        <v>0</v>
      </c>
      <c r="L998" s="25" t="n">
        <f aca="false">G998-J998</f>
        <v>0</v>
      </c>
      <c r="M998" s="25" t="n">
        <f aca="false">F998</f>
        <v>2966346.15384614</v>
      </c>
      <c r="N998" s="48" t="n">
        <v>0.0128541666666667</v>
      </c>
      <c r="O998" s="25" t="n">
        <f aca="false">IF(AND(B998&gt;=DATE(2026,1,1),B998&lt;=Resumen!$C$5),1,0)</f>
        <v>0</v>
      </c>
      <c r="P998" s="25" t="n">
        <f aca="false">IF(AND(B998&gt;Resumen!$C$5,B998&lt;=DATE(2027,7,31)),1,0)</f>
        <v>0</v>
      </c>
    </row>
    <row r="999" customFormat="false" ht="15" hidden="false" customHeight="false" outlineLevel="0" collapsed="false">
      <c r="A999" s="22" t="n">
        <v>231</v>
      </c>
      <c r="B999" s="23" t="n">
        <v>51437</v>
      </c>
      <c r="C999" s="28" t="n">
        <v>230769230.76923</v>
      </c>
      <c r="D999" s="28" t="n">
        <v>2966346.15384614</v>
      </c>
      <c r="E999" s="28" t="n">
        <v>0</v>
      </c>
      <c r="F999" s="28" t="n">
        <v>2966346.15384614</v>
      </c>
      <c r="G999" s="28" t="n">
        <v>230769230.76923</v>
      </c>
      <c r="H999" s="25" t="n">
        <f aca="false">J998</f>
        <v>230769230.76923</v>
      </c>
      <c r="I999" s="25" t="n">
        <f aca="false">H999*N999</f>
        <v>2966346.15384614</v>
      </c>
      <c r="J999" s="25" t="n">
        <f aca="false">H999-E999</f>
        <v>230769230.76923</v>
      </c>
      <c r="K999" s="25" t="n">
        <f aca="false">D999-I999</f>
        <v>0</v>
      </c>
      <c r="L999" s="25" t="n">
        <f aca="false">G999-J999</f>
        <v>0</v>
      </c>
      <c r="M999" s="25" t="n">
        <f aca="false">F999</f>
        <v>2966346.15384614</v>
      </c>
      <c r="N999" s="48" t="n">
        <v>0.0128541666666667</v>
      </c>
      <c r="O999" s="25" t="n">
        <f aca="false">IF(AND(B999&gt;=DATE(2026,1,1),B999&lt;=Resumen!$C$5),1,0)</f>
        <v>0</v>
      </c>
      <c r="P999" s="25" t="n">
        <f aca="false">IF(AND(B999&gt;Resumen!$C$5,B999&lt;=DATE(2027,7,31)),1,0)</f>
        <v>0</v>
      </c>
    </row>
    <row r="1000" customFormat="false" ht="15" hidden="false" customHeight="false" outlineLevel="0" collapsed="false">
      <c r="A1000" s="22" t="n">
        <v>232</v>
      </c>
      <c r="B1000" s="23" t="n">
        <v>51468</v>
      </c>
      <c r="C1000" s="28" t="n">
        <v>230769230.76923</v>
      </c>
      <c r="D1000" s="28" t="n">
        <v>2966346.15384614</v>
      </c>
      <c r="E1000" s="28" t="n">
        <v>0</v>
      </c>
      <c r="F1000" s="28" t="n">
        <v>2966346.15384614</v>
      </c>
      <c r="G1000" s="28" t="n">
        <v>230769230.76923</v>
      </c>
      <c r="H1000" s="25" t="n">
        <f aca="false">J999</f>
        <v>230769230.76923</v>
      </c>
      <c r="I1000" s="25" t="n">
        <f aca="false">H1000*N1000</f>
        <v>2966346.15384614</v>
      </c>
      <c r="J1000" s="25" t="n">
        <f aca="false">H1000-E1000</f>
        <v>230769230.76923</v>
      </c>
      <c r="K1000" s="25" t="n">
        <f aca="false">D1000-I1000</f>
        <v>0</v>
      </c>
      <c r="L1000" s="25" t="n">
        <f aca="false">G1000-J1000</f>
        <v>0</v>
      </c>
      <c r="M1000" s="25" t="n">
        <f aca="false">F1000</f>
        <v>2966346.15384614</v>
      </c>
      <c r="N1000" s="48" t="n">
        <v>0.0128541666666667</v>
      </c>
      <c r="O1000" s="25" t="n">
        <f aca="false">IF(AND(B1000&gt;=DATE(2026,1,1),B1000&lt;=Resumen!$C$5),1,0)</f>
        <v>0</v>
      </c>
      <c r="P1000" s="25" t="n">
        <f aca="false">IF(AND(B1000&gt;Resumen!$C$5,B1000&lt;=DATE(2027,7,31)),1,0)</f>
        <v>0</v>
      </c>
    </row>
    <row r="1001" customFormat="false" ht="15" hidden="false" customHeight="false" outlineLevel="0" collapsed="false">
      <c r="A1001" s="22" t="n">
        <v>233</v>
      </c>
      <c r="B1001" s="23" t="n">
        <v>51498</v>
      </c>
      <c r="C1001" s="28" t="n">
        <v>230769230.76923</v>
      </c>
      <c r="D1001" s="28" t="n">
        <v>2966346.15384614</v>
      </c>
      <c r="E1001" s="28" t="n">
        <v>0</v>
      </c>
      <c r="F1001" s="28" t="n">
        <v>2966346.15384614</v>
      </c>
      <c r="G1001" s="28" t="n">
        <v>230769230.76923</v>
      </c>
      <c r="H1001" s="25" t="n">
        <f aca="false">J1000</f>
        <v>230769230.76923</v>
      </c>
      <c r="I1001" s="25" t="n">
        <f aca="false">H1001*N1001</f>
        <v>2966346.15384614</v>
      </c>
      <c r="J1001" s="25" t="n">
        <f aca="false">H1001-E1001</f>
        <v>230769230.76923</v>
      </c>
      <c r="K1001" s="25" t="n">
        <f aca="false">D1001-I1001</f>
        <v>0</v>
      </c>
      <c r="L1001" s="25" t="n">
        <f aca="false">G1001-J1001</f>
        <v>0</v>
      </c>
      <c r="M1001" s="25" t="n">
        <f aca="false">F1001</f>
        <v>2966346.15384614</v>
      </c>
      <c r="N1001" s="48" t="n">
        <v>0.0128541666666667</v>
      </c>
      <c r="O1001" s="25" t="n">
        <f aca="false">IF(AND(B1001&gt;=DATE(2026,1,1),B1001&lt;=Resumen!$C$5),1,0)</f>
        <v>0</v>
      </c>
      <c r="P1001" s="25" t="n">
        <f aca="false">IF(AND(B1001&gt;Resumen!$C$5,B1001&lt;=DATE(2027,7,31)),1,0)</f>
        <v>0</v>
      </c>
    </row>
    <row r="1002" customFormat="false" ht="15" hidden="false" customHeight="false" outlineLevel="0" collapsed="false">
      <c r="A1002" s="22" t="n">
        <v>234</v>
      </c>
      <c r="B1002" s="23" t="n">
        <v>51529</v>
      </c>
      <c r="C1002" s="28" t="n">
        <v>230769230.76923</v>
      </c>
      <c r="D1002" s="28" t="n">
        <v>2966346.15384614</v>
      </c>
      <c r="E1002" s="28" t="n">
        <v>115384615.384615</v>
      </c>
      <c r="F1002" s="28" t="n">
        <v>118350961.538462</v>
      </c>
      <c r="G1002" s="28" t="n">
        <v>115384615.384615</v>
      </c>
      <c r="H1002" s="25" t="n">
        <f aca="false">J1001</f>
        <v>230769230.76923</v>
      </c>
      <c r="I1002" s="25" t="n">
        <f aca="false">H1002*N1002</f>
        <v>2966346.15384614</v>
      </c>
      <c r="J1002" s="25" t="n">
        <f aca="false">H1002-E1002</f>
        <v>115384615.384614</v>
      </c>
      <c r="K1002" s="25" t="n">
        <f aca="false">D1002-I1002</f>
        <v>0</v>
      </c>
      <c r="L1002" s="25" t="n">
        <f aca="false">G1002-J1002</f>
        <v>0</v>
      </c>
      <c r="M1002" s="25" t="n">
        <f aca="false">F1002</f>
        <v>118350961.538462</v>
      </c>
      <c r="N1002" s="48" t="n">
        <v>0.0128541666666667</v>
      </c>
      <c r="O1002" s="25" t="n">
        <f aca="false">IF(AND(B1002&gt;=DATE(2026,1,1),B1002&lt;=Resumen!$C$5),1,0)</f>
        <v>0</v>
      </c>
      <c r="P1002" s="25" t="n">
        <f aca="false">IF(AND(B1002&gt;Resumen!$C$5,B1002&lt;=DATE(2027,7,31)),1,0)</f>
        <v>0</v>
      </c>
    </row>
    <row r="1003" customFormat="false" ht="15" hidden="false" customHeight="false" outlineLevel="0" collapsed="false">
      <c r="A1003" s="22" t="n">
        <v>235</v>
      </c>
      <c r="B1003" s="23" t="n">
        <v>51560</v>
      </c>
      <c r="C1003" s="28" t="n">
        <v>115384615.384615</v>
      </c>
      <c r="D1003" s="28" t="n">
        <v>1483173.07692307</v>
      </c>
      <c r="E1003" s="28" t="n">
        <v>0</v>
      </c>
      <c r="F1003" s="28" t="n">
        <v>1483173.07692307</v>
      </c>
      <c r="G1003" s="28" t="n">
        <v>115384615.384615</v>
      </c>
      <c r="H1003" s="25" t="n">
        <f aca="false">J1002</f>
        <v>115384615.384614</v>
      </c>
      <c r="I1003" s="25" t="n">
        <f aca="false">H1003*N1003</f>
        <v>1483173.07692307</v>
      </c>
      <c r="J1003" s="25" t="n">
        <f aca="false">H1003-E1003</f>
        <v>115384615.384614</v>
      </c>
      <c r="K1003" s="25" t="n">
        <f aca="false">D1003-I1003</f>
        <v>0</v>
      </c>
      <c r="L1003" s="25" t="n">
        <f aca="false">G1003-J1003</f>
        <v>0</v>
      </c>
      <c r="M1003" s="25" t="n">
        <f aca="false">F1003</f>
        <v>1483173.07692307</v>
      </c>
      <c r="N1003" s="48" t="n">
        <v>0.0128541666666667</v>
      </c>
      <c r="O1003" s="25" t="n">
        <f aca="false">IF(AND(B1003&gt;=DATE(2026,1,1),B1003&lt;=Resumen!$C$5),1,0)</f>
        <v>0</v>
      </c>
      <c r="P1003" s="25" t="n">
        <f aca="false">IF(AND(B1003&gt;Resumen!$C$5,B1003&lt;=DATE(2027,7,31)),1,0)</f>
        <v>0</v>
      </c>
    </row>
    <row r="1004" customFormat="false" ht="15" hidden="false" customHeight="false" outlineLevel="0" collapsed="false">
      <c r="A1004" s="22" t="n">
        <v>236</v>
      </c>
      <c r="B1004" s="23" t="n">
        <v>51588</v>
      </c>
      <c r="C1004" s="28" t="n">
        <v>115384615.384615</v>
      </c>
      <c r="D1004" s="28" t="n">
        <v>1483173.07692307</v>
      </c>
      <c r="E1004" s="28" t="n">
        <v>0</v>
      </c>
      <c r="F1004" s="28" t="n">
        <v>1483173.07692307</v>
      </c>
      <c r="G1004" s="28" t="n">
        <v>115384615.384615</v>
      </c>
      <c r="H1004" s="25" t="n">
        <f aca="false">J1003</f>
        <v>115384615.384614</v>
      </c>
      <c r="I1004" s="25" t="n">
        <f aca="false">H1004*N1004</f>
        <v>1483173.07692307</v>
      </c>
      <c r="J1004" s="25" t="n">
        <f aca="false">H1004-E1004</f>
        <v>115384615.384614</v>
      </c>
      <c r="K1004" s="25" t="n">
        <f aca="false">D1004-I1004</f>
        <v>0</v>
      </c>
      <c r="L1004" s="25" t="n">
        <f aca="false">G1004-J1004</f>
        <v>0</v>
      </c>
      <c r="M1004" s="25" t="n">
        <f aca="false">F1004</f>
        <v>1483173.07692307</v>
      </c>
      <c r="N1004" s="48" t="n">
        <v>0.0128541666666667</v>
      </c>
      <c r="O1004" s="25" t="n">
        <f aca="false">IF(AND(B1004&gt;=DATE(2026,1,1),B1004&lt;=Resumen!$C$5),1,0)</f>
        <v>0</v>
      </c>
      <c r="P1004" s="25" t="n">
        <f aca="false">IF(AND(B1004&gt;Resumen!$C$5,B1004&lt;=DATE(2027,7,31)),1,0)</f>
        <v>0</v>
      </c>
    </row>
    <row r="1005" customFormat="false" ht="15" hidden="false" customHeight="false" outlineLevel="0" collapsed="false">
      <c r="A1005" s="22" t="n">
        <v>237</v>
      </c>
      <c r="B1005" s="23" t="n">
        <v>51619</v>
      </c>
      <c r="C1005" s="28" t="n">
        <v>115384615.384615</v>
      </c>
      <c r="D1005" s="28" t="n">
        <v>1483173.07692307</v>
      </c>
      <c r="E1005" s="28" t="n">
        <v>0</v>
      </c>
      <c r="F1005" s="28" t="n">
        <v>1483173.07692307</v>
      </c>
      <c r="G1005" s="28" t="n">
        <v>115384615.384615</v>
      </c>
      <c r="H1005" s="25" t="n">
        <f aca="false">J1004</f>
        <v>115384615.384614</v>
      </c>
      <c r="I1005" s="25" t="n">
        <f aca="false">H1005*N1005</f>
        <v>1483173.07692307</v>
      </c>
      <c r="J1005" s="25" t="n">
        <f aca="false">H1005-E1005</f>
        <v>115384615.384614</v>
      </c>
      <c r="K1005" s="25" t="n">
        <f aca="false">D1005-I1005</f>
        <v>0</v>
      </c>
      <c r="L1005" s="25" t="n">
        <f aca="false">G1005-J1005</f>
        <v>0</v>
      </c>
      <c r="M1005" s="25" t="n">
        <f aca="false">F1005</f>
        <v>1483173.07692307</v>
      </c>
      <c r="N1005" s="48" t="n">
        <v>0.0128541666666667</v>
      </c>
      <c r="O1005" s="25" t="n">
        <f aca="false">IF(AND(B1005&gt;=DATE(2026,1,1),B1005&lt;=Resumen!$C$5),1,0)</f>
        <v>0</v>
      </c>
      <c r="P1005" s="25" t="n">
        <f aca="false">IF(AND(B1005&gt;Resumen!$C$5,B1005&lt;=DATE(2027,7,31)),1,0)</f>
        <v>0</v>
      </c>
    </row>
    <row r="1006" customFormat="false" ht="15" hidden="false" customHeight="false" outlineLevel="0" collapsed="false">
      <c r="A1006" s="22" t="n">
        <v>238</v>
      </c>
      <c r="B1006" s="23" t="n">
        <v>51649</v>
      </c>
      <c r="C1006" s="28" t="n">
        <v>115384615.384615</v>
      </c>
      <c r="D1006" s="28" t="n">
        <v>1483173.07692307</v>
      </c>
      <c r="E1006" s="28" t="n">
        <v>0</v>
      </c>
      <c r="F1006" s="28" t="n">
        <v>1483173.07692307</v>
      </c>
      <c r="G1006" s="28" t="n">
        <v>115384615.384615</v>
      </c>
      <c r="H1006" s="25" t="n">
        <f aca="false">J1005</f>
        <v>115384615.384614</v>
      </c>
      <c r="I1006" s="25" t="n">
        <f aca="false">H1006*N1006</f>
        <v>1483173.07692307</v>
      </c>
      <c r="J1006" s="25" t="n">
        <f aca="false">H1006-E1006</f>
        <v>115384615.384614</v>
      </c>
      <c r="K1006" s="25" t="n">
        <f aca="false">D1006-I1006</f>
        <v>0</v>
      </c>
      <c r="L1006" s="25" t="n">
        <f aca="false">G1006-J1006</f>
        <v>0</v>
      </c>
      <c r="M1006" s="25" t="n">
        <f aca="false">F1006</f>
        <v>1483173.07692307</v>
      </c>
      <c r="N1006" s="48" t="n">
        <v>0.0128541666666667</v>
      </c>
      <c r="O1006" s="25" t="n">
        <f aca="false">IF(AND(B1006&gt;=DATE(2026,1,1),B1006&lt;=Resumen!$C$5),1,0)</f>
        <v>0</v>
      </c>
      <c r="P1006" s="25" t="n">
        <f aca="false">IF(AND(B1006&gt;Resumen!$C$5,B1006&lt;=DATE(2027,7,31)),1,0)</f>
        <v>0</v>
      </c>
    </row>
    <row r="1007" customFormat="false" ht="15" hidden="false" customHeight="false" outlineLevel="0" collapsed="false">
      <c r="A1007" s="22" t="n">
        <v>239</v>
      </c>
      <c r="B1007" s="23" t="n">
        <v>51680</v>
      </c>
      <c r="C1007" s="28" t="n">
        <v>115384615.384615</v>
      </c>
      <c r="D1007" s="28" t="n">
        <v>1483173.07692307</v>
      </c>
      <c r="E1007" s="28" t="n">
        <v>0</v>
      </c>
      <c r="F1007" s="28" t="n">
        <v>1483173.07692307</v>
      </c>
      <c r="G1007" s="28" t="n">
        <v>115384615.384615</v>
      </c>
      <c r="H1007" s="25" t="n">
        <f aca="false">J1006</f>
        <v>115384615.384614</v>
      </c>
      <c r="I1007" s="25" t="n">
        <f aca="false">H1007*N1007</f>
        <v>1483173.07692307</v>
      </c>
      <c r="J1007" s="25" t="n">
        <f aca="false">H1007-E1007</f>
        <v>115384615.384614</v>
      </c>
      <c r="K1007" s="25" t="n">
        <f aca="false">D1007-I1007</f>
        <v>0</v>
      </c>
      <c r="L1007" s="25" t="n">
        <f aca="false">G1007-J1007</f>
        <v>0</v>
      </c>
      <c r="M1007" s="25" t="n">
        <f aca="false">F1007</f>
        <v>1483173.07692307</v>
      </c>
      <c r="N1007" s="48" t="n">
        <v>0.0128541666666667</v>
      </c>
      <c r="O1007" s="25" t="n">
        <f aca="false">IF(AND(B1007&gt;=DATE(2026,1,1),B1007&lt;=Resumen!$C$5),1,0)</f>
        <v>0</v>
      </c>
      <c r="P1007" s="25" t="n">
        <f aca="false">IF(AND(B1007&gt;Resumen!$C$5,B1007&lt;=DATE(2027,7,31)),1,0)</f>
        <v>0</v>
      </c>
    </row>
    <row r="1008" customFormat="false" ht="15" hidden="false" customHeight="false" outlineLevel="0" collapsed="false">
      <c r="A1008" s="22" t="n">
        <v>240</v>
      </c>
      <c r="B1008" s="23" t="n">
        <v>51710</v>
      </c>
      <c r="C1008" s="28" t="n">
        <v>115384615.384615</v>
      </c>
      <c r="D1008" s="28" t="n">
        <v>1483173.07692307</v>
      </c>
      <c r="E1008" s="28" t="n">
        <v>115384615.384615</v>
      </c>
      <c r="F1008" s="28" t="n">
        <v>116867788.461539</v>
      </c>
      <c r="G1008" s="28" t="n">
        <v>0</v>
      </c>
      <c r="H1008" s="25" t="n">
        <f aca="false">J1007</f>
        <v>115384615.384614</v>
      </c>
      <c r="I1008" s="25" t="n">
        <f aca="false">H1008*N1008</f>
        <v>1483173.07692307</v>
      </c>
      <c r="J1008" s="25" t="n">
        <f aca="false">H1008-E1008</f>
        <v>-9.23871994018555E-007</v>
      </c>
      <c r="K1008" s="25" t="n">
        <f aca="false">D1008-I1008</f>
        <v>0</v>
      </c>
      <c r="L1008" s="25" t="n">
        <f aca="false">G1008-J1008</f>
        <v>9.23871994018555E-007</v>
      </c>
      <c r="M1008" s="25" t="n">
        <f aca="false">F1008</f>
        <v>116867788.461539</v>
      </c>
      <c r="N1008" s="48" t="n">
        <v>0.0128541666666667</v>
      </c>
      <c r="O1008" s="25" t="n">
        <f aca="false">IF(AND(B1008&gt;=DATE(2026,1,1),B1008&lt;=Resumen!$C$5),1,0)</f>
        <v>0</v>
      </c>
      <c r="P1008" s="25" t="n">
        <f aca="false">IF(AND(B1008&gt;Resumen!$C$5,B1008&lt;=DATE(2027,7,31)),1,0)</f>
        <v>0</v>
      </c>
    </row>
    <row r="1011" customFormat="false" ht="15" hidden="false" customHeight="false" outlineLevel="0" collapsed="false">
      <c r="A1011" s="33" t="s">
        <v>830</v>
      </c>
    </row>
    <row r="1012" customFormat="false" ht="15" hidden="false" customHeight="false" outlineLevel="0" collapsed="false">
      <c r="A1012" s="34" t="s">
        <v>831</v>
      </c>
    </row>
    <row r="1013" customFormat="false" ht="15" hidden="false" customHeight="false" outlineLevel="0" collapsed="false">
      <c r="A1013" s="19" t="s">
        <v>832</v>
      </c>
    </row>
    <row r="1014" customFormat="false" ht="15" hidden="false" customHeight="false" outlineLevel="0" collapsed="false">
      <c r="A1014" s="20" t="s">
        <v>833</v>
      </c>
    </row>
    <row r="1015" customFormat="false" ht="15" hidden="false" customHeight="false" outlineLevel="0" collapsed="false">
      <c r="A1015" s="29" t="s">
        <v>773</v>
      </c>
      <c r="C1015" s="22" t="s">
        <v>834</v>
      </c>
      <c r="F1015" s="47" t="s">
        <v>775</v>
      </c>
    </row>
    <row r="1016" customFormat="false" ht="15" hidden="false" customHeight="false" outlineLevel="0" collapsed="false">
      <c r="A1016" s="29" t="s">
        <v>640</v>
      </c>
      <c r="C1016" s="28" t="n">
        <v>7500000000</v>
      </c>
      <c r="F1016" s="22" t="s">
        <v>776</v>
      </c>
      <c r="I1016" s="41" t="n">
        <f aca="false">_xlfn.MAXIFS($B$1024:$B$1170,$B$1024:$B$1170,"&lt;="&amp;Resumen!$C$5)</f>
        <v>46220</v>
      </c>
    </row>
    <row r="1017" customFormat="false" ht="15" hidden="false" customHeight="false" outlineLevel="0" collapsed="false">
      <c r="A1017" s="29" t="s">
        <v>641</v>
      </c>
      <c r="C1017" s="23" t="n">
        <v>43207</v>
      </c>
      <c r="F1017" s="22" t="s">
        <v>777</v>
      </c>
      <c r="I1017" s="25" t="n">
        <f aca="false">SUMIFS($G$1024:$G$1170,$B$1024:$B$1170,I1016)</f>
        <v>2937500000</v>
      </c>
    </row>
    <row r="1018" customFormat="false" ht="15" hidden="false" customHeight="false" outlineLevel="0" collapsed="false">
      <c r="A1018" s="29" t="s">
        <v>778</v>
      </c>
      <c r="C1018" s="22" t="s">
        <v>835</v>
      </c>
      <c r="F1018" s="22" t="s">
        <v>780</v>
      </c>
      <c r="I1018" s="25" t="n">
        <f aca="false">SUMIFS($J$1024:$J$1170,$B$1024:$B$1170,I1016)</f>
        <v>2937500000</v>
      </c>
    </row>
    <row r="1019" customFormat="false" ht="15" hidden="false" customHeight="false" outlineLevel="0" collapsed="false">
      <c r="A1019" s="29" t="s">
        <v>781</v>
      </c>
      <c r="C1019" s="48" t="s">
        <v>818</v>
      </c>
      <c r="F1019" s="22" t="s">
        <v>650</v>
      </c>
      <c r="I1019" s="25" t="n">
        <f aca="false">SUMIFS($D$1024:$D$1170,$O$1024:$O$1170,1)</f>
        <v>284219218.75</v>
      </c>
    </row>
    <row r="1020" customFormat="false" ht="15" hidden="false" customHeight="false" outlineLevel="0" collapsed="false">
      <c r="A1020" s="29" t="s">
        <v>782</v>
      </c>
      <c r="C1020" s="49" t="str">
        <f aca="false">IFERROR(IRR($M$1024:$M$1170),"N/A")</f>
        <v>N/A</v>
      </c>
      <c r="F1020" s="22" t="s">
        <v>783</v>
      </c>
      <c r="I1020" s="25" t="n">
        <f aca="false">SUMIFS($E$1024:$E$1170,$P$1024:$P$1170,1)</f>
        <v>750000000</v>
      </c>
    </row>
    <row r="1021" customFormat="false" ht="15" hidden="false" customHeight="false" outlineLevel="0" collapsed="false">
      <c r="A1021" s="29" t="s">
        <v>784</v>
      </c>
      <c r="C1021" s="50" t="str">
        <f aca="false">IF(ISNUMBER(C1020),(1+C1020)^12-1,"N/A")</f>
        <v>N/A</v>
      </c>
      <c r="F1021" s="22" t="s">
        <v>785</v>
      </c>
      <c r="I1021" s="25" t="n">
        <f aca="false">SUMPRODUCT(MAX(ABS($L$1024:$L$1170)))</f>
        <v>0</v>
      </c>
    </row>
    <row r="1023" customFormat="false" ht="36" hidden="false" customHeight="true" outlineLevel="0" collapsed="false">
      <c r="A1023" s="27" t="s">
        <v>786</v>
      </c>
      <c r="B1023" s="27" t="s">
        <v>396</v>
      </c>
      <c r="C1023" s="27" t="s">
        <v>787</v>
      </c>
      <c r="D1023" s="27" t="s">
        <v>788</v>
      </c>
      <c r="E1023" s="27" t="s">
        <v>789</v>
      </c>
      <c r="F1023" s="27" t="s">
        <v>790</v>
      </c>
      <c r="G1023" s="27" t="s">
        <v>791</v>
      </c>
      <c r="H1023" s="27" t="s">
        <v>792</v>
      </c>
      <c r="I1023" s="27" t="s">
        <v>793</v>
      </c>
      <c r="J1023" s="27" t="s">
        <v>794</v>
      </c>
      <c r="K1023" s="27" t="s">
        <v>795</v>
      </c>
      <c r="L1023" s="27" t="s">
        <v>796</v>
      </c>
      <c r="M1023" s="27" t="s">
        <v>797</v>
      </c>
      <c r="N1023" s="27" t="s">
        <v>798</v>
      </c>
      <c r="O1023" s="27" t="s">
        <v>799</v>
      </c>
      <c r="P1023" s="27" t="s">
        <v>800</v>
      </c>
    </row>
    <row r="1024" customFormat="false" ht="15" hidden="false" customHeight="false" outlineLevel="0" collapsed="false">
      <c r="A1024" s="22" t="n">
        <v>0</v>
      </c>
      <c r="B1024" s="23" t="n">
        <v>43207</v>
      </c>
      <c r="C1024" s="28" t="n">
        <v>7500000000</v>
      </c>
      <c r="D1024" s="28" t="n">
        <v>0</v>
      </c>
      <c r="E1024" s="28" t="n">
        <v>0</v>
      </c>
      <c r="F1024" s="28" t="n">
        <v>0</v>
      </c>
      <c r="G1024" s="28" t="n">
        <v>7500000000</v>
      </c>
      <c r="H1024" s="25" t="n">
        <f aca="false">C1024</f>
        <v>7500000000</v>
      </c>
      <c r="I1024" s="25" t="n">
        <f aca="false">H1024*N1024</f>
        <v>55437500</v>
      </c>
      <c r="J1024" s="25" t="n">
        <f aca="false">H1024-E1024</f>
        <v>7500000000</v>
      </c>
      <c r="K1024" s="25" t="n">
        <f aca="false">D1024-I1024</f>
        <v>-55437500</v>
      </c>
      <c r="L1024" s="25" t="n">
        <f aca="false">G1024-J1024</f>
        <v>0</v>
      </c>
      <c r="M1024" s="25" t="n">
        <f aca="false">-$C$1016</f>
        <v>-7500000000</v>
      </c>
      <c r="N1024" s="48" t="n">
        <v>0.00739166666666667</v>
      </c>
      <c r="O1024" s="25" t="n">
        <f aca="false">IF(AND(B1024&gt;=DATE(2026,1,1),B1024&lt;=Resumen!$C$5),1,0)</f>
        <v>0</v>
      </c>
      <c r="P1024" s="25" t="n">
        <f aca="false">IF(AND(B1024&gt;Resumen!$C$5,B1024&lt;=DATE(2027,7,31)),1,0)</f>
        <v>0</v>
      </c>
    </row>
    <row r="1025" customFormat="false" ht="15" hidden="false" customHeight="false" outlineLevel="0" collapsed="false">
      <c r="A1025" s="22" t="n">
        <v>1</v>
      </c>
      <c r="B1025" s="23" t="n">
        <v>43237</v>
      </c>
      <c r="C1025" s="28" t="n">
        <v>7500000000</v>
      </c>
      <c r="D1025" s="28" t="n">
        <v>55500000</v>
      </c>
      <c r="E1025" s="28" t="n">
        <v>0</v>
      </c>
      <c r="F1025" s="28" t="n">
        <v>55500000</v>
      </c>
      <c r="G1025" s="28" t="n">
        <v>7500000000</v>
      </c>
      <c r="H1025" s="25" t="n">
        <f aca="false">J1024</f>
        <v>7500000000</v>
      </c>
      <c r="I1025" s="25" t="n">
        <f aca="false">H1025*N1025</f>
        <v>55500000</v>
      </c>
      <c r="J1025" s="25" t="n">
        <f aca="false">H1025-E1025</f>
        <v>7500000000</v>
      </c>
      <c r="K1025" s="25" t="n">
        <f aca="false">D1025-I1025</f>
        <v>0</v>
      </c>
      <c r="L1025" s="25" t="n">
        <f aca="false">G1025-J1025</f>
        <v>0</v>
      </c>
      <c r="M1025" s="25" t="n">
        <f aca="false">F1025</f>
        <v>55500000</v>
      </c>
      <c r="N1025" s="48" t="n">
        <v>0.0074</v>
      </c>
      <c r="O1025" s="25" t="n">
        <f aca="false">IF(AND(B1025&gt;=DATE(2026,1,1),B1025&lt;=Resumen!$C$5),1,0)</f>
        <v>0</v>
      </c>
      <c r="P1025" s="25" t="n">
        <f aca="false">IF(AND(B1025&gt;Resumen!$C$5,B1025&lt;=DATE(2027,7,31)),1,0)</f>
        <v>0</v>
      </c>
    </row>
    <row r="1026" customFormat="false" ht="15" hidden="false" customHeight="false" outlineLevel="0" collapsed="false">
      <c r="A1026" s="22" t="n">
        <v>2</v>
      </c>
      <c r="B1026" s="23" t="n">
        <v>43268</v>
      </c>
      <c r="C1026" s="28" t="n">
        <v>7500000000</v>
      </c>
      <c r="D1026" s="28" t="n">
        <v>55875000</v>
      </c>
      <c r="E1026" s="28" t="n">
        <v>0</v>
      </c>
      <c r="F1026" s="28" t="n">
        <v>55875000</v>
      </c>
      <c r="G1026" s="28" t="n">
        <v>7500000000</v>
      </c>
      <c r="H1026" s="25" t="n">
        <f aca="false">J1025</f>
        <v>7500000000</v>
      </c>
      <c r="I1026" s="25" t="n">
        <f aca="false">H1026*N1026</f>
        <v>55875000</v>
      </c>
      <c r="J1026" s="25" t="n">
        <f aca="false">H1026-E1026</f>
        <v>7500000000</v>
      </c>
      <c r="K1026" s="25" t="n">
        <f aca="false">D1026-I1026</f>
        <v>0</v>
      </c>
      <c r="L1026" s="25" t="n">
        <f aca="false">G1026-J1026</f>
        <v>0</v>
      </c>
      <c r="M1026" s="25" t="n">
        <f aca="false">F1026</f>
        <v>55875000</v>
      </c>
      <c r="N1026" s="48" t="n">
        <v>0.00745</v>
      </c>
      <c r="O1026" s="25" t="n">
        <f aca="false">IF(AND(B1026&gt;=DATE(2026,1,1),B1026&lt;=Resumen!$C$5),1,0)</f>
        <v>0</v>
      </c>
      <c r="P1026" s="25" t="n">
        <f aca="false">IF(AND(B1026&gt;Resumen!$C$5,B1026&lt;=DATE(2027,7,31)),1,0)</f>
        <v>0</v>
      </c>
    </row>
    <row r="1027" customFormat="false" ht="15" hidden="false" customHeight="false" outlineLevel="0" collapsed="false">
      <c r="A1027" s="22" t="n">
        <v>3</v>
      </c>
      <c r="B1027" s="23" t="n">
        <v>43298</v>
      </c>
      <c r="C1027" s="28" t="n">
        <v>7500000000</v>
      </c>
      <c r="D1027" s="28" t="n">
        <v>55943750</v>
      </c>
      <c r="E1027" s="28" t="n">
        <v>0</v>
      </c>
      <c r="F1027" s="28" t="n">
        <v>55943750</v>
      </c>
      <c r="G1027" s="28" t="n">
        <v>7500000000</v>
      </c>
      <c r="H1027" s="25" t="n">
        <f aca="false">J1026</f>
        <v>7500000000</v>
      </c>
      <c r="I1027" s="25" t="n">
        <f aca="false">H1027*N1027</f>
        <v>55943750</v>
      </c>
      <c r="J1027" s="25" t="n">
        <f aca="false">H1027-E1027</f>
        <v>7500000000</v>
      </c>
      <c r="K1027" s="25" t="n">
        <f aca="false">D1027-I1027</f>
        <v>0</v>
      </c>
      <c r="L1027" s="25" t="n">
        <f aca="false">G1027-J1027</f>
        <v>0</v>
      </c>
      <c r="M1027" s="25" t="n">
        <f aca="false">F1027</f>
        <v>55943750</v>
      </c>
      <c r="N1027" s="48" t="n">
        <v>0.00745916666666667</v>
      </c>
      <c r="O1027" s="25" t="n">
        <f aca="false">IF(AND(B1027&gt;=DATE(2026,1,1),B1027&lt;=Resumen!$C$5),1,0)</f>
        <v>0</v>
      </c>
      <c r="P1027" s="25" t="n">
        <f aca="false">IF(AND(B1027&gt;Resumen!$C$5,B1027&lt;=DATE(2027,7,31)),1,0)</f>
        <v>0</v>
      </c>
    </row>
    <row r="1028" customFormat="false" ht="15" hidden="false" customHeight="false" outlineLevel="0" collapsed="false">
      <c r="A1028" s="22" t="n">
        <v>4</v>
      </c>
      <c r="B1028" s="23" t="n">
        <v>43329</v>
      </c>
      <c r="C1028" s="28" t="n">
        <v>7500000000</v>
      </c>
      <c r="D1028" s="28" t="n">
        <v>55943750</v>
      </c>
      <c r="E1028" s="28" t="n">
        <v>0</v>
      </c>
      <c r="F1028" s="28" t="n">
        <v>55943750</v>
      </c>
      <c r="G1028" s="28" t="n">
        <v>7500000000</v>
      </c>
      <c r="H1028" s="25" t="n">
        <f aca="false">J1027</f>
        <v>7500000000</v>
      </c>
      <c r="I1028" s="25" t="n">
        <f aca="false">H1028*N1028</f>
        <v>55943750</v>
      </c>
      <c r="J1028" s="25" t="n">
        <f aca="false">H1028-E1028</f>
        <v>7500000000</v>
      </c>
      <c r="K1028" s="25" t="n">
        <f aca="false">D1028-I1028</f>
        <v>0</v>
      </c>
      <c r="L1028" s="25" t="n">
        <f aca="false">G1028-J1028</f>
        <v>0</v>
      </c>
      <c r="M1028" s="25" t="n">
        <f aca="false">F1028</f>
        <v>55943750</v>
      </c>
      <c r="N1028" s="48" t="n">
        <v>0.00745916666666667</v>
      </c>
      <c r="O1028" s="25" t="n">
        <f aca="false">IF(AND(B1028&gt;=DATE(2026,1,1),B1028&lt;=Resumen!$C$5),1,0)</f>
        <v>0</v>
      </c>
      <c r="P1028" s="25" t="n">
        <f aca="false">IF(AND(B1028&gt;Resumen!$C$5,B1028&lt;=DATE(2027,7,31)),1,0)</f>
        <v>0</v>
      </c>
    </row>
    <row r="1029" customFormat="false" ht="15" hidden="false" customHeight="false" outlineLevel="0" collapsed="false">
      <c r="A1029" s="22" t="n">
        <v>5</v>
      </c>
      <c r="B1029" s="23" t="n">
        <v>43360</v>
      </c>
      <c r="C1029" s="28" t="n">
        <v>7500000000</v>
      </c>
      <c r="D1029" s="28" t="n">
        <v>55943750</v>
      </c>
      <c r="E1029" s="28" t="n">
        <v>0</v>
      </c>
      <c r="F1029" s="28" t="n">
        <v>55943750</v>
      </c>
      <c r="G1029" s="28" t="n">
        <v>7500000000</v>
      </c>
      <c r="H1029" s="25" t="n">
        <f aca="false">J1028</f>
        <v>7500000000</v>
      </c>
      <c r="I1029" s="25" t="n">
        <f aca="false">H1029*N1029</f>
        <v>55943750</v>
      </c>
      <c r="J1029" s="25" t="n">
        <f aca="false">H1029-E1029</f>
        <v>7500000000</v>
      </c>
      <c r="K1029" s="25" t="n">
        <f aca="false">D1029-I1029</f>
        <v>0</v>
      </c>
      <c r="L1029" s="25" t="n">
        <f aca="false">G1029-J1029</f>
        <v>0</v>
      </c>
      <c r="M1029" s="25" t="n">
        <f aca="false">F1029</f>
        <v>55943750</v>
      </c>
      <c r="N1029" s="48" t="n">
        <v>0.00745916666666667</v>
      </c>
      <c r="O1029" s="25" t="n">
        <f aca="false">IF(AND(B1029&gt;=DATE(2026,1,1),B1029&lt;=Resumen!$C$5),1,0)</f>
        <v>0</v>
      </c>
      <c r="P1029" s="25" t="n">
        <f aca="false">IF(AND(B1029&gt;Resumen!$C$5,B1029&lt;=DATE(2027,7,31)),1,0)</f>
        <v>0</v>
      </c>
    </row>
    <row r="1030" customFormat="false" ht="15" hidden="false" customHeight="false" outlineLevel="0" collapsed="false">
      <c r="A1030" s="22" t="n">
        <v>6</v>
      </c>
      <c r="B1030" s="23" t="n">
        <v>43390</v>
      </c>
      <c r="C1030" s="28" t="n">
        <v>7500000000</v>
      </c>
      <c r="D1030" s="28" t="n">
        <v>55943750</v>
      </c>
      <c r="E1030" s="28" t="n">
        <v>0</v>
      </c>
      <c r="F1030" s="28" t="n">
        <v>55943750</v>
      </c>
      <c r="G1030" s="28" t="n">
        <v>7500000000</v>
      </c>
      <c r="H1030" s="25" t="n">
        <f aca="false">J1029</f>
        <v>7500000000</v>
      </c>
      <c r="I1030" s="25" t="n">
        <f aca="false">H1030*N1030</f>
        <v>55943750</v>
      </c>
      <c r="J1030" s="25" t="n">
        <f aca="false">H1030-E1030</f>
        <v>7500000000</v>
      </c>
      <c r="K1030" s="25" t="n">
        <f aca="false">D1030-I1030</f>
        <v>0</v>
      </c>
      <c r="L1030" s="25" t="n">
        <f aca="false">G1030-J1030</f>
        <v>0</v>
      </c>
      <c r="M1030" s="25" t="n">
        <f aca="false">F1030</f>
        <v>55943750</v>
      </c>
      <c r="N1030" s="48" t="n">
        <v>0.00745916666666667</v>
      </c>
      <c r="O1030" s="25" t="n">
        <f aca="false">IF(AND(B1030&gt;=DATE(2026,1,1),B1030&lt;=Resumen!$C$5),1,0)</f>
        <v>0</v>
      </c>
      <c r="P1030" s="25" t="n">
        <f aca="false">IF(AND(B1030&gt;Resumen!$C$5,B1030&lt;=DATE(2027,7,31)),1,0)</f>
        <v>0</v>
      </c>
    </row>
    <row r="1031" customFormat="false" ht="15" hidden="false" customHeight="false" outlineLevel="0" collapsed="false">
      <c r="A1031" s="22" t="n">
        <v>7</v>
      </c>
      <c r="B1031" s="23" t="n">
        <v>43421</v>
      </c>
      <c r="C1031" s="28" t="n">
        <v>7500000000</v>
      </c>
      <c r="D1031" s="28" t="n">
        <v>55943750</v>
      </c>
      <c r="E1031" s="28" t="n">
        <v>0</v>
      </c>
      <c r="F1031" s="28" t="n">
        <v>55943750</v>
      </c>
      <c r="G1031" s="28" t="n">
        <v>7500000000</v>
      </c>
      <c r="H1031" s="25" t="n">
        <f aca="false">J1030</f>
        <v>7500000000</v>
      </c>
      <c r="I1031" s="25" t="n">
        <f aca="false">H1031*N1031</f>
        <v>55943750</v>
      </c>
      <c r="J1031" s="25" t="n">
        <f aca="false">H1031-E1031</f>
        <v>7500000000</v>
      </c>
      <c r="K1031" s="25" t="n">
        <f aca="false">D1031-I1031</f>
        <v>0</v>
      </c>
      <c r="L1031" s="25" t="n">
        <f aca="false">G1031-J1031</f>
        <v>0</v>
      </c>
      <c r="M1031" s="25" t="n">
        <f aca="false">F1031</f>
        <v>55943750</v>
      </c>
      <c r="N1031" s="48" t="n">
        <v>0.00745916666666667</v>
      </c>
      <c r="O1031" s="25" t="n">
        <f aca="false">IF(AND(B1031&gt;=DATE(2026,1,1),B1031&lt;=Resumen!$C$5),1,0)</f>
        <v>0</v>
      </c>
      <c r="P1031" s="25" t="n">
        <f aca="false">IF(AND(B1031&gt;Resumen!$C$5,B1031&lt;=DATE(2027,7,31)),1,0)</f>
        <v>0</v>
      </c>
    </row>
    <row r="1032" customFormat="false" ht="15" hidden="false" customHeight="false" outlineLevel="0" collapsed="false">
      <c r="A1032" s="22" t="n">
        <v>8</v>
      </c>
      <c r="B1032" s="23" t="n">
        <v>43451</v>
      </c>
      <c r="C1032" s="28" t="n">
        <v>7500000000</v>
      </c>
      <c r="D1032" s="28" t="n">
        <v>55943750</v>
      </c>
      <c r="E1032" s="28" t="n">
        <v>0</v>
      </c>
      <c r="F1032" s="28" t="n">
        <v>55943750</v>
      </c>
      <c r="G1032" s="28" t="n">
        <v>7500000000</v>
      </c>
      <c r="H1032" s="25" t="n">
        <f aca="false">J1031</f>
        <v>7500000000</v>
      </c>
      <c r="I1032" s="25" t="n">
        <f aca="false">H1032*N1032</f>
        <v>55943750</v>
      </c>
      <c r="J1032" s="25" t="n">
        <f aca="false">H1032-E1032</f>
        <v>7500000000</v>
      </c>
      <c r="K1032" s="25" t="n">
        <f aca="false">D1032-I1032</f>
        <v>0</v>
      </c>
      <c r="L1032" s="25" t="n">
        <f aca="false">G1032-J1032</f>
        <v>0</v>
      </c>
      <c r="M1032" s="25" t="n">
        <f aca="false">F1032</f>
        <v>55943750</v>
      </c>
      <c r="N1032" s="48" t="n">
        <v>0.00745916666666667</v>
      </c>
      <c r="O1032" s="25" t="n">
        <f aca="false">IF(AND(B1032&gt;=DATE(2026,1,1),B1032&lt;=Resumen!$C$5),1,0)</f>
        <v>0</v>
      </c>
      <c r="P1032" s="25" t="n">
        <f aca="false">IF(AND(B1032&gt;Resumen!$C$5,B1032&lt;=DATE(2027,7,31)),1,0)</f>
        <v>0</v>
      </c>
    </row>
    <row r="1033" customFormat="false" ht="15" hidden="false" customHeight="false" outlineLevel="0" collapsed="false">
      <c r="A1033" s="22" t="n">
        <v>9</v>
      </c>
      <c r="B1033" s="23" t="n">
        <v>43482</v>
      </c>
      <c r="C1033" s="28" t="n">
        <v>7500000000</v>
      </c>
      <c r="D1033" s="28" t="n">
        <v>55937500</v>
      </c>
      <c r="E1033" s="28" t="n">
        <v>0</v>
      </c>
      <c r="F1033" s="28" t="n">
        <v>55937500</v>
      </c>
      <c r="G1033" s="28" t="n">
        <v>7500000000</v>
      </c>
      <c r="H1033" s="25" t="n">
        <f aca="false">J1032</f>
        <v>7500000000</v>
      </c>
      <c r="I1033" s="25" t="n">
        <f aca="false">H1033*N1033</f>
        <v>55937500</v>
      </c>
      <c r="J1033" s="25" t="n">
        <f aca="false">H1033-E1033</f>
        <v>7500000000</v>
      </c>
      <c r="K1033" s="25" t="n">
        <f aca="false">D1033-I1033</f>
        <v>0</v>
      </c>
      <c r="L1033" s="25" t="n">
        <f aca="false">G1033-J1033</f>
        <v>0</v>
      </c>
      <c r="M1033" s="25" t="n">
        <f aca="false">F1033</f>
        <v>55937500</v>
      </c>
      <c r="N1033" s="48" t="n">
        <v>0.00745833333333333</v>
      </c>
      <c r="O1033" s="25" t="n">
        <f aca="false">IF(AND(B1033&gt;=DATE(2026,1,1),B1033&lt;=Resumen!$C$5),1,0)</f>
        <v>0</v>
      </c>
      <c r="P1033" s="25" t="n">
        <f aca="false">IF(AND(B1033&gt;Resumen!$C$5,B1033&lt;=DATE(2027,7,31)),1,0)</f>
        <v>0</v>
      </c>
    </row>
    <row r="1034" customFormat="false" ht="15" hidden="false" customHeight="false" outlineLevel="0" collapsed="false">
      <c r="A1034" s="22" t="n">
        <v>10</v>
      </c>
      <c r="B1034" s="23" t="n">
        <v>43513</v>
      </c>
      <c r="C1034" s="28" t="n">
        <v>7500000000</v>
      </c>
      <c r="D1034" s="28" t="n">
        <v>55937500</v>
      </c>
      <c r="E1034" s="28" t="n">
        <v>0</v>
      </c>
      <c r="F1034" s="28" t="n">
        <v>55937500</v>
      </c>
      <c r="G1034" s="28" t="n">
        <v>7500000000</v>
      </c>
      <c r="H1034" s="25" t="n">
        <f aca="false">J1033</f>
        <v>7500000000</v>
      </c>
      <c r="I1034" s="25" t="n">
        <f aca="false">H1034*N1034</f>
        <v>55937500</v>
      </c>
      <c r="J1034" s="25" t="n">
        <f aca="false">H1034-E1034</f>
        <v>7500000000</v>
      </c>
      <c r="K1034" s="25" t="n">
        <f aca="false">D1034-I1034</f>
        <v>0</v>
      </c>
      <c r="L1034" s="25" t="n">
        <f aca="false">G1034-J1034</f>
        <v>0</v>
      </c>
      <c r="M1034" s="25" t="n">
        <f aca="false">F1034</f>
        <v>55937500</v>
      </c>
      <c r="N1034" s="48" t="n">
        <v>0.00745833333333333</v>
      </c>
      <c r="O1034" s="25" t="n">
        <f aca="false">IF(AND(B1034&gt;=DATE(2026,1,1),B1034&lt;=Resumen!$C$5),1,0)</f>
        <v>0</v>
      </c>
      <c r="P1034" s="25" t="n">
        <f aca="false">IF(AND(B1034&gt;Resumen!$C$5,B1034&lt;=DATE(2027,7,31)),1,0)</f>
        <v>0</v>
      </c>
    </row>
    <row r="1035" customFormat="false" ht="15" hidden="false" customHeight="false" outlineLevel="0" collapsed="false">
      <c r="A1035" s="22" t="n">
        <v>11</v>
      </c>
      <c r="B1035" s="23" t="n">
        <v>43541</v>
      </c>
      <c r="C1035" s="28" t="n">
        <v>7500000000</v>
      </c>
      <c r="D1035" s="28" t="n">
        <v>55937500</v>
      </c>
      <c r="E1035" s="28" t="n">
        <v>0</v>
      </c>
      <c r="F1035" s="28" t="n">
        <v>55937500</v>
      </c>
      <c r="G1035" s="28" t="n">
        <v>7500000000</v>
      </c>
      <c r="H1035" s="25" t="n">
        <f aca="false">J1034</f>
        <v>7500000000</v>
      </c>
      <c r="I1035" s="25" t="n">
        <f aca="false">H1035*N1035</f>
        <v>55937500</v>
      </c>
      <c r="J1035" s="25" t="n">
        <f aca="false">H1035-E1035</f>
        <v>7500000000</v>
      </c>
      <c r="K1035" s="25" t="n">
        <f aca="false">D1035-I1035</f>
        <v>0</v>
      </c>
      <c r="L1035" s="25" t="n">
        <f aca="false">G1035-J1035</f>
        <v>0</v>
      </c>
      <c r="M1035" s="25" t="n">
        <f aca="false">F1035</f>
        <v>55937500</v>
      </c>
      <c r="N1035" s="48" t="n">
        <v>0.00745833333333333</v>
      </c>
      <c r="O1035" s="25" t="n">
        <f aca="false">IF(AND(B1035&gt;=DATE(2026,1,1),B1035&lt;=Resumen!$C$5),1,0)</f>
        <v>0</v>
      </c>
      <c r="P1035" s="25" t="n">
        <f aca="false">IF(AND(B1035&gt;Resumen!$C$5,B1035&lt;=DATE(2027,7,31)),1,0)</f>
        <v>0</v>
      </c>
    </row>
    <row r="1036" customFormat="false" ht="15" hidden="false" customHeight="false" outlineLevel="0" collapsed="false">
      <c r="A1036" s="22" t="n">
        <v>12</v>
      </c>
      <c r="B1036" s="23" t="n">
        <v>43572</v>
      </c>
      <c r="C1036" s="28" t="n">
        <v>7500000000</v>
      </c>
      <c r="D1036" s="28" t="n">
        <v>55937500</v>
      </c>
      <c r="E1036" s="28" t="n">
        <v>0</v>
      </c>
      <c r="F1036" s="28" t="n">
        <v>55937500</v>
      </c>
      <c r="G1036" s="28" t="n">
        <v>7500000000</v>
      </c>
      <c r="H1036" s="25" t="n">
        <f aca="false">J1035</f>
        <v>7500000000</v>
      </c>
      <c r="I1036" s="25" t="n">
        <f aca="false">H1036*N1036</f>
        <v>55937500</v>
      </c>
      <c r="J1036" s="25" t="n">
        <f aca="false">H1036-E1036</f>
        <v>7500000000</v>
      </c>
      <c r="K1036" s="25" t="n">
        <f aca="false">D1036-I1036</f>
        <v>0</v>
      </c>
      <c r="L1036" s="25" t="n">
        <f aca="false">G1036-J1036</f>
        <v>0</v>
      </c>
      <c r="M1036" s="25" t="n">
        <f aca="false">F1036</f>
        <v>55937500</v>
      </c>
      <c r="N1036" s="48" t="n">
        <v>0.00745833333333333</v>
      </c>
      <c r="O1036" s="25" t="n">
        <f aca="false">IF(AND(B1036&gt;=DATE(2026,1,1),B1036&lt;=Resumen!$C$5),1,0)</f>
        <v>0</v>
      </c>
      <c r="P1036" s="25" t="n">
        <f aca="false">IF(AND(B1036&gt;Resumen!$C$5,B1036&lt;=DATE(2027,7,31)),1,0)</f>
        <v>0</v>
      </c>
    </row>
    <row r="1037" customFormat="false" ht="15" hidden="false" customHeight="false" outlineLevel="0" collapsed="false">
      <c r="A1037" s="22" t="n">
        <v>13</v>
      </c>
      <c r="B1037" s="23" t="n">
        <v>43602</v>
      </c>
      <c r="C1037" s="28" t="n">
        <v>7500000000</v>
      </c>
      <c r="D1037" s="28" t="n">
        <v>55937500</v>
      </c>
      <c r="E1037" s="28" t="n">
        <v>0</v>
      </c>
      <c r="F1037" s="28" t="n">
        <v>55937500</v>
      </c>
      <c r="G1037" s="28" t="n">
        <v>7500000000</v>
      </c>
      <c r="H1037" s="25" t="n">
        <f aca="false">J1036</f>
        <v>7500000000</v>
      </c>
      <c r="I1037" s="25" t="n">
        <f aca="false">H1037*N1037</f>
        <v>55937500</v>
      </c>
      <c r="J1037" s="25" t="n">
        <f aca="false">H1037-E1037</f>
        <v>7500000000</v>
      </c>
      <c r="K1037" s="25" t="n">
        <f aca="false">D1037-I1037</f>
        <v>0</v>
      </c>
      <c r="L1037" s="25" t="n">
        <f aca="false">G1037-J1037</f>
        <v>0</v>
      </c>
      <c r="M1037" s="25" t="n">
        <f aca="false">F1037</f>
        <v>55937500</v>
      </c>
      <c r="N1037" s="48" t="n">
        <v>0.00745833333333333</v>
      </c>
      <c r="O1037" s="25" t="n">
        <f aca="false">IF(AND(B1037&gt;=DATE(2026,1,1),B1037&lt;=Resumen!$C$5),1,0)</f>
        <v>0</v>
      </c>
      <c r="P1037" s="25" t="n">
        <f aca="false">IF(AND(B1037&gt;Resumen!$C$5,B1037&lt;=DATE(2027,7,31)),1,0)</f>
        <v>0</v>
      </c>
    </row>
    <row r="1038" customFormat="false" ht="15" hidden="false" customHeight="false" outlineLevel="0" collapsed="false">
      <c r="A1038" s="22" t="n">
        <v>14</v>
      </c>
      <c r="B1038" s="23" t="n">
        <v>43633</v>
      </c>
      <c r="C1038" s="28" t="n">
        <v>7500000000</v>
      </c>
      <c r="D1038" s="28" t="n">
        <v>55937500</v>
      </c>
      <c r="E1038" s="28" t="n">
        <v>0</v>
      </c>
      <c r="F1038" s="28" t="n">
        <v>55937500</v>
      </c>
      <c r="G1038" s="28" t="n">
        <v>7500000000</v>
      </c>
      <c r="H1038" s="25" t="n">
        <f aca="false">J1037</f>
        <v>7500000000</v>
      </c>
      <c r="I1038" s="25" t="n">
        <f aca="false">H1038*N1038</f>
        <v>55937500</v>
      </c>
      <c r="J1038" s="25" t="n">
        <f aca="false">H1038-E1038</f>
        <v>7500000000</v>
      </c>
      <c r="K1038" s="25" t="n">
        <f aca="false">D1038-I1038</f>
        <v>0</v>
      </c>
      <c r="L1038" s="25" t="n">
        <f aca="false">G1038-J1038</f>
        <v>0</v>
      </c>
      <c r="M1038" s="25" t="n">
        <f aca="false">F1038</f>
        <v>55937500</v>
      </c>
      <c r="N1038" s="48" t="n">
        <v>0.00745833333333333</v>
      </c>
      <c r="O1038" s="25" t="n">
        <f aca="false">IF(AND(B1038&gt;=DATE(2026,1,1),B1038&lt;=Resumen!$C$5),1,0)</f>
        <v>0</v>
      </c>
      <c r="P1038" s="25" t="n">
        <f aca="false">IF(AND(B1038&gt;Resumen!$C$5,B1038&lt;=DATE(2027,7,31)),1,0)</f>
        <v>0</v>
      </c>
    </row>
    <row r="1039" customFormat="false" ht="15" hidden="false" customHeight="false" outlineLevel="0" collapsed="false">
      <c r="A1039" s="22" t="n">
        <v>15</v>
      </c>
      <c r="B1039" s="23" t="n">
        <v>43663</v>
      </c>
      <c r="C1039" s="28" t="n">
        <v>7500000000</v>
      </c>
      <c r="D1039" s="28" t="n">
        <v>55937500</v>
      </c>
      <c r="E1039" s="28" t="n">
        <v>0</v>
      </c>
      <c r="F1039" s="28" t="n">
        <v>55937500</v>
      </c>
      <c r="G1039" s="28" t="n">
        <v>7500000000</v>
      </c>
      <c r="H1039" s="25" t="n">
        <f aca="false">J1038</f>
        <v>7500000000</v>
      </c>
      <c r="I1039" s="25" t="n">
        <f aca="false">H1039*N1039</f>
        <v>55937500</v>
      </c>
      <c r="J1039" s="25" t="n">
        <f aca="false">H1039-E1039</f>
        <v>7500000000</v>
      </c>
      <c r="K1039" s="25" t="n">
        <f aca="false">D1039-I1039</f>
        <v>0</v>
      </c>
      <c r="L1039" s="25" t="n">
        <f aca="false">G1039-J1039</f>
        <v>0</v>
      </c>
      <c r="M1039" s="25" t="n">
        <f aca="false">F1039</f>
        <v>55937500</v>
      </c>
      <c r="N1039" s="48" t="n">
        <v>0.00745833333333333</v>
      </c>
      <c r="O1039" s="25" t="n">
        <f aca="false">IF(AND(B1039&gt;=DATE(2026,1,1),B1039&lt;=Resumen!$C$5),1,0)</f>
        <v>0</v>
      </c>
      <c r="P1039" s="25" t="n">
        <f aca="false">IF(AND(B1039&gt;Resumen!$C$5,B1039&lt;=DATE(2027,7,31)),1,0)</f>
        <v>0</v>
      </c>
    </row>
    <row r="1040" customFormat="false" ht="15" hidden="false" customHeight="false" outlineLevel="0" collapsed="false">
      <c r="A1040" s="22" t="n">
        <v>16</v>
      </c>
      <c r="B1040" s="23" t="n">
        <v>43694</v>
      </c>
      <c r="C1040" s="28" t="n">
        <v>7500000000</v>
      </c>
      <c r="D1040" s="28" t="n">
        <v>55937500</v>
      </c>
      <c r="E1040" s="28" t="n">
        <v>0</v>
      </c>
      <c r="F1040" s="28" t="n">
        <v>55937500</v>
      </c>
      <c r="G1040" s="28" t="n">
        <v>7500000000</v>
      </c>
      <c r="H1040" s="25" t="n">
        <f aca="false">J1039</f>
        <v>7500000000</v>
      </c>
      <c r="I1040" s="25" t="n">
        <f aca="false">H1040*N1040</f>
        <v>55937500</v>
      </c>
      <c r="J1040" s="25" t="n">
        <f aca="false">H1040-E1040</f>
        <v>7500000000</v>
      </c>
      <c r="K1040" s="25" t="n">
        <f aca="false">D1040-I1040</f>
        <v>0</v>
      </c>
      <c r="L1040" s="25" t="n">
        <f aca="false">G1040-J1040</f>
        <v>0</v>
      </c>
      <c r="M1040" s="25" t="n">
        <f aca="false">F1040</f>
        <v>55937500</v>
      </c>
      <c r="N1040" s="48" t="n">
        <v>0.00745833333333333</v>
      </c>
      <c r="O1040" s="25" t="n">
        <f aca="false">IF(AND(B1040&gt;=DATE(2026,1,1),B1040&lt;=Resumen!$C$5),1,0)</f>
        <v>0</v>
      </c>
      <c r="P1040" s="25" t="n">
        <f aca="false">IF(AND(B1040&gt;Resumen!$C$5,B1040&lt;=DATE(2027,7,31)),1,0)</f>
        <v>0</v>
      </c>
    </row>
    <row r="1041" customFormat="false" ht="15" hidden="false" customHeight="false" outlineLevel="0" collapsed="false">
      <c r="A1041" s="22" t="n">
        <v>17</v>
      </c>
      <c r="B1041" s="23" t="n">
        <v>43725</v>
      </c>
      <c r="C1041" s="28" t="n">
        <v>7500000000</v>
      </c>
      <c r="D1041" s="28" t="n">
        <v>55937500</v>
      </c>
      <c r="E1041" s="28" t="n">
        <v>0</v>
      </c>
      <c r="F1041" s="28" t="n">
        <v>55937500</v>
      </c>
      <c r="G1041" s="28" t="n">
        <v>7500000000</v>
      </c>
      <c r="H1041" s="25" t="n">
        <f aca="false">J1040</f>
        <v>7500000000</v>
      </c>
      <c r="I1041" s="25" t="n">
        <f aca="false">H1041*N1041</f>
        <v>55937500</v>
      </c>
      <c r="J1041" s="25" t="n">
        <f aca="false">H1041-E1041</f>
        <v>7500000000</v>
      </c>
      <c r="K1041" s="25" t="n">
        <f aca="false">D1041-I1041</f>
        <v>0</v>
      </c>
      <c r="L1041" s="25" t="n">
        <f aca="false">G1041-J1041</f>
        <v>0</v>
      </c>
      <c r="M1041" s="25" t="n">
        <f aca="false">F1041</f>
        <v>55937500</v>
      </c>
      <c r="N1041" s="48" t="n">
        <v>0.00745833333333333</v>
      </c>
      <c r="O1041" s="25" t="n">
        <f aca="false">IF(AND(B1041&gt;=DATE(2026,1,1),B1041&lt;=Resumen!$C$5),1,0)</f>
        <v>0</v>
      </c>
      <c r="P1041" s="25" t="n">
        <f aca="false">IF(AND(B1041&gt;Resumen!$C$5,B1041&lt;=DATE(2027,7,31)),1,0)</f>
        <v>0</v>
      </c>
    </row>
    <row r="1042" customFormat="false" ht="15" hidden="false" customHeight="false" outlineLevel="0" collapsed="false">
      <c r="A1042" s="22" t="n">
        <v>18</v>
      </c>
      <c r="B1042" s="23" t="n">
        <v>43755</v>
      </c>
      <c r="C1042" s="28" t="n">
        <v>7500000000</v>
      </c>
      <c r="D1042" s="28" t="n">
        <v>55937500</v>
      </c>
      <c r="E1042" s="28" t="n">
        <v>0</v>
      </c>
      <c r="F1042" s="28" t="n">
        <v>55937500</v>
      </c>
      <c r="G1042" s="28" t="n">
        <v>7500000000</v>
      </c>
      <c r="H1042" s="25" t="n">
        <f aca="false">J1041</f>
        <v>7500000000</v>
      </c>
      <c r="I1042" s="25" t="n">
        <f aca="false">H1042*N1042</f>
        <v>55937500</v>
      </c>
      <c r="J1042" s="25" t="n">
        <f aca="false">H1042-E1042</f>
        <v>7500000000</v>
      </c>
      <c r="K1042" s="25" t="n">
        <f aca="false">D1042-I1042</f>
        <v>0</v>
      </c>
      <c r="L1042" s="25" t="n">
        <f aca="false">G1042-J1042</f>
        <v>0</v>
      </c>
      <c r="M1042" s="25" t="n">
        <f aca="false">F1042</f>
        <v>55937500</v>
      </c>
      <c r="N1042" s="48" t="n">
        <v>0.00745833333333333</v>
      </c>
      <c r="O1042" s="25" t="n">
        <f aca="false">IF(AND(B1042&gt;=DATE(2026,1,1),B1042&lt;=Resumen!$C$5),1,0)</f>
        <v>0</v>
      </c>
      <c r="P1042" s="25" t="n">
        <f aca="false">IF(AND(B1042&gt;Resumen!$C$5,B1042&lt;=DATE(2027,7,31)),1,0)</f>
        <v>0</v>
      </c>
    </row>
    <row r="1043" customFormat="false" ht="15" hidden="false" customHeight="false" outlineLevel="0" collapsed="false">
      <c r="A1043" s="22" t="n">
        <v>19</v>
      </c>
      <c r="B1043" s="23" t="n">
        <v>43786</v>
      </c>
      <c r="C1043" s="28" t="n">
        <v>7500000000</v>
      </c>
      <c r="D1043" s="28" t="n">
        <v>55937500</v>
      </c>
      <c r="E1043" s="28" t="n">
        <v>0</v>
      </c>
      <c r="F1043" s="28" t="n">
        <v>55937500</v>
      </c>
      <c r="G1043" s="28" t="n">
        <v>7500000000</v>
      </c>
      <c r="H1043" s="25" t="n">
        <f aca="false">J1042</f>
        <v>7500000000</v>
      </c>
      <c r="I1043" s="25" t="n">
        <f aca="false">H1043*N1043</f>
        <v>55937500</v>
      </c>
      <c r="J1043" s="25" t="n">
        <f aca="false">H1043-E1043</f>
        <v>7500000000</v>
      </c>
      <c r="K1043" s="25" t="n">
        <f aca="false">D1043-I1043</f>
        <v>0</v>
      </c>
      <c r="L1043" s="25" t="n">
        <f aca="false">G1043-J1043</f>
        <v>0</v>
      </c>
      <c r="M1043" s="25" t="n">
        <f aca="false">F1043</f>
        <v>55937500</v>
      </c>
      <c r="N1043" s="48" t="n">
        <v>0.00745833333333333</v>
      </c>
      <c r="O1043" s="25" t="n">
        <f aca="false">IF(AND(B1043&gt;=DATE(2026,1,1),B1043&lt;=Resumen!$C$5),1,0)</f>
        <v>0</v>
      </c>
      <c r="P1043" s="25" t="n">
        <f aca="false">IF(AND(B1043&gt;Resumen!$C$5,B1043&lt;=DATE(2027,7,31)),1,0)</f>
        <v>0</v>
      </c>
    </row>
    <row r="1044" customFormat="false" ht="15" hidden="false" customHeight="false" outlineLevel="0" collapsed="false">
      <c r="A1044" s="22" t="n">
        <v>20</v>
      </c>
      <c r="B1044" s="23" t="n">
        <v>43816</v>
      </c>
      <c r="C1044" s="28" t="n">
        <v>7500000000</v>
      </c>
      <c r="D1044" s="28" t="n">
        <v>55937500</v>
      </c>
      <c r="E1044" s="28" t="n">
        <v>0</v>
      </c>
      <c r="F1044" s="28" t="n">
        <v>55937500</v>
      </c>
      <c r="G1044" s="28" t="n">
        <v>7500000000</v>
      </c>
      <c r="H1044" s="25" t="n">
        <f aca="false">J1043</f>
        <v>7500000000</v>
      </c>
      <c r="I1044" s="25" t="n">
        <f aca="false">H1044*N1044</f>
        <v>55937500</v>
      </c>
      <c r="J1044" s="25" t="n">
        <f aca="false">H1044-E1044</f>
        <v>7500000000</v>
      </c>
      <c r="K1044" s="25" t="n">
        <f aca="false">D1044-I1044</f>
        <v>0</v>
      </c>
      <c r="L1044" s="25" t="n">
        <f aca="false">G1044-J1044</f>
        <v>0</v>
      </c>
      <c r="M1044" s="25" t="n">
        <f aca="false">F1044</f>
        <v>55937500</v>
      </c>
      <c r="N1044" s="48" t="n">
        <v>0.00745833333333333</v>
      </c>
      <c r="O1044" s="25" t="n">
        <f aca="false">IF(AND(B1044&gt;=DATE(2026,1,1),B1044&lt;=Resumen!$C$5),1,0)</f>
        <v>0</v>
      </c>
      <c r="P1044" s="25" t="n">
        <f aca="false">IF(AND(B1044&gt;Resumen!$C$5,B1044&lt;=DATE(2027,7,31)),1,0)</f>
        <v>0</v>
      </c>
    </row>
    <row r="1045" customFormat="false" ht="15" hidden="false" customHeight="false" outlineLevel="0" collapsed="false">
      <c r="A1045" s="22" t="n">
        <v>21</v>
      </c>
      <c r="B1045" s="23" t="n">
        <v>43847</v>
      </c>
      <c r="C1045" s="28" t="n">
        <v>7500000000</v>
      </c>
      <c r="D1045" s="28" t="n">
        <v>55956250</v>
      </c>
      <c r="E1045" s="28" t="n">
        <v>0</v>
      </c>
      <c r="F1045" s="28" t="n">
        <v>55956250</v>
      </c>
      <c r="G1045" s="28" t="n">
        <v>7500000000</v>
      </c>
      <c r="H1045" s="25" t="n">
        <f aca="false">J1044</f>
        <v>7500000000</v>
      </c>
      <c r="I1045" s="25" t="n">
        <f aca="false">H1045*N1045</f>
        <v>55956250</v>
      </c>
      <c r="J1045" s="25" t="n">
        <f aca="false">H1045-E1045</f>
        <v>7500000000</v>
      </c>
      <c r="K1045" s="25" t="n">
        <f aca="false">D1045-I1045</f>
        <v>0</v>
      </c>
      <c r="L1045" s="25" t="n">
        <f aca="false">G1045-J1045</f>
        <v>0</v>
      </c>
      <c r="M1045" s="25" t="n">
        <f aca="false">F1045</f>
        <v>55956250</v>
      </c>
      <c r="N1045" s="48" t="n">
        <v>0.00746083333333333</v>
      </c>
      <c r="O1045" s="25" t="n">
        <f aca="false">IF(AND(B1045&gt;=DATE(2026,1,1),B1045&lt;=Resumen!$C$5),1,0)</f>
        <v>0</v>
      </c>
      <c r="P1045" s="25" t="n">
        <f aca="false">IF(AND(B1045&gt;Resumen!$C$5,B1045&lt;=DATE(2027,7,31)),1,0)</f>
        <v>0</v>
      </c>
    </row>
    <row r="1046" customFormat="false" ht="15" hidden="false" customHeight="false" outlineLevel="0" collapsed="false">
      <c r="A1046" s="22" t="n">
        <v>22</v>
      </c>
      <c r="B1046" s="23" t="n">
        <v>43878</v>
      </c>
      <c r="C1046" s="28" t="n">
        <v>7500000000</v>
      </c>
      <c r="D1046" s="28" t="n">
        <v>55950000</v>
      </c>
      <c r="E1046" s="28" t="n">
        <v>0</v>
      </c>
      <c r="F1046" s="28" t="n">
        <v>55950000</v>
      </c>
      <c r="G1046" s="28" t="n">
        <v>7500000000</v>
      </c>
      <c r="H1046" s="25" t="n">
        <f aca="false">J1045</f>
        <v>7500000000</v>
      </c>
      <c r="I1046" s="25" t="n">
        <f aca="false">H1046*N1046</f>
        <v>55950000</v>
      </c>
      <c r="J1046" s="25" t="n">
        <f aca="false">H1046-E1046</f>
        <v>7500000000</v>
      </c>
      <c r="K1046" s="25" t="n">
        <f aca="false">D1046-I1046</f>
        <v>0</v>
      </c>
      <c r="L1046" s="25" t="n">
        <f aca="false">G1046-J1046</f>
        <v>0</v>
      </c>
      <c r="M1046" s="25" t="n">
        <f aca="false">F1046</f>
        <v>55950000</v>
      </c>
      <c r="N1046" s="48" t="n">
        <v>0.00746</v>
      </c>
      <c r="O1046" s="25" t="n">
        <f aca="false">IF(AND(B1046&gt;=DATE(2026,1,1),B1046&lt;=Resumen!$C$5),1,0)</f>
        <v>0</v>
      </c>
      <c r="P1046" s="25" t="n">
        <f aca="false">IF(AND(B1046&gt;Resumen!$C$5,B1046&lt;=DATE(2027,7,31)),1,0)</f>
        <v>0</v>
      </c>
    </row>
    <row r="1047" customFormat="false" ht="15" hidden="false" customHeight="false" outlineLevel="0" collapsed="false">
      <c r="A1047" s="22" t="n">
        <v>23</v>
      </c>
      <c r="B1047" s="23" t="n">
        <v>43907</v>
      </c>
      <c r="C1047" s="28" t="n">
        <v>7500000000</v>
      </c>
      <c r="D1047" s="28" t="n">
        <v>54612500</v>
      </c>
      <c r="E1047" s="28" t="n">
        <v>0</v>
      </c>
      <c r="F1047" s="28" t="n">
        <v>54612500</v>
      </c>
      <c r="G1047" s="28" t="n">
        <v>7500000000</v>
      </c>
      <c r="H1047" s="25" t="n">
        <f aca="false">J1046</f>
        <v>7500000000</v>
      </c>
      <c r="I1047" s="25" t="n">
        <f aca="false">H1047*N1047</f>
        <v>54612500</v>
      </c>
      <c r="J1047" s="25" t="n">
        <f aca="false">H1047-E1047</f>
        <v>7500000000</v>
      </c>
      <c r="K1047" s="25" t="n">
        <f aca="false">D1047-I1047</f>
        <v>0</v>
      </c>
      <c r="L1047" s="25" t="n">
        <f aca="false">G1047-J1047</f>
        <v>0</v>
      </c>
      <c r="M1047" s="25" t="n">
        <f aca="false">F1047</f>
        <v>54612500</v>
      </c>
      <c r="N1047" s="48" t="n">
        <v>0.00728166666666667</v>
      </c>
      <c r="O1047" s="25" t="n">
        <f aca="false">IF(AND(B1047&gt;=DATE(2026,1,1),B1047&lt;=Resumen!$C$5),1,0)</f>
        <v>0</v>
      </c>
      <c r="P1047" s="25" t="n">
        <f aca="false">IF(AND(B1047&gt;Resumen!$C$5,B1047&lt;=DATE(2027,7,31)),1,0)</f>
        <v>0</v>
      </c>
    </row>
    <row r="1048" customFormat="false" ht="15" hidden="false" customHeight="false" outlineLevel="0" collapsed="false">
      <c r="A1048" s="22" t="n">
        <v>24</v>
      </c>
      <c r="B1048" s="23" t="n">
        <v>43938</v>
      </c>
      <c r="C1048" s="28" t="n">
        <v>7500000000</v>
      </c>
      <c r="D1048" s="28" t="n">
        <v>52537500</v>
      </c>
      <c r="E1048" s="28" t="n">
        <v>0</v>
      </c>
      <c r="F1048" s="28" t="n">
        <v>52537500</v>
      </c>
      <c r="G1048" s="28" t="n">
        <v>7500000000</v>
      </c>
      <c r="H1048" s="25" t="n">
        <f aca="false">J1047</f>
        <v>7500000000</v>
      </c>
      <c r="I1048" s="25" t="n">
        <f aca="false">H1048*N1048</f>
        <v>52537500</v>
      </c>
      <c r="J1048" s="25" t="n">
        <f aca="false">H1048-E1048</f>
        <v>7500000000</v>
      </c>
      <c r="K1048" s="25" t="n">
        <f aca="false">D1048-I1048</f>
        <v>0</v>
      </c>
      <c r="L1048" s="25" t="n">
        <f aca="false">G1048-J1048</f>
        <v>0</v>
      </c>
      <c r="M1048" s="25" t="n">
        <f aca="false">F1048</f>
        <v>52537500</v>
      </c>
      <c r="N1048" s="48" t="n">
        <v>0.007005</v>
      </c>
      <c r="O1048" s="25" t="n">
        <f aca="false">IF(AND(B1048&gt;=DATE(2026,1,1),B1048&lt;=Resumen!$C$5),1,0)</f>
        <v>0</v>
      </c>
      <c r="P1048" s="25" t="n">
        <f aca="false">IF(AND(B1048&gt;Resumen!$C$5,B1048&lt;=DATE(2027,7,31)),1,0)</f>
        <v>0</v>
      </c>
    </row>
    <row r="1049" customFormat="false" ht="15" hidden="false" customHeight="false" outlineLevel="0" collapsed="false">
      <c r="A1049" s="22" t="n">
        <v>25</v>
      </c>
      <c r="B1049" s="23" t="n">
        <v>43968</v>
      </c>
      <c r="C1049" s="28" t="n">
        <v>7500000000</v>
      </c>
      <c r="D1049" s="28" t="n">
        <v>49631250</v>
      </c>
      <c r="E1049" s="28" t="n">
        <v>0</v>
      </c>
      <c r="F1049" s="28" t="n">
        <v>49631250</v>
      </c>
      <c r="G1049" s="28" t="n">
        <v>7500000000</v>
      </c>
      <c r="H1049" s="25" t="n">
        <f aca="false">J1048</f>
        <v>7500000000</v>
      </c>
      <c r="I1049" s="25" t="n">
        <f aca="false">H1049*N1049</f>
        <v>49631250</v>
      </c>
      <c r="J1049" s="25" t="n">
        <f aca="false">H1049-E1049</f>
        <v>7500000000</v>
      </c>
      <c r="K1049" s="25" t="n">
        <f aca="false">D1049-I1049</f>
        <v>0</v>
      </c>
      <c r="L1049" s="25" t="n">
        <f aca="false">G1049-J1049</f>
        <v>0</v>
      </c>
      <c r="M1049" s="25" t="n">
        <f aca="false">F1049</f>
        <v>49631250</v>
      </c>
      <c r="N1049" s="48" t="n">
        <v>0.0066175</v>
      </c>
      <c r="O1049" s="25" t="n">
        <f aca="false">IF(AND(B1049&gt;=DATE(2026,1,1),B1049&lt;=Resumen!$C$5),1,0)</f>
        <v>0</v>
      </c>
      <c r="P1049" s="25" t="n">
        <f aca="false">IF(AND(B1049&gt;Resumen!$C$5,B1049&lt;=DATE(2027,7,31)),1,0)</f>
        <v>0</v>
      </c>
    </row>
    <row r="1050" customFormat="false" ht="15" hidden="false" customHeight="false" outlineLevel="0" collapsed="false">
      <c r="A1050" s="22" t="n">
        <v>26</v>
      </c>
      <c r="B1050" s="23" t="n">
        <v>43999</v>
      </c>
      <c r="C1050" s="28" t="n">
        <v>7500000000</v>
      </c>
      <c r="D1050" s="28" t="n">
        <v>46612500</v>
      </c>
      <c r="E1050" s="28" t="n">
        <v>0</v>
      </c>
      <c r="F1050" s="28" t="n">
        <v>46612500</v>
      </c>
      <c r="G1050" s="28" t="n">
        <v>7500000000</v>
      </c>
      <c r="H1050" s="25" t="n">
        <f aca="false">J1049</f>
        <v>7500000000</v>
      </c>
      <c r="I1050" s="25" t="n">
        <f aca="false">H1050*N1050</f>
        <v>46612500</v>
      </c>
      <c r="J1050" s="25" t="n">
        <f aca="false">H1050-E1050</f>
        <v>7500000000</v>
      </c>
      <c r="K1050" s="25" t="n">
        <f aca="false">D1050-I1050</f>
        <v>0</v>
      </c>
      <c r="L1050" s="25" t="n">
        <f aca="false">G1050-J1050</f>
        <v>0</v>
      </c>
      <c r="M1050" s="25" t="n">
        <f aca="false">F1050</f>
        <v>46612500</v>
      </c>
      <c r="N1050" s="48" t="n">
        <v>0.006215</v>
      </c>
      <c r="O1050" s="25" t="n">
        <f aca="false">IF(AND(B1050&gt;=DATE(2026,1,1),B1050&lt;=Resumen!$C$5),1,0)</f>
        <v>0</v>
      </c>
      <c r="P1050" s="25" t="n">
        <f aca="false">IF(AND(B1050&gt;Resumen!$C$5,B1050&lt;=DATE(2027,7,31)),1,0)</f>
        <v>0</v>
      </c>
    </row>
    <row r="1051" customFormat="false" ht="15" hidden="false" customHeight="false" outlineLevel="0" collapsed="false">
      <c r="A1051" s="22" t="n">
        <v>27</v>
      </c>
      <c r="B1051" s="23" t="n">
        <v>44029</v>
      </c>
      <c r="C1051" s="28" t="n">
        <v>7500000000</v>
      </c>
      <c r="D1051" s="28" t="n">
        <v>44837500</v>
      </c>
      <c r="E1051" s="28" t="n">
        <v>62500000</v>
      </c>
      <c r="F1051" s="28" t="n">
        <v>107337500</v>
      </c>
      <c r="G1051" s="28" t="n">
        <v>7437500000</v>
      </c>
      <c r="H1051" s="25" t="n">
        <f aca="false">J1050</f>
        <v>7500000000</v>
      </c>
      <c r="I1051" s="25" t="n">
        <f aca="false">H1051*N1051</f>
        <v>44837500</v>
      </c>
      <c r="J1051" s="25" t="n">
        <f aca="false">H1051-E1051</f>
        <v>7437500000</v>
      </c>
      <c r="K1051" s="25" t="n">
        <f aca="false">D1051-I1051</f>
        <v>0</v>
      </c>
      <c r="L1051" s="25" t="n">
        <f aca="false">G1051-J1051</f>
        <v>0</v>
      </c>
      <c r="M1051" s="25" t="n">
        <f aca="false">F1051</f>
        <v>107337500</v>
      </c>
      <c r="N1051" s="48" t="n">
        <v>0.00597833333333333</v>
      </c>
      <c r="O1051" s="25" t="n">
        <f aca="false">IF(AND(B1051&gt;=DATE(2026,1,1),B1051&lt;=Resumen!$C$5),1,0)</f>
        <v>0</v>
      </c>
      <c r="P1051" s="25" t="n">
        <f aca="false">IF(AND(B1051&gt;Resumen!$C$5,B1051&lt;=DATE(2027,7,31)),1,0)</f>
        <v>0</v>
      </c>
    </row>
    <row r="1052" customFormat="false" ht="15" hidden="false" customHeight="false" outlineLevel="0" collapsed="false">
      <c r="A1052" s="22" t="n">
        <v>28</v>
      </c>
      <c r="B1052" s="23" t="n">
        <v>44060</v>
      </c>
      <c r="C1052" s="28" t="n">
        <v>7437500000</v>
      </c>
      <c r="D1052" s="28" t="n">
        <v>42592083.3333333</v>
      </c>
      <c r="E1052" s="28" t="n">
        <v>62500000</v>
      </c>
      <c r="F1052" s="28" t="n">
        <v>105092083.333333</v>
      </c>
      <c r="G1052" s="28" t="n">
        <v>7375000000</v>
      </c>
      <c r="H1052" s="25" t="n">
        <f aca="false">J1051</f>
        <v>7437500000</v>
      </c>
      <c r="I1052" s="25" t="n">
        <f aca="false">H1052*N1052</f>
        <v>42592083.3333333</v>
      </c>
      <c r="J1052" s="25" t="n">
        <f aca="false">H1052-E1052</f>
        <v>7375000000</v>
      </c>
      <c r="K1052" s="25" t="n">
        <f aca="false">D1052-I1052</f>
        <v>0</v>
      </c>
      <c r="L1052" s="25" t="n">
        <f aca="false">G1052-J1052</f>
        <v>0</v>
      </c>
      <c r="M1052" s="25" t="n">
        <f aca="false">F1052</f>
        <v>105092083.333333</v>
      </c>
      <c r="N1052" s="48" t="n">
        <v>0.00572666666666667</v>
      </c>
      <c r="O1052" s="25" t="n">
        <f aca="false">IF(AND(B1052&gt;=DATE(2026,1,1),B1052&lt;=Resumen!$C$5),1,0)</f>
        <v>0</v>
      </c>
      <c r="P1052" s="25" t="n">
        <f aca="false">IF(AND(B1052&gt;Resumen!$C$5,B1052&lt;=DATE(2027,7,31)),1,0)</f>
        <v>0</v>
      </c>
    </row>
    <row r="1053" customFormat="false" ht="15" hidden="false" customHeight="false" outlineLevel="0" collapsed="false">
      <c r="A1053" s="22" t="n">
        <v>29</v>
      </c>
      <c r="B1053" s="23" t="n">
        <v>44091</v>
      </c>
      <c r="C1053" s="28" t="n">
        <v>7375000000</v>
      </c>
      <c r="D1053" s="28" t="n">
        <v>41115625</v>
      </c>
      <c r="E1053" s="28" t="n">
        <v>62500000</v>
      </c>
      <c r="F1053" s="28" t="n">
        <v>103615625</v>
      </c>
      <c r="G1053" s="28" t="n">
        <v>7312500000</v>
      </c>
      <c r="H1053" s="25" t="n">
        <f aca="false">J1052</f>
        <v>7375000000</v>
      </c>
      <c r="I1053" s="25" t="n">
        <f aca="false">H1053*N1053</f>
        <v>41115625</v>
      </c>
      <c r="J1053" s="25" t="n">
        <f aca="false">H1053-E1053</f>
        <v>7312500000</v>
      </c>
      <c r="K1053" s="25" t="n">
        <f aca="false">D1053-I1053</f>
        <v>0</v>
      </c>
      <c r="L1053" s="25" t="n">
        <f aca="false">G1053-J1053</f>
        <v>0</v>
      </c>
      <c r="M1053" s="25" t="n">
        <f aca="false">F1053</f>
        <v>103615625</v>
      </c>
      <c r="N1053" s="48" t="n">
        <v>0.005575</v>
      </c>
      <c r="O1053" s="25" t="n">
        <f aca="false">IF(AND(B1053&gt;=DATE(2026,1,1),B1053&lt;=Resumen!$C$5),1,0)</f>
        <v>0</v>
      </c>
      <c r="P1053" s="25" t="n">
        <f aca="false">IF(AND(B1053&gt;Resumen!$C$5,B1053&lt;=DATE(2027,7,31)),1,0)</f>
        <v>0</v>
      </c>
    </row>
    <row r="1054" customFormat="false" ht="15" hidden="false" customHeight="false" outlineLevel="0" collapsed="false">
      <c r="A1054" s="22" t="n">
        <v>30</v>
      </c>
      <c r="B1054" s="23" t="n">
        <v>44121</v>
      </c>
      <c r="C1054" s="28" t="n">
        <v>7312500000</v>
      </c>
      <c r="D1054" s="28" t="n">
        <v>39000000</v>
      </c>
      <c r="E1054" s="28" t="n">
        <v>62500000</v>
      </c>
      <c r="F1054" s="28" t="n">
        <v>101500000</v>
      </c>
      <c r="G1054" s="28" t="n">
        <v>7250000000</v>
      </c>
      <c r="H1054" s="25" t="n">
        <f aca="false">J1053</f>
        <v>7312500000</v>
      </c>
      <c r="I1054" s="25" t="n">
        <f aca="false">H1054*N1054</f>
        <v>39000000</v>
      </c>
      <c r="J1054" s="25" t="n">
        <f aca="false">H1054-E1054</f>
        <v>7250000000</v>
      </c>
      <c r="K1054" s="25" t="n">
        <f aca="false">D1054-I1054</f>
        <v>0</v>
      </c>
      <c r="L1054" s="25" t="n">
        <f aca="false">G1054-J1054</f>
        <v>0</v>
      </c>
      <c r="M1054" s="25" t="n">
        <f aca="false">F1054</f>
        <v>101500000</v>
      </c>
      <c r="N1054" s="48" t="n">
        <v>0.00533333333333333</v>
      </c>
      <c r="O1054" s="25" t="n">
        <f aca="false">IF(AND(B1054&gt;=DATE(2026,1,1),B1054&lt;=Resumen!$C$5),1,0)</f>
        <v>0</v>
      </c>
      <c r="P1054" s="25" t="n">
        <f aca="false">IF(AND(B1054&gt;Resumen!$C$5,B1054&lt;=DATE(2027,7,31)),1,0)</f>
        <v>0</v>
      </c>
    </row>
    <row r="1055" customFormat="false" ht="15" hidden="false" customHeight="false" outlineLevel="0" collapsed="false">
      <c r="A1055" s="22" t="n">
        <v>31</v>
      </c>
      <c r="B1055" s="23" t="n">
        <v>44152</v>
      </c>
      <c r="C1055" s="28" t="n">
        <v>7250000000</v>
      </c>
      <c r="D1055" s="28" t="n">
        <v>38745208.3333333</v>
      </c>
      <c r="E1055" s="28" t="n">
        <v>62500000</v>
      </c>
      <c r="F1055" s="28" t="n">
        <v>101245208.333333</v>
      </c>
      <c r="G1055" s="28" t="n">
        <v>7187500000</v>
      </c>
      <c r="H1055" s="25" t="n">
        <f aca="false">J1054</f>
        <v>7250000000</v>
      </c>
      <c r="I1055" s="25" t="n">
        <f aca="false">H1055*N1055</f>
        <v>38745208.3333333</v>
      </c>
      <c r="J1055" s="25" t="n">
        <f aca="false">H1055-E1055</f>
        <v>7187500000</v>
      </c>
      <c r="K1055" s="25" t="n">
        <f aca="false">D1055-I1055</f>
        <v>0</v>
      </c>
      <c r="L1055" s="25" t="n">
        <f aca="false">G1055-J1055</f>
        <v>0</v>
      </c>
      <c r="M1055" s="25" t="n">
        <f aca="false">F1055</f>
        <v>101245208.333333</v>
      </c>
      <c r="N1055" s="48" t="n">
        <v>0.00534416666666667</v>
      </c>
      <c r="O1055" s="25" t="n">
        <f aca="false">IF(AND(B1055&gt;=DATE(2026,1,1),B1055&lt;=Resumen!$C$5),1,0)</f>
        <v>0</v>
      </c>
      <c r="P1055" s="25" t="n">
        <f aca="false">IF(AND(B1055&gt;Resumen!$C$5,B1055&lt;=DATE(2027,7,31)),1,0)</f>
        <v>0</v>
      </c>
    </row>
    <row r="1056" customFormat="false" ht="15" hidden="false" customHeight="false" outlineLevel="0" collapsed="false">
      <c r="A1056" s="22" t="n">
        <v>32</v>
      </c>
      <c r="B1056" s="23" t="n">
        <v>44182</v>
      </c>
      <c r="C1056" s="28" t="n">
        <v>7187500000</v>
      </c>
      <c r="D1056" s="28" t="n">
        <v>38291406.25</v>
      </c>
      <c r="E1056" s="28" t="n">
        <v>62500000</v>
      </c>
      <c r="F1056" s="28" t="n">
        <v>100791406.25</v>
      </c>
      <c r="G1056" s="28" t="n">
        <v>7125000000</v>
      </c>
      <c r="H1056" s="25" t="n">
        <f aca="false">J1055</f>
        <v>7187500000</v>
      </c>
      <c r="I1056" s="25" t="n">
        <f aca="false">H1056*N1056</f>
        <v>38291406.25</v>
      </c>
      <c r="J1056" s="25" t="n">
        <f aca="false">H1056-E1056</f>
        <v>7125000000</v>
      </c>
      <c r="K1056" s="25" t="n">
        <f aca="false">D1056-I1056</f>
        <v>0</v>
      </c>
      <c r="L1056" s="25" t="n">
        <f aca="false">G1056-J1056</f>
        <v>0</v>
      </c>
      <c r="M1056" s="25" t="n">
        <f aca="false">F1056</f>
        <v>100791406.25</v>
      </c>
      <c r="N1056" s="48" t="n">
        <v>0.0053275</v>
      </c>
      <c r="O1056" s="25" t="n">
        <f aca="false">IF(AND(B1056&gt;=DATE(2026,1,1),B1056&lt;=Resumen!$C$5),1,0)</f>
        <v>0</v>
      </c>
      <c r="P1056" s="25" t="n">
        <f aca="false">IF(AND(B1056&gt;Resumen!$C$5,B1056&lt;=DATE(2027,7,31)),1,0)</f>
        <v>0</v>
      </c>
    </row>
    <row r="1057" customFormat="false" ht="15" hidden="false" customHeight="false" outlineLevel="0" collapsed="false">
      <c r="A1057" s="22" t="n">
        <v>33</v>
      </c>
      <c r="B1057" s="23" t="n">
        <v>44213</v>
      </c>
      <c r="C1057" s="28" t="n">
        <v>7125000000</v>
      </c>
      <c r="D1057" s="28" t="n">
        <v>37756562.5</v>
      </c>
      <c r="E1057" s="28" t="n">
        <v>62500000</v>
      </c>
      <c r="F1057" s="28" t="n">
        <v>100256562.5</v>
      </c>
      <c r="G1057" s="28" t="n">
        <v>7062500000</v>
      </c>
      <c r="H1057" s="25" t="n">
        <f aca="false">J1056</f>
        <v>7125000000</v>
      </c>
      <c r="I1057" s="25" t="n">
        <f aca="false">H1057*N1057</f>
        <v>37756562.5</v>
      </c>
      <c r="J1057" s="25" t="n">
        <f aca="false">H1057-E1057</f>
        <v>7062500000</v>
      </c>
      <c r="K1057" s="25" t="n">
        <f aca="false">D1057-I1057</f>
        <v>0</v>
      </c>
      <c r="L1057" s="25" t="n">
        <f aca="false">G1057-J1057</f>
        <v>0</v>
      </c>
      <c r="M1057" s="25" t="n">
        <f aca="false">F1057</f>
        <v>100256562.5</v>
      </c>
      <c r="N1057" s="48" t="n">
        <v>0.00529916666666667</v>
      </c>
      <c r="O1057" s="25" t="n">
        <f aca="false">IF(AND(B1057&gt;=DATE(2026,1,1),B1057&lt;=Resumen!$C$5),1,0)</f>
        <v>0</v>
      </c>
      <c r="P1057" s="25" t="n">
        <f aca="false">IF(AND(B1057&gt;Resumen!$C$5,B1057&lt;=DATE(2027,7,31)),1,0)</f>
        <v>0</v>
      </c>
    </row>
    <row r="1058" customFormat="false" ht="15" hidden="false" customHeight="false" outlineLevel="0" collapsed="false">
      <c r="A1058" s="22" t="n">
        <v>34</v>
      </c>
      <c r="B1058" s="23" t="n">
        <v>44244</v>
      </c>
      <c r="C1058" s="28" t="n">
        <v>7062500000</v>
      </c>
      <c r="D1058" s="28" t="n">
        <v>37660781.25</v>
      </c>
      <c r="E1058" s="28" t="n">
        <v>62500000</v>
      </c>
      <c r="F1058" s="28" t="n">
        <v>100160781.25</v>
      </c>
      <c r="G1058" s="28" t="n">
        <v>7000000000</v>
      </c>
      <c r="H1058" s="25" t="n">
        <f aca="false">J1057</f>
        <v>7062500000</v>
      </c>
      <c r="I1058" s="25" t="n">
        <f aca="false">H1058*N1058</f>
        <v>37660781.25</v>
      </c>
      <c r="J1058" s="25" t="n">
        <f aca="false">H1058-E1058</f>
        <v>7000000000</v>
      </c>
      <c r="K1058" s="25" t="n">
        <f aca="false">D1058-I1058</f>
        <v>0</v>
      </c>
      <c r="L1058" s="25" t="n">
        <f aca="false">G1058-J1058</f>
        <v>0</v>
      </c>
      <c r="M1058" s="25" t="n">
        <f aca="false">F1058</f>
        <v>100160781.25</v>
      </c>
      <c r="N1058" s="48" t="n">
        <v>0.0053325</v>
      </c>
      <c r="O1058" s="25" t="n">
        <f aca="false">IF(AND(B1058&gt;=DATE(2026,1,1),B1058&lt;=Resumen!$C$5),1,0)</f>
        <v>0</v>
      </c>
      <c r="P1058" s="25" t="n">
        <f aca="false">IF(AND(B1058&gt;Resumen!$C$5,B1058&lt;=DATE(2027,7,31)),1,0)</f>
        <v>0</v>
      </c>
    </row>
    <row r="1059" customFormat="false" ht="15" hidden="false" customHeight="false" outlineLevel="0" collapsed="false">
      <c r="A1059" s="22" t="n">
        <v>35</v>
      </c>
      <c r="B1059" s="23" t="n">
        <v>44272</v>
      </c>
      <c r="C1059" s="28" t="n">
        <v>7000000000</v>
      </c>
      <c r="D1059" s="28" t="n">
        <v>37245833.3333333</v>
      </c>
      <c r="E1059" s="28" t="n">
        <v>62500000</v>
      </c>
      <c r="F1059" s="28" t="n">
        <v>99745833.3333333</v>
      </c>
      <c r="G1059" s="28" t="n">
        <v>6937500000</v>
      </c>
      <c r="H1059" s="25" t="n">
        <f aca="false">J1058</f>
        <v>7000000000</v>
      </c>
      <c r="I1059" s="25" t="n">
        <f aca="false">H1059*N1059</f>
        <v>37245833.3333333</v>
      </c>
      <c r="J1059" s="25" t="n">
        <f aca="false">H1059-E1059</f>
        <v>6937500000</v>
      </c>
      <c r="K1059" s="25" t="n">
        <f aca="false">D1059-I1059</f>
        <v>0</v>
      </c>
      <c r="L1059" s="25" t="n">
        <f aca="false">G1059-J1059</f>
        <v>0</v>
      </c>
      <c r="M1059" s="25" t="n">
        <f aca="false">F1059</f>
        <v>99745833.3333333</v>
      </c>
      <c r="N1059" s="48" t="n">
        <v>0.00532083333333333</v>
      </c>
      <c r="O1059" s="25" t="n">
        <f aca="false">IF(AND(B1059&gt;=DATE(2026,1,1),B1059&lt;=Resumen!$C$5),1,0)</f>
        <v>0</v>
      </c>
      <c r="P1059" s="25" t="n">
        <f aca="false">IF(AND(B1059&gt;Resumen!$C$5,B1059&lt;=DATE(2027,7,31)),1,0)</f>
        <v>0</v>
      </c>
    </row>
    <row r="1060" customFormat="false" ht="15" hidden="false" customHeight="false" outlineLevel="0" collapsed="false">
      <c r="A1060" s="22" t="n">
        <v>36</v>
      </c>
      <c r="B1060" s="23" t="n">
        <v>44303</v>
      </c>
      <c r="C1060" s="28" t="n">
        <v>6937500000</v>
      </c>
      <c r="D1060" s="28" t="n">
        <v>37115625</v>
      </c>
      <c r="E1060" s="28" t="n">
        <v>62500000</v>
      </c>
      <c r="F1060" s="28" t="n">
        <v>99615625</v>
      </c>
      <c r="G1060" s="28" t="n">
        <v>6875000000</v>
      </c>
      <c r="H1060" s="25" t="n">
        <f aca="false">J1059</f>
        <v>6937500000</v>
      </c>
      <c r="I1060" s="25" t="n">
        <f aca="false">H1060*N1060</f>
        <v>37115625</v>
      </c>
      <c r="J1060" s="25" t="n">
        <f aca="false">H1060-E1060</f>
        <v>6875000000</v>
      </c>
      <c r="K1060" s="25" t="n">
        <f aca="false">D1060-I1060</f>
        <v>0</v>
      </c>
      <c r="L1060" s="25" t="n">
        <f aca="false">G1060-J1060</f>
        <v>0</v>
      </c>
      <c r="M1060" s="25" t="n">
        <f aca="false">F1060</f>
        <v>99615625</v>
      </c>
      <c r="N1060" s="48" t="n">
        <v>0.00535</v>
      </c>
      <c r="O1060" s="25" t="n">
        <f aca="false">IF(AND(B1060&gt;=DATE(2026,1,1),B1060&lt;=Resumen!$C$5),1,0)</f>
        <v>0</v>
      </c>
      <c r="P1060" s="25" t="n">
        <f aca="false">IF(AND(B1060&gt;Resumen!$C$5,B1060&lt;=DATE(2027,7,31)),1,0)</f>
        <v>0</v>
      </c>
    </row>
    <row r="1061" customFormat="false" ht="15" hidden="false" customHeight="false" outlineLevel="0" collapsed="false">
      <c r="A1061" s="22" t="n">
        <v>37</v>
      </c>
      <c r="B1061" s="23" t="n">
        <v>44333</v>
      </c>
      <c r="C1061" s="28" t="n">
        <v>6875000000</v>
      </c>
      <c r="D1061" s="28" t="n">
        <v>36758333.3333333</v>
      </c>
      <c r="E1061" s="28" t="n">
        <v>62500000</v>
      </c>
      <c r="F1061" s="28" t="n">
        <v>99258333.3333333</v>
      </c>
      <c r="G1061" s="28" t="n">
        <v>6812500000</v>
      </c>
      <c r="H1061" s="25" t="n">
        <f aca="false">J1060</f>
        <v>6875000000</v>
      </c>
      <c r="I1061" s="25" t="n">
        <f aca="false">H1061*N1061</f>
        <v>36758333.3333333</v>
      </c>
      <c r="J1061" s="25" t="n">
        <f aca="false">H1061-E1061</f>
        <v>6812500000</v>
      </c>
      <c r="K1061" s="25" t="n">
        <f aca="false">D1061-I1061</f>
        <v>0</v>
      </c>
      <c r="L1061" s="25" t="n">
        <f aca="false">G1061-J1061</f>
        <v>0</v>
      </c>
      <c r="M1061" s="25" t="n">
        <f aca="false">F1061</f>
        <v>99258333.3333333</v>
      </c>
      <c r="N1061" s="48" t="n">
        <v>0.00534666666666667</v>
      </c>
      <c r="O1061" s="25" t="n">
        <f aca="false">IF(AND(B1061&gt;=DATE(2026,1,1),B1061&lt;=Resumen!$C$5),1,0)</f>
        <v>0</v>
      </c>
      <c r="P1061" s="25" t="n">
        <f aca="false">IF(AND(B1061&gt;Resumen!$C$5,B1061&lt;=DATE(2027,7,31)),1,0)</f>
        <v>0</v>
      </c>
    </row>
    <row r="1062" customFormat="false" ht="15" hidden="false" customHeight="false" outlineLevel="0" collapsed="false">
      <c r="A1062" s="22" t="n">
        <v>38</v>
      </c>
      <c r="B1062" s="23" t="n">
        <v>44364</v>
      </c>
      <c r="C1062" s="28" t="n">
        <v>6812500000</v>
      </c>
      <c r="D1062" s="28" t="n">
        <v>37372239.5833333</v>
      </c>
      <c r="E1062" s="28" t="n">
        <v>62500000</v>
      </c>
      <c r="F1062" s="28" t="n">
        <v>99872239.5833333</v>
      </c>
      <c r="G1062" s="28" t="n">
        <v>6750000000</v>
      </c>
      <c r="H1062" s="25" t="n">
        <f aca="false">J1061</f>
        <v>6812500000</v>
      </c>
      <c r="I1062" s="25" t="n">
        <f aca="false">H1062*N1062</f>
        <v>37372239.5833333</v>
      </c>
      <c r="J1062" s="25" t="n">
        <f aca="false">H1062-E1062</f>
        <v>6750000000</v>
      </c>
      <c r="K1062" s="25" t="n">
        <f aca="false">D1062-I1062</f>
        <v>0</v>
      </c>
      <c r="L1062" s="25" t="n">
        <f aca="false">G1062-J1062</f>
        <v>0</v>
      </c>
      <c r="M1062" s="25" t="n">
        <f aca="false">F1062</f>
        <v>99872239.5833333</v>
      </c>
      <c r="N1062" s="48" t="n">
        <v>0.00548583333333333</v>
      </c>
      <c r="O1062" s="25" t="n">
        <f aca="false">IF(AND(B1062&gt;=DATE(2026,1,1),B1062&lt;=Resumen!$C$5),1,0)</f>
        <v>0</v>
      </c>
      <c r="P1062" s="25" t="n">
        <f aca="false">IF(AND(B1062&gt;Resumen!$C$5,B1062&lt;=DATE(2027,7,31)),1,0)</f>
        <v>0</v>
      </c>
    </row>
    <row r="1063" customFormat="false" ht="15" hidden="false" customHeight="false" outlineLevel="0" collapsed="false">
      <c r="A1063" s="22" t="n">
        <v>39</v>
      </c>
      <c r="B1063" s="23" t="n">
        <v>44394</v>
      </c>
      <c r="C1063" s="28" t="n">
        <v>6750000000</v>
      </c>
      <c r="D1063" s="28" t="n">
        <v>36090000</v>
      </c>
      <c r="E1063" s="28" t="n">
        <v>62500000</v>
      </c>
      <c r="F1063" s="28" t="n">
        <v>98590000</v>
      </c>
      <c r="G1063" s="28" t="n">
        <v>6687500000</v>
      </c>
      <c r="H1063" s="25" t="n">
        <f aca="false">J1062</f>
        <v>6750000000</v>
      </c>
      <c r="I1063" s="25" t="n">
        <f aca="false">H1063*N1063</f>
        <v>36090000</v>
      </c>
      <c r="J1063" s="25" t="n">
        <f aca="false">H1063-E1063</f>
        <v>6687500000</v>
      </c>
      <c r="K1063" s="25" t="n">
        <f aca="false">D1063-I1063</f>
        <v>0</v>
      </c>
      <c r="L1063" s="25" t="n">
        <f aca="false">G1063-J1063</f>
        <v>0</v>
      </c>
      <c r="M1063" s="25" t="n">
        <f aca="false">F1063</f>
        <v>98590000</v>
      </c>
      <c r="N1063" s="48" t="n">
        <v>0.00534666666666667</v>
      </c>
      <c r="O1063" s="25" t="n">
        <f aca="false">IF(AND(B1063&gt;=DATE(2026,1,1),B1063&lt;=Resumen!$C$5),1,0)</f>
        <v>0</v>
      </c>
      <c r="P1063" s="25" t="n">
        <f aca="false">IF(AND(B1063&gt;Resumen!$C$5,B1063&lt;=DATE(2027,7,31)),1,0)</f>
        <v>0</v>
      </c>
    </row>
    <row r="1064" customFormat="false" ht="15" hidden="false" customHeight="false" outlineLevel="0" collapsed="false">
      <c r="A1064" s="22" t="n">
        <v>40</v>
      </c>
      <c r="B1064" s="23" t="n">
        <v>44425</v>
      </c>
      <c r="C1064" s="28" t="n">
        <v>6687500000</v>
      </c>
      <c r="D1064" s="28" t="n">
        <v>35778125</v>
      </c>
      <c r="E1064" s="28" t="n">
        <v>62500000</v>
      </c>
      <c r="F1064" s="28" t="n">
        <v>98278125</v>
      </c>
      <c r="G1064" s="28" t="n">
        <v>6625000000</v>
      </c>
      <c r="H1064" s="25" t="n">
        <f aca="false">J1063</f>
        <v>6687500000</v>
      </c>
      <c r="I1064" s="25" t="n">
        <f aca="false">H1064*N1064</f>
        <v>35778125</v>
      </c>
      <c r="J1064" s="25" t="n">
        <f aca="false">H1064-E1064</f>
        <v>6625000000</v>
      </c>
      <c r="K1064" s="25" t="n">
        <f aca="false">D1064-I1064</f>
        <v>0</v>
      </c>
      <c r="L1064" s="25" t="n">
        <f aca="false">G1064-J1064</f>
        <v>0</v>
      </c>
      <c r="M1064" s="25" t="n">
        <f aca="false">F1064</f>
        <v>98278125</v>
      </c>
      <c r="N1064" s="48" t="n">
        <v>0.00535</v>
      </c>
      <c r="O1064" s="25" t="n">
        <f aca="false">IF(AND(B1064&gt;=DATE(2026,1,1),B1064&lt;=Resumen!$C$5),1,0)</f>
        <v>0</v>
      </c>
      <c r="P1064" s="25" t="n">
        <f aca="false">IF(AND(B1064&gt;Resumen!$C$5,B1064&lt;=DATE(2027,7,31)),1,0)</f>
        <v>0</v>
      </c>
    </row>
    <row r="1065" customFormat="false" ht="15" hidden="false" customHeight="false" outlineLevel="0" collapsed="false">
      <c r="A1065" s="22" t="n">
        <v>41</v>
      </c>
      <c r="B1065" s="23" t="n">
        <v>44456</v>
      </c>
      <c r="C1065" s="28" t="n">
        <v>6625000000</v>
      </c>
      <c r="D1065" s="28" t="n">
        <v>35581770.8333333</v>
      </c>
      <c r="E1065" s="28" t="n">
        <v>62500000</v>
      </c>
      <c r="F1065" s="28" t="n">
        <v>98081770.8333333</v>
      </c>
      <c r="G1065" s="28" t="n">
        <v>6562500000</v>
      </c>
      <c r="H1065" s="25" t="n">
        <f aca="false">J1064</f>
        <v>6625000000</v>
      </c>
      <c r="I1065" s="25" t="n">
        <f aca="false">H1065*N1065</f>
        <v>35581770.8333333</v>
      </c>
      <c r="J1065" s="25" t="n">
        <f aca="false">H1065-E1065</f>
        <v>6562500000</v>
      </c>
      <c r="K1065" s="25" t="n">
        <f aca="false">D1065-I1065</f>
        <v>0</v>
      </c>
      <c r="L1065" s="25" t="n">
        <f aca="false">G1065-J1065</f>
        <v>0</v>
      </c>
      <c r="M1065" s="25" t="n">
        <f aca="false">F1065</f>
        <v>98081770.8333333</v>
      </c>
      <c r="N1065" s="48" t="n">
        <v>0.00537083333333333</v>
      </c>
      <c r="O1065" s="25" t="n">
        <f aca="false">IF(AND(B1065&gt;=DATE(2026,1,1),B1065&lt;=Resumen!$C$5),1,0)</f>
        <v>0</v>
      </c>
      <c r="P1065" s="25" t="n">
        <f aca="false">IF(AND(B1065&gt;Resumen!$C$5,B1065&lt;=DATE(2027,7,31)),1,0)</f>
        <v>0</v>
      </c>
    </row>
    <row r="1066" customFormat="false" ht="15" hidden="false" customHeight="false" outlineLevel="0" collapsed="false">
      <c r="A1066" s="22" t="n">
        <v>42</v>
      </c>
      <c r="B1066" s="23" t="n">
        <v>44486</v>
      </c>
      <c r="C1066" s="28" t="n">
        <v>6562500000</v>
      </c>
      <c r="D1066" s="28" t="n">
        <v>36454687.5</v>
      </c>
      <c r="E1066" s="28" t="n">
        <v>62500000</v>
      </c>
      <c r="F1066" s="28" t="n">
        <v>98954687.5</v>
      </c>
      <c r="G1066" s="28" t="n">
        <v>6500000000</v>
      </c>
      <c r="H1066" s="25" t="n">
        <f aca="false">J1065</f>
        <v>6562500000</v>
      </c>
      <c r="I1066" s="25" t="n">
        <f aca="false">H1066*N1066</f>
        <v>36454687.5</v>
      </c>
      <c r="J1066" s="25" t="n">
        <f aca="false">H1066-E1066</f>
        <v>6500000000</v>
      </c>
      <c r="K1066" s="25" t="n">
        <f aca="false">D1066-I1066</f>
        <v>0</v>
      </c>
      <c r="L1066" s="25" t="n">
        <f aca="false">G1066-J1066</f>
        <v>0</v>
      </c>
      <c r="M1066" s="25" t="n">
        <f aca="false">F1066</f>
        <v>98954687.5</v>
      </c>
      <c r="N1066" s="48" t="n">
        <v>0.005555</v>
      </c>
      <c r="O1066" s="25" t="n">
        <f aca="false">IF(AND(B1066&gt;=DATE(2026,1,1),B1066&lt;=Resumen!$C$5),1,0)</f>
        <v>0</v>
      </c>
      <c r="P1066" s="25" t="n">
        <f aca="false">IF(AND(B1066&gt;Resumen!$C$5,B1066&lt;=DATE(2027,7,31)),1,0)</f>
        <v>0</v>
      </c>
    </row>
    <row r="1067" customFormat="false" ht="15" hidden="false" customHeight="false" outlineLevel="0" collapsed="false">
      <c r="A1067" s="22" t="n">
        <v>43</v>
      </c>
      <c r="B1067" s="23" t="n">
        <v>44517</v>
      </c>
      <c r="C1067" s="28" t="n">
        <v>6500000000</v>
      </c>
      <c r="D1067" s="28" t="n">
        <v>39395416.6666667</v>
      </c>
      <c r="E1067" s="28" t="n">
        <v>62500000</v>
      </c>
      <c r="F1067" s="28" t="n">
        <v>101895416.666667</v>
      </c>
      <c r="G1067" s="28" t="n">
        <v>6437500000</v>
      </c>
      <c r="H1067" s="25" t="n">
        <f aca="false">J1066</f>
        <v>6500000000</v>
      </c>
      <c r="I1067" s="25" t="n">
        <f aca="false">H1067*N1067</f>
        <v>39395416.6666667</v>
      </c>
      <c r="J1067" s="25" t="n">
        <f aca="false">H1067-E1067</f>
        <v>6437500000</v>
      </c>
      <c r="K1067" s="25" t="n">
        <f aca="false">D1067-I1067</f>
        <v>0</v>
      </c>
      <c r="L1067" s="25" t="n">
        <f aca="false">G1067-J1067</f>
        <v>0</v>
      </c>
      <c r="M1067" s="25" t="n">
        <f aca="false">F1067</f>
        <v>101895416.666667</v>
      </c>
      <c r="N1067" s="48" t="n">
        <v>0.00606083333333333</v>
      </c>
      <c r="O1067" s="25" t="n">
        <f aca="false">IF(AND(B1067&gt;=DATE(2026,1,1),B1067&lt;=Resumen!$C$5),1,0)</f>
        <v>0</v>
      </c>
      <c r="P1067" s="25" t="n">
        <f aca="false">IF(AND(B1067&gt;Resumen!$C$5,B1067&lt;=DATE(2027,7,31)),1,0)</f>
        <v>0</v>
      </c>
    </row>
    <row r="1068" customFormat="false" ht="15" hidden="false" customHeight="false" outlineLevel="0" collapsed="false">
      <c r="A1068" s="22" t="n">
        <v>44</v>
      </c>
      <c r="B1068" s="23" t="n">
        <v>44547</v>
      </c>
      <c r="C1068" s="28" t="n">
        <v>6437500000</v>
      </c>
      <c r="D1068" s="28" t="n">
        <v>41323385.4166667</v>
      </c>
      <c r="E1068" s="28" t="n">
        <v>62500000</v>
      </c>
      <c r="F1068" s="28" t="n">
        <v>103823385.416667</v>
      </c>
      <c r="G1068" s="28" t="n">
        <v>6375000000</v>
      </c>
      <c r="H1068" s="25" t="n">
        <f aca="false">J1067</f>
        <v>6437500000</v>
      </c>
      <c r="I1068" s="25" t="n">
        <f aca="false">H1068*N1068</f>
        <v>41323385.4166667</v>
      </c>
      <c r="J1068" s="25" t="n">
        <f aca="false">H1068-E1068</f>
        <v>6375000000</v>
      </c>
      <c r="K1068" s="25" t="n">
        <f aca="false">D1068-I1068</f>
        <v>0</v>
      </c>
      <c r="L1068" s="25" t="n">
        <f aca="false">G1068-J1068</f>
        <v>0</v>
      </c>
      <c r="M1068" s="25" t="n">
        <f aca="false">F1068</f>
        <v>103823385.416667</v>
      </c>
      <c r="N1068" s="48" t="n">
        <v>0.00641916666666667</v>
      </c>
      <c r="O1068" s="25" t="n">
        <f aca="false">IF(AND(B1068&gt;=DATE(2026,1,1),B1068&lt;=Resumen!$C$5),1,0)</f>
        <v>0</v>
      </c>
      <c r="P1068" s="25" t="n">
        <f aca="false">IF(AND(B1068&gt;Resumen!$C$5,B1068&lt;=DATE(2027,7,31)),1,0)</f>
        <v>0</v>
      </c>
    </row>
    <row r="1069" customFormat="false" ht="15" hidden="false" customHeight="false" outlineLevel="0" collapsed="false">
      <c r="A1069" s="22" t="n">
        <v>45</v>
      </c>
      <c r="B1069" s="23" t="n">
        <v>44578</v>
      </c>
      <c r="C1069" s="28" t="n">
        <v>6375000000</v>
      </c>
      <c r="D1069" s="28" t="n">
        <v>45544062.5</v>
      </c>
      <c r="E1069" s="28" t="n">
        <v>62500000</v>
      </c>
      <c r="F1069" s="28" t="n">
        <v>108044062.5</v>
      </c>
      <c r="G1069" s="28" t="n">
        <v>6312500000</v>
      </c>
      <c r="H1069" s="25" t="n">
        <f aca="false">J1068</f>
        <v>6375000000</v>
      </c>
      <c r="I1069" s="25" t="n">
        <f aca="false">H1069*N1069</f>
        <v>45544062.5</v>
      </c>
      <c r="J1069" s="25" t="n">
        <f aca="false">H1069-E1069</f>
        <v>6312500000</v>
      </c>
      <c r="K1069" s="25" t="n">
        <f aca="false">D1069-I1069</f>
        <v>0</v>
      </c>
      <c r="L1069" s="25" t="n">
        <f aca="false">G1069-J1069</f>
        <v>0</v>
      </c>
      <c r="M1069" s="25" t="n">
        <f aca="false">F1069</f>
        <v>108044062.5</v>
      </c>
      <c r="N1069" s="48" t="n">
        <v>0.00714416666666667</v>
      </c>
      <c r="O1069" s="25" t="n">
        <f aca="false">IF(AND(B1069&gt;=DATE(2026,1,1),B1069&lt;=Resumen!$C$5),1,0)</f>
        <v>0</v>
      </c>
      <c r="P1069" s="25" t="n">
        <f aca="false">IF(AND(B1069&gt;Resumen!$C$5,B1069&lt;=DATE(2027,7,31)),1,0)</f>
        <v>0</v>
      </c>
    </row>
    <row r="1070" customFormat="false" ht="15" hidden="false" customHeight="false" outlineLevel="0" collapsed="false">
      <c r="A1070" s="22" t="n">
        <v>46</v>
      </c>
      <c r="B1070" s="23" t="n">
        <v>44609</v>
      </c>
      <c r="C1070" s="28" t="n">
        <v>6312500000</v>
      </c>
      <c r="D1070" s="28" t="n">
        <v>45076510.4166667</v>
      </c>
      <c r="E1070" s="28" t="n">
        <v>62500000</v>
      </c>
      <c r="F1070" s="28" t="n">
        <v>107576510.416667</v>
      </c>
      <c r="G1070" s="28" t="n">
        <v>6250000000</v>
      </c>
      <c r="H1070" s="25" t="n">
        <f aca="false">J1069</f>
        <v>6312500000</v>
      </c>
      <c r="I1070" s="25" t="n">
        <f aca="false">H1070*N1070</f>
        <v>45076510.4166667</v>
      </c>
      <c r="J1070" s="25" t="n">
        <f aca="false">H1070-E1070</f>
        <v>6250000000</v>
      </c>
      <c r="K1070" s="25" t="n">
        <f aca="false">D1070-I1070</f>
        <v>0</v>
      </c>
      <c r="L1070" s="25" t="n">
        <f aca="false">G1070-J1070</f>
        <v>0</v>
      </c>
      <c r="M1070" s="25" t="n">
        <f aca="false">F1070</f>
        <v>107576510.416667</v>
      </c>
      <c r="N1070" s="48" t="n">
        <v>0.00714083333333333</v>
      </c>
      <c r="O1070" s="25" t="n">
        <f aca="false">IF(AND(B1070&gt;=DATE(2026,1,1),B1070&lt;=Resumen!$C$5),1,0)</f>
        <v>0</v>
      </c>
      <c r="P1070" s="25" t="n">
        <f aca="false">IF(AND(B1070&gt;Resumen!$C$5,B1070&lt;=DATE(2027,7,31)),1,0)</f>
        <v>0</v>
      </c>
    </row>
    <row r="1071" customFormat="false" ht="15" hidden="false" customHeight="false" outlineLevel="0" collapsed="false">
      <c r="A1071" s="22" t="n">
        <v>47</v>
      </c>
      <c r="B1071" s="23" t="n">
        <v>44637</v>
      </c>
      <c r="C1071" s="28" t="n">
        <v>6250000000</v>
      </c>
      <c r="D1071" s="28" t="n">
        <v>45359375</v>
      </c>
      <c r="E1071" s="28" t="n">
        <v>62500000</v>
      </c>
      <c r="F1071" s="28" t="n">
        <v>107859375</v>
      </c>
      <c r="G1071" s="28" t="n">
        <v>6187500000</v>
      </c>
      <c r="H1071" s="25" t="n">
        <f aca="false">J1070</f>
        <v>6250000000</v>
      </c>
      <c r="I1071" s="25" t="n">
        <f aca="false">H1071*N1071</f>
        <v>45359375</v>
      </c>
      <c r="J1071" s="25" t="n">
        <f aca="false">H1071-E1071</f>
        <v>6187500000</v>
      </c>
      <c r="K1071" s="25" t="n">
        <f aca="false">D1071-I1071</f>
        <v>0</v>
      </c>
      <c r="L1071" s="25" t="n">
        <f aca="false">G1071-J1071</f>
        <v>0</v>
      </c>
      <c r="M1071" s="25" t="n">
        <f aca="false">F1071</f>
        <v>107859375</v>
      </c>
      <c r="N1071" s="48" t="n">
        <v>0.0072575</v>
      </c>
      <c r="O1071" s="25" t="n">
        <f aca="false">IF(AND(B1071&gt;=DATE(2026,1,1),B1071&lt;=Resumen!$C$5),1,0)</f>
        <v>0</v>
      </c>
      <c r="P1071" s="25" t="n">
        <f aca="false">IF(AND(B1071&gt;Resumen!$C$5,B1071&lt;=DATE(2027,7,31)),1,0)</f>
        <v>0</v>
      </c>
    </row>
    <row r="1072" customFormat="false" ht="15" hidden="false" customHeight="false" outlineLevel="0" collapsed="false">
      <c r="A1072" s="22" t="n">
        <v>48</v>
      </c>
      <c r="B1072" s="23" t="n">
        <v>44668</v>
      </c>
      <c r="C1072" s="28" t="n">
        <v>6187500000</v>
      </c>
      <c r="D1072" s="28" t="n">
        <v>50056875</v>
      </c>
      <c r="E1072" s="28" t="n">
        <v>62500000</v>
      </c>
      <c r="F1072" s="28" t="n">
        <v>112556875</v>
      </c>
      <c r="G1072" s="28" t="n">
        <v>6125000000</v>
      </c>
      <c r="H1072" s="25" t="n">
        <f aca="false">J1071</f>
        <v>6187500000</v>
      </c>
      <c r="I1072" s="25" t="n">
        <f aca="false">H1072*N1072</f>
        <v>50056875</v>
      </c>
      <c r="J1072" s="25" t="n">
        <f aca="false">H1072-E1072</f>
        <v>6125000000</v>
      </c>
      <c r="K1072" s="25" t="n">
        <f aca="false">D1072-I1072</f>
        <v>0</v>
      </c>
      <c r="L1072" s="25" t="n">
        <f aca="false">G1072-J1072</f>
        <v>0</v>
      </c>
      <c r="M1072" s="25" t="n">
        <f aca="false">F1072</f>
        <v>112556875</v>
      </c>
      <c r="N1072" s="48" t="n">
        <v>0.00809</v>
      </c>
      <c r="O1072" s="25" t="n">
        <f aca="false">IF(AND(B1072&gt;=DATE(2026,1,1),B1072&lt;=Resumen!$C$5),1,0)</f>
        <v>0</v>
      </c>
      <c r="P1072" s="25" t="n">
        <f aca="false">IF(AND(B1072&gt;Resumen!$C$5,B1072&lt;=DATE(2027,7,31)),1,0)</f>
        <v>0</v>
      </c>
    </row>
    <row r="1073" customFormat="false" ht="15" hidden="false" customHeight="false" outlineLevel="0" collapsed="false">
      <c r="A1073" s="22" t="n">
        <v>49</v>
      </c>
      <c r="B1073" s="23" t="n">
        <v>44698</v>
      </c>
      <c r="C1073" s="28" t="n">
        <v>6125000000</v>
      </c>
      <c r="D1073" s="28" t="n">
        <v>49551250</v>
      </c>
      <c r="E1073" s="28" t="n">
        <v>62500000</v>
      </c>
      <c r="F1073" s="28" t="n">
        <v>112051250</v>
      </c>
      <c r="G1073" s="28" t="n">
        <v>6062500000</v>
      </c>
      <c r="H1073" s="25" t="n">
        <f aca="false">J1072</f>
        <v>6125000000</v>
      </c>
      <c r="I1073" s="25" t="n">
        <f aca="false">H1073*N1073</f>
        <v>49551250</v>
      </c>
      <c r="J1073" s="25" t="n">
        <f aca="false">H1073-E1073</f>
        <v>6062500000</v>
      </c>
      <c r="K1073" s="25" t="n">
        <f aca="false">D1073-I1073</f>
        <v>0</v>
      </c>
      <c r="L1073" s="25" t="n">
        <f aca="false">G1073-J1073</f>
        <v>0</v>
      </c>
      <c r="M1073" s="25" t="n">
        <f aca="false">F1073</f>
        <v>112051250</v>
      </c>
      <c r="N1073" s="48" t="n">
        <v>0.00809</v>
      </c>
      <c r="O1073" s="25" t="n">
        <f aca="false">IF(AND(B1073&gt;=DATE(2026,1,1),B1073&lt;=Resumen!$C$5),1,0)</f>
        <v>0</v>
      </c>
      <c r="P1073" s="25" t="n">
        <f aca="false">IF(AND(B1073&gt;Resumen!$C$5,B1073&lt;=DATE(2027,7,31)),1,0)</f>
        <v>0</v>
      </c>
    </row>
    <row r="1074" customFormat="false" ht="15" hidden="false" customHeight="false" outlineLevel="0" collapsed="false">
      <c r="A1074" s="22" t="n">
        <v>50</v>
      </c>
      <c r="B1074" s="23" t="n">
        <v>44729</v>
      </c>
      <c r="C1074" s="28" t="n">
        <v>6062500000</v>
      </c>
      <c r="D1074" s="28" t="n">
        <v>54537239.5833333</v>
      </c>
      <c r="E1074" s="28" t="n">
        <v>62500000</v>
      </c>
      <c r="F1074" s="28" t="n">
        <v>117037239.583333</v>
      </c>
      <c r="G1074" s="28" t="n">
        <v>6000000000</v>
      </c>
      <c r="H1074" s="25" t="n">
        <f aca="false">J1073</f>
        <v>6062500000</v>
      </c>
      <c r="I1074" s="25" t="n">
        <f aca="false">H1074*N1074</f>
        <v>54537239.5833333</v>
      </c>
      <c r="J1074" s="25" t="n">
        <f aca="false">H1074-E1074</f>
        <v>6000000000</v>
      </c>
      <c r="K1074" s="25" t="n">
        <f aca="false">D1074-I1074</f>
        <v>0</v>
      </c>
      <c r="L1074" s="25" t="n">
        <f aca="false">G1074-J1074</f>
        <v>0</v>
      </c>
      <c r="M1074" s="25" t="n">
        <f aca="false">F1074</f>
        <v>117037239.583333</v>
      </c>
      <c r="N1074" s="48" t="n">
        <v>0.00899583333333333</v>
      </c>
      <c r="O1074" s="25" t="n">
        <f aca="false">IF(AND(B1074&gt;=DATE(2026,1,1),B1074&lt;=Resumen!$C$5),1,0)</f>
        <v>0</v>
      </c>
      <c r="P1074" s="25" t="n">
        <f aca="false">IF(AND(B1074&gt;Resumen!$C$5,B1074&lt;=DATE(2027,7,31)),1,0)</f>
        <v>0</v>
      </c>
    </row>
    <row r="1075" customFormat="false" ht="15" hidden="false" customHeight="false" outlineLevel="0" collapsed="false">
      <c r="A1075" s="22" t="n">
        <v>51</v>
      </c>
      <c r="B1075" s="23" t="n">
        <v>44759</v>
      </c>
      <c r="C1075" s="28" t="n">
        <v>6000000000</v>
      </c>
      <c r="D1075" s="28" t="n">
        <v>68415000</v>
      </c>
      <c r="E1075" s="28" t="n">
        <v>62500000</v>
      </c>
      <c r="F1075" s="28" t="n">
        <v>130915000</v>
      </c>
      <c r="G1075" s="28" t="n">
        <v>5937500000</v>
      </c>
      <c r="H1075" s="25" t="n">
        <f aca="false">J1074</f>
        <v>6000000000</v>
      </c>
      <c r="I1075" s="25" t="n">
        <f aca="false">H1075*N1075</f>
        <v>68415000</v>
      </c>
      <c r="J1075" s="25" t="n">
        <f aca="false">H1075-E1075</f>
        <v>5937500000</v>
      </c>
      <c r="K1075" s="25" t="n">
        <f aca="false">D1075-I1075</f>
        <v>0</v>
      </c>
      <c r="L1075" s="25" t="n">
        <f aca="false">G1075-J1075</f>
        <v>0</v>
      </c>
      <c r="M1075" s="25" t="n">
        <f aca="false">F1075</f>
        <v>130915000</v>
      </c>
      <c r="N1075" s="48" t="n">
        <v>0.0114025</v>
      </c>
      <c r="O1075" s="25" t="n">
        <f aca="false">IF(AND(B1075&gt;=DATE(2026,1,1),B1075&lt;=Resumen!$C$5),1,0)</f>
        <v>0</v>
      </c>
      <c r="P1075" s="25" t="n">
        <f aca="false">IF(AND(B1075&gt;Resumen!$C$5,B1075&lt;=DATE(2027,7,31)),1,0)</f>
        <v>0</v>
      </c>
    </row>
    <row r="1076" customFormat="false" ht="15" hidden="false" customHeight="false" outlineLevel="0" collapsed="false">
      <c r="A1076" s="22" t="n">
        <v>52</v>
      </c>
      <c r="B1076" s="23" t="n">
        <v>44790</v>
      </c>
      <c r="C1076" s="28" t="n">
        <v>5937500000</v>
      </c>
      <c r="D1076" s="28" t="n">
        <v>67786458.3333333</v>
      </c>
      <c r="E1076" s="28" t="n">
        <v>62500000</v>
      </c>
      <c r="F1076" s="28" t="n">
        <v>130286458.333333</v>
      </c>
      <c r="G1076" s="28" t="n">
        <v>5875000000</v>
      </c>
      <c r="H1076" s="25" t="n">
        <f aca="false">J1075</f>
        <v>5937500000</v>
      </c>
      <c r="I1076" s="25" t="n">
        <f aca="false">H1076*N1076</f>
        <v>67786458.3333334</v>
      </c>
      <c r="J1076" s="25" t="n">
        <f aca="false">H1076-E1076</f>
        <v>5875000000</v>
      </c>
      <c r="K1076" s="25" t="n">
        <f aca="false">D1076-I1076</f>
        <v>0</v>
      </c>
      <c r="L1076" s="25" t="n">
        <f aca="false">G1076-J1076</f>
        <v>0</v>
      </c>
      <c r="M1076" s="25" t="n">
        <f aca="false">F1076</f>
        <v>130286458.333333</v>
      </c>
      <c r="N1076" s="48" t="n">
        <v>0.0114166666666667</v>
      </c>
      <c r="O1076" s="25" t="n">
        <f aca="false">IF(AND(B1076&gt;=DATE(2026,1,1),B1076&lt;=Resumen!$C$5),1,0)</f>
        <v>0</v>
      </c>
      <c r="P1076" s="25" t="n">
        <f aca="false">IF(AND(B1076&gt;Resumen!$C$5,B1076&lt;=DATE(2027,7,31)),1,0)</f>
        <v>0</v>
      </c>
    </row>
    <row r="1077" customFormat="false" ht="15" hidden="false" customHeight="false" outlineLevel="0" collapsed="false">
      <c r="A1077" s="22" t="n">
        <v>53</v>
      </c>
      <c r="B1077" s="23" t="n">
        <v>44821</v>
      </c>
      <c r="C1077" s="28" t="n">
        <v>5875000000</v>
      </c>
      <c r="D1077" s="28" t="n">
        <v>70279687.5</v>
      </c>
      <c r="E1077" s="28" t="n">
        <v>62500000</v>
      </c>
      <c r="F1077" s="28" t="n">
        <v>132779687.5</v>
      </c>
      <c r="G1077" s="28" t="n">
        <v>5812500000</v>
      </c>
      <c r="H1077" s="25" t="n">
        <f aca="false">J1076</f>
        <v>5875000000</v>
      </c>
      <c r="I1077" s="25" t="n">
        <f aca="false">H1077*N1077</f>
        <v>70279687.5</v>
      </c>
      <c r="J1077" s="25" t="n">
        <f aca="false">H1077-E1077</f>
        <v>5812500000</v>
      </c>
      <c r="K1077" s="25" t="n">
        <f aca="false">D1077-I1077</f>
        <v>0</v>
      </c>
      <c r="L1077" s="25" t="n">
        <f aca="false">G1077-J1077</f>
        <v>0</v>
      </c>
      <c r="M1077" s="25" t="n">
        <f aca="false">F1077</f>
        <v>132779687.5</v>
      </c>
      <c r="N1077" s="48" t="n">
        <v>0.0119625</v>
      </c>
      <c r="O1077" s="25" t="n">
        <f aca="false">IF(AND(B1077&gt;=DATE(2026,1,1),B1077&lt;=Resumen!$C$5),1,0)</f>
        <v>0</v>
      </c>
      <c r="P1077" s="25" t="n">
        <f aca="false">IF(AND(B1077&gt;Resumen!$C$5,B1077&lt;=DATE(2027,7,31)),1,0)</f>
        <v>0</v>
      </c>
    </row>
    <row r="1078" customFormat="false" ht="15" hidden="false" customHeight="false" outlineLevel="0" collapsed="false">
      <c r="A1078" s="22" t="n">
        <v>54</v>
      </c>
      <c r="B1078" s="23" t="n">
        <v>44851</v>
      </c>
      <c r="C1078" s="28" t="n">
        <v>5812500000</v>
      </c>
      <c r="D1078" s="28" t="n">
        <v>75993593.75</v>
      </c>
      <c r="E1078" s="28" t="n">
        <v>62500000</v>
      </c>
      <c r="F1078" s="28" t="n">
        <v>138493593.75</v>
      </c>
      <c r="G1078" s="28" t="n">
        <v>5750000000</v>
      </c>
      <c r="H1078" s="25" t="n">
        <f aca="false">J1077</f>
        <v>5812500000</v>
      </c>
      <c r="I1078" s="25" t="n">
        <f aca="false">H1078*N1078</f>
        <v>75993593.75</v>
      </c>
      <c r="J1078" s="25" t="n">
        <f aca="false">H1078-E1078</f>
        <v>5750000000</v>
      </c>
      <c r="K1078" s="25" t="n">
        <f aca="false">D1078-I1078</f>
        <v>0</v>
      </c>
      <c r="L1078" s="25" t="n">
        <f aca="false">G1078-J1078</f>
        <v>0</v>
      </c>
      <c r="M1078" s="25" t="n">
        <f aca="false">F1078</f>
        <v>138493593.75</v>
      </c>
      <c r="N1078" s="48" t="n">
        <v>0.0130741666666667</v>
      </c>
      <c r="O1078" s="25" t="n">
        <f aca="false">IF(AND(B1078&gt;=DATE(2026,1,1),B1078&lt;=Resumen!$C$5),1,0)</f>
        <v>0</v>
      </c>
      <c r="P1078" s="25" t="n">
        <f aca="false">IF(AND(B1078&gt;Resumen!$C$5,B1078&lt;=DATE(2027,7,31)),1,0)</f>
        <v>0</v>
      </c>
    </row>
    <row r="1079" customFormat="false" ht="15" hidden="false" customHeight="false" outlineLevel="0" collapsed="false">
      <c r="A1079" s="22" t="n">
        <v>55</v>
      </c>
      <c r="B1079" s="23" t="n">
        <v>44882</v>
      </c>
      <c r="C1079" s="28" t="n">
        <v>5750000000</v>
      </c>
      <c r="D1079" s="28" t="n">
        <v>76891875</v>
      </c>
      <c r="E1079" s="28" t="n">
        <v>62500000</v>
      </c>
      <c r="F1079" s="28" t="n">
        <v>139391875</v>
      </c>
      <c r="G1079" s="28" t="n">
        <v>5687500000</v>
      </c>
      <c r="H1079" s="25" t="n">
        <f aca="false">J1078</f>
        <v>5750000000</v>
      </c>
      <c r="I1079" s="25" t="n">
        <f aca="false">H1079*N1079</f>
        <v>76891875</v>
      </c>
      <c r="J1079" s="25" t="n">
        <f aca="false">H1079-E1079</f>
        <v>5687500000</v>
      </c>
      <c r="K1079" s="25" t="n">
        <f aca="false">D1079-I1079</f>
        <v>0</v>
      </c>
      <c r="L1079" s="25" t="n">
        <f aca="false">G1079-J1079</f>
        <v>0</v>
      </c>
      <c r="M1079" s="25" t="n">
        <f aca="false">F1079</f>
        <v>139391875</v>
      </c>
      <c r="N1079" s="48" t="n">
        <v>0.0133725</v>
      </c>
      <c r="O1079" s="25" t="n">
        <f aca="false">IF(AND(B1079&gt;=DATE(2026,1,1),B1079&lt;=Resumen!$C$5),1,0)</f>
        <v>0</v>
      </c>
      <c r="P1079" s="25" t="n">
        <f aca="false">IF(AND(B1079&gt;Resumen!$C$5,B1079&lt;=DATE(2027,7,31)),1,0)</f>
        <v>0</v>
      </c>
    </row>
    <row r="1080" customFormat="false" ht="15" hidden="false" customHeight="false" outlineLevel="0" collapsed="false">
      <c r="A1080" s="22" t="n">
        <v>56</v>
      </c>
      <c r="B1080" s="23" t="n">
        <v>44912</v>
      </c>
      <c r="C1080" s="28" t="n">
        <v>5687500000</v>
      </c>
      <c r="D1080" s="28" t="n">
        <v>79136822.9166667</v>
      </c>
      <c r="E1080" s="28" t="n">
        <v>62500000</v>
      </c>
      <c r="F1080" s="28" t="n">
        <v>141636822.916667</v>
      </c>
      <c r="G1080" s="28" t="n">
        <v>5625000000</v>
      </c>
      <c r="H1080" s="25" t="n">
        <f aca="false">J1079</f>
        <v>5687500000</v>
      </c>
      <c r="I1080" s="25" t="n">
        <f aca="false">H1080*N1080</f>
        <v>79136822.9166667</v>
      </c>
      <c r="J1080" s="25" t="n">
        <f aca="false">H1080-E1080</f>
        <v>5625000000</v>
      </c>
      <c r="K1080" s="25" t="n">
        <f aca="false">D1080-I1080</f>
        <v>0</v>
      </c>
      <c r="L1080" s="25" t="n">
        <f aca="false">G1080-J1080</f>
        <v>0</v>
      </c>
      <c r="M1080" s="25" t="n">
        <f aca="false">F1080</f>
        <v>141636822.916667</v>
      </c>
      <c r="N1080" s="48" t="n">
        <v>0.0139141666666667</v>
      </c>
      <c r="O1080" s="25" t="n">
        <f aca="false">IF(AND(B1080&gt;=DATE(2026,1,1),B1080&lt;=Resumen!$C$5),1,0)</f>
        <v>0</v>
      </c>
      <c r="P1080" s="25" t="n">
        <f aca="false">IF(AND(B1080&gt;Resumen!$C$5,B1080&lt;=DATE(2027,7,31)),1,0)</f>
        <v>0</v>
      </c>
    </row>
    <row r="1081" customFormat="false" ht="15" hidden="false" customHeight="false" outlineLevel="0" collapsed="false">
      <c r="A1081" s="22" t="n">
        <v>57</v>
      </c>
      <c r="B1081" s="23" t="n">
        <v>44943</v>
      </c>
      <c r="C1081" s="28" t="n">
        <v>5625000000</v>
      </c>
      <c r="D1081" s="28" t="n">
        <v>81745312.5</v>
      </c>
      <c r="E1081" s="28" t="n">
        <v>62500000</v>
      </c>
      <c r="F1081" s="28" t="n">
        <v>144245312.5</v>
      </c>
      <c r="G1081" s="28" t="n">
        <v>5562500000</v>
      </c>
      <c r="H1081" s="25" t="n">
        <f aca="false">J1080</f>
        <v>5625000000</v>
      </c>
      <c r="I1081" s="25" t="n">
        <f aca="false">H1081*N1081</f>
        <v>81745312.5</v>
      </c>
      <c r="J1081" s="25" t="n">
        <f aca="false">H1081-E1081</f>
        <v>5562500000</v>
      </c>
      <c r="K1081" s="25" t="n">
        <f aca="false">D1081-I1081</f>
        <v>0</v>
      </c>
      <c r="L1081" s="25" t="n">
        <f aca="false">G1081-J1081</f>
        <v>0</v>
      </c>
      <c r="M1081" s="25" t="n">
        <f aca="false">F1081</f>
        <v>144245312.5</v>
      </c>
      <c r="N1081" s="48" t="n">
        <v>0.0145325</v>
      </c>
      <c r="O1081" s="25" t="n">
        <f aca="false">IF(AND(B1081&gt;=DATE(2026,1,1),B1081&lt;=Resumen!$C$5),1,0)</f>
        <v>0</v>
      </c>
      <c r="P1081" s="25" t="n">
        <f aca="false">IF(AND(B1081&gt;Resumen!$C$5,B1081&lt;=DATE(2027,7,31)),1,0)</f>
        <v>0</v>
      </c>
    </row>
    <row r="1082" customFormat="false" ht="15" hidden="false" customHeight="false" outlineLevel="0" collapsed="false">
      <c r="A1082" s="22" t="n">
        <v>58</v>
      </c>
      <c r="B1082" s="23" t="n">
        <v>44974</v>
      </c>
      <c r="C1082" s="28" t="n">
        <v>5562500000</v>
      </c>
      <c r="D1082" s="28" t="n">
        <v>80892656.25</v>
      </c>
      <c r="E1082" s="28" t="n">
        <v>62500000</v>
      </c>
      <c r="F1082" s="28" t="n">
        <v>143392656.25</v>
      </c>
      <c r="G1082" s="28" t="n">
        <v>5500000000</v>
      </c>
      <c r="H1082" s="25" t="n">
        <f aca="false">J1081</f>
        <v>5562500000</v>
      </c>
      <c r="I1082" s="25" t="n">
        <f aca="false">H1082*N1082</f>
        <v>80892656.25</v>
      </c>
      <c r="J1082" s="25" t="n">
        <f aca="false">H1082-E1082</f>
        <v>5500000000</v>
      </c>
      <c r="K1082" s="25" t="n">
        <f aca="false">D1082-I1082</f>
        <v>0</v>
      </c>
      <c r="L1082" s="25" t="n">
        <f aca="false">G1082-J1082</f>
        <v>0</v>
      </c>
      <c r="M1082" s="25" t="n">
        <f aca="false">F1082</f>
        <v>143392656.25</v>
      </c>
      <c r="N1082" s="48" t="n">
        <v>0.0145425</v>
      </c>
      <c r="O1082" s="25" t="n">
        <f aca="false">IF(AND(B1082&gt;=DATE(2026,1,1),B1082&lt;=Resumen!$C$5),1,0)</f>
        <v>0</v>
      </c>
      <c r="P1082" s="25" t="n">
        <f aca="false">IF(AND(B1082&gt;Resumen!$C$5,B1082&lt;=DATE(2027,7,31)),1,0)</f>
        <v>0</v>
      </c>
    </row>
    <row r="1083" customFormat="false" ht="15" hidden="false" customHeight="false" outlineLevel="0" collapsed="false">
      <c r="A1083" s="22" t="n">
        <v>59</v>
      </c>
      <c r="B1083" s="23" t="n">
        <v>45002</v>
      </c>
      <c r="C1083" s="28" t="n">
        <v>5500000000</v>
      </c>
      <c r="D1083" s="28" t="n">
        <v>81088333.3333333</v>
      </c>
      <c r="E1083" s="28" t="n">
        <v>62500000</v>
      </c>
      <c r="F1083" s="28" t="n">
        <v>143588333.333333</v>
      </c>
      <c r="G1083" s="28" t="n">
        <v>5437500000</v>
      </c>
      <c r="H1083" s="25" t="n">
        <f aca="false">J1082</f>
        <v>5500000000</v>
      </c>
      <c r="I1083" s="25" t="n">
        <f aca="false">H1083*N1083</f>
        <v>81088333.3333334</v>
      </c>
      <c r="J1083" s="25" t="n">
        <f aca="false">H1083-E1083</f>
        <v>5437500000</v>
      </c>
      <c r="K1083" s="25" t="n">
        <f aca="false">D1083-I1083</f>
        <v>0</v>
      </c>
      <c r="L1083" s="25" t="n">
        <f aca="false">G1083-J1083</f>
        <v>0</v>
      </c>
      <c r="M1083" s="25" t="n">
        <f aca="false">F1083</f>
        <v>143588333.333333</v>
      </c>
      <c r="N1083" s="48" t="n">
        <v>0.0147433333333333</v>
      </c>
      <c r="O1083" s="25" t="n">
        <f aca="false">IF(AND(B1083&gt;=DATE(2026,1,1),B1083&lt;=Resumen!$C$5),1,0)</f>
        <v>0</v>
      </c>
      <c r="P1083" s="25" t="n">
        <f aca="false">IF(AND(B1083&gt;Resumen!$C$5,B1083&lt;=DATE(2027,7,31)),1,0)</f>
        <v>0</v>
      </c>
    </row>
    <row r="1084" customFormat="false" ht="15" hidden="false" customHeight="false" outlineLevel="0" collapsed="false">
      <c r="A1084" s="22" t="n">
        <v>60</v>
      </c>
      <c r="B1084" s="23" t="n">
        <v>45033</v>
      </c>
      <c r="C1084" s="28" t="n">
        <v>5437500000</v>
      </c>
      <c r="D1084" s="28" t="n">
        <v>80733281.25</v>
      </c>
      <c r="E1084" s="28" t="n">
        <v>62500000</v>
      </c>
      <c r="F1084" s="28" t="n">
        <v>143233281.25</v>
      </c>
      <c r="G1084" s="28" t="n">
        <v>5375000000</v>
      </c>
      <c r="H1084" s="25" t="n">
        <f aca="false">J1083</f>
        <v>5437500000</v>
      </c>
      <c r="I1084" s="25" t="n">
        <f aca="false">H1084*N1084</f>
        <v>80733281.25</v>
      </c>
      <c r="J1084" s="25" t="n">
        <f aca="false">H1084-E1084</f>
        <v>5375000000</v>
      </c>
      <c r="K1084" s="25" t="n">
        <f aca="false">D1084-I1084</f>
        <v>0</v>
      </c>
      <c r="L1084" s="25" t="n">
        <f aca="false">G1084-J1084</f>
        <v>0</v>
      </c>
      <c r="M1084" s="25" t="n">
        <f aca="false">F1084</f>
        <v>143233281.25</v>
      </c>
      <c r="N1084" s="48" t="n">
        <v>0.0148475</v>
      </c>
      <c r="O1084" s="25" t="n">
        <f aca="false">IF(AND(B1084&gt;=DATE(2026,1,1),B1084&lt;=Resumen!$C$5),1,0)</f>
        <v>0</v>
      </c>
      <c r="P1084" s="25" t="n">
        <f aca="false">IF(AND(B1084&gt;Resumen!$C$5,B1084&lt;=DATE(2027,7,31)),1,0)</f>
        <v>0</v>
      </c>
    </row>
    <row r="1085" customFormat="false" ht="15" hidden="false" customHeight="false" outlineLevel="0" collapsed="false">
      <c r="A1085" s="22" t="n">
        <v>61</v>
      </c>
      <c r="B1085" s="23" t="n">
        <v>45063</v>
      </c>
      <c r="C1085" s="28" t="n">
        <v>5375000000</v>
      </c>
      <c r="D1085" s="28" t="n">
        <v>80378645.8333333</v>
      </c>
      <c r="E1085" s="28" t="n">
        <v>62500000</v>
      </c>
      <c r="F1085" s="28" t="n">
        <v>142878645.833333</v>
      </c>
      <c r="G1085" s="28" t="n">
        <v>5312500000</v>
      </c>
      <c r="H1085" s="25" t="n">
        <f aca="false">J1084</f>
        <v>5375000000</v>
      </c>
      <c r="I1085" s="25" t="n">
        <f aca="false">H1085*N1085</f>
        <v>80378645.8333333</v>
      </c>
      <c r="J1085" s="25" t="n">
        <f aca="false">H1085-E1085</f>
        <v>5312500000</v>
      </c>
      <c r="K1085" s="25" t="n">
        <f aca="false">D1085-I1085</f>
        <v>0</v>
      </c>
      <c r="L1085" s="25" t="n">
        <f aca="false">G1085-J1085</f>
        <v>0</v>
      </c>
      <c r="M1085" s="25" t="n">
        <f aca="false">F1085</f>
        <v>142878645.833333</v>
      </c>
      <c r="N1085" s="48" t="n">
        <v>0.0149541666666667</v>
      </c>
      <c r="O1085" s="25" t="n">
        <f aca="false">IF(AND(B1085&gt;=DATE(2026,1,1),B1085&lt;=Resumen!$C$5),1,0)</f>
        <v>0</v>
      </c>
      <c r="P1085" s="25" t="n">
        <f aca="false">IF(AND(B1085&gt;Resumen!$C$5,B1085&lt;=DATE(2027,7,31)),1,0)</f>
        <v>0</v>
      </c>
    </row>
    <row r="1086" customFormat="false" ht="15" hidden="false" customHeight="false" outlineLevel="0" collapsed="false">
      <c r="A1086" s="22" t="n">
        <v>62</v>
      </c>
      <c r="B1086" s="23" t="n">
        <v>45094</v>
      </c>
      <c r="C1086" s="28" t="n">
        <v>5312500000</v>
      </c>
      <c r="D1086" s="28" t="n">
        <v>79457291.6666667</v>
      </c>
      <c r="E1086" s="28" t="n">
        <v>62500000</v>
      </c>
      <c r="F1086" s="28" t="n">
        <v>141957291.666667</v>
      </c>
      <c r="G1086" s="28" t="n">
        <v>5250000000</v>
      </c>
      <c r="H1086" s="25" t="n">
        <f aca="false">J1085</f>
        <v>5312500000</v>
      </c>
      <c r="I1086" s="25" t="n">
        <f aca="false">H1086*N1086</f>
        <v>79457291.6666666</v>
      </c>
      <c r="J1086" s="25" t="n">
        <f aca="false">H1086-E1086</f>
        <v>5250000000</v>
      </c>
      <c r="K1086" s="25" t="n">
        <f aca="false">D1086-I1086</f>
        <v>0</v>
      </c>
      <c r="L1086" s="25" t="n">
        <f aca="false">G1086-J1086</f>
        <v>0</v>
      </c>
      <c r="M1086" s="25" t="n">
        <f aca="false">F1086</f>
        <v>141957291.666667</v>
      </c>
      <c r="N1086" s="48" t="n">
        <v>0.0149566666666667</v>
      </c>
      <c r="O1086" s="25" t="n">
        <f aca="false">IF(AND(B1086&gt;=DATE(2026,1,1),B1086&lt;=Resumen!$C$5),1,0)</f>
        <v>0</v>
      </c>
      <c r="P1086" s="25" t="n">
        <f aca="false">IF(AND(B1086&gt;Resumen!$C$5,B1086&lt;=DATE(2027,7,31)),1,0)</f>
        <v>0</v>
      </c>
    </row>
    <row r="1087" customFormat="false" ht="15" hidden="false" customHeight="false" outlineLevel="0" collapsed="false">
      <c r="A1087" s="22" t="n">
        <v>63</v>
      </c>
      <c r="B1087" s="23" t="n">
        <v>45124</v>
      </c>
      <c r="C1087" s="28" t="n">
        <v>5250000000</v>
      </c>
      <c r="D1087" s="28" t="n">
        <v>78531250</v>
      </c>
      <c r="E1087" s="28" t="n">
        <v>62500000</v>
      </c>
      <c r="F1087" s="28" t="n">
        <v>141031250</v>
      </c>
      <c r="G1087" s="28" t="n">
        <v>5187500000</v>
      </c>
      <c r="H1087" s="25" t="n">
        <f aca="false">J1086</f>
        <v>5250000000</v>
      </c>
      <c r="I1087" s="25" t="n">
        <f aca="false">H1087*N1087</f>
        <v>78531250</v>
      </c>
      <c r="J1087" s="25" t="n">
        <f aca="false">H1087-E1087</f>
        <v>5187500000</v>
      </c>
      <c r="K1087" s="25" t="n">
        <f aca="false">D1087-I1087</f>
        <v>0</v>
      </c>
      <c r="L1087" s="25" t="n">
        <f aca="false">G1087-J1087</f>
        <v>0</v>
      </c>
      <c r="M1087" s="25" t="n">
        <f aca="false">F1087</f>
        <v>141031250</v>
      </c>
      <c r="N1087" s="48" t="n">
        <v>0.0149583333333333</v>
      </c>
      <c r="O1087" s="25" t="n">
        <f aca="false">IF(AND(B1087&gt;=DATE(2026,1,1),B1087&lt;=Resumen!$C$5),1,0)</f>
        <v>0</v>
      </c>
      <c r="P1087" s="25" t="n">
        <f aca="false">IF(AND(B1087&gt;Resumen!$C$5,B1087&lt;=DATE(2027,7,31)),1,0)</f>
        <v>0</v>
      </c>
    </row>
    <row r="1088" customFormat="false" ht="15" hidden="false" customHeight="false" outlineLevel="0" collapsed="false">
      <c r="A1088" s="22" t="n">
        <v>64</v>
      </c>
      <c r="B1088" s="23" t="n">
        <v>45155</v>
      </c>
      <c r="C1088" s="28" t="n">
        <v>5187500000</v>
      </c>
      <c r="D1088" s="28" t="n">
        <v>74639479.1666667</v>
      </c>
      <c r="E1088" s="28" t="n">
        <v>62500000</v>
      </c>
      <c r="F1088" s="28" t="n">
        <v>137139479.166667</v>
      </c>
      <c r="G1088" s="28" t="n">
        <v>5125000000</v>
      </c>
      <c r="H1088" s="25" t="n">
        <f aca="false">J1087</f>
        <v>5187500000</v>
      </c>
      <c r="I1088" s="25" t="n">
        <f aca="false">H1088*N1088</f>
        <v>74639479.1666666</v>
      </c>
      <c r="J1088" s="25" t="n">
        <f aca="false">H1088-E1088</f>
        <v>5125000000</v>
      </c>
      <c r="K1088" s="25" t="n">
        <f aca="false">D1088-I1088</f>
        <v>0</v>
      </c>
      <c r="L1088" s="25" t="n">
        <f aca="false">G1088-J1088</f>
        <v>0</v>
      </c>
      <c r="M1088" s="25" t="n">
        <f aca="false">F1088</f>
        <v>137139479.166667</v>
      </c>
      <c r="N1088" s="48" t="n">
        <v>0.0143883333333333</v>
      </c>
      <c r="O1088" s="25" t="n">
        <f aca="false">IF(AND(B1088&gt;=DATE(2026,1,1),B1088&lt;=Resumen!$C$5),1,0)</f>
        <v>0</v>
      </c>
      <c r="P1088" s="25" t="n">
        <f aca="false">IF(AND(B1088&gt;Resumen!$C$5,B1088&lt;=DATE(2027,7,31)),1,0)</f>
        <v>0</v>
      </c>
    </row>
    <row r="1089" customFormat="false" ht="15" hidden="false" customHeight="false" outlineLevel="0" collapsed="false">
      <c r="A1089" s="22" t="n">
        <v>65</v>
      </c>
      <c r="B1089" s="23" t="n">
        <v>45186</v>
      </c>
      <c r="C1089" s="28" t="n">
        <v>5125000000</v>
      </c>
      <c r="D1089" s="28" t="n">
        <v>72723750</v>
      </c>
      <c r="E1089" s="28" t="n">
        <v>62500000</v>
      </c>
      <c r="F1089" s="28" t="n">
        <v>135223750</v>
      </c>
      <c r="G1089" s="28" t="n">
        <v>5062500000</v>
      </c>
      <c r="H1089" s="25" t="n">
        <f aca="false">J1088</f>
        <v>5125000000</v>
      </c>
      <c r="I1089" s="25" t="n">
        <f aca="false">H1089*N1089</f>
        <v>72723750</v>
      </c>
      <c r="J1089" s="25" t="n">
        <f aca="false">H1089-E1089</f>
        <v>5062500000</v>
      </c>
      <c r="K1089" s="25" t="n">
        <f aca="false">D1089-I1089</f>
        <v>0</v>
      </c>
      <c r="L1089" s="25" t="n">
        <f aca="false">G1089-J1089</f>
        <v>0</v>
      </c>
      <c r="M1089" s="25" t="n">
        <f aca="false">F1089</f>
        <v>135223750</v>
      </c>
      <c r="N1089" s="48" t="n">
        <v>0.01419</v>
      </c>
      <c r="O1089" s="25" t="n">
        <f aca="false">IF(AND(B1089&gt;=DATE(2026,1,1),B1089&lt;=Resumen!$C$5),1,0)</f>
        <v>0</v>
      </c>
      <c r="P1089" s="25" t="n">
        <f aca="false">IF(AND(B1089&gt;Resumen!$C$5,B1089&lt;=DATE(2027,7,31)),1,0)</f>
        <v>0</v>
      </c>
    </row>
    <row r="1090" customFormat="false" ht="15" hidden="false" customHeight="false" outlineLevel="0" collapsed="false">
      <c r="A1090" s="22" t="n">
        <v>66</v>
      </c>
      <c r="B1090" s="23" t="n">
        <v>45216</v>
      </c>
      <c r="C1090" s="28" t="n">
        <v>5062500000</v>
      </c>
      <c r="D1090" s="28" t="n">
        <v>71857968.75</v>
      </c>
      <c r="E1090" s="28" t="n">
        <v>62500000</v>
      </c>
      <c r="F1090" s="28" t="n">
        <v>134357968.75</v>
      </c>
      <c r="G1090" s="28" t="n">
        <v>5000000000</v>
      </c>
      <c r="H1090" s="25" t="n">
        <f aca="false">J1089</f>
        <v>5062500000</v>
      </c>
      <c r="I1090" s="25" t="n">
        <f aca="false">H1090*N1090</f>
        <v>71857968.75</v>
      </c>
      <c r="J1090" s="25" t="n">
        <f aca="false">H1090-E1090</f>
        <v>5000000000</v>
      </c>
      <c r="K1090" s="25" t="n">
        <f aca="false">D1090-I1090</f>
        <v>0</v>
      </c>
      <c r="L1090" s="25" t="n">
        <f aca="false">G1090-J1090</f>
        <v>0</v>
      </c>
      <c r="M1090" s="25" t="n">
        <f aca="false">F1090</f>
        <v>134357968.75</v>
      </c>
      <c r="N1090" s="48" t="n">
        <v>0.0141941666666667</v>
      </c>
      <c r="O1090" s="25" t="n">
        <f aca="false">IF(AND(B1090&gt;=DATE(2026,1,1),B1090&lt;=Resumen!$C$5),1,0)</f>
        <v>0</v>
      </c>
      <c r="P1090" s="25" t="n">
        <f aca="false">IF(AND(B1090&gt;Resumen!$C$5,B1090&lt;=DATE(2027,7,31)),1,0)</f>
        <v>0</v>
      </c>
    </row>
    <row r="1091" customFormat="false" ht="15" hidden="false" customHeight="false" outlineLevel="0" collapsed="false">
      <c r="A1091" s="22" t="n">
        <v>67</v>
      </c>
      <c r="B1091" s="23" t="n">
        <v>45247</v>
      </c>
      <c r="C1091" s="28" t="n">
        <v>5000000000</v>
      </c>
      <c r="D1091" s="28" t="n">
        <v>70854166.6666667</v>
      </c>
      <c r="E1091" s="28" t="n">
        <v>62500000</v>
      </c>
      <c r="F1091" s="28" t="n">
        <v>133354166.666667</v>
      </c>
      <c r="G1091" s="28" t="n">
        <v>4937500000</v>
      </c>
      <c r="H1091" s="25" t="n">
        <f aca="false">J1090</f>
        <v>5000000000</v>
      </c>
      <c r="I1091" s="25" t="n">
        <f aca="false">H1091*N1091</f>
        <v>70854166.6666667</v>
      </c>
      <c r="J1091" s="25" t="n">
        <f aca="false">H1091-E1091</f>
        <v>4937500000</v>
      </c>
      <c r="K1091" s="25" t="n">
        <f aca="false">D1091-I1091</f>
        <v>0</v>
      </c>
      <c r="L1091" s="25" t="n">
        <f aca="false">G1091-J1091</f>
        <v>0</v>
      </c>
      <c r="M1091" s="25" t="n">
        <f aca="false">F1091</f>
        <v>133354166.666667</v>
      </c>
      <c r="N1091" s="48" t="n">
        <v>0.0141708333333333</v>
      </c>
      <c r="O1091" s="25" t="n">
        <f aca="false">IF(AND(B1091&gt;=DATE(2026,1,1),B1091&lt;=Resumen!$C$5),1,0)</f>
        <v>0</v>
      </c>
      <c r="P1091" s="25" t="n">
        <f aca="false">IF(AND(B1091&gt;Resumen!$C$5,B1091&lt;=DATE(2027,7,31)),1,0)</f>
        <v>0</v>
      </c>
    </row>
    <row r="1092" customFormat="false" ht="15" hidden="false" customHeight="false" outlineLevel="0" collapsed="false">
      <c r="A1092" s="22" t="n">
        <v>68</v>
      </c>
      <c r="B1092" s="23" t="n">
        <v>45277</v>
      </c>
      <c r="C1092" s="28" t="n">
        <v>4937500000</v>
      </c>
      <c r="D1092" s="28" t="n">
        <v>68980989.5833333</v>
      </c>
      <c r="E1092" s="28" t="n">
        <v>62500000</v>
      </c>
      <c r="F1092" s="28" t="n">
        <v>131480989.583333</v>
      </c>
      <c r="G1092" s="28" t="n">
        <v>4875000000</v>
      </c>
      <c r="H1092" s="25" t="n">
        <f aca="false">J1091</f>
        <v>4937500000</v>
      </c>
      <c r="I1092" s="25" t="n">
        <f aca="false">H1092*N1092</f>
        <v>68980989.5833333</v>
      </c>
      <c r="J1092" s="25" t="n">
        <f aca="false">H1092-E1092</f>
        <v>4875000000</v>
      </c>
      <c r="K1092" s="25" t="n">
        <f aca="false">D1092-I1092</f>
        <v>0</v>
      </c>
      <c r="L1092" s="25" t="n">
        <f aca="false">G1092-J1092</f>
        <v>0</v>
      </c>
      <c r="M1092" s="25" t="n">
        <f aca="false">F1092</f>
        <v>131480989.583333</v>
      </c>
      <c r="N1092" s="48" t="n">
        <v>0.0139708333333333</v>
      </c>
      <c r="O1092" s="25" t="n">
        <f aca="false">IF(AND(B1092&gt;=DATE(2026,1,1),B1092&lt;=Resumen!$C$5),1,0)</f>
        <v>0</v>
      </c>
      <c r="P1092" s="25" t="n">
        <f aca="false">IF(AND(B1092&gt;Resumen!$C$5,B1092&lt;=DATE(2027,7,31)),1,0)</f>
        <v>0</v>
      </c>
    </row>
    <row r="1093" customFormat="false" ht="15" hidden="false" customHeight="false" outlineLevel="0" collapsed="false">
      <c r="A1093" s="22" t="n">
        <v>69</v>
      </c>
      <c r="B1093" s="23" t="n">
        <v>45308</v>
      </c>
      <c r="C1093" s="28" t="n">
        <v>4875000000</v>
      </c>
      <c r="D1093" s="28" t="n">
        <v>67380625</v>
      </c>
      <c r="E1093" s="28" t="n">
        <v>62500000</v>
      </c>
      <c r="F1093" s="28" t="n">
        <v>129880625</v>
      </c>
      <c r="G1093" s="28" t="n">
        <v>4812500000</v>
      </c>
      <c r="H1093" s="25" t="n">
        <f aca="false">J1092</f>
        <v>4875000000</v>
      </c>
      <c r="I1093" s="25" t="n">
        <f aca="false">H1093*N1093</f>
        <v>67380625</v>
      </c>
      <c r="J1093" s="25" t="n">
        <f aca="false">H1093-E1093</f>
        <v>4812500000</v>
      </c>
      <c r="K1093" s="25" t="n">
        <f aca="false">D1093-I1093</f>
        <v>0</v>
      </c>
      <c r="L1093" s="25" t="n">
        <f aca="false">G1093-J1093</f>
        <v>0</v>
      </c>
      <c r="M1093" s="25" t="n">
        <f aca="false">F1093</f>
        <v>129880625</v>
      </c>
      <c r="N1093" s="48" t="n">
        <v>0.0138216666666667</v>
      </c>
      <c r="O1093" s="25" t="n">
        <f aca="false">IF(AND(B1093&gt;=DATE(2026,1,1),B1093&lt;=Resumen!$C$5),1,0)</f>
        <v>0</v>
      </c>
      <c r="P1093" s="25" t="n">
        <f aca="false">IF(AND(B1093&gt;Resumen!$C$5,B1093&lt;=DATE(2027,7,31)),1,0)</f>
        <v>0</v>
      </c>
    </row>
    <row r="1094" customFormat="false" ht="15" hidden="false" customHeight="false" outlineLevel="0" collapsed="false">
      <c r="A1094" s="22" t="n">
        <v>70</v>
      </c>
      <c r="B1094" s="23" t="n">
        <v>45339</v>
      </c>
      <c r="C1094" s="28" t="n">
        <v>4812500000</v>
      </c>
      <c r="D1094" s="28" t="n">
        <v>69664947.9166667</v>
      </c>
      <c r="E1094" s="28" t="n">
        <v>62500000</v>
      </c>
      <c r="F1094" s="28" t="n">
        <v>132164947.916667</v>
      </c>
      <c r="G1094" s="28" t="n">
        <v>4750000000</v>
      </c>
      <c r="H1094" s="25" t="n">
        <f aca="false">J1093</f>
        <v>4812500000</v>
      </c>
      <c r="I1094" s="25" t="n">
        <f aca="false">H1094*N1094</f>
        <v>69664947.9166667</v>
      </c>
      <c r="J1094" s="25" t="n">
        <f aca="false">H1094-E1094</f>
        <v>4750000000</v>
      </c>
      <c r="K1094" s="25" t="n">
        <f aca="false">D1094-I1094</f>
        <v>0</v>
      </c>
      <c r="L1094" s="25" t="n">
        <f aca="false">G1094-J1094</f>
        <v>0</v>
      </c>
      <c r="M1094" s="25" t="n">
        <f aca="false">F1094</f>
        <v>132164947.916667</v>
      </c>
      <c r="N1094" s="48" t="n">
        <v>0.0144758333333333</v>
      </c>
      <c r="O1094" s="25" t="n">
        <f aca="false">IF(AND(B1094&gt;=DATE(2026,1,1),B1094&lt;=Resumen!$C$5),1,0)</f>
        <v>0</v>
      </c>
      <c r="P1094" s="25" t="n">
        <f aca="false">IF(AND(B1094&gt;Resumen!$C$5,B1094&lt;=DATE(2027,7,31)),1,0)</f>
        <v>0</v>
      </c>
    </row>
    <row r="1095" customFormat="false" ht="15" hidden="false" customHeight="false" outlineLevel="0" collapsed="false">
      <c r="A1095" s="22" t="n">
        <v>71</v>
      </c>
      <c r="B1095" s="23" t="n">
        <v>45368</v>
      </c>
      <c r="C1095" s="28" t="n">
        <v>4750000000</v>
      </c>
      <c r="D1095" s="28" t="n">
        <v>63681666.6666667</v>
      </c>
      <c r="E1095" s="28" t="n">
        <v>62500000</v>
      </c>
      <c r="F1095" s="28" t="n">
        <v>126181666.666667</v>
      </c>
      <c r="G1095" s="28" t="n">
        <v>4687500000</v>
      </c>
      <c r="H1095" s="25" t="n">
        <f aca="false">J1094</f>
        <v>4750000000</v>
      </c>
      <c r="I1095" s="25" t="n">
        <f aca="false">H1095*N1095</f>
        <v>63681666.6666667</v>
      </c>
      <c r="J1095" s="25" t="n">
        <f aca="false">H1095-E1095</f>
        <v>4687500000</v>
      </c>
      <c r="K1095" s="25" t="n">
        <f aca="false">D1095-I1095</f>
        <v>0</v>
      </c>
      <c r="L1095" s="25" t="n">
        <f aca="false">G1095-J1095</f>
        <v>0</v>
      </c>
      <c r="M1095" s="25" t="n">
        <f aca="false">F1095</f>
        <v>126181666.666667</v>
      </c>
      <c r="N1095" s="48" t="n">
        <v>0.0134066666666667</v>
      </c>
      <c r="O1095" s="25" t="n">
        <f aca="false">IF(AND(B1095&gt;=DATE(2026,1,1),B1095&lt;=Resumen!$C$5),1,0)</f>
        <v>0</v>
      </c>
      <c r="P1095" s="25" t="n">
        <f aca="false">IF(AND(B1095&gt;Resumen!$C$5,B1095&lt;=DATE(2027,7,31)),1,0)</f>
        <v>0</v>
      </c>
    </row>
    <row r="1096" customFormat="false" ht="15" hidden="false" customHeight="false" outlineLevel="0" collapsed="false">
      <c r="A1096" s="22" t="n">
        <v>72</v>
      </c>
      <c r="B1096" s="23" t="n">
        <v>45399</v>
      </c>
      <c r="C1096" s="28" t="n">
        <v>4687500000</v>
      </c>
      <c r="D1096" s="28" t="n">
        <v>64343750</v>
      </c>
      <c r="E1096" s="28" t="n">
        <v>62500000</v>
      </c>
      <c r="F1096" s="28" t="n">
        <v>126843750</v>
      </c>
      <c r="G1096" s="28" t="n">
        <v>4625000000</v>
      </c>
      <c r="H1096" s="25" t="n">
        <f aca="false">J1095</f>
        <v>4687500000</v>
      </c>
      <c r="I1096" s="25" t="n">
        <f aca="false">H1096*N1096</f>
        <v>64343750</v>
      </c>
      <c r="J1096" s="25" t="n">
        <f aca="false">H1096-E1096</f>
        <v>4625000000</v>
      </c>
      <c r="K1096" s="25" t="n">
        <f aca="false">D1096-I1096</f>
        <v>0</v>
      </c>
      <c r="L1096" s="25" t="n">
        <f aca="false">G1096-J1096</f>
        <v>0</v>
      </c>
      <c r="M1096" s="25" t="n">
        <f aca="false">F1096</f>
        <v>126843750</v>
      </c>
      <c r="N1096" s="48" t="n">
        <v>0.0137266666666667</v>
      </c>
      <c r="O1096" s="25" t="n">
        <f aca="false">IF(AND(B1096&gt;=DATE(2026,1,1),B1096&lt;=Resumen!$C$5),1,0)</f>
        <v>0</v>
      </c>
      <c r="P1096" s="25" t="n">
        <f aca="false">IF(AND(B1096&gt;Resumen!$C$5,B1096&lt;=DATE(2027,7,31)),1,0)</f>
        <v>0</v>
      </c>
    </row>
    <row r="1097" customFormat="false" ht="15" hidden="false" customHeight="false" outlineLevel="0" collapsed="false">
      <c r="A1097" s="22" t="n">
        <v>73</v>
      </c>
      <c r="B1097" s="23" t="n">
        <v>45429</v>
      </c>
      <c r="C1097" s="28" t="n">
        <v>4625000000</v>
      </c>
      <c r="D1097" s="28" t="n">
        <v>63339375</v>
      </c>
      <c r="E1097" s="28" t="n">
        <v>62500000</v>
      </c>
      <c r="F1097" s="28" t="n">
        <v>125839375</v>
      </c>
      <c r="G1097" s="28" t="n">
        <v>4562500000</v>
      </c>
      <c r="H1097" s="25" t="n">
        <f aca="false">J1096</f>
        <v>4625000000</v>
      </c>
      <c r="I1097" s="25" t="n">
        <f aca="false">H1097*N1097</f>
        <v>63339375</v>
      </c>
      <c r="J1097" s="25" t="n">
        <f aca="false">H1097-E1097</f>
        <v>4562500000</v>
      </c>
      <c r="K1097" s="25" t="n">
        <f aca="false">D1097-I1097</f>
        <v>0</v>
      </c>
      <c r="L1097" s="25" t="n">
        <f aca="false">G1097-J1097</f>
        <v>0</v>
      </c>
      <c r="M1097" s="25" t="n">
        <f aca="false">F1097</f>
        <v>125839375</v>
      </c>
      <c r="N1097" s="48" t="n">
        <v>0.013695</v>
      </c>
      <c r="O1097" s="25" t="n">
        <f aca="false">IF(AND(B1097&gt;=DATE(2026,1,1),B1097&lt;=Resumen!$C$5),1,0)</f>
        <v>0</v>
      </c>
      <c r="P1097" s="25" t="n">
        <f aca="false">IF(AND(B1097&gt;Resumen!$C$5,B1097&lt;=DATE(2027,7,31)),1,0)</f>
        <v>0</v>
      </c>
    </row>
    <row r="1098" customFormat="false" ht="15" hidden="false" customHeight="false" outlineLevel="0" collapsed="false">
      <c r="A1098" s="22" t="n">
        <v>74</v>
      </c>
      <c r="B1098" s="23" t="n">
        <v>45460</v>
      </c>
      <c r="C1098" s="28" t="n">
        <v>4562500000</v>
      </c>
      <c r="D1098" s="28" t="n">
        <v>57563541.6666667</v>
      </c>
      <c r="E1098" s="28" t="n">
        <v>62500000</v>
      </c>
      <c r="F1098" s="28" t="n">
        <v>120063541.666667</v>
      </c>
      <c r="G1098" s="28" t="n">
        <v>4500000000</v>
      </c>
      <c r="H1098" s="25" t="n">
        <f aca="false">J1097</f>
        <v>4562500000</v>
      </c>
      <c r="I1098" s="25" t="n">
        <f aca="false">H1098*N1098</f>
        <v>57563541.6666667</v>
      </c>
      <c r="J1098" s="25" t="n">
        <f aca="false">H1098-E1098</f>
        <v>4500000000</v>
      </c>
      <c r="K1098" s="25" t="n">
        <f aca="false">D1098-I1098</f>
        <v>0</v>
      </c>
      <c r="L1098" s="25" t="n">
        <f aca="false">G1098-J1098</f>
        <v>0</v>
      </c>
      <c r="M1098" s="25" t="n">
        <f aca="false">F1098</f>
        <v>120063541.666667</v>
      </c>
      <c r="N1098" s="48" t="n">
        <v>0.0126166666666667</v>
      </c>
      <c r="O1098" s="25" t="n">
        <f aca="false">IF(AND(B1098&gt;=DATE(2026,1,1),B1098&lt;=Resumen!$C$5),1,0)</f>
        <v>0</v>
      </c>
      <c r="P1098" s="25" t="n">
        <f aca="false">IF(AND(B1098&gt;Resumen!$C$5,B1098&lt;=DATE(2027,7,31)),1,0)</f>
        <v>0</v>
      </c>
    </row>
    <row r="1099" customFormat="false" ht="15" hidden="false" customHeight="false" outlineLevel="0" collapsed="false">
      <c r="A1099" s="22" t="n">
        <v>75</v>
      </c>
      <c r="B1099" s="23" t="n">
        <v>45490</v>
      </c>
      <c r="C1099" s="28" t="n">
        <v>4500000000</v>
      </c>
      <c r="D1099" s="28" t="n">
        <v>57892500</v>
      </c>
      <c r="E1099" s="28" t="n">
        <v>62500000</v>
      </c>
      <c r="F1099" s="28" t="n">
        <v>120392500</v>
      </c>
      <c r="G1099" s="28" t="n">
        <v>4437500000</v>
      </c>
      <c r="H1099" s="25" t="n">
        <f aca="false">J1098</f>
        <v>4500000000</v>
      </c>
      <c r="I1099" s="25" t="n">
        <f aca="false">H1099*N1099</f>
        <v>57892500</v>
      </c>
      <c r="J1099" s="25" t="n">
        <f aca="false">H1099-E1099</f>
        <v>4437500000</v>
      </c>
      <c r="K1099" s="25" t="n">
        <f aca="false">D1099-I1099</f>
        <v>0</v>
      </c>
      <c r="L1099" s="25" t="n">
        <f aca="false">G1099-J1099</f>
        <v>0</v>
      </c>
      <c r="M1099" s="25" t="n">
        <f aca="false">F1099</f>
        <v>120392500</v>
      </c>
      <c r="N1099" s="48" t="n">
        <v>0.012865</v>
      </c>
      <c r="O1099" s="25" t="n">
        <f aca="false">IF(AND(B1099&gt;=DATE(2026,1,1),B1099&lt;=Resumen!$C$5),1,0)</f>
        <v>0</v>
      </c>
      <c r="P1099" s="25" t="n">
        <f aca="false">IF(AND(B1099&gt;Resumen!$C$5,B1099&lt;=DATE(2027,7,31)),1,0)</f>
        <v>0</v>
      </c>
    </row>
    <row r="1100" customFormat="false" ht="15" hidden="false" customHeight="false" outlineLevel="0" collapsed="false">
      <c r="A1100" s="22" t="n">
        <v>76</v>
      </c>
      <c r="B1100" s="23" t="n">
        <v>45521</v>
      </c>
      <c r="C1100" s="28" t="n">
        <v>4437500000</v>
      </c>
      <c r="D1100" s="28" t="n">
        <v>57069947.9166667</v>
      </c>
      <c r="E1100" s="28" t="n">
        <v>62500000</v>
      </c>
      <c r="F1100" s="28" t="n">
        <v>119569947.916667</v>
      </c>
      <c r="G1100" s="28" t="n">
        <v>4375000000</v>
      </c>
      <c r="H1100" s="25" t="n">
        <f aca="false">J1099</f>
        <v>4437500000</v>
      </c>
      <c r="I1100" s="25" t="n">
        <f aca="false">H1100*N1100</f>
        <v>57069947.9166667</v>
      </c>
      <c r="J1100" s="25" t="n">
        <f aca="false">H1100-E1100</f>
        <v>4375000000</v>
      </c>
      <c r="K1100" s="25" t="n">
        <f aca="false">D1100-I1100</f>
        <v>0</v>
      </c>
      <c r="L1100" s="25" t="n">
        <f aca="false">G1100-J1100</f>
        <v>0</v>
      </c>
      <c r="M1100" s="25" t="n">
        <f aca="false">F1100</f>
        <v>119569947.916667</v>
      </c>
      <c r="N1100" s="48" t="n">
        <v>0.0128608333333333</v>
      </c>
      <c r="O1100" s="25" t="n">
        <f aca="false">IF(AND(B1100&gt;=DATE(2026,1,1),B1100&lt;=Resumen!$C$5),1,0)</f>
        <v>0</v>
      </c>
      <c r="P1100" s="25" t="n">
        <f aca="false">IF(AND(B1100&gt;Resumen!$C$5,B1100&lt;=DATE(2027,7,31)),1,0)</f>
        <v>0</v>
      </c>
    </row>
    <row r="1101" customFormat="false" ht="15" hidden="false" customHeight="false" outlineLevel="0" collapsed="false">
      <c r="A1101" s="22" t="n">
        <v>77</v>
      </c>
      <c r="B1101" s="23" t="n">
        <v>45552</v>
      </c>
      <c r="C1101" s="28" t="n">
        <v>4375000000</v>
      </c>
      <c r="D1101" s="28" t="n">
        <v>52190104.1666667</v>
      </c>
      <c r="E1101" s="28" t="n">
        <v>62500000</v>
      </c>
      <c r="F1101" s="28" t="n">
        <v>114690104.166667</v>
      </c>
      <c r="G1101" s="28" t="n">
        <v>4312500000</v>
      </c>
      <c r="H1101" s="25" t="n">
        <f aca="false">J1100</f>
        <v>4375000000</v>
      </c>
      <c r="I1101" s="25" t="n">
        <f aca="false">H1101*N1101</f>
        <v>52190104.1666667</v>
      </c>
      <c r="J1101" s="25" t="n">
        <f aca="false">H1101-E1101</f>
        <v>4312500000</v>
      </c>
      <c r="K1101" s="25" t="n">
        <f aca="false">D1101-I1101</f>
        <v>0</v>
      </c>
      <c r="L1101" s="25" t="n">
        <f aca="false">G1101-J1101</f>
        <v>0</v>
      </c>
      <c r="M1101" s="25" t="n">
        <f aca="false">F1101</f>
        <v>114690104.166667</v>
      </c>
      <c r="N1101" s="48" t="n">
        <v>0.0119291666666667</v>
      </c>
      <c r="O1101" s="25" t="n">
        <f aca="false">IF(AND(B1101&gt;=DATE(2026,1,1),B1101&lt;=Resumen!$C$5),1,0)</f>
        <v>0</v>
      </c>
      <c r="P1101" s="25" t="n">
        <f aca="false">IF(AND(B1101&gt;Resumen!$C$5,B1101&lt;=DATE(2027,7,31)),1,0)</f>
        <v>0</v>
      </c>
    </row>
    <row r="1102" customFormat="false" ht="15" hidden="false" customHeight="false" outlineLevel="0" collapsed="false">
      <c r="A1102" s="22" t="n">
        <v>78</v>
      </c>
      <c r="B1102" s="23" t="n">
        <v>45582</v>
      </c>
      <c r="C1102" s="28" t="n">
        <v>4312500000</v>
      </c>
      <c r="D1102" s="28" t="n">
        <v>49827343.75</v>
      </c>
      <c r="E1102" s="28" t="n">
        <v>62500000</v>
      </c>
      <c r="F1102" s="28" t="n">
        <v>112327343.75</v>
      </c>
      <c r="G1102" s="28" t="n">
        <v>4250000000</v>
      </c>
      <c r="H1102" s="25" t="n">
        <f aca="false">J1101</f>
        <v>4312500000</v>
      </c>
      <c r="I1102" s="25" t="n">
        <f aca="false">H1102*N1102</f>
        <v>49827343.75</v>
      </c>
      <c r="J1102" s="25" t="n">
        <f aca="false">H1102-E1102</f>
        <v>4250000000</v>
      </c>
      <c r="K1102" s="25" t="n">
        <f aca="false">D1102-I1102</f>
        <v>0</v>
      </c>
      <c r="L1102" s="25" t="n">
        <f aca="false">G1102-J1102</f>
        <v>0</v>
      </c>
      <c r="M1102" s="25" t="n">
        <f aca="false">F1102</f>
        <v>112327343.75</v>
      </c>
      <c r="N1102" s="48" t="n">
        <v>0.0115541666666667</v>
      </c>
      <c r="O1102" s="25" t="n">
        <f aca="false">IF(AND(B1102&gt;=DATE(2026,1,1),B1102&lt;=Resumen!$C$5),1,0)</f>
        <v>0</v>
      </c>
      <c r="P1102" s="25" t="n">
        <f aca="false">IF(AND(B1102&gt;Resumen!$C$5,B1102&lt;=DATE(2027,7,31)),1,0)</f>
        <v>0</v>
      </c>
    </row>
    <row r="1103" customFormat="false" ht="15" hidden="false" customHeight="false" outlineLevel="0" collapsed="false">
      <c r="A1103" s="22" t="n">
        <v>79</v>
      </c>
      <c r="B1103" s="23" t="n">
        <v>45613</v>
      </c>
      <c r="C1103" s="28" t="n">
        <v>4250000000</v>
      </c>
      <c r="D1103" s="28" t="n">
        <v>48761666.6666667</v>
      </c>
      <c r="E1103" s="28" t="n">
        <v>62500000</v>
      </c>
      <c r="F1103" s="28" t="n">
        <v>111261666.666667</v>
      </c>
      <c r="G1103" s="28" t="n">
        <v>4187500000</v>
      </c>
      <c r="H1103" s="25" t="n">
        <f aca="false">J1102</f>
        <v>4250000000</v>
      </c>
      <c r="I1103" s="25" t="n">
        <f aca="false">H1103*N1103</f>
        <v>48761666.6666667</v>
      </c>
      <c r="J1103" s="25" t="n">
        <f aca="false">H1103-E1103</f>
        <v>4187500000</v>
      </c>
      <c r="K1103" s="25" t="n">
        <f aca="false">D1103-I1103</f>
        <v>0</v>
      </c>
      <c r="L1103" s="25" t="n">
        <f aca="false">G1103-J1103</f>
        <v>0</v>
      </c>
      <c r="M1103" s="25" t="n">
        <f aca="false">F1103</f>
        <v>111261666.666667</v>
      </c>
      <c r="N1103" s="48" t="n">
        <v>0.0114733333333333</v>
      </c>
      <c r="O1103" s="25" t="n">
        <f aca="false">IF(AND(B1103&gt;=DATE(2026,1,1),B1103&lt;=Resumen!$C$5),1,0)</f>
        <v>0</v>
      </c>
      <c r="P1103" s="25" t="n">
        <f aca="false">IF(AND(B1103&gt;Resumen!$C$5,B1103&lt;=DATE(2027,7,31)),1,0)</f>
        <v>0</v>
      </c>
    </row>
    <row r="1104" customFormat="false" ht="15" hidden="false" customHeight="false" outlineLevel="0" collapsed="false">
      <c r="A1104" s="22" t="n">
        <v>80</v>
      </c>
      <c r="B1104" s="23" t="n">
        <v>45643</v>
      </c>
      <c r="C1104" s="28" t="n">
        <v>4187500000</v>
      </c>
      <c r="D1104" s="28" t="n">
        <v>47775885.4166667</v>
      </c>
      <c r="E1104" s="28" t="n">
        <v>62500000</v>
      </c>
      <c r="F1104" s="28" t="n">
        <v>110275885.416667</v>
      </c>
      <c r="G1104" s="28" t="n">
        <v>4125000000</v>
      </c>
      <c r="H1104" s="25" t="n">
        <f aca="false">J1103</f>
        <v>4187500000</v>
      </c>
      <c r="I1104" s="25" t="n">
        <f aca="false">H1104*N1104</f>
        <v>47775885.4166667</v>
      </c>
      <c r="J1104" s="25" t="n">
        <f aca="false">H1104-E1104</f>
        <v>4125000000</v>
      </c>
      <c r="K1104" s="25" t="n">
        <f aca="false">D1104-I1104</f>
        <v>0</v>
      </c>
      <c r="L1104" s="25" t="n">
        <f aca="false">G1104-J1104</f>
        <v>0</v>
      </c>
      <c r="M1104" s="25" t="n">
        <f aca="false">F1104</f>
        <v>110275885.416667</v>
      </c>
      <c r="N1104" s="48" t="n">
        <v>0.0114091666666667</v>
      </c>
      <c r="O1104" s="25" t="n">
        <f aca="false">IF(AND(B1104&gt;=DATE(2026,1,1),B1104&lt;=Resumen!$C$5),1,0)</f>
        <v>0</v>
      </c>
      <c r="P1104" s="25" t="n">
        <f aca="false">IF(AND(B1104&gt;Resumen!$C$5,B1104&lt;=DATE(2027,7,31)),1,0)</f>
        <v>0</v>
      </c>
    </row>
    <row r="1105" customFormat="false" ht="15" hidden="false" customHeight="false" outlineLevel="0" collapsed="false">
      <c r="A1105" s="22" t="n">
        <v>81</v>
      </c>
      <c r="B1105" s="23" t="n">
        <v>45674</v>
      </c>
      <c r="C1105" s="28" t="n">
        <v>4125000000</v>
      </c>
      <c r="D1105" s="28" t="n">
        <v>46581562.5</v>
      </c>
      <c r="E1105" s="28" t="n">
        <v>62500000</v>
      </c>
      <c r="F1105" s="28" t="n">
        <v>109081562.5</v>
      </c>
      <c r="G1105" s="28" t="n">
        <v>4062500000</v>
      </c>
      <c r="H1105" s="25" t="n">
        <f aca="false">J1104</f>
        <v>4125000000</v>
      </c>
      <c r="I1105" s="25" t="n">
        <f aca="false">H1105*N1105</f>
        <v>46581562.5</v>
      </c>
      <c r="J1105" s="25" t="n">
        <f aca="false">H1105-E1105</f>
        <v>4062500000</v>
      </c>
      <c r="K1105" s="25" t="n">
        <f aca="false">D1105-I1105</f>
        <v>0</v>
      </c>
      <c r="L1105" s="25" t="n">
        <f aca="false">G1105-J1105</f>
        <v>0</v>
      </c>
      <c r="M1105" s="25" t="n">
        <f aca="false">F1105</f>
        <v>109081562.5</v>
      </c>
      <c r="N1105" s="48" t="n">
        <v>0.0112925</v>
      </c>
      <c r="O1105" s="25" t="n">
        <f aca="false">IF(AND(B1105&gt;=DATE(2026,1,1),B1105&lt;=Resumen!$C$5),1,0)</f>
        <v>0</v>
      </c>
      <c r="P1105" s="25" t="n">
        <f aca="false">IF(AND(B1105&gt;Resumen!$C$5,B1105&lt;=DATE(2027,7,31)),1,0)</f>
        <v>0</v>
      </c>
    </row>
    <row r="1106" customFormat="false" ht="15" hidden="false" customHeight="false" outlineLevel="0" collapsed="false">
      <c r="A1106" s="22" t="n">
        <v>82</v>
      </c>
      <c r="B1106" s="23" t="n">
        <v>45705</v>
      </c>
      <c r="C1106" s="28" t="n">
        <v>4062500000</v>
      </c>
      <c r="D1106" s="28" t="n">
        <v>46302343.75</v>
      </c>
      <c r="E1106" s="28" t="n">
        <v>62500000</v>
      </c>
      <c r="F1106" s="28" t="n">
        <v>108802343.75</v>
      </c>
      <c r="G1106" s="28" t="n">
        <v>4000000000</v>
      </c>
      <c r="H1106" s="25" t="n">
        <f aca="false">J1105</f>
        <v>4062500000</v>
      </c>
      <c r="I1106" s="25" t="n">
        <f aca="false">H1106*N1106</f>
        <v>46302343.75</v>
      </c>
      <c r="J1106" s="25" t="n">
        <f aca="false">H1106-E1106</f>
        <v>4000000000</v>
      </c>
      <c r="K1106" s="25" t="n">
        <f aca="false">D1106-I1106</f>
        <v>0</v>
      </c>
      <c r="L1106" s="25" t="n">
        <f aca="false">G1106-J1106</f>
        <v>0</v>
      </c>
      <c r="M1106" s="25" t="n">
        <f aca="false">F1106</f>
        <v>108802343.75</v>
      </c>
      <c r="N1106" s="48" t="n">
        <v>0.0113975</v>
      </c>
      <c r="O1106" s="25" t="n">
        <f aca="false">IF(AND(B1106&gt;=DATE(2026,1,1),B1106&lt;=Resumen!$C$5),1,0)</f>
        <v>0</v>
      </c>
      <c r="P1106" s="25" t="n">
        <f aca="false">IF(AND(B1106&gt;Resumen!$C$5,B1106&lt;=DATE(2027,7,31)),1,0)</f>
        <v>0</v>
      </c>
    </row>
    <row r="1107" customFormat="false" ht="15" hidden="false" customHeight="false" outlineLevel="0" collapsed="false">
      <c r="A1107" s="22" t="n">
        <v>83</v>
      </c>
      <c r="B1107" s="23" t="n">
        <v>45733</v>
      </c>
      <c r="C1107" s="28" t="n">
        <v>4000000000</v>
      </c>
      <c r="D1107" s="28" t="n">
        <v>45403333.3333333</v>
      </c>
      <c r="E1107" s="28" t="n">
        <v>62500000</v>
      </c>
      <c r="F1107" s="28" t="n">
        <v>107903333.333333</v>
      </c>
      <c r="G1107" s="28" t="n">
        <v>3937500000</v>
      </c>
      <c r="H1107" s="25" t="n">
        <f aca="false">J1106</f>
        <v>4000000000</v>
      </c>
      <c r="I1107" s="25" t="n">
        <f aca="false">H1107*N1107</f>
        <v>45403333.3333333</v>
      </c>
      <c r="J1107" s="25" t="n">
        <f aca="false">H1107-E1107</f>
        <v>3937500000</v>
      </c>
      <c r="K1107" s="25" t="n">
        <f aca="false">D1107-I1107</f>
        <v>0</v>
      </c>
      <c r="L1107" s="25" t="n">
        <f aca="false">G1107-J1107</f>
        <v>0</v>
      </c>
      <c r="M1107" s="25" t="n">
        <f aca="false">F1107</f>
        <v>107903333.333333</v>
      </c>
      <c r="N1107" s="48" t="n">
        <v>0.0113508333333333</v>
      </c>
      <c r="O1107" s="25" t="n">
        <f aca="false">IF(AND(B1107&gt;=DATE(2026,1,1),B1107&lt;=Resumen!$C$5),1,0)</f>
        <v>0</v>
      </c>
      <c r="P1107" s="25" t="n">
        <f aca="false">IF(AND(B1107&gt;Resumen!$C$5,B1107&lt;=DATE(2027,7,31)),1,0)</f>
        <v>0</v>
      </c>
    </row>
    <row r="1108" customFormat="false" ht="15" hidden="false" customHeight="false" outlineLevel="0" collapsed="false">
      <c r="A1108" s="22" t="n">
        <v>84</v>
      </c>
      <c r="B1108" s="23" t="n">
        <v>45764</v>
      </c>
      <c r="C1108" s="28" t="n">
        <v>3937500000</v>
      </c>
      <c r="D1108" s="28" t="n">
        <v>44782500</v>
      </c>
      <c r="E1108" s="28" t="n">
        <v>62500000</v>
      </c>
      <c r="F1108" s="28" t="n">
        <v>107282500</v>
      </c>
      <c r="G1108" s="28" t="n">
        <v>3875000000</v>
      </c>
      <c r="H1108" s="25" t="n">
        <f aca="false">J1107</f>
        <v>3937500000</v>
      </c>
      <c r="I1108" s="25" t="n">
        <f aca="false">H1108*N1108</f>
        <v>44782500</v>
      </c>
      <c r="J1108" s="25" t="n">
        <f aca="false">H1108-E1108</f>
        <v>3875000000</v>
      </c>
      <c r="K1108" s="25" t="n">
        <f aca="false">D1108-I1108</f>
        <v>0</v>
      </c>
      <c r="L1108" s="25" t="n">
        <f aca="false">G1108-J1108</f>
        <v>0</v>
      </c>
      <c r="M1108" s="25" t="n">
        <f aca="false">F1108</f>
        <v>107282500</v>
      </c>
      <c r="N1108" s="48" t="n">
        <v>0.0113733333333333</v>
      </c>
      <c r="O1108" s="25" t="n">
        <f aca="false">IF(AND(B1108&gt;=DATE(2026,1,1),B1108&lt;=Resumen!$C$5),1,0)</f>
        <v>0</v>
      </c>
      <c r="P1108" s="25" t="n">
        <f aca="false">IF(AND(B1108&gt;Resumen!$C$5,B1108&lt;=DATE(2027,7,31)),1,0)</f>
        <v>0</v>
      </c>
    </row>
    <row r="1109" customFormat="false" ht="15" hidden="false" customHeight="false" outlineLevel="0" collapsed="false">
      <c r="A1109" s="22" t="n">
        <v>85</v>
      </c>
      <c r="B1109" s="23" t="n">
        <v>45794</v>
      </c>
      <c r="C1109" s="28" t="n">
        <v>3875000000</v>
      </c>
      <c r="D1109" s="28" t="n">
        <v>43432291.6666667</v>
      </c>
      <c r="E1109" s="28" t="n">
        <v>62500000</v>
      </c>
      <c r="F1109" s="28" t="n">
        <v>105932291.666667</v>
      </c>
      <c r="G1109" s="28" t="n">
        <v>3812500000</v>
      </c>
      <c r="H1109" s="25" t="n">
        <f aca="false">J1108</f>
        <v>3875000000</v>
      </c>
      <c r="I1109" s="25" t="n">
        <f aca="false">H1109*N1109</f>
        <v>43432291.6666667</v>
      </c>
      <c r="J1109" s="25" t="n">
        <f aca="false">H1109-E1109</f>
        <v>3812500000</v>
      </c>
      <c r="K1109" s="25" t="n">
        <f aca="false">D1109-I1109</f>
        <v>0</v>
      </c>
      <c r="L1109" s="25" t="n">
        <f aca="false">G1109-J1109</f>
        <v>0</v>
      </c>
      <c r="M1109" s="25" t="n">
        <f aca="false">F1109</f>
        <v>105932291.666667</v>
      </c>
      <c r="N1109" s="48" t="n">
        <v>0.0112083333333333</v>
      </c>
      <c r="O1109" s="25" t="n">
        <f aca="false">IF(AND(B1109&gt;=DATE(2026,1,1),B1109&lt;=Resumen!$C$5),1,0)</f>
        <v>0</v>
      </c>
      <c r="P1109" s="25" t="n">
        <f aca="false">IF(AND(B1109&gt;Resumen!$C$5,B1109&lt;=DATE(2027,7,31)),1,0)</f>
        <v>0</v>
      </c>
    </row>
    <row r="1110" customFormat="false" ht="15" hidden="false" customHeight="false" outlineLevel="0" collapsed="false">
      <c r="A1110" s="22" t="n">
        <v>86</v>
      </c>
      <c r="B1110" s="23" t="n">
        <v>45825</v>
      </c>
      <c r="C1110" s="28" t="n">
        <v>3812500000</v>
      </c>
      <c r="D1110" s="28" t="n">
        <v>42614218.75</v>
      </c>
      <c r="E1110" s="28" t="n">
        <v>62500000</v>
      </c>
      <c r="F1110" s="28" t="n">
        <v>105114218.75</v>
      </c>
      <c r="G1110" s="28" t="n">
        <v>3750000000</v>
      </c>
      <c r="H1110" s="25" t="n">
        <f aca="false">J1109</f>
        <v>3812500000</v>
      </c>
      <c r="I1110" s="25" t="n">
        <f aca="false">H1110*N1110</f>
        <v>42614218.75</v>
      </c>
      <c r="J1110" s="25" t="n">
        <f aca="false">H1110-E1110</f>
        <v>3750000000</v>
      </c>
      <c r="K1110" s="25" t="n">
        <f aca="false">D1110-I1110</f>
        <v>0</v>
      </c>
      <c r="L1110" s="25" t="n">
        <f aca="false">G1110-J1110</f>
        <v>0</v>
      </c>
      <c r="M1110" s="25" t="n">
        <f aca="false">F1110</f>
        <v>105114218.75</v>
      </c>
      <c r="N1110" s="48" t="n">
        <v>0.0111775</v>
      </c>
      <c r="O1110" s="25" t="n">
        <f aca="false">IF(AND(B1110&gt;=DATE(2026,1,1),B1110&lt;=Resumen!$C$5),1,0)</f>
        <v>0</v>
      </c>
      <c r="P1110" s="25" t="n">
        <f aca="false">IF(AND(B1110&gt;Resumen!$C$5,B1110&lt;=DATE(2027,7,31)),1,0)</f>
        <v>0</v>
      </c>
    </row>
    <row r="1111" customFormat="false" ht="15" hidden="false" customHeight="false" outlineLevel="0" collapsed="false">
      <c r="A1111" s="22" t="n">
        <v>87</v>
      </c>
      <c r="B1111" s="23" t="n">
        <v>45855</v>
      </c>
      <c r="C1111" s="28" t="n">
        <v>3750000000</v>
      </c>
      <c r="D1111" s="28" t="n">
        <v>41568750</v>
      </c>
      <c r="E1111" s="28" t="n">
        <v>62500000</v>
      </c>
      <c r="F1111" s="28" t="n">
        <v>104068750</v>
      </c>
      <c r="G1111" s="28" t="n">
        <v>3687500000</v>
      </c>
      <c r="H1111" s="25" t="n">
        <f aca="false">J1110</f>
        <v>3750000000</v>
      </c>
      <c r="I1111" s="25" t="n">
        <f aca="false">H1111*N1111</f>
        <v>41568750</v>
      </c>
      <c r="J1111" s="25" t="n">
        <f aca="false">H1111-E1111</f>
        <v>3687500000</v>
      </c>
      <c r="K1111" s="25" t="n">
        <f aca="false">D1111-I1111</f>
        <v>0</v>
      </c>
      <c r="L1111" s="25" t="n">
        <f aca="false">G1111-J1111</f>
        <v>0</v>
      </c>
      <c r="M1111" s="25" t="n">
        <f aca="false">F1111</f>
        <v>104068750</v>
      </c>
      <c r="N1111" s="48" t="n">
        <v>0.011085</v>
      </c>
      <c r="O1111" s="25" t="n">
        <f aca="false">IF(AND(B1111&gt;=DATE(2026,1,1),B1111&lt;=Resumen!$C$5),1,0)</f>
        <v>0</v>
      </c>
      <c r="P1111" s="25" t="n">
        <f aca="false">IF(AND(B1111&gt;Resumen!$C$5,B1111&lt;=DATE(2027,7,31)),1,0)</f>
        <v>0</v>
      </c>
    </row>
    <row r="1112" customFormat="false" ht="15" hidden="false" customHeight="false" outlineLevel="0" collapsed="false">
      <c r="A1112" s="22" t="n">
        <v>88</v>
      </c>
      <c r="B1112" s="23" t="n">
        <v>45886</v>
      </c>
      <c r="C1112" s="28" t="n">
        <v>3687500000</v>
      </c>
      <c r="D1112" s="28" t="n">
        <v>41358385.4166667</v>
      </c>
      <c r="E1112" s="28" t="n">
        <v>62500000</v>
      </c>
      <c r="F1112" s="28" t="n">
        <v>103858385.416667</v>
      </c>
      <c r="G1112" s="28" t="n">
        <v>3625000000</v>
      </c>
      <c r="H1112" s="25" t="n">
        <f aca="false">J1111</f>
        <v>3687500000</v>
      </c>
      <c r="I1112" s="25" t="n">
        <f aca="false">H1112*N1112</f>
        <v>41358385.4166667</v>
      </c>
      <c r="J1112" s="25" t="n">
        <f aca="false">H1112-E1112</f>
        <v>3625000000</v>
      </c>
      <c r="K1112" s="25" t="n">
        <f aca="false">D1112-I1112</f>
        <v>0</v>
      </c>
      <c r="L1112" s="25" t="n">
        <f aca="false">G1112-J1112</f>
        <v>0</v>
      </c>
      <c r="M1112" s="25" t="n">
        <f aca="false">F1112</f>
        <v>103858385.416667</v>
      </c>
      <c r="N1112" s="48" t="n">
        <v>0.0112158333333333</v>
      </c>
      <c r="O1112" s="25" t="n">
        <f aca="false">IF(AND(B1112&gt;=DATE(2026,1,1),B1112&lt;=Resumen!$C$5),1,0)</f>
        <v>0</v>
      </c>
      <c r="P1112" s="25" t="n">
        <f aca="false">IF(AND(B1112&gt;Resumen!$C$5,B1112&lt;=DATE(2027,7,31)),1,0)</f>
        <v>0</v>
      </c>
    </row>
    <row r="1113" customFormat="false" ht="15" hidden="false" customHeight="false" outlineLevel="0" collapsed="false">
      <c r="A1113" s="22" t="n">
        <v>89</v>
      </c>
      <c r="B1113" s="23" t="n">
        <v>45917</v>
      </c>
      <c r="C1113" s="28" t="n">
        <v>3625000000</v>
      </c>
      <c r="D1113" s="28" t="n">
        <v>40639270.8333333</v>
      </c>
      <c r="E1113" s="28" t="n">
        <v>62500000</v>
      </c>
      <c r="F1113" s="28" t="n">
        <v>103139270.833333</v>
      </c>
      <c r="G1113" s="28" t="n">
        <v>3562500000</v>
      </c>
      <c r="H1113" s="25" t="n">
        <f aca="false">J1112</f>
        <v>3625000000</v>
      </c>
      <c r="I1113" s="25" t="n">
        <f aca="false">H1113*N1113</f>
        <v>40639270.8333333</v>
      </c>
      <c r="J1113" s="25" t="n">
        <f aca="false">H1113-E1113</f>
        <v>3562500000</v>
      </c>
      <c r="K1113" s="25" t="n">
        <f aca="false">D1113-I1113</f>
        <v>0</v>
      </c>
      <c r="L1113" s="25" t="n">
        <f aca="false">G1113-J1113</f>
        <v>0</v>
      </c>
      <c r="M1113" s="25" t="n">
        <f aca="false">F1113</f>
        <v>103139270.833333</v>
      </c>
      <c r="N1113" s="48" t="n">
        <v>0.0112108333333333</v>
      </c>
      <c r="O1113" s="25" t="n">
        <f aca="false">IF(AND(B1113&gt;=DATE(2026,1,1),B1113&lt;=Resumen!$C$5),1,0)</f>
        <v>0</v>
      </c>
      <c r="P1113" s="25" t="n">
        <f aca="false">IF(AND(B1113&gt;Resumen!$C$5,B1113&lt;=DATE(2027,7,31)),1,0)</f>
        <v>0</v>
      </c>
    </row>
    <row r="1114" customFormat="false" ht="15" hidden="false" customHeight="false" outlineLevel="0" collapsed="false">
      <c r="A1114" s="22" t="n">
        <v>90</v>
      </c>
      <c r="B1114" s="23" t="n">
        <v>45947</v>
      </c>
      <c r="C1114" s="28" t="n">
        <v>3562500000</v>
      </c>
      <c r="D1114" s="28" t="n">
        <v>39950468.75</v>
      </c>
      <c r="E1114" s="28" t="n">
        <v>62500000</v>
      </c>
      <c r="F1114" s="28" t="n">
        <v>102450468.75</v>
      </c>
      <c r="G1114" s="28" t="n">
        <v>3500000000</v>
      </c>
      <c r="H1114" s="25" t="n">
        <f aca="false">J1113</f>
        <v>3562500000</v>
      </c>
      <c r="I1114" s="25" t="n">
        <f aca="false">H1114*N1114</f>
        <v>39950468.75</v>
      </c>
      <c r="J1114" s="25" t="n">
        <f aca="false">H1114-E1114</f>
        <v>3500000000</v>
      </c>
      <c r="K1114" s="25" t="n">
        <f aca="false">D1114-I1114</f>
        <v>0</v>
      </c>
      <c r="L1114" s="25" t="n">
        <f aca="false">G1114-J1114</f>
        <v>0</v>
      </c>
      <c r="M1114" s="25" t="n">
        <f aca="false">F1114</f>
        <v>102450468.75</v>
      </c>
      <c r="N1114" s="48" t="n">
        <v>0.0112141666666667</v>
      </c>
      <c r="O1114" s="25" t="n">
        <f aca="false">IF(AND(B1114&gt;=DATE(2026,1,1),B1114&lt;=Resumen!$C$5),1,0)</f>
        <v>0</v>
      </c>
      <c r="P1114" s="25" t="n">
        <f aca="false">IF(AND(B1114&gt;Resumen!$C$5,B1114&lt;=DATE(2027,7,31)),1,0)</f>
        <v>0</v>
      </c>
    </row>
    <row r="1115" customFormat="false" ht="15" hidden="false" customHeight="false" outlineLevel="0" collapsed="false">
      <c r="A1115" s="22" t="n">
        <v>91</v>
      </c>
      <c r="B1115" s="23" t="n">
        <v>45978</v>
      </c>
      <c r="C1115" s="28" t="n">
        <v>3500000000</v>
      </c>
      <c r="D1115" s="28" t="n">
        <v>39272916.6666667</v>
      </c>
      <c r="E1115" s="28" t="n">
        <v>62500000</v>
      </c>
      <c r="F1115" s="28" t="n">
        <v>101772916.666667</v>
      </c>
      <c r="G1115" s="28" t="n">
        <v>3437500000</v>
      </c>
      <c r="H1115" s="25" t="n">
        <f aca="false">J1114</f>
        <v>3500000000</v>
      </c>
      <c r="I1115" s="25" t="n">
        <f aca="false">H1115*N1115</f>
        <v>39272916.6666667</v>
      </c>
      <c r="J1115" s="25" t="n">
        <f aca="false">H1115-E1115</f>
        <v>3437500000</v>
      </c>
      <c r="K1115" s="25" t="n">
        <f aca="false">D1115-I1115</f>
        <v>0</v>
      </c>
      <c r="L1115" s="25" t="n">
        <f aca="false">G1115-J1115</f>
        <v>0</v>
      </c>
      <c r="M1115" s="25" t="n">
        <f aca="false">F1115</f>
        <v>101772916.666667</v>
      </c>
      <c r="N1115" s="48" t="n">
        <v>0.0112208333333333</v>
      </c>
      <c r="O1115" s="25" t="n">
        <f aca="false">IF(AND(B1115&gt;=DATE(2026,1,1),B1115&lt;=Resumen!$C$5),1,0)</f>
        <v>0</v>
      </c>
      <c r="P1115" s="25" t="n">
        <f aca="false">IF(AND(B1115&gt;Resumen!$C$5,B1115&lt;=DATE(2027,7,31)),1,0)</f>
        <v>0</v>
      </c>
    </row>
    <row r="1116" customFormat="false" ht="15" hidden="false" customHeight="false" outlineLevel="0" collapsed="false">
      <c r="A1116" s="22" t="n">
        <v>92</v>
      </c>
      <c r="B1116" s="23" t="n">
        <v>46008</v>
      </c>
      <c r="C1116" s="28" t="n">
        <v>3437500000</v>
      </c>
      <c r="D1116" s="28" t="n">
        <v>38972656.25</v>
      </c>
      <c r="E1116" s="28" t="n">
        <v>62500000</v>
      </c>
      <c r="F1116" s="28" t="n">
        <v>101472656.25</v>
      </c>
      <c r="G1116" s="28" t="n">
        <v>3375000000</v>
      </c>
      <c r="H1116" s="25" t="n">
        <f aca="false">J1115</f>
        <v>3437500000</v>
      </c>
      <c r="I1116" s="25" t="n">
        <f aca="false">H1116*N1116</f>
        <v>38972656.25</v>
      </c>
      <c r="J1116" s="25" t="n">
        <f aca="false">H1116-E1116</f>
        <v>3375000000</v>
      </c>
      <c r="K1116" s="25" t="n">
        <f aca="false">D1116-I1116</f>
        <v>0</v>
      </c>
      <c r="L1116" s="25" t="n">
        <f aca="false">G1116-J1116</f>
        <v>0</v>
      </c>
      <c r="M1116" s="25" t="n">
        <f aca="false">F1116</f>
        <v>101472656.25</v>
      </c>
      <c r="N1116" s="48" t="n">
        <v>0.0113375</v>
      </c>
      <c r="O1116" s="25" t="n">
        <f aca="false">IF(AND(B1116&gt;=DATE(2026,1,1),B1116&lt;=Resumen!$C$5),1,0)</f>
        <v>0</v>
      </c>
      <c r="P1116" s="25" t="n">
        <f aca="false">IF(AND(B1116&gt;Resumen!$C$5,B1116&lt;=DATE(2027,7,31)),1,0)</f>
        <v>0</v>
      </c>
    </row>
    <row r="1117" customFormat="false" ht="15" hidden="false" customHeight="false" outlineLevel="0" collapsed="false">
      <c r="A1117" s="22" t="n">
        <v>93</v>
      </c>
      <c r="B1117" s="23" t="n">
        <v>46039</v>
      </c>
      <c r="C1117" s="28" t="n">
        <v>3375000000</v>
      </c>
      <c r="D1117" s="28" t="n">
        <v>39304687.5</v>
      </c>
      <c r="E1117" s="28" t="n">
        <v>62500000</v>
      </c>
      <c r="F1117" s="28" t="n">
        <v>101804687.5</v>
      </c>
      <c r="G1117" s="28" t="n">
        <v>3312500000</v>
      </c>
      <c r="H1117" s="25" t="n">
        <f aca="false">J1116</f>
        <v>3375000000</v>
      </c>
      <c r="I1117" s="25" t="n">
        <f aca="false">H1117*N1117</f>
        <v>39304687.5</v>
      </c>
      <c r="J1117" s="25" t="n">
        <f aca="false">H1117-E1117</f>
        <v>3312500000</v>
      </c>
      <c r="K1117" s="25" t="n">
        <f aca="false">D1117-I1117</f>
        <v>0</v>
      </c>
      <c r="L1117" s="25" t="n">
        <f aca="false">G1117-J1117</f>
        <v>0</v>
      </c>
      <c r="M1117" s="25" t="n">
        <f aca="false">F1117</f>
        <v>101804687.5</v>
      </c>
      <c r="N1117" s="48" t="n">
        <v>0.0116458333333333</v>
      </c>
      <c r="O1117" s="25" t="n">
        <f aca="false">IF(AND(B1117&gt;=DATE(2026,1,1),B1117&lt;=Resumen!$C$5),1,0)</f>
        <v>1</v>
      </c>
      <c r="P1117" s="25" t="n">
        <f aca="false">IF(AND(B1117&gt;Resumen!$C$5,B1117&lt;=DATE(2027,7,31)),1,0)</f>
        <v>0</v>
      </c>
    </row>
    <row r="1118" customFormat="false" ht="15" hidden="false" customHeight="false" outlineLevel="0" collapsed="false">
      <c r="A1118" s="22" t="n">
        <v>94</v>
      </c>
      <c r="B1118" s="23" t="n">
        <v>46070</v>
      </c>
      <c r="C1118" s="28" t="n">
        <v>3312500000</v>
      </c>
      <c r="D1118" s="28" t="n">
        <v>39774843.75</v>
      </c>
      <c r="E1118" s="28" t="n">
        <v>62500000</v>
      </c>
      <c r="F1118" s="28" t="n">
        <v>102274843.75</v>
      </c>
      <c r="G1118" s="28" t="n">
        <v>3250000000</v>
      </c>
      <c r="H1118" s="25" t="n">
        <f aca="false">J1117</f>
        <v>3312500000</v>
      </c>
      <c r="I1118" s="25" t="n">
        <f aca="false">H1118*N1118</f>
        <v>39774843.75</v>
      </c>
      <c r="J1118" s="25" t="n">
        <f aca="false">H1118-E1118</f>
        <v>3250000000</v>
      </c>
      <c r="K1118" s="25" t="n">
        <f aca="false">D1118-I1118</f>
        <v>0</v>
      </c>
      <c r="L1118" s="25" t="n">
        <f aca="false">G1118-J1118</f>
        <v>0</v>
      </c>
      <c r="M1118" s="25" t="n">
        <f aca="false">F1118</f>
        <v>102274843.75</v>
      </c>
      <c r="N1118" s="48" t="n">
        <v>0.0120075</v>
      </c>
      <c r="O1118" s="25" t="n">
        <f aca="false">IF(AND(B1118&gt;=DATE(2026,1,1),B1118&lt;=Resumen!$C$5),1,0)</f>
        <v>1</v>
      </c>
      <c r="P1118" s="25" t="n">
        <f aca="false">IF(AND(B1118&gt;Resumen!$C$5,B1118&lt;=DATE(2027,7,31)),1,0)</f>
        <v>0</v>
      </c>
    </row>
    <row r="1119" customFormat="false" ht="15" hidden="false" customHeight="false" outlineLevel="0" collapsed="false">
      <c r="A1119" s="22" t="n">
        <v>95</v>
      </c>
      <c r="B1119" s="23" t="n">
        <v>46098</v>
      </c>
      <c r="C1119" s="28" t="n">
        <v>3250000000</v>
      </c>
      <c r="D1119" s="28" t="n">
        <v>41315625</v>
      </c>
      <c r="E1119" s="28" t="n">
        <v>62500000</v>
      </c>
      <c r="F1119" s="28" t="n">
        <v>103815625</v>
      </c>
      <c r="G1119" s="28" t="n">
        <v>3187500000</v>
      </c>
      <c r="H1119" s="25" t="n">
        <f aca="false">J1118</f>
        <v>3250000000</v>
      </c>
      <c r="I1119" s="25" t="n">
        <f aca="false">H1119*N1119</f>
        <v>41315625</v>
      </c>
      <c r="J1119" s="25" t="n">
        <f aca="false">H1119-E1119</f>
        <v>3187500000</v>
      </c>
      <c r="K1119" s="25" t="n">
        <f aca="false">D1119-I1119</f>
        <v>0</v>
      </c>
      <c r="L1119" s="25" t="n">
        <f aca="false">G1119-J1119</f>
        <v>0</v>
      </c>
      <c r="M1119" s="25" t="n">
        <f aca="false">F1119</f>
        <v>103815625</v>
      </c>
      <c r="N1119" s="48" t="n">
        <v>0.0127125</v>
      </c>
      <c r="O1119" s="25" t="n">
        <f aca="false">IF(AND(B1119&gt;=DATE(2026,1,1),B1119&lt;=Resumen!$C$5),1,0)</f>
        <v>1</v>
      </c>
      <c r="P1119" s="25" t="n">
        <f aca="false">IF(AND(B1119&gt;Resumen!$C$5,B1119&lt;=DATE(2027,7,31)),1,0)</f>
        <v>0</v>
      </c>
    </row>
    <row r="1120" customFormat="false" ht="15" hidden="false" customHeight="false" outlineLevel="0" collapsed="false">
      <c r="A1120" s="22" t="n">
        <v>96</v>
      </c>
      <c r="B1120" s="23" t="n">
        <v>46129</v>
      </c>
      <c r="C1120" s="28" t="n">
        <v>3187500000</v>
      </c>
      <c r="D1120" s="28" t="n">
        <v>41867812.5</v>
      </c>
      <c r="E1120" s="28" t="n">
        <v>62500000</v>
      </c>
      <c r="F1120" s="28" t="n">
        <v>104367812.5</v>
      </c>
      <c r="G1120" s="28" t="n">
        <v>3125000000</v>
      </c>
      <c r="H1120" s="25" t="n">
        <f aca="false">J1119</f>
        <v>3187500000</v>
      </c>
      <c r="I1120" s="25" t="n">
        <f aca="false">H1120*N1120</f>
        <v>41867812.5</v>
      </c>
      <c r="J1120" s="25" t="n">
        <f aca="false">H1120-E1120</f>
        <v>3125000000</v>
      </c>
      <c r="K1120" s="25" t="n">
        <f aca="false">D1120-I1120</f>
        <v>0</v>
      </c>
      <c r="L1120" s="25" t="n">
        <f aca="false">G1120-J1120</f>
        <v>0</v>
      </c>
      <c r="M1120" s="25" t="n">
        <f aca="false">F1120</f>
        <v>104367812.5</v>
      </c>
      <c r="N1120" s="48" t="n">
        <v>0.013135</v>
      </c>
      <c r="O1120" s="25" t="n">
        <f aca="false">IF(AND(B1120&gt;=DATE(2026,1,1),B1120&lt;=Resumen!$C$5),1,0)</f>
        <v>1</v>
      </c>
      <c r="P1120" s="25" t="n">
        <f aca="false">IF(AND(B1120&gt;Resumen!$C$5,B1120&lt;=DATE(2027,7,31)),1,0)</f>
        <v>0</v>
      </c>
    </row>
    <row r="1121" customFormat="false" ht="15" hidden="false" customHeight="false" outlineLevel="0" collapsed="false">
      <c r="A1121" s="22" t="n">
        <v>97</v>
      </c>
      <c r="B1121" s="23" t="n">
        <v>46159</v>
      </c>
      <c r="C1121" s="28" t="n">
        <v>3125000000</v>
      </c>
      <c r="D1121" s="28" t="n">
        <v>41046875</v>
      </c>
      <c r="E1121" s="28" t="n">
        <v>62500000</v>
      </c>
      <c r="F1121" s="28" t="n">
        <v>103546875</v>
      </c>
      <c r="G1121" s="28" t="n">
        <v>3062500000</v>
      </c>
      <c r="H1121" s="25" t="n">
        <f aca="false">J1120</f>
        <v>3125000000</v>
      </c>
      <c r="I1121" s="25" t="n">
        <f aca="false">H1121*N1121</f>
        <v>41046875</v>
      </c>
      <c r="J1121" s="25" t="n">
        <f aca="false">H1121-E1121</f>
        <v>3062500000</v>
      </c>
      <c r="K1121" s="25" t="n">
        <f aca="false">D1121-I1121</f>
        <v>0</v>
      </c>
      <c r="L1121" s="25" t="n">
        <f aca="false">G1121-J1121</f>
        <v>0</v>
      </c>
      <c r="M1121" s="25" t="n">
        <f aca="false">F1121</f>
        <v>103546875</v>
      </c>
      <c r="N1121" s="48" t="n">
        <v>0.013135</v>
      </c>
      <c r="O1121" s="25" t="n">
        <f aca="false">IF(AND(B1121&gt;=DATE(2026,1,1),B1121&lt;=Resumen!$C$5),1,0)</f>
        <v>1</v>
      </c>
      <c r="P1121" s="25" t="n">
        <f aca="false">IF(AND(B1121&gt;Resumen!$C$5,B1121&lt;=DATE(2027,7,31)),1,0)</f>
        <v>0</v>
      </c>
    </row>
    <row r="1122" customFormat="false" ht="15" hidden="false" customHeight="false" outlineLevel="0" collapsed="false">
      <c r="A1122" s="22" t="n">
        <v>98</v>
      </c>
      <c r="B1122" s="23" t="n">
        <v>46190</v>
      </c>
      <c r="C1122" s="28" t="n">
        <v>3062500000</v>
      </c>
      <c r="D1122" s="28" t="n">
        <v>40271875</v>
      </c>
      <c r="E1122" s="28" t="n">
        <v>62500000</v>
      </c>
      <c r="F1122" s="28" t="n">
        <v>102771875</v>
      </c>
      <c r="G1122" s="28" t="n">
        <v>3000000000</v>
      </c>
      <c r="H1122" s="25" t="n">
        <f aca="false">J1121</f>
        <v>3062500000</v>
      </c>
      <c r="I1122" s="25" t="n">
        <f aca="false">H1122*N1122</f>
        <v>40271875</v>
      </c>
      <c r="J1122" s="25" t="n">
        <f aca="false">H1122-E1122</f>
        <v>3000000000</v>
      </c>
      <c r="K1122" s="25" t="n">
        <f aca="false">D1122-I1122</f>
        <v>0</v>
      </c>
      <c r="L1122" s="25" t="n">
        <f aca="false">G1122-J1122</f>
        <v>0</v>
      </c>
      <c r="M1122" s="25" t="n">
        <f aca="false">F1122</f>
        <v>102771875</v>
      </c>
      <c r="N1122" s="48" t="n">
        <v>0.01315</v>
      </c>
      <c r="O1122" s="25" t="n">
        <f aca="false">IF(AND(B1122&gt;=DATE(2026,1,1),B1122&lt;=Resumen!$C$5),1,0)</f>
        <v>1</v>
      </c>
      <c r="P1122" s="25" t="n">
        <f aca="false">IF(AND(B1122&gt;Resumen!$C$5,B1122&lt;=DATE(2027,7,31)),1,0)</f>
        <v>0</v>
      </c>
    </row>
    <row r="1123" customFormat="false" ht="15" hidden="false" customHeight="false" outlineLevel="0" collapsed="false">
      <c r="A1123" s="22" t="n">
        <v>99</v>
      </c>
      <c r="B1123" s="23" t="n">
        <v>46220</v>
      </c>
      <c r="C1123" s="28" t="n">
        <v>3000000000</v>
      </c>
      <c r="D1123" s="28" t="n">
        <v>40637500</v>
      </c>
      <c r="E1123" s="28" t="n">
        <v>62500000</v>
      </c>
      <c r="F1123" s="28" t="n">
        <v>103137500</v>
      </c>
      <c r="G1123" s="28" t="n">
        <v>2937500000</v>
      </c>
      <c r="H1123" s="25" t="n">
        <f aca="false">J1122</f>
        <v>3000000000</v>
      </c>
      <c r="I1123" s="25" t="n">
        <f aca="false">H1123*N1123</f>
        <v>40637500</v>
      </c>
      <c r="J1123" s="25" t="n">
        <f aca="false">H1123-E1123</f>
        <v>2937500000</v>
      </c>
      <c r="K1123" s="25" t="n">
        <f aca="false">D1123-I1123</f>
        <v>0</v>
      </c>
      <c r="L1123" s="25" t="n">
        <f aca="false">G1123-J1123</f>
        <v>0</v>
      </c>
      <c r="M1123" s="25" t="n">
        <f aca="false">F1123</f>
        <v>103137500</v>
      </c>
      <c r="N1123" s="48" t="n">
        <v>0.0135458333333333</v>
      </c>
      <c r="O1123" s="25" t="n">
        <f aca="false">IF(AND(B1123&gt;=DATE(2026,1,1),B1123&lt;=Resumen!$C$5),1,0)</f>
        <v>1</v>
      </c>
      <c r="P1123" s="25" t="n">
        <f aca="false">IF(AND(B1123&gt;Resumen!$C$5,B1123&lt;=DATE(2027,7,31)),1,0)</f>
        <v>0</v>
      </c>
    </row>
    <row r="1124" customFormat="false" ht="15" hidden="false" customHeight="false" outlineLevel="0" collapsed="false">
      <c r="A1124" s="22" t="n">
        <v>100</v>
      </c>
      <c r="B1124" s="23" t="n">
        <v>46251</v>
      </c>
      <c r="C1124" s="28" t="n">
        <v>2937500000</v>
      </c>
      <c r="D1124" s="28" t="n">
        <v>39790885.4166667</v>
      </c>
      <c r="E1124" s="28" t="n">
        <v>62500000</v>
      </c>
      <c r="F1124" s="28" t="n">
        <v>102290885.416667</v>
      </c>
      <c r="G1124" s="28" t="n">
        <v>2875000000</v>
      </c>
      <c r="H1124" s="25" t="n">
        <f aca="false">J1123</f>
        <v>2937500000</v>
      </c>
      <c r="I1124" s="25" t="n">
        <f aca="false">H1124*N1124</f>
        <v>39790885.4166667</v>
      </c>
      <c r="J1124" s="25" t="n">
        <f aca="false">H1124-E1124</f>
        <v>2875000000</v>
      </c>
      <c r="K1124" s="25" t="n">
        <f aca="false">D1124-I1124</f>
        <v>0</v>
      </c>
      <c r="L1124" s="25" t="n">
        <f aca="false">G1124-J1124</f>
        <v>0</v>
      </c>
      <c r="M1124" s="25" t="n">
        <f aca="false">F1124</f>
        <v>102290885.416667</v>
      </c>
      <c r="N1124" s="48" t="n">
        <v>0.0135458333333333</v>
      </c>
      <c r="O1124" s="25" t="n">
        <f aca="false">IF(AND(B1124&gt;=DATE(2026,1,1),B1124&lt;=Resumen!$C$5),1,0)</f>
        <v>0</v>
      </c>
      <c r="P1124" s="25" t="n">
        <f aca="false">IF(AND(B1124&gt;Resumen!$C$5,B1124&lt;=DATE(2027,7,31)),1,0)</f>
        <v>1</v>
      </c>
    </row>
    <row r="1125" customFormat="false" ht="15" hidden="false" customHeight="false" outlineLevel="0" collapsed="false">
      <c r="A1125" s="22" t="n">
        <v>101</v>
      </c>
      <c r="B1125" s="23" t="n">
        <v>46282</v>
      </c>
      <c r="C1125" s="28" t="n">
        <v>2875000000</v>
      </c>
      <c r="D1125" s="28" t="n">
        <v>38944270.8333333</v>
      </c>
      <c r="E1125" s="28" t="n">
        <v>62500000</v>
      </c>
      <c r="F1125" s="28" t="n">
        <v>101444270.833333</v>
      </c>
      <c r="G1125" s="28" t="n">
        <v>2812500000</v>
      </c>
      <c r="H1125" s="25" t="n">
        <f aca="false">J1124</f>
        <v>2875000000</v>
      </c>
      <c r="I1125" s="25" t="n">
        <f aca="false">H1125*N1125</f>
        <v>38944270.8333333</v>
      </c>
      <c r="J1125" s="25" t="n">
        <f aca="false">H1125-E1125</f>
        <v>2812500000</v>
      </c>
      <c r="K1125" s="25" t="n">
        <f aca="false">D1125-I1125</f>
        <v>0</v>
      </c>
      <c r="L1125" s="25" t="n">
        <f aca="false">G1125-J1125</f>
        <v>0</v>
      </c>
      <c r="M1125" s="25" t="n">
        <f aca="false">F1125</f>
        <v>101444270.833333</v>
      </c>
      <c r="N1125" s="48" t="n">
        <v>0.0135458333333333</v>
      </c>
      <c r="O1125" s="25" t="n">
        <f aca="false">IF(AND(B1125&gt;=DATE(2026,1,1),B1125&lt;=Resumen!$C$5),1,0)</f>
        <v>0</v>
      </c>
      <c r="P1125" s="25" t="n">
        <f aca="false">IF(AND(B1125&gt;Resumen!$C$5,B1125&lt;=DATE(2027,7,31)),1,0)</f>
        <v>1</v>
      </c>
    </row>
    <row r="1126" customFormat="false" ht="15" hidden="false" customHeight="false" outlineLevel="0" collapsed="false">
      <c r="A1126" s="22" t="n">
        <v>102</v>
      </c>
      <c r="B1126" s="23" t="n">
        <v>46312</v>
      </c>
      <c r="C1126" s="28" t="n">
        <v>2812500000</v>
      </c>
      <c r="D1126" s="28" t="n">
        <v>38097656.25</v>
      </c>
      <c r="E1126" s="28" t="n">
        <v>62500000</v>
      </c>
      <c r="F1126" s="28" t="n">
        <v>100597656.25</v>
      </c>
      <c r="G1126" s="28" t="n">
        <v>2750000000</v>
      </c>
      <c r="H1126" s="25" t="n">
        <f aca="false">J1125</f>
        <v>2812500000</v>
      </c>
      <c r="I1126" s="25" t="n">
        <f aca="false">H1126*N1126</f>
        <v>38097656.25</v>
      </c>
      <c r="J1126" s="25" t="n">
        <f aca="false">H1126-E1126</f>
        <v>2750000000</v>
      </c>
      <c r="K1126" s="25" t="n">
        <f aca="false">D1126-I1126</f>
        <v>0</v>
      </c>
      <c r="L1126" s="25" t="n">
        <f aca="false">G1126-J1126</f>
        <v>0</v>
      </c>
      <c r="M1126" s="25" t="n">
        <f aca="false">F1126</f>
        <v>100597656.25</v>
      </c>
      <c r="N1126" s="48" t="n">
        <v>0.0135458333333333</v>
      </c>
      <c r="O1126" s="25" t="n">
        <f aca="false">IF(AND(B1126&gt;=DATE(2026,1,1),B1126&lt;=Resumen!$C$5),1,0)</f>
        <v>0</v>
      </c>
      <c r="P1126" s="25" t="n">
        <f aca="false">IF(AND(B1126&gt;Resumen!$C$5,B1126&lt;=DATE(2027,7,31)),1,0)</f>
        <v>1</v>
      </c>
    </row>
    <row r="1127" customFormat="false" ht="15" hidden="false" customHeight="false" outlineLevel="0" collapsed="false">
      <c r="A1127" s="22" t="n">
        <v>103</v>
      </c>
      <c r="B1127" s="23" t="n">
        <v>46343</v>
      </c>
      <c r="C1127" s="28" t="n">
        <v>2750000000</v>
      </c>
      <c r="D1127" s="28" t="n">
        <v>37251041.6666667</v>
      </c>
      <c r="E1127" s="28" t="n">
        <v>62500000</v>
      </c>
      <c r="F1127" s="28" t="n">
        <v>99751041.6666667</v>
      </c>
      <c r="G1127" s="28" t="n">
        <v>2687500000</v>
      </c>
      <c r="H1127" s="25" t="n">
        <f aca="false">J1126</f>
        <v>2750000000</v>
      </c>
      <c r="I1127" s="25" t="n">
        <f aca="false">H1127*N1127</f>
        <v>37251041.6666667</v>
      </c>
      <c r="J1127" s="25" t="n">
        <f aca="false">H1127-E1127</f>
        <v>2687500000</v>
      </c>
      <c r="K1127" s="25" t="n">
        <f aca="false">D1127-I1127</f>
        <v>0</v>
      </c>
      <c r="L1127" s="25" t="n">
        <f aca="false">G1127-J1127</f>
        <v>0</v>
      </c>
      <c r="M1127" s="25" t="n">
        <f aca="false">F1127</f>
        <v>99751041.6666667</v>
      </c>
      <c r="N1127" s="48" t="n">
        <v>0.0135458333333333</v>
      </c>
      <c r="O1127" s="25" t="n">
        <f aca="false">IF(AND(B1127&gt;=DATE(2026,1,1),B1127&lt;=Resumen!$C$5),1,0)</f>
        <v>0</v>
      </c>
      <c r="P1127" s="25" t="n">
        <f aca="false">IF(AND(B1127&gt;Resumen!$C$5,B1127&lt;=DATE(2027,7,31)),1,0)</f>
        <v>1</v>
      </c>
    </row>
    <row r="1128" customFormat="false" ht="15" hidden="false" customHeight="false" outlineLevel="0" collapsed="false">
      <c r="A1128" s="22" t="n">
        <v>104</v>
      </c>
      <c r="B1128" s="23" t="n">
        <v>46373</v>
      </c>
      <c r="C1128" s="28" t="n">
        <v>2687500000</v>
      </c>
      <c r="D1128" s="28" t="n">
        <v>36404427.0833333</v>
      </c>
      <c r="E1128" s="28" t="n">
        <v>62500000</v>
      </c>
      <c r="F1128" s="28" t="n">
        <v>98904427.0833333</v>
      </c>
      <c r="G1128" s="28" t="n">
        <v>2625000000</v>
      </c>
      <c r="H1128" s="25" t="n">
        <f aca="false">J1127</f>
        <v>2687500000</v>
      </c>
      <c r="I1128" s="25" t="n">
        <f aca="false">H1128*N1128</f>
        <v>36404427.0833333</v>
      </c>
      <c r="J1128" s="25" t="n">
        <f aca="false">H1128-E1128</f>
        <v>2625000000</v>
      </c>
      <c r="K1128" s="25" t="n">
        <f aca="false">D1128-I1128</f>
        <v>0</v>
      </c>
      <c r="L1128" s="25" t="n">
        <f aca="false">G1128-J1128</f>
        <v>0</v>
      </c>
      <c r="M1128" s="25" t="n">
        <f aca="false">F1128</f>
        <v>98904427.0833333</v>
      </c>
      <c r="N1128" s="48" t="n">
        <v>0.0135458333333333</v>
      </c>
      <c r="O1128" s="25" t="n">
        <f aca="false">IF(AND(B1128&gt;=DATE(2026,1,1),B1128&lt;=Resumen!$C$5),1,0)</f>
        <v>0</v>
      </c>
      <c r="P1128" s="25" t="n">
        <f aca="false">IF(AND(B1128&gt;Resumen!$C$5,B1128&lt;=DATE(2027,7,31)),1,0)</f>
        <v>1</v>
      </c>
    </row>
    <row r="1129" customFormat="false" ht="15" hidden="false" customHeight="false" outlineLevel="0" collapsed="false">
      <c r="A1129" s="22" t="n">
        <v>105</v>
      </c>
      <c r="B1129" s="23" t="n">
        <v>46404</v>
      </c>
      <c r="C1129" s="28" t="n">
        <v>2625000000</v>
      </c>
      <c r="D1129" s="28" t="n">
        <v>35557812.5</v>
      </c>
      <c r="E1129" s="28" t="n">
        <v>62500000</v>
      </c>
      <c r="F1129" s="28" t="n">
        <v>98057812.5</v>
      </c>
      <c r="G1129" s="28" t="n">
        <v>2562500000</v>
      </c>
      <c r="H1129" s="25" t="n">
        <f aca="false">J1128</f>
        <v>2625000000</v>
      </c>
      <c r="I1129" s="25" t="n">
        <f aca="false">H1129*N1129</f>
        <v>35557812.5</v>
      </c>
      <c r="J1129" s="25" t="n">
        <f aca="false">H1129-E1129</f>
        <v>2562500000</v>
      </c>
      <c r="K1129" s="25" t="n">
        <f aca="false">D1129-I1129</f>
        <v>0</v>
      </c>
      <c r="L1129" s="25" t="n">
        <f aca="false">G1129-J1129</f>
        <v>0</v>
      </c>
      <c r="M1129" s="25" t="n">
        <f aca="false">F1129</f>
        <v>98057812.5</v>
      </c>
      <c r="N1129" s="48" t="n">
        <v>0.0135458333333333</v>
      </c>
      <c r="O1129" s="25" t="n">
        <f aca="false">IF(AND(B1129&gt;=DATE(2026,1,1),B1129&lt;=Resumen!$C$5),1,0)</f>
        <v>0</v>
      </c>
      <c r="P1129" s="25" t="n">
        <f aca="false">IF(AND(B1129&gt;Resumen!$C$5,B1129&lt;=DATE(2027,7,31)),1,0)</f>
        <v>1</v>
      </c>
    </row>
    <row r="1130" customFormat="false" ht="15" hidden="false" customHeight="false" outlineLevel="0" collapsed="false">
      <c r="A1130" s="22" t="n">
        <v>106</v>
      </c>
      <c r="B1130" s="23" t="n">
        <v>46435</v>
      </c>
      <c r="C1130" s="28" t="n">
        <v>2562500000</v>
      </c>
      <c r="D1130" s="28" t="n">
        <v>34711197.9166667</v>
      </c>
      <c r="E1130" s="28" t="n">
        <v>62500000</v>
      </c>
      <c r="F1130" s="28" t="n">
        <v>97211197.9166667</v>
      </c>
      <c r="G1130" s="28" t="n">
        <v>2500000000</v>
      </c>
      <c r="H1130" s="25" t="n">
        <f aca="false">J1129</f>
        <v>2562500000</v>
      </c>
      <c r="I1130" s="25" t="n">
        <f aca="false">H1130*N1130</f>
        <v>34711197.9166667</v>
      </c>
      <c r="J1130" s="25" t="n">
        <f aca="false">H1130-E1130</f>
        <v>2500000000</v>
      </c>
      <c r="K1130" s="25" t="n">
        <f aca="false">D1130-I1130</f>
        <v>0</v>
      </c>
      <c r="L1130" s="25" t="n">
        <f aca="false">G1130-J1130</f>
        <v>0</v>
      </c>
      <c r="M1130" s="25" t="n">
        <f aca="false">F1130</f>
        <v>97211197.9166667</v>
      </c>
      <c r="N1130" s="48" t="n">
        <v>0.0135458333333333</v>
      </c>
      <c r="O1130" s="25" t="n">
        <f aca="false">IF(AND(B1130&gt;=DATE(2026,1,1),B1130&lt;=Resumen!$C$5),1,0)</f>
        <v>0</v>
      </c>
      <c r="P1130" s="25" t="n">
        <f aca="false">IF(AND(B1130&gt;Resumen!$C$5,B1130&lt;=DATE(2027,7,31)),1,0)</f>
        <v>1</v>
      </c>
    </row>
    <row r="1131" customFormat="false" ht="15" hidden="false" customHeight="false" outlineLevel="0" collapsed="false">
      <c r="A1131" s="22" t="n">
        <v>107</v>
      </c>
      <c r="B1131" s="23" t="n">
        <v>46463</v>
      </c>
      <c r="C1131" s="28" t="n">
        <v>2500000000</v>
      </c>
      <c r="D1131" s="28" t="n">
        <v>33864583.3333333</v>
      </c>
      <c r="E1131" s="28" t="n">
        <v>62500000</v>
      </c>
      <c r="F1131" s="28" t="n">
        <v>96364583.3333333</v>
      </c>
      <c r="G1131" s="28" t="n">
        <v>2437500000</v>
      </c>
      <c r="H1131" s="25" t="n">
        <f aca="false">J1130</f>
        <v>2500000000</v>
      </c>
      <c r="I1131" s="25" t="n">
        <f aca="false">H1131*N1131</f>
        <v>33864583.3333333</v>
      </c>
      <c r="J1131" s="25" t="n">
        <f aca="false">H1131-E1131</f>
        <v>2437500000</v>
      </c>
      <c r="K1131" s="25" t="n">
        <f aca="false">D1131-I1131</f>
        <v>0</v>
      </c>
      <c r="L1131" s="25" t="n">
        <f aca="false">G1131-J1131</f>
        <v>0</v>
      </c>
      <c r="M1131" s="25" t="n">
        <f aca="false">F1131</f>
        <v>96364583.3333333</v>
      </c>
      <c r="N1131" s="48" t="n">
        <v>0.0135458333333333</v>
      </c>
      <c r="O1131" s="25" t="n">
        <f aca="false">IF(AND(B1131&gt;=DATE(2026,1,1),B1131&lt;=Resumen!$C$5),1,0)</f>
        <v>0</v>
      </c>
      <c r="P1131" s="25" t="n">
        <f aca="false">IF(AND(B1131&gt;Resumen!$C$5,B1131&lt;=DATE(2027,7,31)),1,0)</f>
        <v>1</v>
      </c>
    </row>
    <row r="1132" customFormat="false" ht="15" hidden="false" customHeight="false" outlineLevel="0" collapsed="false">
      <c r="A1132" s="22" t="n">
        <v>108</v>
      </c>
      <c r="B1132" s="23" t="n">
        <v>46494</v>
      </c>
      <c r="C1132" s="28" t="n">
        <v>2437500000</v>
      </c>
      <c r="D1132" s="28" t="n">
        <v>33017968.75</v>
      </c>
      <c r="E1132" s="28" t="n">
        <v>62500000</v>
      </c>
      <c r="F1132" s="28" t="n">
        <v>95517968.75</v>
      </c>
      <c r="G1132" s="28" t="n">
        <v>2375000000</v>
      </c>
      <c r="H1132" s="25" t="n">
        <f aca="false">J1131</f>
        <v>2437500000</v>
      </c>
      <c r="I1132" s="25" t="n">
        <f aca="false">H1132*N1132</f>
        <v>33017968.75</v>
      </c>
      <c r="J1132" s="25" t="n">
        <f aca="false">H1132-E1132</f>
        <v>2375000000</v>
      </c>
      <c r="K1132" s="25" t="n">
        <f aca="false">D1132-I1132</f>
        <v>0</v>
      </c>
      <c r="L1132" s="25" t="n">
        <f aca="false">G1132-J1132</f>
        <v>0</v>
      </c>
      <c r="M1132" s="25" t="n">
        <f aca="false">F1132</f>
        <v>95517968.75</v>
      </c>
      <c r="N1132" s="48" t="n">
        <v>0.0135458333333333</v>
      </c>
      <c r="O1132" s="25" t="n">
        <f aca="false">IF(AND(B1132&gt;=DATE(2026,1,1),B1132&lt;=Resumen!$C$5),1,0)</f>
        <v>0</v>
      </c>
      <c r="P1132" s="25" t="n">
        <f aca="false">IF(AND(B1132&gt;Resumen!$C$5,B1132&lt;=DATE(2027,7,31)),1,0)</f>
        <v>1</v>
      </c>
    </row>
    <row r="1133" customFormat="false" ht="15" hidden="false" customHeight="false" outlineLevel="0" collapsed="false">
      <c r="A1133" s="22" t="n">
        <v>109</v>
      </c>
      <c r="B1133" s="23" t="n">
        <v>46524</v>
      </c>
      <c r="C1133" s="28" t="n">
        <v>2375000000</v>
      </c>
      <c r="D1133" s="28" t="n">
        <v>32171354.1666667</v>
      </c>
      <c r="E1133" s="28" t="n">
        <v>62500000</v>
      </c>
      <c r="F1133" s="28" t="n">
        <v>94671354.1666667</v>
      </c>
      <c r="G1133" s="28" t="n">
        <v>2312500000</v>
      </c>
      <c r="H1133" s="25" t="n">
        <f aca="false">J1132</f>
        <v>2375000000</v>
      </c>
      <c r="I1133" s="25" t="n">
        <f aca="false">H1133*N1133</f>
        <v>32171354.1666667</v>
      </c>
      <c r="J1133" s="25" t="n">
        <f aca="false">H1133-E1133</f>
        <v>2312500000</v>
      </c>
      <c r="K1133" s="25" t="n">
        <f aca="false">D1133-I1133</f>
        <v>0</v>
      </c>
      <c r="L1133" s="25" t="n">
        <f aca="false">G1133-J1133</f>
        <v>0</v>
      </c>
      <c r="M1133" s="25" t="n">
        <f aca="false">F1133</f>
        <v>94671354.1666667</v>
      </c>
      <c r="N1133" s="48" t="n">
        <v>0.0135458333333333</v>
      </c>
      <c r="O1133" s="25" t="n">
        <f aca="false">IF(AND(B1133&gt;=DATE(2026,1,1),B1133&lt;=Resumen!$C$5),1,0)</f>
        <v>0</v>
      </c>
      <c r="P1133" s="25" t="n">
        <f aca="false">IF(AND(B1133&gt;Resumen!$C$5,B1133&lt;=DATE(2027,7,31)),1,0)</f>
        <v>1</v>
      </c>
    </row>
    <row r="1134" customFormat="false" ht="15" hidden="false" customHeight="false" outlineLevel="0" collapsed="false">
      <c r="A1134" s="22" t="n">
        <v>110</v>
      </c>
      <c r="B1134" s="23" t="n">
        <v>46555</v>
      </c>
      <c r="C1134" s="28" t="n">
        <v>2312500000</v>
      </c>
      <c r="D1134" s="28" t="n">
        <v>31324739.5833333</v>
      </c>
      <c r="E1134" s="28" t="n">
        <v>62500000</v>
      </c>
      <c r="F1134" s="28" t="n">
        <v>93824739.5833333</v>
      </c>
      <c r="G1134" s="28" t="n">
        <v>2250000000</v>
      </c>
      <c r="H1134" s="25" t="n">
        <f aca="false">J1133</f>
        <v>2312500000</v>
      </c>
      <c r="I1134" s="25" t="n">
        <f aca="false">H1134*N1134</f>
        <v>31324739.5833333</v>
      </c>
      <c r="J1134" s="25" t="n">
        <f aca="false">H1134-E1134</f>
        <v>2250000000</v>
      </c>
      <c r="K1134" s="25" t="n">
        <f aca="false">D1134-I1134</f>
        <v>0</v>
      </c>
      <c r="L1134" s="25" t="n">
        <f aca="false">G1134-J1134</f>
        <v>0</v>
      </c>
      <c r="M1134" s="25" t="n">
        <f aca="false">F1134</f>
        <v>93824739.5833333</v>
      </c>
      <c r="N1134" s="48" t="n">
        <v>0.0135458333333333</v>
      </c>
      <c r="O1134" s="25" t="n">
        <f aca="false">IF(AND(B1134&gt;=DATE(2026,1,1),B1134&lt;=Resumen!$C$5),1,0)</f>
        <v>0</v>
      </c>
      <c r="P1134" s="25" t="n">
        <f aca="false">IF(AND(B1134&gt;Resumen!$C$5,B1134&lt;=DATE(2027,7,31)),1,0)</f>
        <v>1</v>
      </c>
    </row>
    <row r="1135" customFormat="false" ht="15" hidden="false" customHeight="false" outlineLevel="0" collapsed="false">
      <c r="A1135" s="22" t="n">
        <v>111</v>
      </c>
      <c r="B1135" s="23" t="n">
        <v>46585</v>
      </c>
      <c r="C1135" s="28" t="n">
        <v>2250000000</v>
      </c>
      <c r="D1135" s="28" t="n">
        <v>30478125</v>
      </c>
      <c r="E1135" s="28" t="n">
        <v>62500000</v>
      </c>
      <c r="F1135" s="28" t="n">
        <v>92978125</v>
      </c>
      <c r="G1135" s="28" t="n">
        <v>2187500000</v>
      </c>
      <c r="H1135" s="25" t="n">
        <f aca="false">J1134</f>
        <v>2250000000</v>
      </c>
      <c r="I1135" s="25" t="n">
        <f aca="false">H1135*N1135</f>
        <v>30478125</v>
      </c>
      <c r="J1135" s="25" t="n">
        <f aca="false">H1135-E1135</f>
        <v>2187500000</v>
      </c>
      <c r="K1135" s="25" t="n">
        <f aca="false">D1135-I1135</f>
        <v>0</v>
      </c>
      <c r="L1135" s="25" t="n">
        <f aca="false">G1135-J1135</f>
        <v>0</v>
      </c>
      <c r="M1135" s="25" t="n">
        <f aca="false">F1135</f>
        <v>92978125</v>
      </c>
      <c r="N1135" s="48" t="n">
        <v>0.0135458333333333</v>
      </c>
      <c r="O1135" s="25" t="n">
        <f aca="false">IF(AND(B1135&gt;=DATE(2026,1,1),B1135&lt;=Resumen!$C$5),1,0)</f>
        <v>0</v>
      </c>
      <c r="P1135" s="25" t="n">
        <f aca="false">IF(AND(B1135&gt;Resumen!$C$5,B1135&lt;=DATE(2027,7,31)),1,0)</f>
        <v>1</v>
      </c>
    </row>
    <row r="1136" customFormat="false" ht="15" hidden="false" customHeight="false" outlineLevel="0" collapsed="false">
      <c r="A1136" s="22" t="n">
        <v>112</v>
      </c>
      <c r="B1136" s="23" t="n">
        <v>46616</v>
      </c>
      <c r="C1136" s="28" t="n">
        <v>2187500000</v>
      </c>
      <c r="D1136" s="28" t="n">
        <v>29631510.4166667</v>
      </c>
      <c r="E1136" s="28" t="n">
        <v>62500000</v>
      </c>
      <c r="F1136" s="28" t="n">
        <v>92131510.4166667</v>
      </c>
      <c r="G1136" s="28" t="n">
        <v>2125000000</v>
      </c>
      <c r="H1136" s="25" t="n">
        <f aca="false">J1135</f>
        <v>2187500000</v>
      </c>
      <c r="I1136" s="25" t="n">
        <f aca="false">H1136*N1136</f>
        <v>29631510.4166667</v>
      </c>
      <c r="J1136" s="25" t="n">
        <f aca="false">H1136-E1136</f>
        <v>2125000000</v>
      </c>
      <c r="K1136" s="25" t="n">
        <f aca="false">D1136-I1136</f>
        <v>0</v>
      </c>
      <c r="L1136" s="25" t="n">
        <f aca="false">G1136-J1136</f>
        <v>0</v>
      </c>
      <c r="M1136" s="25" t="n">
        <f aca="false">F1136</f>
        <v>92131510.4166667</v>
      </c>
      <c r="N1136" s="48" t="n">
        <v>0.0135458333333333</v>
      </c>
      <c r="O1136" s="25" t="n">
        <f aca="false">IF(AND(B1136&gt;=DATE(2026,1,1),B1136&lt;=Resumen!$C$5),1,0)</f>
        <v>0</v>
      </c>
      <c r="P1136" s="25" t="n">
        <f aca="false">IF(AND(B1136&gt;Resumen!$C$5,B1136&lt;=DATE(2027,7,31)),1,0)</f>
        <v>0</v>
      </c>
    </row>
    <row r="1137" customFormat="false" ht="15" hidden="false" customHeight="false" outlineLevel="0" collapsed="false">
      <c r="A1137" s="22" t="n">
        <v>113</v>
      </c>
      <c r="B1137" s="23" t="n">
        <v>46647</v>
      </c>
      <c r="C1137" s="28" t="n">
        <v>2125000000</v>
      </c>
      <c r="D1137" s="28" t="n">
        <v>28784895.8333333</v>
      </c>
      <c r="E1137" s="28" t="n">
        <v>62500000</v>
      </c>
      <c r="F1137" s="28" t="n">
        <v>91284895.8333333</v>
      </c>
      <c r="G1137" s="28" t="n">
        <v>2062500000</v>
      </c>
      <c r="H1137" s="25" t="n">
        <f aca="false">J1136</f>
        <v>2125000000</v>
      </c>
      <c r="I1137" s="25" t="n">
        <f aca="false">H1137*N1137</f>
        <v>28784895.8333333</v>
      </c>
      <c r="J1137" s="25" t="n">
        <f aca="false">H1137-E1137</f>
        <v>2062500000</v>
      </c>
      <c r="K1137" s="25" t="n">
        <f aca="false">D1137-I1137</f>
        <v>0</v>
      </c>
      <c r="L1137" s="25" t="n">
        <f aca="false">G1137-J1137</f>
        <v>0</v>
      </c>
      <c r="M1137" s="25" t="n">
        <f aca="false">F1137</f>
        <v>91284895.8333333</v>
      </c>
      <c r="N1137" s="48" t="n">
        <v>0.0135458333333333</v>
      </c>
      <c r="O1137" s="25" t="n">
        <f aca="false">IF(AND(B1137&gt;=DATE(2026,1,1),B1137&lt;=Resumen!$C$5),1,0)</f>
        <v>0</v>
      </c>
      <c r="P1137" s="25" t="n">
        <f aca="false">IF(AND(B1137&gt;Resumen!$C$5,B1137&lt;=DATE(2027,7,31)),1,0)</f>
        <v>0</v>
      </c>
    </row>
    <row r="1138" customFormat="false" ht="15" hidden="false" customHeight="false" outlineLevel="0" collapsed="false">
      <c r="A1138" s="22" t="n">
        <v>114</v>
      </c>
      <c r="B1138" s="23" t="n">
        <v>46677</v>
      </c>
      <c r="C1138" s="28" t="n">
        <v>2062500000</v>
      </c>
      <c r="D1138" s="28" t="n">
        <v>27938281.25</v>
      </c>
      <c r="E1138" s="28" t="n">
        <v>62500000</v>
      </c>
      <c r="F1138" s="28" t="n">
        <v>90438281.25</v>
      </c>
      <c r="G1138" s="28" t="n">
        <v>2000000000</v>
      </c>
      <c r="H1138" s="25" t="n">
        <f aca="false">J1137</f>
        <v>2062500000</v>
      </c>
      <c r="I1138" s="25" t="n">
        <f aca="false">H1138*N1138</f>
        <v>27938281.25</v>
      </c>
      <c r="J1138" s="25" t="n">
        <f aca="false">H1138-E1138</f>
        <v>2000000000</v>
      </c>
      <c r="K1138" s="25" t="n">
        <f aca="false">D1138-I1138</f>
        <v>0</v>
      </c>
      <c r="L1138" s="25" t="n">
        <f aca="false">G1138-J1138</f>
        <v>0</v>
      </c>
      <c r="M1138" s="25" t="n">
        <f aca="false">F1138</f>
        <v>90438281.25</v>
      </c>
      <c r="N1138" s="48" t="n">
        <v>0.0135458333333333</v>
      </c>
      <c r="O1138" s="25" t="n">
        <f aca="false">IF(AND(B1138&gt;=DATE(2026,1,1),B1138&lt;=Resumen!$C$5),1,0)</f>
        <v>0</v>
      </c>
      <c r="P1138" s="25" t="n">
        <f aca="false">IF(AND(B1138&gt;Resumen!$C$5,B1138&lt;=DATE(2027,7,31)),1,0)</f>
        <v>0</v>
      </c>
    </row>
    <row r="1139" customFormat="false" ht="15" hidden="false" customHeight="false" outlineLevel="0" collapsed="false">
      <c r="A1139" s="22" t="n">
        <v>115</v>
      </c>
      <c r="B1139" s="23" t="n">
        <v>46708</v>
      </c>
      <c r="C1139" s="28" t="n">
        <v>2000000000</v>
      </c>
      <c r="D1139" s="28" t="n">
        <v>27091666.6666667</v>
      </c>
      <c r="E1139" s="28" t="n">
        <v>62500000</v>
      </c>
      <c r="F1139" s="28" t="n">
        <v>89591666.6666667</v>
      </c>
      <c r="G1139" s="28" t="n">
        <v>1937500000</v>
      </c>
      <c r="H1139" s="25" t="n">
        <f aca="false">J1138</f>
        <v>2000000000</v>
      </c>
      <c r="I1139" s="25" t="n">
        <f aca="false">H1139*N1139</f>
        <v>27091666.6666667</v>
      </c>
      <c r="J1139" s="25" t="n">
        <f aca="false">H1139-E1139</f>
        <v>1937500000</v>
      </c>
      <c r="K1139" s="25" t="n">
        <f aca="false">D1139-I1139</f>
        <v>0</v>
      </c>
      <c r="L1139" s="25" t="n">
        <f aca="false">G1139-J1139</f>
        <v>0</v>
      </c>
      <c r="M1139" s="25" t="n">
        <f aca="false">F1139</f>
        <v>89591666.6666667</v>
      </c>
      <c r="N1139" s="48" t="n">
        <v>0.0135458333333333</v>
      </c>
      <c r="O1139" s="25" t="n">
        <f aca="false">IF(AND(B1139&gt;=DATE(2026,1,1),B1139&lt;=Resumen!$C$5),1,0)</f>
        <v>0</v>
      </c>
      <c r="P1139" s="25" t="n">
        <f aca="false">IF(AND(B1139&gt;Resumen!$C$5,B1139&lt;=DATE(2027,7,31)),1,0)</f>
        <v>0</v>
      </c>
    </row>
    <row r="1140" customFormat="false" ht="15" hidden="false" customHeight="false" outlineLevel="0" collapsed="false">
      <c r="A1140" s="22" t="n">
        <v>116</v>
      </c>
      <c r="B1140" s="23" t="n">
        <v>46738</v>
      </c>
      <c r="C1140" s="28" t="n">
        <v>1937500000</v>
      </c>
      <c r="D1140" s="28" t="n">
        <v>26245052.0833333</v>
      </c>
      <c r="E1140" s="28" t="n">
        <v>62500000</v>
      </c>
      <c r="F1140" s="28" t="n">
        <v>88745052.0833333</v>
      </c>
      <c r="G1140" s="28" t="n">
        <v>1875000000</v>
      </c>
      <c r="H1140" s="25" t="n">
        <f aca="false">J1139</f>
        <v>1937500000</v>
      </c>
      <c r="I1140" s="25" t="n">
        <f aca="false">H1140*N1140</f>
        <v>26245052.0833333</v>
      </c>
      <c r="J1140" s="25" t="n">
        <f aca="false">H1140-E1140</f>
        <v>1875000000</v>
      </c>
      <c r="K1140" s="25" t="n">
        <f aca="false">D1140-I1140</f>
        <v>0</v>
      </c>
      <c r="L1140" s="25" t="n">
        <f aca="false">G1140-J1140</f>
        <v>0</v>
      </c>
      <c r="M1140" s="25" t="n">
        <f aca="false">F1140</f>
        <v>88745052.0833333</v>
      </c>
      <c r="N1140" s="48" t="n">
        <v>0.0135458333333333</v>
      </c>
      <c r="O1140" s="25" t="n">
        <f aca="false">IF(AND(B1140&gt;=DATE(2026,1,1),B1140&lt;=Resumen!$C$5),1,0)</f>
        <v>0</v>
      </c>
      <c r="P1140" s="25" t="n">
        <f aca="false">IF(AND(B1140&gt;Resumen!$C$5,B1140&lt;=DATE(2027,7,31)),1,0)</f>
        <v>0</v>
      </c>
    </row>
    <row r="1141" customFormat="false" ht="15" hidden="false" customHeight="false" outlineLevel="0" collapsed="false">
      <c r="A1141" s="22" t="n">
        <v>117</v>
      </c>
      <c r="B1141" s="23" t="n">
        <v>46769</v>
      </c>
      <c r="C1141" s="28" t="n">
        <v>1875000000</v>
      </c>
      <c r="D1141" s="28" t="n">
        <v>25398437.5</v>
      </c>
      <c r="E1141" s="28" t="n">
        <v>62500000</v>
      </c>
      <c r="F1141" s="28" t="n">
        <v>87898437.5</v>
      </c>
      <c r="G1141" s="28" t="n">
        <v>1812500000</v>
      </c>
      <c r="H1141" s="25" t="n">
        <f aca="false">J1140</f>
        <v>1875000000</v>
      </c>
      <c r="I1141" s="25" t="n">
        <f aca="false">H1141*N1141</f>
        <v>25398437.5</v>
      </c>
      <c r="J1141" s="25" t="n">
        <f aca="false">H1141-E1141</f>
        <v>1812500000</v>
      </c>
      <c r="K1141" s="25" t="n">
        <f aca="false">D1141-I1141</f>
        <v>0</v>
      </c>
      <c r="L1141" s="25" t="n">
        <f aca="false">G1141-J1141</f>
        <v>0</v>
      </c>
      <c r="M1141" s="25" t="n">
        <f aca="false">F1141</f>
        <v>87898437.5</v>
      </c>
      <c r="N1141" s="48" t="n">
        <v>0.0135458333333333</v>
      </c>
      <c r="O1141" s="25" t="n">
        <f aca="false">IF(AND(B1141&gt;=DATE(2026,1,1),B1141&lt;=Resumen!$C$5),1,0)</f>
        <v>0</v>
      </c>
      <c r="P1141" s="25" t="n">
        <f aca="false">IF(AND(B1141&gt;Resumen!$C$5,B1141&lt;=DATE(2027,7,31)),1,0)</f>
        <v>0</v>
      </c>
    </row>
    <row r="1142" customFormat="false" ht="15" hidden="false" customHeight="false" outlineLevel="0" collapsed="false">
      <c r="A1142" s="22" t="n">
        <v>118</v>
      </c>
      <c r="B1142" s="23" t="n">
        <v>46800</v>
      </c>
      <c r="C1142" s="28" t="n">
        <v>1812500000</v>
      </c>
      <c r="D1142" s="28" t="n">
        <v>24551822.9166667</v>
      </c>
      <c r="E1142" s="28" t="n">
        <v>62500000</v>
      </c>
      <c r="F1142" s="28" t="n">
        <v>87051822.9166667</v>
      </c>
      <c r="G1142" s="28" t="n">
        <v>1750000000</v>
      </c>
      <c r="H1142" s="25" t="n">
        <f aca="false">J1141</f>
        <v>1812500000</v>
      </c>
      <c r="I1142" s="25" t="n">
        <f aca="false">H1142*N1142</f>
        <v>24551822.9166667</v>
      </c>
      <c r="J1142" s="25" t="n">
        <f aca="false">H1142-E1142</f>
        <v>1750000000</v>
      </c>
      <c r="K1142" s="25" t="n">
        <f aca="false">D1142-I1142</f>
        <v>0</v>
      </c>
      <c r="L1142" s="25" t="n">
        <f aca="false">G1142-J1142</f>
        <v>0</v>
      </c>
      <c r="M1142" s="25" t="n">
        <f aca="false">F1142</f>
        <v>87051822.9166667</v>
      </c>
      <c r="N1142" s="48" t="n">
        <v>0.0135458333333333</v>
      </c>
      <c r="O1142" s="25" t="n">
        <f aca="false">IF(AND(B1142&gt;=DATE(2026,1,1),B1142&lt;=Resumen!$C$5),1,0)</f>
        <v>0</v>
      </c>
      <c r="P1142" s="25" t="n">
        <f aca="false">IF(AND(B1142&gt;Resumen!$C$5,B1142&lt;=DATE(2027,7,31)),1,0)</f>
        <v>0</v>
      </c>
    </row>
    <row r="1143" customFormat="false" ht="15" hidden="false" customHeight="false" outlineLevel="0" collapsed="false">
      <c r="A1143" s="22" t="n">
        <v>119</v>
      </c>
      <c r="B1143" s="23" t="n">
        <v>46829</v>
      </c>
      <c r="C1143" s="28" t="n">
        <v>1750000000</v>
      </c>
      <c r="D1143" s="28" t="n">
        <v>23705208.3333333</v>
      </c>
      <c r="E1143" s="28" t="n">
        <v>62500000</v>
      </c>
      <c r="F1143" s="28" t="n">
        <v>86205208.3333333</v>
      </c>
      <c r="G1143" s="28" t="n">
        <v>1687500000</v>
      </c>
      <c r="H1143" s="25" t="n">
        <f aca="false">J1142</f>
        <v>1750000000</v>
      </c>
      <c r="I1143" s="25" t="n">
        <f aca="false">H1143*N1143</f>
        <v>23705208.3333333</v>
      </c>
      <c r="J1143" s="25" t="n">
        <f aca="false">H1143-E1143</f>
        <v>1687500000</v>
      </c>
      <c r="K1143" s="25" t="n">
        <f aca="false">D1143-I1143</f>
        <v>0</v>
      </c>
      <c r="L1143" s="25" t="n">
        <f aca="false">G1143-J1143</f>
        <v>0</v>
      </c>
      <c r="M1143" s="25" t="n">
        <f aca="false">F1143</f>
        <v>86205208.3333333</v>
      </c>
      <c r="N1143" s="48" t="n">
        <v>0.0135458333333333</v>
      </c>
      <c r="O1143" s="25" t="n">
        <f aca="false">IF(AND(B1143&gt;=DATE(2026,1,1),B1143&lt;=Resumen!$C$5),1,0)</f>
        <v>0</v>
      </c>
      <c r="P1143" s="25" t="n">
        <f aca="false">IF(AND(B1143&gt;Resumen!$C$5,B1143&lt;=DATE(2027,7,31)),1,0)</f>
        <v>0</v>
      </c>
    </row>
    <row r="1144" customFormat="false" ht="15" hidden="false" customHeight="false" outlineLevel="0" collapsed="false">
      <c r="A1144" s="22" t="n">
        <v>120</v>
      </c>
      <c r="B1144" s="23" t="n">
        <v>46860</v>
      </c>
      <c r="C1144" s="28" t="n">
        <v>1687500000</v>
      </c>
      <c r="D1144" s="28" t="n">
        <v>22858593.75</v>
      </c>
      <c r="E1144" s="28" t="n">
        <v>62500000</v>
      </c>
      <c r="F1144" s="28" t="n">
        <v>85358593.75</v>
      </c>
      <c r="G1144" s="28" t="n">
        <v>1625000000</v>
      </c>
      <c r="H1144" s="25" t="n">
        <f aca="false">J1143</f>
        <v>1687500000</v>
      </c>
      <c r="I1144" s="25" t="n">
        <f aca="false">H1144*N1144</f>
        <v>22858593.75</v>
      </c>
      <c r="J1144" s="25" t="n">
        <f aca="false">H1144-E1144</f>
        <v>1625000000</v>
      </c>
      <c r="K1144" s="25" t="n">
        <f aca="false">D1144-I1144</f>
        <v>0</v>
      </c>
      <c r="L1144" s="25" t="n">
        <f aca="false">G1144-J1144</f>
        <v>0</v>
      </c>
      <c r="M1144" s="25" t="n">
        <f aca="false">F1144</f>
        <v>85358593.75</v>
      </c>
      <c r="N1144" s="48" t="n">
        <v>0.0135458333333333</v>
      </c>
      <c r="O1144" s="25" t="n">
        <f aca="false">IF(AND(B1144&gt;=DATE(2026,1,1),B1144&lt;=Resumen!$C$5),1,0)</f>
        <v>0</v>
      </c>
      <c r="P1144" s="25" t="n">
        <f aca="false">IF(AND(B1144&gt;Resumen!$C$5,B1144&lt;=DATE(2027,7,31)),1,0)</f>
        <v>0</v>
      </c>
    </row>
    <row r="1145" customFormat="false" ht="15" hidden="false" customHeight="false" outlineLevel="0" collapsed="false">
      <c r="A1145" s="22" t="n">
        <v>121</v>
      </c>
      <c r="B1145" s="23" t="n">
        <v>46890</v>
      </c>
      <c r="C1145" s="28" t="n">
        <v>1625000000</v>
      </c>
      <c r="D1145" s="28" t="n">
        <v>22011979.1666667</v>
      </c>
      <c r="E1145" s="28" t="n">
        <v>62500000</v>
      </c>
      <c r="F1145" s="28" t="n">
        <v>84511979.1666667</v>
      </c>
      <c r="G1145" s="28" t="n">
        <v>1562500000</v>
      </c>
      <c r="H1145" s="25" t="n">
        <f aca="false">J1144</f>
        <v>1625000000</v>
      </c>
      <c r="I1145" s="25" t="n">
        <f aca="false">H1145*N1145</f>
        <v>22011979.1666667</v>
      </c>
      <c r="J1145" s="25" t="n">
        <f aca="false">H1145-E1145</f>
        <v>1562500000</v>
      </c>
      <c r="K1145" s="25" t="n">
        <f aca="false">D1145-I1145</f>
        <v>0</v>
      </c>
      <c r="L1145" s="25" t="n">
        <f aca="false">G1145-J1145</f>
        <v>0</v>
      </c>
      <c r="M1145" s="25" t="n">
        <f aca="false">F1145</f>
        <v>84511979.1666667</v>
      </c>
      <c r="N1145" s="48" t="n">
        <v>0.0135458333333333</v>
      </c>
      <c r="O1145" s="25" t="n">
        <f aca="false">IF(AND(B1145&gt;=DATE(2026,1,1),B1145&lt;=Resumen!$C$5),1,0)</f>
        <v>0</v>
      </c>
      <c r="P1145" s="25" t="n">
        <f aca="false">IF(AND(B1145&gt;Resumen!$C$5,B1145&lt;=DATE(2027,7,31)),1,0)</f>
        <v>0</v>
      </c>
    </row>
    <row r="1146" customFormat="false" ht="15" hidden="false" customHeight="false" outlineLevel="0" collapsed="false">
      <c r="A1146" s="22" t="n">
        <v>122</v>
      </c>
      <c r="B1146" s="23" t="n">
        <v>46921</v>
      </c>
      <c r="C1146" s="28" t="n">
        <v>1562500000</v>
      </c>
      <c r="D1146" s="28" t="n">
        <v>21165364.5833333</v>
      </c>
      <c r="E1146" s="28" t="n">
        <v>62500000</v>
      </c>
      <c r="F1146" s="28" t="n">
        <v>83665364.5833333</v>
      </c>
      <c r="G1146" s="28" t="n">
        <v>1500000000</v>
      </c>
      <c r="H1146" s="25" t="n">
        <f aca="false">J1145</f>
        <v>1562500000</v>
      </c>
      <c r="I1146" s="25" t="n">
        <f aca="false">H1146*N1146</f>
        <v>21165364.5833333</v>
      </c>
      <c r="J1146" s="25" t="n">
        <f aca="false">H1146-E1146</f>
        <v>1500000000</v>
      </c>
      <c r="K1146" s="25" t="n">
        <f aca="false">D1146-I1146</f>
        <v>0</v>
      </c>
      <c r="L1146" s="25" t="n">
        <f aca="false">G1146-J1146</f>
        <v>0</v>
      </c>
      <c r="M1146" s="25" t="n">
        <f aca="false">F1146</f>
        <v>83665364.5833333</v>
      </c>
      <c r="N1146" s="48" t="n">
        <v>0.0135458333333333</v>
      </c>
      <c r="O1146" s="25" t="n">
        <f aca="false">IF(AND(B1146&gt;=DATE(2026,1,1),B1146&lt;=Resumen!$C$5),1,0)</f>
        <v>0</v>
      </c>
      <c r="P1146" s="25" t="n">
        <f aca="false">IF(AND(B1146&gt;Resumen!$C$5,B1146&lt;=DATE(2027,7,31)),1,0)</f>
        <v>0</v>
      </c>
    </row>
    <row r="1147" customFormat="false" ht="15" hidden="false" customHeight="false" outlineLevel="0" collapsed="false">
      <c r="A1147" s="22" t="n">
        <v>123</v>
      </c>
      <c r="B1147" s="23" t="n">
        <v>46951</v>
      </c>
      <c r="C1147" s="28" t="n">
        <v>1500000000</v>
      </c>
      <c r="D1147" s="28" t="n">
        <v>20318750</v>
      </c>
      <c r="E1147" s="28" t="n">
        <v>62500000</v>
      </c>
      <c r="F1147" s="28" t="n">
        <v>82818750</v>
      </c>
      <c r="G1147" s="28" t="n">
        <v>1437500000</v>
      </c>
      <c r="H1147" s="25" t="n">
        <f aca="false">J1146</f>
        <v>1500000000</v>
      </c>
      <c r="I1147" s="25" t="n">
        <f aca="false">H1147*N1147</f>
        <v>20318750</v>
      </c>
      <c r="J1147" s="25" t="n">
        <f aca="false">H1147-E1147</f>
        <v>1437500000</v>
      </c>
      <c r="K1147" s="25" t="n">
        <f aca="false">D1147-I1147</f>
        <v>0</v>
      </c>
      <c r="L1147" s="25" t="n">
        <f aca="false">G1147-J1147</f>
        <v>0</v>
      </c>
      <c r="M1147" s="25" t="n">
        <f aca="false">F1147</f>
        <v>82818750</v>
      </c>
      <c r="N1147" s="48" t="n">
        <v>0.0135458333333333</v>
      </c>
      <c r="O1147" s="25" t="n">
        <f aca="false">IF(AND(B1147&gt;=DATE(2026,1,1),B1147&lt;=Resumen!$C$5),1,0)</f>
        <v>0</v>
      </c>
      <c r="P1147" s="25" t="n">
        <f aca="false">IF(AND(B1147&gt;Resumen!$C$5,B1147&lt;=DATE(2027,7,31)),1,0)</f>
        <v>0</v>
      </c>
    </row>
    <row r="1148" customFormat="false" ht="15" hidden="false" customHeight="false" outlineLevel="0" collapsed="false">
      <c r="A1148" s="22" t="n">
        <v>124</v>
      </c>
      <c r="B1148" s="23" t="n">
        <v>46982</v>
      </c>
      <c r="C1148" s="28" t="n">
        <v>1437500000</v>
      </c>
      <c r="D1148" s="28" t="n">
        <v>19472135.4166667</v>
      </c>
      <c r="E1148" s="28" t="n">
        <v>62500000</v>
      </c>
      <c r="F1148" s="28" t="n">
        <v>81972135.4166667</v>
      </c>
      <c r="G1148" s="28" t="n">
        <v>1375000000</v>
      </c>
      <c r="H1148" s="25" t="n">
        <f aca="false">J1147</f>
        <v>1437500000</v>
      </c>
      <c r="I1148" s="25" t="n">
        <f aca="false">H1148*N1148</f>
        <v>19472135.4166667</v>
      </c>
      <c r="J1148" s="25" t="n">
        <f aca="false">H1148-E1148</f>
        <v>1375000000</v>
      </c>
      <c r="K1148" s="25" t="n">
        <f aca="false">D1148-I1148</f>
        <v>0</v>
      </c>
      <c r="L1148" s="25" t="n">
        <f aca="false">G1148-J1148</f>
        <v>0</v>
      </c>
      <c r="M1148" s="25" t="n">
        <f aca="false">F1148</f>
        <v>81972135.4166667</v>
      </c>
      <c r="N1148" s="48" t="n">
        <v>0.0135458333333333</v>
      </c>
      <c r="O1148" s="25" t="n">
        <f aca="false">IF(AND(B1148&gt;=DATE(2026,1,1),B1148&lt;=Resumen!$C$5),1,0)</f>
        <v>0</v>
      </c>
      <c r="P1148" s="25" t="n">
        <f aca="false">IF(AND(B1148&gt;Resumen!$C$5,B1148&lt;=DATE(2027,7,31)),1,0)</f>
        <v>0</v>
      </c>
    </row>
    <row r="1149" customFormat="false" ht="15" hidden="false" customHeight="false" outlineLevel="0" collapsed="false">
      <c r="A1149" s="22" t="n">
        <v>125</v>
      </c>
      <c r="B1149" s="23" t="n">
        <v>47013</v>
      </c>
      <c r="C1149" s="28" t="n">
        <v>1375000000</v>
      </c>
      <c r="D1149" s="28" t="n">
        <v>18625520.8333333</v>
      </c>
      <c r="E1149" s="28" t="n">
        <v>62500000</v>
      </c>
      <c r="F1149" s="28" t="n">
        <v>81125520.8333333</v>
      </c>
      <c r="G1149" s="28" t="n">
        <v>1312500000</v>
      </c>
      <c r="H1149" s="25" t="n">
        <f aca="false">J1148</f>
        <v>1375000000</v>
      </c>
      <c r="I1149" s="25" t="n">
        <f aca="false">H1149*N1149</f>
        <v>18625520.8333333</v>
      </c>
      <c r="J1149" s="25" t="n">
        <f aca="false">H1149-E1149</f>
        <v>1312500000</v>
      </c>
      <c r="K1149" s="25" t="n">
        <f aca="false">D1149-I1149</f>
        <v>0</v>
      </c>
      <c r="L1149" s="25" t="n">
        <f aca="false">G1149-J1149</f>
        <v>0</v>
      </c>
      <c r="M1149" s="25" t="n">
        <f aca="false">F1149</f>
        <v>81125520.8333333</v>
      </c>
      <c r="N1149" s="48" t="n">
        <v>0.0135458333333333</v>
      </c>
      <c r="O1149" s="25" t="n">
        <f aca="false">IF(AND(B1149&gt;=DATE(2026,1,1),B1149&lt;=Resumen!$C$5),1,0)</f>
        <v>0</v>
      </c>
      <c r="P1149" s="25" t="n">
        <f aca="false">IF(AND(B1149&gt;Resumen!$C$5,B1149&lt;=DATE(2027,7,31)),1,0)</f>
        <v>0</v>
      </c>
    </row>
    <row r="1150" customFormat="false" ht="15" hidden="false" customHeight="false" outlineLevel="0" collapsed="false">
      <c r="A1150" s="22" t="n">
        <v>126</v>
      </c>
      <c r="B1150" s="23" t="n">
        <v>47043</v>
      </c>
      <c r="C1150" s="28" t="n">
        <v>1312500000</v>
      </c>
      <c r="D1150" s="28" t="n">
        <v>17778906.25</v>
      </c>
      <c r="E1150" s="28" t="n">
        <v>62500000</v>
      </c>
      <c r="F1150" s="28" t="n">
        <v>80278906.25</v>
      </c>
      <c r="G1150" s="28" t="n">
        <v>1250000000</v>
      </c>
      <c r="H1150" s="25" t="n">
        <f aca="false">J1149</f>
        <v>1312500000</v>
      </c>
      <c r="I1150" s="25" t="n">
        <f aca="false">H1150*N1150</f>
        <v>17778906.25</v>
      </c>
      <c r="J1150" s="25" t="n">
        <f aca="false">H1150-E1150</f>
        <v>1250000000</v>
      </c>
      <c r="K1150" s="25" t="n">
        <f aca="false">D1150-I1150</f>
        <v>0</v>
      </c>
      <c r="L1150" s="25" t="n">
        <f aca="false">G1150-J1150</f>
        <v>0</v>
      </c>
      <c r="M1150" s="25" t="n">
        <f aca="false">F1150</f>
        <v>80278906.25</v>
      </c>
      <c r="N1150" s="48" t="n">
        <v>0.0135458333333333</v>
      </c>
      <c r="O1150" s="25" t="n">
        <f aca="false">IF(AND(B1150&gt;=DATE(2026,1,1),B1150&lt;=Resumen!$C$5),1,0)</f>
        <v>0</v>
      </c>
      <c r="P1150" s="25" t="n">
        <f aca="false">IF(AND(B1150&gt;Resumen!$C$5,B1150&lt;=DATE(2027,7,31)),1,0)</f>
        <v>0</v>
      </c>
    </row>
    <row r="1151" customFormat="false" ht="15" hidden="false" customHeight="false" outlineLevel="0" collapsed="false">
      <c r="A1151" s="22" t="n">
        <v>127</v>
      </c>
      <c r="B1151" s="23" t="n">
        <v>47074</v>
      </c>
      <c r="C1151" s="28" t="n">
        <v>1250000000</v>
      </c>
      <c r="D1151" s="28" t="n">
        <v>16932291.6666667</v>
      </c>
      <c r="E1151" s="28" t="n">
        <v>62500000</v>
      </c>
      <c r="F1151" s="28" t="n">
        <v>79432291.6666667</v>
      </c>
      <c r="G1151" s="28" t="n">
        <v>1187500000</v>
      </c>
      <c r="H1151" s="25" t="n">
        <f aca="false">J1150</f>
        <v>1250000000</v>
      </c>
      <c r="I1151" s="25" t="n">
        <f aca="false">H1151*N1151</f>
        <v>16932291.6666667</v>
      </c>
      <c r="J1151" s="25" t="n">
        <f aca="false">H1151-E1151</f>
        <v>1187500000</v>
      </c>
      <c r="K1151" s="25" t="n">
        <f aca="false">D1151-I1151</f>
        <v>0</v>
      </c>
      <c r="L1151" s="25" t="n">
        <f aca="false">G1151-J1151</f>
        <v>0</v>
      </c>
      <c r="M1151" s="25" t="n">
        <f aca="false">F1151</f>
        <v>79432291.6666667</v>
      </c>
      <c r="N1151" s="48" t="n">
        <v>0.0135458333333333</v>
      </c>
      <c r="O1151" s="25" t="n">
        <f aca="false">IF(AND(B1151&gt;=DATE(2026,1,1),B1151&lt;=Resumen!$C$5),1,0)</f>
        <v>0</v>
      </c>
      <c r="P1151" s="25" t="n">
        <f aca="false">IF(AND(B1151&gt;Resumen!$C$5,B1151&lt;=DATE(2027,7,31)),1,0)</f>
        <v>0</v>
      </c>
    </row>
    <row r="1152" customFormat="false" ht="15" hidden="false" customHeight="false" outlineLevel="0" collapsed="false">
      <c r="A1152" s="22" t="n">
        <v>128</v>
      </c>
      <c r="B1152" s="23" t="n">
        <v>47104</v>
      </c>
      <c r="C1152" s="28" t="n">
        <v>1187500000</v>
      </c>
      <c r="D1152" s="28" t="n">
        <v>16085677.0833333</v>
      </c>
      <c r="E1152" s="28" t="n">
        <v>62500000</v>
      </c>
      <c r="F1152" s="28" t="n">
        <v>78585677.0833333</v>
      </c>
      <c r="G1152" s="28" t="n">
        <v>1125000000</v>
      </c>
      <c r="H1152" s="25" t="n">
        <f aca="false">J1151</f>
        <v>1187500000</v>
      </c>
      <c r="I1152" s="25" t="n">
        <f aca="false">H1152*N1152</f>
        <v>16085677.0833333</v>
      </c>
      <c r="J1152" s="25" t="n">
        <f aca="false">H1152-E1152</f>
        <v>1125000000</v>
      </c>
      <c r="K1152" s="25" t="n">
        <f aca="false">D1152-I1152</f>
        <v>0</v>
      </c>
      <c r="L1152" s="25" t="n">
        <f aca="false">G1152-J1152</f>
        <v>0</v>
      </c>
      <c r="M1152" s="25" t="n">
        <f aca="false">F1152</f>
        <v>78585677.0833333</v>
      </c>
      <c r="N1152" s="48" t="n">
        <v>0.0135458333333333</v>
      </c>
      <c r="O1152" s="25" t="n">
        <f aca="false">IF(AND(B1152&gt;=DATE(2026,1,1),B1152&lt;=Resumen!$C$5),1,0)</f>
        <v>0</v>
      </c>
      <c r="P1152" s="25" t="n">
        <f aca="false">IF(AND(B1152&gt;Resumen!$C$5,B1152&lt;=DATE(2027,7,31)),1,0)</f>
        <v>0</v>
      </c>
    </row>
    <row r="1153" customFormat="false" ht="15" hidden="false" customHeight="false" outlineLevel="0" collapsed="false">
      <c r="A1153" s="22" t="n">
        <v>129</v>
      </c>
      <c r="B1153" s="23" t="n">
        <v>47135</v>
      </c>
      <c r="C1153" s="28" t="n">
        <v>1125000000</v>
      </c>
      <c r="D1153" s="28" t="n">
        <v>15239062.5</v>
      </c>
      <c r="E1153" s="28" t="n">
        <v>62500000</v>
      </c>
      <c r="F1153" s="28" t="n">
        <v>77739062.5</v>
      </c>
      <c r="G1153" s="28" t="n">
        <v>1062500000</v>
      </c>
      <c r="H1153" s="25" t="n">
        <f aca="false">J1152</f>
        <v>1125000000</v>
      </c>
      <c r="I1153" s="25" t="n">
        <f aca="false">H1153*N1153</f>
        <v>15239062.5</v>
      </c>
      <c r="J1153" s="25" t="n">
        <f aca="false">H1153-E1153</f>
        <v>1062500000</v>
      </c>
      <c r="K1153" s="25" t="n">
        <f aca="false">D1153-I1153</f>
        <v>0</v>
      </c>
      <c r="L1153" s="25" t="n">
        <f aca="false">G1153-J1153</f>
        <v>0</v>
      </c>
      <c r="M1153" s="25" t="n">
        <f aca="false">F1153</f>
        <v>77739062.5</v>
      </c>
      <c r="N1153" s="48" t="n">
        <v>0.0135458333333333</v>
      </c>
      <c r="O1153" s="25" t="n">
        <f aca="false">IF(AND(B1153&gt;=DATE(2026,1,1),B1153&lt;=Resumen!$C$5),1,0)</f>
        <v>0</v>
      </c>
      <c r="P1153" s="25" t="n">
        <f aca="false">IF(AND(B1153&gt;Resumen!$C$5,B1153&lt;=DATE(2027,7,31)),1,0)</f>
        <v>0</v>
      </c>
    </row>
    <row r="1154" customFormat="false" ht="15" hidden="false" customHeight="false" outlineLevel="0" collapsed="false">
      <c r="A1154" s="22" t="n">
        <v>130</v>
      </c>
      <c r="B1154" s="23" t="n">
        <v>47166</v>
      </c>
      <c r="C1154" s="28" t="n">
        <v>1062500000</v>
      </c>
      <c r="D1154" s="28" t="n">
        <v>14392447.9166667</v>
      </c>
      <c r="E1154" s="28" t="n">
        <v>62500000</v>
      </c>
      <c r="F1154" s="28" t="n">
        <v>76892447.9166667</v>
      </c>
      <c r="G1154" s="28" t="n">
        <v>1000000000</v>
      </c>
      <c r="H1154" s="25" t="n">
        <f aca="false">J1153</f>
        <v>1062500000</v>
      </c>
      <c r="I1154" s="25" t="n">
        <f aca="false">H1154*N1154</f>
        <v>14392447.9166667</v>
      </c>
      <c r="J1154" s="25" t="n">
        <f aca="false">H1154-E1154</f>
        <v>1000000000</v>
      </c>
      <c r="K1154" s="25" t="n">
        <f aca="false">D1154-I1154</f>
        <v>0</v>
      </c>
      <c r="L1154" s="25" t="n">
        <f aca="false">G1154-J1154</f>
        <v>0</v>
      </c>
      <c r="M1154" s="25" t="n">
        <f aca="false">F1154</f>
        <v>76892447.9166667</v>
      </c>
      <c r="N1154" s="48" t="n">
        <v>0.0135458333333333</v>
      </c>
      <c r="O1154" s="25" t="n">
        <f aca="false">IF(AND(B1154&gt;=DATE(2026,1,1),B1154&lt;=Resumen!$C$5),1,0)</f>
        <v>0</v>
      </c>
      <c r="P1154" s="25" t="n">
        <f aca="false">IF(AND(B1154&gt;Resumen!$C$5,B1154&lt;=DATE(2027,7,31)),1,0)</f>
        <v>0</v>
      </c>
    </row>
    <row r="1155" customFormat="false" ht="15" hidden="false" customHeight="false" outlineLevel="0" collapsed="false">
      <c r="A1155" s="22" t="n">
        <v>131</v>
      </c>
      <c r="B1155" s="23" t="n">
        <v>47194</v>
      </c>
      <c r="C1155" s="28" t="n">
        <v>1000000000</v>
      </c>
      <c r="D1155" s="28" t="n">
        <v>13545833.3333333</v>
      </c>
      <c r="E1155" s="28" t="n">
        <v>62500000</v>
      </c>
      <c r="F1155" s="28" t="n">
        <v>76045833.3333333</v>
      </c>
      <c r="G1155" s="28" t="n">
        <v>937500000</v>
      </c>
      <c r="H1155" s="25" t="n">
        <f aca="false">J1154</f>
        <v>1000000000</v>
      </c>
      <c r="I1155" s="25" t="n">
        <f aca="false">H1155*N1155</f>
        <v>13545833.3333333</v>
      </c>
      <c r="J1155" s="25" t="n">
        <f aca="false">H1155-E1155</f>
        <v>937500000</v>
      </c>
      <c r="K1155" s="25" t="n">
        <f aca="false">D1155-I1155</f>
        <v>0</v>
      </c>
      <c r="L1155" s="25" t="n">
        <f aca="false">G1155-J1155</f>
        <v>0</v>
      </c>
      <c r="M1155" s="25" t="n">
        <f aca="false">F1155</f>
        <v>76045833.3333333</v>
      </c>
      <c r="N1155" s="48" t="n">
        <v>0.0135458333333333</v>
      </c>
      <c r="O1155" s="25" t="n">
        <f aca="false">IF(AND(B1155&gt;=DATE(2026,1,1),B1155&lt;=Resumen!$C$5),1,0)</f>
        <v>0</v>
      </c>
      <c r="P1155" s="25" t="n">
        <f aca="false">IF(AND(B1155&gt;Resumen!$C$5,B1155&lt;=DATE(2027,7,31)),1,0)</f>
        <v>0</v>
      </c>
    </row>
    <row r="1156" customFormat="false" ht="15" hidden="false" customHeight="false" outlineLevel="0" collapsed="false">
      <c r="A1156" s="22" t="n">
        <v>132</v>
      </c>
      <c r="B1156" s="23" t="n">
        <v>47225</v>
      </c>
      <c r="C1156" s="28" t="n">
        <v>937500000</v>
      </c>
      <c r="D1156" s="28" t="n">
        <v>12699218.75</v>
      </c>
      <c r="E1156" s="28" t="n">
        <v>62500000</v>
      </c>
      <c r="F1156" s="28" t="n">
        <v>75199218.75</v>
      </c>
      <c r="G1156" s="28" t="n">
        <v>875000000</v>
      </c>
      <c r="H1156" s="25" t="n">
        <f aca="false">J1155</f>
        <v>937500000</v>
      </c>
      <c r="I1156" s="25" t="n">
        <f aca="false">H1156*N1156</f>
        <v>12699218.75</v>
      </c>
      <c r="J1156" s="25" t="n">
        <f aca="false">H1156-E1156</f>
        <v>875000000</v>
      </c>
      <c r="K1156" s="25" t="n">
        <f aca="false">D1156-I1156</f>
        <v>0</v>
      </c>
      <c r="L1156" s="25" t="n">
        <f aca="false">G1156-J1156</f>
        <v>0</v>
      </c>
      <c r="M1156" s="25" t="n">
        <f aca="false">F1156</f>
        <v>75199218.75</v>
      </c>
      <c r="N1156" s="48" t="n">
        <v>0.0135458333333333</v>
      </c>
      <c r="O1156" s="25" t="n">
        <f aca="false">IF(AND(B1156&gt;=DATE(2026,1,1),B1156&lt;=Resumen!$C$5),1,0)</f>
        <v>0</v>
      </c>
      <c r="P1156" s="25" t="n">
        <f aca="false">IF(AND(B1156&gt;Resumen!$C$5,B1156&lt;=DATE(2027,7,31)),1,0)</f>
        <v>0</v>
      </c>
    </row>
    <row r="1157" customFormat="false" ht="15" hidden="false" customHeight="false" outlineLevel="0" collapsed="false">
      <c r="A1157" s="22" t="n">
        <v>133</v>
      </c>
      <c r="B1157" s="23" t="n">
        <v>47255</v>
      </c>
      <c r="C1157" s="28" t="n">
        <v>875000000</v>
      </c>
      <c r="D1157" s="28" t="n">
        <v>11852604.1666667</v>
      </c>
      <c r="E1157" s="28" t="n">
        <v>62500000</v>
      </c>
      <c r="F1157" s="28" t="n">
        <v>74352604.1666667</v>
      </c>
      <c r="G1157" s="28" t="n">
        <v>812500000</v>
      </c>
      <c r="H1157" s="25" t="n">
        <f aca="false">J1156</f>
        <v>875000000</v>
      </c>
      <c r="I1157" s="25" t="n">
        <f aca="false">H1157*N1157</f>
        <v>11852604.1666667</v>
      </c>
      <c r="J1157" s="25" t="n">
        <f aca="false">H1157-E1157</f>
        <v>812500000</v>
      </c>
      <c r="K1157" s="25" t="n">
        <f aca="false">D1157-I1157</f>
        <v>0</v>
      </c>
      <c r="L1157" s="25" t="n">
        <f aca="false">G1157-J1157</f>
        <v>0</v>
      </c>
      <c r="M1157" s="25" t="n">
        <f aca="false">F1157</f>
        <v>74352604.1666667</v>
      </c>
      <c r="N1157" s="48" t="n">
        <v>0.0135458333333333</v>
      </c>
      <c r="O1157" s="25" t="n">
        <f aca="false">IF(AND(B1157&gt;=DATE(2026,1,1),B1157&lt;=Resumen!$C$5),1,0)</f>
        <v>0</v>
      </c>
      <c r="P1157" s="25" t="n">
        <f aca="false">IF(AND(B1157&gt;Resumen!$C$5,B1157&lt;=DATE(2027,7,31)),1,0)</f>
        <v>0</v>
      </c>
    </row>
    <row r="1158" customFormat="false" ht="15" hidden="false" customHeight="false" outlineLevel="0" collapsed="false">
      <c r="A1158" s="22" t="n">
        <v>134</v>
      </c>
      <c r="B1158" s="23" t="n">
        <v>47286</v>
      </c>
      <c r="C1158" s="28" t="n">
        <v>812500000</v>
      </c>
      <c r="D1158" s="28" t="n">
        <v>11005989.5833333</v>
      </c>
      <c r="E1158" s="28" t="n">
        <v>62500000</v>
      </c>
      <c r="F1158" s="28" t="n">
        <v>73505989.5833333</v>
      </c>
      <c r="G1158" s="28" t="n">
        <v>750000000</v>
      </c>
      <c r="H1158" s="25" t="n">
        <f aca="false">J1157</f>
        <v>812500000</v>
      </c>
      <c r="I1158" s="25" t="n">
        <f aca="false">H1158*N1158</f>
        <v>11005989.5833333</v>
      </c>
      <c r="J1158" s="25" t="n">
        <f aca="false">H1158-E1158</f>
        <v>750000000</v>
      </c>
      <c r="K1158" s="25" t="n">
        <f aca="false">D1158-I1158</f>
        <v>0</v>
      </c>
      <c r="L1158" s="25" t="n">
        <f aca="false">G1158-J1158</f>
        <v>0</v>
      </c>
      <c r="M1158" s="25" t="n">
        <f aca="false">F1158</f>
        <v>73505989.5833333</v>
      </c>
      <c r="N1158" s="48" t="n">
        <v>0.0135458333333333</v>
      </c>
      <c r="O1158" s="25" t="n">
        <f aca="false">IF(AND(B1158&gt;=DATE(2026,1,1),B1158&lt;=Resumen!$C$5),1,0)</f>
        <v>0</v>
      </c>
      <c r="P1158" s="25" t="n">
        <f aca="false">IF(AND(B1158&gt;Resumen!$C$5,B1158&lt;=DATE(2027,7,31)),1,0)</f>
        <v>0</v>
      </c>
    </row>
    <row r="1159" customFormat="false" ht="15" hidden="false" customHeight="false" outlineLevel="0" collapsed="false">
      <c r="A1159" s="22" t="n">
        <v>135</v>
      </c>
      <c r="B1159" s="23" t="n">
        <v>47316</v>
      </c>
      <c r="C1159" s="28" t="n">
        <v>750000000</v>
      </c>
      <c r="D1159" s="28" t="n">
        <v>10159375</v>
      </c>
      <c r="E1159" s="28" t="n">
        <v>62500000</v>
      </c>
      <c r="F1159" s="28" t="n">
        <v>72659375</v>
      </c>
      <c r="G1159" s="28" t="n">
        <v>687500000</v>
      </c>
      <c r="H1159" s="25" t="n">
        <f aca="false">J1158</f>
        <v>750000000</v>
      </c>
      <c r="I1159" s="25" t="n">
        <f aca="false">H1159*N1159</f>
        <v>10159375</v>
      </c>
      <c r="J1159" s="25" t="n">
        <f aca="false">H1159-E1159</f>
        <v>687500000</v>
      </c>
      <c r="K1159" s="25" t="n">
        <f aca="false">D1159-I1159</f>
        <v>0</v>
      </c>
      <c r="L1159" s="25" t="n">
        <f aca="false">G1159-J1159</f>
        <v>0</v>
      </c>
      <c r="M1159" s="25" t="n">
        <f aca="false">F1159</f>
        <v>72659375</v>
      </c>
      <c r="N1159" s="48" t="n">
        <v>0.0135458333333333</v>
      </c>
      <c r="O1159" s="25" t="n">
        <f aca="false">IF(AND(B1159&gt;=DATE(2026,1,1),B1159&lt;=Resumen!$C$5),1,0)</f>
        <v>0</v>
      </c>
      <c r="P1159" s="25" t="n">
        <f aca="false">IF(AND(B1159&gt;Resumen!$C$5,B1159&lt;=DATE(2027,7,31)),1,0)</f>
        <v>0</v>
      </c>
    </row>
    <row r="1160" customFormat="false" ht="15" hidden="false" customHeight="false" outlineLevel="0" collapsed="false">
      <c r="A1160" s="22" t="n">
        <v>136</v>
      </c>
      <c r="B1160" s="23" t="n">
        <v>47347</v>
      </c>
      <c r="C1160" s="28" t="n">
        <v>687500000</v>
      </c>
      <c r="D1160" s="28" t="n">
        <v>9312760.41666667</v>
      </c>
      <c r="E1160" s="28" t="n">
        <v>62500000</v>
      </c>
      <c r="F1160" s="28" t="n">
        <v>71812760.4166667</v>
      </c>
      <c r="G1160" s="28" t="n">
        <v>625000000</v>
      </c>
      <c r="H1160" s="25" t="n">
        <f aca="false">J1159</f>
        <v>687500000</v>
      </c>
      <c r="I1160" s="25" t="n">
        <f aca="false">H1160*N1160</f>
        <v>9312760.41666666</v>
      </c>
      <c r="J1160" s="25" t="n">
        <f aca="false">H1160-E1160</f>
        <v>625000000</v>
      </c>
      <c r="K1160" s="25" t="n">
        <f aca="false">D1160-I1160</f>
        <v>0</v>
      </c>
      <c r="L1160" s="25" t="n">
        <f aca="false">G1160-J1160</f>
        <v>0</v>
      </c>
      <c r="M1160" s="25" t="n">
        <f aca="false">F1160</f>
        <v>71812760.4166667</v>
      </c>
      <c r="N1160" s="48" t="n">
        <v>0.0135458333333333</v>
      </c>
      <c r="O1160" s="25" t="n">
        <f aca="false">IF(AND(B1160&gt;=DATE(2026,1,1),B1160&lt;=Resumen!$C$5),1,0)</f>
        <v>0</v>
      </c>
      <c r="P1160" s="25" t="n">
        <f aca="false">IF(AND(B1160&gt;Resumen!$C$5,B1160&lt;=DATE(2027,7,31)),1,0)</f>
        <v>0</v>
      </c>
    </row>
    <row r="1161" customFormat="false" ht="15" hidden="false" customHeight="false" outlineLevel="0" collapsed="false">
      <c r="A1161" s="22" t="n">
        <v>137</v>
      </c>
      <c r="B1161" s="23" t="n">
        <v>47378</v>
      </c>
      <c r="C1161" s="28" t="n">
        <v>625000000</v>
      </c>
      <c r="D1161" s="28" t="n">
        <v>8466145.83333333</v>
      </c>
      <c r="E1161" s="28" t="n">
        <v>62500000</v>
      </c>
      <c r="F1161" s="28" t="n">
        <v>70966145.8333333</v>
      </c>
      <c r="G1161" s="28" t="n">
        <v>562500000</v>
      </c>
      <c r="H1161" s="25" t="n">
        <f aca="false">J1160</f>
        <v>625000000</v>
      </c>
      <c r="I1161" s="25" t="n">
        <f aca="false">H1161*N1161</f>
        <v>8466145.83333333</v>
      </c>
      <c r="J1161" s="25" t="n">
        <f aca="false">H1161-E1161</f>
        <v>562500000</v>
      </c>
      <c r="K1161" s="25" t="n">
        <f aca="false">D1161-I1161</f>
        <v>0</v>
      </c>
      <c r="L1161" s="25" t="n">
        <f aca="false">G1161-J1161</f>
        <v>0</v>
      </c>
      <c r="M1161" s="25" t="n">
        <f aca="false">F1161</f>
        <v>70966145.8333333</v>
      </c>
      <c r="N1161" s="48" t="n">
        <v>0.0135458333333333</v>
      </c>
      <c r="O1161" s="25" t="n">
        <f aca="false">IF(AND(B1161&gt;=DATE(2026,1,1),B1161&lt;=Resumen!$C$5),1,0)</f>
        <v>0</v>
      </c>
      <c r="P1161" s="25" t="n">
        <f aca="false">IF(AND(B1161&gt;Resumen!$C$5,B1161&lt;=DATE(2027,7,31)),1,0)</f>
        <v>0</v>
      </c>
    </row>
    <row r="1162" customFormat="false" ht="15" hidden="false" customHeight="false" outlineLevel="0" collapsed="false">
      <c r="A1162" s="22" t="n">
        <v>138</v>
      </c>
      <c r="B1162" s="23" t="n">
        <v>47408</v>
      </c>
      <c r="C1162" s="28" t="n">
        <v>562500000</v>
      </c>
      <c r="D1162" s="28" t="n">
        <v>7619531.25</v>
      </c>
      <c r="E1162" s="28" t="n">
        <v>62500000</v>
      </c>
      <c r="F1162" s="28" t="n">
        <v>70119531.25</v>
      </c>
      <c r="G1162" s="28" t="n">
        <v>500000000</v>
      </c>
      <c r="H1162" s="25" t="n">
        <f aca="false">J1161</f>
        <v>562500000</v>
      </c>
      <c r="I1162" s="25" t="n">
        <f aca="false">H1162*N1162</f>
        <v>7619531.25</v>
      </c>
      <c r="J1162" s="25" t="n">
        <f aca="false">H1162-E1162</f>
        <v>500000000</v>
      </c>
      <c r="K1162" s="25" t="n">
        <f aca="false">D1162-I1162</f>
        <v>0</v>
      </c>
      <c r="L1162" s="25" t="n">
        <f aca="false">G1162-J1162</f>
        <v>0</v>
      </c>
      <c r="M1162" s="25" t="n">
        <f aca="false">F1162</f>
        <v>70119531.25</v>
      </c>
      <c r="N1162" s="48" t="n">
        <v>0.0135458333333333</v>
      </c>
      <c r="O1162" s="25" t="n">
        <f aca="false">IF(AND(B1162&gt;=DATE(2026,1,1),B1162&lt;=Resumen!$C$5),1,0)</f>
        <v>0</v>
      </c>
      <c r="P1162" s="25" t="n">
        <f aca="false">IF(AND(B1162&gt;Resumen!$C$5,B1162&lt;=DATE(2027,7,31)),1,0)</f>
        <v>0</v>
      </c>
    </row>
    <row r="1163" customFormat="false" ht="15" hidden="false" customHeight="false" outlineLevel="0" collapsed="false">
      <c r="A1163" s="22" t="n">
        <v>139</v>
      </c>
      <c r="B1163" s="23" t="n">
        <v>47439</v>
      </c>
      <c r="C1163" s="28" t="n">
        <v>500000000</v>
      </c>
      <c r="D1163" s="28" t="n">
        <v>6772916.66666667</v>
      </c>
      <c r="E1163" s="28" t="n">
        <v>62500000</v>
      </c>
      <c r="F1163" s="28" t="n">
        <v>69272916.6666667</v>
      </c>
      <c r="G1163" s="28" t="n">
        <v>437500000</v>
      </c>
      <c r="H1163" s="25" t="n">
        <f aca="false">J1162</f>
        <v>500000000</v>
      </c>
      <c r="I1163" s="25" t="n">
        <f aca="false">H1163*N1163</f>
        <v>6772916.66666667</v>
      </c>
      <c r="J1163" s="25" t="n">
        <f aca="false">H1163-E1163</f>
        <v>437500000</v>
      </c>
      <c r="K1163" s="25" t="n">
        <f aca="false">D1163-I1163</f>
        <v>0</v>
      </c>
      <c r="L1163" s="25" t="n">
        <f aca="false">G1163-J1163</f>
        <v>0</v>
      </c>
      <c r="M1163" s="25" t="n">
        <f aca="false">F1163</f>
        <v>69272916.6666667</v>
      </c>
      <c r="N1163" s="48" t="n">
        <v>0.0135458333333333</v>
      </c>
      <c r="O1163" s="25" t="n">
        <f aca="false">IF(AND(B1163&gt;=DATE(2026,1,1),B1163&lt;=Resumen!$C$5),1,0)</f>
        <v>0</v>
      </c>
      <c r="P1163" s="25" t="n">
        <f aca="false">IF(AND(B1163&gt;Resumen!$C$5,B1163&lt;=DATE(2027,7,31)),1,0)</f>
        <v>0</v>
      </c>
    </row>
    <row r="1164" customFormat="false" ht="15" hidden="false" customHeight="false" outlineLevel="0" collapsed="false">
      <c r="A1164" s="22" t="n">
        <v>140</v>
      </c>
      <c r="B1164" s="23" t="n">
        <v>47469</v>
      </c>
      <c r="C1164" s="28" t="n">
        <v>437500000</v>
      </c>
      <c r="D1164" s="28" t="n">
        <v>5926302.08333333</v>
      </c>
      <c r="E1164" s="28" t="n">
        <v>62500000</v>
      </c>
      <c r="F1164" s="28" t="n">
        <v>68426302.0833333</v>
      </c>
      <c r="G1164" s="28" t="n">
        <v>375000000</v>
      </c>
      <c r="H1164" s="25" t="n">
        <f aca="false">J1163</f>
        <v>437500000</v>
      </c>
      <c r="I1164" s="25" t="n">
        <f aca="false">H1164*N1164</f>
        <v>5926302.08333333</v>
      </c>
      <c r="J1164" s="25" t="n">
        <f aca="false">H1164-E1164</f>
        <v>375000000</v>
      </c>
      <c r="K1164" s="25" t="n">
        <f aca="false">D1164-I1164</f>
        <v>0</v>
      </c>
      <c r="L1164" s="25" t="n">
        <f aca="false">G1164-J1164</f>
        <v>0</v>
      </c>
      <c r="M1164" s="25" t="n">
        <f aca="false">F1164</f>
        <v>68426302.0833333</v>
      </c>
      <c r="N1164" s="48" t="n">
        <v>0.0135458333333333</v>
      </c>
      <c r="O1164" s="25" t="n">
        <f aca="false">IF(AND(B1164&gt;=DATE(2026,1,1),B1164&lt;=Resumen!$C$5),1,0)</f>
        <v>0</v>
      </c>
      <c r="P1164" s="25" t="n">
        <f aca="false">IF(AND(B1164&gt;Resumen!$C$5,B1164&lt;=DATE(2027,7,31)),1,0)</f>
        <v>0</v>
      </c>
    </row>
    <row r="1165" customFormat="false" ht="15" hidden="false" customHeight="false" outlineLevel="0" collapsed="false">
      <c r="A1165" s="22" t="n">
        <v>141</v>
      </c>
      <c r="B1165" s="23" t="n">
        <v>47500</v>
      </c>
      <c r="C1165" s="28" t="n">
        <v>375000000</v>
      </c>
      <c r="D1165" s="28" t="n">
        <v>5079687.5</v>
      </c>
      <c r="E1165" s="28" t="n">
        <v>62500000</v>
      </c>
      <c r="F1165" s="28" t="n">
        <v>67579687.5</v>
      </c>
      <c r="G1165" s="28" t="n">
        <v>312500000</v>
      </c>
      <c r="H1165" s="25" t="n">
        <f aca="false">J1164</f>
        <v>375000000</v>
      </c>
      <c r="I1165" s="25" t="n">
        <f aca="false">H1165*N1165</f>
        <v>5079687.5</v>
      </c>
      <c r="J1165" s="25" t="n">
        <f aca="false">H1165-E1165</f>
        <v>312500000</v>
      </c>
      <c r="K1165" s="25" t="n">
        <f aca="false">D1165-I1165</f>
        <v>0</v>
      </c>
      <c r="L1165" s="25" t="n">
        <f aca="false">G1165-J1165</f>
        <v>0</v>
      </c>
      <c r="M1165" s="25" t="n">
        <f aca="false">F1165</f>
        <v>67579687.5</v>
      </c>
      <c r="N1165" s="48" t="n">
        <v>0.0135458333333333</v>
      </c>
      <c r="O1165" s="25" t="n">
        <f aca="false">IF(AND(B1165&gt;=DATE(2026,1,1),B1165&lt;=Resumen!$C$5),1,0)</f>
        <v>0</v>
      </c>
      <c r="P1165" s="25" t="n">
        <f aca="false">IF(AND(B1165&gt;Resumen!$C$5,B1165&lt;=DATE(2027,7,31)),1,0)</f>
        <v>0</v>
      </c>
    </row>
    <row r="1166" customFormat="false" ht="15" hidden="false" customHeight="false" outlineLevel="0" collapsed="false">
      <c r="A1166" s="22" t="n">
        <v>142</v>
      </c>
      <c r="B1166" s="23" t="n">
        <v>47531</v>
      </c>
      <c r="C1166" s="28" t="n">
        <v>312500000</v>
      </c>
      <c r="D1166" s="28" t="n">
        <v>4233072.91666667</v>
      </c>
      <c r="E1166" s="28" t="n">
        <v>62500000</v>
      </c>
      <c r="F1166" s="28" t="n">
        <v>66733072.9166667</v>
      </c>
      <c r="G1166" s="28" t="n">
        <v>250000000</v>
      </c>
      <c r="H1166" s="25" t="n">
        <f aca="false">J1165</f>
        <v>312500000</v>
      </c>
      <c r="I1166" s="25" t="n">
        <f aca="false">H1166*N1166</f>
        <v>4233072.91666667</v>
      </c>
      <c r="J1166" s="25" t="n">
        <f aca="false">H1166-E1166</f>
        <v>250000000</v>
      </c>
      <c r="K1166" s="25" t="n">
        <f aca="false">D1166-I1166</f>
        <v>0</v>
      </c>
      <c r="L1166" s="25" t="n">
        <f aca="false">G1166-J1166</f>
        <v>0</v>
      </c>
      <c r="M1166" s="25" t="n">
        <f aca="false">F1166</f>
        <v>66733072.9166667</v>
      </c>
      <c r="N1166" s="48" t="n">
        <v>0.0135458333333333</v>
      </c>
      <c r="O1166" s="25" t="n">
        <f aca="false">IF(AND(B1166&gt;=DATE(2026,1,1),B1166&lt;=Resumen!$C$5),1,0)</f>
        <v>0</v>
      </c>
      <c r="P1166" s="25" t="n">
        <f aca="false">IF(AND(B1166&gt;Resumen!$C$5,B1166&lt;=DATE(2027,7,31)),1,0)</f>
        <v>0</v>
      </c>
    </row>
    <row r="1167" customFormat="false" ht="15" hidden="false" customHeight="false" outlineLevel="0" collapsed="false">
      <c r="A1167" s="22" t="n">
        <v>143</v>
      </c>
      <c r="B1167" s="23" t="n">
        <v>47559</v>
      </c>
      <c r="C1167" s="28" t="n">
        <v>250000000</v>
      </c>
      <c r="D1167" s="28" t="n">
        <v>3386458.33333333</v>
      </c>
      <c r="E1167" s="28" t="n">
        <v>62500000</v>
      </c>
      <c r="F1167" s="28" t="n">
        <v>65886458.3333333</v>
      </c>
      <c r="G1167" s="28" t="n">
        <v>187500000</v>
      </c>
      <c r="H1167" s="25" t="n">
        <f aca="false">J1166</f>
        <v>250000000</v>
      </c>
      <c r="I1167" s="25" t="n">
        <f aca="false">H1167*N1167</f>
        <v>3386458.33333333</v>
      </c>
      <c r="J1167" s="25" t="n">
        <f aca="false">H1167-E1167</f>
        <v>187500000</v>
      </c>
      <c r="K1167" s="25" t="n">
        <f aca="false">D1167-I1167</f>
        <v>0</v>
      </c>
      <c r="L1167" s="25" t="n">
        <f aca="false">G1167-J1167</f>
        <v>0</v>
      </c>
      <c r="M1167" s="25" t="n">
        <f aca="false">F1167</f>
        <v>65886458.3333333</v>
      </c>
      <c r="N1167" s="48" t="n">
        <v>0.0135458333333333</v>
      </c>
      <c r="O1167" s="25" t="n">
        <f aca="false">IF(AND(B1167&gt;=DATE(2026,1,1),B1167&lt;=Resumen!$C$5),1,0)</f>
        <v>0</v>
      </c>
      <c r="P1167" s="25" t="n">
        <f aca="false">IF(AND(B1167&gt;Resumen!$C$5,B1167&lt;=DATE(2027,7,31)),1,0)</f>
        <v>0</v>
      </c>
    </row>
    <row r="1168" customFormat="false" ht="15" hidden="false" customHeight="false" outlineLevel="0" collapsed="false">
      <c r="A1168" s="22" t="n">
        <v>144</v>
      </c>
      <c r="B1168" s="23" t="n">
        <v>47590</v>
      </c>
      <c r="C1168" s="28" t="n">
        <v>187500000</v>
      </c>
      <c r="D1168" s="28" t="n">
        <v>2539843.75</v>
      </c>
      <c r="E1168" s="28" t="n">
        <v>62500000</v>
      </c>
      <c r="F1168" s="28" t="n">
        <v>65039843.75</v>
      </c>
      <c r="G1168" s="28" t="n">
        <v>125000000</v>
      </c>
      <c r="H1168" s="25" t="n">
        <f aca="false">J1167</f>
        <v>187500000</v>
      </c>
      <c r="I1168" s="25" t="n">
        <f aca="false">H1168*N1168</f>
        <v>2539843.75</v>
      </c>
      <c r="J1168" s="25" t="n">
        <f aca="false">H1168-E1168</f>
        <v>125000000</v>
      </c>
      <c r="K1168" s="25" t="n">
        <f aca="false">D1168-I1168</f>
        <v>0</v>
      </c>
      <c r="L1168" s="25" t="n">
        <f aca="false">G1168-J1168</f>
        <v>0</v>
      </c>
      <c r="M1168" s="25" t="n">
        <f aca="false">F1168</f>
        <v>65039843.75</v>
      </c>
      <c r="N1168" s="48" t="n">
        <v>0.0135458333333333</v>
      </c>
      <c r="O1168" s="25" t="n">
        <f aca="false">IF(AND(B1168&gt;=DATE(2026,1,1),B1168&lt;=Resumen!$C$5),1,0)</f>
        <v>0</v>
      </c>
      <c r="P1168" s="25" t="n">
        <f aca="false">IF(AND(B1168&gt;Resumen!$C$5,B1168&lt;=DATE(2027,7,31)),1,0)</f>
        <v>0</v>
      </c>
    </row>
    <row r="1169" customFormat="false" ht="15" hidden="false" customHeight="false" outlineLevel="0" collapsed="false">
      <c r="A1169" s="22" t="n">
        <v>145</v>
      </c>
      <c r="B1169" s="23" t="n">
        <v>47620</v>
      </c>
      <c r="C1169" s="28" t="n">
        <v>125000000</v>
      </c>
      <c r="D1169" s="28" t="n">
        <v>1693229.16666667</v>
      </c>
      <c r="E1169" s="28" t="n">
        <v>62500000</v>
      </c>
      <c r="F1169" s="28" t="n">
        <v>64193229.1666667</v>
      </c>
      <c r="G1169" s="28" t="n">
        <v>62500000</v>
      </c>
      <c r="H1169" s="25" t="n">
        <f aca="false">J1168</f>
        <v>125000000</v>
      </c>
      <c r="I1169" s="25" t="n">
        <f aca="false">H1169*N1169</f>
        <v>1693229.16666667</v>
      </c>
      <c r="J1169" s="25" t="n">
        <f aca="false">H1169-E1169</f>
        <v>62500000</v>
      </c>
      <c r="K1169" s="25" t="n">
        <f aca="false">D1169-I1169</f>
        <v>0</v>
      </c>
      <c r="L1169" s="25" t="n">
        <f aca="false">G1169-J1169</f>
        <v>0</v>
      </c>
      <c r="M1169" s="25" t="n">
        <f aca="false">F1169</f>
        <v>64193229.1666667</v>
      </c>
      <c r="N1169" s="48" t="n">
        <v>0.0135458333333333</v>
      </c>
      <c r="O1169" s="25" t="n">
        <f aca="false">IF(AND(B1169&gt;=DATE(2026,1,1),B1169&lt;=Resumen!$C$5),1,0)</f>
        <v>0</v>
      </c>
      <c r="P1169" s="25" t="n">
        <f aca="false">IF(AND(B1169&gt;Resumen!$C$5,B1169&lt;=DATE(2027,7,31)),1,0)</f>
        <v>0</v>
      </c>
    </row>
    <row r="1170" customFormat="false" ht="15" hidden="false" customHeight="false" outlineLevel="0" collapsed="false">
      <c r="A1170" s="22" t="n">
        <v>146</v>
      </c>
      <c r="B1170" s="23" t="n">
        <v>47651</v>
      </c>
      <c r="C1170" s="28" t="n">
        <v>62500000</v>
      </c>
      <c r="D1170" s="28" t="n">
        <v>846614.583333333</v>
      </c>
      <c r="E1170" s="28" t="n">
        <v>62500000</v>
      </c>
      <c r="F1170" s="28" t="n">
        <v>63346614.5833333</v>
      </c>
      <c r="G1170" s="28" t="n">
        <v>0</v>
      </c>
      <c r="H1170" s="25" t="n">
        <f aca="false">J1169</f>
        <v>62500000</v>
      </c>
      <c r="I1170" s="25" t="n">
        <f aca="false">H1170*N1170</f>
        <v>846614.583333333</v>
      </c>
      <c r="J1170" s="25" t="n">
        <f aca="false">H1170-E1170</f>
        <v>0</v>
      </c>
      <c r="K1170" s="25" t="n">
        <f aca="false">D1170-I1170</f>
        <v>0</v>
      </c>
      <c r="L1170" s="25" t="n">
        <f aca="false">G1170-J1170</f>
        <v>0</v>
      </c>
      <c r="M1170" s="25" t="n">
        <f aca="false">F1170</f>
        <v>63346614.5833333</v>
      </c>
      <c r="N1170" s="48" t="n">
        <v>0.0135458333333333</v>
      </c>
      <c r="O1170" s="25" t="n">
        <f aca="false">IF(AND(B1170&gt;=DATE(2026,1,1),B1170&lt;=Resumen!$C$5),1,0)</f>
        <v>0</v>
      </c>
      <c r="P1170" s="25" t="n">
        <f aca="false">IF(AND(B1170&gt;Resumen!$C$5,B1170&lt;=DATE(2027,7,31)),1,0)</f>
        <v>0</v>
      </c>
    </row>
    <row r="1173" customFormat="false" ht="15" hidden="false" customHeight="false" outlineLevel="0" collapsed="false">
      <c r="A1173" s="33" t="s">
        <v>836</v>
      </c>
    </row>
    <row r="1174" customFormat="false" ht="15" hidden="false" customHeight="false" outlineLevel="0" collapsed="false">
      <c r="A1174" s="34" t="s">
        <v>837</v>
      </c>
    </row>
    <row r="1175" customFormat="false" ht="15" hidden="false" customHeight="false" outlineLevel="0" collapsed="false">
      <c r="A1175" s="19" t="s">
        <v>838</v>
      </c>
    </row>
    <row r="1176" customFormat="false" ht="15" hidden="false" customHeight="false" outlineLevel="0" collapsed="false">
      <c r="A1176" s="20" t="s">
        <v>839</v>
      </c>
    </row>
    <row r="1177" customFormat="false" ht="15" hidden="false" customHeight="false" outlineLevel="0" collapsed="false">
      <c r="A1177" s="29" t="s">
        <v>773</v>
      </c>
      <c r="C1177" s="22" t="s">
        <v>840</v>
      </c>
      <c r="F1177" s="47" t="s">
        <v>775</v>
      </c>
    </row>
    <row r="1178" customFormat="false" ht="15" hidden="false" customHeight="false" outlineLevel="0" collapsed="false">
      <c r="A1178" s="29" t="s">
        <v>640</v>
      </c>
      <c r="C1178" s="28" t="n">
        <v>2186000000</v>
      </c>
      <c r="F1178" s="22" t="s">
        <v>776</v>
      </c>
      <c r="I1178" s="41" t="n">
        <f aca="false">_xlfn.MAXIFS($B$1186:$B$1246,$B$1186:$B$1246,"&lt;="&amp;Resumen!$C$5)</f>
        <v>46224</v>
      </c>
    </row>
    <row r="1179" customFormat="false" ht="15" hidden="false" customHeight="false" outlineLevel="0" collapsed="false">
      <c r="A1179" s="29" t="s">
        <v>641</v>
      </c>
      <c r="C1179" s="23" t="n">
        <v>45098</v>
      </c>
      <c r="F1179" s="22" t="s">
        <v>777</v>
      </c>
      <c r="I1179" s="25" t="n">
        <f aca="false">SUMIFS($G$1186:$G$1246,$B$1186:$B$1246,I1178)</f>
        <v>1457333336</v>
      </c>
    </row>
    <row r="1180" customFormat="false" ht="15" hidden="false" customHeight="false" outlineLevel="0" collapsed="false">
      <c r="A1180" s="29" t="s">
        <v>778</v>
      </c>
      <c r="C1180" s="22" t="s">
        <v>841</v>
      </c>
      <c r="F1180" s="22" t="s">
        <v>780</v>
      </c>
      <c r="I1180" s="25" t="n">
        <f aca="false">SUMIFS($J$1186:$J$1246,$B$1186:$B$1246,I1178)</f>
        <v>1457333336</v>
      </c>
    </row>
    <row r="1181" customFormat="false" ht="15" hidden="false" customHeight="false" outlineLevel="0" collapsed="false">
      <c r="A1181" s="29" t="s">
        <v>781</v>
      </c>
      <c r="C1181" s="48" t="s">
        <v>818</v>
      </c>
      <c r="F1181" s="22" t="s">
        <v>650</v>
      </c>
      <c r="I1181" s="25" t="n">
        <f aca="false">SUMIFS($D$1186:$D$1246,$O$1186:$O$1246,1)</f>
        <v>140132012.200862</v>
      </c>
    </row>
    <row r="1182" customFormat="false" ht="15" hidden="false" customHeight="false" outlineLevel="0" collapsed="false">
      <c r="A1182" s="29" t="s">
        <v>782</v>
      </c>
      <c r="C1182" s="49" t="str">
        <f aca="false">IFERROR(IRR($M$1186:$M$1246),"N/A")</f>
        <v>N/A</v>
      </c>
      <c r="F1182" s="22" t="s">
        <v>783</v>
      </c>
      <c r="I1182" s="25" t="n">
        <f aca="false">SUMIFS($E$1186:$E$1246,$P$1186:$P$1246,1)</f>
        <v>728666668</v>
      </c>
    </row>
    <row r="1183" customFormat="false" ht="15" hidden="false" customHeight="false" outlineLevel="0" collapsed="false">
      <c r="A1183" s="29" t="s">
        <v>784</v>
      </c>
      <c r="C1183" s="50" t="str">
        <f aca="false">IF(ISNUMBER(C1182),(1+C1182)^12-1,"N/A")</f>
        <v>N/A</v>
      </c>
      <c r="F1183" s="22" t="s">
        <v>785</v>
      </c>
      <c r="I1183" s="25" t="n">
        <f aca="false">SUMPRODUCT(MAX(ABS($L$1186:$L$1246)))</f>
        <v>0</v>
      </c>
    </row>
    <row r="1185" customFormat="false" ht="36" hidden="false" customHeight="true" outlineLevel="0" collapsed="false">
      <c r="A1185" s="27" t="s">
        <v>786</v>
      </c>
      <c r="B1185" s="27" t="s">
        <v>396</v>
      </c>
      <c r="C1185" s="27" t="s">
        <v>787</v>
      </c>
      <c r="D1185" s="27" t="s">
        <v>788</v>
      </c>
      <c r="E1185" s="27" t="s">
        <v>789</v>
      </c>
      <c r="F1185" s="27" t="s">
        <v>790</v>
      </c>
      <c r="G1185" s="27" t="s">
        <v>791</v>
      </c>
      <c r="H1185" s="27" t="s">
        <v>792</v>
      </c>
      <c r="I1185" s="27" t="s">
        <v>793</v>
      </c>
      <c r="J1185" s="27" t="s">
        <v>794</v>
      </c>
      <c r="K1185" s="27" t="s">
        <v>795</v>
      </c>
      <c r="L1185" s="27" t="s">
        <v>796</v>
      </c>
      <c r="M1185" s="27" t="s">
        <v>797</v>
      </c>
      <c r="N1185" s="27" t="s">
        <v>798</v>
      </c>
      <c r="O1185" s="27" t="s">
        <v>799</v>
      </c>
      <c r="P1185" s="27" t="s">
        <v>800</v>
      </c>
    </row>
    <row r="1186" customFormat="false" ht="15" hidden="false" customHeight="false" outlineLevel="0" collapsed="false">
      <c r="A1186" s="22" t="n">
        <v>0</v>
      </c>
      <c r="B1186" s="23" t="n">
        <v>45098</v>
      </c>
      <c r="C1186" s="28" t="n">
        <v>2186000000</v>
      </c>
      <c r="D1186" s="28" t="n">
        <v>0</v>
      </c>
      <c r="E1186" s="28" t="n">
        <v>0</v>
      </c>
      <c r="F1186" s="28" t="n">
        <v>0</v>
      </c>
      <c r="G1186" s="28" t="n">
        <v>2186000000</v>
      </c>
      <c r="H1186" s="25" t="n">
        <f aca="false">C1186</f>
        <v>2186000000</v>
      </c>
      <c r="I1186" s="25" t="n">
        <f aca="false">H1186*N1186</f>
        <v>29973703.3333333</v>
      </c>
      <c r="J1186" s="25" t="n">
        <f aca="false">H1186-E1186</f>
        <v>2186000000</v>
      </c>
      <c r="K1186" s="25" t="n">
        <f aca="false">D1186-I1186</f>
        <v>-29973703.3333333</v>
      </c>
      <c r="L1186" s="25" t="n">
        <f aca="false">G1186-J1186</f>
        <v>0</v>
      </c>
      <c r="M1186" s="25" t="n">
        <f aca="false">-$C$1178</f>
        <v>-2186000000</v>
      </c>
      <c r="N1186" s="48" t="n">
        <v>0.0137116666666667</v>
      </c>
      <c r="O1186" s="25" t="n">
        <f aca="false">IF(AND(B1186&gt;=DATE(2026,1,1),B1186&lt;=Resumen!$C$5),1,0)</f>
        <v>0</v>
      </c>
      <c r="P1186" s="25" t="n">
        <f aca="false">IF(AND(B1186&gt;Resumen!$C$5,B1186&lt;=DATE(2027,7,31)),1,0)</f>
        <v>0</v>
      </c>
    </row>
    <row r="1187" customFormat="false" ht="15" hidden="false" customHeight="false" outlineLevel="0" collapsed="false">
      <c r="A1187" s="22" t="n">
        <v>1</v>
      </c>
      <c r="B1187" s="23" t="n">
        <v>45128</v>
      </c>
      <c r="C1187" s="28" t="n">
        <v>2186000000</v>
      </c>
      <c r="D1187" s="28" t="n">
        <v>29715026.6666667</v>
      </c>
      <c r="E1187" s="28" t="n">
        <v>0</v>
      </c>
      <c r="F1187" s="28" t="n">
        <v>29715026.6666667</v>
      </c>
      <c r="G1187" s="28" t="n">
        <v>2186000000</v>
      </c>
      <c r="H1187" s="25" t="n">
        <f aca="false">J1186</f>
        <v>2186000000</v>
      </c>
      <c r="I1187" s="25" t="n">
        <f aca="false">H1187*N1187</f>
        <v>29715026.6666667</v>
      </c>
      <c r="J1187" s="25" t="n">
        <f aca="false">H1187-E1187</f>
        <v>2186000000</v>
      </c>
      <c r="K1187" s="25" t="n">
        <f aca="false">D1187-I1187</f>
        <v>0</v>
      </c>
      <c r="L1187" s="25" t="n">
        <f aca="false">G1187-J1187</f>
        <v>0</v>
      </c>
      <c r="M1187" s="25" t="n">
        <f aca="false">F1187</f>
        <v>29715026.6666667</v>
      </c>
      <c r="N1187" s="48" t="n">
        <v>0.0135933333333333</v>
      </c>
      <c r="O1187" s="25" t="n">
        <f aca="false">IF(AND(B1187&gt;=DATE(2026,1,1),B1187&lt;=Resumen!$C$5),1,0)</f>
        <v>0</v>
      </c>
      <c r="P1187" s="25" t="n">
        <f aca="false">IF(AND(B1187&gt;Resumen!$C$5,B1187&lt;=DATE(2027,7,31)),1,0)</f>
        <v>0</v>
      </c>
    </row>
    <row r="1188" customFormat="false" ht="15" hidden="false" customHeight="false" outlineLevel="0" collapsed="false">
      <c r="A1188" s="22" t="n">
        <v>2</v>
      </c>
      <c r="B1188" s="23" t="n">
        <v>45159</v>
      </c>
      <c r="C1188" s="28" t="n">
        <v>2186000000</v>
      </c>
      <c r="D1188" s="28" t="n">
        <v>29713205</v>
      </c>
      <c r="E1188" s="28" t="n">
        <v>0</v>
      </c>
      <c r="F1188" s="28" t="n">
        <v>29713205</v>
      </c>
      <c r="G1188" s="28" t="n">
        <v>2186000000</v>
      </c>
      <c r="H1188" s="25" t="n">
        <f aca="false">J1187</f>
        <v>2186000000</v>
      </c>
      <c r="I1188" s="25" t="n">
        <f aca="false">H1188*N1188</f>
        <v>29713205</v>
      </c>
      <c r="J1188" s="25" t="n">
        <f aca="false">H1188-E1188</f>
        <v>2186000000</v>
      </c>
      <c r="K1188" s="25" t="n">
        <f aca="false">D1188-I1188</f>
        <v>0</v>
      </c>
      <c r="L1188" s="25" t="n">
        <f aca="false">G1188-J1188</f>
        <v>0</v>
      </c>
      <c r="M1188" s="25" t="n">
        <f aca="false">F1188</f>
        <v>29713205</v>
      </c>
      <c r="N1188" s="48" t="n">
        <v>0.0135925</v>
      </c>
      <c r="O1188" s="25" t="n">
        <f aca="false">IF(AND(B1188&gt;=DATE(2026,1,1),B1188&lt;=Resumen!$C$5),1,0)</f>
        <v>0</v>
      </c>
      <c r="P1188" s="25" t="n">
        <f aca="false">IF(AND(B1188&gt;Resumen!$C$5,B1188&lt;=DATE(2027,7,31)),1,0)</f>
        <v>0</v>
      </c>
    </row>
    <row r="1189" customFormat="false" ht="15" hidden="false" customHeight="false" outlineLevel="0" collapsed="false">
      <c r="A1189" s="22" t="n">
        <v>3</v>
      </c>
      <c r="B1189" s="23" t="n">
        <v>45190</v>
      </c>
      <c r="C1189" s="28" t="n">
        <v>2186000000</v>
      </c>
      <c r="D1189" s="28" t="n">
        <v>28264980</v>
      </c>
      <c r="E1189" s="28" t="n">
        <v>0</v>
      </c>
      <c r="F1189" s="28" t="n">
        <v>28264980</v>
      </c>
      <c r="G1189" s="28" t="n">
        <v>2186000000</v>
      </c>
      <c r="H1189" s="25" t="n">
        <f aca="false">J1188</f>
        <v>2186000000</v>
      </c>
      <c r="I1189" s="25" t="n">
        <f aca="false">H1189*N1189</f>
        <v>28264980</v>
      </c>
      <c r="J1189" s="25" t="n">
        <f aca="false">H1189-E1189</f>
        <v>2186000000</v>
      </c>
      <c r="K1189" s="25" t="n">
        <f aca="false">D1189-I1189</f>
        <v>0</v>
      </c>
      <c r="L1189" s="25" t="n">
        <f aca="false">G1189-J1189</f>
        <v>0</v>
      </c>
      <c r="M1189" s="25" t="n">
        <f aca="false">F1189</f>
        <v>28264980</v>
      </c>
      <c r="N1189" s="48" t="n">
        <v>0.01293</v>
      </c>
      <c r="O1189" s="25" t="n">
        <f aca="false">IF(AND(B1189&gt;=DATE(2026,1,1),B1189&lt;=Resumen!$C$5),1,0)</f>
        <v>0</v>
      </c>
      <c r="P1189" s="25" t="n">
        <f aca="false">IF(AND(B1189&gt;Resumen!$C$5,B1189&lt;=DATE(2027,7,31)),1,0)</f>
        <v>0</v>
      </c>
    </row>
    <row r="1190" customFormat="false" ht="15" hidden="false" customHeight="false" outlineLevel="0" collapsed="false">
      <c r="A1190" s="22" t="n">
        <v>4</v>
      </c>
      <c r="B1190" s="23" t="n">
        <v>45220</v>
      </c>
      <c r="C1190" s="28" t="n">
        <v>2186000000</v>
      </c>
      <c r="D1190" s="28" t="n">
        <v>28252228.3333333</v>
      </c>
      <c r="E1190" s="28" t="n">
        <v>0</v>
      </c>
      <c r="F1190" s="28" t="n">
        <v>28252228.3333333</v>
      </c>
      <c r="G1190" s="28" t="n">
        <v>2186000000</v>
      </c>
      <c r="H1190" s="25" t="n">
        <f aca="false">J1189</f>
        <v>2186000000</v>
      </c>
      <c r="I1190" s="25" t="n">
        <f aca="false">H1190*N1190</f>
        <v>28252228.3333333</v>
      </c>
      <c r="J1190" s="25" t="n">
        <f aca="false">H1190-E1190</f>
        <v>2186000000</v>
      </c>
      <c r="K1190" s="25" t="n">
        <f aca="false">D1190-I1190</f>
        <v>0</v>
      </c>
      <c r="L1190" s="25" t="n">
        <f aca="false">G1190-J1190</f>
        <v>0</v>
      </c>
      <c r="M1190" s="25" t="n">
        <f aca="false">F1190</f>
        <v>28252228.3333333</v>
      </c>
      <c r="N1190" s="48" t="n">
        <v>0.0129241666666667</v>
      </c>
      <c r="O1190" s="25" t="n">
        <f aca="false">IF(AND(B1190&gt;=DATE(2026,1,1),B1190&lt;=Resumen!$C$5),1,0)</f>
        <v>0</v>
      </c>
      <c r="P1190" s="25" t="n">
        <f aca="false">IF(AND(B1190&gt;Resumen!$C$5,B1190&lt;=DATE(2027,7,31)),1,0)</f>
        <v>0</v>
      </c>
    </row>
    <row r="1191" customFormat="false" ht="15" hidden="false" customHeight="false" outlineLevel="0" collapsed="false">
      <c r="A1191" s="22" t="n">
        <v>5</v>
      </c>
      <c r="B1191" s="23" t="n">
        <v>45251</v>
      </c>
      <c r="C1191" s="28" t="n">
        <v>2186000000</v>
      </c>
      <c r="D1191" s="28" t="n">
        <v>27960761.6666667</v>
      </c>
      <c r="E1191" s="28" t="n">
        <v>0</v>
      </c>
      <c r="F1191" s="28" t="n">
        <v>27960761.6666667</v>
      </c>
      <c r="G1191" s="28" t="n">
        <v>2186000000</v>
      </c>
      <c r="H1191" s="25" t="n">
        <f aca="false">J1190</f>
        <v>2186000000</v>
      </c>
      <c r="I1191" s="25" t="n">
        <f aca="false">H1191*N1191</f>
        <v>27960761.6666667</v>
      </c>
      <c r="J1191" s="25" t="n">
        <f aca="false">H1191-E1191</f>
        <v>2186000000</v>
      </c>
      <c r="K1191" s="25" t="n">
        <f aca="false">D1191-I1191</f>
        <v>0</v>
      </c>
      <c r="L1191" s="25" t="n">
        <f aca="false">G1191-J1191</f>
        <v>0</v>
      </c>
      <c r="M1191" s="25" t="n">
        <f aca="false">F1191</f>
        <v>27960761.6666667</v>
      </c>
      <c r="N1191" s="48" t="n">
        <v>0.0127908333333333</v>
      </c>
      <c r="O1191" s="25" t="n">
        <f aca="false">IF(AND(B1191&gt;=DATE(2026,1,1),B1191&lt;=Resumen!$C$5),1,0)</f>
        <v>0</v>
      </c>
      <c r="P1191" s="25" t="n">
        <f aca="false">IF(AND(B1191&gt;Resumen!$C$5,B1191&lt;=DATE(2027,7,31)),1,0)</f>
        <v>0</v>
      </c>
    </row>
    <row r="1192" customFormat="false" ht="15" hidden="false" customHeight="false" outlineLevel="0" collapsed="false">
      <c r="A1192" s="22" t="n">
        <v>6</v>
      </c>
      <c r="B1192" s="23" t="n">
        <v>45281</v>
      </c>
      <c r="C1192" s="28" t="n">
        <v>2186000000</v>
      </c>
      <c r="D1192" s="28" t="n">
        <v>27689333.3333333</v>
      </c>
      <c r="E1192" s="28" t="n">
        <v>0</v>
      </c>
      <c r="F1192" s="28" t="n">
        <v>27689333.3333333</v>
      </c>
      <c r="G1192" s="28" t="n">
        <v>2186000000</v>
      </c>
      <c r="H1192" s="25" t="n">
        <f aca="false">J1191</f>
        <v>2186000000</v>
      </c>
      <c r="I1192" s="25" t="n">
        <f aca="false">H1192*N1192</f>
        <v>27689333.3333333</v>
      </c>
      <c r="J1192" s="25" t="n">
        <f aca="false">H1192-E1192</f>
        <v>2186000000</v>
      </c>
      <c r="K1192" s="25" t="n">
        <f aca="false">D1192-I1192</f>
        <v>0</v>
      </c>
      <c r="L1192" s="25" t="n">
        <f aca="false">G1192-J1192</f>
        <v>0</v>
      </c>
      <c r="M1192" s="25" t="n">
        <f aca="false">F1192</f>
        <v>27689333.3333333</v>
      </c>
      <c r="N1192" s="48" t="n">
        <v>0.0126666666666667</v>
      </c>
      <c r="O1192" s="25" t="n">
        <f aca="false">IF(AND(B1192&gt;=DATE(2026,1,1),B1192&lt;=Resumen!$C$5),1,0)</f>
        <v>0</v>
      </c>
      <c r="P1192" s="25" t="n">
        <f aca="false">IF(AND(B1192&gt;Resumen!$C$5,B1192&lt;=DATE(2027,7,31)),1,0)</f>
        <v>0</v>
      </c>
    </row>
    <row r="1193" customFormat="false" ht="15" hidden="false" customHeight="false" outlineLevel="0" collapsed="false">
      <c r="A1193" s="22" t="n">
        <v>7</v>
      </c>
      <c r="B1193" s="23" t="n">
        <v>45312</v>
      </c>
      <c r="C1193" s="28" t="n">
        <v>2186000000</v>
      </c>
      <c r="D1193" s="28" t="n">
        <v>27299496.6666667</v>
      </c>
      <c r="E1193" s="28" t="n">
        <v>0</v>
      </c>
      <c r="F1193" s="28" t="n">
        <v>27299496.6666667</v>
      </c>
      <c r="G1193" s="28" t="n">
        <v>2186000000</v>
      </c>
      <c r="H1193" s="25" t="n">
        <f aca="false">J1192</f>
        <v>2186000000</v>
      </c>
      <c r="I1193" s="25" t="n">
        <f aca="false">H1193*N1193</f>
        <v>27299496.6666667</v>
      </c>
      <c r="J1193" s="25" t="n">
        <f aca="false">H1193-E1193</f>
        <v>2186000000</v>
      </c>
      <c r="K1193" s="25" t="n">
        <f aca="false">D1193-I1193</f>
        <v>0</v>
      </c>
      <c r="L1193" s="25" t="n">
        <f aca="false">G1193-J1193</f>
        <v>0</v>
      </c>
      <c r="M1193" s="25" t="n">
        <f aca="false">F1193</f>
        <v>27299496.6666667</v>
      </c>
      <c r="N1193" s="48" t="n">
        <v>0.0124883333333333</v>
      </c>
      <c r="O1193" s="25" t="n">
        <f aca="false">IF(AND(B1193&gt;=DATE(2026,1,1),B1193&lt;=Resumen!$C$5),1,0)</f>
        <v>0</v>
      </c>
      <c r="P1193" s="25" t="n">
        <f aca="false">IF(AND(B1193&gt;Resumen!$C$5,B1193&lt;=DATE(2027,7,31)),1,0)</f>
        <v>0</v>
      </c>
    </row>
    <row r="1194" customFormat="false" ht="15" hidden="false" customHeight="false" outlineLevel="0" collapsed="false">
      <c r="A1194" s="22" t="n">
        <v>8</v>
      </c>
      <c r="B1194" s="23" t="n">
        <v>45343</v>
      </c>
      <c r="C1194" s="28" t="n">
        <v>2186000000</v>
      </c>
      <c r="D1194" s="28" t="n">
        <v>28101030</v>
      </c>
      <c r="E1194" s="28" t="n">
        <v>0</v>
      </c>
      <c r="F1194" s="28" t="n">
        <v>28101030</v>
      </c>
      <c r="G1194" s="28" t="n">
        <v>2186000000</v>
      </c>
      <c r="H1194" s="25" t="n">
        <f aca="false">J1193</f>
        <v>2186000000</v>
      </c>
      <c r="I1194" s="25" t="n">
        <f aca="false">H1194*N1194</f>
        <v>28101030</v>
      </c>
      <c r="J1194" s="25" t="n">
        <f aca="false">H1194-E1194</f>
        <v>2186000000</v>
      </c>
      <c r="K1194" s="25" t="n">
        <f aca="false">D1194-I1194</f>
        <v>0</v>
      </c>
      <c r="L1194" s="25" t="n">
        <f aca="false">G1194-J1194</f>
        <v>0</v>
      </c>
      <c r="M1194" s="25" t="n">
        <f aca="false">F1194</f>
        <v>28101030</v>
      </c>
      <c r="N1194" s="48" t="n">
        <v>0.012855</v>
      </c>
      <c r="O1194" s="25" t="n">
        <f aca="false">IF(AND(B1194&gt;=DATE(2026,1,1),B1194&lt;=Resumen!$C$5),1,0)</f>
        <v>0</v>
      </c>
      <c r="P1194" s="25" t="n">
        <f aca="false">IF(AND(B1194&gt;Resumen!$C$5,B1194&lt;=DATE(2027,7,31)),1,0)</f>
        <v>0</v>
      </c>
    </row>
    <row r="1195" customFormat="false" ht="15" hidden="false" customHeight="false" outlineLevel="0" collapsed="false">
      <c r="A1195" s="22" t="n">
        <v>9</v>
      </c>
      <c r="B1195" s="23" t="n">
        <v>45372</v>
      </c>
      <c r="C1195" s="28" t="n">
        <v>2186000000</v>
      </c>
      <c r="D1195" s="28" t="n">
        <v>26250216.6666667</v>
      </c>
      <c r="E1195" s="28" t="n">
        <v>0</v>
      </c>
      <c r="F1195" s="28" t="n">
        <v>26250216.6666667</v>
      </c>
      <c r="G1195" s="28" t="n">
        <v>2186000000</v>
      </c>
      <c r="H1195" s="25" t="n">
        <f aca="false">J1194</f>
        <v>2186000000</v>
      </c>
      <c r="I1195" s="25" t="n">
        <f aca="false">H1195*N1195</f>
        <v>26250216.6666667</v>
      </c>
      <c r="J1195" s="25" t="n">
        <f aca="false">H1195-E1195</f>
        <v>2186000000</v>
      </c>
      <c r="K1195" s="25" t="n">
        <f aca="false">D1195-I1195</f>
        <v>0</v>
      </c>
      <c r="L1195" s="25" t="n">
        <f aca="false">G1195-J1195</f>
        <v>0</v>
      </c>
      <c r="M1195" s="25" t="n">
        <f aca="false">F1195</f>
        <v>26250216.6666667</v>
      </c>
      <c r="N1195" s="48" t="n">
        <v>0.0120083333333333</v>
      </c>
      <c r="O1195" s="25" t="n">
        <f aca="false">IF(AND(B1195&gt;=DATE(2026,1,1),B1195&lt;=Resumen!$C$5),1,0)</f>
        <v>0</v>
      </c>
      <c r="P1195" s="25" t="n">
        <f aca="false">IF(AND(B1195&gt;Resumen!$C$5,B1195&lt;=DATE(2027,7,31)),1,0)</f>
        <v>0</v>
      </c>
    </row>
    <row r="1196" customFormat="false" ht="15" hidden="false" customHeight="false" outlineLevel="0" collapsed="false">
      <c r="A1196" s="22" t="n">
        <v>10</v>
      </c>
      <c r="B1196" s="23" t="n">
        <v>45403</v>
      </c>
      <c r="C1196" s="28" t="n">
        <v>2186000000</v>
      </c>
      <c r="D1196" s="28" t="n">
        <v>26887800</v>
      </c>
      <c r="E1196" s="28" t="n">
        <v>0</v>
      </c>
      <c r="F1196" s="28" t="n">
        <v>26887800</v>
      </c>
      <c r="G1196" s="28" t="n">
        <v>2186000000</v>
      </c>
      <c r="H1196" s="25" t="n">
        <f aca="false">J1195</f>
        <v>2186000000</v>
      </c>
      <c r="I1196" s="25" t="n">
        <f aca="false">H1196*N1196</f>
        <v>26887800</v>
      </c>
      <c r="J1196" s="25" t="n">
        <f aca="false">H1196-E1196</f>
        <v>2186000000</v>
      </c>
      <c r="K1196" s="25" t="n">
        <f aca="false">D1196-I1196</f>
        <v>0</v>
      </c>
      <c r="L1196" s="25" t="n">
        <f aca="false">G1196-J1196</f>
        <v>0</v>
      </c>
      <c r="M1196" s="25" t="n">
        <f aca="false">F1196</f>
        <v>26887800</v>
      </c>
      <c r="N1196" s="48" t="n">
        <v>0.0123</v>
      </c>
      <c r="O1196" s="25" t="n">
        <f aca="false">IF(AND(B1196&gt;=DATE(2026,1,1),B1196&lt;=Resumen!$C$5),1,0)</f>
        <v>0</v>
      </c>
      <c r="P1196" s="25" t="n">
        <f aca="false">IF(AND(B1196&gt;Resumen!$C$5,B1196&lt;=DATE(2027,7,31)),1,0)</f>
        <v>0</v>
      </c>
    </row>
    <row r="1197" customFormat="false" ht="15" hidden="false" customHeight="false" outlineLevel="0" collapsed="false">
      <c r="A1197" s="22" t="n">
        <v>11</v>
      </c>
      <c r="B1197" s="23" t="n">
        <v>45433</v>
      </c>
      <c r="C1197" s="28" t="n">
        <v>2186000000</v>
      </c>
      <c r="D1197" s="28" t="n">
        <v>26171885</v>
      </c>
      <c r="E1197" s="28" t="n">
        <v>0</v>
      </c>
      <c r="F1197" s="28" t="n">
        <v>26171885</v>
      </c>
      <c r="G1197" s="28" t="n">
        <v>2186000000</v>
      </c>
      <c r="H1197" s="25" t="n">
        <f aca="false">J1196</f>
        <v>2186000000</v>
      </c>
      <c r="I1197" s="25" t="n">
        <f aca="false">H1197*N1197</f>
        <v>26171885</v>
      </c>
      <c r="J1197" s="25" t="n">
        <f aca="false">H1197-E1197</f>
        <v>2186000000</v>
      </c>
      <c r="K1197" s="25" t="n">
        <f aca="false">D1197-I1197</f>
        <v>0</v>
      </c>
      <c r="L1197" s="25" t="n">
        <f aca="false">G1197-J1197</f>
        <v>0</v>
      </c>
      <c r="M1197" s="25" t="n">
        <f aca="false">F1197</f>
        <v>26171885</v>
      </c>
      <c r="N1197" s="48" t="n">
        <v>0.0119725</v>
      </c>
      <c r="O1197" s="25" t="n">
        <f aca="false">IF(AND(B1197&gt;=DATE(2026,1,1),B1197&lt;=Resumen!$C$5),1,0)</f>
        <v>0</v>
      </c>
      <c r="P1197" s="25" t="n">
        <f aca="false">IF(AND(B1197&gt;Resumen!$C$5,B1197&lt;=DATE(2027,7,31)),1,0)</f>
        <v>0</v>
      </c>
    </row>
    <row r="1198" customFormat="false" ht="15" hidden="false" customHeight="false" outlineLevel="0" collapsed="false">
      <c r="A1198" s="22" t="n">
        <v>12</v>
      </c>
      <c r="B1198" s="23" t="n">
        <v>45464</v>
      </c>
      <c r="C1198" s="28" t="n">
        <v>2186000000</v>
      </c>
      <c r="D1198" s="28" t="n">
        <v>24519633.3333333</v>
      </c>
      <c r="E1198" s="28" t="n">
        <v>0</v>
      </c>
      <c r="F1198" s="28" t="n">
        <v>24519633.3333333</v>
      </c>
      <c r="G1198" s="28" t="n">
        <v>2186000000</v>
      </c>
      <c r="H1198" s="25" t="n">
        <f aca="false">J1197</f>
        <v>2186000000</v>
      </c>
      <c r="I1198" s="25" t="n">
        <f aca="false">H1198*N1198</f>
        <v>24519633.3333333</v>
      </c>
      <c r="J1198" s="25" t="n">
        <f aca="false">H1198-E1198</f>
        <v>2186000000</v>
      </c>
      <c r="K1198" s="25" t="n">
        <f aca="false">D1198-I1198</f>
        <v>0</v>
      </c>
      <c r="L1198" s="25" t="n">
        <f aca="false">G1198-J1198</f>
        <v>0</v>
      </c>
      <c r="M1198" s="25" t="n">
        <f aca="false">F1198</f>
        <v>24519633.3333333</v>
      </c>
      <c r="N1198" s="48" t="n">
        <v>0.0112166666666667</v>
      </c>
      <c r="O1198" s="25" t="n">
        <f aca="false">IF(AND(B1198&gt;=DATE(2026,1,1),B1198&lt;=Resumen!$C$5),1,0)</f>
        <v>0</v>
      </c>
      <c r="P1198" s="25" t="n">
        <f aca="false">IF(AND(B1198&gt;Resumen!$C$5,B1198&lt;=DATE(2027,7,31)),1,0)</f>
        <v>0</v>
      </c>
    </row>
    <row r="1199" customFormat="false" ht="15" hidden="false" customHeight="false" outlineLevel="0" collapsed="false">
      <c r="A1199" s="22" t="n">
        <v>13</v>
      </c>
      <c r="B1199" s="23" t="n">
        <v>45494</v>
      </c>
      <c r="C1199" s="28" t="n">
        <v>2186000000</v>
      </c>
      <c r="D1199" s="28" t="n">
        <v>24483200</v>
      </c>
      <c r="E1199" s="28" t="n">
        <v>0</v>
      </c>
      <c r="F1199" s="28" t="n">
        <v>24483200</v>
      </c>
      <c r="G1199" s="28" t="n">
        <v>2186000000</v>
      </c>
      <c r="H1199" s="25" t="n">
        <f aca="false">J1198</f>
        <v>2186000000</v>
      </c>
      <c r="I1199" s="25" t="n">
        <f aca="false">H1199*N1199</f>
        <v>24483200</v>
      </c>
      <c r="J1199" s="25" t="n">
        <f aca="false">H1199-E1199</f>
        <v>2186000000</v>
      </c>
      <c r="K1199" s="25" t="n">
        <f aca="false">D1199-I1199</f>
        <v>0</v>
      </c>
      <c r="L1199" s="25" t="n">
        <f aca="false">G1199-J1199</f>
        <v>0</v>
      </c>
      <c r="M1199" s="25" t="n">
        <f aca="false">F1199</f>
        <v>24483200</v>
      </c>
      <c r="N1199" s="48" t="n">
        <v>0.0112</v>
      </c>
      <c r="O1199" s="25" t="n">
        <f aca="false">IF(AND(B1199&gt;=DATE(2026,1,1),B1199&lt;=Resumen!$C$5),1,0)</f>
        <v>0</v>
      </c>
      <c r="P1199" s="25" t="n">
        <f aca="false">IF(AND(B1199&gt;Resumen!$C$5,B1199&lt;=DATE(2027,7,31)),1,0)</f>
        <v>0</v>
      </c>
    </row>
    <row r="1200" customFormat="false" ht="15" hidden="false" customHeight="false" outlineLevel="0" collapsed="false">
      <c r="A1200" s="22" t="n">
        <v>14</v>
      </c>
      <c r="B1200" s="23" t="n">
        <v>45525</v>
      </c>
      <c r="C1200" s="28" t="n">
        <v>2186000000</v>
      </c>
      <c r="D1200" s="28" t="n">
        <v>24372078.3333333</v>
      </c>
      <c r="E1200" s="28" t="n">
        <v>0</v>
      </c>
      <c r="F1200" s="28" t="n">
        <v>24372078.3333333</v>
      </c>
      <c r="G1200" s="28" t="n">
        <v>2186000000</v>
      </c>
      <c r="H1200" s="25" t="n">
        <f aca="false">J1199</f>
        <v>2186000000</v>
      </c>
      <c r="I1200" s="25" t="n">
        <f aca="false">H1200*N1200</f>
        <v>24372078.3333333</v>
      </c>
      <c r="J1200" s="25" t="n">
        <f aca="false">H1200-E1200</f>
        <v>2186000000</v>
      </c>
      <c r="K1200" s="25" t="n">
        <f aca="false">D1200-I1200</f>
        <v>0</v>
      </c>
      <c r="L1200" s="25" t="n">
        <f aca="false">G1200-J1200</f>
        <v>0</v>
      </c>
      <c r="M1200" s="25" t="n">
        <f aca="false">F1200</f>
        <v>24372078.3333333</v>
      </c>
      <c r="N1200" s="48" t="n">
        <v>0.0111491666666667</v>
      </c>
      <c r="O1200" s="25" t="n">
        <f aca="false">IF(AND(B1200&gt;=DATE(2026,1,1),B1200&lt;=Resumen!$C$5),1,0)</f>
        <v>0</v>
      </c>
      <c r="P1200" s="25" t="n">
        <f aca="false">IF(AND(B1200&gt;Resumen!$C$5,B1200&lt;=DATE(2027,7,31)),1,0)</f>
        <v>0</v>
      </c>
    </row>
    <row r="1201" customFormat="false" ht="15" hidden="false" customHeight="false" outlineLevel="0" collapsed="false">
      <c r="A1201" s="22" t="n">
        <v>15</v>
      </c>
      <c r="B1201" s="23" t="n">
        <v>45556</v>
      </c>
      <c r="C1201" s="28" t="n">
        <v>2186000000</v>
      </c>
      <c r="D1201" s="28" t="n">
        <v>22743508.3333333</v>
      </c>
      <c r="E1201" s="28" t="n">
        <v>0</v>
      </c>
      <c r="F1201" s="28" t="n">
        <v>22743508.3333333</v>
      </c>
      <c r="G1201" s="28" t="n">
        <v>2186000000</v>
      </c>
      <c r="H1201" s="25" t="n">
        <f aca="false">J1200</f>
        <v>2186000000</v>
      </c>
      <c r="I1201" s="25" t="n">
        <f aca="false">H1201*N1201</f>
        <v>22743508.3333333</v>
      </c>
      <c r="J1201" s="25" t="n">
        <f aca="false">H1201-E1201</f>
        <v>2186000000</v>
      </c>
      <c r="K1201" s="25" t="n">
        <f aca="false">D1201-I1201</f>
        <v>0</v>
      </c>
      <c r="L1201" s="25" t="n">
        <f aca="false">G1201-J1201</f>
        <v>0</v>
      </c>
      <c r="M1201" s="25" t="n">
        <f aca="false">F1201</f>
        <v>22743508.3333333</v>
      </c>
      <c r="N1201" s="48" t="n">
        <v>0.0104041666666667</v>
      </c>
      <c r="O1201" s="25" t="n">
        <f aca="false">IF(AND(B1201&gt;=DATE(2026,1,1),B1201&lt;=Resumen!$C$5),1,0)</f>
        <v>0</v>
      </c>
      <c r="P1201" s="25" t="n">
        <f aca="false">IF(AND(B1201&gt;Resumen!$C$5,B1201&lt;=DATE(2027,7,31)),1,0)</f>
        <v>0</v>
      </c>
    </row>
    <row r="1202" customFormat="false" ht="15" hidden="false" customHeight="false" outlineLevel="0" collapsed="false">
      <c r="A1202" s="22" t="n">
        <v>16</v>
      </c>
      <c r="B1202" s="23" t="n">
        <v>45586</v>
      </c>
      <c r="C1202" s="28" t="n">
        <v>2186000000</v>
      </c>
      <c r="D1202" s="28" t="n">
        <v>22233441.6666667</v>
      </c>
      <c r="E1202" s="28" t="n">
        <v>0</v>
      </c>
      <c r="F1202" s="28" t="n">
        <v>22233441.6666667</v>
      </c>
      <c r="G1202" s="28" t="n">
        <v>2186000000</v>
      </c>
      <c r="H1202" s="25" t="n">
        <f aca="false">J1201</f>
        <v>2186000000</v>
      </c>
      <c r="I1202" s="25" t="n">
        <f aca="false">H1202*N1202</f>
        <v>22233441.6666667</v>
      </c>
      <c r="J1202" s="25" t="n">
        <f aca="false">H1202-E1202</f>
        <v>2186000000</v>
      </c>
      <c r="K1202" s="25" t="n">
        <f aca="false">D1202-I1202</f>
        <v>0</v>
      </c>
      <c r="L1202" s="25" t="n">
        <f aca="false">G1202-J1202</f>
        <v>0</v>
      </c>
      <c r="M1202" s="25" t="n">
        <f aca="false">F1202</f>
        <v>22233441.6666667</v>
      </c>
      <c r="N1202" s="48" t="n">
        <v>0.0101708333333333</v>
      </c>
      <c r="O1202" s="25" t="n">
        <f aca="false">IF(AND(B1202&gt;=DATE(2026,1,1),B1202&lt;=Resumen!$C$5),1,0)</f>
        <v>0</v>
      </c>
      <c r="P1202" s="25" t="n">
        <f aca="false">IF(AND(B1202&gt;Resumen!$C$5,B1202&lt;=DATE(2027,7,31)),1,0)</f>
        <v>0</v>
      </c>
    </row>
    <row r="1203" customFormat="false" ht="15" hidden="false" customHeight="false" outlineLevel="0" collapsed="false">
      <c r="A1203" s="22" t="n">
        <v>17</v>
      </c>
      <c r="B1203" s="23" t="n">
        <v>45617</v>
      </c>
      <c r="C1203" s="28" t="n">
        <v>2186000000</v>
      </c>
      <c r="D1203" s="28" t="n">
        <v>21901898.3333333</v>
      </c>
      <c r="E1203" s="28" t="n">
        <v>0</v>
      </c>
      <c r="F1203" s="28" t="n">
        <v>21901898.3333333</v>
      </c>
      <c r="G1203" s="28" t="n">
        <v>2186000000</v>
      </c>
      <c r="H1203" s="25" t="n">
        <f aca="false">J1202</f>
        <v>2186000000</v>
      </c>
      <c r="I1203" s="25" t="n">
        <f aca="false">H1203*N1203</f>
        <v>21901898.3333333</v>
      </c>
      <c r="J1203" s="25" t="n">
        <f aca="false">H1203-E1203</f>
        <v>2186000000</v>
      </c>
      <c r="K1203" s="25" t="n">
        <f aca="false">D1203-I1203</f>
        <v>0</v>
      </c>
      <c r="L1203" s="25" t="n">
        <f aca="false">G1203-J1203</f>
        <v>0</v>
      </c>
      <c r="M1203" s="25" t="n">
        <f aca="false">F1203</f>
        <v>21901898.3333333</v>
      </c>
      <c r="N1203" s="48" t="n">
        <v>0.0100191666666667</v>
      </c>
      <c r="O1203" s="25" t="n">
        <f aca="false">IF(AND(B1203&gt;=DATE(2026,1,1),B1203&lt;=Resumen!$C$5),1,0)</f>
        <v>0</v>
      </c>
      <c r="P1203" s="25" t="n">
        <f aca="false">IF(AND(B1203&gt;Resumen!$C$5,B1203&lt;=DATE(2027,7,31)),1,0)</f>
        <v>0</v>
      </c>
    </row>
    <row r="1204" customFormat="false" ht="15" hidden="false" customHeight="false" outlineLevel="0" collapsed="false">
      <c r="A1204" s="22" t="n">
        <v>18</v>
      </c>
      <c r="B1204" s="23" t="n">
        <v>45647</v>
      </c>
      <c r="C1204" s="28" t="n">
        <v>2186000000</v>
      </c>
      <c r="D1204" s="28" t="n">
        <v>22146001.6666667</v>
      </c>
      <c r="E1204" s="28" t="n">
        <v>0</v>
      </c>
      <c r="F1204" s="28" t="n">
        <v>22146001.6666667</v>
      </c>
      <c r="G1204" s="28" t="n">
        <v>2186000000</v>
      </c>
      <c r="H1204" s="25" t="n">
        <f aca="false">J1203</f>
        <v>2186000000</v>
      </c>
      <c r="I1204" s="25" t="n">
        <f aca="false">H1204*N1204</f>
        <v>22146001.6666667</v>
      </c>
      <c r="J1204" s="25" t="n">
        <f aca="false">H1204-E1204</f>
        <v>2186000000</v>
      </c>
      <c r="K1204" s="25" t="n">
        <f aca="false">D1204-I1204</f>
        <v>0</v>
      </c>
      <c r="L1204" s="25" t="n">
        <f aca="false">G1204-J1204</f>
        <v>0</v>
      </c>
      <c r="M1204" s="25" t="n">
        <f aca="false">F1204</f>
        <v>22146001.6666667</v>
      </c>
      <c r="N1204" s="48" t="n">
        <v>0.0101308333333333</v>
      </c>
      <c r="O1204" s="25" t="n">
        <f aca="false">IF(AND(B1204&gt;=DATE(2026,1,1),B1204&lt;=Resumen!$C$5),1,0)</f>
        <v>0</v>
      </c>
      <c r="P1204" s="25" t="n">
        <f aca="false">IF(AND(B1204&gt;Resumen!$C$5,B1204&lt;=DATE(2027,7,31)),1,0)</f>
        <v>0</v>
      </c>
    </row>
    <row r="1205" customFormat="false" ht="15" hidden="false" customHeight="false" outlineLevel="0" collapsed="false">
      <c r="A1205" s="22" t="n">
        <v>19</v>
      </c>
      <c r="B1205" s="23" t="n">
        <v>45678</v>
      </c>
      <c r="C1205" s="28" t="n">
        <v>2186000000</v>
      </c>
      <c r="D1205" s="28" t="n">
        <v>21874573.3333333</v>
      </c>
      <c r="E1205" s="28" t="n">
        <v>0</v>
      </c>
      <c r="F1205" s="28" t="n">
        <v>21874573.3333333</v>
      </c>
      <c r="G1205" s="28" t="n">
        <v>2186000000</v>
      </c>
      <c r="H1205" s="25" t="n">
        <f aca="false">J1204</f>
        <v>2186000000</v>
      </c>
      <c r="I1205" s="25" t="n">
        <f aca="false">H1205*N1205</f>
        <v>21874573.3333333</v>
      </c>
      <c r="J1205" s="25" t="n">
        <f aca="false">H1205-E1205</f>
        <v>2186000000</v>
      </c>
      <c r="K1205" s="25" t="n">
        <f aca="false">D1205-I1205</f>
        <v>0</v>
      </c>
      <c r="L1205" s="25" t="n">
        <f aca="false">G1205-J1205</f>
        <v>0</v>
      </c>
      <c r="M1205" s="25" t="n">
        <f aca="false">F1205</f>
        <v>21874573.3333333</v>
      </c>
      <c r="N1205" s="48" t="n">
        <v>0.0100066666666667</v>
      </c>
      <c r="O1205" s="25" t="n">
        <f aca="false">IF(AND(B1205&gt;=DATE(2026,1,1),B1205&lt;=Resumen!$C$5),1,0)</f>
        <v>0</v>
      </c>
      <c r="P1205" s="25" t="n">
        <f aca="false">IF(AND(B1205&gt;Resumen!$C$5,B1205&lt;=DATE(2027,7,31)),1,0)</f>
        <v>0</v>
      </c>
    </row>
    <row r="1206" customFormat="false" ht="15" hidden="false" customHeight="false" outlineLevel="0" collapsed="false">
      <c r="A1206" s="22" t="n">
        <v>20</v>
      </c>
      <c r="B1206" s="23" t="n">
        <v>45709</v>
      </c>
      <c r="C1206" s="28" t="n">
        <v>2186000000</v>
      </c>
      <c r="D1206" s="28" t="n">
        <v>21965656.6666667</v>
      </c>
      <c r="E1206" s="28" t="n">
        <v>0</v>
      </c>
      <c r="F1206" s="28" t="n">
        <v>21965656.6666667</v>
      </c>
      <c r="G1206" s="28" t="n">
        <v>2186000000</v>
      </c>
      <c r="H1206" s="25" t="n">
        <f aca="false">J1205</f>
        <v>2186000000</v>
      </c>
      <c r="I1206" s="25" t="n">
        <f aca="false">H1206*N1206</f>
        <v>21965656.6666667</v>
      </c>
      <c r="J1206" s="25" t="n">
        <f aca="false">H1206-E1206</f>
        <v>2186000000</v>
      </c>
      <c r="K1206" s="25" t="n">
        <f aca="false">D1206-I1206</f>
        <v>0</v>
      </c>
      <c r="L1206" s="25" t="n">
        <f aca="false">G1206-J1206</f>
        <v>0</v>
      </c>
      <c r="M1206" s="25" t="n">
        <f aca="false">F1206</f>
        <v>21965656.6666667</v>
      </c>
      <c r="N1206" s="48" t="n">
        <v>0.0100483333333333</v>
      </c>
      <c r="O1206" s="25" t="n">
        <f aca="false">IF(AND(B1206&gt;=DATE(2026,1,1),B1206&lt;=Resumen!$C$5),1,0)</f>
        <v>0</v>
      </c>
      <c r="P1206" s="25" t="n">
        <f aca="false">IF(AND(B1206&gt;Resumen!$C$5,B1206&lt;=DATE(2027,7,31)),1,0)</f>
        <v>0</v>
      </c>
    </row>
    <row r="1207" customFormat="false" ht="15" hidden="false" customHeight="false" outlineLevel="0" collapsed="false">
      <c r="A1207" s="22" t="n">
        <v>21</v>
      </c>
      <c r="B1207" s="23" t="n">
        <v>45737</v>
      </c>
      <c r="C1207" s="28" t="n">
        <v>2186000000</v>
      </c>
      <c r="D1207" s="28" t="n">
        <v>22023950</v>
      </c>
      <c r="E1207" s="28" t="n">
        <v>0</v>
      </c>
      <c r="F1207" s="28" t="n">
        <v>22023950</v>
      </c>
      <c r="G1207" s="28" t="n">
        <v>2186000000</v>
      </c>
      <c r="H1207" s="25" t="n">
        <f aca="false">J1206</f>
        <v>2186000000</v>
      </c>
      <c r="I1207" s="25" t="n">
        <f aca="false">H1207*N1207</f>
        <v>22023950</v>
      </c>
      <c r="J1207" s="25" t="n">
        <f aca="false">H1207-E1207</f>
        <v>2186000000</v>
      </c>
      <c r="K1207" s="25" t="n">
        <f aca="false">D1207-I1207</f>
        <v>0</v>
      </c>
      <c r="L1207" s="25" t="n">
        <f aca="false">G1207-J1207</f>
        <v>0</v>
      </c>
      <c r="M1207" s="25" t="n">
        <f aca="false">F1207</f>
        <v>22023950</v>
      </c>
      <c r="N1207" s="48" t="n">
        <v>0.010075</v>
      </c>
      <c r="O1207" s="25" t="n">
        <f aca="false">IF(AND(B1207&gt;=DATE(2026,1,1),B1207&lt;=Resumen!$C$5),1,0)</f>
        <v>0</v>
      </c>
      <c r="P1207" s="25" t="n">
        <f aca="false">IF(AND(B1207&gt;Resumen!$C$5,B1207&lt;=DATE(2027,7,31)),1,0)</f>
        <v>0</v>
      </c>
    </row>
    <row r="1208" customFormat="false" ht="15" hidden="false" customHeight="false" outlineLevel="0" collapsed="false">
      <c r="A1208" s="22" t="n">
        <v>22</v>
      </c>
      <c r="B1208" s="23" t="n">
        <v>45768</v>
      </c>
      <c r="C1208" s="28" t="n">
        <v>2186000000</v>
      </c>
      <c r="D1208" s="28" t="n">
        <v>22142358.3333333</v>
      </c>
      <c r="E1208" s="28" t="n">
        <v>0</v>
      </c>
      <c r="F1208" s="28" t="n">
        <v>22142358.3333333</v>
      </c>
      <c r="G1208" s="28" t="n">
        <v>2186000000</v>
      </c>
      <c r="H1208" s="25" t="n">
        <f aca="false">J1207</f>
        <v>2186000000</v>
      </c>
      <c r="I1208" s="25" t="n">
        <f aca="false">H1208*N1208</f>
        <v>22142358.3333333</v>
      </c>
      <c r="J1208" s="25" t="n">
        <f aca="false">H1208-E1208</f>
        <v>2186000000</v>
      </c>
      <c r="K1208" s="25" t="n">
        <f aca="false">D1208-I1208</f>
        <v>0</v>
      </c>
      <c r="L1208" s="25" t="n">
        <f aca="false">G1208-J1208</f>
        <v>0</v>
      </c>
      <c r="M1208" s="25" t="n">
        <f aca="false">F1208</f>
        <v>22142358.3333333</v>
      </c>
      <c r="N1208" s="48" t="n">
        <v>0.0101291666666667</v>
      </c>
      <c r="O1208" s="25" t="n">
        <f aca="false">IF(AND(B1208&gt;=DATE(2026,1,1),B1208&lt;=Resumen!$C$5),1,0)</f>
        <v>0</v>
      </c>
      <c r="P1208" s="25" t="n">
        <f aca="false">IF(AND(B1208&gt;Resumen!$C$5,B1208&lt;=DATE(2027,7,31)),1,0)</f>
        <v>0</v>
      </c>
    </row>
    <row r="1209" customFormat="false" ht="15" hidden="false" customHeight="false" outlineLevel="0" collapsed="false">
      <c r="A1209" s="22" t="n">
        <v>23</v>
      </c>
      <c r="B1209" s="23" t="n">
        <v>45798</v>
      </c>
      <c r="C1209" s="28" t="n">
        <v>2186000000</v>
      </c>
      <c r="D1209" s="28" t="n">
        <v>21708801.6666667</v>
      </c>
      <c r="E1209" s="28" t="n">
        <v>0</v>
      </c>
      <c r="F1209" s="28" t="n">
        <v>21708801.6666667</v>
      </c>
      <c r="G1209" s="28" t="n">
        <v>2186000000</v>
      </c>
      <c r="H1209" s="25" t="n">
        <f aca="false">J1208</f>
        <v>2186000000</v>
      </c>
      <c r="I1209" s="25" t="n">
        <f aca="false">H1209*N1209</f>
        <v>21708801.6666667</v>
      </c>
      <c r="J1209" s="25" t="n">
        <f aca="false">H1209-E1209</f>
        <v>2186000000</v>
      </c>
      <c r="K1209" s="25" t="n">
        <f aca="false">D1209-I1209</f>
        <v>0</v>
      </c>
      <c r="L1209" s="25" t="n">
        <f aca="false">G1209-J1209</f>
        <v>0</v>
      </c>
      <c r="M1209" s="25" t="n">
        <f aca="false">F1209</f>
        <v>21708801.6666667</v>
      </c>
      <c r="N1209" s="48" t="n">
        <v>0.00993083333333333</v>
      </c>
      <c r="O1209" s="25" t="n">
        <f aca="false">IF(AND(B1209&gt;=DATE(2026,1,1),B1209&lt;=Resumen!$C$5),1,0)</f>
        <v>0</v>
      </c>
      <c r="P1209" s="25" t="n">
        <f aca="false">IF(AND(B1209&gt;Resumen!$C$5,B1209&lt;=DATE(2027,7,31)),1,0)</f>
        <v>0</v>
      </c>
    </row>
    <row r="1210" customFormat="false" ht="15" hidden="false" customHeight="false" outlineLevel="0" collapsed="false">
      <c r="A1210" s="22" t="n">
        <v>24</v>
      </c>
      <c r="B1210" s="23" t="n">
        <v>45829</v>
      </c>
      <c r="C1210" s="28" t="n">
        <v>2186000000</v>
      </c>
      <c r="D1210" s="28" t="n">
        <v>21666903.3333333</v>
      </c>
      <c r="E1210" s="28" t="n">
        <v>0</v>
      </c>
      <c r="F1210" s="28" t="n">
        <v>21666903.3333333</v>
      </c>
      <c r="G1210" s="28" t="n">
        <v>2186000000</v>
      </c>
      <c r="H1210" s="25" t="n">
        <f aca="false">J1209</f>
        <v>2186000000</v>
      </c>
      <c r="I1210" s="25" t="n">
        <f aca="false">H1210*N1210</f>
        <v>21666903.3333333</v>
      </c>
      <c r="J1210" s="25" t="n">
        <f aca="false">H1210-E1210</f>
        <v>2186000000</v>
      </c>
      <c r="K1210" s="25" t="n">
        <f aca="false">D1210-I1210</f>
        <v>0</v>
      </c>
      <c r="L1210" s="25" t="n">
        <f aca="false">G1210-J1210</f>
        <v>0</v>
      </c>
      <c r="M1210" s="25" t="n">
        <f aca="false">F1210</f>
        <v>21666903.3333333</v>
      </c>
      <c r="N1210" s="48" t="n">
        <v>0.00991166666666667</v>
      </c>
      <c r="O1210" s="25" t="n">
        <f aca="false">IF(AND(B1210&gt;=DATE(2026,1,1),B1210&lt;=Resumen!$C$5),1,0)</f>
        <v>0</v>
      </c>
      <c r="P1210" s="25" t="n">
        <f aca="false">IF(AND(B1210&gt;Resumen!$C$5,B1210&lt;=DATE(2027,7,31)),1,0)</f>
        <v>0</v>
      </c>
    </row>
    <row r="1211" customFormat="false" ht="15" hidden="false" customHeight="false" outlineLevel="0" collapsed="false">
      <c r="A1211" s="22" t="n">
        <v>25</v>
      </c>
      <c r="B1211" s="23" t="n">
        <v>45859</v>
      </c>
      <c r="C1211" s="28" t="n">
        <v>2186000000</v>
      </c>
      <c r="D1211" s="28" t="n">
        <v>21521170</v>
      </c>
      <c r="E1211" s="28" t="n">
        <v>0</v>
      </c>
      <c r="F1211" s="28" t="n">
        <v>21521170</v>
      </c>
      <c r="G1211" s="28" t="n">
        <v>2186000000</v>
      </c>
      <c r="H1211" s="25" t="n">
        <f aca="false">J1210</f>
        <v>2186000000</v>
      </c>
      <c r="I1211" s="25" t="n">
        <f aca="false">H1211*N1211</f>
        <v>21521170</v>
      </c>
      <c r="J1211" s="25" t="n">
        <f aca="false">H1211-E1211</f>
        <v>2186000000</v>
      </c>
      <c r="K1211" s="25" t="n">
        <f aca="false">D1211-I1211</f>
        <v>0</v>
      </c>
      <c r="L1211" s="25" t="n">
        <f aca="false">G1211-J1211</f>
        <v>0</v>
      </c>
      <c r="M1211" s="25" t="n">
        <f aca="false">F1211</f>
        <v>21521170</v>
      </c>
      <c r="N1211" s="48" t="n">
        <v>0.009845</v>
      </c>
      <c r="O1211" s="25" t="n">
        <f aca="false">IF(AND(B1211&gt;=DATE(2026,1,1),B1211&lt;=Resumen!$C$5),1,0)</f>
        <v>0</v>
      </c>
      <c r="P1211" s="25" t="n">
        <f aca="false">IF(AND(B1211&gt;Resumen!$C$5,B1211&lt;=DATE(2027,7,31)),1,0)</f>
        <v>0</v>
      </c>
    </row>
    <row r="1212" customFormat="false" ht="15" hidden="false" customHeight="false" outlineLevel="0" collapsed="false">
      <c r="A1212" s="22" t="n">
        <v>26</v>
      </c>
      <c r="B1212" s="23" t="n">
        <v>45890</v>
      </c>
      <c r="C1212" s="28" t="n">
        <v>2186000000</v>
      </c>
      <c r="D1212" s="28" t="n">
        <v>21785311.6666667</v>
      </c>
      <c r="E1212" s="28" t="n">
        <v>0</v>
      </c>
      <c r="F1212" s="28" t="n">
        <v>21785311.6666667</v>
      </c>
      <c r="G1212" s="28" t="n">
        <v>2186000000</v>
      </c>
      <c r="H1212" s="25" t="n">
        <f aca="false">J1211</f>
        <v>2186000000</v>
      </c>
      <c r="I1212" s="25" t="n">
        <f aca="false">H1212*N1212</f>
        <v>21785311.6666667</v>
      </c>
      <c r="J1212" s="25" t="n">
        <f aca="false">H1212-E1212</f>
        <v>2186000000</v>
      </c>
      <c r="K1212" s="25" t="n">
        <f aca="false">D1212-I1212</f>
        <v>0</v>
      </c>
      <c r="L1212" s="25" t="n">
        <f aca="false">G1212-J1212</f>
        <v>0</v>
      </c>
      <c r="M1212" s="25" t="n">
        <f aca="false">F1212</f>
        <v>21785311.6666667</v>
      </c>
      <c r="N1212" s="48" t="n">
        <v>0.00996583333333333</v>
      </c>
      <c r="O1212" s="25" t="n">
        <f aca="false">IF(AND(B1212&gt;=DATE(2026,1,1),B1212&lt;=Resumen!$C$5),1,0)</f>
        <v>0</v>
      </c>
      <c r="P1212" s="25" t="n">
        <f aca="false">IF(AND(B1212&gt;Resumen!$C$5,B1212&lt;=DATE(2027,7,31)),1,0)</f>
        <v>0</v>
      </c>
    </row>
    <row r="1213" customFormat="false" ht="15" hidden="false" customHeight="false" outlineLevel="0" collapsed="false">
      <c r="A1213" s="22" t="n">
        <v>27</v>
      </c>
      <c r="B1213" s="23" t="n">
        <v>45921</v>
      </c>
      <c r="C1213" s="28" t="n">
        <v>2186000000</v>
      </c>
      <c r="D1213" s="28" t="n">
        <v>21829031.6666667</v>
      </c>
      <c r="E1213" s="28" t="n">
        <v>182166663</v>
      </c>
      <c r="F1213" s="28" t="n">
        <v>203995694.666667</v>
      </c>
      <c r="G1213" s="28" t="n">
        <v>2003833337</v>
      </c>
      <c r="H1213" s="25" t="n">
        <f aca="false">J1212</f>
        <v>2186000000</v>
      </c>
      <c r="I1213" s="25" t="n">
        <f aca="false">H1213*N1213</f>
        <v>21829031.6666667</v>
      </c>
      <c r="J1213" s="25" t="n">
        <f aca="false">H1213-E1213</f>
        <v>2003833337</v>
      </c>
      <c r="K1213" s="25" t="n">
        <f aca="false">D1213-I1213</f>
        <v>0</v>
      </c>
      <c r="L1213" s="25" t="n">
        <f aca="false">G1213-J1213</f>
        <v>0</v>
      </c>
      <c r="M1213" s="25" t="n">
        <f aca="false">F1213</f>
        <v>203995694.666667</v>
      </c>
      <c r="N1213" s="48" t="n">
        <v>0.00998583333333333</v>
      </c>
      <c r="O1213" s="25" t="n">
        <f aca="false">IF(AND(B1213&gt;=DATE(2026,1,1),B1213&lt;=Resumen!$C$5),1,0)</f>
        <v>0</v>
      </c>
      <c r="P1213" s="25" t="n">
        <f aca="false">IF(AND(B1213&gt;Resumen!$C$5,B1213&lt;=DATE(2027,7,31)),1,0)</f>
        <v>0</v>
      </c>
    </row>
    <row r="1214" customFormat="false" ht="15" hidden="false" customHeight="false" outlineLevel="0" collapsed="false">
      <c r="A1214" s="22" t="n">
        <v>28</v>
      </c>
      <c r="B1214" s="23" t="n">
        <v>45951</v>
      </c>
      <c r="C1214" s="28" t="n">
        <v>2003833337</v>
      </c>
      <c r="D1214" s="28" t="n">
        <v>20116816.8423658</v>
      </c>
      <c r="E1214" s="28" t="n">
        <v>0</v>
      </c>
      <c r="F1214" s="28" t="n">
        <v>20116816.8423658</v>
      </c>
      <c r="G1214" s="28" t="n">
        <v>2003833337</v>
      </c>
      <c r="H1214" s="25" t="n">
        <f aca="false">J1213</f>
        <v>2003833337</v>
      </c>
      <c r="I1214" s="25" t="n">
        <f aca="false">H1214*N1214</f>
        <v>20116816.8423658</v>
      </c>
      <c r="J1214" s="25" t="n">
        <f aca="false">H1214-E1214</f>
        <v>2003833337</v>
      </c>
      <c r="K1214" s="25" t="n">
        <f aca="false">D1214-I1214</f>
        <v>0</v>
      </c>
      <c r="L1214" s="25" t="n">
        <f aca="false">G1214-J1214</f>
        <v>0</v>
      </c>
      <c r="M1214" s="25" t="n">
        <f aca="false">F1214</f>
        <v>20116816.8423658</v>
      </c>
      <c r="N1214" s="48" t="n">
        <v>0.0100391666666667</v>
      </c>
      <c r="O1214" s="25" t="n">
        <f aca="false">IF(AND(B1214&gt;=DATE(2026,1,1),B1214&lt;=Resumen!$C$5),1,0)</f>
        <v>0</v>
      </c>
      <c r="P1214" s="25" t="n">
        <f aca="false">IF(AND(B1214&gt;Resumen!$C$5,B1214&lt;=DATE(2027,7,31)),1,0)</f>
        <v>0</v>
      </c>
    </row>
    <row r="1215" customFormat="false" ht="15" hidden="false" customHeight="false" outlineLevel="0" collapsed="false">
      <c r="A1215" s="22" t="n">
        <v>29</v>
      </c>
      <c r="B1215" s="23" t="n">
        <v>45982</v>
      </c>
      <c r="C1215" s="28" t="n">
        <v>2003833337</v>
      </c>
      <c r="D1215" s="28" t="n">
        <v>20410712.3984592</v>
      </c>
      <c r="E1215" s="28" t="n">
        <v>0</v>
      </c>
      <c r="F1215" s="28" t="n">
        <v>20410712.3984592</v>
      </c>
      <c r="G1215" s="28" t="n">
        <v>2003833337</v>
      </c>
      <c r="H1215" s="25" t="n">
        <f aca="false">J1214</f>
        <v>2003833337</v>
      </c>
      <c r="I1215" s="25" t="n">
        <f aca="false">H1215*N1215</f>
        <v>20410712.3984592</v>
      </c>
      <c r="J1215" s="25" t="n">
        <f aca="false">H1215-E1215</f>
        <v>2003833337</v>
      </c>
      <c r="K1215" s="25" t="n">
        <f aca="false">D1215-I1215</f>
        <v>0</v>
      </c>
      <c r="L1215" s="25" t="n">
        <f aca="false">G1215-J1215</f>
        <v>0</v>
      </c>
      <c r="M1215" s="25" t="n">
        <f aca="false">F1215</f>
        <v>20410712.3984592</v>
      </c>
      <c r="N1215" s="48" t="n">
        <v>0.0101858333333333</v>
      </c>
      <c r="O1215" s="25" t="n">
        <f aca="false">IF(AND(B1215&gt;=DATE(2026,1,1),B1215&lt;=Resumen!$C$5),1,0)</f>
        <v>0</v>
      </c>
      <c r="P1215" s="25" t="n">
        <f aca="false">IF(AND(B1215&gt;Resumen!$C$5,B1215&lt;=DATE(2027,7,31)),1,0)</f>
        <v>0</v>
      </c>
    </row>
    <row r="1216" customFormat="false" ht="15" hidden="false" customHeight="false" outlineLevel="0" collapsed="false">
      <c r="A1216" s="22" t="n">
        <v>30</v>
      </c>
      <c r="B1216" s="23" t="n">
        <v>46012</v>
      </c>
      <c r="C1216" s="28" t="n">
        <v>2003833337</v>
      </c>
      <c r="D1216" s="28" t="n">
        <v>21041919.8996142</v>
      </c>
      <c r="E1216" s="28" t="n">
        <v>182166667</v>
      </c>
      <c r="F1216" s="28" t="n">
        <v>203208586.899614</v>
      </c>
      <c r="G1216" s="28" t="n">
        <v>1821666670</v>
      </c>
      <c r="H1216" s="25" t="n">
        <f aca="false">J1215</f>
        <v>2003833337</v>
      </c>
      <c r="I1216" s="25" t="n">
        <f aca="false">H1216*N1216</f>
        <v>21041919.8996142</v>
      </c>
      <c r="J1216" s="25" t="n">
        <f aca="false">H1216-E1216</f>
        <v>1821666670</v>
      </c>
      <c r="K1216" s="25" t="n">
        <f aca="false">D1216-I1216</f>
        <v>0</v>
      </c>
      <c r="L1216" s="25" t="n">
        <f aca="false">G1216-J1216</f>
        <v>0</v>
      </c>
      <c r="M1216" s="25" t="n">
        <f aca="false">F1216</f>
        <v>203208586.899614</v>
      </c>
      <c r="N1216" s="48" t="n">
        <v>0.0105008333333333</v>
      </c>
      <c r="O1216" s="25" t="n">
        <f aca="false">IF(AND(B1216&gt;=DATE(2026,1,1),B1216&lt;=Resumen!$C$5),1,0)</f>
        <v>0</v>
      </c>
      <c r="P1216" s="25" t="n">
        <f aca="false">IF(AND(B1216&gt;Resumen!$C$5,B1216&lt;=DATE(2027,7,31)),1,0)</f>
        <v>0</v>
      </c>
    </row>
    <row r="1217" customFormat="false" ht="15" hidden="false" customHeight="false" outlineLevel="0" collapsed="false">
      <c r="A1217" s="22" t="n">
        <v>31</v>
      </c>
      <c r="B1217" s="23" t="n">
        <v>46043</v>
      </c>
      <c r="C1217" s="28" t="n">
        <v>1821666670</v>
      </c>
      <c r="D1217" s="28" t="n">
        <v>19408340.3132917</v>
      </c>
      <c r="E1217" s="28" t="n">
        <v>0</v>
      </c>
      <c r="F1217" s="28" t="n">
        <v>19408340.3132917</v>
      </c>
      <c r="G1217" s="28" t="n">
        <v>1821666670</v>
      </c>
      <c r="H1217" s="25" t="n">
        <f aca="false">J1216</f>
        <v>1821666670</v>
      </c>
      <c r="I1217" s="25" t="n">
        <f aca="false">H1217*N1217</f>
        <v>19408340.3132917</v>
      </c>
      <c r="J1217" s="25" t="n">
        <f aca="false">H1217-E1217</f>
        <v>1821666670</v>
      </c>
      <c r="K1217" s="25" t="n">
        <f aca="false">D1217-I1217</f>
        <v>0</v>
      </c>
      <c r="L1217" s="25" t="n">
        <f aca="false">G1217-J1217</f>
        <v>0</v>
      </c>
      <c r="M1217" s="25" t="n">
        <f aca="false">F1217</f>
        <v>19408340.3132917</v>
      </c>
      <c r="N1217" s="48" t="n">
        <v>0.0106541666666667</v>
      </c>
      <c r="O1217" s="25" t="n">
        <f aca="false">IF(AND(B1217&gt;=DATE(2026,1,1),B1217&lt;=Resumen!$C$5),1,0)</f>
        <v>1</v>
      </c>
      <c r="P1217" s="25" t="n">
        <f aca="false">IF(AND(B1217&gt;Resumen!$C$5,B1217&lt;=DATE(2027,7,31)),1,0)</f>
        <v>0</v>
      </c>
    </row>
    <row r="1218" customFormat="false" ht="15" hidden="false" customHeight="false" outlineLevel="0" collapsed="false">
      <c r="A1218" s="22" t="n">
        <v>32</v>
      </c>
      <c r="B1218" s="23" t="n">
        <v>46074</v>
      </c>
      <c r="C1218" s="28" t="n">
        <v>1821666670</v>
      </c>
      <c r="D1218" s="28" t="n">
        <v>20877818.0937583</v>
      </c>
      <c r="E1218" s="28" t="n">
        <v>0</v>
      </c>
      <c r="F1218" s="28" t="n">
        <v>20877818.0937583</v>
      </c>
      <c r="G1218" s="28" t="n">
        <v>1821666670</v>
      </c>
      <c r="H1218" s="25" t="n">
        <f aca="false">J1217</f>
        <v>1821666670</v>
      </c>
      <c r="I1218" s="25" t="n">
        <f aca="false">H1218*N1218</f>
        <v>20877818.0937583</v>
      </c>
      <c r="J1218" s="25" t="n">
        <f aca="false">H1218-E1218</f>
        <v>1821666670</v>
      </c>
      <c r="K1218" s="25" t="n">
        <f aca="false">D1218-I1218</f>
        <v>0</v>
      </c>
      <c r="L1218" s="25" t="n">
        <f aca="false">G1218-J1218</f>
        <v>0</v>
      </c>
      <c r="M1218" s="25" t="n">
        <f aca="false">F1218</f>
        <v>20877818.0937583</v>
      </c>
      <c r="N1218" s="48" t="n">
        <v>0.0114608333333333</v>
      </c>
      <c r="O1218" s="25" t="n">
        <f aca="false">IF(AND(B1218&gt;=DATE(2026,1,1),B1218&lt;=Resumen!$C$5),1,0)</f>
        <v>1</v>
      </c>
      <c r="P1218" s="25" t="n">
        <f aca="false">IF(AND(B1218&gt;Resumen!$C$5,B1218&lt;=DATE(2027,7,31)),1,0)</f>
        <v>0</v>
      </c>
    </row>
    <row r="1219" customFormat="false" ht="15" hidden="false" customHeight="false" outlineLevel="0" collapsed="false">
      <c r="A1219" s="22" t="n">
        <v>33</v>
      </c>
      <c r="B1219" s="23" t="n">
        <v>46102</v>
      </c>
      <c r="C1219" s="28" t="n">
        <v>1821666670</v>
      </c>
      <c r="D1219" s="28" t="n">
        <v>21591304.206175</v>
      </c>
      <c r="E1219" s="28" t="n">
        <v>182166667</v>
      </c>
      <c r="F1219" s="28" t="n">
        <v>203757971.206175</v>
      </c>
      <c r="G1219" s="28" t="n">
        <v>1639500003</v>
      </c>
      <c r="H1219" s="25" t="n">
        <f aca="false">J1218</f>
        <v>1821666670</v>
      </c>
      <c r="I1219" s="25" t="n">
        <f aca="false">H1219*N1219</f>
        <v>21591304.206175</v>
      </c>
      <c r="J1219" s="25" t="n">
        <f aca="false">H1219-E1219</f>
        <v>1639500003</v>
      </c>
      <c r="K1219" s="25" t="n">
        <f aca="false">D1219-I1219</f>
        <v>0</v>
      </c>
      <c r="L1219" s="25" t="n">
        <f aca="false">G1219-J1219</f>
        <v>0</v>
      </c>
      <c r="M1219" s="25" t="n">
        <f aca="false">F1219</f>
        <v>203757971.206175</v>
      </c>
      <c r="N1219" s="48" t="n">
        <v>0.0118525</v>
      </c>
      <c r="O1219" s="25" t="n">
        <f aca="false">IF(AND(B1219&gt;=DATE(2026,1,1),B1219&lt;=Resumen!$C$5),1,0)</f>
        <v>1</v>
      </c>
      <c r="P1219" s="25" t="n">
        <f aca="false">IF(AND(B1219&gt;Resumen!$C$5,B1219&lt;=DATE(2027,7,31)),1,0)</f>
        <v>0</v>
      </c>
    </row>
    <row r="1220" customFormat="false" ht="15" hidden="false" customHeight="false" outlineLevel="0" collapsed="false">
      <c r="A1220" s="22" t="n">
        <v>34</v>
      </c>
      <c r="B1220" s="23" t="n">
        <v>46133</v>
      </c>
      <c r="C1220" s="28" t="n">
        <v>1639500003</v>
      </c>
      <c r="D1220" s="28" t="n">
        <v>20011463.7866175</v>
      </c>
      <c r="E1220" s="28" t="n">
        <v>0</v>
      </c>
      <c r="F1220" s="28" t="n">
        <v>20011463.7866175</v>
      </c>
      <c r="G1220" s="28" t="n">
        <v>1639500003</v>
      </c>
      <c r="H1220" s="25" t="n">
        <f aca="false">J1219</f>
        <v>1639500003</v>
      </c>
      <c r="I1220" s="25" t="n">
        <f aca="false">H1220*N1220</f>
        <v>20011463.7866175</v>
      </c>
      <c r="J1220" s="25" t="n">
        <f aca="false">H1220-E1220</f>
        <v>1639500003</v>
      </c>
      <c r="K1220" s="25" t="n">
        <f aca="false">D1220-I1220</f>
        <v>0</v>
      </c>
      <c r="L1220" s="25" t="n">
        <f aca="false">G1220-J1220</f>
        <v>0</v>
      </c>
      <c r="M1220" s="25" t="n">
        <f aca="false">F1220</f>
        <v>20011463.7866175</v>
      </c>
      <c r="N1220" s="48" t="n">
        <v>0.0122058333333333</v>
      </c>
      <c r="O1220" s="25" t="n">
        <f aca="false">IF(AND(B1220&gt;=DATE(2026,1,1),B1220&lt;=Resumen!$C$5),1,0)</f>
        <v>1</v>
      </c>
      <c r="P1220" s="25" t="n">
        <f aca="false">IF(AND(B1220&gt;Resumen!$C$5,B1220&lt;=DATE(2027,7,31)),1,0)</f>
        <v>0</v>
      </c>
    </row>
    <row r="1221" customFormat="false" ht="15" hidden="false" customHeight="false" outlineLevel="0" collapsed="false">
      <c r="A1221" s="22" t="n">
        <v>35</v>
      </c>
      <c r="B1221" s="23" t="n">
        <v>46163</v>
      </c>
      <c r="C1221" s="28" t="n">
        <v>1639500003</v>
      </c>
      <c r="D1221" s="28" t="n">
        <v>20011463.7866175</v>
      </c>
      <c r="E1221" s="28" t="n">
        <v>0</v>
      </c>
      <c r="F1221" s="28" t="n">
        <v>20011463.7866175</v>
      </c>
      <c r="G1221" s="28" t="n">
        <v>1639500003</v>
      </c>
      <c r="H1221" s="25" t="n">
        <f aca="false">J1220</f>
        <v>1639500003</v>
      </c>
      <c r="I1221" s="25" t="n">
        <f aca="false">H1221*N1221</f>
        <v>20011463.7866175</v>
      </c>
      <c r="J1221" s="25" t="n">
        <f aca="false">H1221-E1221</f>
        <v>1639500003</v>
      </c>
      <c r="K1221" s="25" t="n">
        <f aca="false">D1221-I1221</f>
        <v>0</v>
      </c>
      <c r="L1221" s="25" t="n">
        <f aca="false">G1221-J1221</f>
        <v>0</v>
      </c>
      <c r="M1221" s="25" t="n">
        <f aca="false">F1221</f>
        <v>20011463.7866175</v>
      </c>
      <c r="N1221" s="48" t="n">
        <v>0.0122058333333333</v>
      </c>
      <c r="O1221" s="25" t="n">
        <f aca="false">IF(AND(B1221&gt;=DATE(2026,1,1),B1221&lt;=Resumen!$C$5),1,0)</f>
        <v>1</v>
      </c>
      <c r="P1221" s="25" t="n">
        <f aca="false">IF(AND(B1221&gt;Resumen!$C$5,B1221&lt;=DATE(2027,7,31)),1,0)</f>
        <v>0</v>
      </c>
    </row>
    <row r="1222" customFormat="false" ht="15" hidden="false" customHeight="false" outlineLevel="0" collapsed="false">
      <c r="A1222" s="22" t="n">
        <v>36</v>
      </c>
      <c r="B1222" s="23" t="n">
        <v>46194</v>
      </c>
      <c r="C1222" s="28" t="n">
        <v>1639500003</v>
      </c>
      <c r="D1222" s="28" t="n">
        <v>20053817.536695</v>
      </c>
      <c r="E1222" s="28" t="n">
        <v>182166667</v>
      </c>
      <c r="F1222" s="28" t="n">
        <v>202220484.536695</v>
      </c>
      <c r="G1222" s="28" t="n">
        <v>1457333336</v>
      </c>
      <c r="H1222" s="25" t="n">
        <f aca="false">J1221</f>
        <v>1639500003</v>
      </c>
      <c r="I1222" s="25" t="n">
        <f aca="false">H1222*N1222</f>
        <v>20053817.536695</v>
      </c>
      <c r="J1222" s="25" t="n">
        <f aca="false">H1222-E1222</f>
        <v>1457333336</v>
      </c>
      <c r="K1222" s="25" t="n">
        <f aca="false">D1222-I1222</f>
        <v>0</v>
      </c>
      <c r="L1222" s="25" t="n">
        <f aca="false">G1222-J1222</f>
        <v>0</v>
      </c>
      <c r="M1222" s="25" t="n">
        <f aca="false">F1222</f>
        <v>202220484.536695</v>
      </c>
      <c r="N1222" s="48" t="n">
        <v>0.0122316666666667</v>
      </c>
      <c r="O1222" s="25" t="n">
        <f aca="false">IF(AND(B1222&gt;=DATE(2026,1,1),B1222&lt;=Resumen!$C$5),1,0)</f>
        <v>1</v>
      </c>
      <c r="P1222" s="25" t="n">
        <f aca="false">IF(AND(B1222&gt;Resumen!$C$5,B1222&lt;=DATE(2027,7,31)),1,0)</f>
        <v>0</v>
      </c>
    </row>
    <row r="1223" customFormat="false" ht="15" hidden="false" customHeight="false" outlineLevel="0" collapsed="false">
      <c r="A1223" s="22" t="n">
        <v>37</v>
      </c>
      <c r="B1223" s="23" t="n">
        <v>46224</v>
      </c>
      <c r="C1223" s="28" t="n">
        <v>1457333336</v>
      </c>
      <c r="D1223" s="28" t="n">
        <v>18177804.4777067</v>
      </c>
      <c r="E1223" s="28" t="n">
        <v>0</v>
      </c>
      <c r="F1223" s="28" t="n">
        <v>18177804.4777067</v>
      </c>
      <c r="G1223" s="28" t="n">
        <v>1457333336</v>
      </c>
      <c r="H1223" s="25" t="n">
        <f aca="false">J1222</f>
        <v>1457333336</v>
      </c>
      <c r="I1223" s="25" t="n">
        <f aca="false">H1223*N1223</f>
        <v>18177804.4777067</v>
      </c>
      <c r="J1223" s="25" t="n">
        <f aca="false">H1223-E1223</f>
        <v>1457333336</v>
      </c>
      <c r="K1223" s="25" t="n">
        <f aca="false">D1223-I1223</f>
        <v>0</v>
      </c>
      <c r="L1223" s="25" t="n">
        <f aca="false">G1223-J1223</f>
        <v>0</v>
      </c>
      <c r="M1223" s="25" t="n">
        <f aca="false">F1223</f>
        <v>18177804.4777067</v>
      </c>
      <c r="N1223" s="48" t="n">
        <v>0.0124733333333333</v>
      </c>
      <c r="O1223" s="25" t="n">
        <f aca="false">IF(AND(B1223&gt;=DATE(2026,1,1),B1223&lt;=Resumen!$C$5),1,0)</f>
        <v>1</v>
      </c>
      <c r="P1223" s="25" t="n">
        <f aca="false">IF(AND(B1223&gt;Resumen!$C$5,B1223&lt;=DATE(2027,7,31)),1,0)</f>
        <v>0</v>
      </c>
    </row>
    <row r="1224" customFormat="false" ht="15" hidden="false" customHeight="false" outlineLevel="0" collapsed="false">
      <c r="A1224" s="22" t="n">
        <v>38</v>
      </c>
      <c r="B1224" s="23" t="n">
        <v>46255</v>
      </c>
      <c r="C1224" s="28" t="n">
        <v>1457333336</v>
      </c>
      <c r="D1224" s="28" t="n">
        <v>18177804.4777067</v>
      </c>
      <c r="E1224" s="28" t="n">
        <v>0</v>
      </c>
      <c r="F1224" s="28" t="n">
        <v>18177804.4777067</v>
      </c>
      <c r="G1224" s="28" t="n">
        <v>1457333336</v>
      </c>
      <c r="H1224" s="25" t="n">
        <f aca="false">J1223</f>
        <v>1457333336</v>
      </c>
      <c r="I1224" s="25" t="n">
        <f aca="false">H1224*N1224</f>
        <v>18177804.4777067</v>
      </c>
      <c r="J1224" s="25" t="n">
        <f aca="false">H1224-E1224</f>
        <v>1457333336</v>
      </c>
      <c r="K1224" s="25" t="n">
        <f aca="false">D1224-I1224</f>
        <v>0</v>
      </c>
      <c r="L1224" s="25" t="n">
        <f aca="false">G1224-J1224</f>
        <v>0</v>
      </c>
      <c r="M1224" s="25" t="n">
        <f aca="false">F1224</f>
        <v>18177804.4777067</v>
      </c>
      <c r="N1224" s="48" t="n">
        <v>0.0124733333333333</v>
      </c>
      <c r="O1224" s="25" t="n">
        <f aca="false">IF(AND(B1224&gt;=DATE(2026,1,1),B1224&lt;=Resumen!$C$5),1,0)</f>
        <v>0</v>
      </c>
      <c r="P1224" s="25" t="n">
        <f aca="false">IF(AND(B1224&gt;Resumen!$C$5,B1224&lt;=DATE(2027,7,31)),1,0)</f>
        <v>1</v>
      </c>
    </row>
    <row r="1225" customFormat="false" ht="15" hidden="false" customHeight="false" outlineLevel="0" collapsed="false">
      <c r="A1225" s="22" t="n">
        <v>39</v>
      </c>
      <c r="B1225" s="23" t="n">
        <v>46286</v>
      </c>
      <c r="C1225" s="28" t="n">
        <v>1457333336</v>
      </c>
      <c r="D1225" s="28" t="n">
        <v>18177804.4777067</v>
      </c>
      <c r="E1225" s="28" t="n">
        <v>182166667</v>
      </c>
      <c r="F1225" s="28" t="n">
        <v>200344471.477707</v>
      </c>
      <c r="G1225" s="28" t="n">
        <v>1275166669</v>
      </c>
      <c r="H1225" s="25" t="n">
        <f aca="false">J1224</f>
        <v>1457333336</v>
      </c>
      <c r="I1225" s="25" t="n">
        <f aca="false">H1225*N1225</f>
        <v>18177804.4777067</v>
      </c>
      <c r="J1225" s="25" t="n">
        <f aca="false">H1225-E1225</f>
        <v>1275166669</v>
      </c>
      <c r="K1225" s="25" t="n">
        <f aca="false">D1225-I1225</f>
        <v>0</v>
      </c>
      <c r="L1225" s="25" t="n">
        <f aca="false">G1225-J1225</f>
        <v>0</v>
      </c>
      <c r="M1225" s="25" t="n">
        <f aca="false">F1225</f>
        <v>200344471.477707</v>
      </c>
      <c r="N1225" s="48" t="n">
        <v>0.0124733333333333</v>
      </c>
      <c r="O1225" s="25" t="n">
        <f aca="false">IF(AND(B1225&gt;=DATE(2026,1,1),B1225&lt;=Resumen!$C$5),1,0)</f>
        <v>0</v>
      </c>
      <c r="P1225" s="25" t="n">
        <f aca="false">IF(AND(B1225&gt;Resumen!$C$5,B1225&lt;=DATE(2027,7,31)),1,0)</f>
        <v>1</v>
      </c>
    </row>
    <row r="1226" customFormat="false" ht="15" hidden="false" customHeight="false" outlineLevel="0" collapsed="false">
      <c r="A1226" s="22" t="n">
        <v>40</v>
      </c>
      <c r="B1226" s="23" t="n">
        <v>46316</v>
      </c>
      <c r="C1226" s="28" t="n">
        <v>1275166669</v>
      </c>
      <c r="D1226" s="28" t="n">
        <v>15905578.9179933</v>
      </c>
      <c r="E1226" s="28" t="n">
        <v>0</v>
      </c>
      <c r="F1226" s="28" t="n">
        <v>15905578.9179933</v>
      </c>
      <c r="G1226" s="28" t="n">
        <v>1275166669</v>
      </c>
      <c r="H1226" s="25" t="n">
        <f aca="false">J1225</f>
        <v>1275166669</v>
      </c>
      <c r="I1226" s="25" t="n">
        <f aca="false">H1226*N1226</f>
        <v>15905578.9179933</v>
      </c>
      <c r="J1226" s="25" t="n">
        <f aca="false">H1226-E1226</f>
        <v>1275166669</v>
      </c>
      <c r="K1226" s="25" t="n">
        <f aca="false">D1226-I1226</f>
        <v>0</v>
      </c>
      <c r="L1226" s="25" t="n">
        <f aca="false">G1226-J1226</f>
        <v>0</v>
      </c>
      <c r="M1226" s="25" t="n">
        <f aca="false">F1226</f>
        <v>15905578.9179933</v>
      </c>
      <c r="N1226" s="48" t="n">
        <v>0.0124733333333333</v>
      </c>
      <c r="O1226" s="25" t="n">
        <f aca="false">IF(AND(B1226&gt;=DATE(2026,1,1),B1226&lt;=Resumen!$C$5),1,0)</f>
        <v>0</v>
      </c>
      <c r="P1226" s="25" t="n">
        <f aca="false">IF(AND(B1226&gt;Resumen!$C$5,B1226&lt;=DATE(2027,7,31)),1,0)</f>
        <v>1</v>
      </c>
    </row>
    <row r="1227" customFormat="false" ht="15" hidden="false" customHeight="false" outlineLevel="0" collapsed="false">
      <c r="A1227" s="22" t="n">
        <v>41</v>
      </c>
      <c r="B1227" s="23" t="n">
        <v>46347</v>
      </c>
      <c r="C1227" s="28" t="n">
        <v>1275166669</v>
      </c>
      <c r="D1227" s="28" t="n">
        <v>15905578.9179933</v>
      </c>
      <c r="E1227" s="28" t="n">
        <v>0</v>
      </c>
      <c r="F1227" s="28" t="n">
        <v>15905578.9179933</v>
      </c>
      <c r="G1227" s="28" t="n">
        <v>1275166669</v>
      </c>
      <c r="H1227" s="25" t="n">
        <f aca="false">J1226</f>
        <v>1275166669</v>
      </c>
      <c r="I1227" s="25" t="n">
        <f aca="false">H1227*N1227</f>
        <v>15905578.9179933</v>
      </c>
      <c r="J1227" s="25" t="n">
        <f aca="false">H1227-E1227</f>
        <v>1275166669</v>
      </c>
      <c r="K1227" s="25" t="n">
        <f aca="false">D1227-I1227</f>
        <v>0</v>
      </c>
      <c r="L1227" s="25" t="n">
        <f aca="false">G1227-J1227</f>
        <v>0</v>
      </c>
      <c r="M1227" s="25" t="n">
        <f aca="false">F1227</f>
        <v>15905578.9179933</v>
      </c>
      <c r="N1227" s="48" t="n">
        <v>0.0124733333333333</v>
      </c>
      <c r="O1227" s="25" t="n">
        <f aca="false">IF(AND(B1227&gt;=DATE(2026,1,1),B1227&lt;=Resumen!$C$5),1,0)</f>
        <v>0</v>
      </c>
      <c r="P1227" s="25" t="n">
        <f aca="false">IF(AND(B1227&gt;Resumen!$C$5,B1227&lt;=DATE(2027,7,31)),1,0)</f>
        <v>1</v>
      </c>
    </row>
    <row r="1228" customFormat="false" ht="15" hidden="false" customHeight="false" outlineLevel="0" collapsed="false">
      <c r="A1228" s="22" t="n">
        <v>42</v>
      </c>
      <c r="B1228" s="23" t="n">
        <v>46377</v>
      </c>
      <c r="C1228" s="28" t="n">
        <v>1275166669</v>
      </c>
      <c r="D1228" s="28" t="n">
        <v>15905578.9179933</v>
      </c>
      <c r="E1228" s="28" t="n">
        <v>182166667</v>
      </c>
      <c r="F1228" s="28" t="n">
        <v>198072245.917993</v>
      </c>
      <c r="G1228" s="28" t="n">
        <v>1093000002</v>
      </c>
      <c r="H1228" s="25" t="n">
        <f aca="false">J1227</f>
        <v>1275166669</v>
      </c>
      <c r="I1228" s="25" t="n">
        <f aca="false">H1228*N1228</f>
        <v>15905578.9179933</v>
      </c>
      <c r="J1228" s="25" t="n">
        <f aca="false">H1228-E1228</f>
        <v>1093000002</v>
      </c>
      <c r="K1228" s="25" t="n">
        <f aca="false">D1228-I1228</f>
        <v>0</v>
      </c>
      <c r="L1228" s="25" t="n">
        <f aca="false">G1228-J1228</f>
        <v>0</v>
      </c>
      <c r="M1228" s="25" t="n">
        <f aca="false">F1228</f>
        <v>198072245.917993</v>
      </c>
      <c r="N1228" s="48" t="n">
        <v>0.0124733333333333</v>
      </c>
      <c r="O1228" s="25" t="n">
        <f aca="false">IF(AND(B1228&gt;=DATE(2026,1,1),B1228&lt;=Resumen!$C$5),1,0)</f>
        <v>0</v>
      </c>
      <c r="P1228" s="25" t="n">
        <f aca="false">IF(AND(B1228&gt;Resumen!$C$5,B1228&lt;=DATE(2027,7,31)),1,0)</f>
        <v>1</v>
      </c>
    </row>
    <row r="1229" customFormat="false" ht="15" hidden="false" customHeight="false" outlineLevel="0" collapsed="false">
      <c r="A1229" s="22" t="n">
        <v>43</v>
      </c>
      <c r="B1229" s="23" t="n">
        <v>46408</v>
      </c>
      <c r="C1229" s="28" t="n">
        <v>1093000002</v>
      </c>
      <c r="D1229" s="28" t="n">
        <v>13633353.35828</v>
      </c>
      <c r="E1229" s="28" t="n">
        <v>0</v>
      </c>
      <c r="F1229" s="28" t="n">
        <v>13633353.35828</v>
      </c>
      <c r="G1229" s="28" t="n">
        <v>1093000002</v>
      </c>
      <c r="H1229" s="25" t="n">
        <f aca="false">J1228</f>
        <v>1093000002</v>
      </c>
      <c r="I1229" s="25" t="n">
        <f aca="false">H1229*N1229</f>
        <v>13633353.35828</v>
      </c>
      <c r="J1229" s="25" t="n">
        <f aca="false">H1229-E1229</f>
        <v>1093000002</v>
      </c>
      <c r="K1229" s="25" t="n">
        <f aca="false">D1229-I1229</f>
        <v>0</v>
      </c>
      <c r="L1229" s="25" t="n">
        <f aca="false">G1229-J1229</f>
        <v>0</v>
      </c>
      <c r="M1229" s="25" t="n">
        <f aca="false">F1229</f>
        <v>13633353.35828</v>
      </c>
      <c r="N1229" s="48" t="n">
        <v>0.0124733333333333</v>
      </c>
      <c r="O1229" s="25" t="n">
        <f aca="false">IF(AND(B1229&gt;=DATE(2026,1,1),B1229&lt;=Resumen!$C$5),1,0)</f>
        <v>0</v>
      </c>
      <c r="P1229" s="25" t="n">
        <f aca="false">IF(AND(B1229&gt;Resumen!$C$5,B1229&lt;=DATE(2027,7,31)),1,0)</f>
        <v>1</v>
      </c>
    </row>
    <row r="1230" customFormat="false" ht="15" hidden="false" customHeight="false" outlineLevel="0" collapsed="false">
      <c r="A1230" s="22" t="n">
        <v>44</v>
      </c>
      <c r="B1230" s="23" t="n">
        <v>46439</v>
      </c>
      <c r="C1230" s="28" t="n">
        <v>1093000002</v>
      </c>
      <c r="D1230" s="28" t="n">
        <v>13633353.35828</v>
      </c>
      <c r="E1230" s="28" t="n">
        <v>0</v>
      </c>
      <c r="F1230" s="28" t="n">
        <v>13633353.35828</v>
      </c>
      <c r="G1230" s="28" t="n">
        <v>1093000002</v>
      </c>
      <c r="H1230" s="25" t="n">
        <f aca="false">J1229</f>
        <v>1093000002</v>
      </c>
      <c r="I1230" s="25" t="n">
        <f aca="false">H1230*N1230</f>
        <v>13633353.35828</v>
      </c>
      <c r="J1230" s="25" t="n">
        <f aca="false">H1230-E1230</f>
        <v>1093000002</v>
      </c>
      <c r="K1230" s="25" t="n">
        <f aca="false">D1230-I1230</f>
        <v>0</v>
      </c>
      <c r="L1230" s="25" t="n">
        <f aca="false">G1230-J1230</f>
        <v>0</v>
      </c>
      <c r="M1230" s="25" t="n">
        <f aca="false">F1230</f>
        <v>13633353.35828</v>
      </c>
      <c r="N1230" s="48" t="n">
        <v>0.0124733333333333</v>
      </c>
      <c r="O1230" s="25" t="n">
        <f aca="false">IF(AND(B1230&gt;=DATE(2026,1,1),B1230&lt;=Resumen!$C$5),1,0)</f>
        <v>0</v>
      </c>
      <c r="P1230" s="25" t="n">
        <f aca="false">IF(AND(B1230&gt;Resumen!$C$5,B1230&lt;=DATE(2027,7,31)),1,0)</f>
        <v>1</v>
      </c>
    </row>
    <row r="1231" customFormat="false" ht="15" hidden="false" customHeight="false" outlineLevel="0" collapsed="false">
      <c r="A1231" s="22" t="n">
        <v>45</v>
      </c>
      <c r="B1231" s="23" t="n">
        <v>46467</v>
      </c>
      <c r="C1231" s="28" t="n">
        <v>1093000002</v>
      </c>
      <c r="D1231" s="28" t="n">
        <v>13633353.35828</v>
      </c>
      <c r="E1231" s="28" t="n">
        <v>182166667</v>
      </c>
      <c r="F1231" s="28" t="n">
        <v>195800020.35828</v>
      </c>
      <c r="G1231" s="28" t="n">
        <v>910833335</v>
      </c>
      <c r="H1231" s="25" t="n">
        <f aca="false">J1230</f>
        <v>1093000002</v>
      </c>
      <c r="I1231" s="25" t="n">
        <f aca="false">H1231*N1231</f>
        <v>13633353.35828</v>
      </c>
      <c r="J1231" s="25" t="n">
        <f aca="false">H1231-E1231</f>
        <v>910833335</v>
      </c>
      <c r="K1231" s="25" t="n">
        <f aca="false">D1231-I1231</f>
        <v>0</v>
      </c>
      <c r="L1231" s="25" t="n">
        <f aca="false">G1231-J1231</f>
        <v>0</v>
      </c>
      <c r="M1231" s="25" t="n">
        <f aca="false">F1231</f>
        <v>195800020.35828</v>
      </c>
      <c r="N1231" s="48" t="n">
        <v>0.0124733333333333</v>
      </c>
      <c r="O1231" s="25" t="n">
        <f aca="false">IF(AND(B1231&gt;=DATE(2026,1,1),B1231&lt;=Resumen!$C$5),1,0)</f>
        <v>0</v>
      </c>
      <c r="P1231" s="25" t="n">
        <f aca="false">IF(AND(B1231&gt;Resumen!$C$5,B1231&lt;=DATE(2027,7,31)),1,0)</f>
        <v>1</v>
      </c>
    </row>
    <row r="1232" customFormat="false" ht="15" hidden="false" customHeight="false" outlineLevel="0" collapsed="false">
      <c r="A1232" s="22" t="n">
        <v>46</v>
      </c>
      <c r="B1232" s="23" t="n">
        <v>46498</v>
      </c>
      <c r="C1232" s="28" t="n">
        <v>910833335</v>
      </c>
      <c r="D1232" s="28" t="n">
        <v>11361127.7985667</v>
      </c>
      <c r="E1232" s="28" t="n">
        <v>0</v>
      </c>
      <c r="F1232" s="28" t="n">
        <v>11361127.7985667</v>
      </c>
      <c r="G1232" s="28" t="n">
        <v>910833335</v>
      </c>
      <c r="H1232" s="25" t="n">
        <f aca="false">J1231</f>
        <v>910833335</v>
      </c>
      <c r="I1232" s="25" t="n">
        <f aca="false">H1232*N1232</f>
        <v>11361127.7985667</v>
      </c>
      <c r="J1232" s="25" t="n">
        <f aca="false">H1232-E1232</f>
        <v>910833335</v>
      </c>
      <c r="K1232" s="25" t="n">
        <f aca="false">D1232-I1232</f>
        <v>0</v>
      </c>
      <c r="L1232" s="25" t="n">
        <f aca="false">G1232-J1232</f>
        <v>0</v>
      </c>
      <c r="M1232" s="25" t="n">
        <f aca="false">F1232</f>
        <v>11361127.7985667</v>
      </c>
      <c r="N1232" s="48" t="n">
        <v>0.0124733333333333</v>
      </c>
      <c r="O1232" s="25" t="n">
        <f aca="false">IF(AND(B1232&gt;=DATE(2026,1,1),B1232&lt;=Resumen!$C$5),1,0)</f>
        <v>0</v>
      </c>
      <c r="P1232" s="25" t="n">
        <f aca="false">IF(AND(B1232&gt;Resumen!$C$5,B1232&lt;=DATE(2027,7,31)),1,0)</f>
        <v>1</v>
      </c>
    </row>
    <row r="1233" customFormat="false" ht="15" hidden="false" customHeight="false" outlineLevel="0" collapsed="false">
      <c r="A1233" s="22" t="n">
        <v>47</v>
      </c>
      <c r="B1233" s="23" t="n">
        <v>46528</v>
      </c>
      <c r="C1233" s="28" t="n">
        <v>910833335</v>
      </c>
      <c r="D1233" s="28" t="n">
        <v>11361127.7985667</v>
      </c>
      <c r="E1233" s="28" t="n">
        <v>0</v>
      </c>
      <c r="F1233" s="28" t="n">
        <v>11361127.7985667</v>
      </c>
      <c r="G1233" s="28" t="n">
        <v>910833335</v>
      </c>
      <c r="H1233" s="25" t="n">
        <f aca="false">J1232</f>
        <v>910833335</v>
      </c>
      <c r="I1233" s="25" t="n">
        <f aca="false">H1233*N1233</f>
        <v>11361127.7985667</v>
      </c>
      <c r="J1233" s="25" t="n">
        <f aca="false">H1233-E1233</f>
        <v>910833335</v>
      </c>
      <c r="K1233" s="25" t="n">
        <f aca="false">D1233-I1233</f>
        <v>0</v>
      </c>
      <c r="L1233" s="25" t="n">
        <f aca="false">G1233-J1233</f>
        <v>0</v>
      </c>
      <c r="M1233" s="25" t="n">
        <f aca="false">F1233</f>
        <v>11361127.7985667</v>
      </c>
      <c r="N1233" s="48" t="n">
        <v>0.0124733333333333</v>
      </c>
      <c r="O1233" s="25" t="n">
        <f aca="false">IF(AND(B1233&gt;=DATE(2026,1,1),B1233&lt;=Resumen!$C$5),1,0)</f>
        <v>0</v>
      </c>
      <c r="P1233" s="25" t="n">
        <f aca="false">IF(AND(B1233&gt;Resumen!$C$5,B1233&lt;=DATE(2027,7,31)),1,0)</f>
        <v>1</v>
      </c>
    </row>
    <row r="1234" customFormat="false" ht="15" hidden="false" customHeight="false" outlineLevel="0" collapsed="false">
      <c r="A1234" s="22" t="n">
        <v>48</v>
      </c>
      <c r="B1234" s="23" t="n">
        <v>46559</v>
      </c>
      <c r="C1234" s="28" t="n">
        <v>910833335</v>
      </c>
      <c r="D1234" s="28" t="n">
        <v>11361127.7985667</v>
      </c>
      <c r="E1234" s="28" t="n">
        <v>182166667</v>
      </c>
      <c r="F1234" s="28" t="n">
        <v>193527794.798567</v>
      </c>
      <c r="G1234" s="28" t="n">
        <v>728666668</v>
      </c>
      <c r="H1234" s="25" t="n">
        <f aca="false">J1233</f>
        <v>910833335</v>
      </c>
      <c r="I1234" s="25" t="n">
        <f aca="false">H1234*N1234</f>
        <v>11361127.7985667</v>
      </c>
      <c r="J1234" s="25" t="n">
        <f aca="false">H1234-E1234</f>
        <v>728666668</v>
      </c>
      <c r="K1234" s="25" t="n">
        <f aca="false">D1234-I1234</f>
        <v>0</v>
      </c>
      <c r="L1234" s="25" t="n">
        <f aca="false">G1234-J1234</f>
        <v>0</v>
      </c>
      <c r="M1234" s="25" t="n">
        <f aca="false">F1234</f>
        <v>193527794.798567</v>
      </c>
      <c r="N1234" s="48" t="n">
        <v>0.0124733333333333</v>
      </c>
      <c r="O1234" s="25" t="n">
        <f aca="false">IF(AND(B1234&gt;=DATE(2026,1,1),B1234&lt;=Resumen!$C$5),1,0)</f>
        <v>0</v>
      </c>
      <c r="P1234" s="25" t="n">
        <f aca="false">IF(AND(B1234&gt;Resumen!$C$5,B1234&lt;=DATE(2027,7,31)),1,0)</f>
        <v>1</v>
      </c>
    </row>
    <row r="1235" customFormat="false" ht="15" hidden="false" customHeight="false" outlineLevel="0" collapsed="false">
      <c r="A1235" s="22" t="n">
        <v>49</v>
      </c>
      <c r="B1235" s="23" t="n">
        <v>46589</v>
      </c>
      <c r="C1235" s="28" t="n">
        <v>728666668</v>
      </c>
      <c r="D1235" s="28" t="n">
        <v>9088902.23885333</v>
      </c>
      <c r="E1235" s="28" t="n">
        <v>0</v>
      </c>
      <c r="F1235" s="28" t="n">
        <v>9088902.23885333</v>
      </c>
      <c r="G1235" s="28" t="n">
        <v>728666668</v>
      </c>
      <c r="H1235" s="25" t="n">
        <f aca="false">J1234</f>
        <v>728666668</v>
      </c>
      <c r="I1235" s="25" t="n">
        <f aca="false">H1235*N1235</f>
        <v>9088902.23885333</v>
      </c>
      <c r="J1235" s="25" t="n">
        <f aca="false">H1235-E1235</f>
        <v>728666668</v>
      </c>
      <c r="K1235" s="25" t="n">
        <f aca="false">D1235-I1235</f>
        <v>0</v>
      </c>
      <c r="L1235" s="25" t="n">
        <f aca="false">G1235-J1235</f>
        <v>0</v>
      </c>
      <c r="M1235" s="25" t="n">
        <f aca="false">F1235</f>
        <v>9088902.23885333</v>
      </c>
      <c r="N1235" s="48" t="n">
        <v>0.0124733333333333</v>
      </c>
      <c r="O1235" s="25" t="n">
        <f aca="false">IF(AND(B1235&gt;=DATE(2026,1,1),B1235&lt;=Resumen!$C$5),1,0)</f>
        <v>0</v>
      </c>
      <c r="P1235" s="25" t="n">
        <f aca="false">IF(AND(B1235&gt;Resumen!$C$5,B1235&lt;=DATE(2027,7,31)),1,0)</f>
        <v>1</v>
      </c>
    </row>
    <row r="1236" customFormat="false" ht="15" hidden="false" customHeight="false" outlineLevel="0" collapsed="false">
      <c r="A1236" s="22" t="n">
        <v>50</v>
      </c>
      <c r="B1236" s="23" t="n">
        <v>46620</v>
      </c>
      <c r="C1236" s="28" t="n">
        <v>728666668</v>
      </c>
      <c r="D1236" s="28" t="n">
        <v>9088902.23885333</v>
      </c>
      <c r="E1236" s="28" t="n">
        <v>0</v>
      </c>
      <c r="F1236" s="28" t="n">
        <v>9088902.23885333</v>
      </c>
      <c r="G1236" s="28" t="n">
        <v>728666668</v>
      </c>
      <c r="H1236" s="25" t="n">
        <f aca="false">J1235</f>
        <v>728666668</v>
      </c>
      <c r="I1236" s="25" t="n">
        <f aca="false">H1236*N1236</f>
        <v>9088902.23885333</v>
      </c>
      <c r="J1236" s="25" t="n">
        <f aca="false">H1236-E1236</f>
        <v>728666668</v>
      </c>
      <c r="K1236" s="25" t="n">
        <f aca="false">D1236-I1236</f>
        <v>0</v>
      </c>
      <c r="L1236" s="25" t="n">
        <f aca="false">G1236-J1236</f>
        <v>0</v>
      </c>
      <c r="M1236" s="25" t="n">
        <f aca="false">F1236</f>
        <v>9088902.23885333</v>
      </c>
      <c r="N1236" s="48" t="n">
        <v>0.0124733333333333</v>
      </c>
      <c r="O1236" s="25" t="n">
        <f aca="false">IF(AND(B1236&gt;=DATE(2026,1,1),B1236&lt;=Resumen!$C$5),1,0)</f>
        <v>0</v>
      </c>
      <c r="P1236" s="25" t="n">
        <f aca="false">IF(AND(B1236&gt;Resumen!$C$5,B1236&lt;=DATE(2027,7,31)),1,0)</f>
        <v>0</v>
      </c>
    </row>
    <row r="1237" customFormat="false" ht="15" hidden="false" customHeight="false" outlineLevel="0" collapsed="false">
      <c r="A1237" s="22" t="n">
        <v>51</v>
      </c>
      <c r="B1237" s="23" t="n">
        <v>46651</v>
      </c>
      <c r="C1237" s="28" t="n">
        <v>728666668</v>
      </c>
      <c r="D1237" s="28" t="n">
        <v>9088902.23885333</v>
      </c>
      <c r="E1237" s="28" t="n">
        <v>182166667</v>
      </c>
      <c r="F1237" s="28" t="n">
        <v>191255569.238853</v>
      </c>
      <c r="G1237" s="28" t="n">
        <v>546500001</v>
      </c>
      <c r="H1237" s="25" t="n">
        <f aca="false">J1236</f>
        <v>728666668</v>
      </c>
      <c r="I1237" s="25" t="n">
        <f aca="false">H1237*N1237</f>
        <v>9088902.23885333</v>
      </c>
      <c r="J1237" s="25" t="n">
        <f aca="false">H1237-E1237</f>
        <v>546500001</v>
      </c>
      <c r="K1237" s="25" t="n">
        <f aca="false">D1237-I1237</f>
        <v>0</v>
      </c>
      <c r="L1237" s="25" t="n">
        <f aca="false">G1237-J1237</f>
        <v>0</v>
      </c>
      <c r="M1237" s="25" t="n">
        <f aca="false">F1237</f>
        <v>191255569.238853</v>
      </c>
      <c r="N1237" s="48" t="n">
        <v>0.0124733333333333</v>
      </c>
      <c r="O1237" s="25" t="n">
        <f aca="false">IF(AND(B1237&gt;=DATE(2026,1,1),B1237&lt;=Resumen!$C$5),1,0)</f>
        <v>0</v>
      </c>
      <c r="P1237" s="25" t="n">
        <f aca="false">IF(AND(B1237&gt;Resumen!$C$5,B1237&lt;=DATE(2027,7,31)),1,0)</f>
        <v>0</v>
      </c>
    </row>
    <row r="1238" customFormat="false" ht="15" hidden="false" customHeight="false" outlineLevel="0" collapsed="false">
      <c r="A1238" s="22" t="n">
        <v>52</v>
      </c>
      <c r="B1238" s="23" t="n">
        <v>46681</v>
      </c>
      <c r="C1238" s="28" t="n">
        <v>546500001</v>
      </c>
      <c r="D1238" s="28" t="n">
        <v>6816676.67914</v>
      </c>
      <c r="E1238" s="28" t="n">
        <v>0</v>
      </c>
      <c r="F1238" s="28" t="n">
        <v>6816676.67914</v>
      </c>
      <c r="G1238" s="28" t="n">
        <v>546500001</v>
      </c>
      <c r="H1238" s="25" t="n">
        <f aca="false">J1237</f>
        <v>546500001</v>
      </c>
      <c r="I1238" s="25" t="n">
        <f aca="false">H1238*N1238</f>
        <v>6816676.67914</v>
      </c>
      <c r="J1238" s="25" t="n">
        <f aca="false">H1238-E1238</f>
        <v>546500001</v>
      </c>
      <c r="K1238" s="25" t="n">
        <f aca="false">D1238-I1238</f>
        <v>0</v>
      </c>
      <c r="L1238" s="25" t="n">
        <f aca="false">G1238-J1238</f>
        <v>0</v>
      </c>
      <c r="M1238" s="25" t="n">
        <f aca="false">F1238</f>
        <v>6816676.67914</v>
      </c>
      <c r="N1238" s="48" t="n">
        <v>0.0124733333333333</v>
      </c>
      <c r="O1238" s="25" t="n">
        <f aca="false">IF(AND(B1238&gt;=DATE(2026,1,1),B1238&lt;=Resumen!$C$5),1,0)</f>
        <v>0</v>
      </c>
      <c r="P1238" s="25" t="n">
        <f aca="false">IF(AND(B1238&gt;Resumen!$C$5,B1238&lt;=DATE(2027,7,31)),1,0)</f>
        <v>0</v>
      </c>
    </row>
    <row r="1239" customFormat="false" ht="15" hidden="false" customHeight="false" outlineLevel="0" collapsed="false">
      <c r="A1239" s="22" t="n">
        <v>53</v>
      </c>
      <c r="B1239" s="23" t="n">
        <v>46712</v>
      </c>
      <c r="C1239" s="28" t="n">
        <v>546500001</v>
      </c>
      <c r="D1239" s="28" t="n">
        <v>6816676.67914</v>
      </c>
      <c r="E1239" s="28" t="n">
        <v>0</v>
      </c>
      <c r="F1239" s="28" t="n">
        <v>6816676.67914</v>
      </c>
      <c r="G1239" s="28" t="n">
        <v>546500001</v>
      </c>
      <c r="H1239" s="25" t="n">
        <f aca="false">J1238</f>
        <v>546500001</v>
      </c>
      <c r="I1239" s="25" t="n">
        <f aca="false">H1239*N1239</f>
        <v>6816676.67914</v>
      </c>
      <c r="J1239" s="25" t="n">
        <f aca="false">H1239-E1239</f>
        <v>546500001</v>
      </c>
      <c r="K1239" s="25" t="n">
        <f aca="false">D1239-I1239</f>
        <v>0</v>
      </c>
      <c r="L1239" s="25" t="n">
        <f aca="false">G1239-J1239</f>
        <v>0</v>
      </c>
      <c r="M1239" s="25" t="n">
        <f aca="false">F1239</f>
        <v>6816676.67914</v>
      </c>
      <c r="N1239" s="48" t="n">
        <v>0.0124733333333333</v>
      </c>
      <c r="O1239" s="25" t="n">
        <f aca="false">IF(AND(B1239&gt;=DATE(2026,1,1),B1239&lt;=Resumen!$C$5),1,0)</f>
        <v>0</v>
      </c>
      <c r="P1239" s="25" t="n">
        <f aca="false">IF(AND(B1239&gt;Resumen!$C$5,B1239&lt;=DATE(2027,7,31)),1,0)</f>
        <v>0</v>
      </c>
    </row>
    <row r="1240" customFormat="false" ht="15" hidden="false" customHeight="false" outlineLevel="0" collapsed="false">
      <c r="A1240" s="22" t="n">
        <v>54</v>
      </c>
      <c r="B1240" s="23" t="n">
        <v>46742</v>
      </c>
      <c r="C1240" s="28" t="n">
        <v>546500001</v>
      </c>
      <c r="D1240" s="28" t="n">
        <v>6816676.67914</v>
      </c>
      <c r="E1240" s="28" t="n">
        <v>182166667</v>
      </c>
      <c r="F1240" s="28" t="n">
        <v>188983343.67914</v>
      </c>
      <c r="G1240" s="28" t="n">
        <v>364333334</v>
      </c>
      <c r="H1240" s="25" t="n">
        <f aca="false">J1239</f>
        <v>546500001</v>
      </c>
      <c r="I1240" s="25" t="n">
        <f aca="false">H1240*N1240</f>
        <v>6816676.67914</v>
      </c>
      <c r="J1240" s="25" t="n">
        <f aca="false">H1240-E1240</f>
        <v>364333334</v>
      </c>
      <c r="K1240" s="25" t="n">
        <f aca="false">D1240-I1240</f>
        <v>0</v>
      </c>
      <c r="L1240" s="25" t="n">
        <f aca="false">G1240-J1240</f>
        <v>0</v>
      </c>
      <c r="M1240" s="25" t="n">
        <f aca="false">F1240</f>
        <v>188983343.67914</v>
      </c>
      <c r="N1240" s="48" t="n">
        <v>0.0124733333333333</v>
      </c>
      <c r="O1240" s="25" t="n">
        <f aca="false">IF(AND(B1240&gt;=DATE(2026,1,1),B1240&lt;=Resumen!$C$5),1,0)</f>
        <v>0</v>
      </c>
      <c r="P1240" s="25" t="n">
        <f aca="false">IF(AND(B1240&gt;Resumen!$C$5,B1240&lt;=DATE(2027,7,31)),1,0)</f>
        <v>0</v>
      </c>
    </row>
    <row r="1241" customFormat="false" ht="15" hidden="false" customHeight="false" outlineLevel="0" collapsed="false">
      <c r="A1241" s="22" t="n">
        <v>55</v>
      </c>
      <c r="B1241" s="23" t="n">
        <v>46773</v>
      </c>
      <c r="C1241" s="28" t="n">
        <v>364333334</v>
      </c>
      <c r="D1241" s="28" t="n">
        <v>4544451.11942667</v>
      </c>
      <c r="E1241" s="28" t="n">
        <v>0</v>
      </c>
      <c r="F1241" s="28" t="n">
        <v>4544451.11942667</v>
      </c>
      <c r="G1241" s="28" t="n">
        <v>364333334</v>
      </c>
      <c r="H1241" s="25" t="n">
        <f aca="false">J1240</f>
        <v>364333334</v>
      </c>
      <c r="I1241" s="25" t="n">
        <f aca="false">H1241*N1241</f>
        <v>4544451.11942667</v>
      </c>
      <c r="J1241" s="25" t="n">
        <f aca="false">H1241-E1241</f>
        <v>364333334</v>
      </c>
      <c r="K1241" s="25" t="n">
        <f aca="false">D1241-I1241</f>
        <v>0</v>
      </c>
      <c r="L1241" s="25" t="n">
        <f aca="false">G1241-J1241</f>
        <v>0</v>
      </c>
      <c r="M1241" s="25" t="n">
        <f aca="false">F1241</f>
        <v>4544451.11942667</v>
      </c>
      <c r="N1241" s="48" t="n">
        <v>0.0124733333333333</v>
      </c>
      <c r="O1241" s="25" t="n">
        <f aca="false">IF(AND(B1241&gt;=DATE(2026,1,1),B1241&lt;=Resumen!$C$5),1,0)</f>
        <v>0</v>
      </c>
      <c r="P1241" s="25" t="n">
        <f aca="false">IF(AND(B1241&gt;Resumen!$C$5,B1241&lt;=DATE(2027,7,31)),1,0)</f>
        <v>0</v>
      </c>
    </row>
    <row r="1242" customFormat="false" ht="15" hidden="false" customHeight="false" outlineLevel="0" collapsed="false">
      <c r="A1242" s="22" t="n">
        <v>56</v>
      </c>
      <c r="B1242" s="23" t="n">
        <v>46804</v>
      </c>
      <c r="C1242" s="28" t="n">
        <v>364333334</v>
      </c>
      <c r="D1242" s="28" t="n">
        <v>4544451.11942667</v>
      </c>
      <c r="E1242" s="28" t="n">
        <v>0</v>
      </c>
      <c r="F1242" s="28" t="n">
        <v>4544451.11942667</v>
      </c>
      <c r="G1242" s="28" t="n">
        <v>364333334</v>
      </c>
      <c r="H1242" s="25" t="n">
        <f aca="false">J1241</f>
        <v>364333334</v>
      </c>
      <c r="I1242" s="25" t="n">
        <f aca="false">H1242*N1242</f>
        <v>4544451.11942667</v>
      </c>
      <c r="J1242" s="25" t="n">
        <f aca="false">H1242-E1242</f>
        <v>364333334</v>
      </c>
      <c r="K1242" s="25" t="n">
        <f aca="false">D1242-I1242</f>
        <v>0</v>
      </c>
      <c r="L1242" s="25" t="n">
        <f aca="false">G1242-J1242</f>
        <v>0</v>
      </c>
      <c r="M1242" s="25" t="n">
        <f aca="false">F1242</f>
        <v>4544451.11942667</v>
      </c>
      <c r="N1242" s="48" t="n">
        <v>0.0124733333333333</v>
      </c>
      <c r="O1242" s="25" t="n">
        <f aca="false">IF(AND(B1242&gt;=DATE(2026,1,1),B1242&lt;=Resumen!$C$5),1,0)</f>
        <v>0</v>
      </c>
      <c r="P1242" s="25" t="n">
        <f aca="false">IF(AND(B1242&gt;Resumen!$C$5,B1242&lt;=DATE(2027,7,31)),1,0)</f>
        <v>0</v>
      </c>
    </row>
    <row r="1243" customFormat="false" ht="15" hidden="false" customHeight="false" outlineLevel="0" collapsed="false">
      <c r="A1243" s="22" t="n">
        <v>57</v>
      </c>
      <c r="B1243" s="23" t="n">
        <v>46833</v>
      </c>
      <c r="C1243" s="28" t="n">
        <v>364333334</v>
      </c>
      <c r="D1243" s="28" t="n">
        <v>4544451.11942667</v>
      </c>
      <c r="E1243" s="28" t="n">
        <v>182166667</v>
      </c>
      <c r="F1243" s="28" t="n">
        <v>186711118.119427</v>
      </c>
      <c r="G1243" s="28" t="n">
        <v>182166667</v>
      </c>
      <c r="H1243" s="25" t="n">
        <f aca="false">J1242</f>
        <v>364333334</v>
      </c>
      <c r="I1243" s="25" t="n">
        <f aca="false">H1243*N1243</f>
        <v>4544451.11942667</v>
      </c>
      <c r="J1243" s="25" t="n">
        <f aca="false">H1243-E1243</f>
        <v>182166667</v>
      </c>
      <c r="K1243" s="25" t="n">
        <f aca="false">D1243-I1243</f>
        <v>0</v>
      </c>
      <c r="L1243" s="25" t="n">
        <f aca="false">G1243-J1243</f>
        <v>0</v>
      </c>
      <c r="M1243" s="25" t="n">
        <f aca="false">F1243</f>
        <v>186711118.119427</v>
      </c>
      <c r="N1243" s="48" t="n">
        <v>0.0124733333333333</v>
      </c>
      <c r="O1243" s="25" t="n">
        <f aca="false">IF(AND(B1243&gt;=DATE(2026,1,1),B1243&lt;=Resumen!$C$5),1,0)</f>
        <v>0</v>
      </c>
      <c r="P1243" s="25" t="n">
        <f aca="false">IF(AND(B1243&gt;Resumen!$C$5,B1243&lt;=DATE(2027,7,31)),1,0)</f>
        <v>0</v>
      </c>
    </row>
    <row r="1244" customFormat="false" ht="15" hidden="false" customHeight="false" outlineLevel="0" collapsed="false">
      <c r="A1244" s="22" t="n">
        <v>58</v>
      </c>
      <c r="B1244" s="23" t="n">
        <v>46864</v>
      </c>
      <c r="C1244" s="28" t="n">
        <v>182166667</v>
      </c>
      <c r="D1244" s="28" t="n">
        <v>2272225.55971333</v>
      </c>
      <c r="E1244" s="28" t="n">
        <v>0</v>
      </c>
      <c r="F1244" s="28" t="n">
        <v>2272225.55971333</v>
      </c>
      <c r="G1244" s="28" t="n">
        <v>182166667</v>
      </c>
      <c r="H1244" s="25" t="n">
        <f aca="false">J1243</f>
        <v>182166667</v>
      </c>
      <c r="I1244" s="25" t="n">
        <f aca="false">H1244*N1244</f>
        <v>2272225.55971333</v>
      </c>
      <c r="J1244" s="25" t="n">
        <f aca="false">H1244-E1244</f>
        <v>182166667</v>
      </c>
      <c r="K1244" s="25" t="n">
        <f aca="false">D1244-I1244</f>
        <v>0</v>
      </c>
      <c r="L1244" s="25" t="n">
        <f aca="false">G1244-J1244</f>
        <v>0</v>
      </c>
      <c r="M1244" s="25" t="n">
        <f aca="false">F1244</f>
        <v>2272225.55971333</v>
      </c>
      <c r="N1244" s="48" t="n">
        <v>0.0124733333333333</v>
      </c>
      <c r="O1244" s="25" t="n">
        <f aca="false">IF(AND(B1244&gt;=DATE(2026,1,1),B1244&lt;=Resumen!$C$5),1,0)</f>
        <v>0</v>
      </c>
      <c r="P1244" s="25" t="n">
        <f aca="false">IF(AND(B1244&gt;Resumen!$C$5,B1244&lt;=DATE(2027,7,31)),1,0)</f>
        <v>0</v>
      </c>
    </row>
    <row r="1245" customFormat="false" ht="15" hidden="false" customHeight="false" outlineLevel="0" collapsed="false">
      <c r="A1245" s="22" t="n">
        <v>59</v>
      </c>
      <c r="B1245" s="23" t="n">
        <v>46894</v>
      </c>
      <c r="C1245" s="28" t="n">
        <v>182166667</v>
      </c>
      <c r="D1245" s="28" t="n">
        <v>2272225.55971333</v>
      </c>
      <c r="E1245" s="28" t="n">
        <v>0</v>
      </c>
      <c r="F1245" s="28" t="n">
        <v>2272225.55971333</v>
      </c>
      <c r="G1245" s="28" t="n">
        <v>182166667</v>
      </c>
      <c r="H1245" s="25" t="n">
        <f aca="false">J1244</f>
        <v>182166667</v>
      </c>
      <c r="I1245" s="25" t="n">
        <f aca="false">H1245*N1245</f>
        <v>2272225.55971333</v>
      </c>
      <c r="J1245" s="25" t="n">
        <f aca="false">H1245-E1245</f>
        <v>182166667</v>
      </c>
      <c r="K1245" s="25" t="n">
        <f aca="false">D1245-I1245</f>
        <v>0</v>
      </c>
      <c r="L1245" s="25" t="n">
        <f aca="false">G1245-J1245</f>
        <v>0</v>
      </c>
      <c r="M1245" s="25" t="n">
        <f aca="false">F1245</f>
        <v>2272225.55971333</v>
      </c>
      <c r="N1245" s="48" t="n">
        <v>0.0124733333333333</v>
      </c>
      <c r="O1245" s="25" t="n">
        <f aca="false">IF(AND(B1245&gt;=DATE(2026,1,1),B1245&lt;=Resumen!$C$5),1,0)</f>
        <v>0</v>
      </c>
      <c r="P1245" s="25" t="n">
        <f aca="false">IF(AND(B1245&gt;Resumen!$C$5,B1245&lt;=DATE(2027,7,31)),1,0)</f>
        <v>0</v>
      </c>
    </row>
    <row r="1246" customFormat="false" ht="15" hidden="false" customHeight="false" outlineLevel="0" collapsed="false">
      <c r="A1246" s="22" t="n">
        <v>60</v>
      </c>
      <c r="B1246" s="23" t="n">
        <v>46925</v>
      </c>
      <c r="C1246" s="28" t="n">
        <v>182166667</v>
      </c>
      <c r="D1246" s="28" t="n">
        <v>2272225.55971333</v>
      </c>
      <c r="E1246" s="28" t="n">
        <v>182166663</v>
      </c>
      <c r="F1246" s="28" t="n">
        <v>184438888.559713</v>
      </c>
      <c r="G1246" s="28" t="n">
        <v>4</v>
      </c>
      <c r="H1246" s="25" t="n">
        <f aca="false">J1245</f>
        <v>182166667</v>
      </c>
      <c r="I1246" s="25" t="n">
        <f aca="false">H1246*N1246</f>
        <v>2272225.55971333</v>
      </c>
      <c r="J1246" s="25" t="n">
        <f aca="false">H1246-E1246</f>
        <v>4</v>
      </c>
      <c r="K1246" s="25" t="n">
        <f aca="false">D1246-I1246</f>
        <v>0</v>
      </c>
      <c r="L1246" s="25" t="n">
        <f aca="false">G1246-J1246</f>
        <v>0</v>
      </c>
      <c r="M1246" s="25" t="n">
        <f aca="false">F1246</f>
        <v>184438888.559713</v>
      </c>
      <c r="N1246" s="48" t="n">
        <v>0.0124733333333333</v>
      </c>
      <c r="O1246" s="25" t="n">
        <f aca="false">IF(AND(B1246&gt;=DATE(2026,1,1),B1246&lt;=Resumen!$C$5),1,0)</f>
        <v>0</v>
      </c>
      <c r="P1246" s="25" t="n">
        <f aca="false">IF(AND(B1246&gt;Resumen!$C$5,B1246&lt;=DATE(2027,7,31)),1,0)</f>
        <v>0</v>
      </c>
    </row>
    <row r="1249" customFormat="false" ht="15" hidden="false" customHeight="false" outlineLevel="0" collapsed="false">
      <c r="A1249" s="33" t="s">
        <v>842</v>
      </c>
    </row>
    <row r="1250" customFormat="false" ht="15" hidden="false" customHeight="false" outlineLevel="0" collapsed="false">
      <c r="A1250" s="34" t="s">
        <v>843</v>
      </c>
    </row>
    <row r="1251" customFormat="false" ht="15" hidden="false" customHeight="false" outlineLevel="0" collapsed="false">
      <c r="A1251" s="19" t="s">
        <v>844</v>
      </c>
    </row>
    <row r="1252" customFormat="false" ht="15" hidden="false" customHeight="false" outlineLevel="0" collapsed="false">
      <c r="A1252" s="20" t="s">
        <v>845</v>
      </c>
    </row>
    <row r="1253" customFormat="false" ht="15" hidden="false" customHeight="false" outlineLevel="0" collapsed="false">
      <c r="A1253" s="29" t="s">
        <v>773</v>
      </c>
      <c r="C1253" s="22" t="s">
        <v>846</v>
      </c>
      <c r="F1253" s="47" t="s">
        <v>775</v>
      </c>
    </row>
    <row r="1254" customFormat="false" ht="15" hidden="false" customHeight="false" outlineLevel="0" collapsed="false">
      <c r="A1254" s="29" t="s">
        <v>640</v>
      </c>
      <c r="C1254" s="28" t="n">
        <v>2500000000</v>
      </c>
      <c r="F1254" s="22" t="s">
        <v>776</v>
      </c>
      <c r="I1254" s="41" t="n">
        <f aca="false">_xlfn.MAXIFS($B$1262:$B$1322,$B$1262:$B$1322,"&lt;="&amp;Resumen!$C$5)</f>
        <v>46224</v>
      </c>
    </row>
    <row r="1255" customFormat="false" ht="15" hidden="false" customHeight="false" outlineLevel="0" collapsed="false">
      <c r="A1255" s="29" t="s">
        <v>641</v>
      </c>
      <c r="C1255" s="23" t="n">
        <v>45163</v>
      </c>
      <c r="F1255" s="22" t="s">
        <v>777</v>
      </c>
      <c r="I1255" s="25" t="n">
        <f aca="false">SUMIFS($G$1262:$G$1322,$B$1262:$B$1322,I1254)</f>
        <v>1125000000</v>
      </c>
    </row>
    <row r="1256" customFormat="false" ht="15" hidden="false" customHeight="false" outlineLevel="0" collapsed="false">
      <c r="A1256" s="29" t="s">
        <v>778</v>
      </c>
      <c r="C1256" s="22" t="s">
        <v>847</v>
      </c>
      <c r="F1256" s="22" t="s">
        <v>780</v>
      </c>
      <c r="I1256" s="25" t="n">
        <f aca="false">SUMIFS($J$1262:$J$1322,$B$1262:$B$1322,I1254)</f>
        <v>1125000000</v>
      </c>
    </row>
    <row r="1257" customFormat="false" ht="15" hidden="false" customHeight="false" outlineLevel="0" collapsed="false">
      <c r="A1257" s="29" t="s">
        <v>781</v>
      </c>
      <c r="C1257" s="48" t="s">
        <v>818</v>
      </c>
      <c r="F1257" s="22" t="s">
        <v>650</v>
      </c>
      <c r="I1257" s="25" t="n">
        <f aca="false">SUMIFS($D$1262:$D$1322,$O$1262:$O$1322,1)</f>
        <v>108575000</v>
      </c>
    </row>
    <row r="1258" customFormat="false" ht="15" hidden="false" customHeight="false" outlineLevel="0" collapsed="false">
      <c r="A1258" s="29" t="s">
        <v>782</v>
      </c>
      <c r="C1258" s="49" t="n">
        <f aca="false">IFERROR(IRR($M$1262:$M$1322),"N/A")</f>
        <v>0.0128176454362254</v>
      </c>
      <c r="F1258" s="22" t="s">
        <v>783</v>
      </c>
      <c r="I1258" s="25" t="n">
        <f aca="false">SUMIFS($E$1262:$E$1322,$P$1262:$P$1322,1)</f>
        <v>500000000</v>
      </c>
    </row>
    <row r="1259" customFormat="false" ht="15" hidden="false" customHeight="false" outlineLevel="0" collapsed="false">
      <c r="A1259" s="29" t="s">
        <v>784</v>
      </c>
      <c r="C1259" s="50" t="n">
        <f aca="false">IF(ISNUMBER(C1258),(1+C1258)^12-1,"N/A")</f>
        <v>0.165131942793725</v>
      </c>
      <c r="F1259" s="22" t="s">
        <v>785</v>
      </c>
      <c r="I1259" s="25" t="n">
        <f aca="false">SUMPRODUCT(MAX(ABS($L$1262:$L$1322)))</f>
        <v>0</v>
      </c>
    </row>
    <row r="1261" customFormat="false" ht="36" hidden="false" customHeight="true" outlineLevel="0" collapsed="false">
      <c r="A1261" s="27" t="s">
        <v>786</v>
      </c>
      <c r="B1261" s="27" t="s">
        <v>396</v>
      </c>
      <c r="C1261" s="27" t="s">
        <v>787</v>
      </c>
      <c r="D1261" s="27" t="s">
        <v>788</v>
      </c>
      <c r="E1261" s="27" t="s">
        <v>789</v>
      </c>
      <c r="F1261" s="27" t="s">
        <v>790</v>
      </c>
      <c r="G1261" s="27" t="s">
        <v>791</v>
      </c>
      <c r="H1261" s="27" t="s">
        <v>792</v>
      </c>
      <c r="I1261" s="27" t="s">
        <v>793</v>
      </c>
      <c r="J1261" s="27" t="s">
        <v>794</v>
      </c>
      <c r="K1261" s="27" t="s">
        <v>795</v>
      </c>
      <c r="L1261" s="27" t="s">
        <v>796</v>
      </c>
      <c r="M1261" s="27" t="s">
        <v>797</v>
      </c>
      <c r="N1261" s="27" t="s">
        <v>798</v>
      </c>
      <c r="O1261" s="27" t="s">
        <v>799</v>
      </c>
      <c r="P1261" s="27" t="s">
        <v>800</v>
      </c>
    </row>
    <row r="1262" customFormat="false" ht="15" hidden="false" customHeight="false" outlineLevel="0" collapsed="false">
      <c r="A1262" s="22" t="n">
        <v>0</v>
      </c>
      <c r="B1262" s="23" t="n">
        <v>45159</v>
      </c>
      <c r="C1262" s="28" t="n">
        <v>2500000000</v>
      </c>
      <c r="D1262" s="28" t="n">
        <v>0</v>
      </c>
      <c r="E1262" s="28" t="n">
        <v>0</v>
      </c>
      <c r="F1262" s="28" t="n">
        <v>0</v>
      </c>
      <c r="G1262" s="28" t="n">
        <v>2500000000</v>
      </c>
      <c r="H1262" s="25" t="n">
        <f aca="false">C1262</f>
        <v>2500000000</v>
      </c>
      <c r="I1262" s="25" t="n">
        <f aca="false">H1262*N1262</f>
        <v>37195833.3333333</v>
      </c>
      <c r="J1262" s="25" t="n">
        <f aca="false">H1262-E1262</f>
        <v>2500000000</v>
      </c>
      <c r="K1262" s="25" t="n">
        <f aca="false">D1262-I1262</f>
        <v>-37195833.3333333</v>
      </c>
      <c r="L1262" s="25" t="n">
        <f aca="false">G1262-J1262</f>
        <v>0</v>
      </c>
      <c r="M1262" s="25" t="n">
        <f aca="false">-$C$1254</f>
        <v>-2500000000</v>
      </c>
      <c r="N1262" s="48" t="n">
        <v>0.0148783333333333</v>
      </c>
      <c r="O1262" s="25" t="n">
        <f aca="false">IF(AND(B1262&gt;=DATE(2026,1,1),B1262&lt;=Resumen!$C$5),1,0)</f>
        <v>0</v>
      </c>
      <c r="P1262" s="25" t="n">
        <f aca="false">IF(AND(B1262&gt;Resumen!$C$5,B1262&lt;=DATE(2027,7,31)),1,0)</f>
        <v>0</v>
      </c>
    </row>
    <row r="1263" customFormat="false" ht="15" hidden="false" customHeight="false" outlineLevel="0" collapsed="false">
      <c r="A1263" s="22" t="n">
        <v>1</v>
      </c>
      <c r="B1263" s="23" t="n">
        <v>45190</v>
      </c>
      <c r="C1263" s="28" t="n">
        <v>2500000000</v>
      </c>
      <c r="D1263" s="28" t="n">
        <v>36900000</v>
      </c>
      <c r="E1263" s="28" t="n">
        <v>0</v>
      </c>
      <c r="F1263" s="28" t="n">
        <v>36900000</v>
      </c>
      <c r="G1263" s="28" t="n">
        <v>2500000000</v>
      </c>
      <c r="H1263" s="25" t="n">
        <f aca="false">J1262</f>
        <v>2500000000</v>
      </c>
      <c r="I1263" s="25" t="n">
        <f aca="false">H1263*N1263</f>
        <v>36900000</v>
      </c>
      <c r="J1263" s="25" t="n">
        <f aca="false">H1263-E1263</f>
        <v>2500000000</v>
      </c>
      <c r="K1263" s="25" t="n">
        <f aca="false">D1263-I1263</f>
        <v>0</v>
      </c>
      <c r="L1263" s="25" t="n">
        <f aca="false">G1263-J1263</f>
        <v>0</v>
      </c>
      <c r="M1263" s="25" t="n">
        <f aca="false">F1263</f>
        <v>36900000</v>
      </c>
      <c r="N1263" s="48" t="n">
        <v>0.01476</v>
      </c>
      <c r="O1263" s="25" t="n">
        <f aca="false">IF(AND(B1263&gt;=DATE(2026,1,1),B1263&lt;=Resumen!$C$5),1,0)</f>
        <v>0</v>
      </c>
      <c r="P1263" s="25" t="n">
        <f aca="false">IF(AND(B1263&gt;Resumen!$C$5,B1263&lt;=DATE(2027,7,31)),1,0)</f>
        <v>0</v>
      </c>
    </row>
    <row r="1264" customFormat="false" ht="15" hidden="false" customHeight="false" outlineLevel="0" collapsed="false">
      <c r="A1264" s="22" t="n">
        <v>2</v>
      </c>
      <c r="B1264" s="23" t="n">
        <v>45220</v>
      </c>
      <c r="C1264" s="28" t="n">
        <v>2500000000</v>
      </c>
      <c r="D1264" s="28" t="n">
        <v>36897916.6666667</v>
      </c>
      <c r="E1264" s="28" t="n">
        <v>0</v>
      </c>
      <c r="F1264" s="28" t="n">
        <v>36897916.6666667</v>
      </c>
      <c r="G1264" s="28" t="n">
        <v>2500000000</v>
      </c>
      <c r="H1264" s="25" t="n">
        <f aca="false">J1263</f>
        <v>2500000000</v>
      </c>
      <c r="I1264" s="25" t="n">
        <f aca="false">H1264*N1264</f>
        <v>36897916.6666667</v>
      </c>
      <c r="J1264" s="25" t="n">
        <f aca="false">H1264-E1264</f>
        <v>2500000000</v>
      </c>
      <c r="K1264" s="25" t="n">
        <f aca="false">D1264-I1264</f>
        <v>0</v>
      </c>
      <c r="L1264" s="25" t="n">
        <f aca="false">G1264-J1264</f>
        <v>0</v>
      </c>
      <c r="M1264" s="25" t="n">
        <f aca="false">F1264</f>
        <v>36897916.6666667</v>
      </c>
      <c r="N1264" s="48" t="n">
        <v>0.0147591666666667</v>
      </c>
      <c r="O1264" s="25" t="n">
        <f aca="false">IF(AND(B1264&gt;=DATE(2026,1,1),B1264&lt;=Resumen!$C$5),1,0)</f>
        <v>0</v>
      </c>
      <c r="P1264" s="25" t="n">
        <f aca="false">IF(AND(B1264&gt;Resumen!$C$5,B1264&lt;=DATE(2027,7,31)),1,0)</f>
        <v>0</v>
      </c>
    </row>
    <row r="1265" customFormat="false" ht="15" hidden="false" customHeight="false" outlineLevel="0" collapsed="false">
      <c r="A1265" s="22" t="n">
        <v>3</v>
      </c>
      <c r="B1265" s="23" t="n">
        <v>45251</v>
      </c>
      <c r="C1265" s="28" t="n">
        <v>2500000000</v>
      </c>
      <c r="D1265" s="28" t="n">
        <v>35241666.6666667</v>
      </c>
      <c r="E1265" s="28" t="n">
        <v>125000000</v>
      </c>
      <c r="F1265" s="28" t="n">
        <v>160241666.666667</v>
      </c>
      <c r="G1265" s="28" t="n">
        <v>2375000000</v>
      </c>
      <c r="H1265" s="25" t="n">
        <f aca="false">J1264</f>
        <v>2500000000</v>
      </c>
      <c r="I1265" s="25" t="n">
        <f aca="false">H1265*N1265</f>
        <v>35241666.6666667</v>
      </c>
      <c r="J1265" s="25" t="n">
        <f aca="false">H1265-E1265</f>
        <v>2375000000</v>
      </c>
      <c r="K1265" s="25" t="n">
        <f aca="false">D1265-I1265</f>
        <v>0</v>
      </c>
      <c r="L1265" s="25" t="n">
        <f aca="false">G1265-J1265</f>
        <v>0</v>
      </c>
      <c r="M1265" s="25" t="n">
        <f aca="false">F1265</f>
        <v>160241666.666667</v>
      </c>
      <c r="N1265" s="48" t="n">
        <v>0.0140966666666667</v>
      </c>
      <c r="O1265" s="25" t="n">
        <f aca="false">IF(AND(B1265&gt;=DATE(2026,1,1),B1265&lt;=Resumen!$C$5),1,0)</f>
        <v>0</v>
      </c>
      <c r="P1265" s="25" t="n">
        <f aca="false">IF(AND(B1265&gt;Resumen!$C$5,B1265&lt;=DATE(2027,7,31)),1,0)</f>
        <v>0</v>
      </c>
    </row>
    <row r="1266" customFormat="false" ht="15" hidden="false" customHeight="false" outlineLevel="0" collapsed="false">
      <c r="A1266" s="22" t="n">
        <v>4</v>
      </c>
      <c r="B1266" s="23" t="n">
        <v>45281</v>
      </c>
      <c r="C1266" s="28" t="n">
        <v>2375000000</v>
      </c>
      <c r="D1266" s="28" t="n">
        <v>33465729.1666667</v>
      </c>
      <c r="E1266" s="28" t="n">
        <v>0</v>
      </c>
      <c r="F1266" s="28" t="n">
        <v>33465729.1666667</v>
      </c>
      <c r="G1266" s="28" t="n">
        <v>2375000000</v>
      </c>
      <c r="H1266" s="25" t="n">
        <f aca="false">J1265</f>
        <v>2375000000</v>
      </c>
      <c r="I1266" s="25" t="n">
        <f aca="false">H1266*N1266</f>
        <v>33465729.1666667</v>
      </c>
      <c r="J1266" s="25" t="n">
        <f aca="false">H1266-E1266</f>
        <v>2375000000</v>
      </c>
      <c r="K1266" s="25" t="n">
        <f aca="false">D1266-I1266</f>
        <v>0</v>
      </c>
      <c r="L1266" s="25" t="n">
        <f aca="false">G1266-J1266</f>
        <v>0</v>
      </c>
      <c r="M1266" s="25" t="n">
        <f aca="false">F1266</f>
        <v>33465729.1666667</v>
      </c>
      <c r="N1266" s="48" t="n">
        <v>0.0140908333333333</v>
      </c>
      <c r="O1266" s="25" t="n">
        <f aca="false">IF(AND(B1266&gt;=DATE(2026,1,1),B1266&lt;=Resumen!$C$5),1,0)</f>
        <v>0</v>
      </c>
      <c r="P1266" s="25" t="n">
        <f aca="false">IF(AND(B1266&gt;Resumen!$C$5,B1266&lt;=DATE(2027,7,31)),1,0)</f>
        <v>0</v>
      </c>
    </row>
    <row r="1267" customFormat="false" ht="15" hidden="false" customHeight="false" outlineLevel="0" collapsed="false">
      <c r="A1267" s="22" t="n">
        <v>5</v>
      </c>
      <c r="B1267" s="23" t="n">
        <v>45312</v>
      </c>
      <c r="C1267" s="28" t="n">
        <v>2375000000</v>
      </c>
      <c r="D1267" s="28" t="n">
        <v>33149062.5</v>
      </c>
      <c r="E1267" s="28" t="n">
        <v>0</v>
      </c>
      <c r="F1267" s="28" t="n">
        <v>33149062.5</v>
      </c>
      <c r="G1267" s="28" t="n">
        <v>2375000000</v>
      </c>
      <c r="H1267" s="25" t="n">
        <f aca="false">J1266</f>
        <v>2375000000</v>
      </c>
      <c r="I1267" s="25" t="n">
        <f aca="false">H1267*N1267</f>
        <v>33149062.5</v>
      </c>
      <c r="J1267" s="25" t="n">
        <f aca="false">H1267-E1267</f>
        <v>2375000000</v>
      </c>
      <c r="K1267" s="25" t="n">
        <f aca="false">D1267-I1267</f>
        <v>0</v>
      </c>
      <c r="L1267" s="25" t="n">
        <f aca="false">G1267-J1267</f>
        <v>0</v>
      </c>
      <c r="M1267" s="25" t="n">
        <f aca="false">F1267</f>
        <v>33149062.5</v>
      </c>
      <c r="N1267" s="48" t="n">
        <v>0.0139575</v>
      </c>
      <c r="O1267" s="25" t="n">
        <f aca="false">IF(AND(B1267&gt;=DATE(2026,1,1),B1267&lt;=Resumen!$C$5),1,0)</f>
        <v>0</v>
      </c>
      <c r="P1267" s="25" t="n">
        <f aca="false">IF(AND(B1267&gt;Resumen!$C$5,B1267&lt;=DATE(2027,7,31)),1,0)</f>
        <v>0</v>
      </c>
    </row>
    <row r="1268" customFormat="false" ht="15" hidden="false" customHeight="false" outlineLevel="0" collapsed="false">
      <c r="A1268" s="22" t="n">
        <v>6</v>
      </c>
      <c r="B1268" s="23" t="n">
        <v>45343</v>
      </c>
      <c r="C1268" s="28" t="n">
        <v>2375000000</v>
      </c>
      <c r="D1268" s="28" t="n">
        <v>32854166.6666667</v>
      </c>
      <c r="E1268" s="28" t="n">
        <v>125000000</v>
      </c>
      <c r="F1268" s="28" t="n">
        <v>157854166.666667</v>
      </c>
      <c r="G1268" s="28" t="n">
        <v>2250000000</v>
      </c>
      <c r="H1268" s="25" t="n">
        <f aca="false">J1267</f>
        <v>2375000000</v>
      </c>
      <c r="I1268" s="25" t="n">
        <f aca="false">H1268*N1268</f>
        <v>32854166.6666667</v>
      </c>
      <c r="J1268" s="25" t="n">
        <f aca="false">H1268-E1268</f>
        <v>2250000000</v>
      </c>
      <c r="K1268" s="25" t="n">
        <f aca="false">D1268-I1268</f>
        <v>0</v>
      </c>
      <c r="L1268" s="25" t="n">
        <f aca="false">G1268-J1268</f>
        <v>0</v>
      </c>
      <c r="M1268" s="25" t="n">
        <f aca="false">F1268</f>
        <v>157854166.666667</v>
      </c>
      <c r="N1268" s="48" t="n">
        <v>0.0138333333333333</v>
      </c>
      <c r="O1268" s="25" t="n">
        <f aca="false">IF(AND(B1268&gt;=DATE(2026,1,1),B1268&lt;=Resumen!$C$5),1,0)</f>
        <v>0</v>
      </c>
      <c r="P1268" s="25" t="n">
        <f aca="false">IF(AND(B1268&gt;Resumen!$C$5,B1268&lt;=DATE(2027,7,31)),1,0)</f>
        <v>0</v>
      </c>
    </row>
    <row r="1269" customFormat="false" ht="15" hidden="false" customHeight="false" outlineLevel="0" collapsed="false">
      <c r="A1269" s="22" t="n">
        <v>7</v>
      </c>
      <c r="B1269" s="23" t="n">
        <v>45372</v>
      </c>
      <c r="C1269" s="28" t="n">
        <v>2250000000</v>
      </c>
      <c r="D1269" s="28" t="n">
        <v>30723750</v>
      </c>
      <c r="E1269" s="28" t="n">
        <v>0</v>
      </c>
      <c r="F1269" s="28" t="n">
        <v>30723750</v>
      </c>
      <c r="G1269" s="28" t="n">
        <v>2250000000</v>
      </c>
      <c r="H1269" s="25" t="n">
        <f aca="false">J1268</f>
        <v>2250000000</v>
      </c>
      <c r="I1269" s="25" t="n">
        <f aca="false">H1269*N1269</f>
        <v>30723750</v>
      </c>
      <c r="J1269" s="25" t="n">
        <f aca="false">H1269-E1269</f>
        <v>2250000000</v>
      </c>
      <c r="K1269" s="25" t="n">
        <f aca="false">D1269-I1269</f>
        <v>0</v>
      </c>
      <c r="L1269" s="25" t="n">
        <f aca="false">G1269-J1269</f>
        <v>0</v>
      </c>
      <c r="M1269" s="25" t="n">
        <f aca="false">F1269</f>
        <v>30723750</v>
      </c>
      <c r="N1269" s="48" t="n">
        <v>0.013655</v>
      </c>
      <c r="O1269" s="25" t="n">
        <f aca="false">IF(AND(B1269&gt;=DATE(2026,1,1),B1269&lt;=Resumen!$C$5),1,0)</f>
        <v>0</v>
      </c>
      <c r="P1269" s="25" t="n">
        <f aca="false">IF(AND(B1269&gt;Resumen!$C$5,B1269&lt;=DATE(2027,7,31)),1,0)</f>
        <v>0</v>
      </c>
    </row>
    <row r="1270" customFormat="false" ht="15" hidden="false" customHeight="false" outlineLevel="0" collapsed="false">
      <c r="A1270" s="22" t="n">
        <v>8</v>
      </c>
      <c r="B1270" s="23" t="n">
        <v>45403</v>
      </c>
      <c r="C1270" s="28" t="n">
        <v>2250000000</v>
      </c>
      <c r="D1270" s="28" t="n">
        <v>31548750</v>
      </c>
      <c r="E1270" s="28" t="n">
        <v>0</v>
      </c>
      <c r="F1270" s="28" t="n">
        <v>31548750</v>
      </c>
      <c r="G1270" s="28" t="n">
        <v>2250000000</v>
      </c>
      <c r="H1270" s="25" t="n">
        <f aca="false">J1269</f>
        <v>2250000000</v>
      </c>
      <c r="I1270" s="25" t="n">
        <f aca="false">H1270*N1270</f>
        <v>31548750</v>
      </c>
      <c r="J1270" s="25" t="n">
        <f aca="false">H1270-E1270</f>
        <v>2250000000</v>
      </c>
      <c r="K1270" s="25" t="n">
        <f aca="false">D1270-I1270</f>
        <v>0</v>
      </c>
      <c r="L1270" s="25" t="n">
        <f aca="false">G1270-J1270</f>
        <v>0</v>
      </c>
      <c r="M1270" s="25" t="n">
        <f aca="false">F1270</f>
        <v>31548750</v>
      </c>
      <c r="N1270" s="48" t="n">
        <v>0.0140216666666667</v>
      </c>
      <c r="O1270" s="25" t="n">
        <f aca="false">IF(AND(B1270&gt;=DATE(2026,1,1),B1270&lt;=Resumen!$C$5),1,0)</f>
        <v>0</v>
      </c>
      <c r="P1270" s="25" t="n">
        <f aca="false">IF(AND(B1270&gt;Resumen!$C$5,B1270&lt;=DATE(2027,7,31)),1,0)</f>
        <v>0</v>
      </c>
    </row>
    <row r="1271" customFormat="false" ht="15" hidden="false" customHeight="false" outlineLevel="0" collapsed="false">
      <c r="A1271" s="22" t="n">
        <v>9</v>
      </c>
      <c r="B1271" s="23" t="n">
        <v>45433</v>
      </c>
      <c r="C1271" s="28" t="n">
        <v>2250000000</v>
      </c>
      <c r="D1271" s="28" t="n">
        <v>29643750</v>
      </c>
      <c r="E1271" s="28" t="n">
        <v>125000000</v>
      </c>
      <c r="F1271" s="28" t="n">
        <v>154643750</v>
      </c>
      <c r="G1271" s="28" t="n">
        <v>2125000000</v>
      </c>
      <c r="H1271" s="25" t="n">
        <f aca="false">J1270</f>
        <v>2250000000</v>
      </c>
      <c r="I1271" s="25" t="n">
        <f aca="false">H1271*N1271</f>
        <v>29643750</v>
      </c>
      <c r="J1271" s="25" t="n">
        <f aca="false">H1271-E1271</f>
        <v>2125000000</v>
      </c>
      <c r="K1271" s="25" t="n">
        <f aca="false">D1271-I1271</f>
        <v>0</v>
      </c>
      <c r="L1271" s="25" t="n">
        <f aca="false">G1271-J1271</f>
        <v>0</v>
      </c>
      <c r="M1271" s="25" t="n">
        <f aca="false">F1271</f>
        <v>154643750</v>
      </c>
      <c r="N1271" s="48" t="n">
        <v>0.013175</v>
      </c>
      <c r="O1271" s="25" t="n">
        <f aca="false">IF(AND(B1271&gt;=DATE(2026,1,1),B1271&lt;=Resumen!$C$5),1,0)</f>
        <v>0</v>
      </c>
      <c r="P1271" s="25" t="n">
        <f aca="false">IF(AND(B1271&gt;Resumen!$C$5,B1271&lt;=DATE(2027,7,31)),1,0)</f>
        <v>0</v>
      </c>
    </row>
    <row r="1272" customFormat="false" ht="15" hidden="false" customHeight="false" outlineLevel="0" collapsed="false">
      <c r="A1272" s="22" t="n">
        <v>10</v>
      </c>
      <c r="B1272" s="23" t="n">
        <v>45464</v>
      </c>
      <c r="C1272" s="28" t="n">
        <v>2125000000</v>
      </c>
      <c r="D1272" s="28" t="n">
        <v>28616666.6666667</v>
      </c>
      <c r="E1272" s="28" t="n">
        <v>0</v>
      </c>
      <c r="F1272" s="28" t="n">
        <v>28616666.6666667</v>
      </c>
      <c r="G1272" s="28" t="n">
        <v>2125000000</v>
      </c>
      <c r="H1272" s="25" t="n">
        <f aca="false">J1271</f>
        <v>2125000000</v>
      </c>
      <c r="I1272" s="25" t="n">
        <f aca="false">H1272*N1272</f>
        <v>28616666.6666667</v>
      </c>
      <c r="J1272" s="25" t="n">
        <f aca="false">H1272-E1272</f>
        <v>2125000000</v>
      </c>
      <c r="K1272" s="25" t="n">
        <f aca="false">D1272-I1272</f>
        <v>0</v>
      </c>
      <c r="L1272" s="25" t="n">
        <f aca="false">G1272-J1272</f>
        <v>0</v>
      </c>
      <c r="M1272" s="25" t="n">
        <f aca="false">F1272</f>
        <v>28616666.6666667</v>
      </c>
      <c r="N1272" s="48" t="n">
        <v>0.0134666666666667</v>
      </c>
      <c r="O1272" s="25" t="n">
        <f aca="false">IF(AND(B1272&gt;=DATE(2026,1,1),B1272&lt;=Resumen!$C$5),1,0)</f>
        <v>0</v>
      </c>
      <c r="P1272" s="25" t="n">
        <f aca="false">IF(AND(B1272&gt;Resumen!$C$5,B1272&lt;=DATE(2027,7,31)),1,0)</f>
        <v>0</v>
      </c>
    </row>
    <row r="1273" customFormat="false" ht="15" hidden="false" customHeight="false" outlineLevel="0" collapsed="false">
      <c r="A1273" s="22" t="n">
        <v>11</v>
      </c>
      <c r="B1273" s="23" t="n">
        <v>45494</v>
      </c>
      <c r="C1273" s="28" t="n">
        <v>2125000000</v>
      </c>
      <c r="D1273" s="28" t="n">
        <v>27920729.1666667</v>
      </c>
      <c r="E1273" s="28" t="n">
        <v>0</v>
      </c>
      <c r="F1273" s="28" t="n">
        <v>27920729.1666667</v>
      </c>
      <c r="G1273" s="28" t="n">
        <v>2125000000</v>
      </c>
      <c r="H1273" s="25" t="n">
        <f aca="false">J1272</f>
        <v>2125000000</v>
      </c>
      <c r="I1273" s="25" t="n">
        <f aca="false">H1273*N1273</f>
        <v>27920729.1666667</v>
      </c>
      <c r="J1273" s="25" t="n">
        <f aca="false">H1273-E1273</f>
        <v>2125000000</v>
      </c>
      <c r="K1273" s="25" t="n">
        <f aca="false">D1273-I1273</f>
        <v>0</v>
      </c>
      <c r="L1273" s="25" t="n">
        <f aca="false">G1273-J1273</f>
        <v>0</v>
      </c>
      <c r="M1273" s="25" t="n">
        <f aca="false">F1273</f>
        <v>27920729.1666667</v>
      </c>
      <c r="N1273" s="48" t="n">
        <v>0.0131391666666667</v>
      </c>
      <c r="O1273" s="25" t="n">
        <f aca="false">IF(AND(B1273&gt;=DATE(2026,1,1),B1273&lt;=Resumen!$C$5),1,0)</f>
        <v>0</v>
      </c>
      <c r="P1273" s="25" t="n">
        <f aca="false">IF(AND(B1273&gt;Resumen!$C$5,B1273&lt;=DATE(2027,7,31)),1,0)</f>
        <v>0</v>
      </c>
    </row>
    <row r="1274" customFormat="false" ht="15" hidden="false" customHeight="false" outlineLevel="0" collapsed="false">
      <c r="A1274" s="22" t="n">
        <v>12</v>
      </c>
      <c r="B1274" s="23" t="n">
        <v>45525</v>
      </c>
      <c r="C1274" s="28" t="n">
        <v>2125000000</v>
      </c>
      <c r="D1274" s="28" t="n">
        <v>26314583.3333333</v>
      </c>
      <c r="E1274" s="28" t="n">
        <v>125000000</v>
      </c>
      <c r="F1274" s="28" t="n">
        <v>151314583.333333</v>
      </c>
      <c r="G1274" s="28" t="n">
        <v>2000000000</v>
      </c>
      <c r="H1274" s="25" t="n">
        <f aca="false">J1273</f>
        <v>2125000000</v>
      </c>
      <c r="I1274" s="25" t="n">
        <f aca="false">H1274*N1274</f>
        <v>26314583.3333333</v>
      </c>
      <c r="J1274" s="25" t="n">
        <f aca="false">H1274-E1274</f>
        <v>2000000000</v>
      </c>
      <c r="K1274" s="25" t="n">
        <f aca="false">D1274-I1274</f>
        <v>0</v>
      </c>
      <c r="L1274" s="25" t="n">
        <f aca="false">G1274-J1274</f>
        <v>0</v>
      </c>
      <c r="M1274" s="25" t="n">
        <f aca="false">F1274</f>
        <v>151314583.333333</v>
      </c>
      <c r="N1274" s="48" t="n">
        <v>0.0123833333333333</v>
      </c>
      <c r="O1274" s="25" t="n">
        <f aca="false">IF(AND(B1274&gt;=DATE(2026,1,1),B1274&lt;=Resumen!$C$5),1,0)</f>
        <v>0</v>
      </c>
      <c r="P1274" s="25" t="n">
        <f aca="false">IF(AND(B1274&gt;Resumen!$C$5,B1274&lt;=DATE(2027,7,31)),1,0)</f>
        <v>0</v>
      </c>
    </row>
    <row r="1275" customFormat="false" ht="15" hidden="false" customHeight="false" outlineLevel="0" collapsed="false">
      <c r="A1275" s="22" t="n">
        <v>13</v>
      </c>
      <c r="B1275" s="23" t="n">
        <v>45556</v>
      </c>
      <c r="C1275" s="28" t="n">
        <v>2000000000</v>
      </c>
      <c r="D1275" s="28" t="n">
        <v>24733333.3333333</v>
      </c>
      <c r="E1275" s="28" t="n">
        <v>0</v>
      </c>
      <c r="F1275" s="28" t="n">
        <v>24733333.3333333</v>
      </c>
      <c r="G1275" s="28" t="n">
        <v>2000000000</v>
      </c>
      <c r="H1275" s="25" t="n">
        <f aca="false">J1274</f>
        <v>2000000000</v>
      </c>
      <c r="I1275" s="25" t="n">
        <f aca="false">H1275*N1275</f>
        <v>24733333.3333333</v>
      </c>
      <c r="J1275" s="25" t="n">
        <f aca="false">H1275-E1275</f>
        <v>2000000000</v>
      </c>
      <c r="K1275" s="25" t="n">
        <f aca="false">D1275-I1275</f>
        <v>0</v>
      </c>
      <c r="L1275" s="25" t="n">
        <f aca="false">G1275-J1275</f>
        <v>0</v>
      </c>
      <c r="M1275" s="25" t="n">
        <f aca="false">F1275</f>
        <v>24733333.3333333</v>
      </c>
      <c r="N1275" s="48" t="n">
        <v>0.0123666666666667</v>
      </c>
      <c r="O1275" s="25" t="n">
        <f aca="false">IF(AND(B1275&gt;=DATE(2026,1,1),B1275&lt;=Resumen!$C$5),1,0)</f>
        <v>0</v>
      </c>
      <c r="P1275" s="25" t="n">
        <f aca="false">IF(AND(B1275&gt;Resumen!$C$5,B1275&lt;=DATE(2027,7,31)),1,0)</f>
        <v>0</v>
      </c>
    </row>
    <row r="1276" customFormat="false" ht="15" hidden="false" customHeight="false" outlineLevel="0" collapsed="false">
      <c r="A1276" s="22" t="n">
        <v>14</v>
      </c>
      <c r="B1276" s="23" t="n">
        <v>45586</v>
      </c>
      <c r="C1276" s="28" t="n">
        <v>2000000000</v>
      </c>
      <c r="D1276" s="28" t="n">
        <v>24631666.6666667</v>
      </c>
      <c r="E1276" s="28" t="n">
        <v>0</v>
      </c>
      <c r="F1276" s="28" t="n">
        <v>24631666.6666667</v>
      </c>
      <c r="G1276" s="28" t="n">
        <v>2000000000</v>
      </c>
      <c r="H1276" s="25" t="n">
        <f aca="false">J1275</f>
        <v>2000000000</v>
      </c>
      <c r="I1276" s="25" t="n">
        <f aca="false">H1276*N1276</f>
        <v>24631666.6666667</v>
      </c>
      <c r="J1276" s="25" t="n">
        <f aca="false">H1276-E1276</f>
        <v>2000000000</v>
      </c>
      <c r="K1276" s="25" t="n">
        <f aca="false">D1276-I1276</f>
        <v>0</v>
      </c>
      <c r="L1276" s="25" t="n">
        <f aca="false">G1276-J1276</f>
        <v>0</v>
      </c>
      <c r="M1276" s="25" t="n">
        <f aca="false">F1276</f>
        <v>24631666.6666667</v>
      </c>
      <c r="N1276" s="48" t="n">
        <v>0.0123158333333333</v>
      </c>
      <c r="O1276" s="25" t="n">
        <f aca="false">IF(AND(B1276&gt;=DATE(2026,1,1),B1276&lt;=Resumen!$C$5),1,0)</f>
        <v>0</v>
      </c>
      <c r="P1276" s="25" t="n">
        <f aca="false">IF(AND(B1276&gt;Resumen!$C$5,B1276&lt;=DATE(2027,7,31)),1,0)</f>
        <v>0</v>
      </c>
    </row>
    <row r="1277" customFormat="false" ht="15" hidden="false" customHeight="false" outlineLevel="0" collapsed="false">
      <c r="A1277" s="22" t="n">
        <v>15</v>
      </c>
      <c r="B1277" s="23" t="n">
        <v>45617</v>
      </c>
      <c r="C1277" s="28" t="n">
        <v>2000000000</v>
      </c>
      <c r="D1277" s="28" t="n">
        <v>23141666.6666667</v>
      </c>
      <c r="E1277" s="28" t="n">
        <v>125000000</v>
      </c>
      <c r="F1277" s="28" t="n">
        <v>148141666.666667</v>
      </c>
      <c r="G1277" s="28" t="n">
        <v>1875000000</v>
      </c>
      <c r="H1277" s="25" t="n">
        <f aca="false">J1276</f>
        <v>2000000000</v>
      </c>
      <c r="I1277" s="25" t="n">
        <f aca="false">H1277*N1277</f>
        <v>23141666.6666667</v>
      </c>
      <c r="J1277" s="25" t="n">
        <f aca="false">H1277-E1277</f>
        <v>1875000000</v>
      </c>
      <c r="K1277" s="25" t="n">
        <f aca="false">D1277-I1277</f>
        <v>0</v>
      </c>
      <c r="L1277" s="25" t="n">
        <f aca="false">G1277-J1277</f>
        <v>0</v>
      </c>
      <c r="M1277" s="25" t="n">
        <f aca="false">F1277</f>
        <v>148141666.666667</v>
      </c>
      <c r="N1277" s="48" t="n">
        <v>0.0115708333333333</v>
      </c>
      <c r="O1277" s="25" t="n">
        <f aca="false">IF(AND(B1277&gt;=DATE(2026,1,1),B1277&lt;=Resumen!$C$5),1,0)</f>
        <v>0</v>
      </c>
      <c r="P1277" s="25" t="n">
        <f aca="false">IF(AND(B1277&gt;Resumen!$C$5,B1277&lt;=DATE(2027,7,31)),1,0)</f>
        <v>0</v>
      </c>
    </row>
    <row r="1278" customFormat="false" ht="15" hidden="false" customHeight="false" outlineLevel="0" collapsed="false">
      <c r="A1278" s="22" t="n">
        <v>16</v>
      </c>
      <c r="B1278" s="23" t="n">
        <v>45647</v>
      </c>
      <c r="C1278" s="28" t="n">
        <v>1875000000</v>
      </c>
      <c r="D1278" s="28" t="n">
        <v>21257812.5</v>
      </c>
      <c r="E1278" s="28" t="n">
        <v>0</v>
      </c>
      <c r="F1278" s="28" t="n">
        <v>21257812.5</v>
      </c>
      <c r="G1278" s="28" t="n">
        <v>1875000000</v>
      </c>
      <c r="H1278" s="25" t="n">
        <f aca="false">J1277</f>
        <v>1875000000</v>
      </c>
      <c r="I1278" s="25" t="n">
        <f aca="false">H1278*N1278</f>
        <v>21257812.5</v>
      </c>
      <c r="J1278" s="25" t="n">
        <f aca="false">H1278-E1278</f>
        <v>1875000000</v>
      </c>
      <c r="K1278" s="25" t="n">
        <f aca="false">D1278-I1278</f>
        <v>0</v>
      </c>
      <c r="L1278" s="25" t="n">
        <f aca="false">G1278-J1278</f>
        <v>0</v>
      </c>
      <c r="M1278" s="25" t="n">
        <f aca="false">F1278</f>
        <v>21257812.5</v>
      </c>
      <c r="N1278" s="48" t="n">
        <v>0.0113375</v>
      </c>
      <c r="O1278" s="25" t="n">
        <f aca="false">IF(AND(B1278&gt;=DATE(2026,1,1),B1278&lt;=Resumen!$C$5),1,0)</f>
        <v>0</v>
      </c>
      <c r="P1278" s="25" t="n">
        <f aca="false">IF(AND(B1278&gt;Resumen!$C$5,B1278&lt;=DATE(2027,7,31)),1,0)</f>
        <v>0</v>
      </c>
    </row>
    <row r="1279" customFormat="false" ht="15" hidden="false" customHeight="false" outlineLevel="0" collapsed="false">
      <c r="A1279" s="22" t="n">
        <v>17</v>
      </c>
      <c r="B1279" s="23" t="n">
        <v>45678</v>
      </c>
      <c r="C1279" s="28" t="n">
        <v>1875000000</v>
      </c>
      <c r="D1279" s="28" t="n">
        <v>20973437.5</v>
      </c>
      <c r="E1279" s="28" t="n">
        <v>0</v>
      </c>
      <c r="F1279" s="28" t="n">
        <v>20973437.5</v>
      </c>
      <c r="G1279" s="28" t="n">
        <v>1875000000</v>
      </c>
      <c r="H1279" s="25" t="n">
        <f aca="false">J1278</f>
        <v>1875000000</v>
      </c>
      <c r="I1279" s="25" t="n">
        <f aca="false">H1279*N1279</f>
        <v>20973437.5</v>
      </c>
      <c r="J1279" s="25" t="n">
        <f aca="false">H1279-E1279</f>
        <v>1875000000</v>
      </c>
      <c r="K1279" s="25" t="n">
        <f aca="false">D1279-I1279</f>
        <v>0</v>
      </c>
      <c r="L1279" s="25" t="n">
        <f aca="false">G1279-J1279</f>
        <v>0</v>
      </c>
      <c r="M1279" s="25" t="n">
        <f aca="false">F1279</f>
        <v>20973437.5</v>
      </c>
      <c r="N1279" s="48" t="n">
        <v>0.0111858333333333</v>
      </c>
      <c r="O1279" s="25" t="n">
        <f aca="false">IF(AND(B1279&gt;=DATE(2026,1,1),B1279&lt;=Resumen!$C$5),1,0)</f>
        <v>0</v>
      </c>
      <c r="P1279" s="25" t="n">
        <f aca="false">IF(AND(B1279&gt;Resumen!$C$5,B1279&lt;=DATE(2027,7,31)),1,0)</f>
        <v>0</v>
      </c>
    </row>
    <row r="1280" customFormat="false" ht="15" hidden="false" customHeight="false" outlineLevel="0" collapsed="false">
      <c r="A1280" s="22" t="n">
        <v>18</v>
      </c>
      <c r="B1280" s="23" t="n">
        <v>45709</v>
      </c>
      <c r="C1280" s="28" t="n">
        <v>1875000000</v>
      </c>
      <c r="D1280" s="28" t="n">
        <v>21182812.5</v>
      </c>
      <c r="E1280" s="28" t="n">
        <v>125000000</v>
      </c>
      <c r="F1280" s="28" t="n">
        <v>146182812.5</v>
      </c>
      <c r="G1280" s="28" t="n">
        <v>1750000000</v>
      </c>
      <c r="H1280" s="25" t="n">
        <f aca="false">J1279</f>
        <v>1875000000</v>
      </c>
      <c r="I1280" s="25" t="n">
        <f aca="false">H1280*N1280</f>
        <v>21182812.5</v>
      </c>
      <c r="J1280" s="25" t="n">
        <f aca="false">H1280-E1280</f>
        <v>1750000000</v>
      </c>
      <c r="K1280" s="25" t="n">
        <f aca="false">D1280-I1280</f>
        <v>0</v>
      </c>
      <c r="L1280" s="25" t="n">
        <f aca="false">G1280-J1280</f>
        <v>0</v>
      </c>
      <c r="M1280" s="25" t="n">
        <f aca="false">F1280</f>
        <v>146182812.5</v>
      </c>
      <c r="N1280" s="48" t="n">
        <v>0.0112975</v>
      </c>
      <c r="O1280" s="25" t="n">
        <f aca="false">IF(AND(B1280&gt;=DATE(2026,1,1),B1280&lt;=Resumen!$C$5),1,0)</f>
        <v>0</v>
      </c>
      <c r="P1280" s="25" t="n">
        <f aca="false">IF(AND(B1280&gt;Resumen!$C$5,B1280&lt;=DATE(2027,7,31)),1,0)</f>
        <v>0</v>
      </c>
    </row>
    <row r="1281" customFormat="false" ht="15" hidden="false" customHeight="false" outlineLevel="0" collapsed="false">
      <c r="A1281" s="22" t="n">
        <v>19</v>
      </c>
      <c r="B1281" s="23" t="n">
        <v>45737</v>
      </c>
      <c r="C1281" s="28" t="n">
        <v>1750000000</v>
      </c>
      <c r="D1281" s="28" t="n">
        <v>19553333.3333333</v>
      </c>
      <c r="E1281" s="28" t="n">
        <v>0</v>
      </c>
      <c r="F1281" s="28" t="n">
        <v>19553333.3333333</v>
      </c>
      <c r="G1281" s="28" t="n">
        <v>1750000000</v>
      </c>
      <c r="H1281" s="25" t="n">
        <f aca="false">J1280</f>
        <v>1750000000</v>
      </c>
      <c r="I1281" s="25" t="n">
        <f aca="false">H1281*N1281</f>
        <v>19553333.3333333</v>
      </c>
      <c r="J1281" s="25" t="n">
        <f aca="false">H1281-E1281</f>
        <v>1750000000</v>
      </c>
      <c r="K1281" s="25" t="n">
        <f aca="false">D1281-I1281</f>
        <v>0</v>
      </c>
      <c r="L1281" s="25" t="n">
        <f aca="false">G1281-J1281</f>
        <v>0</v>
      </c>
      <c r="M1281" s="25" t="n">
        <f aca="false">F1281</f>
        <v>19553333.3333333</v>
      </c>
      <c r="N1281" s="48" t="n">
        <v>0.0111733333333333</v>
      </c>
      <c r="O1281" s="25" t="n">
        <f aca="false">IF(AND(B1281&gt;=DATE(2026,1,1),B1281&lt;=Resumen!$C$5),1,0)</f>
        <v>0</v>
      </c>
      <c r="P1281" s="25" t="n">
        <f aca="false">IF(AND(B1281&gt;Resumen!$C$5,B1281&lt;=DATE(2027,7,31)),1,0)</f>
        <v>0</v>
      </c>
    </row>
    <row r="1282" customFormat="false" ht="15" hidden="false" customHeight="false" outlineLevel="0" collapsed="false">
      <c r="A1282" s="22" t="n">
        <v>20</v>
      </c>
      <c r="B1282" s="23" t="n">
        <v>45768</v>
      </c>
      <c r="C1282" s="28" t="n">
        <v>1750000000</v>
      </c>
      <c r="D1282" s="28" t="n">
        <v>19626250</v>
      </c>
      <c r="E1282" s="28" t="n">
        <v>0</v>
      </c>
      <c r="F1282" s="28" t="n">
        <v>19626250</v>
      </c>
      <c r="G1282" s="28" t="n">
        <v>1750000000</v>
      </c>
      <c r="H1282" s="25" t="n">
        <f aca="false">J1281</f>
        <v>1750000000</v>
      </c>
      <c r="I1282" s="25" t="n">
        <f aca="false">H1282*N1282</f>
        <v>19626250</v>
      </c>
      <c r="J1282" s="25" t="n">
        <f aca="false">H1282-E1282</f>
        <v>1750000000</v>
      </c>
      <c r="K1282" s="25" t="n">
        <f aca="false">D1282-I1282</f>
        <v>0</v>
      </c>
      <c r="L1282" s="25" t="n">
        <f aca="false">G1282-J1282</f>
        <v>0</v>
      </c>
      <c r="M1282" s="25" t="n">
        <f aca="false">F1282</f>
        <v>19626250</v>
      </c>
      <c r="N1282" s="48" t="n">
        <v>0.011215</v>
      </c>
      <c r="O1282" s="25" t="n">
        <f aca="false">IF(AND(B1282&gt;=DATE(2026,1,1),B1282&lt;=Resumen!$C$5),1,0)</f>
        <v>0</v>
      </c>
      <c r="P1282" s="25" t="n">
        <f aca="false">IF(AND(B1282&gt;Resumen!$C$5,B1282&lt;=DATE(2027,7,31)),1,0)</f>
        <v>0</v>
      </c>
    </row>
    <row r="1283" customFormat="false" ht="15" hidden="false" customHeight="false" outlineLevel="0" collapsed="false">
      <c r="A1283" s="22" t="n">
        <v>21</v>
      </c>
      <c r="B1283" s="23" t="n">
        <v>45798</v>
      </c>
      <c r="C1283" s="28" t="n">
        <v>1750000000</v>
      </c>
      <c r="D1283" s="28" t="n">
        <v>19672916.6666667</v>
      </c>
      <c r="E1283" s="28" t="n">
        <v>125000000</v>
      </c>
      <c r="F1283" s="28" t="n">
        <v>144672916.666667</v>
      </c>
      <c r="G1283" s="28" t="n">
        <v>1625000000</v>
      </c>
      <c r="H1283" s="25" t="n">
        <f aca="false">J1282</f>
        <v>1750000000</v>
      </c>
      <c r="I1283" s="25" t="n">
        <f aca="false">H1283*N1283</f>
        <v>19672916.6666667</v>
      </c>
      <c r="J1283" s="25" t="n">
        <f aca="false">H1283-E1283</f>
        <v>1625000000</v>
      </c>
      <c r="K1283" s="25" t="n">
        <f aca="false">D1283-I1283</f>
        <v>0</v>
      </c>
      <c r="L1283" s="25" t="n">
        <f aca="false">G1283-J1283</f>
        <v>0</v>
      </c>
      <c r="M1283" s="25" t="n">
        <f aca="false">F1283</f>
        <v>144672916.666667</v>
      </c>
      <c r="N1283" s="48" t="n">
        <v>0.0112416666666667</v>
      </c>
      <c r="O1283" s="25" t="n">
        <f aca="false">IF(AND(B1283&gt;=DATE(2026,1,1),B1283&lt;=Resumen!$C$5),1,0)</f>
        <v>0</v>
      </c>
      <c r="P1283" s="25" t="n">
        <f aca="false">IF(AND(B1283&gt;Resumen!$C$5,B1283&lt;=DATE(2027,7,31)),1,0)</f>
        <v>0</v>
      </c>
    </row>
    <row r="1284" customFormat="false" ht="15" hidden="false" customHeight="false" outlineLevel="0" collapsed="false">
      <c r="A1284" s="22" t="n">
        <v>22</v>
      </c>
      <c r="B1284" s="23" t="n">
        <v>45829</v>
      </c>
      <c r="C1284" s="28" t="n">
        <v>1625000000</v>
      </c>
      <c r="D1284" s="28" t="n">
        <v>18355729.1666667</v>
      </c>
      <c r="E1284" s="28" t="n">
        <v>0</v>
      </c>
      <c r="F1284" s="28" t="n">
        <v>18355729.1666667</v>
      </c>
      <c r="G1284" s="28" t="n">
        <v>1625000000</v>
      </c>
      <c r="H1284" s="25" t="n">
        <f aca="false">J1283</f>
        <v>1625000000</v>
      </c>
      <c r="I1284" s="25" t="n">
        <f aca="false">H1284*N1284</f>
        <v>18355729.1666667</v>
      </c>
      <c r="J1284" s="25" t="n">
        <f aca="false">H1284-E1284</f>
        <v>1625000000</v>
      </c>
      <c r="K1284" s="25" t="n">
        <f aca="false">D1284-I1284</f>
        <v>0</v>
      </c>
      <c r="L1284" s="25" t="n">
        <f aca="false">G1284-J1284</f>
        <v>0</v>
      </c>
      <c r="M1284" s="25" t="n">
        <f aca="false">F1284</f>
        <v>18355729.1666667</v>
      </c>
      <c r="N1284" s="48" t="n">
        <v>0.0112958333333333</v>
      </c>
      <c r="O1284" s="25" t="n">
        <f aca="false">IF(AND(B1284&gt;=DATE(2026,1,1),B1284&lt;=Resumen!$C$5),1,0)</f>
        <v>0</v>
      </c>
      <c r="P1284" s="25" t="n">
        <f aca="false">IF(AND(B1284&gt;Resumen!$C$5,B1284&lt;=DATE(2027,7,31)),1,0)</f>
        <v>0</v>
      </c>
    </row>
    <row r="1285" customFormat="false" ht="15" hidden="false" customHeight="false" outlineLevel="0" collapsed="false">
      <c r="A1285" s="22" t="n">
        <v>23</v>
      </c>
      <c r="B1285" s="23" t="n">
        <v>45859</v>
      </c>
      <c r="C1285" s="28" t="n">
        <v>1625000000</v>
      </c>
      <c r="D1285" s="28" t="n">
        <v>18033437.5</v>
      </c>
      <c r="E1285" s="28" t="n">
        <v>0</v>
      </c>
      <c r="F1285" s="28" t="n">
        <v>18033437.5</v>
      </c>
      <c r="G1285" s="28" t="n">
        <v>1625000000</v>
      </c>
      <c r="H1285" s="25" t="n">
        <f aca="false">J1284</f>
        <v>1625000000</v>
      </c>
      <c r="I1285" s="25" t="n">
        <f aca="false">H1285*N1285</f>
        <v>18033437.5</v>
      </c>
      <c r="J1285" s="25" t="n">
        <f aca="false">H1285-E1285</f>
        <v>1625000000</v>
      </c>
      <c r="K1285" s="25" t="n">
        <f aca="false">D1285-I1285</f>
        <v>0</v>
      </c>
      <c r="L1285" s="25" t="n">
        <f aca="false">G1285-J1285</f>
        <v>0</v>
      </c>
      <c r="M1285" s="25" t="n">
        <f aca="false">F1285</f>
        <v>18033437.5</v>
      </c>
      <c r="N1285" s="48" t="n">
        <v>0.0110975</v>
      </c>
      <c r="O1285" s="25" t="n">
        <f aca="false">IF(AND(B1285&gt;=DATE(2026,1,1),B1285&lt;=Resumen!$C$5),1,0)</f>
        <v>0</v>
      </c>
      <c r="P1285" s="25" t="n">
        <f aca="false">IF(AND(B1285&gt;Resumen!$C$5,B1285&lt;=DATE(2027,7,31)),1,0)</f>
        <v>0</v>
      </c>
    </row>
    <row r="1286" customFormat="false" ht="15" hidden="false" customHeight="false" outlineLevel="0" collapsed="false">
      <c r="A1286" s="22" t="n">
        <v>24</v>
      </c>
      <c r="B1286" s="23" t="n">
        <v>45890</v>
      </c>
      <c r="C1286" s="28" t="n">
        <v>1625000000</v>
      </c>
      <c r="D1286" s="28" t="n">
        <v>18002291.6666667</v>
      </c>
      <c r="E1286" s="28" t="n">
        <v>125000000</v>
      </c>
      <c r="F1286" s="28" t="n">
        <v>143002291.666667</v>
      </c>
      <c r="G1286" s="28" t="n">
        <v>1500000000</v>
      </c>
      <c r="H1286" s="25" t="n">
        <f aca="false">J1285</f>
        <v>1625000000</v>
      </c>
      <c r="I1286" s="25" t="n">
        <f aca="false">H1286*N1286</f>
        <v>18002291.6666667</v>
      </c>
      <c r="J1286" s="25" t="n">
        <f aca="false">H1286-E1286</f>
        <v>1500000000</v>
      </c>
      <c r="K1286" s="25" t="n">
        <f aca="false">D1286-I1286</f>
        <v>0</v>
      </c>
      <c r="L1286" s="25" t="n">
        <f aca="false">G1286-J1286</f>
        <v>0</v>
      </c>
      <c r="M1286" s="25" t="n">
        <f aca="false">F1286</f>
        <v>143002291.666667</v>
      </c>
      <c r="N1286" s="48" t="n">
        <v>0.0110783333333333</v>
      </c>
      <c r="O1286" s="25" t="n">
        <f aca="false">IF(AND(B1286&gt;=DATE(2026,1,1),B1286&lt;=Resumen!$C$5),1,0)</f>
        <v>0</v>
      </c>
      <c r="P1286" s="25" t="n">
        <f aca="false">IF(AND(B1286&gt;Resumen!$C$5,B1286&lt;=DATE(2027,7,31)),1,0)</f>
        <v>0</v>
      </c>
    </row>
    <row r="1287" customFormat="false" ht="15" hidden="false" customHeight="false" outlineLevel="0" collapsed="false">
      <c r="A1287" s="22" t="n">
        <v>25</v>
      </c>
      <c r="B1287" s="23" t="n">
        <v>45921</v>
      </c>
      <c r="C1287" s="28" t="n">
        <v>1500000000</v>
      </c>
      <c r="D1287" s="28" t="n">
        <v>16517500</v>
      </c>
      <c r="E1287" s="28" t="n">
        <v>0</v>
      </c>
      <c r="F1287" s="28" t="n">
        <v>16517500</v>
      </c>
      <c r="G1287" s="28" t="n">
        <v>1500000000</v>
      </c>
      <c r="H1287" s="25" t="n">
        <f aca="false">J1286</f>
        <v>1500000000</v>
      </c>
      <c r="I1287" s="25" t="n">
        <f aca="false">H1287*N1287</f>
        <v>16517500</v>
      </c>
      <c r="J1287" s="25" t="n">
        <f aca="false">H1287-E1287</f>
        <v>1500000000</v>
      </c>
      <c r="K1287" s="25" t="n">
        <f aca="false">D1287-I1287</f>
        <v>0</v>
      </c>
      <c r="L1287" s="25" t="n">
        <f aca="false">G1287-J1287</f>
        <v>0</v>
      </c>
      <c r="M1287" s="25" t="n">
        <f aca="false">F1287</f>
        <v>16517500</v>
      </c>
      <c r="N1287" s="48" t="n">
        <v>0.0110116666666667</v>
      </c>
      <c r="O1287" s="25" t="n">
        <f aca="false">IF(AND(B1287&gt;=DATE(2026,1,1),B1287&lt;=Resumen!$C$5),1,0)</f>
        <v>0</v>
      </c>
      <c r="P1287" s="25" t="n">
        <f aca="false">IF(AND(B1287&gt;Resumen!$C$5,B1287&lt;=DATE(2027,7,31)),1,0)</f>
        <v>0</v>
      </c>
    </row>
    <row r="1288" customFormat="false" ht="15" hidden="false" customHeight="false" outlineLevel="0" collapsed="false">
      <c r="A1288" s="22" t="n">
        <v>26</v>
      </c>
      <c r="B1288" s="23" t="n">
        <v>45951</v>
      </c>
      <c r="C1288" s="28" t="n">
        <v>1500000000</v>
      </c>
      <c r="D1288" s="28" t="n">
        <v>16698750</v>
      </c>
      <c r="E1288" s="28" t="n">
        <v>0</v>
      </c>
      <c r="F1288" s="28" t="n">
        <v>16698750</v>
      </c>
      <c r="G1288" s="28" t="n">
        <v>1500000000</v>
      </c>
      <c r="H1288" s="25" t="n">
        <f aca="false">J1287</f>
        <v>1500000000</v>
      </c>
      <c r="I1288" s="25" t="n">
        <f aca="false">H1288*N1288</f>
        <v>16698750</v>
      </c>
      <c r="J1288" s="25" t="n">
        <f aca="false">H1288-E1288</f>
        <v>1500000000</v>
      </c>
      <c r="K1288" s="25" t="n">
        <f aca="false">D1288-I1288</f>
        <v>0</v>
      </c>
      <c r="L1288" s="25" t="n">
        <f aca="false">G1288-J1288</f>
        <v>0</v>
      </c>
      <c r="M1288" s="25" t="n">
        <f aca="false">F1288</f>
        <v>16698750</v>
      </c>
      <c r="N1288" s="48" t="n">
        <v>0.0111325</v>
      </c>
      <c r="O1288" s="25" t="n">
        <f aca="false">IF(AND(B1288&gt;=DATE(2026,1,1),B1288&lt;=Resumen!$C$5),1,0)</f>
        <v>0</v>
      </c>
      <c r="P1288" s="25" t="n">
        <f aca="false">IF(AND(B1288&gt;Resumen!$C$5,B1288&lt;=DATE(2027,7,31)),1,0)</f>
        <v>0</v>
      </c>
    </row>
    <row r="1289" customFormat="false" ht="15" hidden="false" customHeight="false" outlineLevel="0" collapsed="false">
      <c r="A1289" s="22" t="n">
        <v>27</v>
      </c>
      <c r="B1289" s="23" t="n">
        <v>45982</v>
      </c>
      <c r="C1289" s="28" t="n">
        <v>1500000000</v>
      </c>
      <c r="D1289" s="28" t="n">
        <v>16728750</v>
      </c>
      <c r="E1289" s="28" t="n">
        <v>125000000</v>
      </c>
      <c r="F1289" s="28" t="n">
        <v>141728750</v>
      </c>
      <c r="G1289" s="28" t="n">
        <v>1375000000</v>
      </c>
      <c r="H1289" s="25" t="n">
        <f aca="false">J1288</f>
        <v>1500000000</v>
      </c>
      <c r="I1289" s="25" t="n">
        <f aca="false">H1289*N1289</f>
        <v>16728750</v>
      </c>
      <c r="J1289" s="25" t="n">
        <f aca="false">H1289-E1289</f>
        <v>1375000000</v>
      </c>
      <c r="K1289" s="25" t="n">
        <f aca="false">D1289-I1289</f>
        <v>0</v>
      </c>
      <c r="L1289" s="25" t="n">
        <f aca="false">G1289-J1289</f>
        <v>0</v>
      </c>
      <c r="M1289" s="25" t="n">
        <f aca="false">F1289</f>
        <v>141728750</v>
      </c>
      <c r="N1289" s="48" t="n">
        <v>0.0111525</v>
      </c>
      <c r="O1289" s="25" t="n">
        <f aca="false">IF(AND(B1289&gt;=DATE(2026,1,1),B1289&lt;=Resumen!$C$5),1,0)</f>
        <v>0</v>
      </c>
      <c r="P1289" s="25" t="n">
        <f aca="false">IF(AND(B1289&gt;Resumen!$C$5,B1289&lt;=DATE(2027,7,31)),1,0)</f>
        <v>0</v>
      </c>
    </row>
    <row r="1290" customFormat="false" ht="15" hidden="false" customHeight="false" outlineLevel="0" collapsed="false">
      <c r="A1290" s="22" t="n">
        <v>28</v>
      </c>
      <c r="B1290" s="23" t="n">
        <v>46012</v>
      </c>
      <c r="C1290" s="28" t="n">
        <v>1375000000</v>
      </c>
      <c r="D1290" s="28" t="n">
        <v>15408020.8333333</v>
      </c>
      <c r="E1290" s="28" t="n">
        <v>0</v>
      </c>
      <c r="F1290" s="28" t="n">
        <v>15408020.8333333</v>
      </c>
      <c r="G1290" s="28" t="n">
        <v>1375000000</v>
      </c>
      <c r="H1290" s="25" t="n">
        <f aca="false">J1289</f>
        <v>1375000000</v>
      </c>
      <c r="I1290" s="25" t="n">
        <f aca="false">H1290*N1290</f>
        <v>15408020.8333333</v>
      </c>
      <c r="J1290" s="25" t="n">
        <f aca="false">H1290-E1290</f>
        <v>1375000000</v>
      </c>
      <c r="K1290" s="25" t="n">
        <f aca="false">D1290-I1290</f>
        <v>0</v>
      </c>
      <c r="L1290" s="25" t="n">
        <f aca="false">G1290-J1290</f>
        <v>0</v>
      </c>
      <c r="M1290" s="25" t="n">
        <f aca="false">F1290</f>
        <v>15408020.8333333</v>
      </c>
      <c r="N1290" s="48" t="n">
        <v>0.0112058333333333</v>
      </c>
      <c r="O1290" s="25" t="n">
        <f aca="false">IF(AND(B1290&gt;=DATE(2026,1,1),B1290&lt;=Resumen!$C$5),1,0)</f>
        <v>0</v>
      </c>
      <c r="P1290" s="25" t="n">
        <f aca="false">IF(AND(B1290&gt;Resumen!$C$5,B1290&lt;=DATE(2027,7,31)),1,0)</f>
        <v>0</v>
      </c>
    </row>
    <row r="1291" customFormat="false" ht="15" hidden="false" customHeight="false" outlineLevel="0" collapsed="false">
      <c r="A1291" s="22" t="n">
        <v>29</v>
      </c>
      <c r="B1291" s="23" t="n">
        <v>46043</v>
      </c>
      <c r="C1291" s="28" t="n">
        <v>1375000000</v>
      </c>
      <c r="D1291" s="28" t="n">
        <v>15609687.5</v>
      </c>
      <c r="E1291" s="28" t="n">
        <v>0</v>
      </c>
      <c r="F1291" s="28" t="n">
        <v>15609687.5</v>
      </c>
      <c r="G1291" s="28" t="n">
        <v>1375000000</v>
      </c>
      <c r="H1291" s="25" t="n">
        <f aca="false">J1290</f>
        <v>1375000000</v>
      </c>
      <c r="I1291" s="25" t="n">
        <f aca="false">H1291*N1291</f>
        <v>15609687.5</v>
      </c>
      <c r="J1291" s="25" t="n">
        <f aca="false">H1291-E1291</f>
        <v>1375000000</v>
      </c>
      <c r="K1291" s="25" t="n">
        <f aca="false">D1291-I1291</f>
        <v>0</v>
      </c>
      <c r="L1291" s="25" t="n">
        <f aca="false">G1291-J1291</f>
        <v>0</v>
      </c>
      <c r="M1291" s="25" t="n">
        <f aca="false">F1291</f>
        <v>15609687.5</v>
      </c>
      <c r="N1291" s="48" t="n">
        <v>0.0113525</v>
      </c>
      <c r="O1291" s="25" t="n">
        <f aca="false">IF(AND(B1291&gt;=DATE(2026,1,1),B1291&lt;=Resumen!$C$5),1,0)</f>
        <v>1</v>
      </c>
      <c r="P1291" s="25" t="n">
        <f aca="false">IF(AND(B1291&gt;Resumen!$C$5,B1291&lt;=DATE(2027,7,31)),1,0)</f>
        <v>0</v>
      </c>
    </row>
    <row r="1292" customFormat="false" ht="15" hidden="false" customHeight="false" outlineLevel="0" collapsed="false">
      <c r="A1292" s="22" t="n">
        <v>30</v>
      </c>
      <c r="B1292" s="23" t="n">
        <v>46074</v>
      </c>
      <c r="C1292" s="28" t="n">
        <v>1375000000</v>
      </c>
      <c r="D1292" s="28" t="n">
        <v>16042812.5</v>
      </c>
      <c r="E1292" s="28" t="n">
        <v>125000000</v>
      </c>
      <c r="F1292" s="28" t="n">
        <v>141042812.5</v>
      </c>
      <c r="G1292" s="28" t="n">
        <v>1250000000</v>
      </c>
      <c r="H1292" s="25" t="n">
        <f aca="false">J1291</f>
        <v>1375000000</v>
      </c>
      <c r="I1292" s="25" t="n">
        <f aca="false">H1292*N1292</f>
        <v>16042812.5</v>
      </c>
      <c r="J1292" s="25" t="n">
        <f aca="false">H1292-E1292</f>
        <v>1250000000</v>
      </c>
      <c r="K1292" s="25" t="n">
        <f aca="false">D1292-I1292</f>
        <v>0</v>
      </c>
      <c r="L1292" s="25" t="n">
        <f aca="false">G1292-J1292</f>
        <v>0</v>
      </c>
      <c r="M1292" s="25" t="n">
        <f aca="false">F1292</f>
        <v>141042812.5</v>
      </c>
      <c r="N1292" s="48" t="n">
        <v>0.0116675</v>
      </c>
      <c r="O1292" s="25" t="n">
        <f aca="false">IF(AND(B1292&gt;=DATE(2026,1,1),B1292&lt;=Resumen!$C$5),1,0)</f>
        <v>1</v>
      </c>
      <c r="P1292" s="25" t="n">
        <f aca="false">IF(AND(B1292&gt;Resumen!$C$5,B1292&lt;=DATE(2027,7,31)),1,0)</f>
        <v>0</v>
      </c>
    </row>
    <row r="1293" customFormat="false" ht="15" hidden="false" customHeight="false" outlineLevel="0" collapsed="false">
      <c r="A1293" s="22" t="n">
        <v>31</v>
      </c>
      <c r="B1293" s="23" t="n">
        <v>46102</v>
      </c>
      <c r="C1293" s="28" t="n">
        <v>1250000000</v>
      </c>
      <c r="D1293" s="28" t="n">
        <v>14776041.6666667</v>
      </c>
      <c r="E1293" s="28" t="n">
        <v>0</v>
      </c>
      <c r="F1293" s="28" t="n">
        <v>14776041.6666667</v>
      </c>
      <c r="G1293" s="28" t="n">
        <v>1250000000</v>
      </c>
      <c r="H1293" s="25" t="n">
        <f aca="false">J1292</f>
        <v>1250000000</v>
      </c>
      <c r="I1293" s="25" t="n">
        <f aca="false">H1293*N1293</f>
        <v>14776041.6666667</v>
      </c>
      <c r="J1293" s="25" t="n">
        <f aca="false">H1293-E1293</f>
        <v>1250000000</v>
      </c>
      <c r="K1293" s="25" t="n">
        <f aca="false">D1293-I1293</f>
        <v>0</v>
      </c>
      <c r="L1293" s="25" t="n">
        <f aca="false">G1293-J1293</f>
        <v>0</v>
      </c>
      <c r="M1293" s="25" t="n">
        <f aca="false">F1293</f>
        <v>14776041.6666667</v>
      </c>
      <c r="N1293" s="48" t="n">
        <v>0.0118208333333333</v>
      </c>
      <c r="O1293" s="25" t="n">
        <f aca="false">IF(AND(B1293&gt;=DATE(2026,1,1),B1293&lt;=Resumen!$C$5),1,0)</f>
        <v>1</v>
      </c>
      <c r="P1293" s="25" t="n">
        <f aca="false">IF(AND(B1293&gt;Resumen!$C$5,B1293&lt;=DATE(2027,7,31)),1,0)</f>
        <v>0</v>
      </c>
    </row>
    <row r="1294" customFormat="false" ht="15" hidden="false" customHeight="false" outlineLevel="0" collapsed="false">
      <c r="A1294" s="22" t="n">
        <v>32</v>
      </c>
      <c r="B1294" s="23" t="n">
        <v>46133</v>
      </c>
      <c r="C1294" s="28" t="n">
        <v>1250000000</v>
      </c>
      <c r="D1294" s="28" t="n">
        <v>15784375</v>
      </c>
      <c r="E1294" s="28" t="n">
        <v>0</v>
      </c>
      <c r="F1294" s="28" t="n">
        <v>15784375</v>
      </c>
      <c r="G1294" s="28" t="n">
        <v>1250000000</v>
      </c>
      <c r="H1294" s="25" t="n">
        <f aca="false">J1293</f>
        <v>1250000000</v>
      </c>
      <c r="I1294" s="25" t="n">
        <f aca="false">H1294*N1294</f>
        <v>15784375</v>
      </c>
      <c r="J1294" s="25" t="n">
        <f aca="false">H1294-E1294</f>
        <v>1250000000</v>
      </c>
      <c r="K1294" s="25" t="n">
        <f aca="false">D1294-I1294</f>
        <v>0</v>
      </c>
      <c r="L1294" s="25" t="n">
        <f aca="false">G1294-J1294</f>
        <v>0</v>
      </c>
      <c r="M1294" s="25" t="n">
        <f aca="false">F1294</f>
        <v>15784375</v>
      </c>
      <c r="N1294" s="48" t="n">
        <v>0.0126275</v>
      </c>
      <c r="O1294" s="25" t="n">
        <f aca="false">IF(AND(B1294&gt;=DATE(2026,1,1),B1294&lt;=Resumen!$C$5),1,0)</f>
        <v>1</v>
      </c>
      <c r="P1294" s="25" t="n">
        <f aca="false">IF(AND(B1294&gt;Resumen!$C$5,B1294&lt;=DATE(2027,7,31)),1,0)</f>
        <v>0</v>
      </c>
    </row>
    <row r="1295" customFormat="false" ht="15" hidden="false" customHeight="false" outlineLevel="0" collapsed="false">
      <c r="A1295" s="22" t="n">
        <v>33</v>
      </c>
      <c r="B1295" s="23" t="n">
        <v>46163</v>
      </c>
      <c r="C1295" s="28" t="n">
        <v>1250000000</v>
      </c>
      <c r="D1295" s="28" t="n">
        <v>16273958.3333333</v>
      </c>
      <c r="E1295" s="28" t="n">
        <v>125000000</v>
      </c>
      <c r="F1295" s="28" t="n">
        <v>141273958.333333</v>
      </c>
      <c r="G1295" s="28" t="n">
        <v>1125000000</v>
      </c>
      <c r="H1295" s="25" t="n">
        <f aca="false">J1294</f>
        <v>1250000000</v>
      </c>
      <c r="I1295" s="25" t="n">
        <f aca="false">H1295*N1295</f>
        <v>16273958.3333333</v>
      </c>
      <c r="J1295" s="25" t="n">
        <f aca="false">H1295-E1295</f>
        <v>1125000000</v>
      </c>
      <c r="K1295" s="25" t="n">
        <f aca="false">D1295-I1295</f>
        <v>0</v>
      </c>
      <c r="L1295" s="25" t="n">
        <f aca="false">G1295-J1295</f>
        <v>0</v>
      </c>
      <c r="M1295" s="25" t="n">
        <f aca="false">F1295</f>
        <v>141273958.333333</v>
      </c>
      <c r="N1295" s="48" t="n">
        <v>0.0130191666666667</v>
      </c>
      <c r="O1295" s="25" t="n">
        <f aca="false">IF(AND(B1295&gt;=DATE(2026,1,1),B1295&lt;=Resumen!$C$5),1,0)</f>
        <v>1</v>
      </c>
      <c r="P1295" s="25" t="n">
        <f aca="false">IF(AND(B1295&gt;Resumen!$C$5,B1295&lt;=DATE(2027,7,31)),1,0)</f>
        <v>0</v>
      </c>
    </row>
    <row r="1296" customFormat="false" ht="15" hidden="false" customHeight="false" outlineLevel="0" collapsed="false">
      <c r="A1296" s="22" t="n">
        <v>34</v>
      </c>
      <c r="B1296" s="23" t="n">
        <v>46194</v>
      </c>
      <c r="C1296" s="28" t="n">
        <v>1125000000</v>
      </c>
      <c r="D1296" s="28" t="n">
        <v>15044062.5</v>
      </c>
      <c r="E1296" s="28" t="n">
        <v>0</v>
      </c>
      <c r="F1296" s="28" t="n">
        <v>15044062.5</v>
      </c>
      <c r="G1296" s="28" t="n">
        <v>1125000000</v>
      </c>
      <c r="H1296" s="25" t="n">
        <f aca="false">J1295</f>
        <v>1125000000</v>
      </c>
      <c r="I1296" s="25" t="n">
        <f aca="false">H1296*N1296</f>
        <v>15044062.5</v>
      </c>
      <c r="J1296" s="25" t="n">
        <f aca="false">H1296-E1296</f>
        <v>1125000000</v>
      </c>
      <c r="K1296" s="25" t="n">
        <f aca="false">D1296-I1296</f>
        <v>0</v>
      </c>
      <c r="L1296" s="25" t="n">
        <f aca="false">G1296-J1296</f>
        <v>0</v>
      </c>
      <c r="M1296" s="25" t="n">
        <f aca="false">F1296</f>
        <v>15044062.5</v>
      </c>
      <c r="N1296" s="48" t="n">
        <v>0.0133725</v>
      </c>
      <c r="O1296" s="25" t="n">
        <f aca="false">IF(AND(B1296&gt;=DATE(2026,1,1),B1296&lt;=Resumen!$C$5),1,0)</f>
        <v>1</v>
      </c>
      <c r="P1296" s="25" t="n">
        <f aca="false">IF(AND(B1296&gt;Resumen!$C$5,B1296&lt;=DATE(2027,7,31)),1,0)</f>
        <v>0</v>
      </c>
    </row>
    <row r="1297" customFormat="false" ht="15" hidden="false" customHeight="false" outlineLevel="0" collapsed="false">
      <c r="A1297" s="22" t="n">
        <v>35</v>
      </c>
      <c r="B1297" s="23" t="n">
        <v>46224</v>
      </c>
      <c r="C1297" s="28" t="n">
        <v>1125000000</v>
      </c>
      <c r="D1297" s="28" t="n">
        <v>15044062.5</v>
      </c>
      <c r="E1297" s="28" t="n">
        <v>0</v>
      </c>
      <c r="F1297" s="28" t="n">
        <v>15044062.5</v>
      </c>
      <c r="G1297" s="28" t="n">
        <v>1125000000</v>
      </c>
      <c r="H1297" s="25" t="n">
        <f aca="false">J1296</f>
        <v>1125000000</v>
      </c>
      <c r="I1297" s="25" t="n">
        <f aca="false">H1297*N1297</f>
        <v>15044062.5</v>
      </c>
      <c r="J1297" s="25" t="n">
        <f aca="false">H1297-E1297</f>
        <v>1125000000</v>
      </c>
      <c r="K1297" s="25" t="n">
        <f aca="false">D1297-I1297</f>
        <v>0</v>
      </c>
      <c r="L1297" s="25" t="n">
        <f aca="false">G1297-J1297</f>
        <v>0</v>
      </c>
      <c r="M1297" s="25" t="n">
        <f aca="false">F1297</f>
        <v>15044062.5</v>
      </c>
      <c r="N1297" s="48" t="n">
        <v>0.0133725</v>
      </c>
      <c r="O1297" s="25" t="n">
        <f aca="false">IF(AND(B1297&gt;=DATE(2026,1,1),B1297&lt;=Resumen!$C$5),1,0)</f>
        <v>1</v>
      </c>
      <c r="P1297" s="25" t="n">
        <f aca="false">IF(AND(B1297&gt;Resumen!$C$5,B1297&lt;=DATE(2027,7,31)),1,0)</f>
        <v>0</v>
      </c>
    </row>
    <row r="1298" customFormat="false" ht="15" hidden="false" customHeight="false" outlineLevel="0" collapsed="false">
      <c r="A1298" s="22" t="n">
        <v>36</v>
      </c>
      <c r="B1298" s="23" t="n">
        <v>46255</v>
      </c>
      <c r="C1298" s="28" t="n">
        <v>1125000000</v>
      </c>
      <c r="D1298" s="28" t="n">
        <v>15073125</v>
      </c>
      <c r="E1298" s="28" t="n">
        <v>125000000</v>
      </c>
      <c r="F1298" s="28" t="n">
        <v>140073125</v>
      </c>
      <c r="G1298" s="28" t="n">
        <v>1000000000</v>
      </c>
      <c r="H1298" s="25" t="n">
        <f aca="false">J1297</f>
        <v>1125000000</v>
      </c>
      <c r="I1298" s="25" t="n">
        <f aca="false">H1298*N1298</f>
        <v>15073125</v>
      </c>
      <c r="J1298" s="25" t="n">
        <f aca="false">H1298-E1298</f>
        <v>1000000000</v>
      </c>
      <c r="K1298" s="25" t="n">
        <f aca="false">D1298-I1298</f>
        <v>0</v>
      </c>
      <c r="L1298" s="25" t="n">
        <f aca="false">G1298-J1298</f>
        <v>0</v>
      </c>
      <c r="M1298" s="25" t="n">
        <f aca="false">F1298</f>
        <v>140073125</v>
      </c>
      <c r="N1298" s="48" t="n">
        <v>0.0133983333333333</v>
      </c>
      <c r="O1298" s="25" t="n">
        <f aca="false">IF(AND(B1298&gt;=DATE(2026,1,1),B1298&lt;=Resumen!$C$5),1,0)</f>
        <v>0</v>
      </c>
      <c r="P1298" s="25" t="n">
        <f aca="false">IF(AND(B1298&gt;Resumen!$C$5,B1298&lt;=DATE(2027,7,31)),1,0)</f>
        <v>1</v>
      </c>
    </row>
    <row r="1299" customFormat="false" ht="15" hidden="false" customHeight="false" outlineLevel="0" collapsed="false">
      <c r="A1299" s="22" t="n">
        <v>37</v>
      </c>
      <c r="B1299" s="23" t="n">
        <v>46286</v>
      </c>
      <c r="C1299" s="28" t="n">
        <v>1000000000</v>
      </c>
      <c r="D1299" s="28" t="n">
        <v>13640000</v>
      </c>
      <c r="E1299" s="28" t="n">
        <v>0</v>
      </c>
      <c r="F1299" s="28" t="n">
        <v>13640000</v>
      </c>
      <c r="G1299" s="28" t="n">
        <v>1000000000</v>
      </c>
      <c r="H1299" s="25" t="n">
        <f aca="false">J1298</f>
        <v>1000000000</v>
      </c>
      <c r="I1299" s="25" t="n">
        <f aca="false">H1299*N1299</f>
        <v>13640000</v>
      </c>
      <c r="J1299" s="25" t="n">
        <f aca="false">H1299-E1299</f>
        <v>1000000000</v>
      </c>
      <c r="K1299" s="25" t="n">
        <f aca="false">D1299-I1299</f>
        <v>0</v>
      </c>
      <c r="L1299" s="25" t="n">
        <f aca="false">G1299-J1299</f>
        <v>0</v>
      </c>
      <c r="M1299" s="25" t="n">
        <f aca="false">F1299</f>
        <v>13640000</v>
      </c>
      <c r="N1299" s="48" t="n">
        <v>0.01364</v>
      </c>
      <c r="O1299" s="25" t="n">
        <f aca="false">IF(AND(B1299&gt;=DATE(2026,1,1),B1299&lt;=Resumen!$C$5),1,0)</f>
        <v>0</v>
      </c>
      <c r="P1299" s="25" t="n">
        <f aca="false">IF(AND(B1299&gt;Resumen!$C$5,B1299&lt;=DATE(2027,7,31)),1,0)</f>
        <v>1</v>
      </c>
    </row>
    <row r="1300" customFormat="false" ht="15" hidden="false" customHeight="false" outlineLevel="0" collapsed="false">
      <c r="A1300" s="22" t="n">
        <v>38</v>
      </c>
      <c r="B1300" s="23" t="n">
        <v>46316</v>
      </c>
      <c r="C1300" s="28" t="n">
        <v>1000000000</v>
      </c>
      <c r="D1300" s="28" t="n">
        <v>13640000</v>
      </c>
      <c r="E1300" s="28" t="n">
        <v>0</v>
      </c>
      <c r="F1300" s="28" t="n">
        <v>13640000</v>
      </c>
      <c r="G1300" s="28" t="n">
        <v>1000000000</v>
      </c>
      <c r="H1300" s="25" t="n">
        <f aca="false">J1299</f>
        <v>1000000000</v>
      </c>
      <c r="I1300" s="25" t="n">
        <f aca="false">H1300*N1300</f>
        <v>13640000</v>
      </c>
      <c r="J1300" s="25" t="n">
        <f aca="false">H1300-E1300</f>
        <v>1000000000</v>
      </c>
      <c r="K1300" s="25" t="n">
        <f aca="false">D1300-I1300</f>
        <v>0</v>
      </c>
      <c r="L1300" s="25" t="n">
        <f aca="false">G1300-J1300</f>
        <v>0</v>
      </c>
      <c r="M1300" s="25" t="n">
        <f aca="false">F1300</f>
        <v>13640000</v>
      </c>
      <c r="N1300" s="48" t="n">
        <v>0.01364</v>
      </c>
      <c r="O1300" s="25" t="n">
        <f aca="false">IF(AND(B1300&gt;=DATE(2026,1,1),B1300&lt;=Resumen!$C$5),1,0)</f>
        <v>0</v>
      </c>
      <c r="P1300" s="25" t="n">
        <f aca="false">IF(AND(B1300&gt;Resumen!$C$5,B1300&lt;=DATE(2027,7,31)),1,0)</f>
        <v>1</v>
      </c>
    </row>
    <row r="1301" customFormat="false" ht="15" hidden="false" customHeight="false" outlineLevel="0" collapsed="false">
      <c r="A1301" s="22" t="n">
        <v>39</v>
      </c>
      <c r="B1301" s="23" t="n">
        <v>46347</v>
      </c>
      <c r="C1301" s="28" t="n">
        <v>1000000000</v>
      </c>
      <c r="D1301" s="28" t="n">
        <v>13640000</v>
      </c>
      <c r="E1301" s="28" t="n">
        <v>125000000</v>
      </c>
      <c r="F1301" s="28" t="n">
        <v>138640000</v>
      </c>
      <c r="G1301" s="28" t="n">
        <v>875000000</v>
      </c>
      <c r="H1301" s="25" t="n">
        <f aca="false">J1300</f>
        <v>1000000000</v>
      </c>
      <c r="I1301" s="25" t="n">
        <f aca="false">H1301*N1301</f>
        <v>13640000</v>
      </c>
      <c r="J1301" s="25" t="n">
        <f aca="false">H1301-E1301</f>
        <v>875000000</v>
      </c>
      <c r="K1301" s="25" t="n">
        <f aca="false">D1301-I1301</f>
        <v>0</v>
      </c>
      <c r="L1301" s="25" t="n">
        <f aca="false">G1301-J1301</f>
        <v>0</v>
      </c>
      <c r="M1301" s="25" t="n">
        <f aca="false">F1301</f>
        <v>138640000</v>
      </c>
      <c r="N1301" s="48" t="n">
        <v>0.01364</v>
      </c>
      <c r="O1301" s="25" t="n">
        <f aca="false">IF(AND(B1301&gt;=DATE(2026,1,1),B1301&lt;=Resumen!$C$5),1,0)</f>
        <v>0</v>
      </c>
      <c r="P1301" s="25" t="n">
        <f aca="false">IF(AND(B1301&gt;Resumen!$C$5,B1301&lt;=DATE(2027,7,31)),1,0)</f>
        <v>1</v>
      </c>
    </row>
    <row r="1302" customFormat="false" ht="15" hidden="false" customHeight="false" outlineLevel="0" collapsed="false">
      <c r="A1302" s="22" t="n">
        <v>40</v>
      </c>
      <c r="B1302" s="23" t="n">
        <v>46377</v>
      </c>
      <c r="C1302" s="28" t="n">
        <v>875000000</v>
      </c>
      <c r="D1302" s="28" t="n">
        <v>11935000</v>
      </c>
      <c r="E1302" s="28" t="n">
        <v>0</v>
      </c>
      <c r="F1302" s="28" t="n">
        <v>11935000</v>
      </c>
      <c r="G1302" s="28" t="n">
        <v>875000000</v>
      </c>
      <c r="H1302" s="25" t="n">
        <f aca="false">J1301</f>
        <v>875000000</v>
      </c>
      <c r="I1302" s="25" t="n">
        <f aca="false">H1302*N1302</f>
        <v>11935000</v>
      </c>
      <c r="J1302" s="25" t="n">
        <f aca="false">H1302-E1302</f>
        <v>875000000</v>
      </c>
      <c r="K1302" s="25" t="n">
        <f aca="false">D1302-I1302</f>
        <v>0</v>
      </c>
      <c r="L1302" s="25" t="n">
        <f aca="false">G1302-J1302</f>
        <v>0</v>
      </c>
      <c r="M1302" s="25" t="n">
        <f aca="false">F1302</f>
        <v>11935000</v>
      </c>
      <c r="N1302" s="48" t="n">
        <v>0.01364</v>
      </c>
      <c r="O1302" s="25" t="n">
        <f aca="false">IF(AND(B1302&gt;=DATE(2026,1,1),B1302&lt;=Resumen!$C$5),1,0)</f>
        <v>0</v>
      </c>
      <c r="P1302" s="25" t="n">
        <f aca="false">IF(AND(B1302&gt;Resumen!$C$5,B1302&lt;=DATE(2027,7,31)),1,0)</f>
        <v>1</v>
      </c>
    </row>
    <row r="1303" customFormat="false" ht="15" hidden="false" customHeight="false" outlineLevel="0" collapsed="false">
      <c r="A1303" s="22" t="n">
        <v>41</v>
      </c>
      <c r="B1303" s="23" t="n">
        <v>46408</v>
      </c>
      <c r="C1303" s="28" t="n">
        <v>875000000</v>
      </c>
      <c r="D1303" s="28" t="n">
        <v>11935000</v>
      </c>
      <c r="E1303" s="28" t="n">
        <v>0</v>
      </c>
      <c r="F1303" s="28" t="n">
        <v>11935000</v>
      </c>
      <c r="G1303" s="28" t="n">
        <v>875000000</v>
      </c>
      <c r="H1303" s="25" t="n">
        <f aca="false">J1302</f>
        <v>875000000</v>
      </c>
      <c r="I1303" s="25" t="n">
        <f aca="false">H1303*N1303</f>
        <v>11935000</v>
      </c>
      <c r="J1303" s="25" t="n">
        <f aca="false">H1303-E1303</f>
        <v>875000000</v>
      </c>
      <c r="K1303" s="25" t="n">
        <f aca="false">D1303-I1303</f>
        <v>0</v>
      </c>
      <c r="L1303" s="25" t="n">
        <f aca="false">G1303-J1303</f>
        <v>0</v>
      </c>
      <c r="M1303" s="25" t="n">
        <f aca="false">F1303</f>
        <v>11935000</v>
      </c>
      <c r="N1303" s="48" t="n">
        <v>0.01364</v>
      </c>
      <c r="O1303" s="25" t="n">
        <f aca="false">IF(AND(B1303&gt;=DATE(2026,1,1),B1303&lt;=Resumen!$C$5),1,0)</f>
        <v>0</v>
      </c>
      <c r="P1303" s="25" t="n">
        <f aca="false">IF(AND(B1303&gt;Resumen!$C$5,B1303&lt;=DATE(2027,7,31)),1,0)</f>
        <v>1</v>
      </c>
    </row>
    <row r="1304" customFormat="false" ht="15" hidden="false" customHeight="false" outlineLevel="0" collapsed="false">
      <c r="A1304" s="22" t="n">
        <v>42</v>
      </c>
      <c r="B1304" s="23" t="n">
        <v>46439</v>
      </c>
      <c r="C1304" s="28" t="n">
        <v>875000000</v>
      </c>
      <c r="D1304" s="28" t="n">
        <v>11935000</v>
      </c>
      <c r="E1304" s="28" t="n">
        <v>125000000</v>
      </c>
      <c r="F1304" s="28" t="n">
        <v>136935000</v>
      </c>
      <c r="G1304" s="28" t="n">
        <v>750000000</v>
      </c>
      <c r="H1304" s="25" t="n">
        <f aca="false">J1303</f>
        <v>875000000</v>
      </c>
      <c r="I1304" s="25" t="n">
        <f aca="false">H1304*N1304</f>
        <v>11935000</v>
      </c>
      <c r="J1304" s="25" t="n">
        <f aca="false">H1304-E1304</f>
        <v>750000000</v>
      </c>
      <c r="K1304" s="25" t="n">
        <f aca="false">D1304-I1304</f>
        <v>0</v>
      </c>
      <c r="L1304" s="25" t="n">
        <f aca="false">G1304-J1304</f>
        <v>0</v>
      </c>
      <c r="M1304" s="25" t="n">
        <f aca="false">F1304</f>
        <v>136935000</v>
      </c>
      <c r="N1304" s="48" t="n">
        <v>0.01364</v>
      </c>
      <c r="O1304" s="25" t="n">
        <f aca="false">IF(AND(B1304&gt;=DATE(2026,1,1),B1304&lt;=Resumen!$C$5),1,0)</f>
        <v>0</v>
      </c>
      <c r="P1304" s="25" t="n">
        <f aca="false">IF(AND(B1304&gt;Resumen!$C$5,B1304&lt;=DATE(2027,7,31)),1,0)</f>
        <v>1</v>
      </c>
    </row>
    <row r="1305" customFormat="false" ht="15" hidden="false" customHeight="false" outlineLevel="0" collapsed="false">
      <c r="A1305" s="22" t="n">
        <v>43</v>
      </c>
      <c r="B1305" s="23" t="n">
        <v>46467</v>
      </c>
      <c r="C1305" s="28" t="n">
        <v>750000000</v>
      </c>
      <c r="D1305" s="28" t="n">
        <v>10230000</v>
      </c>
      <c r="E1305" s="28" t="n">
        <v>0</v>
      </c>
      <c r="F1305" s="28" t="n">
        <v>10230000</v>
      </c>
      <c r="G1305" s="28" t="n">
        <v>750000000</v>
      </c>
      <c r="H1305" s="25" t="n">
        <f aca="false">J1304</f>
        <v>750000000</v>
      </c>
      <c r="I1305" s="25" t="n">
        <f aca="false">H1305*N1305</f>
        <v>10230000</v>
      </c>
      <c r="J1305" s="25" t="n">
        <f aca="false">H1305-E1305</f>
        <v>750000000</v>
      </c>
      <c r="K1305" s="25" t="n">
        <f aca="false">D1305-I1305</f>
        <v>0</v>
      </c>
      <c r="L1305" s="25" t="n">
        <f aca="false">G1305-J1305</f>
        <v>0</v>
      </c>
      <c r="M1305" s="25" t="n">
        <f aca="false">F1305</f>
        <v>10230000</v>
      </c>
      <c r="N1305" s="48" t="n">
        <v>0.01364</v>
      </c>
      <c r="O1305" s="25" t="n">
        <f aca="false">IF(AND(B1305&gt;=DATE(2026,1,1),B1305&lt;=Resumen!$C$5),1,0)</f>
        <v>0</v>
      </c>
      <c r="P1305" s="25" t="n">
        <f aca="false">IF(AND(B1305&gt;Resumen!$C$5,B1305&lt;=DATE(2027,7,31)),1,0)</f>
        <v>1</v>
      </c>
    </row>
    <row r="1306" customFormat="false" ht="15" hidden="false" customHeight="false" outlineLevel="0" collapsed="false">
      <c r="A1306" s="22" t="n">
        <v>44</v>
      </c>
      <c r="B1306" s="23" t="n">
        <v>46498</v>
      </c>
      <c r="C1306" s="28" t="n">
        <v>750000000</v>
      </c>
      <c r="D1306" s="28" t="n">
        <v>10230000</v>
      </c>
      <c r="E1306" s="28" t="n">
        <v>0</v>
      </c>
      <c r="F1306" s="28" t="n">
        <v>10230000</v>
      </c>
      <c r="G1306" s="28" t="n">
        <v>750000000</v>
      </c>
      <c r="H1306" s="25" t="n">
        <f aca="false">J1305</f>
        <v>750000000</v>
      </c>
      <c r="I1306" s="25" t="n">
        <f aca="false">H1306*N1306</f>
        <v>10230000</v>
      </c>
      <c r="J1306" s="25" t="n">
        <f aca="false">H1306-E1306</f>
        <v>750000000</v>
      </c>
      <c r="K1306" s="25" t="n">
        <f aca="false">D1306-I1306</f>
        <v>0</v>
      </c>
      <c r="L1306" s="25" t="n">
        <f aca="false">G1306-J1306</f>
        <v>0</v>
      </c>
      <c r="M1306" s="25" t="n">
        <f aca="false">F1306</f>
        <v>10230000</v>
      </c>
      <c r="N1306" s="48" t="n">
        <v>0.01364</v>
      </c>
      <c r="O1306" s="25" t="n">
        <f aca="false">IF(AND(B1306&gt;=DATE(2026,1,1),B1306&lt;=Resumen!$C$5),1,0)</f>
        <v>0</v>
      </c>
      <c r="P1306" s="25" t="n">
        <f aca="false">IF(AND(B1306&gt;Resumen!$C$5,B1306&lt;=DATE(2027,7,31)),1,0)</f>
        <v>1</v>
      </c>
    </row>
    <row r="1307" customFormat="false" ht="15" hidden="false" customHeight="false" outlineLevel="0" collapsed="false">
      <c r="A1307" s="22" t="n">
        <v>45</v>
      </c>
      <c r="B1307" s="23" t="n">
        <v>46528</v>
      </c>
      <c r="C1307" s="28" t="n">
        <v>750000000</v>
      </c>
      <c r="D1307" s="28" t="n">
        <v>10230000</v>
      </c>
      <c r="E1307" s="28" t="n">
        <v>125000000</v>
      </c>
      <c r="F1307" s="28" t="n">
        <v>135230000</v>
      </c>
      <c r="G1307" s="28" t="n">
        <v>625000000</v>
      </c>
      <c r="H1307" s="25" t="n">
        <f aca="false">J1306</f>
        <v>750000000</v>
      </c>
      <c r="I1307" s="25" t="n">
        <f aca="false">H1307*N1307</f>
        <v>10230000</v>
      </c>
      <c r="J1307" s="25" t="n">
        <f aca="false">H1307-E1307</f>
        <v>625000000</v>
      </c>
      <c r="K1307" s="25" t="n">
        <f aca="false">D1307-I1307</f>
        <v>0</v>
      </c>
      <c r="L1307" s="25" t="n">
        <f aca="false">G1307-J1307</f>
        <v>0</v>
      </c>
      <c r="M1307" s="25" t="n">
        <f aca="false">F1307</f>
        <v>135230000</v>
      </c>
      <c r="N1307" s="48" t="n">
        <v>0.01364</v>
      </c>
      <c r="O1307" s="25" t="n">
        <f aca="false">IF(AND(B1307&gt;=DATE(2026,1,1),B1307&lt;=Resumen!$C$5),1,0)</f>
        <v>0</v>
      </c>
      <c r="P1307" s="25" t="n">
        <f aca="false">IF(AND(B1307&gt;Resumen!$C$5,B1307&lt;=DATE(2027,7,31)),1,0)</f>
        <v>1</v>
      </c>
    </row>
    <row r="1308" customFormat="false" ht="15" hidden="false" customHeight="false" outlineLevel="0" collapsed="false">
      <c r="A1308" s="22" t="n">
        <v>46</v>
      </c>
      <c r="B1308" s="23" t="n">
        <v>46559</v>
      </c>
      <c r="C1308" s="28" t="n">
        <v>625000000</v>
      </c>
      <c r="D1308" s="28" t="n">
        <v>8525000</v>
      </c>
      <c r="E1308" s="28" t="n">
        <v>0</v>
      </c>
      <c r="F1308" s="28" t="n">
        <v>8525000</v>
      </c>
      <c r="G1308" s="28" t="n">
        <v>625000000</v>
      </c>
      <c r="H1308" s="25" t="n">
        <f aca="false">J1307</f>
        <v>625000000</v>
      </c>
      <c r="I1308" s="25" t="n">
        <f aca="false">H1308*N1308</f>
        <v>8525000</v>
      </c>
      <c r="J1308" s="25" t="n">
        <f aca="false">H1308-E1308</f>
        <v>625000000</v>
      </c>
      <c r="K1308" s="25" t="n">
        <f aca="false">D1308-I1308</f>
        <v>0</v>
      </c>
      <c r="L1308" s="25" t="n">
        <f aca="false">G1308-J1308</f>
        <v>0</v>
      </c>
      <c r="M1308" s="25" t="n">
        <f aca="false">F1308</f>
        <v>8525000</v>
      </c>
      <c r="N1308" s="48" t="n">
        <v>0.01364</v>
      </c>
      <c r="O1308" s="25" t="n">
        <f aca="false">IF(AND(B1308&gt;=DATE(2026,1,1),B1308&lt;=Resumen!$C$5),1,0)</f>
        <v>0</v>
      </c>
      <c r="P1308" s="25" t="n">
        <f aca="false">IF(AND(B1308&gt;Resumen!$C$5,B1308&lt;=DATE(2027,7,31)),1,0)</f>
        <v>1</v>
      </c>
    </row>
    <row r="1309" customFormat="false" ht="15" hidden="false" customHeight="false" outlineLevel="0" collapsed="false">
      <c r="A1309" s="22" t="n">
        <v>47</v>
      </c>
      <c r="B1309" s="23" t="n">
        <v>46589</v>
      </c>
      <c r="C1309" s="28" t="n">
        <v>625000000</v>
      </c>
      <c r="D1309" s="28" t="n">
        <v>8525000</v>
      </c>
      <c r="E1309" s="28" t="n">
        <v>0</v>
      </c>
      <c r="F1309" s="28" t="n">
        <v>8525000</v>
      </c>
      <c r="G1309" s="28" t="n">
        <v>625000000</v>
      </c>
      <c r="H1309" s="25" t="n">
        <f aca="false">J1308</f>
        <v>625000000</v>
      </c>
      <c r="I1309" s="25" t="n">
        <f aca="false">H1309*N1309</f>
        <v>8525000</v>
      </c>
      <c r="J1309" s="25" t="n">
        <f aca="false">H1309-E1309</f>
        <v>625000000</v>
      </c>
      <c r="K1309" s="25" t="n">
        <f aca="false">D1309-I1309</f>
        <v>0</v>
      </c>
      <c r="L1309" s="25" t="n">
        <f aca="false">G1309-J1309</f>
        <v>0</v>
      </c>
      <c r="M1309" s="25" t="n">
        <f aca="false">F1309</f>
        <v>8525000</v>
      </c>
      <c r="N1309" s="48" t="n">
        <v>0.01364</v>
      </c>
      <c r="O1309" s="25" t="n">
        <f aca="false">IF(AND(B1309&gt;=DATE(2026,1,1),B1309&lt;=Resumen!$C$5),1,0)</f>
        <v>0</v>
      </c>
      <c r="P1309" s="25" t="n">
        <f aca="false">IF(AND(B1309&gt;Resumen!$C$5,B1309&lt;=DATE(2027,7,31)),1,0)</f>
        <v>1</v>
      </c>
    </row>
    <row r="1310" customFormat="false" ht="15" hidden="false" customHeight="false" outlineLevel="0" collapsed="false">
      <c r="A1310" s="22" t="n">
        <v>48</v>
      </c>
      <c r="B1310" s="23" t="n">
        <v>46620</v>
      </c>
      <c r="C1310" s="28" t="n">
        <v>625000000</v>
      </c>
      <c r="D1310" s="28" t="n">
        <v>8525000</v>
      </c>
      <c r="E1310" s="28" t="n">
        <v>125000000</v>
      </c>
      <c r="F1310" s="28" t="n">
        <v>133525000</v>
      </c>
      <c r="G1310" s="28" t="n">
        <v>500000000</v>
      </c>
      <c r="H1310" s="25" t="n">
        <f aca="false">J1309</f>
        <v>625000000</v>
      </c>
      <c r="I1310" s="25" t="n">
        <f aca="false">H1310*N1310</f>
        <v>8525000</v>
      </c>
      <c r="J1310" s="25" t="n">
        <f aca="false">H1310-E1310</f>
        <v>500000000</v>
      </c>
      <c r="K1310" s="25" t="n">
        <f aca="false">D1310-I1310</f>
        <v>0</v>
      </c>
      <c r="L1310" s="25" t="n">
        <f aca="false">G1310-J1310</f>
        <v>0</v>
      </c>
      <c r="M1310" s="25" t="n">
        <f aca="false">F1310</f>
        <v>133525000</v>
      </c>
      <c r="N1310" s="48" t="n">
        <v>0.01364</v>
      </c>
      <c r="O1310" s="25" t="n">
        <f aca="false">IF(AND(B1310&gt;=DATE(2026,1,1),B1310&lt;=Resumen!$C$5),1,0)</f>
        <v>0</v>
      </c>
      <c r="P1310" s="25" t="n">
        <f aca="false">IF(AND(B1310&gt;Resumen!$C$5,B1310&lt;=DATE(2027,7,31)),1,0)</f>
        <v>0</v>
      </c>
    </row>
    <row r="1311" customFormat="false" ht="15" hidden="false" customHeight="false" outlineLevel="0" collapsed="false">
      <c r="A1311" s="22" t="n">
        <v>49</v>
      </c>
      <c r="B1311" s="23" t="n">
        <v>46651</v>
      </c>
      <c r="C1311" s="28" t="n">
        <v>500000000</v>
      </c>
      <c r="D1311" s="28" t="n">
        <v>6820000</v>
      </c>
      <c r="E1311" s="28" t="n">
        <v>0</v>
      </c>
      <c r="F1311" s="28" t="n">
        <v>6820000</v>
      </c>
      <c r="G1311" s="28" t="n">
        <v>500000000</v>
      </c>
      <c r="H1311" s="25" t="n">
        <f aca="false">J1310</f>
        <v>500000000</v>
      </c>
      <c r="I1311" s="25" t="n">
        <f aca="false">H1311*N1311</f>
        <v>6820000</v>
      </c>
      <c r="J1311" s="25" t="n">
        <f aca="false">H1311-E1311</f>
        <v>500000000</v>
      </c>
      <c r="K1311" s="25" t="n">
        <f aca="false">D1311-I1311</f>
        <v>0</v>
      </c>
      <c r="L1311" s="25" t="n">
        <f aca="false">G1311-J1311</f>
        <v>0</v>
      </c>
      <c r="M1311" s="25" t="n">
        <f aca="false">F1311</f>
        <v>6820000</v>
      </c>
      <c r="N1311" s="48" t="n">
        <v>0.01364</v>
      </c>
      <c r="O1311" s="25" t="n">
        <f aca="false">IF(AND(B1311&gt;=DATE(2026,1,1),B1311&lt;=Resumen!$C$5),1,0)</f>
        <v>0</v>
      </c>
      <c r="P1311" s="25" t="n">
        <f aca="false">IF(AND(B1311&gt;Resumen!$C$5,B1311&lt;=DATE(2027,7,31)),1,0)</f>
        <v>0</v>
      </c>
    </row>
    <row r="1312" customFormat="false" ht="15" hidden="false" customHeight="false" outlineLevel="0" collapsed="false">
      <c r="A1312" s="22" t="n">
        <v>50</v>
      </c>
      <c r="B1312" s="23" t="n">
        <v>46681</v>
      </c>
      <c r="C1312" s="28" t="n">
        <v>500000000</v>
      </c>
      <c r="D1312" s="28" t="n">
        <v>6820000</v>
      </c>
      <c r="E1312" s="28" t="n">
        <v>0</v>
      </c>
      <c r="F1312" s="28" t="n">
        <v>6820000</v>
      </c>
      <c r="G1312" s="28" t="n">
        <v>500000000</v>
      </c>
      <c r="H1312" s="25" t="n">
        <f aca="false">J1311</f>
        <v>500000000</v>
      </c>
      <c r="I1312" s="25" t="n">
        <f aca="false">H1312*N1312</f>
        <v>6820000</v>
      </c>
      <c r="J1312" s="25" t="n">
        <f aca="false">H1312-E1312</f>
        <v>500000000</v>
      </c>
      <c r="K1312" s="25" t="n">
        <f aca="false">D1312-I1312</f>
        <v>0</v>
      </c>
      <c r="L1312" s="25" t="n">
        <f aca="false">G1312-J1312</f>
        <v>0</v>
      </c>
      <c r="M1312" s="25" t="n">
        <f aca="false">F1312</f>
        <v>6820000</v>
      </c>
      <c r="N1312" s="48" t="n">
        <v>0.01364</v>
      </c>
      <c r="O1312" s="25" t="n">
        <f aca="false">IF(AND(B1312&gt;=DATE(2026,1,1),B1312&lt;=Resumen!$C$5),1,0)</f>
        <v>0</v>
      </c>
      <c r="P1312" s="25" t="n">
        <f aca="false">IF(AND(B1312&gt;Resumen!$C$5,B1312&lt;=DATE(2027,7,31)),1,0)</f>
        <v>0</v>
      </c>
    </row>
    <row r="1313" customFormat="false" ht="15" hidden="false" customHeight="false" outlineLevel="0" collapsed="false">
      <c r="A1313" s="22" t="n">
        <v>51</v>
      </c>
      <c r="B1313" s="23" t="n">
        <v>46712</v>
      </c>
      <c r="C1313" s="28" t="n">
        <v>500000000</v>
      </c>
      <c r="D1313" s="28" t="n">
        <v>6820000</v>
      </c>
      <c r="E1313" s="28" t="n">
        <v>125000000</v>
      </c>
      <c r="F1313" s="28" t="n">
        <v>131820000</v>
      </c>
      <c r="G1313" s="28" t="n">
        <v>375000000</v>
      </c>
      <c r="H1313" s="25" t="n">
        <f aca="false">J1312</f>
        <v>500000000</v>
      </c>
      <c r="I1313" s="25" t="n">
        <f aca="false">H1313*N1313</f>
        <v>6820000</v>
      </c>
      <c r="J1313" s="25" t="n">
        <f aca="false">H1313-E1313</f>
        <v>375000000</v>
      </c>
      <c r="K1313" s="25" t="n">
        <f aca="false">D1313-I1313</f>
        <v>0</v>
      </c>
      <c r="L1313" s="25" t="n">
        <f aca="false">G1313-J1313</f>
        <v>0</v>
      </c>
      <c r="M1313" s="25" t="n">
        <f aca="false">F1313</f>
        <v>131820000</v>
      </c>
      <c r="N1313" s="48" t="n">
        <v>0.01364</v>
      </c>
      <c r="O1313" s="25" t="n">
        <f aca="false">IF(AND(B1313&gt;=DATE(2026,1,1),B1313&lt;=Resumen!$C$5),1,0)</f>
        <v>0</v>
      </c>
      <c r="P1313" s="25" t="n">
        <f aca="false">IF(AND(B1313&gt;Resumen!$C$5,B1313&lt;=DATE(2027,7,31)),1,0)</f>
        <v>0</v>
      </c>
    </row>
    <row r="1314" customFormat="false" ht="15" hidden="false" customHeight="false" outlineLevel="0" collapsed="false">
      <c r="A1314" s="22" t="n">
        <v>52</v>
      </c>
      <c r="B1314" s="23" t="n">
        <v>46742</v>
      </c>
      <c r="C1314" s="28" t="n">
        <v>375000000</v>
      </c>
      <c r="D1314" s="28" t="n">
        <v>5115000</v>
      </c>
      <c r="E1314" s="28" t="n">
        <v>0</v>
      </c>
      <c r="F1314" s="28" t="n">
        <v>5115000</v>
      </c>
      <c r="G1314" s="28" t="n">
        <v>375000000</v>
      </c>
      <c r="H1314" s="25" t="n">
        <f aca="false">J1313</f>
        <v>375000000</v>
      </c>
      <c r="I1314" s="25" t="n">
        <f aca="false">H1314*N1314</f>
        <v>5115000</v>
      </c>
      <c r="J1314" s="25" t="n">
        <f aca="false">H1314-E1314</f>
        <v>375000000</v>
      </c>
      <c r="K1314" s="25" t="n">
        <f aca="false">D1314-I1314</f>
        <v>0</v>
      </c>
      <c r="L1314" s="25" t="n">
        <f aca="false">G1314-J1314</f>
        <v>0</v>
      </c>
      <c r="M1314" s="25" t="n">
        <f aca="false">F1314</f>
        <v>5115000</v>
      </c>
      <c r="N1314" s="48" t="n">
        <v>0.01364</v>
      </c>
      <c r="O1314" s="25" t="n">
        <f aca="false">IF(AND(B1314&gt;=DATE(2026,1,1),B1314&lt;=Resumen!$C$5),1,0)</f>
        <v>0</v>
      </c>
      <c r="P1314" s="25" t="n">
        <f aca="false">IF(AND(B1314&gt;Resumen!$C$5,B1314&lt;=DATE(2027,7,31)),1,0)</f>
        <v>0</v>
      </c>
    </row>
    <row r="1315" customFormat="false" ht="15" hidden="false" customHeight="false" outlineLevel="0" collapsed="false">
      <c r="A1315" s="22" t="n">
        <v>53</v>
      </c>
      <c r="B1315" s="23" t="n">
        <v>46773</v>
      </c>
      <c r="C1315" s="28" t="n">
        <v>375000000</v>
      </c>
      <c r="D1315" s="28" t="n">
        <v>5115000</v>
      </c>
      <c r="E1315" s="28" t="n">
        <v>0</v>
      </c>
      <c r="F1315" s="28" t="n">
        <v>5115000</v>
      </c>
      <c r="G1315" s="28" t="n">
        <v>375000000</v>
      </c>
      <c r="H1315" s="25" t="n">
        <f aca="false">J1314</f>
        <v>375000000</v>
      </c>
      <c r="I1315" s="25" t="n">
        <f aca="false">H1315*N1315</f>
        <v>5115000</v>
      </c>
      <c r="J1315" s="25" t="n">
        <f aca="false">H1315-E1315</f>
        <v>375000000</v>
      </c>
      <c r="K1315" s="25" t="n">
        <f aca="false">D1315-I1315</f>
        <v>0</v>
      </c>
      <c r="L1315" s="25" t="n">
        <f aca="false">G1315-J1315</f>
        <v>0</v>
      </c>
      <c r="M1315" s="25" t="n">
        <f aca="false">F1315</f>
        <v>5115000</v>
      </c>
      <c r="N1315" s="48" t="n">
        <v>0.01364</v>
      </c>
      <c r="O1315" s="25" t="n">
        <f aca="false">IF(AND(B1315&gt;=DATE(2026,1,1),B1315&lt;=Resumen!$C$5),1,0)</f>
        <v>0</v>
      </c>
      <c r="P1315" s="25" t="n">
        <f aca="false">IF(AND(B1315&gt;Resumen!$C$5,B1315&lt;=DATE(2027,7,31)),1,0)</f>
        <v>0</v>
      </c>
    </row>
    <row r="1316" customFormat="false" ht="15" hidden="false" customHeight="false" outlineLevel="0" collapsed="false">
      <c r="A1316" s="22" t="n">
        <v>54</v>
      </c>
      <c r="B1316" s="23" t="n">
        <v>46804</v>
      </c>
      <c r="C1316" s="28" t="n">
        <v>375000000</v>
      </c>
      <c r="D1316" s="28" t="n">
        <v>5115000</v>
      </c>
      <c r="E1316" s="28" t="n">
        <v>125000000</v>
      </c>
      <c r="F1316" s="28" t="n">
        <v>130115000</v>
      </c>
      <c r="G1316" s="28" t="n">
        <v>250000000</v>
      </c>
      <c r="H1316" s="25" t="n">
        <f aca="false">J1315</f>
        <v>375000000</v>
      </c>
      <c r="I1316" s="25" t="n">
        <f aca="false">H1316*N1316</f>
        <v>5115000</v>
      </c>
      <c r="J1316" s="25" t="n">
        <f aca="false">H1316-E1316</f>
        <v>250000000</v>
      </c>
      <c r="K1316" s="25" t="n">
        <f aca="false">D1316-I1316</f>
        <v>0</v>
      </c>
      <c r="L1316" s="25" t="n">
        <f aca="false">G1316-J1316</f>
        <v>0</v>
      </c>
      <c r="M1316" s="25" t="n">
        <f aca="false">F1316</f>
        <v>130115000</v>
      </c>
      <c r="N1316" s="48" t="n">
        <v>0.01364</v>
      </c>
      <c r="O1316" s="25" t="n">
        <f aca="false">IF(AND(B1316&gt;=DATE(2026,1,1),B1316&lt;=Resumen!$C$5),1,0)</f>
        <v>0</v>
      </c>
      <c r="P1316" s="25" t="n">
        <f aca="false">IF(AND(B1316&gt;Resumen!$C$5,B1316&lt;=DATE(2027,7,31)),1,0)</f>
        <v>0</v>
      </c>
    </row>
    <row r="1317" customFormat="false" ht="15" hidden="false" customHeight="false" outlineLevel="0" collapsed="false">
      <c r="A1317" s="22" t="n">
        <v>55</v>
      </c>
      <c r="B1317" s="23" t="n">
        <v>46833</v>
      </c>
      <c r="C1317" s="28" t="n">
        <v>250000000</v>
      </c>
      <c r="D1317" s="28" t="n">
        <v>3410000</v>
      </c>
      <c r="E1317" s="28" t="n">
        <v>0</v>
      </c>
      <c r="F1317" s="28" t="n">
        <v>3410000</v>
      </c>
      <c r="G1317" s="28" t="n">
        <v>250000000</v>
      </c>
      <c r="H1317" s="25" t="n">
        <f aca="false">J1316</f>
        <v>250000000</v>
      </c>
      <c r="I1317" s="25" t="n">
        <f aca="false">H1317*N1317</f>
        <v>3410000</v>
      </c>
      <c r="J1317" s="25" t="n">
        <f aca="false">H1317-E1317</f>
        <v>250000000</v>
      </c>
      <c r="K1317" s="25" t="n">
        <f aca="false">D1317-I1317</f>
        <v>0</v>
      </c>
      <c r="L1317" s="25" t="n">
        <f aca="false">G1317-J1317</f>
        <v>0</v>
      </c>
      <c r="M1317" s="25" t="n">
        <f aca="false">F1317</f>
        <v>3410000</v>
      </c>
      <c r="N1317" s="48" t="n">
        <v>0.01364</v>
      </c>
      <c r="O1317" s="25" t="n">
        <f aca="false">IF(AND(B1317&gt;=DATE(2026,1,1),B1317&lt;=Resumen!$C$5),1,0)</f>
        <v>0</v>
      </c>
      <c r="P1317" s="25" t="n">
        <f aca="false">IF(AND(B1317&gt;Resumen!$C$5,B1317&lt;=DATE(2027,7,31)),1,0)</f>
        <v>0</v>
      </c>
    </row>
    <row r="1318" customFormat="false" ht="15" hidden="false" customHeight="false" outlineLevel="0" collapsed="false">
      <c r="A1318" s="22" t="n">
        <v>56</v>
      </c>
      <c r="B1318" s="23" t="n">
        <v>46864</v>
      </c>
      <c r="C1318" s="28" t="n">
        <v>250000000</v>
      </c>
      <c r="D1318" s="28" t="n">
        <v>3410000</v>
      </c>
      <c r="E1318" s="28" t="n">
        <v>0</v>
      </c>
      <c r="F1318" s="28" t="n">
        <v>3410000</v>
      </c>
      <c r="G1318" s="28" t="n">
        <v>250000000</v>
      </c>
      <c r="H1318" s="25" t="n">
        <f aca="false">J1317</f>
        <v>250000000</v>
      </c>
      <c r="I1318" s="25" t="n">
        <f aca="false">H1318*N1318</f>
        <v>3410000</v>
      </c>
      <c r="J1318" s="25" t="n">
        <f aca="false">H1318-E1318</f>
        <v>250000000</v>
      </c>
      <c r="K1318" s="25" t="n">
        <f aca="false">D1318-I1318</f>
        <v>0</v>
      </c>
      <c r="L1318" s="25" t="n">
        <f aca="false">G1318-J1318</f>
        <v>0</v>
      </c>
      <c r="M1318" s="25" t="n">
        <f aca="false">F1318</f>
        <v>3410000</v>
      </c>
      <c r="N1318" s="48" t="n">
        <v>0.01364</v>
      </c>
      <c r="O1318" s="25" t="n">
        <f aca="false">IF(AND(B1318&gt;=DATE(2026,1,1),B1318&lt;=Resumen!$C$5),1,0)</f>
        <v>0</v>
      </c>
      <c r="P1318" s="25" t="n">
        <f aca="false">IF(AND(B1318&gt;Resumen!$C$5,B1318&lt;=DATE(2027,7,31)),1,0)</f>
        <v>0</v>
      </c>
    </row>
    <row r="1319" customFormat="false" ht="15" hidden="false" customHeight="false" outlineLevel="0" collapsed="false">
      <c r="A1319" s="22" t="n">
        <v>57</v>
      </c>
      <c r="B1319" s="23" t="n">
        <v>46894</v>
      </c>
      <c r="C1319" s="28" t="n">
        <v>250000000</v>
      </c>
      <c r="D1319" s="28" t="n">
        <v>3410000</v>
      </c>
      <c r="E1319" s="28" t="n">
        <v>125000000</v>
      </c>
      <c r="F1319" s="28" t="n">
        <v>128410000</v>
      </c>
      <c r="G1319" s="28" t="n">
        <v>125000000</v>
      </c>
      <c r="H1319" s="25" t="n">
        <f aca="false">J1318</f>
        <v>250000000</v>
      </c>
      <c r="I1319" s="25" t="n">
        <f aca="false">H1319*N1319</f>
        <v>3410000</v>
      </c>
      <c r="J1319" s="25" t="n">
        <f aca="false">H1319-E1319</f>
        <v>125000000</v>
      </c>
      <c r="K1319" s="25" t="n">
        <f aca="false">D1319-I1319</f>
        <v>0</v>
      </c>
      <c r="L1319" s="25" t="n">
        <f aca="false">G1319-J1319</f>
        <v>0</v>
      </c>
      <c r="M1319" s="25" t="n">
        <f aca="false">F1319</f>
        <v>128410000</v>
      </c>
      <c r="N1319" s="48" t="n">
        <v>0.01364</v>
      </c>
      <c r="O1319" s="25" t="n">
        <f aca="false">IF(AND(B1319&gt;=DATE(2026,1,1),B1319&lt;=Resumen!$C$5),1,0)</f>
        <v>0</v>
      </c>
      <c r="P1319" s="25" t="n">
        <f aca="false">IF(AND(B1319&gt;Resumen!$C$5,B1319&lt;=DATE(2027,7,31)),1,0)</f>
        <v>0</v>
      </c>
    </row>
    <row r="1320" customFormat="false" ht="15" hidden="false" customHeight="false" outlineLevel="0" collapsed="false">
      <c r="A1320" s="22" t="n">
        <v>58</v>
      </c>
      <c r="B1320" s="23" t="n">
        <v>46925</v>
      </c>
      <c r="C1320" s="28" t="n">
        <v>125000000</v>
      </c>
      <c r="D1320" s="28" t="n">
        <v>1705000</v>
      </c>
      <c r="E1320" s="28" t="n">
        <v>0</v>
      </c>
      <c r="F1320" s="28" t="n">
        <v>1705000</v>
      </c>
      <c r="G1320" s="28" t="n">
        <v>125000000</v>
      </c>
      <c r="H1320" s="25" t="n">
        <f aca="false">J1319</f>
        <v>125000000</v>
      </c>
      <c r="I1320" s="25" t="n">
        <f aca="false">H1320*N1320</f>
        <v>1705000</v>
      </c>
      <c r="J1320" s="25" t="n">
        <f aca="false">H1320-E1320</f>
        <v>125000000</v>
      </c>
      <c r="K1320" s="25" t="n">
        <f aca="false">D1320-I1320</f>
        <v>0</v>
      </c>
      <c r="L1320" s="25" t="n">
        <f aca="false">G1320-J1320</f>
        <v>0</v>
      </c>
      <c r="M1320" s="25" t="n">
        <f aca="false">F1320</f>
        <v>1705000</v>
      </c>
      <c r="N1320" s="48" t="n">
        <v>0.01364</v>
      </c>
      <c r="O1320" s="25" t="n">
        <f aca="false">IF(AND(B1320&gt;=DATE(2026,1,1),B1320&lt;=Resumen!$C$5),1,0)</f>
        <v>0</v>
      </c>
      <c r="P1320" s="25" t="n">
        <f aca="false">IF(AND(B1320&gt;Resumen!$C$5,B1320&lt;=DATE(2027,7,31)),1,0)</f>
        <v>0</v>
      </c>
    </row>
    <row r="1321" customFormat="false" ht="15" hidden="false" customHeight="false" outlineLevel="0" collapsed="false">
      <c r="A1321" s="22" t="n">
        <v>59</v>
      </c>
      <c r="B1321" s="23" t="n">
        <v>46955</v>
      </c>
      <c r="C1321" s="28" t="n">
        <v>125000000</v>
      </c>
      <c r="D1321" s="28" t="n">
        <v>1705000</v>
      </c>
      <c r="E1321" s="28" t="n">
        <v>0</v>
      </c>
      <c r="F1321" s="28" t="n">
        <v>1705000</v>
      </c>
      <c r="G1321" s="28" t="n">
        <v>125000000</v>
      </c>
      <c r="H1321" s="25" t="n">
        <f aca="false">J1320</f>
        <v>125000000</v>
      </c>
      <c r="I1321" s="25" t="n">
        <f aca="false">H1321*N1321</f>
        <v>1705000</v>
      </c>
      <c r="J1321" s="25" t="n">
        <f aca="false">H1321-E1321</f>
        <v>125000000</v>
      </c>
      <c r="K1321" s="25" t="n">
        <f aca="false">D1321-I1321</f>
        <v>0</v>
      </c>
      <c r="L1321" s="25" t="n">
        <f aca="false">G1321-J1321</f>
        <v>0</v>
      </c>
      <c r="M1321" s="25" t="n">
        <f aca="false">F1321</f>
        <v>1705000</v>
      </c>
      <c r="N1321" s="48" t="n">
        <v>0.01364</v>
      </c>
      <c r="O1321" s="25" t="n">
        <f aca="false">IF(AND(B1321&gt;=DATE(2026,1,1),B1321&lt;=Resumen!$C$5),1,0)</f>
        <v>0</v>
      </c>
      <c r="P1321" s="25" t="n">
        <f aca="false">IF(AND(B1321&gt;Resumen!$C$5,B1321&lt;=DATE(2027,7,31)),1,0)</f>
        <v>0</v>
      </c>
    </row>
    <row r="1322" customFormat="false" ht="15" hidden="false" customHeight="false" outlineLevel="0" collapsed="false">
      <c r="A1322" s="22" t="n">
        <v>60</v>
      </c>
      <c r="B1322" s="23" t="n">
        <v>46986</v>
      </c>
      <c r="C1322" s="28" t="n">
        <v>125000000</v>
      </c>
      <c r="D1322" s="28" t="n">
        <v>1705000</v>
      </c>
      <c r="E1322" s="28" t="n">
        <v>125000000</v>
      </c>
      <c r="F1322" s="28" t="n">
        <v>126705000</v>
      </c>
      <c r="G1322" s="28" t="n">
        <v>0</v>
      </c>
      <c r="H1322" s="25" t="n">
        <f aca="false">J1321</f>
        <v>125000000</v>
      </c>
      <c r="I1322" s="25" t="n">
        <f aca="false">H1322*N1322</f>
        <v>1705000</v>
      </c>
      <c r="J1322" s="25" t="n">
        <f aca="false">H1322-E1322</f>
        <v>0</v>
      </c>
      <c r="K1322" s="25" t="n">
        <f aca="false">D1322-I1322</f>
        <v>0</v>
      </c>
      <c r="L1322" s="25" t="n">
        <f aca="false">G1322-J1322</f>
        <v>0</v>
      </c>
      <c r="M1322" s="25" t="n">
        <f aca="false">F1322</f>
        <v>126705000</v>
      </c>
      <c r="N1322" s="48" t="n">
        <v>0.01364</v>
      </c>
      <c r="O1322" s="25" t="n">
        <f aca="false">IF(AND(B1322&gt;=DATE(2026,1,1),B1322&lt;=Resumen!$C$5),1,0)</f>
        <v>0</v>
      </c>
      <c r="P1322" s="25" t="n">
        <f aca="false">IF(AND(B1322&gt;Resumen!$C$5,B1322&lt;=DATE(2027,7,31)),1,0)</f>
        <v>0</v>
      </c>
    </row>
    <row r="1325" customFormat="false" ht="15" hidden="false" customHeight="false" outlineLevel="0" collapsed="false">
      <c r="A1325" s="33" t="s">
        <v>848</v>
      </c>
    </row>
    <row r="1326" customFormat="false" ht="15" hidden="false" customHeight="false" outlineLevel="0" collapsed="false">
      <c r="A1326" s="34" t="s">
        <v>849</v>
      </c>
    </row>
    <row r="1327" customFormat="false" ht="15" hidden="false" customHeight="false" outlineLevel="0" collapsed="false">
      <c r="A1327" s="19" t="s">
        <v>850</v>
      </c>
    </row>
    <row r="1328" customFormat="false" ht="15" hidden="false" customHeight="false" outlineLevel="0" collapsed="false">
      <c r="A1328" s="20" t="s">
        <v>851</v>
      </c>
    </row>
    <row r="1329" customFormat="false" ht="15" hidden="false" customHeight="false" outlineLevel="0" collapsed="false">
      <c r="A1329" s="29" t="s">
        <v>773</v>
      </c>
      <c r="C1329" s="22" t="s">
        <v>852</v>
      </c>
      <c r="F1329" s="47" t="s">
        <v>775</v>
      </c>
    </row>
    <row r="1330" customFormat="false" ht="15" hidden="false" customHeight="false" outlineLevel="0" collapsed="false">
      <c r="A1330" s="29" t="s">
        <v>640</v>
      </c>
      <c r="C1330" s="28" t="n">
        <v>10000000000</v>
      </c>
      <c r="F1330" s="22" t="s">
        <v>776</v>
      </c>
      <c r="I1330" s="41" t="n">
        <f aca="false">_xlfn.MAXIFS($B$1338:$B$1344,$B$1338:$B$1344,"&lt;="&amp;Resumen!$C$5)</f>
        <v>46217</v>
      </c>
    </row>
    <row r="1331" customFormat="false" ht="15" hidden="false" customHeight="false" outlineLevel="0" collapsed="false">
      <c r="A1331" s="29" t="s">
        <v>641</v>
      </c>
      <c r="C1331" s="23" t="n">
        <v>46036</v>
      </c>
      <c r="F1331" s="22" t="s">
        <v>777</v>
      </c>
      <c r="I1331" s="25" t="n">
        <f aca="false">SUMIFS($G$1338:$G$1344,$B$1338:$B$1344,I1330)</f>
        <v>0</v>
      </c>
    </row>
    <row r="1332" customFormat="false" ht="15" hidden="false" customHeight="false" outlineLevel="0" collapsed="false">
      <c r="A1332" s="29" t="s">
        <v>778</v>
      </c>
      <c r="C1332" s="22" t="s">
        <v>853</v>
      </c>
      <c r="F1332" s="22" t="s">
        <v>780</v>
      </c>
      <c r="I1332" s="25" t="n">
        <f aca="false">SUMIFS($J$1338:$J$1344,$B$1338:$B$1344,I1330)</f>
        <v>0</v>
      </c>
    </row>
    <row r="1333" customFormat="false" ht="15" hidden="false" customHeight="false" outlineLevel="0" collapsed="false">
      <c r="A1333" s="29" t="s">
        <v>781</v>
      </c>
      <c r="C1333" s="48" t="s">
        <v>818</v>
      </c>
      <c r="F1333" s="22" t="s">
        <v>650</v>
      </c>
      <c r="I1333" s="25" t="n">
        <f aca="false">SUMIFS($D$1338:$D$1344,$O$1338:$O$1344,1)</f>
        <v>604300000</v>
      </c>
    </row>
    <row r="1334" customFormat="false" ht="15" hidden="false" customHeight="false" outlineLevel="0" collapsed="false">
      <c r="A1334" s="29" t="s">
        <v>782</v>
      </c>
      <c r="C1334" s="49" t="n">
        <f aca="false">IFERROR(IRR($M$1338:$M$1344),"N/A")</f>
        <v>0.0100664804548056</v>
      </c>
      <c r="F1334" s="22" t="s">
        <v>783</v>
      </c>
      <c r="I1334" s="25" t="n">
        <f aca="false">SUMIFS($E$1338:$E$1344,$P$1338:$P$1344,1)</f>
        <v>0</v>
      </c>
    </row>
    <row r="1335" customFormat="false" ht="15" hidden="false" customHeight="false" outlineLevel="0" collapsed="false">
      <c r="A1335" s="29" t="s">
        <v>784</v>
      </c>
      <c r="C1335" s="50" t="n">
        <f aca="false">IF(ISNUMBER(C1334),(1+C1334)^12-1,"N/A")</f>
        <v>0.127715394086772</v>
      </c>
      <c r="F1335" s="22" t="s">
        <v>785</v>
      </c>
      <c r="I1335" s="25" t="n">
        <f aca="false">SUMPRODUCT(MAX(ABS($L$1338:$L$1344)))</f>
        <v>0</v>
      </c>
    </row>
    <row r="1337" customFormat="false" ht="36" hidden="false" customHeight="true" outlineLevel="0" collapsed="false">
      <c r="A1337" s="27" t="s">
        <v>786</v>
      </c>
      <c r="B1337" s="27" t="s">
        <v>396</v>
      </c>
      <c r="C1337" s="27" t="s">
        <v>787</v>
      </c>
      <c r="D1337" s="27" t="s">
        <v>788</v>
      </c>
      <c r="E1337" s="27" t="s">
        <v>789</v>
      </c>
      <c r="F1337" s="27" t="s">
        <v>790</v>
      </c>
      <c r="G1337" s="27" t="s">
        <v>791</v>
      </c>
      <c r="H1337" s="27" t="s">
        <v>792</v>
      </c>
      <c r="I1337" s="27" t="s">
        <v>793</v>
      </c>
      <c r="J1337" s="27" t="s">
        <v>794</v>
      </c>
      <c r="K1337" s="27" t="s">
        <v>795</v>
      </c>
      <c r="L1337" s="27" t="s">
        <v>796</v>
      </c>
      <c r="M1337" s="27" t="s">
        <v>797</v>
      </c>
      <c r="N1337" s="27" t="s">
        <v>798</v>
      </c>
      <c r="O1337" s="27" t="s">
        <v>799</v>
      </c>
      <c r="P1337" s="27" t="s">
        <v>800</v>
      </c>
    </row>
    <row r="1338" customFormat="false" ht="15" hidden="false" customHeight="false" outlineLevel="0" collapsed="false">
      <c r="A1338" s="22" t="n">
        <v>0</v>
      </c>
      <c r="B1338" s="23" t="n">
        <v>46036</v>
      </c>
      <c r="C1338" s="28" t="n">
        <v>10000000000</v>
      </c>
      <c r="D1338" s="28" t="n">
        <v>0</v>
      </c>
      <c r="E1338" s="28" t="n">
        <v>0</v>
      </c>
      <c r="F1338" s="28" t="n">
        <v>0</v>
      </c>
      <c r="G1338" s="28" t="n">
        <v>10000000000</v>
      </c>
      <c r="H1338" s="25" t="n">
        <f aca="false">C1338</f>
        <v>10000000000</v>
      </c>
      <c r="I1338" s="25" t="n">
        <f aca="false">H1338*N1338</f>
        <v>86541666.6666667</v>
      </c>
      <c r="J1338" s="25" t="n">
        <f aca="false">H1338-E1338</f>
        <v>10000000000</v>
      </c>
      <c r="K1338" s="25" t="n">
        <f aca="false">D1338-I1338</f>
        <v>-86541666.6666667</v>
      </c>
      <c r="L1338" s="25" t="n">
        <f aca="false">G1338-J1338</f>
        <v>0</v>
      </c>
      <c r="M1338" s="25" t="n">
        <f aca="false">-$C$1330</f>
        <v>-10000000000</v>
      </c>
      <c r="N1338" s="48" t="n">
        <v>0.00865416666666667</v>
      </c>
      <c r="O1338" s="25" t="n">
        <f aca="false">IF(AND(B1338&gt;=DATE(2026,1,1),B1338&lt;=Resumen!$C$5),1,0)</f>
        <v>1</v>
      </c>
      <c r="P1338" s="25" t="n">
        <f aca="false">IF(AND(B1338&gt;Resumen!$C$5,B1338&lt;=DATE(2027,7,31)),1,0)</f>
        <v>0</v>
      </c>
    </row>
    <row r="1339" customFormat="false" ht="15" hidden="false" customHeight="false" outlineLevel="0" collapsed="false">
      <c r="A1339" s="22" t="n">
        <v>1</v>
      </c>
      <c r="B1339" s="23" t="n">
        <v>46067</v>
      </c>
      <c r="C1339" s="28" t="n">
        <v>10000000000</v>
      </c>
      <c r="D1339" s="28" t="n">
        <v>94608333.3333333</v>
      </c>
      <c r="E1339" s="28" t="n">
        <v>0</v>
      </c>
      <c r="F1339" s="28" t="n">
        <v>94608333.3333333</v>
      </c>
      <c r="G1339" s="28" t="n">
        <v>10000000000</v>
      </c>
      <c r="H1339" s="25" t="n">
        <f aca="false">J1338</f>
        <v>10000000000</v>
      </c>
      <c r="I1339" s="25" t="n">
        <f aca="false">H1339*N1339</f>
        <v>94608333.3333333</v>
      </c>
      <c r="J1339" s="25" t="n">
        <f aca="false">H1339-E1339</f>
        <v>10000000000</v>
      </c>
      <c r="K1339" s="25" t="n">
        <f aca="false">D1339-I1339</f>
        <v>0</v>
      </c>
      <c r="L1339" s="25" t="n">
        <f aca="false">G1339-J1339</f>
        <v>0</v>
      </c>
      <c r="M1339" s="25" t="n">
        <f aca="false">F1339</f>
        <v>94608333.3333333</v>
      </c>
      <c r="N1339" s="48" t="n">
        <v>0.00946083333333333</v>
      </c>
      <c r="O1339" s="25" t="n">
        <f aca="false">IF(AND(B1339&gt;=DATE(2026,1,1),B1339&lt;=Resumen!$C$5),1,0)</f>
        <v>1</v>
      </c>
      <c r="P1339" s="25" t="n">
        <f aca="false">IF(AND(B1339&gt;Resumen!$C$5,B1339&lt;=DATE(2027,7,31)),1,0)</f>
        <v>0</v>
      </c>
    </row>
    <row r="1340" customFormat="false" ht="15" hidden="false" customHeight="false" outlineLevel="0" collapsed="false">
      <c r="A1340" s="22" t="n">
        <v>2</v>
      </c>
      <c r="B1340" s="23" t="n">
        <v>46095</v>
      </c>
      <c r="C1340" s="28" t="n">
        <v>10000000000</v>
      </c>
      <c r="D1340" s="28" t="n">
        <v>98525000</v>
      </c>
      <c r="E1340" s="28" t="n">
        <v>0</v>
      </c>
      <c r="F1340" s="28" t="n">
        <v>98525000</v>
      </c>
      <c r="G1340" s="28" t="n">
        <v>10000000000</v>
      </c>
      <c r="H1340" s="25" t="n">
        <f aca="false">J1339</f>
        <v>10000000000</v>
      </c>
      <c r="I1340" s="25" t="n">
        <f aca="false">H1340*N1340</f>
        <v>98525000</v>
      </c>
      <c r="J1340" s="25" t="n">
        <f aca="false">H1340-E1340</f>
        <v>10000000000</v>
      </c>
      <c r="K1340" s="25" t="n">
        <f aca="false">D1340-I1340</f>
        <v>0</v>
      </c>
      <c r="L1340" s="25" t="n">
        <f aca="false">G1340-J1340</f>
        <v>0</v>
      </c>
      <c r="M1340" s="25" t="n">
        <f aca="false">F1340</f>
        <v>98525000</v>
      </c>
      <c r="N1340" s="48" t="n">
        <v>0.0098525</v>
      </c>
      <c r="O1340" s="25" t="n">
        <f aca="false">IF(AND(B1340&gt;=DATE(2026,1,1),B1340&lt;=Resumen!$C$5),1,0)</f>
        <v>1</v>
      </c>
      <c r="P1340" s="25" t="n">
        <f aca="false">IF(AND(B1340&gt;Resumen!$C$5,B1340&lt;=DATE(2027,7,31)),1,0)</f>
        <v>0</v>
      </c>
    </row>
    <row r="1341" customFormat="false" ht="15" hidden="false" customHeight="false" outlineLevel="0" collapsed="false">
      <c r="A1341" s="22" t="n">
        <v>3</v>
      </c>
      <c r="B1341" s="23" t="n">
        <v>46126</v>
      </c>
      <c r="C1341" s="28" t="n">
        <v>10000000000</v>
      </c>
      <c r="D1341" s="28" t="n">
        <v>102058333.333333</v>
      </c>
      <c r="E1341" s="28" t="n">
        <v>0</v>
      </c>
      <c r="F1341" s="28" t="n">
        <v>102058333.333333</v>
      </c>
      <c r="G1341" s="28" t="n">
        <v>10000000000</v>
      </c>
      <c r="H1341" s="25" t="n">
        <f aca="false">J1340</f>
        <v>10000000000</v>
      </c>
      <c r="I1341" s="25" t="n">
        <f aca="false">H1341*N1341</f>
        <v>102058333.333333</v>
      </c>
      <c r="J1341" s="25" t="n">
        <f aca="false">H1341-E1341</f>
        <v>10000000000</v>
      </c>
      <c r="K1341" s="25" t="n">
        <f aca="false">D1341-I1341</f>
        <v>0</v>
      </c>
      <c r="L1341" s="25" t="n">
        <f aca="false">G1341-J1341</f>
        <v>0</v>
      </c>
      <c r="M1341" s="25" t="n">
        <f aca="false">F1341</f>
        <v>102058333.333333</v>
      </c>
      <c r="N1341" s="48" t="n">
        <v>0.0102058333333333</v>
      </c>
      <c r="O1341" s="25" t="n">
        <f aca="false">IF(AND(B1341&gt;=DATE(2026,1,1),B1341&lt;=Resumen!$C$5),1,0)</f>
        <v>1</v>
      </c>
      <c r="P1341" s="25" t="n">
        <f aca="false">IF(AND(B1341&gt;Resumen!$C$5,B1341&lt;=DATE(2027,7,31)),1,0)</f>
        <v>0</v>
      </c>
    </row>
    <row r="1342" customFormat="false" ht="15" hidden="false" customHeight="false" outlineLevel="0" collapsed="false">
      <c r="A1342" s="22" t="n">
        <v>4</v>
      </c>
      <c r="B1342" s="23" t="n">
        <v>46156</v>
      </c>
      <c r="C1342" s="28" t="n">
        <v>10000000000</v>
      </c>
      <c r="D1342" s="28" t="n">
        <v>102058333.333333</v>
      </c>
      <c r="E1342" s="28" t="n">
        <v>0</v>
      </c>
      <c r="F1342" s="28" t="n">
        <v>102058333.333333</v>
      </c>
      <c r="G1342" s="28" t="n">
        <v>10000000000</v>
      </c>
      <c r="H1342" s="25" t="n">
        <f aca="false">J1341</f>
        <v>10000000000</v>
      </c>
      <c r="I1342" s="25" t="n">
        <f aca="false">H1342*N1342</f>
        <v>102058333.333333</v>
      </c>
      <c r="J1342" s="25" t="n">
        <f aca="false">H1342-E1342</f>
        <v>10000000000</v>
      </c>
      <c r="K1342" s="25" t="n">
        <f aca="false">D1342-I1342</f>
        <v>0</v>
      </c>
      <c r="L1342" s="25" t="n">
        <f aca="false">G1342-J1342</f>
        <v>0</v>
      </c>
      <c r="M1342" s="25" t="n">
        <f aca="false">F1342</f>
        <v>102058333.333333</v>
      </c>
      <c r="N1342" s="48" t="n">
        <v>0.0102058333333333</v>
      </c>
      <c r="O1342" s="25" t="n">
        <f aca="false">IF(AND(B1342&gt;=DATE(2026,1,1),B1342&lt;=Resumen!$C$5),1,0)</f>
        <v>1</v>
      </c>
      <c r="P1342" s="25" t="n">
        <f aca="false">IF(AND(B1342&gt;Resumen!$C$5,B1342&lt;=DATE(2027,7,31)),1,0)</f>
        <v>0</v>
      </c>
    </row>
    <row r="1343" customFormat="false" ht="15" hidden="false" customHeight="false" outlineLevel="0" collapsed="false">
      <c r="A1343" s="22" t="n">
        <v>5</v>
      </c>
      <c r="B1343" s="23" t="n">
        <v>46187</v>
      </c>
      <c r="C1343" s="28" t="n">
        <v>10000000000</v>
      </c>
      <c r="D1343" s="28" t="n">
        <v>102316666.666667</v>
      </c>
      <c r="E1343" s="28" t="n">
        <v>0</v>
      </c>
      <c r="F1343" s="28" t="n">
        <v>102316666.666667</v>
      </c>
      <c r="G1343" s="28" t="n">
        <v>10000000000</v>
      </c>
      <c r="H1343" s="25" t="n">
        <f aca="false">J1342</f>
        <v>10000000000</v>
      </c>
      <c r="I1343" s="25" t="n">
        <f aca="false">H1343*N1343</f>
        <v>102316666.666667</v>
      </c>
      <c r="J1343" s="25" t="n">
        <f aca="false">H1343-E1343</f>
        <v>10000000000</v>
      </c>
      <c r="K1343" s="25" t="n">
        <f aca="false">D1343-I1343</f>
        <v>0</v>
      </c>
      <c r="L1343" s="25" t="n">
        <f aca="false">G1343-J1343</f>
        <v>0</v>
      </c>
      <c r="M1343" s="25" t="n">
        <f aca="false">F1343</f>
        <v>102316666.666667</v>
      </c>
      <c r="N1343" s="48" t="n">
        <v>0.0102316666666667</v>
      </c>
      <c r="O1343" s="25" t="n">
        <f aca="false">IF(AND(B1343&gt;=DATE(2026,1,1),B1343&lt;=Resumen!$C$5),1,0)</f>
        <v>1</v>
      </c>
      <c r="P1343" s="25" t="n">
        <f aca="false">IF(AND(B1343&gt;Resumen!$C$5,B1343&lt;=DATE(2027,7,31)),1,0)</f>
        <v>0</v>
      </c>
    </row>
    <row r="1344" customFormat="false" ht="15" hidden="false" customHeight="false" outlineLevel="0" collapsed="false">
      <c r="A1344" s="22" t="n">
        <v>6</v>
      </c>
      <c r="B1344" s="23" t="n">
        <v>46217</v>
      </c>
      <c r="C1344" s="28" t="n">
        <v>10000000000</v>
      </c>
      <c r="D1344" s="28" t="n">
        <v>104733333.333333</v>
      </c>
      <c r="E1344" s="28" t="n">
        <v>10000000000</v>
      </c>
      <c r="F1344" s="28" t="n">
        <v>10104733333.3333</v>
      </c>
      <c r="G1344" s="28" t="n">
        <v>0</v>
      </c>
      <c r="H1344" s="25" t="n">
        <f aca="false">J1343</f>
        <v>10000000000</v>
      </c>
      <c r="I1344" s="25" t="n">
        <f aca="false">H1344*N1344</f>
        <v>104733333.333333</v>
      </c>
      <c r="J1344" s="25" t="n">
        <f aca="false">H1344-E1344</f>
        <v>0</v>
      </c>
      <c r="K1344" s="25" t="n">
        <f aca="false">D1344-I1344</f>
        <v>0</v>
      </c>
      <c r="L1344" s="25" t="n">
        <f aca="false">G1344-J1344</f>
        <v>0</v>
      </c>
      <c r="M1344" s="25" t="n">
        <f aca="false">F1344</f>
        <v>10104733333.3333</v>
      </c>
      <c r="N1344" s="48" t="n">
        <v>0.0104733333333333</v>
      </c>
      <c r="O1344" s="25" t="n">
        <f aca="false">IF(AND(B1344&gt;=DATE(2026,1,1),B1344&lt;=Resumen!$C$5),1,0)</f>
        <v>1</v>
      </c>
      <c r="P1344" s="25" t="n">
        <f aca="false">IF(AND(B1344&gt;Resumen!$C$5,B1344&lt;=DATE(2027,7,31)),1,0)</f>
        <v>0</v>
      </c>
    </row>
    <row r="1347" customFormat="false" ht="15" hidden="false" customHeight="false" outlineLevel="0" collapsed="false">
      <c r="A1347" s="33" t="s">
        <v>854</v>
      </c>
    </row>
    <row r="1348" customFormat="false" ht="15" hidden="false" customHeight="false" outlineLevel="0" collapsed="false">
      <c r="A1348" s="34" t="s">
        <v>855</v>
      </c>
    </row>
    <row r="1349" customFormat="false" ht="15" hidden="false" customHeight="false" outlineLevel="0" collapsed="false">
      <c r="A1349" s="19" t="s">
        <v>856</v>
      </c>
    </row>
    <row r="1350" customFormat="false" ht="15" hidden="false" customHeight="false" outlineLevel="0" collapsed="false">
      <c r="A1350" s="20" t="s">
        <v>857</v>
      </c>
    </row>
    <row r="1351" customFormat="false" ht="15" hidden="false" customHeight="false" outlineLevel="0" collapsed="false">
      <c r="A1351" s="29" t="s">
        <v>773</v>
      </c>
      <c r="C1351" s="22" t="s">
        <v>858</v>
      </c>
      <c r="F1351" s="47" t="s">
        <v>775</v>
      </c>
    </row>
    <row r="1352" customFormat="false" ht="15" hidden="false" customHeight="false" outlineLevel="0" collapsed="false">
      <c r="A1352" s="29" t="s">
        <v>640</v>
      </c>
      <c r="C1352" s="28" t="n">
        <v>10000000000</v>
      </c>
      <c r="F1352" s="22" t="s">
        <v>776</v>
      </c>
      <c r="I1352" s="41" t="n">
        <f aca="false">_xlfn.MAXIFS($B$1360:$B$1366,$B$1360:$B$1366,"&lt;="&amp;Resumen!$C$5)</f>
        <v>46225</v>
      </c>
    </row>
    <row r="1353" customFormat="false" ht="15" hidden="false" customHeight="false" outlineLevel="0" collapsed="false">
      <c r="A1353" s="29" t="s">
        <v>641</v>
      </c>
      <c r="C1353" s="23" t="n">
        <v>46225</v>
      </c>
      <c r="F1353" s="22" t="s">
        <v>777</v>
      </c>
      <c r="I1353" s="25" t="n">
        <f aca="false">SUMIFS($G$1360:$G$1366,$B$1360:$B$1366,I1352)</f>
        <v>10000000000</v>
      </c>
    </row>
    <row r="1354" customFormat="false" ht="15" hidden="false" customHeight="false" outlineLevel="0" collapsed="false">
      <c r="A1354" s="29" t="s">
        <v>778</v>
      </c>
      <c r="C1354" s="22" t="s">
        <v>853</v>
      </c>
      <c r="F1354" s="22" t="s">
        <v>780</v>
      </c>
      <c r="I1354" s="25" t="n">
        <f aca="false">SUMIFS($J$1360:$J$1366,$B$1360:$B$1366,I1352)</f>
        <v>10000000000</v>
      </c>
    </row>
    <row r="1355" customFormat="false" ht="15" hidden="false" customHeight="false" outlineLevel="0" collapsed="false">
      <c r="A1355" s="29" t="s">
        <v>781</v>
      </c>
      <c r="C1355" s="48" t="s">
        <v>818</v>
      </c>
      <c r="F1355" s="22" t="s">
        <v>650</v>
      </c>
      <c r="I1355" s="25" t="n">
        <f aca="false">SUMIFS($D$1360:$D$1366,$O$1360:$O$1366,1)</f>
        <v>604300000</v>
      </c>
    </row>
    <row r="1356" customFormat="false" ht="15" hidden="false" customHeight="false" outlineLevel="0" collapsed="false">
      <c r="A1356" s="29" t="s">
        <v>782</v>
      </c>
      <c r="C1356" s="49" t="n">
        <f aca="false">IFERROR(IRR($M$1360:$M$1366),"N/A")</f>
        <v>0.0100664804548056</v>
      </c>
      <c r="F1356" s="22" t="s">
        <v>783</v>
      </c>
      <c r="I1356" s="25" t="n">
        <f aca="false">SUMIFS($E$1360:$E$1366,$P$1360:$P$1366,1)</f>
        <v>0</v>
      </c>
    </row>
    <row r="1357" customFormat="false" ht="15" hidden="false" customHeight="false" outlineLevel="0" collapsed="false">
      <c r="A1357" s="29" t="s">
        <v>784</v>
      </c>
      <c r="C1357" s="50" t="n">
        <f aca="false">IF(ISNUMBER(C1356),(1+C1356)^12-1,"N/A")</f>
        <v>0.127715394086772</v>
      </c>
      <c r="F1357" s="22" t="s">
        <v>785</v>
      </c>
      <c r="I1357" s="25" t="n">
        <f aca="false">SUMPRODUCT(MAX(ABS($L$1360:$L$1366)))</f>
        <v>0</v>
      </c>
    </row>
    <row r="1359" customFormat="false" ht="36" hidden="false" customHeight="true" outlineLevel="0" collapsed="false">
      <c r="A1359" s="27" t="s">
        <v>786</v>
      </c>
      <c r="B1359" s="27" t="s">
        <v>396</v>
      </c>
      <c r="C1359" s="27" t="s">
        <v>787</v>
      </c>
      <c r="D1359" s="27" t="s">
        <v>788</v>
      </c>
      <c r="E1359" s="27" t="s">
        <v>789</v>
      </c>
      <c r="F1359" s="27" t="s">
        <v>790</v>
      </c>
      <c r="G1359" s="27" t="s">
        <v>791</v>
      </c>
      <c r="H1359" s="27" t="s">
        <v>792</v>
      </c>
      <c r="I1359" s="27" t="s">
        <v>793</v>
      </c>
      <c r="J1359" s="27" t="s">
        <v>794</v>
      </c>
      <c r="K1359" s="27" t="s">
        <v>795</v>
      </c>
      <c r="L1359" s="27" t="s">
        <v>796</v>
      </c>
      <c r="M1359" s="27" t="s">
        <v>797</v>
      </c>
      <c r="N1359" s="27" t="s">
        <v>798</v>
      </c>
      <c r="O1359" s="27" t="s">
        <v>799</v>
      </c>
      <c r="P1359" s="27" t="s">
        <v>800</v>
      </c>
    </row>
    <row r="1360" customFormat="false" ht="15" hidden="false" customHeight="false" outlineLevel="0" collapsed="false">
      <c r="A1360" s="22" t="n">
        <v>0</v>
      </c>
      <c r="B1360" s="23" t="n">
        <v>46225</v>
      </c>
      <c r="C1360" s="28" t="n">
        <v>10000000000</v>
      </c>
      <c r="D1360" s="28" t="n">
        <v>0</v>
      </c>
      <c r="E1360" s="28" t="n">
        <v>0</v>
      </c>
      <c r="F1360" s="28" t="n">
        <v>0</v>
      </c>
      <c r="G1360" s="28" t="n">
        <v>10000000000</v>
      </c>
      <c r="H1360" s="25" t="n">
        <f aca="false">C1360</f>
        <v>10000000000</v>
      </c>
      <c r="I1360" s="25" t="n">
        <f aca="false">H1360*N1360</f>
        <v>86541666.6666667</v>
      </c>
      <c r="J1360" s="25" t="n">
        <f aca="false">H1360-E1360</f>
        <v>10000000000</v>
      </c>
      <c r="K1360" s="25" t="n">
        <f aca="false">D1360-I1360</f>
        <v>-86541666.6666667</v>
      </c>
      <c r="L1360" s="25" t="n">
        <f aca="false">G1360-J1360</f>
        <v>0</v>
      </c>
      <c r="M1360" s="25" t="n">
        <f aca="false">-$C$1352</f>
        <v>-10000000000</v>
      </c>
      <c r="N1360" s="48" t="n">
        <v>0.00865416666666667</v>
      </c>
      <c r="O1360" s="25" t="n">
        <f aca="false">IF(AND(B1360&gt;=DATE(2026,1,1),B1360&lt;=Resumen!$C$5),1,0)</f>
        <v>1</v>
      </c>
      <c r="P1360" s="25" t="n">
        <f aca="false">IF(AND(B1360&gt;Resumen!$C$5,B1360&lt;=DATE(2027,7,31)),1,0)</f>
        <v>0</v>
      </c>
    </row>
    <row r="1361" customFormat="false" ht="15" hidden="false" customHeight="false" outlineLevel="0" collapsed="false">
      <c r="A1361" s="22" t="n">
        <v>1</v>
      </c>
      <c r="B1361" s="23" t="n">
        <v>46067</v>
      </c>
      <c r="C1361" s="28" t="n">
        <v>10000000000</v>
      </c>
      <c r="D1361" s="28" t="n">
        <v>94608333.3333333</v>
      </c>
      <c r="E1361" s="28" t="n">
        <v>0</v>
      </c>
      <c r="F1361" s="28" t="n">
        <v>94608333.3333333</v>
      </c>
      <c r="G1361" s="28" t="n">
        <v>10000000000</v>
      </c>
      <c r="H1361" s="25" t="n">
        <f aca="false">J1360</f>
        <v>10000000000</v>
      </c>
      <c r="I1361" s="25" t="n">
        <f aca="false">H1361*N1361</f>
        <v>94608333.3333333</v>
      </c>
      <c r="J1361" s="25" t="n">
        <f aca="false">H1361-E1361</f>
        <v>10000000000</v>
      </c>
      <c r="K1361" s="25" t="n">
        <f aca="false">D1361-I1361</f>
        <v>0</v>
      </c>
      <c r="L1361" s="25" t="n">
        <f aca="false">G1361-J1361</f>
        <v>0</v>
      </c>
      <c r="M1361" s="25" t="n">
        <f aca="false">F1361</f>
        <v>94608333.3333333</v>
      </c>
      <c r="N1361" s="48" t="n">
        <v>0.00946083333333333</v>
      </c>
      <c r="O1361" s="25" t="n">
        <f aca="false">IF(AND(B1361&gt;=DATE(2026,1,1),B1361&lt;=Resumen!$C$5),1,0)</f>
        <v>1</v>
      </c>
      <c r="P1361" s="25" t="n">
        <f aca="false">IF(AND(B1361&gt;Resumen!$C$5,B1361&lt;=DATE(2027,7,31)),1,0)</f>
        <v>0</v>
      </c>
    </row>
    <row r="1362" customFormat="false" ht="15" hidden="false" customHeight="false" outlineLevel="0" collapsed="false">
      <c r="A1362" s="22" t="n">
        <v>2</v>
      </c>
      <c r="B1362" s="23" t="n">
        <v>46095</v>
      </c>
      <c r="C1362" s="28" t="n">
        <v>10000000000</v>
      </c>
      <c r="D1362" s="28" t="n">
        <v>98525000</v>
      </c>
      <c r="E1362" s="28" t="n">
        <v>0</v>
      </c>
      <c r="F1362" s="28" t="n">
        <v>98525000</v>
      </c>
      <c r="G1362" s="28" t="n">
        <v>10000000000</v>
      </c>
      <c r="H1362" s="25" t="n">
        <f aca="false">J1361</f>
        <v>10000000000</v>
      </c>
      <c r="I1362" s="25" t="n">
        <f aca="false">H1362*N1362</f>
        <v>98525000</v>
      </c>
      <c r="J1362" s="25" t="n">
        <f aca="false">H1362-E1362</f>
        <v>10000000000</v>
      </c>
      <c r="K1362" s="25" t="n">
        <f aca="false">D1362-I1362</f>
        <v>0</v>
      </c>
      <c r="L1362" s="25" t="n">
        <f aca="false">G1362-J1362</f>
        <v>0</v>
      </c>
      <c r="M1362" s="25" t="n">
        <f aca="false">F1362</f>
        <v>98525000</v>
      </c>
      <c r="N1362" s="48" t="n">
        <v>0.0098525</v>
      </c>
      <c r="O1362" s="25" t="n">
        <f aca="false">IF(AND(B1362&gt;=DATE(2026,1,1),B1362&lt;=Resumen!$C$5),1,0)</f>
        <v>1</v>
      </c>
      <c r="P1362" s="25" t="n">
        <f aca="false">IF(AND(B1362&gt;Resumen!$C$5,B1362&lt;=DATE(2027,7,31)),1,0)</f>
        <v>0</v>
      </c>
    </row>
    <row r="1363" customFormat="false" ht="15" hidden="false" customHeight="false" outlineLevel="0" collapsed="false">
      <c r="A1363" s="22" t="n">
        <v>3</v>
      </c>
      <c r="B1363" s="23" t="n">
        <v>46126</v>
      </c>
      <c r="C1363" s="28" t="n">
        <v>10000000000</v>
      </c>
      <c r="D1363" s="28" t="n">
        <v>102058333.333333</v>
      </c>
      <c r="E1363" s="28" t="n">
        <v>0</v>
      </c>
      <c r="F1363" s="28" t="n">
        <v>102058333.333333</v>
      </c>
      <c r="G1363" s="28" t="n">
        <v>10000000000</v>
      </c>
      <c r="H1363" s="25" t="n">
        <f aca="false">J1362</f>
        <v>10000000000</v>
      </c>
      <c r="I1363" s="25" t="n">
        <f aca="false">H1363*N1363</f>
        <v>102058333.333333</v>
      </c>
      <c r="J1363" s="25" t="n">
        <f aca="false">H1363-E1363</f>
        <v>10000000000</v>
      </c>
      <c r="K1363" s="25" t="n">
        <f aca="false">D1363-I1363</f>
        <v>0</v>
      </c>
      <c r="L1363" s="25" t="n">
        <f aca="false">G1363-J1363</f>
        <v>0</v>
      </c>
      <c r="M1363" s="25" t="n">
        <f aca="false">F1363</f>
        <v>102058333.333333</v>
      </c>
      <c r="N1363" s="48" t="n">
        <v>0.0102058333333333</v>
      </c>
      <c r="O1363" s="25" t="n">
        <f aca="false">IF(AND(B1363&gt;=DATE(2026,1,1),B1363&lt;=Resumen!$C$5),1,0)</f>
        <v>1</v>
      </c>
      <c r="P1363" s="25" t="n">
        <f aca="false">IF(AND(B1363&gt;Resumen!$C$5,B1363&lt;=DATE(2027,7,31)),1,0)</f>
        <v>0</v>
      </c>
    </row>
    <row r="1364" customFormat="false" ht="15" hidden="false" customHeight="false" outlineLevel="0" collapsed="false">
      <c r="A1364" s="22" t="n">
        <v>4</v>
      </c>
      <c r="B1364" s="23" t="n">
        <v>46156</v>
      </c>
      <c r="C1364" s="28" t="n">
        <v>10000000000</v>
      </c>
      <c r="D1364" s="28" t="n">
        <v>102058333.333333</v>
      </c>
      <c r="E1364" s="28" t="n">
        <v>0</v>
      </c>
      <c r="F1364" s="28" t="n">
        <v>102058333.333333</v>
      </c>
      <c r="G1364" s="28" t="n">
        <v>10000000000</v>
      </c>
      <c r="H1364" s="25" t="n">
        <f aca="false">J1363</f>
        <v>10000000000</v>
      </c>
      <c r="I1364" s="25" t="n">
        <f aca="false">H1364*N1364</f>
        <v>102058333.333333</v>
      </c>
      <c r="J1364" s="25" t="n">
        <f aca="false">H1364-E1364</f>
        <v>10000000000</v>
      </c>
      <c r="K1364" s="25" t="n">
        <f aca="false">D1364-I1364</f>
        <v>0</v>
      </c>
      <c r="L1364" s="25" t="n">
        <f aca="false">G1364-J1364</f>
        <v>0</v>
      </c>
      <c r="M1364" s="25" t="n">
        <f aca="false">F1364</f>
        <v>102058333.333333</v>
      </c>
      <c r="N1364" s="48" t="n">
        <v>0.0102058333333333</v>
      </c>
      <c r="O1364" s="25" t="n">
        <f aca="false">IF(AND(B1364&gt;=DATE(2026,1,1),B1364&lt;=Resumen!$C$5),1,0)</f>
        <v>1</v>
      </c>
      <c r="P1364" s="25" t="n">
        <f aca="false">IF(AND(B1364&gt;Resumen!$C$5,B1364&lt;=DATE(2027,7,31)),1,0)</f>
        <v>0</v>
      </c>
    </row>
    <row r="1365" customFormat="false" ht="15" hidden="false" customHeight="false" outlineLevel="0" collapsed="false">
      <c r="A1365" s="22" t="n">
        <v>5</v>
      </c>
      <c r="B1365" s="23" t="n">
        <v>46187</v>
      </c>
      <c r="C1365" s="28" t="n">
        <v>10000000000</v>
      </c>
      <c r="D1365" s="28" t="n">
        <v>102316666.666667</v>
      </c>
      <c r="E1365" s="28" t="n">
        <v>0</v>
      </c>
      <c r="F1365" s="28" t="n">
        <v>102316666.666667</v>
      </c>
      <c r="G1365" s="28" t="n">
        <v>10000000000</v>
      </c>
      <c r="H1365" s="25" t="n">
        <f aca="false">J1364</f>
        <v>10000000000</v>
      </c>
      <c r="I1365" s="25" t="n">
        <f aca="false">H1365*N1365</f>
        <v>102316666.666667</v>
      </c>
      <c r="J1365" s="25" t="n">
        <f aca="false">H1365-E1365</f>
        <v>10000000000</v>
      </c>
      <c r="K1365" s="25" t="n">
        <f aca="false">D1365-I1365</f>
        <v>0</v>
      </c>
      <c r="L1365" s="25" t="n">
        <f aca="false">G1365-J1365</f>
        <v>0</v>
      </c>
      <c r="M1365" s="25" t="n">
        <f aca="false">F1365</f>
        <v>102316666.666667</v>
      </c>
      <c r="N1365" s="48" t="n">
        <v>0.0102316666666667</v>
      </c>
      <c r="O1365" s="25" t="n">
        <f aca="false">IF(AND(B1365&gt;=DATE(2026,1,1),B1365&lt;=Resumen!$C$5),1,0)</f>
        <v>1</v>
      </c>
      <c r="P1365" s="25" t="n">
        <f aca="false">IF(AND(B1365&gt;Resumen!$C$5,B1365&lt;=DATE(2027,7,31)),1,0)</f>
        <v>0</v>
      </c>
    </row>
    <row r="1366" customFormat="false" ht="15" hidden="false" customHeight="false" outlineLevel="0" collapsed="false">
      <c r="A1366" s="22" t="n">
        <v>6</v>
      </c>
      <c r="B1366" s="23" t="n">
        <v>46217</v>
      </c>
      <c r="C1366" s="28" t="n">
        <v>10000000000</v>
      </c>
      <c r="D1366" s="28" t="n">
        <v>104733333.333333</v>
      </c>
      <c r="E1366" s="28" t="n">
        <v>10000000000</v>
      </c>
      <c r="F1366" s="28" t="n">
        <v>10104733333.3333</v>
      </c>
      <c r="G1366" s="28" t="n">
        <v>0</v>
      </c>
      <c r="H1366" s="25" t="n">
        <f aca="false">J1365</f>
        <v>10000000000</v>
      </c>
      <c r="I1366" s="25" t="n">
        <f aca="false">H1366*N1366</f>
        <v>104733333.333333</v>
      </c>
      <c r="J1366" s="25" t="n">
        <f aca="false">H1366-E1366</f>
        <v>0</v>
      </c>
      <c r="K1366" s="25" t="n">
        <f aca="false">D1366-I1366</f>
        <v>0</v>
      </c>
      <c r="L1366" s="25" t="n">
        <f aca="false">G1366-J1366</f>
        <v>0</v>
      </c>
      <c r="M1366" s="25" t="n">
        <f aca="false">F1366</f>
        <v>10104733333.3333</v>
      </c>
      <c r="N1366" s="48" t="n">
        <v>0.0104733333333333</v>
      </c>
      <c r="O1366" s="25" t="n">
        <f aca="false">IF(AND(B1366&gt;=DATE(2026,1,1),B1366&lt;=Resumen!$C$5),1,0)</f>
        <v>1</v>
      </c>
      <c r="P1366" s="25" t="n">
        <f aca="false">IF(AND(B1366&gt;Resumen!$C$5,B1366&lt;=DATE(2027,7,31)),1,0)</f>
        <v>0</v>
      </c>
    </row>
    <row r="1369" customFormat="false" ht="15" hidden="false" customHeight="false" outlineLevel="0" collapsed="false">
      <c r="A1369" s="33" t="s">
        <v>859</v>
      </c>
    </row>
    <row r="1370" customFormat="false" ht="15" hidden="false" customHeight="false" outlineLevel="0" collapsed="false">
      <c r="A1370" s="34" t="s">
        <v>860</v>
      </c>
    </row>
    <row r="1371" customFormat="false" ht="15" hidden="false" customHeight="false" outlineLevel="0" collapsed="false">
      <c r="A1371" s="19" t="s">
        <v>861</v>
      </c>
    </row>
    <row r="1372" customFormat="false" ht="15" hidden="false" customHeight="false" outlineLevel="0" collapsed="false">
      <c r="A1372" s="20" t="s">
        <v>862</v>
      </c>
    </row>
    <row r="1373" customFormat="false" ht="15" hidden="false" customHeight="false" outlineLevel="0" collapsed="false">
      <c r="A1373" s="29" t="s">
        <v>773</v>
      </c>
      <c r="C1373" s="22" t="s">
        <v>863</v>
      </c>
      <c r="F1373" s="47" t="s">
        <v>775</v>
      </c>
    </row>
    <row r="1374" customFormat="false" ht="15" hidden="false" customHeight="false" outlineLevel="0" collapsed="false">
      <c r="A1374" s="29" t="s">
        <v>640</v>
      </c>
      <c r="C1374" s="28" t="n">
        <v>569902000</v>
      </c>
      <c r="F1374" s="22" t="s">
        <v>776</v>
      </c>
      <c r="I1374" s="41" t="n">
        <f aca="false">_xlfn.MAXIFS($B$1382:$B$1410,$B$1382:$B$1410,"&lt;="&amp;Resumen!$C$5)</f>
        <v>46223</v>
      </c>
    </row>
    <row r="1375" customFormat="false" ht="15" hidden="false" customHeight="false" outlineLevel="0" collapsed="false">
      <c r="A1375" s="29" t="s">
        <v>641</v>
      </c>
      <c r="C1375" s="23" t="n">
        <v>44946</v>
      </c>
      <c r="F1375" s="22" t="s">
        <v>777</v>
      </c>
      <c r="I1375" s="25" t="n">
        <f aca="false">SUMIFS($G$1382:$G$1410,$B$1382:$B$1410,I1374)</f>
        <v>381845387.419314</v>
      </c>
    </row>
    <row r="1376" customFormat="false" ht="15" hidden="false" customHeight="false" outlineLevel="0" collapsed="false">
      <c r="A1376" s="29" t="s">
        <v>778</v>
      </c>
      <c r="C1376" s="22" t="s">
        <v>864</v>
      </c>
      <c r="F1376" s="22" t="s">
        <v>780</v>
      </c>
      <c r="I1376" s="25" t="n">
        <f aca="false">SUMIFS($J$1382:$J$1410,$B$1382:$B$1410,I1374)</f>
        <v>381845387.419314</v>
      </c>
    </row>
    <row r="1377" customFormat="false" ht="15" hidden="false" customHeight="false" outlineLevel="0" collapsed="false">
      <c r="A1377" s="29" t="s">
        <v>781</v>
      </c>
      <c r="C1377" s="48" t="n">
        <v>0.036189195577476</v>
      </c>
      <c r="F1377" s="22" t="s">
        <v>650</v>
      </c>
      <c r="I1377" s="25" t="n">
        <f aca="false">SUMIFS($D$1382:$D$1410,$O$1382:$O$1410,1)</f>
        <v>45776937.4665054</v>
      </c>
    </row>
    <row r="1378" customFormat="false" ht="15" hidden="false" customHeight="false" outlineLevel="0" collapsed="false">
      <c r="A1378" s="29" t="s">
        <v>782</v>
      </c>
      <c r="C1378" s="49" t="n">
        <f aca="false">IFERROR(IRR($M$1382:$M$1410),"N/A")</f>
        <v>0.0361891955774748</v>
      </c>
      <c r="F1378" s="22" t="s">
        <v>783</v>
      </c>
      <c r="I1378" s="25" t="n">
        <f aca="false">SUMIFS($E$1382:$E$1410,$P$1382:$P$1410,1)</f>
        <v>89122277.0882225</v>
      </c>
    </row>
    <row r="1379" customFormat="false" ht="15" hidden="false" customHeight="false" outlineLevel="0" collapsed="false">
      <c r="A1379" s="29" t="s">
        <v>784</v>
      </c>
      <c r="C1379" s="50" t="n">
        <f aca="false">IF(ISNUMBER(C1378),(1+C1378)^4-1,"N/A")</f>
        <v>0.152806026633057</v>
      </c>
      <c r="F1379" s="22" t="s">
        <v>785</v>
      </c>
      <c r="I1379" s="25" t="n">
        <f aca="false">SUMPRODUCT(MAX(ABS($L$1382:$L$1410)))</f>
        <v>4.4703483581543E-008</v>
      </c>
    </row>
    <row r="1381" customFormat="false" ht="36" hidden="false" customHeight="true" outlineLevel="0" collapsed="false">
      <c r="A1381" s="27" t="s">
        <v>786</v>
      </c>
      <c r="B1381" s="27" t="s">
        <v>396</v>
      </c>
      <c r="C1381" s="27" t="s">
        <v>787</v>
      </c>
      <c r="D1381" s="27" t="s">
        <v>788</v>
      </c>
      <c r="E1381" s="27" t="s">
        <v>789</v>
      </c>
      <c r="F1381" s="27" t="s">
        <v>790</v>
      </c>
      <c r="G1381" s="27" t="s">
        <v>791</v>
      </c>
      <c r="H1381" s="27" t="s">
        <v>792</v>
      </c>
      <c r="I1381" s="27" t="s">
        <v>793</v>
      </c>
      <c r="J1381" s="27" t="s">
        <v>794</v>
      </c>
      <c r="K1381" s="27" t="s">
        <v>795</v>
      </c>
      <c r="L1381" s="27" t="s">
        <v>796</v>
      </c>
      <c r="M1381" s="27" t="s">
        <v>797</v>
      </c>
      <c r="N1381" s="27" t="s">
        <v>798</v>
      </c>
      <c r="O1381" s="27" t="s">
        <v>799</v>
      </c>
      <c r="P1381" s="27" t="s">
        <v>800</v>
      </c>
    </row>
    <row r="1382" customFormat="false" ht="15" hidden="false" customHeight="false" outlineLevel="0" collapsed="false">
      <c r="A1382" s="22" t="n">
        <v>0</v>
      </c>
      <c r="B1382" s="23" t="n">
        <v>44946</v>
      </c>
      <c r="C1382" s="28"/>
      <c r="D1382" s="28" t="n">
        <v>0</v>
      </c>
      <c r="E1382" s="28" t="n">
        <v>0</v>
      </c>
      <c r="F1382" s="28" t="n">
        <v>0</v>
      </c>
      <c r="G1382" s="28" t="n">
        <v>569902000</v>
      </c>
      <c r="H1382" s="25" t="n">
        <f aca="false">G1382</f>
        <v>569902000</v>
      </c>
      <c r="I1382" s="28" t="n">
        <v>0</v>
      </c>
      <c r="J1382" s="25" t="n">
        <f aca="false">H1382</f>
        <v>569902000</v>
      </c>
      <c r="K1382" s="25" t="n">
        <f aca="false">D1382-I1382</f>
        <v>0</v>
      </c>
      <c r="L1382" s="25" t="n">
        <f aca="false">G1382-J1382</f>
        <v>0</v>
      </c>
      <c r="M1382" s="25" t="n">
        <f aca="false">-$C$1374</f>
        <v>-569902000</v>
      </c>
      <c r="N1382" s="49" t="n">
        <f aca="false">$C$1377</f>
        <v>0.036189195577476</v>
      </c>
      <c r="O1382" s="25" t="n">
        <f aca="false">IF(AND(B1382&gt;=DATE(2026,1,1),B1382&lt;=Resumen!$C$5),1,0)</f>
        <v>0</v>
      </c>
      <c r="P1382" s="25" t="n">
        <f aca="false">IF(AND(B1382&gt;Resumen!$C$5,B1382&lt;=DATE(2027,7,31)),1,0)</f>
        <v>0</v>
      </c>
    </row>
    <row r="1383" customFormat="false" ht="15" hidden="false" customHeight="false" outlineLevel="0" collapsed="false">
      <c r="A1383" s="22" t="n">
        <v>1</v>
      </c>
      <c r="B1383" s="23" t="n">
        <v>45036</v>
      </c>
      <c r="C1383" s="28" t="n">
        <v>569902000</v>
      </c>
      <c r="D1383" s="28" t="n">
        <v>20624294.9379947</v>
      </c>
      <c r="E1383" s="28" t="n">
        <v>3212901.10185731</v>
      </c>
      <c r="F1383" s="28" t="n">
        <v>23837196.039852</v>
      </c>
      <c r="G1383" s="28" t="n">
        <v>566689098.898143</v>
      </c>
      <c r="H1383" s="25" t="n">
        <f aca="false">J1382</f>
        <v>569902000</v>
      </c>
      <c r="I1383" s="25" t="n">
        <f aca="false">H1383*N1383</f>
        <v>20624294.9379947</v>
      </c>
      <c r="J1383" s="25" t="n">
        <f aca="false">H1383+I1383-F1383</f>
        <v>566689098.898143</v>
      </c>
      <c r="K1383" s="25" t="n">
        <f aca="false">D1383-I1383</f>
        <v>0</v>
      </c>
      <c r="L1383" s="25" t="n">
        <f aca="false">G1383-J1383</f>
        <v>0</v>
      </c>
      <c r="M1383" s="25" t="n">
        <f aca="false">F1383</f>
        <v>23837196.039852</v>
      </c>
      <c r="N1383" s="49" t="n">
        <f aca="false">$C$1377</f>
        <v>0.036189195577476</v>
      </c>
      <c r="O1383" s="25" t="n">
        <f aca="false">IF(AND(B1383&gt;=DATE(2026,1,1),B1383&lt;=Resumen!$C$5),1,0)</f>
        <v>0</v>
      </c>
      <c r="P1383" s="25" t="n">
        <f aca="false">IF(AND(B1383&gt;Resumen!$C$5,B1383&lt;=DATE(2027,7,31)),1,0)</f>
        <v>0</v>
      </c>
    </row>
    <row r="1384" customFormat="false" ht="15" hidden="false" customHeight="false" outlineLevel="0" collapsed="false">
      <c r="A1384" s="22" t="n">
        <v>2</v>
      </c>
      <c r="B1384" s="23" t="n">
        <v>45127</v>
      </c>
      <c r="C1384" s="28" t="n">
        <v>566689098.898143</v>
      </c>
      <c r="D1384" s="28" t="n">
        <v>20508022.6316485</v>
      </c>
      <c r="E1384" s="28" t="n">
        <v>3329173.40820348</v>
      </c>
      <c r="F1384" s="28" t="n">
        <v>23837196.039852</v>
      </c>
      <c r="G1384" s="28" t="n">
        <v>563359925.489939</v>
      </c>
      <c r="H1384" s="25" t="n">
        <f aca="false">J1383</f>
        <v>566689098.898143</v>
      </c>
      <c r="I1384" s="25" t="n">
        <f aca="false">H1384*N1384</f>
        <v>20508022.6316485</v>
      </c>
      <c r="J1384" s="25" t="n">
        <f aca="false">H1384+I1384-F1384</f>
        <v>563359925.489939</v>
      </c>
      <c r="K1384" s="25" t="n">
        <f aca="false">D1384-I1384</f>
        <v>0</v>
      </c>
      <c r="L1384" s="25" t="n">
        <f aca="false">G1384-J1384</f>
        <v>0</v>
      </c>
      <c r="M1384" s="25" t="n">
        <f aca="false">F1384</f>
        <v>23837196.039852</v>
      </c>
      <c r="N1384" s="49" t="n">
        <f aca="false">$C$1377</f>
        <v>0.036189195577476</v>
      </c>
      <c r="O1384" s="25" t="n">
        <f aca="false">IF(AND(B1384&gt;=DATE(2026,1,1),B1384&lt;=Resumen!$C$5),1,0)</f>
        <v>0</v>
      </c>
      <c r="P1384" s="25" t="n">
        <f aca="false">IF(AND(B1384&gt;Resumen!$C$5,B1384&lt;=DATE(2027,7,31)),1,0)</f>
        <v>0</v>
      </c>
    </row>
    <row r="1385" customFormat="false" ht="15" hidden="false" customHeight="false" outlineLevel="0" collapsed="false">
      <c r="A1385" s="22" t="n">
        <v>3</v>
      </c>
      <c r="B1385" s="23" t="n">
        <v>45219</v>
      </c>
      <c r="C1385" s="28" t="n">
        <v>563359925.489939</v>
      </c>
      <c r="D1385" s="28" t="n">
        <v>20387542.5240677</v>
      </c>
      <c r="E1385" s="28" t="n">
        <v>3449653.51578426</v>
      </c>
      <c r="F1385" s="28" t="n">
        <v>23837196.039852</v>
      </c>
      <c r="G1385" s="28" t="n">
        <v>559910271.974155</v>
      </c>
      <c r="H1385" s="25" t="n">
        <f aca="false">J1384</f>
        <v>563359925.489939</v>
      </c>
      <c r="I1385" s="25" t="n">
        <f aca="false">H1385*N1385</f>
        <v>20387542.5240677</v>
      </c>
      <c r="J1385" s="25" t="n">
        <f aca="false">H1385+I1385-F1385</f>
        <v>559910271.974155</v>
      </c>
      <c r="K1385" s="25" t="n">
        <f aca="false">D1385-I1385</f>
        <v>0</v>
      </c>
      <c r="L1385" s="25" t="n">
        <f aca="false">G1385-J1385</f>
        <v>0</v>
      </c>
      <c r="M1385" s="25" t="n">
        <f aca="false">F1385</f>
        <v>23837196.039852</v>
      </c>
      <c r="N1385" s="49" t="n">
        <f aca="false">$C$1377</f>
        <v>0.036189195577476</v>
      </c>
      <c r="O1385" s="25" t="n">
        <f aca="false">IF(AND(B1385&gt;=DATE(2026,1,1),B1385&lt;=Resumen!$C$5),1,0)</f>
        <v>0</v>
      </c>
      <c r="P1385" s="25" t="n">
        <f aca="false">IF(AND(B1385&gt;Resumen!$C$5,B1385&lt;=DATE(2027,7,31)),1,0)</f>
        <v>0</v>
      </c>
    </row>
    <row r="1386" customFormat="false" ht="15" hidden="false" customHeight="false" outlineLevel="0" collapsed="false">
      <c r="A1386" s="22" t="n">
        <v>4</v>
      </c>
      <c r="B1386" s="23" t="n">
        <v>45311</v>
      </c>
      <c r="C1386" s="28" t="n">
        <v>559910271.974155</v>
      </c>
      <c r="D1386" s="28" t="n">
        <v>20262702.3383105</v>
      </c>
      <c r="E1386" s="28" t="n">
        <v>3574493.70154154</v>
      </c>
      <c r="F1386" s="28" t="n">
        <v>23837196.039852</v>
      </c>
      <c r="G1386" s="28" t="n">
        <v>556335778.272613</v>
      </c>
      <c r="H1386" s="25" t="n">
        <f aca="false">J1385</f>
        <v>559910271.974155</v>
      </c>
      <c r="I1386" s="25" t="n">
        <f aca="false">H1386*N1386</f>
        <v>20262702.3383105</v>
      </c>
      <c r="J1386" s="25" t="n">
        <f aca="false">H1386+I1386-F1386</f>
        <v>556335778.272613</v>
      </c>
      <c r="K1386" s="25" t="n">
        <f aca="false">D1386-I1386</f>
        <v>0</v>
      </c>
      <c r="L1386" s="25" t="n">
        <f aca="false">G1386-J1386</f>
        <v>0</v>
      </c>
      <c r="M1386" s="25" t="n">
        <f aca="false">F1386</f>
        <v>23837196.039852</v>
      </c>
      <c r="N1386" s="49" t="n">
        <f aca="false">$C$1377</f>
        <v>0.036189195577476</v>
      </c>
      <c r="O1386" s="25" t="n">
        <f aca="false">IF(AND(B1386&gt;=DATE(2026,1,1),B1386&lt;=Resumen!$C$5),1,0)</f>
        <v>0</v>
      </c>
      <c r="P1386" s="25" t="n">
        <f aca="false">IF(AND(B1386&gt;Resumen!$C$5,B1386&lt;=DATE(2027,7,31)),1,0)</f>
        <v>0</v>
      </c>
    </row>
    <row r="1387" customFormat="false" ht="15" hidden="false" customHeight="false" outlineLevel="0" collapsed="false">
      <c r="A1387" s="22" t="n">
        <v>5</v>
      </c>
      <c r="B1387" s="23" t="n">
        <v>45402</v>
      </c>
      <c r="C1387" s="28" t="n">
        <v>556335778.272613</v>
      </c>
      <c r="D1387" s="28" t="n">
        <v>20133344.2866549</v>
      </c>
      <c r="E1387" s="28" t="n">
        <v>14792246.1572117</v>
      </c>
      <c r="F1387" s="28" t="n">
        <v>34925590.4438666</v>
      </c>
      <c r="G1387" s="28" t="n">
        <v>541543532.115402</v>
      </c>
      <c r="H1387" s="25" t="n">
        <f aca="false">J1386</f>
        <v>556335778.272613</v>
      </c>
      <c r="I1387" s="25" t="n">
        <f aca="false">H1387*N1387</f>
        <v>20133344.2866549</v>
      </c>
      <c r="J1387" s="25" t="n">
        <f aca="false">H1387+I1387-F1387</f>
        <v>541543532.115402</v>
      </c>
      <c r="K1387" s="25" t="n">
        <f aca="false">D1387-I1387</f>
        <v>0</v>
      </c>
      <c r="L1387" s="25" t="n">
        <f aca="false">G1387-J1387</f>
        <v>0</v>
      </c>
      <c r="M1387" s="25" t="n">
        <f aca="false">F1387</f>
        <v>34925590.4438666</v>
      </c>
      <c r="N1387" s="49" t="n">
        <f aca="false">$C$1377</f>
        <v>0.036189195577476</v>
      </c>
      <c r="O1387" s="25" t="n">
        <f aca="false">IF(AND(B1387&gt;=DATE(2026,1,1),B1387&lt;=Resumen!$C$5),1,0)</f>
        <v>0</v>
      </c>
      <c r="P1387" s="25" t="n">
        <f aca="false">IF(AND(B1387&gt;Resumen!$C$5,B1387&lt;=DATE(2027,7,31)),1,0)</f>
        <v>0</v>
      </c>
    </row>
    <row r="1388" customFormat="false" ht="15" hidden="false" customHeight="false" outlineLevel="0" collapsed="false">
      <c r="A1388" s="22" t="n">
        <v>6</v>
      </c>
      <c r="B1388" s="23" t="n">
        <v>45493</v>
      </c>
      <c r="C1388" s="28" t="n">
        <v>541543532.115402</v>
      </c>
      <c r="D1388" s="28" t="n">
        <v>19598024.7974414</v>
      </c>
      <c r="E1388" s="28" t="n">
        <v>15327565.6464252</v>
      </c>
      <c r="F1388" s="28" t="n">
        <v>34925590.4438666</v>
      </c>
      <c r="G1388" s="28" t="n">
        <v>526215966.468977</v>
      </c>
      <c r="H1388" s="25" t="n">
        <f aca="false">J1387</f>
        <v>541543532.115402</v>
      </c>
      <c r="I1388" s="25" t="n">
        <f aca="false">H1388*N1388</f>
        <v>19598024.7974414</v>
      </c>
      <c r="J1388" s="25" t="n">
        <f aca="false">H1388+I1388-F1388</f>
        <v>526215966.468977</v>
      </c>
      <c r="K1388" s="25" t="n">
        <f aca="false">D1388-I1388</f>
        <v>0</v>
      </c>
      <c r="L1388" s="25" t="n">
        <f aca="false">G1388-J1388</f>
        <v>0</v>
      </c>
      <c r="M1388" s="25" t="n">
        <f aca="false">F1388</f>
        <v>34925590.4438666</v>
      </c>
      <c r="N1388" s="49" t="n">
        <f aca="false">$C$1377</f>
        <v>0.036189195577476</v>
      </c>
      <c r="O1388" s="25" t="n">
        <f aca="false">IF(AND(B1388&gt;=DATE(2026,1,1),B1388&lt;=Resumen!$C$5),1,0)</f>
        <v>0</v>
      </c>
      <c r="P1388" s="25" t="n">
        <f aca="false">IF(AND(B1388&gt;Resumen!$C$5,B1388&lt;=DATE(2027,7,31)),1,0)</f>
        <v>0</v>
      </c>
    </row>
    <row r="1389" customFormat="false" ht="15" hidden="false" customHeight="false" outlineLevel="0" collapsed="false">
      <c r="A1389" s="22" t="n">
        <v>7</v>
      </c>
      <c r="B1389" s="23" t="n">
        <v>45585</v>
      </c>
      <c r="C1389" s="28" t="n">
        <v>526215966.468977</v>
      </c>
      <c r="D1389" s="28" t="n">
        <v>19043332.5265364</v>
      </c>
      <c r="E1389" s="28" t="n">
        <v>15882257.9173303</v>
      </c>
      <c r="F1389" s="28" t="n">
        <v>34925590.4438666</v>
      </c>
      <c r="G1389" s="28" t="n">
        <v>510333708.551646</v>
      </c>
      <c r="H1389" s="25" t="n">
        <f aca="false">J1388</f>
        <v>526215966.468977</v>
      </c>
      <c r="I1389" s="25" t="n">
        <f aca="false">H1389*N1389</f>
        <v>19043332.5265364</v>
      </c>
      <c r="J1389" s="25" t="n">
        <f aca="false">H1389+I1389-F1389</f>
        <v>510333708.551646</v>
      </c>
      <c r="K1389" s="25" t="n">
        <f aca="false">D1389-I1389</f>
        <v>0</v>
      </c>
      <c r="L1389" s="25" t="n">
        <f aca="false">G1389-J1389</f>
        <v>0</v>
      </c>
      <c r="M1389" s="25" t="n">
        <f aca="false">F1389</f>
        <v>34925590.4438666</v>
      </c>
      <c r="N1389" s="49" t="n">
        <f aca="false">$C$1377</f>
        <v>0.036189195577476</v>
      </c>
      <c r="O1389" s="25" t="n">
        <f aca="false">IF(AND(B1389&gt;=DATE(2026,1,1),B1389&lt;=Resumen!$C$5),1,0)</f>
        <v>0</v>
      </c>
      <c r="P1389" s="25" t="n">
        <f aca="false">IF(AND(B1389&gt;Resumen!$C$5,B1389&lt;=DATE(2027,7,31)),1,0)</f>
        <v>0</v>
      </c>
    </row>
    <row r="1390" customFormat="false" ht="15" hidden="false" customHeight="false" outlineLevel="0" collapsed="false">
      <c r="A1390" s="22" t="n">
        <v>8</v>
      </c>
      <c r="B1390" s="23" t="n">
        <v>45677</v>
      </c>
      <c r="C1390" s="28" t="n">
        <v>510333708.551646</v>
      </c>
      <c r="D1390" s="28" t="n">
        <v>18468566.3885542</v>
      </c>
      <c r="E1390" s="28" t="n">
        <v>16457024.0553125</v>
      </c>
      <c r="F1390" s="28" t="n">
        <v>34925590.4438667</v>
      </c>
      <c r="G1390" s="28" t="n">
        <v>493876684.496334</v>
      </c>
      <c r="H1390" s="25" t="n">
        <f aca="false">J1389</f>
        <v>510333708.551646</v>
      </c>
      <c r="I1390" s="25" t="n">
        <f aca="false">H1390*N1390</f>
        <v>18468566.3885542</v>
      </c>
      <c r="J1390" s="25" t="n">
        <f aca="false">H1390+I1390-F1390</f>
        <v>493876684.496334</v>
      </c>
      <c r="K1390" s="25" t="n">
        <f aca="false">D1390-I1390</f>
        <v>0</v>
      </c>
      <c r="L1390" s="25" t="n">
        <f aca="false">G1390-J1390</f>
        <v>0</v>
      </c>
      <c r="M1390" s="25" t="n">
        <f aca="false">F1390</f>
        <v>34925590.4438667</v>
      </c>
      <c r="N1390" s="49" t="n">
        <f aca="false">$C$1377</f>
        <v>0.036189195577476</v>
      </c>
      <c r="O1390" s="25" t="n">
        <f aca="false">IF(AND(B1390&gt;=DATE(2026,1,1),B1390&lt;=Resumen!$C$5),1,0)</f>
        <v>0</v>
      </c>
      <c r="P1390" s="25" t="n">
        <f aca="false">IF(AND(B1390&gt;Resumen!$C$5,B1390&lt;=DATE(2027,7,31)),1,0)</f>
        <v>0</v>
      </c>
    </row>
    <row r="1391" customFormat="false" ht="15" hidden="false" customHeight="false" outlineLevel="0" collapsed="false">
      <c r="A1391" s="22" t="n">
        <v>9</v>
      </c>
      <c r="B1391" s="23" t="n">
        <v>45767</v>
      </c>
      <c r="C1391" s="28" t="n">
        <v>493876684.496334</v>
      </c>
      <c r="D1391" s="28" t="n">
        <v>17872999.9263932</v>
      </c>
      <c r="E1391" s="28" t="n">
        <v>17052590.5174735</v>
      </c>
      <c r="F1391" s="28" t="n">
        <v>34925590.4438667</v>
      </c>
      <c r="G1391" s="28" t="n">
        <v>476824093.97886</v>
      </c>
      <c r="H1391" s="25" t="n">
        <f aca="false">J1390</f>
        <v>493876684.496334</v>
      </c>
      <c r="I1391" s="25" t="n">
        <f aca="false">H1391*N1391</f>
        <v>17872999.9263932</v>
      </c>
      <c r="J1391" s="25" t="n">
        <f aca="false">H1391+I1391-F1391</f>
        <v>476824093.97886</v>
      </c>
      <c r="K1391" s="25" t="n">
        <f aca="false">D1391-I1391</f>
        <v>0</v>
      </c>
      <c r="L1391" s="25" t="n">
        <f aca="false">G1391-J1391</f>
        <v>0</v>
      </c>
      <c r="M1391" s="25" t="n">
        <f aca="false">F1391</f>
        <v>34925590.4438667</v>
      </c>
      <c r="N1391" s="49" t="n">
        <f aca="false">$C$1377</f>
        <v>0.036189195577476</v>
      </c>
      <c r="O1391" s="25" t="n">
        <f aca="false">IF(AND(B1391&gt;=DATE(2026,1,1),B1391&lt;=Resumen!$C$5),1,0)</f>
        <v>0</v>
      </c>
      <c r="P1391" s="25" t="n">
        <f aca="false">IF(AND(B1391&gt;Resumen!$C$5,B1391&lt;=DATE(2027,7,31)),1,0)</f>
        <v>0</v>
      </c>
    </row>
    <row r="1392" customFormat="false" ht="15" hidden="false" customHeight="false" outlineLevel="0" collapsed="false">
      <c r="A1392" s="22" t="n">
        <v>10</v>
      </c>
      <c r="B1392" s="23" t="n">
        <v>45858</v>
      </c>
      <c r="C1392" s="28" t="n">
        <v>476824093.97886</v>
      </c>
      <c r="D1392" s="28" t="n">
        <v>17255880.3930538</v>
      </c>
      <c r="E1392" s="28" t="n">
        <v>17669710.0508129</v>
      </c>
      <c r="F1392" s="28" t="n">
        <v>34925590.4438667</v>
      </c>
      <c r="G1392" s="28" t="n">
        <v>459154383.928047</v>
      </c>
      <c r="H1392" s="25" t="n">
        <f aca="false">J1391</f>
        <v>476824093.97886</v>
      </c>
      <c r="I1392" s="25" t="n">
        <f aca="false">H1392*N1392</f>
        <v>17255880.3930538</v>
      </c>
      <c r="J1392" s="25" t="n">
        <f aca="false">H1392+I1392-F1392</f>
        <v>459154383.928048</v>
      </c>
      <c r="K1392" s="25" t="n">
        <f aca="false">D1392-I1392</f>
        <v>0</v>
      </c>
      <c r="L1392" s="25" t="n">
        <f aca="false">G1392-J1392</f>
        <v>0</v>
      </c>
      <c r="M1392" s="25" t="n">
        <f aca="false">F1392</f>
        <v>34925590.4438667</v>
      </c>
      <c r="N1392" s="49" t="n">
        <f aca="false">$C$1377</f>
        <v>0.036189195577476</v>
      </c>
      <c r="O1392" s="25" t="n">
        <f aca="false">IF(AND(B1392&gt;=DATE(2026,1,1),B1392&lt;=Resumen!$C$5),1,0)</f>
        <v>0</v>
      </c>
      <c r="P1392" s="25" t="n">
        <f aca="false">IF(AND(B1392&gt;Resumen!$C$5,B1392&lt;=DATE(2027,7,31)),1,0)</f>
        <v>0</v>
      </c>
    </row>
    <row r="1393" customFormat="false" ht="15" hidden="false" customHeight="false" outlineLevel="0" collapsed="false">
      <c r="A1393" s="22" t="n">
        <v>11</v>
      </c>
      <c r="B1393" s="23" t="n">
        <v>45950</v>
      </c>
      <c r="C1393" s="28" t="n">
        <v>459154383.928047</v>
      </c>
      <c r="D1393" s="28" t="n">
        <v>16616427.8002276</v>
      </c>
      <c r="E1393" s="28" t="n">
        <v>18309162.643639</v>
      </c>
      <c r="F1393" s="28" t="n">
        <v>34925590.4438667</v>
      </c>
      <c r="G1393" s="28" t="n">
        <v>440845221.284408</v>
      </c>
      <c r="H1393" s="25" t="n">
        <f aca="false">J1392</f>
        <v>459154383.928048</v>
      </c>
      <c r="I1393" s="25" t="n">
        <f aca="false">H1393*N1393</f>
        <v>16616427.8002276</v>
      </c>
      <c r="J1393" s="25" t="n">
        <f aca="false">H1393+I1393-F1393</f>
        <v>440845221.284408</v>
      </c>
      <c r="K1393" s="25" t="n">
        <f aca="false">D1393-I1393</f>
        <v>0</v>
      </c>
      <c r="L1393" s="25" t="n">
        <f aca="false">G1393-J1393</f>
        <v>0</v>
      </c>
      <c r="M1393" s="25" t="n">
        <f aca="false">F1393</f>
        <v>34925590.4438667</v>
      </c>
      <c r="N1393" s="49" t="n">
        <f aca="false">$C$1377</f>
        <v>0.036189195577476</v>
      </c>
      <c r="O1393" s="25" t="n">
        <f aca="false">IF(AND(B1393&gt;=DATE(2026,1,1),B1393&lt;=Resumen!$C$5),1,0)</f>
        <v>0</v>
      </c>
      <c r="P1393" s="25" t="n">
        <f aca="false">IF(AND(B1393&gt;Resumen!$C$5,B1393&lt;=DATE(2027,7,31)),1,0)</f>
        <v>0</v>
      </c>
    </row>
    <row r="1394" customFormat="false" ht="15" hidden="false" customHeight="false" outlineLevel="0" collapsed="false">
      <c r="A1394" s="22" t="n">
        <v>12</v>
      </c>
      <c r="B1394" s="23" t="n">
        <v>46042</v>
      </c>
      <c r="C1394" s="28" t="n">
        <v>440845221.284408</v>
      </c>
      <c r="D1394" s="28" t="n">
        <v>15953833.9324572</v>
      </c>
      <c r="E1394" s="28" t="n">
        <v>18971756.5114095</v>
      </c>
      <c r="F1394" s="28" t="n">
        <v>34925590.4438667</v>
      </c>
      <c r="G1394" s="28" t="n">
        <v>421873464.772999</v>
      </c>
      <c r="H1394" s="25" t="n">
        <f aca="false">J1393</f>
        <v>440845221.284408</v>
      </c>
      <c r="I1394" s="25" t="n">
        <f aca="false">H1394*N1394</f>
        <v>15953833.9324572</v>
      </c>
      <c r="J1394" s="25" t="n">
        <f aca="false">H1394+I1394-F1394</f>
        <v>421873464.772999</v>
      </c>
      <c r="K1394" s="25" t="n">
        <f aca="false">D1394-I1394</f>
        <v>0</v>
      </c>
      <c r="L1394" s="25" t="n">
        <f aca="false">G1394-J1394</f>
        <v>0</v>
      </c>
      <c r="M1394" s="25" t="n">
        <f aca="false">F1394</f>
        <v>34925590.4438667</v>
      </c>
      <c r="N1394" s="49" t="n">
        <f aca="false">$C$1377</f>
        <v>0.036189195577476</v>
      </c>
      <c r="O1394" s="25" t="n">
        <f aca="false">IF(AND(B1394&gt;=DATE(2026,1,1),B1394&lt;=Resumen!$C$5),1,0)</f>
        <v>1</v>
      </c>
      <c r="P1394" s="25" t="n">
        <f aca="false">IF(AND(B1394&gt;Resumen!$C$5,B1394&lt;=DATE(2027,7,31)),1,0)</f>
        <v>0</v>
      </c>
    </row>
    <row r="1395" customFormat="false" ht="15" hidden="false" customHeight="false" outlineLevel="0" collapsed="false">
      <c r="A1395" s="22" t="n">
        <v>13</v>
      </c>
      <c r="B1395" s="23" t="n">
        <v>46132</v>
      </c>
      <c r="C1395" s="28" t="n">
        <v>421873464.772999</v>
      </c>
      <c r="D1395" s="28" t="n">
        <v>15267261.3256175</v>
      </c>
      <c r="E1395" s="28" t="n">
        <v>19658329.1182492</v>
      </c>
      <c r="F1395" s="28" t="n">
        <v>34925590.4438667</v>
      </c>
      <c r="G1395" s="28" t="n">
        <v>402215135.65475</v>
      </c>
      <c r="H1395" s="25" t="n">
        <f aca="false">J1394</f>
        <v>421873464.772999</v>
      </c>
      <c r="I1395" s="25" t="n">
        <f aca="false">H1395*N1395</f>
        <v>15267261.3256175</v>
      </c>
      <c r="J1395" s="25" t="n">
        <f aca="false">H1395+I1395-F1395</f>
        <v>402215135.65475</v>
      </c>
      <c r="K1395" s="25" t="n">
        <f aca="false">D1395-I1395</f>
        <v>0</v>
      </c>
      <c r="L1395" s="25" t="n">
        <f aca="false">G1395-J1395</f>
        <v>0</v>
      </c>
      <c r="M1395" s="25" t="n">
        <f aca="false">F1395</f>
        <v>34925590.4438667</v>
      </c>
      <c r="N1395" s="49" t="n">
        <f aca="false">$C$1377</f>
        <v>0.036189195577476</v>
      </c>
      <c r="O1395" s="25" t="n">
        <f aca="false">IF(AND(B1395&gt;=DATE(2026,1,1),B1395&lt;=Resumen!$C$5),1,0)</f>
        <v>1</v>
      </c>
      <c r="P1395" s="25" t="n">
        <f aca="false">IF(AND(B1395&gt;Resumen!$C$5,B1395&lt;=DATE(2027,7,31)),1,0)</f>
        <v>0</v>
      </c>
    </row>
    <row r="1396" customFormat="false" ht="15" hidden="false" customHeight="false" outlineLevel="0" collapsed="false">
      <c r="A1396" s="22" t="n">
        <v>14</v>
      </c>
      <c r="B1396" s="23" t="n">
        <v>46223</v>
      </c>
      <c r="C1396" s="28" t="n">
        <v>402215135.65475</v>
      </c>
      <c r="D1396" s="28" t="n">
        <v>14555842.2084308</v>
      </c>
      <c r="E1396" s="28" t="n">
        <v>20369748.2354359</v>
      </c>
      <c r="F1396" s="28" t="n">
        <v>34925590.4438667</v>
      </c>
      <c r="G1396" s="28" t="n">
        <v>381845387.419314</v>
      </c>
      <c r="H1396" s="25" t="n">
        <f aca="false">J1395</f>
        <v>402215135.65475</v>
      </c>
      <c r="I1396" s="25" t="n">
        <f aca="false">H1396*N1396</f>
        <v>14555842.2084308</v>
      </c>
      <c r="J1396" s="25" t="n">
        <f aca="false">H1396+I1396-F1396</f>
        <v>381845387.419314</v>
      </c>
      <c r="K1396" s="25" t="n">
        <f aca="false">D1396-I1396</f>
        <v>0</v>
      </c>
      <c r="L1396" s="25" t="n">
        <f aca="false">G1396-J1396</f>
        <v>0</v>
      </c>
      <c r="M1396" s="25" t="n">
        <f aca="false">F1396</f>
        <v>34925590.4438667</v>
      </c>
      <c r="N1396" s="49" t="n">
        <f aca="false">$C$1377</f>
        <v>0.036189195577476</v>
      </c>
      <c r="O1396" s="25" t="n">
        <f aca="false">IF(AND(B1396&gt;=DATE(2026,1,1),B1396&lt;=Resumen!$C$5),1,0)</f>
        <v>1</v>
      </c>
      <c r="P1396" s="25" t="n">
        <f aca="false">IF(AND(B1396&gt;Resumen!$C$5,B1396&lt;=DATE(2027,7,31)),1,0)</f>
        <v>0</v>
      </c>
    </row>
    <row r="1397" customFormat="false" ht="15" hidden="false" customHeight="false" outlineLevel="0" collapsed="false">
      <c r="A1397" s="22" t="n">
        <v>15</v>
      </c>
      <c r="B1397" s="23" t="n">
        <v>46315</v>
      </c>
      <c r="C1397" s="28" t="n">
        <v>381845387.419314</v>
      </c>
      <c r="D1397" s="28" t="n">
        <v>13818677.4056747</v>
      </c>
      <c r="E1397" s="28" t="n">
        <v>21106913.038192</v>
      </c>
      <c r="F1397" s="28" t="n">
        <v>34925590.4438667</v>
      </c>
      <c r="G1397" s="28" t="n">
        <v>360738474.381122</v>
      </c>
      <c r="H1397" s="25" t="n">
        <f aca="false">J1396</f>
        <v>381845387.419314</v>
      </c>
      <c r="I1397" s="25" t="n">
        <f aca="false">H1397*N1397</f>
        <v>13818677.4056747</v>
      </c>
      <c r="J1397" s="25" t="n">
        <f aca="false">H1397+I1397-F1397</f>
        <v>360738474.381122</v>
      </c>
      <c r="K1397" s="25" t="n">
        <f aca="false">D1397-I1397</f>
        <v>0</v>
      </c>
      <c r="L1397" s="25" t="n">
        <f aca="false">G1397-J1397</f>
        <v>0</v>
      </c>
      <c r="M1397" s="25" t="n">
        <f aca="false">F1397</f>
        <v>34925590.4438667</v>
      </c>
      <c r="N1397" s="49" t="n">
        <f aca="false">$C$1377</f>
        <v>0.036189195577476</v>
      </c>
      <c r="O1397" s="25" t="n">
        <f aca="false">IF(AND(B1397&gt;=DATE(2026,1,1),B1397&lt;=Resumen!$C$5),1,0)</f>
        <v>0</v>
      </c>
      <c r="P1397" s="25" t="n">
        <f aca="false">IF(AND(B1397&gt;Resumen!$C$5,B1397&lt;=DATE(2027,7,31)),1,0)</f>
        <v>1</v>
      </c>
    </row>
    <row r="1398" customFormat="false" ht="15" hidden="false" customHeight="false" outlineLevel="0" collapsed="false">
      <c r="A1398" s="22" t="n">
        <v>16</v>
      </c>
      <c r="B1398" s="23" t="n">
        <v>46407</v>
      </c>
      <c r="C1398" s="28" t="n">
        <v>360738474.381122</v>
      </c>
      <c r="D1398" s="28" t="n">
        <v>13054835.2016987</v>
      </c>
      <c r="E1398" s="28" t="n">
        <v>21870755.242168</v>
      </c>
      <c r="F1398" s="28" t="n">
        <v>34925590.4438667</v>
      </c>
      <c r="G1398" s="28" t="n">
        <v>338867719.138954</v>
      </c>
      <c r="H1398" s="25" t="n">
        <f aca="false">J1397</f>
        <v>360738474.381122</v>
      </c>
      <c r="I1398" s="25" t="n">
        <f aca="false">H1398*N1398</f>
        <v>13054835.2016987</v>
      </c>
      <c r="J1398" s="25" t="n">
        <f aca="false">H1398+I1398-F1398</f>
        <v>338867719.138954</v>
      </c>
      <c r="K1398" s="25" t="n">
        <f aca="false">D1398-I1398</f>
        <v>0</v>
      </c>
      <c r="L1398" s="25" t="n">
        <f aca="false">G1398-J1398</f>
        <v>0</v>
      </c>
      <c r="M1398" s="25" t="n">
        <f aca="false">F1398</f>
        <v>34925590.4438667</v>
      </c>
      <c r="N1398" s="49" t="n">
        <f aca="false">$C$1377</f>
        <v>0.036189195577476</v>
      </c>
      <c r="O1398" s="25" t="n">
        <f aca="false">IF(AND(B1398&gt;=DATE(2026,1,1),B1398&lt;=Resumen!$C$5),1,0)</f>
        <v>0</v>
      </c>
      <c r="P1398" s="25" t="n">
        <f aca="false">IF(AND(B1398&gt;Resumen!$C$5,B1398&lt;=DATE(2027,7,31)),1,0)</f>
        <v>1</v>
      </c>
    </row>
    <row r="1399" customFormat="false" ht="15" hidden="false" customHeight="false" outlineLevel="0" collapsed="false">
      <c r="A1399" s="22" t="n">
        <v>17</v>
      </c>
      <c r="B1399" s="23" t="n">
        <v>46497</v>
      </c>
      <c r="C1399" s="28" t="n">
        <v>338867719.138954</v>
      </c>
      <c r="D1399" s="28" t="n">
        <v>12263350.1628128</v>
      </c>
      <c r="E1399" s="28" t="n">
        <v>22662240.2810538</v>
      </c>
      <c r="F1399" s="28" t="n">
        <v>34925590.4438667</v>
      </c>
      <c r="G1399" s="28" t="n">
        <v>316205478.8579</v>
      </c>
      <c r="H1399" s="25" t="n">
        <f aca="false">J1398</f>
        <v>338867719.138954</v>
      </c>
      <c r="I1399" s="25" t="n">
        <f aca="false">H1399*N1399</f>
        <v>12263350.1628128</v>
      </c>
      <c r="J1399" s="25" t="n">
        <f aca="false">H1399+I1399-F1399</f>
        <v>316205478.8579</v>
      </c>
      <c r="K1399" s="25" t="n">
        <f aca="false">D1399-I1399</f>
        <v>0</v>
      </c>
      <c r="L1399" s="25" t="n">
        <f aca="false">G1399-J1399</f>
        <v>0</v>
      </c>
      <c r="M1399" s="25" t="n">
        <f aca="false">F1399</f>
        <v>34925590.4438667</v>
      </c>
      <c r="N1399" s="49" t="n">
        <f aca="false">$C$1377</f>
        <v>0.036189195577476</v>
      </c>
      <c r="O1399" s="25" t="n">
        <f aca="false">IF(AND(B1399&gt;=DATE(2026,1,1),B1399&lt;=Resumen!$C$5),1,0)</f>
        <v>0</v>
      </c>
      <c r="P1399" s="25" t="n">
        <f aca="false">IF(AND(B1399&gt;Resumen!$C$5,B1399&lt;=DATE(2027,7,31)),1,0)</f>
        <v>1</v>
      </c>
    </row>
    <row r="1400" customFormat="false" ht="15" hidden="false" customHeight="false" outlineLevel="0" collapsed="false">
      <c r="A1400" s="22" t="n">
        <v>18</v>
      </c>
      <c r="B1400" s="23" t="n">
        <v>46588</v>
      </c>
      <c r="C1400" s="28" t="n">
        <v>316205478.8579</v>
      </c>
      <c r="D1400" s="28" t="n">
        <v>11443221.917058</v>
      </c>
      <c r="E1400" s="28" t="n">
        <v>23482368.5268087</v>
      </c>
      <c r="F1400" s="28" t="n">
        <v>34925590.4438667</v>
      </c>
      <c r="G1400" s="28" t="n">
        <v>292723110.331091</v>
      </c>
      <c r="H1400" s="25" t="n">
        <f aca="false">J1399</f>
        <v>316205478.8579</v>
      </c>
      <c r="I1400" s="25" t="n">
        <f aca="false">H1400*N1400</f>
        <v>11443221.917058</v>
      </c>
      <c r="J1400" s="25" t="n">
        <f aca="false">H1400+I1400-F1400</f>
        <v>292723110.331091</v>
      </c>
      <c r="K1400" s="25" t="n">
        <f aca="false">D1400-I1400</f>
        <v>0</v>
      </c>
      <c r="L1400" s="25" t="n">
        <f aca="false">G1400-J1400</f>
        <v>0</v>
      </c>
      <c r="M1400" s="25" t="n">
        <f aca="false">F1400</f>
        <v>34925590.4438667</v>
      </c>
      <c r="N1400" s="49" t="n">
        <f aca="false">$C$1377</f>
        <v>0.036189195577476</v>
      </c>
      <c r="O1400" s="25" t="n">
        <f aca="false">IF(AND(B1400&gt;=DATE(2026,1,1),B1400&lt;=Resumen!$C$5),1,0)</f>
        <v>0</v>
      </c>
      <c r="P1400" s="25" t="n">
        <f aca="false">IF(AND(B1400&gt;Resumen!$C$5,B1400&lt;=DATE(2027,7,31)),1,0)</f>
        <v>1</v>
      </c>
    </row>
    <row r="1401" customFormat="false" ht="15" hidden="false" customHeight="false" outlineLevel="0" collapsed="false">
      <c r="A1401" s="22" t="n">
        <v>19</v>
      </c>
      <c r="B1401" s="23" t="n">
        <v>46680</v>
      </c>
      <c r="C1401" s="28" t="n">
        <v>292723110.331091</v>
      </c>
      <c r="D1401" s="28" t="n">
        <v>10593413.889819</v>
      </c>
      <c r="E1401" s="28" t="n">
        <v>24332176.5540477</v>
      </c>
      <c r="F1401" s="28" t="n">
        <v>34925590.4438667</v>
      </c>
      <c r="G1401" s="28" t="n">
        <v>268390933.777044</v>
      </c>
      <c r="H1401" s="25" t="n">
        <f aca="false">J1400</f>
        <v>292723110.331091</v>
      </c>
      <c r="I1401" s="25" t="n">
        <f aca="false">H1401*N1401</f>
        <v>10593413.889819</v>
      </c>
      <c r="J1401" s="25" t="n">
        <f aca="false">H1401+I1401-F1401</f>
        <v>268390933.777044</v>
      </c>
      <c r="K1401" s="25" t="n">
        <f aca="false">D1401-I1401</f>
        <v>0</v>
      </c>
      <c r="L1401" s="25" t="n">
        <f aca="false">G1401-J1401</f>
        <v>0</v>
      </c>
      <c r="M1401" s="25" t="n">
        <f aca="false">F1401</f>
        <v>34925590.4438667</v>
      </c>
      <c r="N1401" s="49" t="n">
        <f aca="false">$C$1377</f>
        <v>0.036189195577476</v>
      </c>
      <c r="O1401" s="25" t="n">
        <f aca="false">IF(AND(B1401&gt;=DATE(2026,1,1),B1401&lt;=Resumen!$C$5),1,0)</f>
        <v>0</v>
      </c>
      <c r="P1401" s="25" t="n">
        <f aca="false">IF(AND(B1401&gt;Resumen!$C$5,B1401&lt;=DATE(2027,7,31)),1,0)</f>
        <v>0</v>
      </c>
    </row>
    <row r="1402" customFormat="false" ht="15" hidden="false" customHeight="false" outlineLevel="0" collapsed="false">
      <c r="A1402" s="22" t="n">
        <v>20</v>
      </c>
      <c r="B1402" s="23" t="n">
        <v>46772</v>
      </c>
      <c r="C1402" s="28" t="n">
        <v>268390933.777044</v>
      </c>
      <c r="D1402" s="28" t="n">
        <v>9712851.99367885</v>
      </c>
      <c r="E1402" s="28" t="n">
        <v>25212738.4501878</v>
      </c>
      <c r="F1402" s="28" t="n">
        <v>34925590.4438667</v>
      </c>
      <c r="G1402" s="28" t="n">
        <v>243178195.326856</v>
      </c>
      <c r="H1402" s="25" t="n">
        <f aca="false">J1401</f>
        <v>268390933.777044</v>
      </c>
      <c r="I1402" s="25" t="n">
        <f aca="false">H1402*N1402</f>
        <v>9712851.99367885</v>
      </c>
      <c r="J1402" s="25" t="n">
        <f aca="false">H1402+I1402-F1402</f>
        <v>243178195.326856</v>
      </c>
      <c r="K1402" s="25" t="n">
        <f aca="false">D1402-I1402</f>
        <v>0</v>
      </c>
      <c r="L1402" s="25" t="n">
        <f aca="false">G1402-J1402</f>
        <v>0</v>
      </c>
      <c r="M1402" s="25" t="n">
        <f aca="false">F1402</f>
        <v>34925590.4438667</v>
      </c>
      <c r="N1402" s="49" t="n">
        <f aca="false">$C$1377</f>
        <v>0.036189195577476</v>
      </c>
      <c r="O1402" s="25" t="n">
        <f aca="false">IF(AND(B1402&gt;=DATE(2026,1,1),B1402&lt;=Resumen!$C$5),1,0)</f>
        <v>0</v>
      </c>
      <c r="P1402" s="25" t="n">
        <f aca="false">IF(AND(B1402&gt;Resumen!$C$5,B1402&lt;=DATE(2027,7,31)),1,0)</f>
        <v>0</v>
      </c>
    </row>
    <row r="1403" customFormat="false" ht="15" hidden="false" customHeight="false" outlineLevel="0" collapsed="false">
      <c r="A1403" s="22" t="n">
        <v>21</v>
      </c>
      <c r="B1403" s="23" t="n">
        <v>46863</v>
      </c>
      <c r="C1403" s="28" t="n">
        <v>243178195.326856</v>
      </c>
      <c r="D1403" s="28" t="n">
        <v>8800423.27086125</v>
      </c>
      <c r="E1403" s="28" t="n">
        <v>26125167.1730054</v>
      </c>
      <c r="F1403" s="28" t="n">
        <v>34925590.4438667</v>
      </c>
      <c r="G1403" s="28" t="n">
        <v>217053028.15385</v>
      </c>
      <c r="H1403" s="25" t="n">
        <f aca="false">J1402</f>
        <v>243178195.326856</v>
      </c>
      <c r="I1403" s="25" t="n">
        <f aca="false">H1403*N1403</f>
        <v>8800423.27086125</v>
      </c>
      <c r="J1403" s="25" t="n">
        <f aca="false">H1403+I1403-F1403</f>
        <v>217053028.15385</v>
      </c>
      <c r="K1403" s="25" t="n">
        <f aca="false">D1403-I1403</f>
        <v>0</v>
      </c>
      <c r="L1403" s="25" t="n">
        <f aca="false">G1403-J1403</f>
        <v>0</v>
      </c>
      <c r="M1403" s="25" t="n">
        <f aca="false">F1403</f>
        <v>34925590.4438667</v>
      </c>
      <c r="N1403" s="49" t="n">
        <f aca="false">$C$1377</f>
        <v>0.036189195577476</v>
      </c>
      <c r="O1403" s="25" t="n">
        <f aca="false">IF(AND(B1403&gt;=DATE(2026,1,1),B1403&lt;=Resumen!$C$5),1,0)</f>
        <v>0</v>
      </c>
      <c r="P1403" s="25" t="n">
        <f aca="false">IF(AND(B1403&gt;Resumen!$C$5,B1403&lt;=DATE(2027,7,31)),1,0)</f>
        <v>0</v>
      </c>
    </row>
    <row r="1404" customFormat="false" ht="15" hidden="false" customHeight="false" outlineLevel="0" collapsed="false">
      <c r="A1404" s="22" t="n">
        <v>22</v>
      </c>
      <c r="B1404" s="23" t="n">
        <v>46954</v>
      </c>
      <c r="C1404" s="28" t="n">
        <v>217053028.15385</v>
      </c>
      <c r="D1404" s="28" t="n">
        <v>7854974.4865431</v>
      </c>
      <c r="E1404" s="28" t="n">
        <v>27070615.9573236</v>
      </c>
      <c r="F1404" s="28" t="n">
        <v>34925590.4438667</v>
      </c>
      <c r="G1404" s="28" t="n">
        <v>189982412.196527</v>
      </c>
      <c r="H1404" s="25" t="n">
        <f aca="false">J1403</f>
        <v>217053028.15385</v>
      </c>
      <c r="I1404" s="25" t="n">
        <f aca="false">H1404*N1404</f>
        <v>7854974.4865431</v>
      </c>
      <c r="J1404" s="25" t="n">
        <f aca="false">H1404+I1404-F1404</f>
        <v>189982412.196527</v>
      </c>
      <c r="K1404" s="25" t="n">
        <f aca="false">D1404-I1404</f>
        <v>0</v>
      </c>
      <c r="L1404" s="25" t="n">
        <f aca="false">G1404-J1404</f>
        <v>0</v>
      </c>
      <c r="M1404" s="25" t="n">
        <f aca="false">F1404</f>
        <v>34925590.4438667</v>
      </c>
      <c r="N1404" s="49" t="n">
        <f aca="false">$C$1377</f>
        <v>0.036189195577476</v>
      </c>
      <c r="O1404" s="25" t="n">
        <f aca="false">IF(AND(B1404&gt;=DATE(2026,1,1),B1404&lt;=Resumen!$C$5),1,0)</f>
        <v>0</v>
      </c>
      <c r="P1404" s="25" t="n">
        <f aca="false">IF(AND(B1404&gt;Resumen!$C$5,B1404&lt;=DATE(2027,7,31)),1,0)</f>
        <v>0</v>
      </c>
    </row>
    <row r="1405" customFormat="false" ht="15" hidden="false" customHeight="false" outlineLevel="0" collapsed="false">
      <c r="A1405" s="22" t="n">
        <v>23</v>
      </c>
      <c r="B1405" s="23" t="n">
        <v>47046</v>
      </c>
      <c r="C1405" s="28" t="n">
        <v>189982412.196527</v>
      </c>
      <c r="D1405" s="28" t="n">
        <v>6875310.67126077</v>
      </c>
      <c r="E1405" s="28" t="n">
        <v>28050279.7726059</v>
      </c>
      <c r="F1405" s="28" t="n">
        <v>34925590.4438667</v>
      </c>
      <c r="G1405" s="28" t="n">
        <v>161932132.423921</v>
      </c>
      <c r="H1405" s="25" t="n">
        <f aca="false">J1404</f>
        <v>189982412.196527</v>
      </c>
      <c r="I1405" s="25" t="n">
        <f aca="false">H1405*N1405</f>
        <v>6875310.67126078</v>
      </c>
      <c r="J1405" s="25" t="n">
        <f aca="false">H1405+I1405-F1405</f>
        <v>161932132.423921</v>
      </c>
      <c r="K1405" s="25" t="n">
        <f aca="false">D1405-I1405</f>
        <v>0</v>
      </c>
      <c r="L1405" s="25" t="n">
        <f aca="false">G1405-J1405</f>
        <v>0</v>
      </c>
      <c r="M1405" s="25" t="n">
        <f aca="false">F1405</f>
        <v>34925590.4438667</v>
      </c>
      <c r="N1405" s="49" t="n">
        <f aca="false">$C$1377</f>
        <v>0.036189195577476</v>
      </c>
      <c r="O1405" s="25" t="n">
        <f aca="false">IF(AND(B1405&gt;=DATE(2026,1,1),B1405&lt;=Resumen!$C$5),1,0)</f>
        <v>0</v>
      </c>
      <c r="P1405" s="25" t="n">
        <f aca="false">IF(AND(B1405&gt;Resumen!$C$5,B1405&lt;=DATE(2027,7,31)),1,0)</f>
        <v>0</v>
      </c>
    </row>
    <row r="1406" customFormat="false" ht="15" hidden="false" customHeight="false" outlineLevel="0" collapsed="false">
      <c r="A1406" s="22" t="n">
        <v>24</v>
      </c>
      <c r="B1406" s="23" t="n">
        <v>47138</v>
      </c>
      <c r="C1406" s="28" t="n">
        <v>161932132.423921</v>
      </c>
      <c r="D1406" s="28" t="n">
        <v>5860193.61056702</v>
      </c>
      <c r="E1406" s="28" t="n">
        <v>29065396.8332996</v>
      </c>
      <c r="F1406" s="28" t="n">
        <v>34925590.4438667</v>
      </c>
      <c r="G1406" s="28" t="n">
        <v>132866735.590621</v>
      </c>
      <c r="H1406" s="25" t="n">
        <f aca="false">J1405</f>
        <v>161932132.423921</v>
      </c>
      <c r="I1406" s="25" t="n">
        <f aca="false">H1406*N1406</f>
        <v>5860193.61056702</v>
      </c>
      <c r="J1406" s="25" t="n">
        <f aca="false">H1406+I1406-F1406</f>
        <v>132866735.590621</v>
      </c>
      <c r="K1406" s="25" t="n">
        <f aca="false">D1406-I1406</f>
        <v>0</v>
      </c>
      <c r="L1406" s="25" t="n">
        <f aca="false">G1406-J1406</f>
        <v>0</v>
      </c>
      <c r="M1406" s="25" t="n">
        <f aca="false">F1406</f>
        <v>34925590.4438667</v>
      </c>
      <c r="N1406" s="49" t="n">
        <f aca="false">$C$1377</f>
        <v>0.036189195577476</v>
      </c>
      <c r="O1406" s="25" t="n">
        <f aca="false">IF(AND(B1406&gt;=DATE(2026,1,1),B1406&lt;=Resumen!$C$5),1,0)</f>
        <v>0</v>
      </c>
      <c r="P1406" s="25" t="n">
        <f aca="false">IF(AND(B1406&gt;Resumen!$C$5,B1406&lt;=DATE(2027,7,31)),1,0)</f>
        <v>0</v>
      </c>
    </row>
    <row r="1407" customFormat="false" ht="15" hidden="false" customHeight="false" outlineLevel="0" collapsed="false">
      <c r="A1407" s="22" t="n">
        <v>25</v>
      </c>
      <c r="B1407" s="23" t="n">
        <v>47228</v>
      </c>
      <c r="C1407" s="28" t="n">
        <v>132866735.590621</v>
      </c>
      <c r="D1407" s="28" t="n">
        <v>4808340.28002979</v>
      </c>
      <c r="E1407" s="28" t="n">
        <v>30117250.1638369</v>
      </c>
      <c r="F1407" s="28" t="n">
        <v>34925590.4438667</v>
      </c>
      <c r="G1407" s="28" t="n">
        <v>102749485.426784</v>
      </c>
      <c r="H1407" s="25" t="n">
        <f aca="false">J1406</f>
        <v>132866735.590621</v>
      </c>
      <c r="I1407" s="25" t="n">
        <f aca="false">H1407*N1407</f>
        <v>4808340.28002979</v>
      </c>
      <c r="J1407" s="25" t="n">
        <f aca="false">H1407+I1407-F1407</f>
        <v>102749485.426784</v>
      </c>
      <c r="K1407" s="25" t="n">
        <f aca="false">D1407-I1407</f>
        <v>0</v>
      </c>
      <c r="L1407" s="25" t="n">
        <f aca="false">G1407-J1407</f>
        <v>0</v>
      </c>
      <c r="M1407" s="25" t="n">
        <f aca="false">F1407</f>
        <v>34925590.4438667</v>
      </c>
      <c r="N1407" s="49" t="n">
        <f aca="false">$C$1377</f>
        <v>0.036189195577476</v>
      </c>
      <c r="O1407" s="25" t="n">
        <f aca="false">IF(AND(B1407&gt;=DATE(2026,1,1),B1407&lt;=Resumen!$C$5),1,0)</f>
        <v>0</v>
      </c>
      <c r="P1407" s="25" t="n">
        <f aca="false">IF(AND(B1407&gt;Resumen!$C$5,B1407&lt;=DATE(2027,7,31)),1,0)</f>
        <v>0</v>
      </c>
    </row>
    <row r="1408" customFormat="false" ht="15" hidden="false" customHeight="false" outlineLevel="0" collapsed="false">
      <c r="A1408" s="22" t="n">
        <v>26</v>
      </c>
      <c r="B1408" s="23" t="n">
        <v>47319</v>
      </c>
      <c r="C1408" s="28" t="n">
        <v>102749485.426784</v>
      </c>
      <c r="D1408" s="28" t="n">
        <v>3718421.22359492</v>
      </c>
      <c r="E1408" s="28" t="n">
        <v>31207169.2202718</v>
      </c>
      <c r="F1408" s="28" t="n">
        <v>34925590.4438667</v>
      </c>
      <c r="G1408" s="28" t="n">
        <v>71542316.2065126</v>
      </c>
      <c r="H1408" s="25" t="n">
        <f aca="false">J1407</f>
        <v>102749485.426784</v>
      </c>
      <c r="I1408" s="25" t="n">
        <f aca="false">H1408*N1408</f>
        <v>3718421.22359492</v>
      </c>
      <c r="J1408" s="25" t="n">
        <f aca="false">H1408+I1408-F1408</f>
        <v>71542316.2065126</v>
      </c>
      <c r="K1408" s="25" t="n">
        <f aca="false">D1408-I1408</f>
        <v>0</v>
      </c>
      <c r="L1408" s="25" t="n">
        <f aca="false">G1408-J1408</f>
        <v>0</v>
      </c>
      <c r="M1408" s="25" t="n">
        <f aca="false">F1408</f>
        <v>34925590.4438667</v>
      </c>
      <c r="N1408" s="49" t="n">
        <f aca="false">$C$1377</f>
        <v>0.036189195577476</v>
      </c>
      <c r="O1408" s="25" t="n">
        <f aca="false">IF(AND(B1408&gt;=DATE(2026,1,1),B1408&lt;=Resumen!$C$5),1,0)</f>
        <v>0</v>
      </c>
      <c r="P1408" s="25" t="n">
        <f aca="false">IF(AND(B1408&gt;Resumen!$C$5,B1408&lt;=DATE(2027,7,31)),1,0)</f>
        <v>0</v>
      </c>
    </row>
    <row r="1409" customFormat="false" ht="15" hidden="false" customHeight="false" outlineLevel="0" collapsed="false">
      <c r="A1409" s="22" t="n">
        <v>27</v>
      </c>
      <c r="B1409" s="23" t="n">
        <v>47411</v>
      </c>
      <c r="C1409" s="28" t="n">
        <v>71542316.2065126</v>
      </c>
      <c r="D1409" s="28" t="n">
        <v>2589058.87326312</v>
      </c>
      <c r="E1409" s="28" t="n">
        <v>32336531.5706036</v>
      </c>
      <c r="F1409" s="28" t="n">
        <v>34925590.4438667</v>
      </c>
      <c r="G1409" s="28" t="n">
        <v>39205784.635909</v>
      </c>
      <c r="H1409" s="25" t="n">
        <f aca="false">J1408</f>
        <v>71542316.2065126</v>
      </c>
      <c r="I1409" s="25" t="n">
        <f aca="false">H1409*N1409</f>
        <v>2589058.87326312</v>
      </c>
      <c r="J1409" s="25" t="n">
        <f aca="false">H1409+I1409-F1409</f>
        <v>39205784.6359091</v>
      </c>
      <c r="K1409" s="25" t="n">
        <f aca="false">D1409-I1409</f>
        <v>0</v>
      </c>
      <c r="L1409" s="25" t="n">
        <f aca="false">G1409-J1409</f>
        <v>0</v>
      </c>
      <c r="M1409" s="25" t="n">
        <f aca="false">F1409</f>
        <v>34925590.4438667</v>
      </c>
      <c r="N1409" s="49" t="n">
        <f aca="false">$C$1377</f>
        <v>0.036189195577476</v>
      </c>
      <c r="O1409" s="25" t="n">
        <f aca="false">IF(AND(B1409&gt;=DATE(2026,1,1),B1409&lt;=Resumen!$C$5),1,0)</f>
        <v>0</v>
      </c>
      <c r="P1409" s="25" t="n">
        <f aca="false">IF(AND(B1409&gt;Resumen!$C$5,B1409&lt;=DATE(2027,7,31)),1,0)</f>
        <v>0</v>
      </c>
    </row>
    <row r="1410" customFormat="false" ht="15" hidden="false" customHeight="false" outlineLevel="0" collapsed="false">
      <c r="A1410" s="22" t="n">
        <v>28</v>
      </c>
      <c r="B1410" s="23" t="n">
        <v>47503</v>
      </c>
      <c r="C1410" s="28" t="n">
        <v>39205784.635909</v>
      </c>
      <c r="D1410" s="28" t="n">
        <v>1418825.80795732</v>
      </c>
      <c r="E1410" s="28" t="n">
        <v>39205784.6359094</v>
      </c>
      <c r="F1410" s="28" t="n">
        <v>40624610.4438667</v>
      </c>
      <c r="G1410" s="28" t="n">
        <v>-3.20374965667725E-007</v>
      </c>
      <c r="H1410" s="25" t="n">
        <f aca="false">J1409</f>
        <v>39205784.6359091</v>
      </c>
      <c r="I1410" s="25" t="n">
        <f aca="false">H1410*N1410</f>
        <v>1418825.80795732</v>
      </c>
      <c r="J1410" s="25" t="n">
        <f aca="false">H1410+I1410-F1410</f>
        <v>-2.75671482086182E-007</v>
      </c>
      <c r="K1410" s="25" t="n">
        <f aca="false">D1410-I1410</f>
        <v>0</v>
      </c>
      <c r="L1410" s="25" t="n">
        <f aca="false">G1410-J1410</f>
        <v>-4.4703483581543E-008</v>
      </c>
      <c r="M1410" s="25" t="n">
        <f aca="false">F1410</f>
        <v>40624610.4438667</v>
      </c>
      <c r="N1410" s="49" t="n">
        <f aca="false">$C$1377</f>
        <v>0.036189195577476</v>
      </c>
      <c r="O1410" s="25" t="n">
        <f aca="false">IF(AND(B1410&gt;=DATE(2026,1,1),B1410&lt;=Resumen!$C$5),1,0)</f>
        <v>0</v>
      </c>
      <c r="P1410" s="25" t="n">
        <f aca="false">IF(AND(B1410&gt;Resumen!$C$5,B1410&lt;=DATE(2027,7,31)),1,0)</f>
        <v>0</v>
      </c>
    </row>
    <row r="1413" customFormat="false" ht="15" hidden="false" customHeight="false" outlineLevel="0" collapsed="false">
      <c r="A1413" s="33" t="s">
        <v>865</v>
      </c>
    </row>
    <row r="1414" customFormat="false" ht="15" hidden="false" customHeight="false" outlineLevel="0" collapsed="false">
      <c r="A1414" s="34" t="s">
        <v>860</v>
      </c>
    </row>
    <row r="1415" customFormat="false" ht="15" hidden="false" customHeight="false" outlineLevel="0" collapsed="false">
      <c r="A1415" s="19" t="s">
        <v>866</v>
      </c>
    </row>
    <row r="1416" customFormat="false" ht="15" hidden="false" customHeight="false" outlineLevel="0" collapsed="false">
      <c r="A1416" s="20" t="s">
        <v>867</v>
      </c>
    </row>
    <row r="1417" customFormat="false" ht="15" hidden="false" customHeight="false" outlineLevel="0" collapsed="false">
      <c r="A1417" s="29" t="s">
        <v>773</v>
      </c>
      <c r="C1417" s="22" t="s">
        <v>868</v>
      </c>
      <c r="F1417" s="47" t="s">
        <v>775</v>
      </c>
    </row>
    <row r="1418" customFormat="false" ht="15" hidden="false" customHeight="false" outlineLevel="0" collapsed="false">
      <c r="A1418" s="29" t="s">
        <v>640</v>
      </c>
      <c r="C1418" s="28" t="n">
        <v>569902000</v>
      </c>
      <c r="F1418" s="22" t="s">
        <v>776</v>
      </c>
      <c r="I1418" s="41" t="n">
        <f aca="false">_xlfn.MAXIFS($B$1426:$B$1454,$B$1426:$B$1454,"&lt;="&amp;Resumen!$C$5)</f>
        <v>46226</v>
      </c>
    </row>
    <row r="1419" customFormat="false" ht="15" hidden="false" customHeight="false" outlineLevel="0" collapsed="false">
      <c r="A1419" s="29" t="s">
        <v>641</v>
      </c>
      <c r="C1419" s="23" t="n">
        <v>44949</v>
      </c>
      <c r="F1419" s="22" t="s">
        <v>777</v>
      </c>
      <c r="I1419" s="25" t="n">
        <f aca="false">SUMIFS($G$1426:$G$1454,$B$1426:$B$1454,I1418)</f>
        <v>381845387.419314</v>
      </c>
    </row>
    <row r="1420" customFormat="false" ht="15" hidden="false" customHeight="false" outlineLevel="0" collapsed="false">
      <c r="A1420" s="29" t="s">
        <v>778</v>
      </c>
      <c r="C1420" s="22" t="s">
        <v>864</v>
      </c>
      <c r="F1420" s="22" t="s">
        <v>780</v>
      </c>
      <c r="I1420" s="25" t="n">
        <f aca="false">SUMIFS($J$1426:$J$1454,$B$1426:$B$1454,I1418)</f>
        <v>381845387.419314</v>
      </c>
    </row>
    <row r="1421" customFormat="false" ht="15" hidden="false" customHeight="false" outlineLevel="0" collapsed="false">
      <c r="A1421" s="29" t="s">
        <v>781</v>
      </c>
      <c r="C1421" s="48" t="n">
        <v>0.036189195577476</v>
      </c>
      <c r="F1421" s="22" t="s">
        <v>650</v>
      </c>
      <c r="I1421" s="25" t="n">
        <f aca="false">SUMIFS($D$1426:$D$1454,$O$1426:$O$1454,1)</f>
        <v>45776937.4665054</v>
      </c>
    </row>
    <row r="1422" customFormat="false" ht="15" hidden="false" customHeight="false" outlineLevel="0" collapsed="false">
      <c r="A1422" s="29" t="s">
        <v>782</v>
      </c>
      <c r="C1422" s="49" t="n">
        <f aca="false">IFERROR(IRR($M$1426:$M$1454),"N/A")</f>
        <v>0.0361891955774748</v>
      </c>
      <c r="F1422" s="22" t="s">
        <v>783</v>
      </c>
      <c r="I1422" s="25" t="n">
        <f aca="false">SUMIFS($E$1426:$E$1454,$P$1426:$P$1454,1)</f>
        <v>89122277.0882225</v>
      </c>
    </row>
    <row r="1423" customFormat="false" ht="15" hidden="false" customHeight="false" outlineLevel="0" collapsed="false">
      <c r="A1423" s="29" t="s">
        <v>784</v>
      </c>
      <c r="C1423" s="50" t="n">
        <f aca="false">IF(ISNUMBER(C1422),(1+C1422)^4-1,"N/A")</f>
        <v>0.152806026633057</v>
      </c>
      <c r="F1423" s="22" t="s">
        <v>785</v>
      </c>
      <c r="I1423" s="25" t="n">
        <f aca="false">SUMPRODUCT(MAX(ABS($L$1426:$L$1454)))</f>
        <v>4.4703483581543E-008</v>
      </c>
    </row>
    <row r="1425" customFormat="false" ht="36" hidden="false" customHeight="true" outlineLevel="0" collapsed="false">
      <c r="A1425" s="27" t="s">
        <v>786</v>
      </c>
      <c r="B1425" s="27" t="s">
        <v>396</v>
      </c>
      <c r="C1425" s="27" t="s">
        <v>787</v>
      </c>
      <c r="D1425" s="27" t="s">
        <v>788</v>
      </c>
      <c r="E1425" s="27" t="s">
        <v>789</v>
      </c>
      <c r="F1425" s="27" t="s">
        <v>790</v>
      </c>
      <c r="G1425" s="27" t="s">
        <v>791</v>
      </c>
      <c r="H1425" s="27" t="s">
        <v>792</v>
      </c>
      <c r="I1425" s="27" t="s">
        <v>793</v>
      </c>
      <c r="J1425" s="27" t="s">
        <v>794</v>
      </c>
      <c r="K1425" s="27" t="s">
        <v>795</v>
      </c>
      <c r="L1425" s="27" t="s">
        <v>796</v>
      </c>
      <c r="M1425" s="27" t="s">
        <v>797</v>
      </c>
      <c r="N1425" s="27" t="s">
        <v>798</v>
      </c>
      <c r="O1425" s="27" t="s">
        <v>799</v>
      </c>
      <c r="P1425" s="27" t="s">
        <v>800</v>
      </c>
    </row>
    <row r="1426" customFormat="false" ht="15" hidden="false" customHeight="false" outlineLevel="0" collapsed="false">
      <c r="A1426" s="22" t="n">
        <v>0</v>
      </c>
      <c r="B1426" s="23" t="n">
        <v>44949</v>
      </c>
      <c r="C1426" s="28"/>
      <c r="D1426" s="28" t="n">
        <v>0</v>
      </c>
      <c r="E1426" s="28" t="n">
        <v>0</v>
      </c>
      <c r="F1426" s="28" t="n">
        <v>0</v>
      </c>
      <c r="G1426" s="28" t="n">
        <v>569902000</v>
      </c>
      <c r="H1426" s="25" t="n">
        <f aca="false">G1426</f>
        <v>569902000</v>
      </c>
      <c r="I1426" s="28" t="n">
        <v>0</v>
      </c>
      <c r="J1426" s="25" t="n">
        <f aca="false">H1426</f>
        <v>569902000</v>
      </c>
      <c r="K1426" s="25" t="n">
        <f aca="false">D1426-I1426</f>
        <v>0</v>
      </c>
      <c r="L1426" s="25" t="n">
        <f aca="false">G1426-J1426</f>
        <v>0</v>
      </c>
      <c r="M1426" s="25" t="n">
        <f aca="false">-$C$1418</f>
        <v>-569902000</v>
      </c>
      <c r="N1426" s="49" t="n">
        <f aca="false">$C$1421</f>
        <v>0.036189195577476</v>
      </c>
      <c r="O1426" s="25" t="n">
        <f aca="false">IF(AND(B1426&gt;=DATE(2026,1,1),B1426&lt;=Resumen!$C$5),1,0)</f>
        <v>0</v>
      </c>
      <c r="P1426" s="25" t="n">
        <f aca="false">IF(AND(B1426&gt;Resumen!$C$5,B1426&lt;=DATE(2027,7,31)),1,0)</f>
        <v>0</v>
      </c>
    </row>
    <row r="1427" customFormat="false" ht="15" hidden="false" customHeight="false" outlineLevel="0" collapsed="false">
      <c r="A1427" s="22" t="n">
        <v>1</v>
      </c>
      <c r="B1427" s="23" t="n">
        <v>45039</v>
      </c>
      <c r="C1427" s="28" t="n">
        <v>569902000</v>
      </c>
      <c r="D1427" s="28" t="n">
        <v>20624294.9379947</v>
      </c>
      <c r="E1427" s="28" t="n">
        <v>3212901.10185731</v>
      </c>
      <c r="F1427" s="28" t="n">
        <v>23837196.039852</v>
      </c>
      <c r="G1427" s="28" t="n">
        <v>566689098.898143</v>
      </c>
      <c r="H1427" s="25" t="n">
        <f aca="false">J1426</f>
        <v>569902000</v>
      </c>
      <c r="I1427" s="25" t="n">
        <f aca="false">H1427*N1427</f>
        <v>20624294.9379947</v>
      </c>
      <c r="J1427" s="25" t="n">
        <f aca="false">H1427+I1427-F1427</f>
        <v>566689098.898143</v>
      </c>
      <c r="K1427" s="25" t="n">
        <f aca="false">D1427-I1427</f>
        <v>0</v>
      </c>
      <c r="L1427" s="25" t="n">
        <f aca="false">G1427-J1427</f>
        <v>0</v>
      </c>
      <c r="M1427" s="25" t="n">
        <f aca="false">F1427</f>
        <v>23837196.039852</v>
      </c>
      <c r="N1427" s="49" t="n">
        <f aca="false">$C$1421</f>
        <v>0.036189195577476</v>
      </c>
      <c r="O1427" s="25" t="n">
        <f aca="false">IF(AND(B1427&gt;=DATE(2026,1,1),B1427&lt;=Resumen!$C$5),1,0)</f>
        <v>0</v>
      </c>
      <c r="P1427" s="25" t="n">
        <f aca="false">IF(AND(B1427&gt;Resumen!$C$5,B1427&lt;=DATE(2027,7,31)),1,0)</f>
        <v>0</v>
      </c>
    </row>
    <row r="1428" customFormat="false" ht="15" hidden="false" customHeight="false" outlineLevel="0" collapsed="false">
      <c r="A1428" s="22" t="n">
        <v>2</v>
      </c>
      <c r="B1428" s="23" t="n">
        <v>45130</v>
      </c>
      <c r="C1428" s="28" t="n">
        <v>566689098.898143</v>
      </c>
      <c r="D1428" s="28" t="n">
        <v>20508022.6316485</v>
      </c>
      <c r="E1428" s="28" t="n">
        <v>3329173.40820348</v>
      </c>
      <c r="F1428" s="28" t="n">
        <v>23837196.039852</v>
      </c>
      <c r="G1428" s="28" t="n">
        <v>563359925.489939</v>
      </c>
      <c r="H1428" s="25" t="n">
        <f aca="false">J1427</f>
        <v>566689098.898143</v>
      </c>
      <c r="I1428" s="25" t="n">
        <f aca="false">H1428*N1428</f>
        <v>20508022.6316485</v>
      </c>
      <c r="J1428" s="25" t="n">
        <f aca="false">H1428+I1428-F1428</f>
        <v>563359925.489939</v>
      </c>
      <c r="K1428" s="25" t="n">
        <f aca="false">D1428-I1428</f>
        <v>0</v>
      </c>
      <c r="L1428" s="25" t="n">
        <f aca="false">G1428-J1428</f>
        <v>0</v>
      </c>
      <c r="M1428" s="25" t="n">
        <f aca="false">F1428</f>
        <v>23837196.039852</v>
      </c>
      <c r="N1428" s="49" t="n">
        <f aca="false">$C$1421</f>
        <v>0.036189195577476</v>
      </c>
      <c r="O1428" s="25" t="n">
        <f aca="false">IF(AND(B1428&gt;=DATE(2026,1,1),B1428&lt;=Resumen!$C$5),1,0)</f>
        <v>0</v>
      </c>
      <c r="P1428" s="25" t="n">
        <f aca="false">IF(AND(B1428&gt;Resumen!$C$5,B1428&lt;=DATE(2027,7,31)),1,0)</f>
        <v>0</v>
      </c>
    </row>
    <row r="1429" customFormat="false" ht="15" hidden="false" customHeight="false" outlineLevel="0" collapsed="false">
      <c r="A1429" s="22" t="n">
        <v>3</v>
      </c>
      <c r="B1429" s="23" t="n">
        <v>45222</v>
      </c>
      <c r="C1429" s="28" t="n">
        <v>563359925.489939</v>
      </c>
      <c r="D1429" s="28" t="n">
        <v>20387542.5240677</v>
      </c>
      <c r="E1429" s="28" t="n">
        <v>3449653.51578426</v>
      </c>
      <c r="F1429" s="28" t="n">
        <v>23837196.039852</v>
      </c>
      <c r="G1429" s="28" t="n">
        <v>559910271.974155</v>
      </c>
      <c r="H1429" s="25" t="n">
        <f aca="false">J1428</f>
        <v>563359925.489939</v>
      </c>
      <c r="I1429" s="25" t="n">
        <f aca="false">H1429*N1429</f>
        <v>20387542.5240677</v>
      </c>
      <c r="J1429" s="25" t="n">
        <f aca="false">H1429+I1429-F1429</f>
        <v>559910271.974155</v>
      </c>
      <c r="K1429" s="25" t="n">
        <f aca="false">D1429-I1429</f>
        <v>0</v>
      </c>
      <c r="L1429" s="25" t="n">
        <f aca="false">G1429-J1429</f>
        <v>0</v>
      </c>
      <c r="M1429" s="25" t="n">
        <f aca="false">F1429</f>
        <v>23837196.039852</v>
      </c>
      <c r="N1429" s="49" t="n">
        <f aca="false">$C$1421</f>
        <v>0.036189195577476</v>
      </c>
      <c r="O1429" s="25" t="n">
        <f aca="false">IF(AND(B1429&gt;=DATE(2026,1,1),B1429&lt;=Resumen!$C$5),1,0)</f>
        <v>0</v>
      </c>
      <c r="P1429" s="25" t="n">
        <f aca="false">IF(AND(B1429&gt;Resumen!$C$5,B1429&lt;=DATE(2027,7,31)),1,0)</f>
        <v>0</v>
      </c>
    </row>
    <row r="1430" customFormat="false" ht="15" hidden="false" customHeight="false" outlineLevel="0" collapsed="false">
      <c r="A1430" s="22" t="n">
        <v>4</v>
      </c>
      <c r="B1430" s="23" t="n">
        <v>45314</v>
      </c>
      <c r="C1430" s="28" t="n">
        <v>559910271.974155</v>
      </c>
      <c r="D1430" s="28" t="n">
        <v>20262702.3383105</v>
      </c>
      <c r="E1430" s="28" t="n">
        <v>3574493.70154154</v>
      </c>
      <c r="F1430" s="28" t="n">
        <v>23837196.039852</v>
      </c>
      <c r="G1430" s="28" t="n">
        <v>556335778.272613</v>
      </c>
      <c r="H1430" s="25" t="n">
        <f aca="false">J1429</f>
        <v>559910271.974155</v>
      </c>
      <c r="I1430" s="25" t="n">
        <f aca="false">H1430*N1430</f>
        <v>20262702.3383105</v>
      </c>
      <c r="J1430" s="25" t="n">
        <f aca="false">H1430+I1430-F1430</f>
        <v>556335778.272613</v>
      </c>
      <c r="K1430" s="25" t="n">
        <f aca="false">D1430-I1430</f>
        <v>0</v>
      </c>
      <c r="L1430" s="25" t="n">
        <f aca="false">G1430-J1430</f>
        <v>0</v>
      </c>
      <c r="M1430" s="25" t="n">
        <f aca="false">F1430</f>
        <v>23837196.039852</v>
      </c>
      <c r="N1430" s="49" t="n">
        <f aca="false">$C$1421</f>
        <v>0.036189195577476</v>
      </c>
      <c r="O1430" s="25" t="n">
        <f aca="false">IF(AND(B1430&gt;=DATE(2026,1,1),B1430&lt;=Resumen!$C$5),1,0)</f>
        <v>0</v>
      </c>
      <c r="P1430" s="25" t="n">
        <f aca="false">IF(AND(B1430&gt;Resumen!$C$5,B1430&lt;=DATE(2027,7,31)),1,0)</f>
        <v>0</v>
      </c>
    </row>
    <row r="1431" customFormat="false" ht="15" hidden="false" customHeight="false" outlineLevel="0" collapsed="false">
      <c r="A1431" s="22" t="n">
        <v>5</v>
      </c>
      <c r="B1431" s="23" t="n">
        <v>45405</v>
      </c>
      <c r="C1431" s="28" t="n">
        <v>556335778.272613</v>
      </c>
      <c r="D1431" s="28" t="n">
        <v>20133344.2866549</v>
      </c>
      <c r="E1431" s="28" t="n">
        <v>14792246.1572117</v>
      </c>
      <c r="F1431" s="28" t="n">
        <v>34925590.4438666</v>
      </c>
      <c r="G1431" s="28" t="n">
        <v>541543532.115402</v>
      </c>
      <c r="H1431" s="25" t="n">
        <f aca="false">J1430</f>
        <v>556335778.272613</v>
      </c>
      <c r="I1431" s="25" t="n">
        <f aca="false">H1431*N1431</f>
        <v>20133344.2866549</v>
      </c>
      <c r="J1431" s="25" t="n">
        <f aca="false">H1431+I1431-F1431</f>
        <v>541543532.115402</v>
      </c>
      <c r="K1431" s="25" t="n">
        <f aca="false">D1431-I1431</f>
        <v>0</v>
      </c>
      <c r="L1431" s="25" t="n">
        <f aca="false">G1431-J1431</f>
        <v>0</v>
      </c>
      <c r="M1431" s="25" t="n">
        <f aca="false">F1431</f>
        <v>34925590.4438666</v>
      </c>
      <c r="N1431" s="49" t="n">
        <f aca="false">$C$1421</f>
        <v>0.036189195577476</v>
      </c>
      <c r="O1431" s="25" t="n">
        <f aca="false">IF(AND(B1431&gt;=DATE(2026,1,1),B1431&lt;=Resumen!$C$5),1,0)</f>
        <v>0</v>
      </c>
      <c r="P1431" s="25" t="n">
        <f aca="false">IF(AND(B1431&gt;Resumen!$C$5,B1431&lt;=DATE(2027,7,31)),1,0)</f>
        <v>0</v>
      </c>
    </row>
    <row r="1432" customFormat="false" ht="15" hidden="false" customHeight="false" outlineLevel="0" collapsed="false">
      <c r="A1432" s="22" t="n">
        <v>6</v>
      </c>
      <c r="B1432" s="23" t="n">
        <v>45496</v>
      </c>
      <c r="C1432" s="28" t="n">
        <v>541543532.115402</v>
      </c>
      <c r="D1432" s="28" t="n">
        <v>19598024.7974414</v>
      </c>
      <c r="E1432" s="28" t="n">
        <v>15327565.6464252</v>
      </c>
      <c r="F1432" s="28" t="n">
        <v>34925590.4438666</v>
      </c>
      <c r="G1432" s="28" t="n">
        <v>526215966.468977</v>
      </c>
      <c r="H1432" s="25" t="n">
        <f aca="false">J1431</f>
        <v>541543532.115402</v>
      </c>
      <c r="I1432" s="25" t="n">
        <f aca="false">H1432*N1432</f>
        <v>19598024.7974414</v>
      </c>
      <c r="J1432" s="25" t="n">
        <f aca="false">H1432+I1432-F1432</f>
        <v>526215966.468977</v>
      </c>
      <c r="K1432" s="25" t="n">
        <f aca="false">D1432-I1432</f>
        <v>0</v>
      </c>
      <c r="L1432" s="25" t="n">
        <f aca="false">G1432-J1432</f>
        <v>0</v>
      </c>
      <c r="M1432" s="25" t="n">
        <f aca="false">F1432</f>
        <v>34925590.4438666</v>
      </c>
      <c r="N1432" s="49" t="n">
        <f aca="false">$C$1421</f>
        <v>0.036189195577476</v>
      </c>
      <c r="O1432" s="25" t="n">
        <f aca="false">IF(AND(B1432&gt;=DATE(2026,1,1),B1432&lt;=Resumen!$C$5),1,0)</f>
        <v>0</v>
      </c>
      <c r="P1432" s="25" t="n">
        <f aca="false">IF(AND(B1432&gt;Resumen!$C$5,B1432&lt;=DATE(2027,7,31)),1,0)</f>
        <v>0</v>
      </c>
    </row>
    <row r="1433" customFormat="false" ht="15" hidden="false" customHeight="false" outlineLevel="0" collapsed="false">
      <c r="A1433" s="22" t="n">
        <v>7</v>
      </c>
      <c r="B1433" s="23" t="n">
        <v>45588</v>
      </c>
      <c r="C1433" s="28" t="n">
        <v>526215966.468977</v>
      </c>
      <c r="D1433" s="28" t="n">
        <v>19043332.5265364</v>
      </c>
      <c r="E1433" s="28" t="n">
        <v>15882257.9173303</v>
      </c>
      <c r="F1433" s="28" t="n">
        <v>34925590.4438666</v>
      </c>
      <c r="G1433" s="28" t="n">
        <v>510333708.551646</v>
      </c>
      <c r="H1433" s="25" t="n">
        <f aca="false">J1432</f>
        <v>526215966.468977</v>
      </c>
      <c r="I1433" s="25" t="n">
        <f aca="false">H1433*N1433</f>
        <v>19043332.5265364</v>
      </c>
      <c r="J1433" s="25" t="n">
        <f aca="false">H1433+I1433-F1433</f>
        <v>510333708.551646</v>
      </c>
      <c r="K1433" s="25" t="n">
        <f aca="false">D1433-I1433</f>
        <v>0</v>
      </c>
      <c r="L1433" s="25" t="n">
        <f aca="false">G1433-J1433</f>
        <v>0</v>
      </c>
      <c r="M1433" s="25" t="n">
        <f aca="false">F1433</f>
        <v>34925590.4438666</v>
      </c>
      <c r="N1433" s="49" t="n">
        <f aca="false">$C$1421</f>
        <v>0.036189195577476</v>
      </c>
      <c r="O1433" s="25" t="n">
        <f aca="false">IF(AND(B1433&gt;=DATE(2026,1,1),B1433&lt;=Resumen!$C$5),1,0)</f>
        <v>0</v>
      </c>
      <c r="P1433" s="25" t="n">
        <f aca="false">IF(AND(B1433&gt;Resumen!$C$5,B1433&lt;=DATE(2027,7,31)),1,0)</f>
        <v>0</v>
      </c>
    </row>
    <row r="1434" customFormat="false" ht="15" hidden="false" customHeight="false" outlineLevel="0" collapsed="false">
      <c r="A1434" s="22" t="n">
        <v>8</v>
      </c>
      <c r="B1434" s="23" t="n">
        <v>45680</v>
      </c>
      <c r="C1434" s="28" t="n">
        <v>510333708.551646</v>
      </c>
      <c r="D1434" s="28" t="n">
        <v>18468566.3885542</v>
      </c>
      <c r="E1434" s="28" t="n">
        <v>16457024.0553125</v>
      </c>
      <c r="F1434" s="28" t="n">
        <v>34925590.4438667</v>
      </c>
      <c r="G1434" s="28" t="n">
        <v>493876684.496334</v>
      </c>
      <c r="H1434" s="25" t="n">
        <f aca="false">J1433</f>
        <v>510333708.551646</v>
      </c>
      <c r="I1434" s="25" t="n">
        <f aca="false">H1434*N1434</f>
        <v>18468566.3885542</v>
      </c>
      <c r="J1434" s="25" t="n">
        <f aca="false">H1434+I1434-F1434</f>
        <v>493876684.496334</v>
      </c>
      <c r="K1434" s="25" t="n">
        <f aca="false">D1434-I1434</f>
        <v>0</v>
      </c>
      <c r="L1434" s="25" t="n">
        <f aca="false">G1434-J1434</f>
        <v>0</v>
      </c>
      <c r="M1434" s="25" t="n">
        <f aca="false">F1434</f>
        <v>34925590.4438667</v>
      </c>
      <c r="N1434" s="49" t="n">
        <f aca="false">$C$1421</f>
        <v>0.036189195577476</v>
      </c>
      <c r="O1434" s="25" t="n">
        <f aca="false">IF(AND(B1434&gt;=DATE(2026,1,1),B1434&lt;=Resumen!$C$5),1,0)</f>
        <v>0</v>
      </c>
      <c r="P1434" s="25" t="n">
        <f aca="false">IF(AND(B1434&gt;Resumen!$C$5,B1434&lt;=DATE(2027,7,31)),1,0)</f>
        <v>0</v>
      </c>
    </row>
    <row r="1435" customFormat="false" ht="15" hidden="false" customHeight="false" outlineLevel="0" collapsed="false">
      <c r="A1435" s="22" t="n">
        <v>9</v>
      </c>
      <c r="B1435" s="23" t="n">
        <v>45770</v>
      </c>
      <c r="C1435" s="28" t="n">
        <v>493876684.496334</v>
      </c>
      <c r="D1435" s="28" t="n">
        <v>17872999.9263932</v>
      </c>
      <c r="E1435" s="28" t="n">
        <v>17052590.5174735</v>
      </c>
      <c r="F1435" s="28" t="n">
        <v>34925590.4438667</v>
      </c>
      <c r="G1435" s="28" t="n">
        <v>476824093.97886</v>
      </c>
      <c r="H1435" s="25" t="n">
        <f aca="false">J1434</f>
        <v>493876684.496334</v>
      </c>
      <c r="I1435" s="25" t="n">
        <f aca="false">H1435*N1435</f>
        <v>17872999.9263932</v>
      </c>
      <c r="J1435" s="25" t="n">
        <f aca="false">H1435+I1435-F1435</f>
        <v>476824093.97886</v>
      </c>
      <c r="K1435" s="25" t="n">
        <f aca="false">D1435-I1435</f>
        <v>0</v>
      </c>
      <c r="L1435" s="25" t="n">
        <f aca="false">G1435-J1435</f>
        <v>0</v>
      </c>
      <c r="M1435" s="25" t="n">
        <f aca="false">F1435</f>
        <v>34925590.4438667</v>
      </c>
      <c r="N1435" s="49" t="n">
        <f aca="false">$C$1421</f>
        <v>0.036189195577476</v>
      </c>
      <c r="O1435" s="25" t="n">
        <f aca="false">IF(AND(B1435&gt;=DATE(2026,1,1),B1435&lt;=Resumen!$C$5),1,0)</f>
        <v>0</v>
      </c>
      <c r="P1435" s="25" t="n">
        <f aca="false">IF(AND(B1435&gt;Resumen!$C$5,B1435&lt;=DATE(2027,7,31)),1,0)</f>
        <v>0</v>
      </c>
    </row>
    <row r="1436" customFormat="false" ht="15" hidden="false" customHeight="false" outlineLevel="0" collapsed="false">
      <c r="A1436" s="22" t="n">
        <v>10</v>
      </c>
      <c r="B1436" s="23" t="n">
        <v>45861</v>
      </c>
      <c r="C1436" s="28" t="n">
        <v>476824093.97886</v>
      </c>
      <c r="D1436" s="28" t="n">
        <v>17255880.3930538</v>
      </c>
      <c r="E1436" s="28" t="n">
        <v>17669710.0508129</v>
      </c>
      <c r="F1436" s="28" t="n">
        <v>34925590.4438667</v>
      </c>
      <c r="G1436" s="28" t="n">
        <v>459154383.928047</v>
      </c>
      <c r="H1436" s="25" t="n">
        <f aca="false">J1435</f>
        <v>476824093.97886</v>
      </c>
      <c r="I1436" s="25" t="n">
        <f aca="false">H1436*N1436</f>
        <v>17255880.3930538</v>
      </c>
      <c r="J1436" s="25" t="n">
        <f aca="false">H1436+I1436-F1436</f>
        <v>459154383.928048</v>
      </c>
      <c r="K1436" s="25" t="n">
        <f aca="false">D1436-I1436</f>
        <v>0</v>
      </c>
      <c r="L1436" s="25" t="n">
        <f aca="false">G1436-J1436</f>
        <v>0</v>
      </c>
      <c r="M1436" s="25" t="n">
        <f aca="false">F1436</f>
        <v>34925590.4438667</v>
      </c>
      <c r="N1436" s="49" t="n">
        <f aca="false">$C$1421</f>
        <v>0.036189195577476</v>
      </c>
      <c r="O1436" s="25" t="n">
        <f aca="false">IF(AND(B1436&gt;=DATE(2026,1,1),B1436&lt;=Resumen!$C$5),1,0)</f>
        <v>0</v>
      </c>
      <c r="P1436" s="25" t="n">
        <f aca="false">IF(AND(B1436&gt;Resumen!$C$5,B1436&lt;=DATE(2027,7,31)),1,0)</f>
        <v>0</v>
      </c>
    </row>
    <row r="1437" customFormat="false" ht="15" hidden="false" customHeight="false" outlineLevel="0" collapsed="false">
      <c r="A1437" s="22" t="n">
        <v>11</v>
      </c>
      <c r="B1437" s="23" t="n">
        <v>45953</v>
      </c>
      <c r="C1437" s="28" t="n">
        <v>459154383.928047</v>
      </c>
      <c r="D1437" s="28" t="n">
        <v>16616427.8002276</v>
      </c>
      <c r="E1437" s="28" t="n">
        <v>18309162.643639</v>
      </c>
      <c r="F1437" s="28" t="n">
        <v>34925590.4438667</v>
      </c>
      <c r="G1437" s="28" t="n">
        <v>440845221.284408</v>
      </c>
      <c r="H1437" s="25" t="n">
        <f aca="false">J1436</f>
        <v>459154383.928048</v>
      </c>
      <c r="I1437" s="25" t="n">
        <f aca="false">H1437*N1437</f>
        <v>16616427.8002276</v>
      </c>
      <c r="J1437" s="25" t="n">
        <f aca="false">H1437+I1437-F1437</f>
        <v>440845221.284408</v>
      </c>
      <c r="K1437" s="25" t="n">
        <f aca="false">D1437-I1437</f>
        <v>0</v>
      </c>
      <c r="L1437" s="25" t="n">
        <f aca="false">G1437-J1437</f>
        <v>0</v>
      </c>
      <c r="M1437" s="25" t="n">
        <f aca="false">F1437</f>
        <v>34925590.4438667</v>
      </c>
      <c r="N1437" s="49" t="n">
        <f aca="false">$C$1421</f>
        <v>0.036189195577476</v>
      </c>
      <c r="O1437" s="25" t="n">
        <f aca="false">IF(AND(B1437&gt;=DATE(2026,1,1),B1437&lt;=Resumen!$C$5),1,0)</f>
        <v>0</v>
      </c>
      <c r="P1437" s="25" t="n">
        <f aca="false">IF(AND(B1437&gt;Resumen!$C$5,B1437&lt;=DATE(2027,7,31)),1,0)</f>
        <v>0</v>
      </c>
    </row>
    <row r="1438" customFormat="false" ht="15" hidden="false" customHeight="false" outlineLevel="0" collapsed="false">
      <c r="A1438" s="22" t="n">
        <v>12</v>
      </c>
      <c r="B1438" s="23" t="n">
        <v>46045</v>
      </c>
      <c r="C1438" s="28" t="n">
        <v>440845221.284408</v>
      </c>
      <c r="D1438" s="28" t="n">
        <v>15953833.9324572</v>
      </c>
      <c r="E1438" s="28" t="n">
        <v>18971756.5114095</v>
      </c>
      <c r="F1438" s="28" t="n">
        <v>34925590.4438667</v>
      </c>
      <c r="G1438" s="28" t="n">
        <v>421873464.772999</v>
      </c>
      <c r="H1438" s="25" t="n">
        <f aca="false">J1437</f>
        <v>440845221.284408</v>
      </c>
      <c r="I1438" s="25" t="n">
        <f aca="false">H1438*N1438</f>
        <v>15953833.9324572</v>
      </c>
      <c r="J1438" s="25" t="n">
        <f aca="false">H1438+I1438-F1438</f>
        <v>421873464.772999</v>
      </c>
      <c r="K1438" s="25" t="n">
        <f aca="false">D1438-I1438</f>
        <v>0</v>
      </c>
      <c r="L1438" s="25" t="n">
        <f aca="false">G1438-J1438</f>
        <v>0</v>
      </c>
      <c r="M1438" s="25" t="n">
        <f aca="false">F1438</f>
        <v>34925590.4438667</v>
      </c>
      <c r="N1438" s="49" t="n">
        <f aca="false">$C$1421</f>
        <v>0.036189195577476</v>
      </c>
      <c r="O1438" s="25" t="n">
        <f aca="false">IF(AND(B1438&gt;=DATE(2026,1,1),B1438&lt;=Resumen!$C$5),1,0)</f>
        <v>1</v>
      </c>
      <c r="P1438" s="25" t="n">
        <f aca="false">IF(AND(B1438&gt;Resumen!$C$5,B1438&lt;=DATE(2027,7,31)),1,0)</f>
        <v>0</v>
      </c>
    </row>
    <row r="1439" customFormat="false" ht="15" hidden="false" customHeight="false" outlineLevel="0" collapsed="false">
      <c r="A1439" s="22" t="n">
        <v>13</v>
      </c>
      <c r="B1439" s="23" t="n">
        <v>46135</v>
      </c>
      <c r="C1439" s="28" t="n">
        <v>421873464.772999</v>
      </c>
      <c r="D1439" s="28" t="n">
        <v>15267261.3256175</v>
      </c>
      <c r="E1439" s="28" t="n">
        <v>19658329.1182492</v>
      </c>
      <c r="F1439" s="28" t="n">
        <v>34925590.4438667</v>
      </c>
      <c r="G1439" s="28" t="n">
        <v>402215135.65475</v>
      </c>
      <c r="H1439" s="25" t="n">
        <f aca="false">J1438</f>
        <v>421873464.772999</v>
      </c>
      <c r="I1439" s="25" t="n">
        <f aca="false">H1439*N1439</f>
        <v>15267261.3256175</v>
      </c>
      <c r="J1439" s="25" t="n">
        <f aca="false">H1439+I1439-F1439</f>
        <v>402215135.65475</v>
      </c>
      <c r="K1439" s="25" t="n">
        <f aca="false">D1439-I1439</f>
        <v>0</v>
      </c>
      <c r="L1439" s="25" t="n">
        <f aca="false">G1439-J1439</f>
        <v>0</v>
      </c>
      <c r="M1439" s="25" t="n">
        <f aca="false">F1439</f>
        <v>34925590.4438667</v>
      </c>
      <c r="N1439" s="49" t="n">
        <f aca="false">$C$1421</f>
        <v>0.036189195577476</v>
      </c>
      <c r="O1439" s="25" t="n">
        <f aca="false">IF(AND(B1439&gt;=DATE(2026,1,1),B1439&lt;=Resumen!$C$5),1,0)</f>
        <v>1</v>
      </c>
      <c r="P1439" s="25" t="n">
        <f aca="false">IF(AND(B1439&gt;Resumen!$C$5,B1439&lt;=DATE(2027,7,31)),1,0)</f>
        <v>0</v>
      </c>
    </row>
    <row r="1440" customFormat="false" ht="15" hidden="false" customHeight="false" outlineLevel="0" collapsed="false">
      <c r="A1440" s="22" t="n">
        <v>14</v>
      </c>
      <c r="B1440" s="23" t="n">
        <v>46226</v>
      </c>
      <c r="C1440" s="28" t="n">
        <v>402215135.65475</v>
      </c>
      <c r="D1440" s="28" t="n">
        <v>14555842.2084308</v>
      </c>
      <c r="E1440" s="28" t="n">
        <v>20369748.2354359</v>
      </c>
      <c r="F1440" s="28" t="n">
        <v>34925590.4438667</v>
      </c>
      <c r="G1440" s="28" t="n">
        <v>381845387.419314</v>
      </c>
      <c r="H1440" s="25" t="n">
        <f aca="false">J1439</f>
        <v>402215135.65475</v>
      </c>
      <c r="I1440" s="25" t="n">
        <f aca="false">H1440*N1440</f>
        <v>14555842.2084308</v>
      </c>
      <c r="J1440" s="25" t="n">
        <f aca="false">H1440+I1440-F1440</f>
        <v>381845387.419314</v>
      </c>
      <c r="K1440" s="25" t="n">
        <f aca="false">D1440-I1440</f>
        <v>0</v>
      </c>
      <c r="L1440" s="25" t="n">
        <f aca="false">G1440-J1440</f>
        <v>0</v>
      </c>
      <c r="M1440" s="25" t="n">
        <f aca="false">F1440</f>
        <v>34925590.4438667</v>
      </c>
      <c r="N1440" s="49" t="n">
        <f aca="false">$C$1421</f>
        <v>0.036189195577476</v>
      </c>
      <c r="O1440" s="25" t="n">
        <f aca="false">IF(AND(B1440&gt;=DATE(2026,1,1),B1440&lt;=Resumen!$C$5),1,0)</f>
        <v>1</v>
      </c>
      <c r="P1440" s="25" t="n">
        <f aca="false">IF(AND(B1440&gt;Resumen!$C$5,B1440&lt;=DATE(2027,7,31)),1,0)</f>
        <v>0</v>
      </c>
    </row>
    <row r="1441" customFormat="false" ht="15" hidden="false" customHeight="false" outlineLevel="0" collapsed="false">
      <c r="A1441" s="22" t="n">
        <v>15</v>
      </c>
      <c r="B1441" s="23" t="n">
        <v>46318</v>
      </c>
      <c r="C1441" s="28" t="n">
        <v>381845387.419314</v>
      </c>
      <c r="D1441" s="28" t="n">
        <v>13818677.4056747</v>
      </c>
      <c r="E1441" s="28" t="n">
        <v>21106913.038192</v>
      </c>
      <c r="F1441" s="28" t="n">
        <v>34925590.4438667</v>
      </c>
      <c r="G1441" s="28" t="n">
        <v>360738474.381122</v>
      </c>
      <c r="H1441" s="25" t="n">
        <f aca="false">J1440</f>
        <v>381845387.419314</v>
      </c>
      <c r="I1441" s="25" t="n">
        <f aca="false">H1441*N1441</f>
        <v>13818677.4056747</v>
      </c>
      <c r="J1441" s="25" t="n">
        <f aca="false">H1441+I1441-F1441</f>
        <v>360738474.381122</v>
      </c>
      <c r="K1441" s="25" t="n">
        <f aca="false">D1441-I1441</f>
        <v>0</v>
      </c>
      <c r="L1441" s="25" t="n">
        <f aca="false">G1441-J1441</f>
        <v>0</v>
      </c>
      <c r="M1441" s="25" t="n">
        <f aca="false">F1441</f>
        <v>34925590.4438667</v>
      </c>
      <c r="N1441" s="49" t="n">
        <f aca="false">$C$1421</f>
        <v>0.036189195577476</v>
      </c>
      <c r="O1441" s="25" t="n">
        <f aca="false">IF(AND(B1441&gt;=DATE(2026,1,1),B1441&lt;=Resumen!$C$5),1,0)</f>
        <v>0</v>
      </c>
      <c r="P1441" s="25" t="n">
        <f aca="false">IF(AND(B1441&gt;Resumen!$C$5,B1441&lt;=DATE(2027,7,31)),1,0)</f>
        <v>1</v>
      </c>
    </row>
    <row r="1442" customFormat="false" ht="15" hidden="false" customHeight="false" outlineLevel="0" collapsed="false">
      <c r="A1442" s="22" t="n">
        <v>16</v>
      </c>
      <c r="B1442" s="23" t="n">
        <v>46410</v>
      </c>
      <c r="C1442" s="28" t="n">
        <v>360738474.381122</v>
      </c>
      <c r="D1442" s="28" t="n">
        <v>13054835.2016987</v>
      </c>
      <c r="E1442" s="28" t="n">
        <v>21870755.242168</v>
      </c>
      <c r="F1442" s="28" t="n">
        <v>34925590.4438667</v>
      </c>
      <c r="G1442" s="28" t="n">
        <v>338867719.138954</v>
      </c>
      <c r="H1442" s="25" t="n">
        <f aca="false">J1441</f>
        <v>360738474.381122</v>
      </c>
      <c r="I1442" s="25" t="n">
        <f aca="false">H1442*N1442</f>
        <v>13054835.2016987</v>
      </c>
      <c r="J1442" s="25" t="n">
        <f aca="false">H1442+I1442-F1442</f>
        <v>338867719.138954</v>
      </c>
      <c r="K1442" s="25" t="n">
        <f aca="false">D1442-I1442</f>
        <v>0</v>
      </c>
      <c r="L1442" s="25" t="n">
        <f aca="false">G1442-J1442</f>
        <v>0</v>
      </c>
      <c r="M1442" s="25" t="n">
        <f aca="false">F1442</f>
        <v>34925590.4438667</v>
      </c>
      <c r="N1442" s="49" t="n">
        <f aca="false">$C$1421</f>
        <v>0.036189195577476</v>
      </c>
      <c r="O1442" s="25" t="n">
        <f aca="false">IF(AND(B1442&gt;=DATE(2026,1,1),B1442&lt;=Resumen!$C$5),1,0)</f>
        <v>0</v>
      </c>
      <c r="P1442" s="25" t="n">
        <f aca="false">IF(AND(B1442&gt;Resumen!$C$5,B1442&lt;=DATE(2027,7,31)),1,0)</f>
        <v>1</v>
      </c>
    </row>
    <row r="1443" customFormat="false" ht="15" hidden="false" customHeight="false" outlineLevel="0" collapsed="false">
      <c r="A1443" s="22" t="n">
        <v>17</v>
      </c>
      <c r="B1443" s="23" t="n">
        <v>46500</v>
      </c>
      <c r="C1443" s="28" t="n">
        <v>338867719.138954</v>
      </c>
      <c r="D1443" s="28" t="n">
        <v>12263350.1628128</v>
      </c>
      <c r="E1443" s="28" t="n">
        <v>22662240.2810538</v>
      </c>
      <c r="F1443" s="28" t="n">
        <v>34925590.4438667</v>
      </c>
      <c r="G1443" s="28" t="n">
        <v>316205478.8579</v>
      </c>
      <c r="H1443" s="25" t="n">
        <f aca="false">J1442</f>
        <v>338867719.138954</v>
      </c>
      <c r="I1443" s="25" t="n">
        <f aca="false">H1443*N1443</f>
        <v>12263350.1628128</v>
      </c>
      <c r="J1443" s="25" t="n">
        <f aca="false">H1443+I1443-F1443</f>
        <v>316205478.8579</v>
      </c>
      <c r="K1443" s="25" t="n">
        <f aca="false">D1443-I1443</f>
        <v>0</v>
      </c>
      <c r="L1443" s="25" t="n">
        <f aca="false">G1443-J1443</f>
        <v>0</v>
      </c>
      <c r="M1443" s="25" t="n">
        <f aca="false">F1443</f>
        <v>34925590.4438667</v>
      </c>
      <c r="N1443" s="49" t="n">
        <f aca="false">$C$1421</f>
        <v>0.036189195577476</v>
      </c>
      <c r="O1443" s="25" t="n">
        <f aca="false">IF(AND(B1443&gt;=DATE(2026,1,1),B1443&lt;=Resumen!$C$5),1,0)</f>
        <v>0</v>
      </c>
      <c r="P1443" s="25" t="n">
        <f aca="false">IF(AND(B1443&gt;Resumen!$C$5,B1443&lt;=DATE(2027,7,31)),1,0)</f>
        <v>1</v>
      </c>
    </row>
    <row r="1444" customFormat="false" ht="15" hidden="false" customHeight="false" outlineLevel="0" collapsed="false">
      <c r="A1444" s="22" t="n">
        <v>18</v>
      </c>
      <c r="B1444" s="23" t="n">
        <v>46591</v>
      </c>
      <c r="C1444" s="28" t="n">
        <v>316205478.8579</v>
      </c>
      <c r="D1444" s="28" t="n">
        <v>11443221.917058</v>
      </c>
      <c r="E1444" s="28" t="n">
        <v>23482368.5268087</v>
      </c>
      <c r="F1444" s="28" t="n">
        <v>34925590.4438667</v>
      </c>
      <c r="G1444" s="28" t="n">
        <v>292723110.331091</v>
      </c>
      <c r="H1444" s="25" t="n">
        <f aca="false">J1443</f>
        <v>316205478.8579</v>
      </c>
      <c r="I1444" s="25" t="n">
        <f aca="false">H1444*N1444</f>
        <v>11443221.917058</v>
      </c>
      <c r="J1444" s="25" t="n">
        <f aca="false">H1444+I1444-F1444</f>
        <v>292723110.331091</v>
      </c>
      <c r="K1444" s="25" t="n">
        <f aca="false">D1444-I1444</f>
        <v>0</v>
      </c>
      <c r="L1444" s="25" t="n">
        <f aca="false">G1444-J1444</f>
        <v>0</v>
      </c>
      <c r="M1444" s="25" t="n">
        <f aca="false">F1444</f>
        <v>34925590.4438667</v>
      </c>
      <c r="N1444" s="49" t="n">
        <f aca="false">$C$1421</f>
        <v>0.036189195577476</v>
      </c>
      <c r="O1444" s="25" t="n">
        <f aca="false">IF(AND(B1444&gt;=DATE(2026,1,1),B1444&lt;=Resumen!$C$5),1,0)</f>
        <v>0</v>
      </c>
      <c r="P1444" s="25" t="n">
        <f aca="false">IF(AND(B1444&gt;Resumen!$C$5,B1444&lt;=DATE(2027,7,31)),1,0)</f>
        <v>1</v>
      </c>
    </row>
    <row r="1445" customFormat="false" ht="15" hidden="false" customHeight="false" outlineLevel="0" collapsed="false">
      <c r="A1445" s="22" t="n">
        <v>19</v>
      </c>
      <c r="B1445" s="23" t="n">
        <v>46683</v>
      </c>
      <c r="C1445" s="28" t="n">
        <v>292723110.331091</v>
      </c>
      <c r="D1445" s="28" t="n">
        <v>10593413.889819</v>
      </c>
      <c r="E1445" s="28" t="n">
        <v>24332176.5540477</v>
      </c>
      <c r="F1445" s="28" t="n">
        <v>34925590.4438667</v>
      </c>
      <c r="G1445" s="28" t="n">
        <v>268390933.777044</v>
      </c>
      <c r="H1445" s="25" t="n">
        <f aca="false">J1444</f>
        <v>292723110.331091</v>
      </c>
      <c r="I1445" s="25" t="n">
        <f aca="false">H1445*N1445</f>
        <v>10593413.889819</v>
      </c>
      <c r="J1445" s="25" t="n">
        <f aca="false">H1445+I1445-F1445</f>
        <v>268390933.777044</v>
      </c>
      <c r="K1445" s="25" t="n">
        <f aca="false">D1445-I1445</f>
        <v>0</v>
      </c>
      <c r="L1445" s="25" t="n">
        <f aca="false">G1445-J1445</f>
        <v>0</v>
      </c>
      <c r="M1445" s="25" t="n">
        <f aca="false">F1445</f>
        <v>34925590.4438667</v>
      </c>
      <c r="N1445" s="49" t="n">
        <f aca="false">$C$1421</f>
        <v>0.036189195577476</v>
      </c>
      <c r="O1445" s="25" t="n">
        <f aca="false">IF(AND(B1445&gt;=DATE(2026,1,1),B1445&lt;=Resumen!$C$5),1,0)</f>
        <v>0</v>
      </c>
      <c r="P1445" s="25" t="n">
        <f aca="false">IF(AND(B1445&gt;Resumen!$C$5,B1445&lt;=DATE(2027,7,31)),1,0)</f>
        <v>0</v>
      </c>
    </row>
    <row r="1446" customFormat="false" ht="15" hidden="false" customHeight="false" outlineLevel="0" collapsed="false">
      <c r="A1446" s="22" t="n">
        <v>20</v>
      </c>
      <c r="B1446" s="23" t="n">
        <v>46775</v>
      </c>
      <c r="C1446" s="28" t="n">
        <v>268390933.777044</v>
      </c>
      <c r="D1446" s="28" t="n">
        <v>9712851.99367885</v>
      </c>
      <c r="E1446" s="28" t="n">
        <v>25212738.4501878</v>
      </c>
      <c r="F1446" s="28" t="n">
        <v>34925590.4438667</v>
      </c>
      <c r="G1446" s="28" t="n">
        <v>243178195.326856</v>
      </c>
      <c r="H1446" s="25" t="n">
        <f aca="false">J1445</f>
        <v>268390933.777044</v>
      </c>
      <c r="I1446" s="25" t="n">
        <f aca="false">H1446*N1446</f>
        <v>9712851.99367885</v>
      </c>
      <c r="J1446" s="25" t="n">
        <f aca="false">H1446+I1446-F1446</f>
        <v>243178195.326856</v>
      </c>
      <c r="K1446" s="25" t="n">
        <f aca="false">D1446-I1446</f>
        <v>0</v>
      </c>
      <c r="L1446" s="25" t="n">
        <f aca="false">G1446-J1446</f>
        <v>0</v>
      </c>
      <c r="M1446" s="25" t="n">
        <f aca="false">F1446</f>
        <v>34925590.4438667</v>
      </c>
      <c r="N1446" s="49" t="n">
        <f aca="false">$C$1421</f>
        <v>0.036189195577476</v>
      </c>
      <c r="O1446" s="25" t="n">
        <f aca="false">IF(AND(B1446&gt;=DATE(2026,1,1),B1446&lt;=Resumen!$C$5),1,0)</f>
        <v>0</v>
      </c>
      <c r="P1446" s="25" t="n">
        <f aca="false">IF(AND(B1446&gt;Resumen!$C$5,B1446&lt;=DATE(2027,7,31)),1,0)</f>
        <v>0</v>
      </c>
    </row>
    <row r="1447" customFormat="false" ht="15" hidden="false" customHeight="false" outlineLevel="0" collapsed="false">
      <c r="A1447" s="22" t="n">
        <v>21</v>
      </c>
      <c r="B1447" s="23" t="n">
        <v>46866</v>
      </c>
      <c r="C1447" s="28" t="n">
        <v>243178195.326856</v>
      </c>
      <c r="D1447" s="28" t="n">
        <v>8800423.27086125</v>
      </c>
      <c r="E1447" s="28" t="n">
        <v>26125167.1730054</v>
      </c>
      <c r="F1447" s="28" t="n">
        <v>34925590.4438667</v>
      </c>
      <c r="G1447" s="28" t="n">
        <v>217053028.15385</v>
      </c>
      <c r="H1447" s="25" t="n">
        <f aca="false">J1446</f>
        <v>243178195.326856</v>
      </c>
      <c r="I1447" s="25" t="n">
        <f aca="false">H1447*N1447</f>
        <v>8800423.27086125</v>
      </c>
      <c r="J1447" s="25" t="n">
        <f aca="false">H1447+I1447-F1447</f>
        <v>217053028.15385</v>
      </c>
      <c r="K1447" s="25" t="n">
        <f aca="false">D1447-I1447</f>
        <v>0</v>
      </c>
      <c r="L1447" s="25" t="n">
        <f aca="false">G1447-J1447</f>
        <v>0</v>
      </c>
      <c r="M1447" s="25" t="n">
        <f aca="false">F1447</f>
        <v>34925590.4438667</v>
      </c>
      <c r="N1447" s="49" t="n">
        <f aca="false">$C$1421</f>
        <v>0.036189195577476</v>
      </c>
      <c r="O1447" s="25" t="n">
        <f aca="false">IF(AND(B1447&gt;=DATE(2026,1,1),B1447&lt;=Resumen!$C$5),1,0)</f>
        <v>0</v>
      </c>
      <c r="P1447" s="25" t="n">
        <f aca="false">IF(AND(B1447&gt;Resumen!$C$5,B1447&lt;=DATE(2027,7,31)),1,0)</f>
        <v>0</v>
      </c>
    </row>
    <row r="1448" customFormat="false" ht="15" hidden="false" customHeight="false" outlineLevel="0" collapsed="false">
      <c r="A1448" s="22" t="n">
        <v>22</v>
      </c>
      <c r="B1448" s="23" t="n">
        <v>46957</v>
      </c>
      <c r="C1448" s="28" t="n">
        <v>217053028.15385</v>
      </c>
      <c r="D1448" s="28" t="n">
        <v>7854974.4865431</v>
      </c>
      <c r="E1448" s="28" t="n">
        <v>27070615.9573236</v>
      </c>
      <c r="F1448" s="28" t="n">
        <v>34925590.4438667</v>
      </c>
      <c r="G1448" s="28" t="n">
        <v>189982412.196527</v>
      </c>
      <c r="H1448" s="25" t="n">
        <f aca="false">J1447</f>
        <v>217053028.15385</v>
      </c>
      <c r="I1448" s="25" t="n">
        <f aca="false">H1448*N1448</f>
        <v>7854974.4865431</v>
      </c>
      <c r="J1448" s="25" t="n">
        <f aca="false">H1448+I1448-F1448</f>
        <v>189982412.196527</v>
      </c>
      <c r="K1448" s="25" t="n">
        <f aca="false">D1448-I1448</f>
        <v>0</v>
      </c>
      <c r="L1448" s="25" t="n">
        <f aca="false">G1448-J1448</f>
        <v>0</v>
      </c>
      <c r="M1448" s="25" t="n">
        <f aca="false">F1448</f>
        <v>34925590.4438667</v>
      </c>
      <c r="N1448" s="49" t="n">
        <f aca="false">$C$1421</f>
        <v>0.036189195577476</v>
      </c>
      <c r="O1448" s="25" t="n">
        <f aca="false">IF(AND(B1448&gt;=DATE(2026,1,1),B1448&lt;=Resumen!$C$5),1,0)</f>
        <v>0</v>
      </c>
      <c r="P1448" s="25" t="n">
        <f aca="false">IF(AND(B1448&gt;Resumen!$C$5,B1448&lt;=DATE(2027,7,31)),1,0)</f>
        <v>0</v>
      </c>
    </row>
    <row r="1449" customFormat="false" ht="15" hidden="false" customHeight="false" outlineLevel="0" collapsed="false">
      <c r="A1449" s="22" t="n">
        <v>23</v>
      </c>
      <c r="B1449" s="23" t="n">
        <v>47049</v>
      </c>
      <c r="C1449" s="28" t="n">
        <v>189982412.196527</v>
      </c>
      <c r="D1449" s="28" t="n">
        <v>6875310.67126077</v>
      </c>
      <c r="E1449" s="28" t="n">
        <v>28050279.7726059</v>
      </c>
      <c r="F1449" s="28" t="n">
        <v>34925590.4438667</v>
      </c>
      <c r="G1449" s="28" t="n">
        <v>161932132.423921</v>
      </c>
      <c r="H1449" s="25" t="n">
        <f aca="false">J1448</f>
        <v>189982412.196527</v>
      </c>
      <c r="I1449" s="25" t="n">
        <f aca="false">H1449*N1449</f>
        <v>6875310.67126078</v>
      </c>
      <c r="J1449" s="25" t="n">
        <f aca="false">H1449+I1449-F1449</f>
        <v>161932132.423921</v>
      </c>
      <c r="K1449" s="25" t="n">
        <f aca="false">D1449-I1449</f>
        <v>0</v>
      </c>
      <c r="L1449" s="25" t="n">
        <f aca="false">G1449-J1449</f>
        <v>0</v>
      </c>
      <c r="M1449" s="25" t="n">
        <f aca="false">F1449</f>
        <v>34925590.4438667</v>
      </c>
      <c r="N1449" s="49" t="n">
        <f aca="false">$C$1421</f>
        <v>0.036189195577476</v>
      </c>
      <c r="O1449" s="25" t="n">
        <f aca="false">IF(AND(B1449&gt;=DATE(2026,1,1),B1449&lt;=Resumen!$C$5),1,0)</f>
        <v>0</v>
      </c>
      <c r="P1449" s="25" t="n">
        <f aca="false">IF(AND(B1449&gt;Resumen!$C$5,B1449&lt;=DATE(2027,7,31)),1,0)</f>
        <v>0</v>
      </c>
    </row>
    <row r="1450" customFormat="false" ht="15" hidden="false" customHeight="false" outlineLevel="0" collapsed="false">
      <c r="A1450" s="22" t="n">
        <v>24</v>
      </c>
      <c r="B1450" s="23" t="n">
        <v>47141</v>
      </c>
      <c r="C1450" s="28" t="n">
        <v>161932132.423921</v>
      </c>
      <c r="D1450" s="28" t="n">
        <v>5860193.61056702</v>
      </c>
      <c r="E1450" s="28" t="n">
        <v>29065396.8332996</v>
      </c>
      <c r="F1450" s="28" t="n">
        <v>34925590.4438667</v>
      </c>
      <c r="G1450" s="28" t="n">
        <v>132866735.590621</v>
      </c>
      <c r="H1450" s="25" t="n">
        <f aca="false">J1449</f>
        <v>161932132.423921</v>
      </c>
      <c r="I1450" s="25" t="n">
        <f aca="false">H1450*N1450</f>
        <v>5860193.61056702</v>
      </c>
      <c r="J1450" s="25" t="n">
        <f aca="false">H1450+I1450-F1450</f>
        <v>132866735.590621</v>
      </c>
      <c r="K1450" s="25" t="n">
        <f aca="false">D1450-I1450</f>
        <v>0</v>
      </c>
      <c r="L1450" s="25" t="n">
        <f aca="false">G1450-J1450</f>
        <v>0</v>
      </c>
      <c r="M1450" s="25" t="n">
        <f aca="false">F1450</f>
        <v>34925590.4438667</v>
      </c>
      <c r="N1450" s="49" t="n">
        <f aca="false">$C$1421</f>
        <v>0.036189195577476</v>
      </c>
      <c r="O1450" s="25" t="n">
        <f aca="false">IF(AND(B1450&gt;=DATE(2026,1,1),B1450&lt;=Resumen!$C$5),1,0)</f>
        <v>0</v>
      </c>
      <c r="P1450" s="25" t="n">
        <f aca="false">IF(AND(B1450&gt;Resumen!$C$5,B1450&lt;=DATE(2027,7,31)),1,0)</f>
        <v>0</v>
      </c>
    </row>
    <row r="1451" customFormat="false" ht="15" hidden="false" customHeight="false" outlineLevel="0" collapsed="false">
      <c r="A1451" s="22" t="n">
        <v>25</v>
      </c>
      <c r="B1451" s="23" t="n">
        <v>47231</v>
      </c>
      <c r="C1451" s="28" t="n">
        <v>132866735.590621</v>
      </c>
      <c r="D1451" s="28" t="n">
        <v>4808340.28002979</v>
      </c>
      <c r="E1451" s="28" t="n">
        <v>30117250.1638369</v>
      </c>
      <c r="F1451" s="28" t="n">
        <v>34925590.4438667</v>
      </c>
      <c r="G1451" s="28" t="n">
        <v>102749485.426784</v>
      </c>
      <c r="H1451" s="25" t="n">
        <f aca="false">J1450</f>
        <v>132866735.590621</v>
      </c>
      <c r="I1451" s="25" t="n">
        <f aca="false">H1451*N1451</f>
        <v>4808340.28002979</v>
      </c>
      <c r="J1451" s="25" t="n">
        <f aca="false">H1451+I1451-F1451</f>
        <v>102749485.426784</v>
      </c>
      <c r="K1451" s="25" t="n">
        <f aca="false">D1451-I1451</f>
        <v>0</v>
      </c>
      <c r="L1451" s="25" t="n">
        <f aca="false">G1451-J1451</f>
        <v>0</v>
      </c>
      <c r="M1451" s="25" t="n">
        <f aca="false">F1451</f>
        <v>34925590.4438667</v>
      </c>
      <c r="N1451" s="49" t="n">
        <f aca="false">$C$1421</f>
        <v>0.036189195577476</v>
      </c>
      <c r="O1451" s="25" t="n">
        <f aca="false">IF(AND(B1451&gt;=DATE(2026,1,1),B1451&lt;=Resumen!$C$5),1,0)</f>
        <v>0</v>
      </c>
      <c r="P1451" s="25" t="n">
        <f aca="false">IF(AND(B1451&gt;Resumen!$C$5,B1451&lt;=DATE(2027,7,31)),1,0)</f>
        <v>0</v>
      </c>
    </row>
    <row r="1452" customFormat="false" ht="15" hidden="false" customHeight="false" outlineLevel="0" collapsed="false">
      <c r="A1452" s="22" t="n">
        <v>26</v>
      </c>
      <c r="B1452" s="23" t="n">
        <v>47322</v>
      </c>
      <c r="C1452" s="28" t="n">
        <v>102749485.426784</v>
      </c>
      <c r="D1452" s="28" t="n">
        <v>3718421.22359492</v>
      </c>
      <c r="E1452" s="28" t="n">
        <v>31207169.2202718</v>
      </c>
      <c r="F1452" s="28" t="n">
        <v>34925590.4438667</v>
      </c>
      <c r="G1452" s="28" t="n">
        <v>71542316.2065126</v>
      </c>
      <c r="H1452" s="25" t="n">
        <f aca="false">J1451</f>
        <v>102749485.426784</v>
      </c>
      <c r="I1452" s="25" t="n">
        <f aca="false">H1452*N1452</f>
        <v>3718421.22359492</v>
      </c>
      <c r="J1452" s="25" t="n">
        <f aca="false">H1452+I1452-F1452</f>
        <v>71542316.2065126</v>
      </c>
      <c r="K1452" s="25" t="n">
        <f aca="false">D1452-I1452</f>
        <v>0</v>
      </c>
      <c r="L1452" s="25" t="n">
        <f aca="false">G1452-J1452</f>
        <v>0</v>
      </c>
      <c r="M1452" s="25" t="n">
        <f aca="false">F1452</f>
        <v>34925590.4438667</v>
      </c>
      <c r="N1452" s="49" t="n">
        <f aca="false">$C$1421</f>
        <v>0.036189195577476</v>
      </c>
      <c r="O1452" s="25" t="n">
        <f aca="false">IF(AND(B1452&gt;=DATE(2026,1,1),B1452&lt;=Resumen!$C$5),1,0)</f>
        <v>0</v>
      </c>
      <c r="P1452" s="25" t="n">
        <f aca="false">IF(AND(B1452&gt;Resumen!$C$5,B1452&lt;=DATE(2027,7,31)),1,0)</f>
        <v>0</v>
      </c>
    </row>
    <row r="1453" customFormat="false" ht="15" hidden="false" customHeight="false" outlineLevel="0" collapsed="false">
      <c r="A1453" s="22" t="n">
        <v>27</v>
      </c>
      <c r="B1453" s="23" t="n">
        <v>47414</v>
      </c>
      <c r="C1453" s="28" t="n">
        <v>71542316.2065126</v>
      </c>
      <c r="D1453" s="28" t="n">
        <v>2589058.87326312</v>
      </c>
      <c r="E1453" s="28" t="n">
        <v>32336531.5706036</v>
      </c>
      <c r="F1453" s="28" t="n">
        <v>34925590.4438667</v>
      </c>
      <c r="G1453" s="28" t="n">
        <v>39205784.635909</v>
      </c>
      <c r="H1453" s="25" t="n">
        <f aca="false">J1452</f>
        <v>71542316.2065126</v>
      </c>
      <c r="I1453" s="25" t="n">
        <f aca="false">H1453*N1453</f>
        <v>2589058.87326312</v>
      </c>
      <c r="J1453" s="25" t="n">
        <f aca="false">H1453+I1453-F1453</f>
        <v>39205784.6359091</v>
      </c>
      <c r="K1453" s="25" t="n">
        <f aca="false">D1453-I1453</f>
        <v>0</v>
      </c>
      <c r="L1453" s="25" t="n">
        <f aca="false">G1453-J1453</f>
        <v>0</v>
      </c>
      <c r="M1453" s="25" t="n">
        <f aca="false">F1453</f>
        <v>34925590.4438667</v>
      </c>
      <c r="N1453" s="49" t="n">
        <f aca="false">$C$1421</f>
        <v>0.036189195577476</v>
      </c>
      <c r="O1453" s="25" t="n">
        <f aca="false">IF(AND(B1453&gt;=DATE(2026,1,1),B1453&lt;=Resumen!$C$5),1,0)</f>
        <v>0</v>
      </c>
      <c r="P1453" s="25" t="n">
        <f aca="false">IF(AND(B1453&gt;Resumen!$C$5,B1453&lt;=DATE(2027,7,31)),1,0)</f>
        <v>0</v>
      </c>
    </row>
    <row r="1454" customFormat="false" ht="15" hidden="false" customHeight="false" outlineLevel="0" collapsed="false">
      <c r="A1454" s="22" t="n">
        <v>28</v>
      </c>
      <c r="B1454" s="23" t="n">
        <v>47506</v>
      </c>
      <c r="C1454" s="28" t="n">
        <v>39205784.635909</v>
      </c>
      <c r="D1454" s="28" t="n">
        <v>1418825.80795732</v>
      </c>
      <c r="E1454" s="28" t="n">
        <v>39205784.6359094</v>
      </c>
      <c r="F1454" s="28" t="n">
        <v>40624610.4438667</v>
      </c>
      <c r="G1454" s="28" t="n">
        <v>-3.20374965667725E-007</v>
      </c>
      <c r="H1454" s="25" t="n">
        <f aca="false">J1453</f>
        <v>39205784.6359091</v>
      </c>
      <c r="I1454" s="25" t="n">
        <f aca="false">H1454*N1454</f>
        <v>1418825.80795732</v>
      </c>
      <c r="J1454" s="25" t="n">
        <f aca="false">H1454+I1454-F1454</f>
        <v>-2.75671482086182E-007</v>
      </c>
      <c r="K1454" s="25" t="n">
        <f aca="false">D1454-I1454</f>
        <v>0</v>
      </c>
      <c r="L1454" s="25" t="n">
        <f aca="false">G1454-J1454</f>
        <v>-4.4703483581543E-008</v>
      </c>
      <c r="M1454" s="25" t="n">
        <f aca="false">F1454</f>
        <v>40624610.4438667</v>
      </c>
      <c r="N1454" s="49" t="n">
        <f aca="false">$C$1421</f>
        <v>0.036189195577476</v>
      </c>
      <c r="O1454" s="25" t="n">
        <f aca="false">IF(AND(B1454&gt;=DATE(2026,1,1),B1454&lt;=Resumen!$C$5),1,0)</f>
        <v>0</v>
      </c>
      <c r="P1454" s="25" t="n">
        <f aca="false">IF(AND(B1454&gt;Resumen!$C$5,B1454&lt;=DATE(2027,7,31)),1,0)</f>
        <v>0</v>
      </c>
    </row>
    <row r="1457" customFormat="false" ht="15" hidden="false" customHeight="false" outlineLevel="0" collapsed="false">
      <c r="A1457" s="33" t="s">
        <v>869</v>
      </c>
    </row>
    <row r="1458" customFormat="false" ht="15" hidden="false" customHeight="false" outlineLevel="0" collapsed="false">
      <c r="A1458" s="34" t="s">
        <v>870</v>
      </c>
    </row>
    <row r="1459" customFormat="false" ht="15" hidden="false" customHeight="false" outlineLevel="0" collapsed="false">
      <c r="A1459" s="19" t="s">
        <v>871</v>
      </c>
    </row>
    <row r="1460" customFormat="false" ht="15" hidden="false" customHeight="false" outlineLevel="0" collapsed="false">
      <c r="A1460" s="20" t="s">
        <v>872</v>
      </c>
    </row>
    <row r="1461" customFormat="false" ht="15" hidden="false" customHeight="false" outlineLevel="0" collapsed="false">
      <c r="A1461" s="29" t="s">
        <v>773</v>
      </c>
      <c r="C1461" s="22" t="s">
        <v>873</v>
      </c>
      <c r="F1461" s="47" t="s">
        <v>775</v>
      </c>
    </row>
    <row r="1462" customFormat="false" ht="15" hidden="false" customHeight="false" outlineLevel="0" collapsed="false">
      <c r="A1462" s="29" t="s">
        <v>640</v>
      </c>
      <c r="C1462" s="28" t="n">
        <v>569902000</v>
      </c>
      <c r="F1462" s="22" t="s">
        <v>776</v>
      </c>
      <c r="I1462" s="41" t="n">
        <f aca="false">_xlfn.MAXIFS($B$1470:$B$1498,$B$1470:$B$1498,"&lt;="&amp;Resumen!$C$5)</f>
        <v>46230</v>
      </c>
    </row>
    <row r="1463" customFormat="false" ht="15" hidden="false" customHeight="false" outlineLevel="0" collapsed="false">
      <c r="A1463" s="29" t="s">
        <v>641</v>
      </c>
      <c r="C1463" s="23" t="n">
        <v>44404</v>
      </c>
      <c r="F1463" s="22" t="s">
        <v>777</v>
      </c>
      <c r="I1463" s="25" t="n">
        <f aca="false">SUMIFS($G$1470:$G$1498,$B$1470:$B$1498,I1462)</f>
        <v>196720178.445431</v>
      </c>
    </row>
    <row r="1464" customFormat="false" ht="15" hidden="false" customHeight="false" outlineLevel="0" collapsed="false">
      <c r="A1464" s="29" t="s">
        <v>778</v>
      </c>
      <c r="C1464" s="22" t="s">
        <v>864</v>
      </c>
      <c r="F1464" s="22" t="s">
        <v>780</v>
      </c>
      <c r="I1464" s="25" t="n">
        <f aca="false">SUMIFS($J$1470:$J$1498,$B$1470:$B$1498,I1462)</f>
        <v>196720178.445431</v>
      </c>
    </row>
    <row r="1465" customFormat="false" ht="15" hidden="false" customHeight="false" outlineLevel="0" collapsed="false">
      <c r="A1465" s="29" t="s">
        <v>781</v>
      </c>
      <c r="C1465" s="48" t="n">
        <v>0.00593563846513545</v>
      </c>
      <c r="F1465" s="22" t="s">
        <v>650</v>
      </c>
      <c r="I1465" s="25" t="n">
        <f aca="false">SUMIFS($D$1470:$D$1498,$O$1470:$O$1498,1)</f>
        <v>4327677.93876348</v>
      </c>
    </row>
    <row r="1466" customFormat="false" ht="15" hidden="false" customHeight="false" outlineLevel="0" collapsed="false">
      <c r="A1466" s="29" t="s">
        <v>782</v>
      </c>
      <c r="C1466" s="49" t="n">
        <f aca="false">IFERROR(IRR($M$1470:$M$1498),"N/A")</f>
        <v>0.00593563846513572</v>
      </c>
      <c r="F1466" s="22" t="s">
        <v>783</v>
      </c>
      <c r="I1466" s="25" t="n">
        <f aca="false">SUMIFS($E$1470:$E$1498,$P$1470:$P$1498,1)</f>
        <v>94380151.2290461</v>
      </c>
    </row>
    <row r="1467" customFormat="false" ht="15" hidden="false" customHeight="false" outlineLevel="0" collapsed="false">
      <c r="A1467" s="29" t="s">
        <v>784</v>
      </c>
      <c r="C1467" s="50" t="n">
        <f aca="false">IF(ISNUMBER(C1466),(1+C1466)^4-1,"N/A")</f>
        <v>0.0239547824187594</v>
      </c>
      <c r="F1467" s="22" t="s">
        <v>785</v>
      </c>
      <c r="I1467" s="25" t="n">
        <f aca="false">SUMPRODUCT(MAX(ABS($L$1470:$L$1498)))</f>
        <v>4.47034835815425E-008</v>
      </c>
    </row>
    <row r="1469" customFormat="false" ht="36" hidden="false" customHeight="true" outlineLevel="0" collapsed="false">
      <c r="A1469" s="27" t="s">
        <v>786</v>
      </c>
      <c r="B1469" s="27" t="s">
        <v>396</v>
      </c>
      <c r="C1469" s="27" t="s">
        <v>787</v>
      </c>
      <c r="D1469" s="27" t="s">
        <v>788</v>
      </c>
      <c r="E1469" s="27" t="s">
        <v>789</v>
      </c>
      <c r="F1469" s="27" t="s">
        <v>790</v>
      </c>
      <c r="G1469" s="27" t="s">
        <v>791</v>
      </c>
      <c r="H1469" s="27" t="s">
        <v>792</v>
      </c>
      <c r="I1469" s="27" t="s">
        <v>793</v>
      </c>
      <c r="J1469" s="27" t="s">
        <v>794</v>
      </c>
      <c r="K1469" s="27" t="s">
        <v>795</v>
      </c>
      <c r="L1469" s="27" t="s">
        <v>796</v>
      </c>
      <c r="M1469" s="27" t="s">
        <v>797</v>
      </c>
      <c r="N1469" s="27" t="s">
        <v>798</v>
      </c>
      <c r="O1469" s="27" t="s">
        <v>799</v>
      </c>
      <c r="P1469" s="27" t="s">
        <v>800</v>
      </c>
    </row>
    <row r="1470" customFormat="false" ht="15" hidden="false" customHeight="false" outlineLevel="0" collapsed="false">
      <c r="A1470" s="22" t="n">
        <v>0</v>
      </c>
      <c r="B1470" s="23" t="n">
        <v>44404</v>
      </c>
      <c r="C1470" s="28"/>
      <c r="D1470" s="28" t="n">
        <v>0</v>
      </c>
      <c r="E1470" s="28" t="n">
        <v>0</v>
      </c>
      <c r="F1470" s="28" t="n">
        <v>0</v>
      </c>
      <c r="G1470" s="28" t="n">
        <v>569902000</v>
      </c>
      <c r="H1470" s="25" t="n">
        <f aca="false">G1470</f>
        <v>569902000</v>
      </c>
      <c r="I1470" s="28" t="n">
        <v>0</v>
      </c>
      <c r="J1470" s="25" t="n">
        <f aca="false">H1470</f>
        <v>569902000</v>
      </c>
      <c r="K1470" s="25" t="n">
        <f aca="false">D1470-I1470</f>
        <v>0</v>
      </c>
      <c r="L1470" s="25" t="n">
        <f aca="false">G1470-J1470</f>
        <v>0</v>
      </c>
      <c r="M1470" s="25" t="n">
        <f aca="false">-$C$1462</f>
        <v>-569902000</v>
      </c>
      <c r="N1470" s="49" t="n">
        <f aca="false">$C$1465</f>
        <v>0.00593563846513545</v>
      </c>
      <c r="O1470" s="25" t="n">
        <f aca="false">IF(AND(B1470&gt;=DATE(2026,1,1),B1470&lt;=Resumen!$C$5),1,0)</f>
        <v>0</v>
      </c>
      <c r="P1470" s="25" t="n">
        <f aca="false">IF(AND(B1470&gt;Resumen!$C$5,B1470&lt;=DATE(2027,7,31)),1,0)</f>
        <v>0</v>
      </c>
    </row>
    <row r="1471" customFormat="false" ht="15" hidden="false" customHeight="false" outlineLevel="0" collapsed="false">
      <c r="A1471" s="22" t="n">
        <v>1</v>
      </c>
      <c r="B1471" s="23" t="n">
        <v>44496</v>
      </c>
      <c r="C1471" s="28" t="n">
        <v>569902000</v>
      </c>
      <c r="D1471" s="28" t="n">
        <v>3382732.23255762</v>
      </c>
      <c r="E1471" s="28" t="n">
        <v>4269421.15348077</v>
      </c>
      <c r="F1471" s="28" t="n">
        <v>7652153.38603839</v>
      </c>
      <c r="G1471" s="28" t="n">
        <v>565632578.846519</v>
      </c>
      <c r="H1471" s="25" t="n">
        <f aca="false">J1470</f>
        <v>569902000</v>
      </c>
      <c r="I1471" s="25" t="n">
        <f aca="false">H1471*N1471</f>
        <v>3382732.23255762</v>
      </c>
      <c r="J1471" s="25" t="n">
        <f aca="false">H1471+I1471-F1471</f>
        <v>565632578.846519</v>
      </c>
      <c r="K1471" s="25" t="n">
        <f aca="false">D1471-I1471</f>
        <v>0</v>
      </c>
      <c r="L1471" s="25" t="n">
        <f aca="false">G1471-J1471</f>
        <v>0</v>
      </c>
      <c r="M1471" s="25" t="n">
        <f aca="false">F1471</f>
        <v>7652153.38603839</v>
      </c>
      <c r="N1471" s="49" t="n">
        <f aca="false">$C$1465</f>
        <v>0.00593563846513545</v>
      </c>
      <c r="O1471" s="25" t="n">
        <f aca="false">IF(AND(B1471&gt;=DATE(2026,1,1),B1471&lt;=Resumen!$C$5),1,0)</f>
        <v>0</v>
      </c>
      <c r="P1471" s="25" t="n">
        <f aca="false">IF(AND(B1471&gt;Resumen!$C$5,B1471&lt;=DATE(2027,7,31)),1,0)</f>
        <v>0</v>
      </c>
    </row>
    <row r="1472" customFormat="false" ht="15" hidden="false" customHeight="false" outlineLevel="0" collapsed="false">
      <c r="A1472" s="22" t="n">
        <v>2</v>
      </c>
      <c r="B1472" s="23" t="n">
        <v>44588</v>
      </c>
      <c r="C1472" s="28" t="n">
        <v>565632578.846519</v>
      </c>
      <c r="D1472" s="28" t="n">
        <v>3357390.49213516</v>
      </c>
      <c r="E1472" s="28" t="n">
        <v>4294762.89390326</v>
      </c>
      <c r="F1472" s="28" t="n">
        <v>7652153.38603842</v>
      </c>
      <c r="G1472" s="28" t="n">
        <v>561337815.952616</v>
      </c>
      <c r="H1472" s="25" t="n">
        <f aca="false">J1471</f>
        <v>565632578.846519</v>
      </c>
      <c r="I1472" s="25" t="n">
        <f aca="false">H1472*N1472</f>
        <v>3357390.49213516</v>
      </c>
      <c r="J1472" s="25" t="n">
        <f aca="false">H1472+I1472-F1472</f>
        <v>561337815.952616</v>
      </c>
      <c r="K1472" s="25" t="n">
        <f aca="false">D1472-I1472</f>
        <v>0</v>
      </c>
      <c r="L1472" s="25" t="n">
        <f aca="false">G1472-J1472</f>
        <v>0</v>
      </c>
      <c r="M1472" s="25" t="n">
        <f aca="false">F1472</f>
        <v>7652153.38603842</v>
      </c>
      <c r="N1472" s="49" t="n">
        <f aca="false">$C$1465</f>
        <v>0.00593563846513545</v>
      </c>
      <c r="O1472" s="25" t="n">
        <f aca="false">IF(AND(B1472&gt;=DATE(2026,1,1),B1472&lt;=Resumen!$C$5),1,0)</f>
        <v>0</v>
      </c>
      <c r="P1472" s="25" t="n">
        <f aca="false">IF(AND(B1472&gt;Resumen!$C$5,B1472&lt;=DATE(2027,7,31)),1,0)</f>
        <v>0</v>
      </c>
    </row>
    <row r="1473" customFormat="false" ht="15" hidden="false" customHeight="false" outlineLevel="0" collapsed="false">
      <c r="A1473" s="22" t="n">
        <v>3</v>
      </c>
      <c r="B1473" s="23" t="n">
        <v>44678</v>
      </c>
      <c r="C1473" s="28" t="n">
        <v>561337815.952616</v>
      </c>
      <c r="D1473" s="28" t="n">
        <v>3331898.33230347</v>
      </c>
      <c r="E1473" s="28" t="n">
        <v>4320255.0537349</v>
      </c>
      <c r="F1473" s="28" t="n">
        <v>7652153.38603837</v>
      </c>
      <c r="G1473" s="28" t="n">
        <v>557017560.898881</v>
      </c>
      <c r="H1473" s="25" t="n">
        <f aca="false">J1472</f>
        <v>561337815.952616</v>
      </c>
      <c r="I1473" s="25" t="n">
        <f aca="false">H1473*N1473</f>
        <v>3331898.33230347</v>
      </c>
      <c r="J1473" s="25" t="n">
        <f aca="false">H1473+I1473-F1473</f>
        <v>557017560.898881</v>
      </c>
      <c r="K1473" s="25" t="n">
        <f aca="false">D1473-I1473</f>
        <v>0</v>
      </c>
      <c r="L1473" s="25" t="n">
        <f aca="false">G1473-J1473</f>
        <v>0</v>
      </c>
      <c r="M1473" s="25" t="n">
        <f aca="false">F1473</f>
        <v>7652153.38603837</v>
      </c>
      <c r="N1473" s="49" t="n">
        <f aca="false">$C$1465</f>
        <v>0.00593563846513545</v>
      </c>
      <c r="O1473" s="25" t="n">
        <f aca="false">IF(AND(B1473&gt;=DATE(2026,1,1),B1473&lt;=Resumen!$C$5),1,0)</f>
        <v>0</v>
      </c>
      <c r="P1473" s="25" t="n">
        <f aca="false">IF(AND(B1473&gt;Resumen!$C$5,B1473&lt;=DATE(2027,7,31)),1,0)</f>
        <v>0</v>
      </c>
    </row>
    <row r="1474" customFormat="false" ht="15" hidden="false" customHeight="false" outlineLevel="0" collapsed="false">
      <c r="A1474" s="22" t="n">
        <v>4</v>
      </c>
      <c r="B1474" s="23" t="n">
        <v>44769</v>
      </c>
      <c r="C1474" s="28" t="n">
        <v>557017560.898881</v>
      </c>
      <c r="D1474" s="28" t="n">
        <v>3306254.86022733</v>
      </c>
      <c r="E1474" s="28" t="n">
        <v>4345898.52581108</v>
      </c>
      <c r="F1474" s="28" t="n">
        <v>7652153.3860384</v>
      </c>
      <c r="G1474" s="28" t="n">
        <v>552671662.37307</v>
      </c>
      <c r="H1474" s="25" t="n">
        <f aca="false">J1473</f>
        <v>557017560.898881</v>
      </c>
      <c r="I1474" s="25" t="n">
        <f aca="false">H1474*N1474</f>
        <v>3306254.86022733</v>
      </c>
      <c r="J1474" s="25" t="n">
        <f aca="false">H1474+I1474-F1474</f>
        <v>552671662.37307</v>
      </c>
      <c r="K1474" s="25" t="n">
        <f aca="false">D1474-I1474</f>
        <v>0</v>
      </c>
      <c r="L1474" s="25" t="n">
        <f aca="false">G1474-J1474</f>
        <v>0</v>
      </c>
      <c r="M1474" s="25" t="n">
        <f aca="false">F1474</f>
        <v>7652153.3860384</v>
      </c>
      <c r="N1474" s="49" t="n">
        <f aca="false">$C$1465</f>
        <v>0.00593563846513545</v>
      </c>
      <c r="O1474" s="25" t="n">
        <f aca="false">IF(AND(B1474&gt;=DATE(2026,1,1),B1474&lt;=Resumen!$C$5),1,0)</f>
        <v>0</v>
      </c>
      <c r="P1474" s="25" t="n">
        <f aca="false">IF(AND(B1474&gt;Resumen!$C$5,B1474&lt;=DATE(2027,7,31)),1,0)</f>
        <v>0</v>
      </c>
    </row>
    <row r="1475" customFormat="false" ht="15" hidden="false" customHeight="false" outlineLevel="0" collapsed="false">
      <c r="A1475" s="22" t="n">
        <v>5</v>
      </c>
      <c r="B1475" s="23" t="n">
        <v>44861</v>
      </c>
      <c r="C1475" s="28" t="n">
        <v>552671662.37307</v>
      </c>
      <c r="D1475" s="28" t="n">
        <v>3280459.17777195</v>
      </c>
      <c r="E1475" s="28" t="n">
        <v>21273197.1041788</v>
      </c>
      <c r="F1475" s="28" t="n">
        <v>24553656.2819507</v>
      </c>
      <c r="G1475" s="28" t="n">
        <v>531398465.268891</v>
      </c>
      <c r="H1475" s="25" t="n">
        <f aca="false">J1474</f>
        <v>552671662.37307</v>
      </c>
      <c r="I1475" s="25" t="n">
        <f aca="false">H1475*N1475</f>
        <v>3280459.17777195</v>
      </c>
      <c r="J1475" s="25" t="n">
        <f aca="false">H1475+I1475-F1475</f>
        <v>531398465.268891</v>
      </c>
      <c r="K1475" s="25" t="n">
        <f aca="false">D1475-I1475</f>
        <v>0</v>
      </c>
      <c r="L1475" s="25" t="n">
        <f aca="false">G1475-J1475</f>
        <v>0</v>
      </c>
      <c r="M1475" s="25" t="n">
        <f aca="false">F1475</f>
        <v>24553656.2819507</v>
      </c>
      <c r="N1475" s="49" t="n">
        <f aca="false">$C$1465</f>
        <v>0.00593563846513545</v>
      </c>
      <c r="O1475" s="25" t="n">
        <f aca="false">IF(AND(B1475&gt;=DATE(2026,1,1),B1475&lt;=Resumen!$C$5),1,0)</f>
        <v>0</v>
      </c>
      <c r="P1475" s="25" t="n">
        <f aca="false">IF(AND(B1475&gt;Resumen!$C$5,B1475&lt;=DATE(2027,7,31)),1,0)</f>
        <v>0</v>
      </c>
    </row>
    <row r="1476" customFormat="false" ht="15" hidden="false" customHeight="false" outlineLevel="0" collapsed="false">
      <c r="A1476" s="22" t="n">
        <v>6</v>
      </c>
      <c r="B1476" s="23" t="n">
        <v>44953</v>
      </c>
      <c r="C1476" s="28" t="n">
        <v>531398465.268891</v>
      </c>
      <c r="D1476" s="28" t="n">
        <v>3154189.17076398</v>
      </c>
      <c r="E1476" s="28" t="n">
        <v>21399467.1111867</v>
      </c>
      <c r="F1476" s="28" t="n">
        <v>24553656.2819507</v>
      </c>
      <c r="G1476" s="28" t="n">
        <v>509998998.157705</v>
      </c>
      <c r="H1476" s="25" t="n">
        <f aca="false">J1475</f>
        <v>531398465.268891</v>
      </c>
      <c r="I1476" s="25" t="n">
        <f aca="false">H1476*N1476</f>
        <v>3154189.17076398</v>
      </c>
      <c r="J1476" s="25" t="n">
        <f aca="false">H1476+I1476-F1476</f>
        <v>509998998.157705</v>
      </c>
      <c r="K1476" s="25" t="n">
        <f aca="false">D1476-I1476</f>
        <v>0</v>
      </c>
      <c r="L1476" s="25" t="n">
        <f aca="false">G1476-J1476</f>
        <v>0</v>
      </c>
      <c r="M1476" s="25" t="n">
        <f aca="false">F1476</f>
        <v>24553656.2819507</v>
      </c>
      <c r="N1476" s="49" t="n">
        <f aca="false">$C$1465</f>
        <v>0.00593563846513545</v>
      </c>
      <c r="O1476" s="25" t="n">
        <f aca="false">IF(AND(B1476&gt;=DATE(2026,1,1),B1476&lt;=Resumen!$C$5),1,0)</f>
        <v>0</v>
      </c>
      <c r="P1476" s="25" t="n">
        <f aca="false">IF(AND(B1476&gt;Resumen!$C$5,B1476&lt;=DATE(2027,7,31)),1,0)</f>
        <v>0</v>
      </c>
    </row>
    <row r="1477" customFormat="false" ht="15" hidden="false" customHeight="false" outlineLevel="0" collapsed="false">
      <c r="A1477" s="22" t="n">
        <v>7</v>
      </c>
      <c r="B1477" s="23" t="n">
        <v>45043</v>
      </c>
      <c r="C1477" s="28" t="n">
        <v>509998998.157705</v>
      </c>
      <c r="D1477" s="28" t="n">
        <v>3027169.67064542</v>
      </c>
      <c r="E1477" s="28" t="n">
        <v>21526486.6113053</v>
      </c>
      <c r="F1477" s="28" t="n">
        <v>24553656.2819507</v>
      </c>
      <c r="G1477" s="28" t="n">
        <v>488472511.546399</v>
      </c>
      <c r="H1477" s="25" t="n">
        <f aca="false">J1476</f>
        <v>509998998.157705</v>
      </c>
      <c r="I1477" s="25" t="n">
        <f aca="false">H1477*N1477</f>
        <v>3027169.67064542</v>
      </c>
      <c r="J1477" s="25" t="n">
        <f aca="false">H1477+I1477-F1477</f>
        <v>488472511.546399</v>
      </c>
      <c r="K1477" s="25" t="n">
        <f aca="false">D1477-I1477</f>
        <v>0</v>
      </c>
      <c r="L1477" s="25" t="n">
        <f aca="false">G1477-J1477</f>
        <v>0</v>
      </c>
      <c r="M1477" s="25" t="n">
        <f aca="false">F1477</f>
        <v>24553656.2819507</v>
      </c>
      <c r="N1477" s="49" t="n">
        <f aca="false">$C$1465</f>
        <v>0.00593563846513545</v>
      </c>
      <c r="O1477" s="25" t="n">
        <f aca="false">IF(AND(B1477&gt;=DATE(2026,1,1),B1477&lt;=Resumen!$C$5),1,0)</f>
        <v>0</v>
      </c>
      <c r="P1477" s="25" t="n">
        <f aca="false">IF(AND(B1477&gt;Resumen!$C$5,B1477&lt;=DATE(2027,7,31)),1,0)</f>
        <v>0</v>
      </c>
    </row>
    <row r="1478" customFormat="false" ht="15" hidden="false" customHeight="false" outlineLevel="0" collapsed="false">
      <c r="A1478" s="22" t="n">
        <v>8</v>
      </c>
      <c r="B1478" s="23" t="n">
        <v>45134</v>
      </c>
      <c r="C1478" s="28" t="n">
        <v>488472511.546399</v>
      </c>
      <c r="D1478" s="28" t="n">
        <v>2899396.22869613</v>
      </c>
      <c r="E1478" s="28" t="n">
        <v>21654260.0532546</v>
      </c>
      <c r="F1478" s="28" t="n">
        <v>24553656.2819507</v>
      </c>
      <c r="G1478" s="28" t="n">
        <v>466818251.493145</v>
      </c>
      <c r="H1478" s="25" t="n">
        <f aca="false">J1477</f>
        <v>488472511.546399</v>
      </c>
      <c r="I1478" s="25" t="n">
        <f aca="false">H1478*N1478</f>
        <v>2899396.22869613</v>
      </c>
      <c r="J1478" s="25" t="n">
        <f aca="false">H1478+I1478-F1478</f>
        <v>466818251.493145</v>
      </c>
      <c r="K1478" s="25" t="n">
        <f aca="false">D1478-I1478</f>
        <v>0</v>
      </c>
      <c r="L1478" s="25" t="n">
        <f aca="false">G1478-J1478</f>
        <v>0</v>
      </c>
      <c r="M1478" s="25" t="n">
        <f aca="false">F1478</f>
        <v>24553656.2819507</v>
      </c>
      <c r="N1478" s="49" t="n">
        <f aca="false">$C$1465</f>
        <v>0.00593563846513545</v>
      </c>
      <c r="O1478" s="25" t="n">
        <f aca="false">IF(AND(B1478&gt;=DATE(2026,1,1),B1478&lt;=Resumen!$C$5),1,0)</f>
        <v>0</v>
      </c>
      <c r="P1478" s="25" t="n">
        <f aca="false">IF(AND(B1478&gt;Resumen!$C$5,B1478&lt;=DATE(2027,7,31)),1,0)</f>
        <v>0</v>
      </c>
    </row>
    <row r="1479" customFormat="false" ht="15" hidden="false" customHeight="false" outlineLevel="0" collapsed="false">
      <c r="A1479" s="22" t="n">
        <v>9</v>
      </c>
      <c r="B1479" s="23" t="n">
        <v>45226</v>
      </c>
      <c r="C1479" s="28" t="n">
        <v>466818251.493145</v>
      </c>
      <c r="D1479" s="28" t="n">
        <v>2770864.36978998</v>
      </c>
      <c r="E1479" s="28" t="n">
        <v>21782791.9121608</v>
      </c>
      <c r="F1479" s="28" t="n">
        <v>24553656.2819507</v>
      </c>
      <c r="G1479" s="28" t="n">
        <v>445035459.580984</v>
      </c>
      <c r="H1479" s="25" t="n">
        <f aca="false">J1478</f>
        <v>466818251.493145</v>
      </c>
      <c r="I1479" s="25" t="n">
        <f aca="false">H1479*N1479</f>
        <v>2770864.36978998</v>
      </c>
      <c r="J1479" s="25" t="n">
        <f aca="false">H1479+I1479-F1479</f>
        <v>445035459.580984</v>
      </c>
      <c r="K1479" s="25" t="n">
        <f aca="false">D1479-I1479</f>
        <v>0</v>
      </c>
      <c r="L1479" s="25" t="n">
        <f aca="false">G1479-J1479</f>
        <v>0</v>
      </c>
      <c r="M1479" s="25" t="n">
        <f aca="false">F1479</f>
        <v>24553656.2819507</v>
      </c>
      <c r="N1479" s="49" t="n">
        <f aca="false">$C$1465</f>
        <v>0.00593563846513545</v>
      </c>
      <c r="O1479" s="25" t="n">
        <f aca="false">IF(AND(B1479&gt;=DATE(2026,1,1),B1479&lt;=Resumen!$C$5),1,0)</f>
        <v>0</v>
      </c>
      <c r="P1479" s="25" t="n">
        <f aca="false">IF(AND(B1479&gt;Resumen!$C$5,B1479&lt;=DATE(2027,7,31)),1,0)</f>
        <v>0</v>
      </c>
    </row>
    <row r="1480" customFormat="false" ht="15" hidden="false" customHeight="false" outlineLevel="0" collapsed="false">
      <c r="A1480" s="22" t="n">
        <v>10</v>
      </c>
      <c r="B1480" s="23" t="n">
        <v>45318</v>
      </c>
      <c r="C1480" s="28" t="n">
        <v>445035459.580984</v>
      </c>
      <c r="D1480" s="28" t="n">
        <v>2641569.59223812</v>
      </c>
      <c r="E1480" s="28" t="n">
        <v>21912086.6897126</v>
      </c>
      <c r="F1480" s="28" t="n">
        <v>24553656.2819507</v>
      </c>
      <c r="G1480" s="28" t="n">
        <v>423123372.891271</v>
      </c>
      <c r="H1480" s="25" t="n">
        <f aca="false">J1479</f>
        <v>445035459.580984</v>
      </c>
      <c r="I1480" s="25" t="n">
        <f aca="false">H1480*N1480</f>
        <v>2641569.59223812</v>
      </c>
      <c r="J1480" s="25" t="n">
        <f aca="false">H1480+I1480-F1480</f>
        <v>423123372.891271</v>
      </c>
      <c r="K1480" s="25" t="n">
        <f aca="false">D1480-I1480</f>
        <v>0</v>
      </c>
      <c r="L1480" s="25" t="n">
        <f aca="false">G1480-J1480</f>
        <v>0</v>
      </c>
      <c r="M1480" s="25" t="n">
        <f aca="false">F1480</f>
        <v>24553656.2819507</v>
      </c>
      <c r="N1480" s="49" t="n">
        <f aca="false">$C$1465</f>
        <v>0.00593563846513545</v>
      </c>
      <c r="O1480" s="25" t="n">
        <f aca="false">IF(AND(B1480&gt;=DATE(2026,1,1),B1480&lt;=Resumen!$C$5),1,0)</f>
        <v>0</v>
      </c>
      <c r="P1480" s="25" t="n">
        <f aca="false">IF(AND(B1480&gt;Resumen!$C$5,B1480&lt;=DATE(2027,7,31)),1,0)</f>
        <v>0</v>
      </c>
    </row>
    <row r="1481" customFormat="false" ht="15" hidden="false" customHeight="false" outlineLevel="0" collapsed="false">
      <c r="A1481" s="22" t="n">
        <v>11</v>
      </c>
      <c r="B1481" s="23" t="n">
        <v>45409</v>
      </c>
      <c r="C1481" s="28" t="n">
        <v>423123372.891271</v>
      </c>
      <c r="D1481" s="28" t="n">
        <v>2511507.36763128</v>
      </c>
      <c r="E1481" s="28" t="n">
        <v>22042148.9143195</v>
      </c>
      <c r="F1481" s="28" t="n">
        <v>24553656.2819507</v>
      </c>
      <c r="G1481" s="28" t="n">
        <v>401081223.976952</v>
      </c>
      <c r="H1481" s="25" t="n">
        <f aca="false">J1480</f>
        <v>423123372.891271</v>
      </c>
      <c r="I1481" s="25" t="n">
        <f aca="false">H1481*N1481</f>
        <v>2511507.36763128</v>
      </c>
      <c r="J1481" s="25" t="n">
        <f aca="false">H1481+I1481-F1481</f>
        <v>401081223.976952</v>
      </c>
      <c r="K1481" s="25" t="n">
        <f aca="false">D1481-I1481</f>
        <v>0</v>
      </c>
      <c r="L1481" s="25" t="n">
        <f aca="false">G1481-J1481</f>
        <v>0</v>
      </c>
      <c r="M1481" s="25" t="n">
        <f aca="false">F1481</f>
        <v>24553656.2819507</v>
      </c>
      <c r="N1481" s="49" t="n">
        <f aca="false">$C$1465</f>
        <v>0.00593563846513545</v>
      </c>
      <c r="O1481" s="25" t="n">
        <f aca="false">IF(AND(B1481&gt;=DATE(2026,1,1),B1481&lt;=Resumen!$C$5),1,0)</f>
        <v>0</v>
      </c>
      <c r="P1481" s="25" t="n">
        <f aca="false">IF(AND(B1481&gt;Resumen!$C$5,B1481&lt;=DATE(2027,7,31)),1,0)</f>
        <v>0</v>
      </c>
    </row>
    <row r="1482" customFormat="false" ht="15" hidden="false" customHeight="false" outlineLevel="0" collapsed="false">
      <c r="A1482" s="22" t="n">
        <v>12</v>
      </c>
      <c r="B1482" s="23" t="n">
        <v>45500</v>
      </c>
      <c r="C1482" s="28" t="n">
        <v>401081223.976952</v>
      </c>
      <c r="D1482" s="28" t="n">
        <v>2380673.1406812</v>
      </c>
      <c r="E1482" s="28" t="n">
        <v>22172983.1412695</v>
      </c>
      <c r="F1482" s="28" t="n">
        <v>24553656.2819507</v>
      </c>
      <c r="G1482" s="28" t="n">
        <v>378908240.835682</v>
      </c>
      <c r="H1482" s="25" t="n">
        <f aca="false">J1481</f>
        <v>401081223.976952</v>
      </c>
      <c r="I1482" s="25" t="n">
        <f aca="false">H1482*N1482</f>
        <v>2380673.1406812</v>
      </c>
      <c r="J1482" s="25" t="n">
        <f aca="false">H1482+I1482-F1482</f>
        <v>378908240.835682</v>
      </c>
      <c r="K1482" s="25" t="n">
        <f aca="false">D1482-I1482</f>
        <v>0</v>
      </c>
      <c r="L1482" s="25" t="n">
        <f aca="false">G1482-J1482</f>
        <v>0</v>
      </c>
      <c r="M1482" s="25" t="n">
        <f aca="false">F1482</f>
        <v>24553656.2819507</v>
      </c>
      <c r="N1482" s="49" t="n">
        <f aca="false">$C$1465</f>
        <v>0.00593563846513545</v>
      </c>
      <c r="O1482" s="25" t="n">
        <f aca="false">IF(AND(B1482&gt;=DATE(2026,1,1),B1482&lt;=Resumen!$C$5),1,0)</f>
        <v>0</v>
      </c>
      <c r="P1482" s="25" t="n">
        <f aca="false">IF(AND(B1482&gt;Resumen!$C$5,B1482&lt;=DATE(2027,7,31)),1,0)</f>
        <v>0</v>
      </c>
    </row>
    <row r="1483" customFormat="false" ht="15" hidden="false" customHeight="false" outlineLevel="0" collapsed="false">
      <c r="A1483" s="22" t="n">
        <v>13</v>
      </c>
      <c r="B1483" s="23" t="n">
        <v>45592</v>
      </c>
      <c r="C1483" s="28" t="n">
        <v>378908240.835682</v>
      </c>
      <c r="D1483" s="28" t="n">
        <v>2249062.32906108</v>
      </c>
      <c r="E1483" s="28" t="n">
        <v>22304593.9528896</v>
      </c>
      <c r="F1483" s="28" t="n">
        <v>24553656.2819507</v>
      </c>
      <c r="G1483" s="28" t="n">
        <v>356603646.882793</v>
      </c>
      <c r="H1483" s="25" t="n">
        <f aca="false">J1482</f>
        <v>378908240.835682</v>
      </c>
      <c r="I1483" s="25" t="n">
        <f aca="false">H1483*N1483</f>
        <v>2249062.32906108</v>
      </c>
      <c r="J1483" s="25" t="n">
        <f aca="false">H1483+I1483-F1483</f>
        <v>356603646.882793</v>
      </c>
      <c r="K1483" s="25" t="n">
        <f aca="false">D1483-I1483</f>
        <v>0</v>
      </c>
      <c r="L1483" s="25" t="n">
        <f aca="false">G1483-J1483</f>
        <v>0</v>
      </c>
      <c r="M1483" s="25" t="n">
        <f aca="false">F1483</f>
        <v>24553656.2819507</v>
      </c>
      <c r="N1483" s="49" t="n">
        <f aca="false">$C$1465</f>
        <v>0.00593563846513545</v>
      </c>
      <c r="O1483" s="25" t="n">
        <f aca="false">IF(AND(B1483&gt;=DATE(2026,1,1),B1483&lt;=Resumen!$C$5),1,0)</f>
        <v>0</v>
      </c>
      <c r="P1483" s="25" t="n">
        <f aca="false">IF(AND(B1483&gt;Resumen!$C$5,B1483&lt;=DATE(2027,7,31)),1,0)</f>
        <v>0</v>
      </c>
    </row>
    <row r="1484" customFormat="false" ht="15" hidden="false" customHeight="false" outlineLevel="0" collapsed="false">
      <c r="A1484" s="22" t="n">
        <v>14</v>
      </c>
      <c r="B1484" s="23" t="n">
        <v>45684</v>
      </c>
      <c r="C1484" s="28" t="n">
        <v>356603646.882793</v>
      </c>
      <c r="D1484" s="28" t="n">
        <v>2116670.32324508</v>
      </c>
      <c r="E1484" s="28" t="n">
        <v>22436985.9587056</v>
      </c>
      <c r="F1484" s="28" t="n">
        <v>24553656.2819507</v>
      </c>
      <c r="G1484" s="28" t="n">
        <v>334166660.924087</v>
      </c>
      <c r="H1484" s="25" t="n">
        <f aca="false">J1483</f>
        <v>356603646.882793</v>
      </c>
      <c r="I1484" s="25" t="n">
        <f aca="false">H1484*N1484</f>
        <v>2116670.32324508</v>
      </c>
      <c r="J1484" s="25" t="n">
        <f aca="false">H1484+I1484-F1484</f>
        <v>334166660.924087</v>
      </c>
      <c r="K1484" s="25" t="n">
        <f aca="false">D1484-I1484</f>
        <v>0</v>
      </c>
      <c r="L1484" s="25" t="n">
        <f aca="false">G1484-J1484</f>
        <v>0</v>
      </c>
      <c r="M1484" s="25" t="n">
        <f aca="false">F1484</f>
        <v>24553656.2819507</v>
      </c>
      <c r="N1484" s="49" t="n">
        <f aca="false">$C$1465</f>
        <v>0.00593563846513545</v>
      </c>
      <c r="O1484" s="25" t="n">
        <f aca="false">IF(AND(B1484&gt;=DATE(2026,1,1),B1484&lt;=Resumen!$C$5),1,0)</f>
        <v>0</v>
      </c>
      <c r="P1484" s="25" t="n">
        <f aca="false">IF(AND(B1484&gt;Resumen!$C$5,B1484&lt;=DATE(2027,7,31)),1,0)</f>
        <v>0</v>
      </c>
    </row>
    <row r="1485" customFormat="false" ht="15" hidden="false" customHeight="false" outlineLevel="0" collapsed="false">
      <c r="A1485" s="22" t="n">
        <v>15</v>
      </c>
      <c r="B1485" s="23" t="n">
        <v>45774</v>
      </c>
      <c r="C1485" s="28" t="n">
        <v>334166660.924087</v>
      </c>
      <c r="D1485" s="28" t="n">
        <v>1983492.48634689</v>
      </c>
      <c r="E1485" s="28" t="n">
        <v>22570163.7956038</v>
      </c>
      <c r="F1485" s="28" t="n">
        <v>24553656.2819507</v>
      </c>
      <c r="G1485" s="28" t="n">
        <v>311596497.128483</v>
      </c>
      <c r="H1485" s="25" t="n">
        <f aca="false">J1484</f>
        <v>334166660.924087</v>
      </c>
      <c r="I1485" s="25" t="n">
        <f aca="false">H1485*N1485</f>
        <v>1983492.48634689</v>
      </c>
      <c r="J1485" s="25" t="n">
        <f aca="false">H1485+I1485-F1485</f>
        <v>311596497.128483</v>
      </c>
      <c r="K1485" s="25" t="n">
        <f aca="false">D1485-I1485</f>
        <v>0</v>
      </c>
      <c r="L1485" s="25" t="n">
        <f aca="false">G1485-J1485</f>
        <v>0</v>
      </c>
      <c r="M1485" s="25" t="n">
        <f aca="false">F1485</f>
        <v>24553656.2819507</v>
      </c>
      <c r="N1485" s="49" t="n">
        <f aca="false">$C$1465</f>
        <v>0.00593563846513545</v>
      </c>
      <c r="O1485" s="25" t="n">
        <f aca="false">IF(AND(B1485&gt;=DATE(2026,1,1),B1485&lt;=Resumen!$C$5),1,0)</f>
        <v>0</v>
      </c>
      <c r="P1485" s="25" t="n">
        <f aca="false">IF(AND(B1485&gt;Resumen!$C$5,B1485&lt;=DATE(2027,7,31)),1,0)</f>
        <v>0</v>
      </c>
    </row>
    <row r="1486" customFormat="false" ht="15" hidden="false" customHeight="false" outlineLevel="0" collapsed="false">
      <c r="A1486" s="22" t="n">
        <v>16</v>
      </c>
      <c r="B1486" s="23" t="n">
        <v>45865</v>
      </c>
      <c r="C1486" s="28" t="n">
        <v>311596497.128483</v>
      </c>
      <c r="D1486" s="28" t="n">
        <v>1849524.15395729</v>
      </c>
      <c r="E1486" s="28" t="n">
        <v>22704132.1279934</v>
      </c>
      <c r="F1486" s="28" t="n">
        <v>24553656.2819507</v>
      </c>
      <c r="G1486" s="28" t="n">
        <v>288892365.00049</v>
      </c>
      <c r="H1486" s="25" t="n">
        <f aca="false">J1485</f>
        <v>311596497.128483</v>
      </c>
      <c r="I1486" s="25" t="n">
        <f aca="false">H1486*N1486</f>
        <v>1849524.15395729</v>
      </c>
      <c r="J1486" s="25" t="n">
        <f aca="false">H1486+I1486-F1486</f>
        <v>288892365.00049</v>
      </c>
      <c r="K1486" s="25" t="n">
        <f aca="false">D1486-I1486</f>
        <v>0</v>
      </c>
      <c r="L1486" s="25" t="n">
        <f aca="false">G1486-J1486</f>
        <v>0</v>
      </c>
      <c r="M1486" s="25" t="n">
        <f aca="false">F1486</f>
        <v>24553656.2819507</v>
      </c>
      <c r="N1486" s="49" t="n">
        <f aca="false">$C$1465</f>
        <v>0.00593563846513545</v>
      </c>
      <c r="O1486" s="25" t="n">
        <f aca="false">IF(AND(B1486&gt;=DATE(2026,1,1),B1486&lt;=Resumen!$C$5),1,0)</f>
        <v>0</v>
      </c>
      <c r="P1486" s="25" t="n">
        <f aca="false">IF(AND(B1486&gt;Resumen!$C$5,B1486&lt;=DATE(2027,7,31)),1,0)</f>
        <v>0</v>
      </c>
    </row>
    <row r="1487" customFormat="false" ht="15" hidden="false" customHeight="false" outlineLevel="0" collapsed="false">
      <c r="A1487" s="22" t="n">
        <v>17</v>
      </c>
      <c r="B1487" s="23" t="n">
        <v>45957</v>
      </c>
      <c r="C1487" s="28" t="n">
        <v>288892365.00049</v>
      </c>
      <c r="D1487" s="28" t="n">
        <v>1714760.63398086</v>
      </c>
      <c r="E1487" s="28" t="n">
        <v>22838895.6479698</v>
      </c>
      <c r="F1487" s="28" t="n">
        <v>24553656.2819507</v>
      </c>
      <c r="G1487" s="28" t="n">
        <v>266053469.35252</v>
      </c>
      <c r="H1487" s="25" t="n">
        <f aca="false">J1486</f>
        <v>288892365.00049</v>
      </c>
      <c r="I1487" s="25" t="n">
        <f aca="false">H1487*N1487</f>
        <v>1714760.63398086</v>
      </c>
      <c r="J1487" s="25" t="n">
        <f aca="false">H1487+I1487-F1487</f>
        <v>266053469.35252</v>
      </c>
      <c r="K1487" s="25" t="n">
        <f aca="false">D1487-I1487</f>
        <v>0</v>
      </c>
      <c r="L1487" s="25" t="n">
        <f aca="false">G1487-J1487</f>
        <v>0</v>
      </c>
      <c r="M1487" s="25" t="n">
        <f aca="false">F1487</f>
        <v>24553656.2819507</v>
      </c>
      <c r="N1487" s="49" t="n">
        <f aca="false">$C$1465</f>
        <v>0.00593563846513545</v>
      </c>
      <c r="O1487" s="25" t="n">
        <f aca="false">IF(AND(B1487&gt;=DATE(2026,1,1),B1487&lt;=Resumen!$C$5),1,0)</f>
        <v>0</v>
      </c>
      <c r="P1487" s="25" t="n">
        <f aca="false">IF(AND(B1487&gt;Resumen!$C$5,B1487&lt;=DATE(2027,7,31)),1,0)</f>
        <v>0</v>
      </c>
    </row>
    <row r="1488" customFormat="false" ht="15" hidden="false" customHeight="false" outlineLevel="0" collapsed="false">
      <c r="A1488" s="22" t="n">
        <v>18</v>
      </c>
      <c r="B1488" s="23" t="n">
        <v>46049</v>
      </c>
      <c r="C1488" s="28" t="n">
        <v>266053469.35252</v>
      </c>
      <c r="D1488" s="28" t="n">
        <v>1579197.20647155</v>
      </c>
      <c r="E1488" s="28" t="n">
        <v>22974459.0754791</v>
      </c>
      <c r="F1488" s="28" t="n">
        <v>24553656.2819507</v>
      </c>
      <c r="G1488" s="28" t="n">
        <v>243079010.277041</v>
      </c>
      <c r="H1488" s="25" t="n">
        <f aca="false">J1487</f>
        <v>266053469.35252</v>
      </c>
      <c r="I1488" s="25" t="n">
        <f aca="false">H1488*N1488</f>
        <v>1579197.20647155</v>
      </c>
      <c r="J1488" s="25" t="n">
        <f aca="false">H1488+I1488-F1488</f>
        <v>243079010.277041</v>
      </c>
      <c r="K1488" s="25" t="n">
        <f aca="false">D1488-I1488</f>
        <v>0</v>
      </c>
      <c r="L1488" s="25" t="n">
        <f aca="false">G1488-J1488</f>
        <v>0</v>
      </c>
      <c r="M1488" s="25" t="n">
        <f aca="false">F1488</f>
        <v>24553656.2819507</v>
      </c>
      <c r="N1488" s="49" t="n">
        <f aca="false">$C$1465</f>
        <v>0.00593563846513545</v>
      </c>
      <c r="O1488" s="25" t="n">
        <f aca="false">IF(AND(B1488&gt;=DATE(2026,1,1),B1488&lt;=Resumen!$C$5),1,0)</f>
        <v>1</v>
      </c>
      <c r="P1488" s="25" t="n">
        <f aca="false">IF(AND(B1488&gt;Resumen!$C$5,B1488&lt;=DATE(2027,7,31)),1,0)</f>
        <v>0</v>
      </c>
    </row>
    <row r="1489" customFormat="false" ht="15" hidden="false" customHeight="false" outlineLevel="0" collapsed="false">
      <c r="A1489" s="22" t="n">
        <v>19</v>
      </c>
      <c r="B1489" s="23" t="n">
        <v>46139</v>
      </c>
      <c r="C1489" s="28" t="n">
        <v>243079010.277041</v>
      </c>
      <c r="D1489" s="28" t="n">
        <v>1442829.12346746</v>
      </c>
      <c r="E1489" s="28" t="n">
        <v>23110827.1584832</v>
      </c>
      <c r="F1489" s="28" t="n">
        <v>24553656.2819507</v>
      </c>
      <c r="G1489" s="28" t="n">
        <v>219968183.118558</v>
      </c>
      <c r="H1489" s="25" t="n">
        <f aca="false">J1488</f>
        <v>243079010.277041</v>
      </c>
      <c r="I1489" s="25" t="n">
        <f aca="false">H1489*N1489</f>
        <v>1442829.12346746</v>
      </c>
      <c r="J1489" s="25" t="n">
        <f aca="false">H1489+I1489-F1489</f>
        <v>219968183.118558</v>
      </c>
      <c r="K1489" s="25" t="n">
        <f aca="false">D1489-I1489</f>
        <v>0</v>
      </c>
      <c r="L1489" s="25" t="n">
        <f aca="false">G1489-J1489</f>
        <v>0</v>
      </c>
      <c r="M1489" s="25" t="n">
        <f aca="false">F1489</f>
        <v>24553656.2819507</v>
      </c>
      <c r="N1489" s="49" t="n">
        <f aca="false">$C$1465</f>
        <v>0.00593563846513545</v>
      </c>
      <c r="O1489" s="25" t="n">
        <f aca="false">IF(AND(B1489&gt;=DATE(2026,1,1),B1489&lt;=Resumen!$C$5),1,0)</f>
        <v>1</v>
      </c>
      <c r="P1489" s="25" t="n">
        <f aca="false">IF(AND(B1489&gt;Resumen!$C$5,B1489&lt;=DATE(2027,7,31)),1,0)</f>
        <v>0</v>
      </c>
    </row>
    <row r="1490" customFormat="false" ht="15" hidden="false" customHeight="false" outlineLevel="0" collapsed="false">
      <c r="A1490" s="22" t="n">
        <v>20</v>
      </c>
      <c r="B1490" s="23" t="n">
        <v>46230</v>
      </c>
      <c r="C1490" s="28" t="n">
        <v>219968183.118558</v>
      </c>
      <c r="D1490" s="28" t="n">
        <v>1305651.60882447</v>
      </c>
      <c r="E1490" s="28" t="n">
        <v>23248004.6731262</v>
      </c>
      <c r="F1490" s="28" t="n">
        <v>24553656.2819507</v>
      </c>
      <c r="G1490" s="28" t="n">
        <v>196720178.445431</v>
      </c>
      <c r="H1490" s="25" t="n">
        <f aca="false">J1489</f>
        <v>219968183.118558</v>
      </c>
      <c r="I1490" s="25" t="n">
        <f aca="false">H1490*N1490</f>
        <v>1305651.60882447</v>
      </c>
      <c r="J1490" s="25" t="n">
        <f aca="false">H1490+I1490-F1490</f>
        <v>196720178.445431</v>
      </c>
      <c r="K1490" s="25" t="n">
        <f aca="false">D1490-I1490</f>
        <v>0</v>
      </c>
      <c r="L1490" s="25" t="n">
        <f aca="false">G1490-J1490</f>
        <v>0</v>
      </c>
      <c r="M1490" s="25" t="n">
        <f aca="false">F1490</f>
        <v>24553656.2819507</v>
      </c>
      <c r="N1490" s="49" t="n">
        <f aca="false">$C$1465</f>
        <v>0.00593563846513545</v>
      </c>
      <c r="O1490" s="25" t="n">
        <f aca="false">IF(AND(B1490&gt;=DATE(2026,1,1),B1490&lt;=Resumen!$C$5),1,0)</f>
        <v>1</v>
      </c>
      <c r="P1490" s="25" t="n">
        <f aca="false">IF(AND(B1490&gt;Resumen!$C$5,B1490&lt;=DATE(2027,7,31)),1,0)</f>
        <v>0</v>
      </c>
    </row>
    <row r="1491" customFormat="false" ht="15" hidden="false" customHeight="false" outlineLevel="0" collapsed="false">
      <c r="A1491" s="22" t="n">
        <v>21</v>
      </c>
      <c r="B1491" s="23" t="n">
        <v>46322</v>
      </c>
      <c r="C1491" s="28" t="n">
        <v>196720178.445431</v>
      </c>
      <c r="D1491" s="28" t="n">
        <v>1167659.85804901</v>
      </c>
      <c r="E1491" s="28" t="n">
        <v>23385996.4239017</v>
      </c>
      <c r="F1491" s="28" t="n">
        <v>24553656.2819507</v>
      </c>
      <c r="G1491" s="28" t="n">
        <v>173334182.02153</v>
      </c>
      <c r="H1491" s="25" t="n">
        <f aca="false">J1490</f>
        <v>196720178.445431</v>
      </c>
      <c r="I1491" s="25" t="n">
        <f aca="false">H1491*N1491</f>
        <v>1167659.85804901</v>
      </c>
      <c r="J1491" s="25" t="n">
        <f aca="false">H1491+I1491-F1491</f>
        <v>173334182.02153</v>
      </c>
      <c r="K1491" s="25" t="n">
        <f aca="false">D1491-I1491</f>
        <v>0</v>
      </c>
      <c r="L1491" s="25" t="n">
        <f aca="false">G1491-J1491</f>
        <v>0</v>
      </c>
      <c r="M1491" s="25" t="n">
        <f aca="false">F1491</f>
        <v>24553656.2819507</v>
      </c>
      <c r="N1491" s="49" t="n">
        <f aca="false">$C$1465</f>
        <v>0.00593563846513545</v>
      </c>
      <c r="O1491" s="25" t="n">
        <f aca="false">IF(AND(B1491&gt;=DATE(2026,1,1),B1491&lt;=Resumen!$C$5),1,0)</f>
        <v>0</v>
      </c>
      <c r="P1491" s="25" t="n">
        <f aca="false">IF(AND(B1491&gt;Resumen!$C$5,B1491&lt;=DATE(2027,7,31)),1,0)</f>
        <v>1</v>
      </c>
    </row>
    <row r="1492" customFormat="false" ht="15" hidden="false" customHeight="false" outlineLevel="0" collapsed="false">
      <c r="A1492" s="22" t="n">
        <v>22</v>
      </c>
      <c r="B1492" s="23" t="n">
        <v>46414</v>
      </c>
      <c r="C1492" s="28" t="n">
        <v>173334182.02153</v>
      </c>
      <c r="D1492" s="28" t="n">
        <v>1028849.03812978</v>
      </c>
      <c r="E1492" s="28" t="n">
        <v>23524807.2438209</v>
      </c>
      <c r="F1492" s="28" t="n">
        <v>24553656.2819507</v>
      </c>
      <c r="G1492" s="28" t="n">
        <v>149809374.777709</v>
      </c>
      <c r="H1492" s="25" t="n">
        <f aca="false">J1491</f>
        <v>173334182.02153</v>
      </c>
      <c r="I1492" s="25" t="n">
        <f aca="false">H1492*N1492</f>
        <v>1028849.03812978</v>
      </c>
      <c r="J1492" s="25" t="n">
        <f aca="false">H1492+I1492-F1492</f>
        <v>149809374.777709</v>
      </c>
      <c r="K1492" s="25" t="n">
        <f aca="false">D1492-I1492</f>
        <v>0</v>
      </c>
      <c r="L1492" s="25" t="n">
        <f aca="false">G1492-J1492</f>
        <v>0</v>
      </c>
      <c r="M1492" s="25" t="n">
        <f aca="false">F1492</f>
        <v>24553656.2819507</v>
      </c>
      <c r="N1492" s="49" t="n">
        <f aca="false">$C$1465</f>
        <v>0.00593563846513545</v>
      </c>
      <c r="O1492" s="25" t="n">
        <f aca="false">IF(AND(B1492&gt;=DATE(2026,1,1),B1492&lt;=Resumen!$C$5),1,0)</f>
        <v>0</v>
      </c>
      <c r="P1492" s="25" t="n">
        <f aca="false">IF(AND(B1492&gt;Resumen!$C$5,B1492&lt;=DATE(2027,7,31)),1,0)</f>
        <v>1</v>
      </c>
    </row>
    <row r="1493" customFormat="false" ht="15" hidden="false" customHeight="false" outlineLevel="0" collapsed="false">
      <c r="A1493" s="22" t="n">
        <v>23</v>
      </c>
      <c r="B1493" s="23" t="n">
        <v>46504</v>
      </c>
      <c r="C1493" s="28" t="n">
        <v>149809374.777709</v>
      </c>
      <c r="D1493" s="28" t="n">
        <v>889214.287368461</v>
      </c>
      <c r="E1493" s="28" t="n">
        <v>23664441.9945822</v>
      </c>
      <c r="F1493" s="28" t="n">
        <v>24553656.2819507</v>
      </c>
      <c r="G1493" s="28" t="n">
        <v>126144932.783127</v>
      </c>
      <c r="H1493" s="25" t="n">
        <f aca="false">J1492</f>
        <v>149809374.777709</v>
      </c>
      <c r="I1493" s="25" t="n">
        <f aca="false">H1493*N1493</f>
        <v>889214.287368461</v>
      </c>
      <c r="J1493" s="25" t="n">
        <f aca="false">H1493+I1493-F1493</f>
        <v>126144932.783127</v>
      </c>
      <c r="K1493" s="25" t="n">
        <f aca="false">D1493-I1493</f>
        <v>0</v>
      </c>
      <c r="L1493" s="25" t="n">
        <f aca="false">G1493-J1493</f>
        <v>0</v>
      </c>
      <c r="M1493" s="25" t="n">
        <f aca="false">F1493</f>
        <v>24553656.2819507</v>
      </c>
      <c r="N1493" s="49" t="n">
        <f aca="false">$C$1465</f>
        <v>0.00593563846513545</v>
      </c>
      <c r="O1493" s="25" t="n">
        <f aca="false">IF(AND(B1493&gt;=DATE(2026,1,1),B1493&lt;=Resumen!$C$5),1,0)</f>
        <v>0</v>
      </c>
      <c r="P1493" s="25" t="n">
        <f aca="false">IF(AND(B1493&gt;Resumen!$C$5,B1493&lt;=DATE(2027,7,31)),1,0)</f>
        <v>1</v>
      </c>
    </row>
    <row r="1494" customFormat="false" ht="15" hidden="false" customHeight="false" outlineLevel="0" collapsed="false">
      <c r="A1494" s="22" t="n">
        <v>24</v>
      </c>
      <c r="B1494" s="23" t="n">
        <v>46595</v>
      </c>
      <c r="C1494" s="28" t="n">
        <v>126144932.783127</v>
      </c>
      <c r="D1494" s="28" t="n">
        <v>748750.715209452</v>
      </c>
      <c r="E1494" s="28" t="n">
        <v>23804905.5667412</v>
      </c>
      <c r="F1494" s="28" t="n">
        <v>24553656.2819507</v>
      </c>
      <c r="G1494" s="28" t="n">
        <v>102340027.216385</v>
      </c>
      <c r="H1494" s="25" t="n">
        <f aca="false">J1493</f>
        <v>126144932.783127</v>
      </c>
      <c r="I1494" s="25" t="n">
        <f aca="false">H1494*N1494</f>
        <v>748750.715209452</v>
      </c>
      <c r="J1494" s="25" t="n">
        <f aca="false">H1494+I1494-F1494</f>
        <v>102340027.216385</v>
      </c>
      <c r="K1494" s="25" t="n">
        <f aca="false">D1494-I1494</f>
        <v>0</v>
      </c>
      <c r="L1494" s="25" t="n">
        <f aca="false">G1494-J1494</f>
        <v>0</v>
      </c>
      <c r="M1494" s="25" t="n">
        <f aca="false">F1494</f>
        <v>24553656.2819507</v>
      </c>
      <c r="N1494" s="49" t="n">
        <f aca="false">$C$1465</f>
        <v>0.00593563846513545</v>
      </c>
      <c r="O1494" s="25" t="n">
        <f aca="false">IF(AND(B1494&gt;=DATE(2026,1,1),B1494&lt;=Resumen!$C$5),1,0)</f>
        <v>0</v>
      </c>
      <c r="P1494" s="25" t="n">
        <f aca="false">IF(AND(B1494&gt;Resumen!$C$5,B1494&lt;=DATE(2027,7,31)),1,0)</f>
        <v>1</v>
      </c>
    </row>
    <row r="1495" customFormat="false" ht="15" hidden="false" customHeight="false" outlineLevel="0" collapsed="false">
      <c r="A1495" s="22" t="n">
        <v>25</v>
      </c>
      <c r="B1495" s="23" t="n">
        <v>46687</v>
      </c>
      <c r="C1495" s="28" t="n">
        <v>102340027.216385</v>
      </c>
      <c r="D1495" s="28" t="n">
        <v>607453.402068586</v>
      </c>
      <c r="E1495" s="28" t="n">
        <v>23946202.8798821</v>
      </c>
      <c r="F1495" s="28" t="n">
        <v>24553656.2819507</v>
      </c>
      <c r="G1495" s="28" t="n">
        <v>78393824.3365033</v>
      </c>
      <c r="H1495" s="25" t="n">
        <f aca="false">J1494</f>
        <v>102340027.216385</v>
      </c>
      <c r="I1495" s="25" t="n">
        <f aca="false">H1495*N1495</f>
        <v>607453.402068586</v>
      </c>
      <c r="J1495" s="25" t="n">
        <f aca="false">H1495+I1495-F1495</f>
        <v>78393824.3365033</v>
      </c>
      <c r="K1495" s="25" t="n">
        <f aca="false">D1495-I1495</f>
        <v>0</v>
      </c>
      <c r="L1495" s="25" t="n">
        <f aca="false">G1495-J1495</f>
        <v>0</v>
      </c>
      <c r="M1495" s="25" t="n">
        <f aca="false">F1495</f>
        <v>24553656.2819507</v>
      </c>
      <c r="N1495" s="49" t="n">
        <f aca="false">$C$1465</f>
        <v>0.00593563846513545</v>
      </c>
      <c r="O1495" s="25" t="n">
        <f aca="false">IF(AND(B1495&gt;=DATE(2026,1,1),B1495&lt;=Resumen!$C$5),1,0)</f>
        <v>0</v>
      </c>
      <c r="P1495" s="25" t="n">
        <f aca="false">IF(AND(B1495&gt;Resumen!$C$5,B1495&lt;=DATE(2027,7,31)),1,0)</f>
        <v>0</v>
      </c>
    </row>
    <row r="1496" customFormat="false" ht="15" hidden="false" customHeight="false" outlineLevel="0" collapsed="false">
      <c r="A1496" s="22" t="n">
        <v>26</v>
      </c>
      <c r="B1496" s="23" t="n">
        <v>46779</v>
      </c>
      <c r="C1496" s="28" t="n">
        <v>78393824.3365033</v>
      </c>
      <c r="D1496" s="28" t="n">
        <v>465317.399160821</v>
      </c>
      <c r="E1496" s="28" t="n">
        <v>24088338.8827899</v>
      </c>
      <c r="F1496" s="28" t="n">
        <v>24553656.2819507</v>
      </c>
      <c r="G1496" s="28" t="n">
        <v>54305485.4537134</v>
      </c>
      <c r="H1496" s="25" t="n">
        <f aca="false">J1495</f>
        <v>78393824.3365033</v>
      </c>
      <c r="I1496" s="25" t="n">
        <f aca="false">H1496*N1496</f>
        <v>465317.39916082</v>
      </c>
      <c r="J1496" s="25" t="n">
        <f aca="false">H1496+I1496-F1496</f>
        <v>54305485.4537134</v>
      </c>
      <c r="K1496" s="25" t="n">
        <f aca="false">D1496-I1496</f>
        <v>0</v>
      </c>
      <c r="L1496" s="25" t="n">
        <f aca="false">G1496-J1496</f>
        <v>0</v>
      </c>
      <c r="M1496" s="25" t="n">
        <f aca="false">F1496</f>
        <v>24553656.2819507</v>
      </c>
      <c r="N1496" s="49" t="n">
        <f aca="false">$C$1465</f>
        <v>0.00593563846513545</v>
      </c>
      <c r="O1496" s="25" t="n">
        <f aca="false">IF(AND(B1496&gt;=DATE(2026,1,1),B1496&lt;=Resumen!$C$5),1,0)</f>
        <v>0</v>
      </c>
      <c r="P1496" s="25" t="n">
        <f aca="false">IF(AND(B1496&gt;Resumen!$C$5,B1496&lt;=DATE(2027,7,31)),1,0)</f>
        <v>0</v>
      </c>
    </row>
    <row r="1497" customFormat="false" ht="15" hidden="false" customHeight="false" outlineLevel="0" collapsed="false">
      <c r="A1497" s="22" t="n">
        <v>27</v>
      </c>
      <c r="B1497" s="23" t="n">
        <v>46870</v>
      </c>
      <c r="C1497" s="28" t="n">
        <v>54305485.4537134</v>
      </c>
      <c r="D1497" s="28" t="n">
        <v>322337.728326915</v>
      </c>
      <c r="E1497" s="28" t="n">
        <v>24231318.5536238</v>
      </c>
      <c r="F1497" s="28" t="n">
        <v>24553656.2819507</v>
      </c>
      <c r="G1497" s="28" t="n">
        <v>30074166.9000897</v>
      </c>
      <c r="H1497" s="25" t="n">
        <f aca="false">J1496</f>
        <v>54305485.4537134</v>
      </c>
      <c r="I1497" s="25" t="n">
        <f aca="false">H1497*N1497</f>
        <v>322337.728326915</v>
      </c>
      <c r="J1497" s="25" t="n">
        <f aca="false">H1497+I1497-F1497</f>
        <v>30074166.9000896</v>
      </c>
      <c r="K1497" s="25" t="n">
        <f aca="false">D1497-I1497</f>
        <v>0</v>
      </c>
      <c r="L1497" s="25" t="n">
        <f aca="false">G1497-J1497</f>
        <v>0</v>
      </c>
      <c r="M1497" s="25" t="n">
        <f aca="false">F1497</f>
        <v>24553656.2819507</v>
      </c>
      <c r="N1497" s="49" t="n">
        <f aca="false">$C$1465</f>
        <v>0.00593563846513545</v>
      </c>
      <c r="O1497" s="25" t="n">
        <f aca="false">IF(AND(B1497&gt;=DATE(2026,1,1),B1497&lt;=Resumen!$C$5),1,0)</f>
        <v>0</v>
      </c>
      <c r="P1497" s="25" t="n">
        <f aca="false">IF(AND(B1497&gt;Resumen!$C$5,B1497&lt;=DATE(2027,7,31)),1,0)</f>
        <v>0</v>
      </c>
    </row>
    <row r="1498" customFormat="false" ht="15" hidden="false" customHeight="false" outlineLevel="0" collapsed="false">
      <c r="A1498" s="22" t="n">
        <v>28</v>
      </c>
      <c r="B1498" s="23" t="n">
        <v>46961</v>
      </c>
      <c r="C1498" s="28" t="n">
        <v>30074166.9000897</v>
      </c>
      <c r="D1498" s="28" t="n">
        <v>178509.381859076</v>
      </c>
      <c r="E1498" s="28" t="n">
        <v>30074166.9000916</v>
      </c>
      <c r="F1498" s="28" t="n">
        <v>30252676.2819507</v>
      </c>
      <c r="G1498" s="28" t="n">
        <v>-1.96322798728943E-006</v>
      </c>
      <c r="H1498" s="25" t="n">
        <f aca="false">J1497</f>
        <v>30074166.9000896</v>
      </c>
      <c r="I1498" s="25" t="n">
        <f aca="false">H1498*N1498</f>
        <v>178509.381859075</v>
      </c>
      <c r="J1498" s="25" t="n">
        <f aca="false">H1498+I1498-F1498</f>
        <v>-2.00793147087097E-006</v>
      </c>
      <c r="K1498" s="25" t="n">
        <f aca="false">D1498-I1498</f>
        <v>0</v>
      </c>
      <c r="L1498" s="25" t="n">
        <f aca="false">G1498-J1498</f>
        <v>4.47034835815425E-008</v>
      </c>
      <c r="M1498" s="25" t="n">
        <f aca="false">F1498</f>
        <v>30252676.2819507</v>
      </c>
      <c r="N1498" s="49" t="n">
        <f aca="false">$C$1465</f>
        <v>0.00593563846513545</v>
      </c>
      <c r="O1498" s="25" t="n">
        <f aca="false">IF(AND(B1498&gt;=DATE(2026,1,1),B1498&lt;=Resumen!$C$5),1,0)</f>
        <v>0</v>
      </c>
      <c r="P1498" s="25" t="n">
        <f aca="false">IF(AND(B1498&gt;Resumen!$C$5,B1498&lt;=DATE(2027,7,31)),1,0)</f>
        <v>0</v>
      </c>
    </row>
    <row r="1501" customFormat="false" ht="15" hidden="false" customHeight="false" outlineLevel="0" collapsed="false">
      <c r="A1501" s="33" t="s">
        <v>874</v>
      </c>
    </row>
    <row r="1502" customFormat="false" ht="15" hidden="false" customHeight="false" outlineLevel="0" collapsed="false">
      <c r="A1502" s="34" t="s">
        <v>870</v>
      </c>
    </row>
    <row r="1503" customFormat="false" ht="15" hidden="false" customHeight="false" outlineLevel="0" collapsed="false">
      <c r="A1503" s="19" t="s">
        <v>875</v>
      </c>
    </row>
    <row r="1504" customFormat="false" ht="15" hidden="false" customHeight="false" outlineLevel="0" collapsed="false">
      <c r="A1504" s="20" t="s">
        <v>876</v>
      </c>
    </row>
    <row r="1505" customFormat="false" ht="15" hidden="false" customHeight="false" outlineLevel="0" collapsed="false">
      <c r="A1505" s="29" t="s">
        <v>773</v>
      </c>
      <c r="C1505" s="22" t="s">
        <v>877</v>
      </c>
      <c r="F1505" s="47" t="s">
        <v>775</v>
      </c>
    </row>
    <row r="1506" customFormat="false" ht="15" hidden="false" customHeight="false" outlineLevel="0" collapsed="false">
      <c r="A1506" s="29" t="s">
        <v>640</v>
      </c>
      <c r="C1506" s="28" t="n">
        <v>569902000</v>
      </c>
      <c r="F1506" s="22" t="s">
        <v>776</v>
      </c>
      <c r="I1506" s="41" t="n">
        <f aca="false">_xlfn.MAXIFS($B$1514:$B$1542,$B$1514:$B$1542,"&lt;="&amp;Resumen!$C$5)</f>
        <v>46230</v>
      </c>
    </row>
    <row r="1507" customFormat="false" ht="15" hidden="false" customHeight="false" outlineLevel="0" collapsed="false">
      <c r="A1507" s="29" t="s">
        <v>641</v>
      </c>
      <c r="C1507" s="23" t="n">
        <v>44404</v>
      </c>
      <c r="F1507" s="22" t="s">
        <v>777</v>
      </c>
      <c r="I1507" s="25" t="n">
        <f aca="false">SUMIFS($G$1514:$G$1542,$B$1514:$B$1542,I1506)</f>
        <v>196720178.445431</v>
      </c>
    </row>
    <row r="1508" customFormat="false" ht="15" hidden="false" customHeight="false" outlineLevel="0" collapsed="false">
      <c r="A1508" s="29" t="s">
        <v>778</v>
      </c>
      <c r="C1508" s="22" t="s">
        <v>864</v>
      </c>
      <c r="F1508" s="22" t="s">
        <v>780</v>
      </c>
      <c r="I1508" s="25" t="n">
        <f aca="false">SUMIFS($J$1514:$J$1542,$B$1514:$B$1542,I1506)</f>
        <v>196720178.445431</v>
      </c>
    </row>
    <row r="1509" customFormat="false" ht="15" hidden="false" customHeight="false" outlineLevel="0" collapsed="false">
      <c r="A1509" s="29" t="s">
        <v>781</v>
      </c>
      <c r="C1509" s="48" t="n">
        <v>0.00593563846513545</v>
      </c>
      <c r="F1509" s="22" t="s">
        <v>650</v>
      </c>
      <c r="I1509" s="25" t="n">
        <f aca="false">SUMIFS($D$1514:$D$1542,$O$1514:$O$1542,1)</f>
        <v>4327677.93876348</v>
      </c>
    </row>
    <row r="1510" customFormat="false" ht="15" hidden="false" customHeight="false" outlineLevel="0" collapsed="false">
      <c r="A1510" s="29" t="s">
        <v>782</v>
      </c>
      <c r="C1510" s="49" t="n">
        <f aca="false">IFERROR(IRR($M$1514:$M$1542),"N/A")</f>
        <v>0.00593563846513572</v>
      </c>
      <c r="F1510" s="22" t="s">
        <v>783</v>
      </c>
      <c r="I1510" s="25" t="n">
        <f aca="false">SUMIFS($E$1514:$E$1542,$P$1514:$P$1542,1)</f>
        <v>94380151.2290461</v>
      </c>
    </row>
    <row r="1511" customFormat="false" ht="15" hidden="false" customHeight="false" outlineLevel="0" collapsed="false">
      <c r="A1511" s="29" t="s">
        <v>784</v>
      </c>
      <c r="C1511" s="50" t="n">
        <f aca="false">IF(ISNUMBER(C1510),(1+C1510)^4-1,"N/A")</f>
        <v>0.0239547824187594</v>
      </c>
      <c r="F1511" s="22" t="s">
        <v>785</v>
      </c>
      <c r="I1511" s="25" t="n">
        <f aca="false">SUMPRODUCT(MAX(ABS($L$1514:$L$1542)))</f>
        <v>4.47034835815425E-008</v>
      </c>
    </row>
    <row r="1513" customFormat="false" ht="36" hidden="false" customHeight="true" outlineLevel="0" collapsed="false">
      <c r="A1513" s="27" t="s">
        <v>786</v>
      </c>
      <c r="B1513" s="27" t="s">
        <v>396</v>
      </c>
      <c r="C1513" s="27" t="s">
        <v>787</v>
      </c>
      <c r="D1513" s="27" t="s">
        <v>788</v>
      </c>
      <c r="E1513" s="27" t="s">
        <v>789</v>
      </c>
      <c r="F1513" s="27" t="s">
        <v>790</v>
      </c>
      <c r="G1513" s="27" t="s">
        <v>791</v>
      </c>
      <c r="H1513" s="27" t="s">
        <v>792</v>
      </c>
      <c r="I1513" s="27" t="s">
        <v>793</v>
      </c>
      <c r="J1513" s="27" t="s">
        <v>794</v>
      </c>
      <c r="K1513" s="27" t="s">
        <v>795</v>
      </c>
      <c r="L1513" s="27" t="s">
        <v>796</v>
      </c>
      <c r="M1513" s="27" t="s">
        <v>797</v>
      </c>
      <c r="N1513" s="27" t="s">
        <v>798</v>
      </c>
      <c r="O1513" s="27" t="s">
        <v>799</v>
      </c>
      <c r="P1513" s="27" t="s">
        <v>800</v>
      </c>
    </row>
    <row r="1514" customFormat="false" ht="15" hidden="false" customHeight="false" outlineLevel="0" collapsed="false">
      <c r="A1514" s="22" t="n">
        <v>0</v>
      </c>
      <c r="B1514" s="23" t="n">
        <v>44404</v>
      </c>
      <c r="C1514" s="28"/>
      <c r="D1514" s="28" t="n">
        <v>0</v>
      </c>
      <c r="E1514" s="28" t="n">
        <v>0</v>
      </c>
      <c r="F1514" s="28" t="n">
        <v>0</v>
      </c>
      <c r="G1514" s="28" t="n">
        <v>569902000</v>
      </c>
      <c r="H1514" s="25" t="n">
        <f aca="false">G1514</f>
        <v>569902000</v>
      </c>
      <c r="I1514" s="28" t="n">
        <v>0</v>
      </c>
      <c r="J1514" s="25" t="n">
        <f aca="false">H1514</f>
        <v>569902000</v>
      </c>
      <c r="K1514" s="25" t="n">
        <f aca="false">D1514-I1514</f>
        <v>0</v>
      </c>
      <c r="L1514" s="25" t="n">
        <f aca="false">G1514-J1514</f>
        <v>0</v>
      </c>
      <c r="M1514" s="25" t="n">
        <f aca="false">-$C$1506</f>
        <v>-569902000</v>
      </c>
      <c r="N1514" s="49" t="n">
        <f aca="false">$C$1509</f>
        <v>0.00593563846513545</v>
      </c>
      <c r="O1514" s="25" t="n">
        <f aca="false">IF(AND(B1514&gt;=DATE(2026,1,1),B1514&lt;=Resumen!$C$5),1,0)</f>
        <v>0</v>
      </c>
      <c r="P1514" s="25" t="n">
        <f aca="false">IF(AND(B1514&gt;Resumen!$C$5,B1514&lt;=DATE(2027,7,31)),1,0)</f>
        <v>0</v>
      </c>
    </row>
    <row r="1515" customFormat="false" ht="15" hidden="false" customHeight="false" outlineLevel="0" collapsed="false">
      <c r="A1515" s="22" t="n">
        <v>1</v>
      </c>
      <c r="B1515" s="23" t="n">
        <v>44496</v>
      </c>
      <c r="C1515" s="28" t="n">
        <v>569902000</v>
      </c>
      <c r="D1515" s="28" t="n">
        <v>3382732.23255762</v>
      </c>
      <c r="E1515" s="28" t="n">
        <v>4269421.15348077</v>
      </c>
      <c r="F1515" s="28" t="n">
        <v>7652153.38603839</v>
      </c>
      <c r="G1515" s="28" t="n">
        <v>565632578.846519</v>
      </c>
      <c r="H1515" s="25" t="n">
        <f aca="false">J1514</f>
        <v>569902000</v>
      </c>
      <c r="I1515" s="25" t="n">
        <f aca="false">H1515*N1515</f>
        <v>3382732.23255762</v>
      </c>
      <c r="J1515" s="25" t="n">
        <f aca="false">H1515+I1515-F1515</f>
        <v>565632578.846519</v>
      </c>
      <c r="K1515" s="25" t="n">
        <f aca="false">D1515-I1515</f>
        <v>0</v>
      </c>
      <c r="L1515" s="25" t="n">
        <f aca="false">G1515-J1515</f>
        <v>0</v>
      </c>
      <c r="M1515" s="25" t="n">
        <f aca="false">F1515</f>
        <v>7652153.38603839</v>
      </c>
      <c r="N1515" s="49" t="n">
        <f aca="false">$C$1509</f>
        <v>0.00593563846513545</v>
      </c>
      <c r="O1515" s="25" t="n">
        <f aca="false">IF(AND(B1515&gt;=DATE(2026,1,1),B1515&lt;=Resumen!$C$5),1,0)</f>
        <v>0</v>
      </c>
      <c r="P1515" s="25" t="n">
        <f aca="false">IF(AND(B1515&gt;Resumen!$C$5,B1515&lt;=DATE(2027,7,31)),1,0)</f>
        <v>0</v>
      </c>
    </row>
    <row r="1516" customFormat="false" ht="15" hidden="false" customHeight="false" outlineLevel="0" collapsed="false">
      <c r="A1516" s="22" t="n">
        <v>2</v>
      </c>
      <c r="B1516" s="23" t="n">
        <v>44588</v>
      </c>
      <c r="C1516" s="28" t="n">
        <v>565632578.846519</v>
      </c>
      <c r="D1516" s="28" t="n">
        <v>3357390.49213516</v>
      </c>
      <c r="E1516" s="28" t="n">
        <v>4294762.89390326</v>
      </c>
      <c r="F1516" s="28" t="n">
        <v>7652153.38603842</v>
      </c>
      <c r="G1516" s="28" t="n">
        <v>561337815.952616</v>
      </c>
      <c r="H1516" s="25" t="n">
        <f aca="false">J1515</f>
        <v>565632578.846519</v>
      </c>
      <c r="I1516" s="25" t="n">
        <f aca="false">H1516*N1516</f>
        <v>3357390.49213516</v>
      </c>
      <c r="J1516" s="25" t="n">
        <f aca="false">H1516+I1516-F1516</f>
        <v>561337815.952616</v>
      </c>
      <c r="K1516" s="25" t="n">
        <f aca="false">D1516-I1516</f>
        <v>0</v>
      </c>
      <c r="L1516" s="25" t="n">
        <f aca="false">G1516-J1516</f>
        <v>0</v>
      </c>
      <c r="M1516" s="25" t="n">
        <f aca="false">F1516</f>
        <v>7652153.38603842</v>
      </c>
      <c r="N1516" s="49" t="n">
        <f aca="false">$C$1509</f>
        <v>0.00593563846513545</v>
      </c>
      <c r="O1516" s="25" t="n">
        <f aca="false">IF(AND(B1516&gt;=DATE(2026,1,1),B1516&lt;=Resumen!$C$5),1,0)</f>
        <v>0</v>
      </c>
      <c r="P1516" s="25" t="n">
        <f aca="false">IF(AND(B1516&gt;Resumen!$C$5,B1516&lt;=DATE(2027,7,31)),1,0)</f>
        <v>0</v>
      </c>
    </row>
    <row r="1517" customFormat="false" ht="15" hidden="false" customHeight="false" outlineLevel="0" collapsed="false">
      <c r="A1517" s="22" t="n">
        <v>3</v>
      </c>
      <c r="B1517" s="23" t="n">
        <v>44678</v>
      </c>
      <c r="C1517" s="28" t="n">
        <v>561337815.952616</v>
      </c>
      <c r="D1517" s="28" t="n">
        <v>3331898.33230347</v>
      </c>
      <c r="E1517" s="28" t="n">
        <v>4320255.0537349</v>
      </c>
      <c r="F1517" s="28" t="n">
        <v>7652153.38603837</v>
      </c>
      <c r="G1517" s="28" t="n">
        <v>557017560.898881</v>
      </c>
      <c r="H1517" s="25" t="n">
        <f aca="false">J1516</f>
        <v>561337815.952616</v>
      </c>
      <c r="I1517" s="25" t="n">
        <f aca="false">H1517*N1517</f>
        <v>3331898.33230347</v>
      </c>
      <c r="J1517" s="25" t="n">
        <f aca="false">H1517+I1517-F1517</f>
        <v>557017560.898881</v>
      </c>
      <c r="K1517" s="25" t="n">
        <f aca="false">D1517-I1517</f>
        <v>0</v>
      </c>
      <c r="L1517" s="25" t="n">
        <f aca="false">G1517-J1517</f>
        <v>0</v>
      </c>
      <c r="M1517" s="25" t="n">
        <f aca="false">F1517</f>
        <v>7652153.38603837</v>
      </c>
      <c r="N1517" s="49" t="n">
        <f aca="false">$C$1509</f>
        <v>0.00593563846513545</v>
      </c>
      <c r="O1517" s="25" t="n">
        <f aca="false">IF(AND(B1517&gt;=DATE(2026,1,1),B1517&lt;=Resumen!$C$5),1,0)</f>
        <v>0</v>
      </c>
      <c r="P1517" s="25" t="n">
        <f aca="false">IF(AND(B1517&gt;Resumen!$C$5,B1517&lt;=DATE(2027,7,31)),1,0)</f>
        <v>0</v>
      </c>
    </row>
    <row r="1518" customFormat="false" ht="15" hidden="false" customHeight="false" outlineLevel="0" collapsed="false">
      <c r="A1518" s="22" t="n">
        <v>4</v>
      </c>
      <c r="B1518" s="23" t="n">
        <v>44769</v>
      </c>
      <c r="C1518" s="28" t="n">
        <v>557017560.898881</v>
      </c>
      <c r="D1518" s="28" t="n">
        <v>3306254.86022733</v>
      </c>
      <c r="E1518" s="28" t="n">
        <v>4345898.52581108</v>
      </c>
      <c r="F1518" s="28" t="n">
        <v>7652153.3860384</v>
      </c>
      <c r="G1518" s="28" t="n">
        <v>552671662.37307</v>
      </c>
      <c r="H1518" s="25" t="n">
        <f aca="false">J1517</f>
        <v>557017560.898881</v>
      </c>
      <c r="I1518" s="25" t="n">
        <f aca="false">H1518*N1518</f>
        <v>3306254.86022733</v>
      </c>
      <c r="J1518" s="25" t="n">
        <f aca="false">H1518+I1518-F1518</f>
        <v>552671662.37307</v>
      </c>
      <c r="K1518" s="25" t="n">
        <f aca="false">D1518-I1518</f>
        <v>0</v>
      </c>
      <c r="L1518" s="25" t="n">
        <f aca="false">G1518-J1518</f>
        <v>0</v>
      </c>
      <c r="M1518" s="25" t="n">
        <f aca="false">F1518</f>
        <v>7652153.3860384</v>
      </c>
      <c r="N1518" s="49" t="n">
        <f aca="false">$C$1509</f>
        <v>0.00593563846513545</v>
      </c>
      <c r="O1518" s="25" t="n">
        <f aca="false">IF(AND(B1518&gt;=DATE(2026,1,1),B1518&lt;=Resumen!$C$5),1,0)</f>
        <v>0</v>
      </c>
      <c r="P1518" s="25" t="n">
        <f aca="false">IF(AND(B1518&gt;Resumen!$C$5,B1518&lt;=DATE(2027,7,31)),1,0)</f>
        <v>0</v>
      </c>
    </row>
    <row r="1519" customFormat="false" ht="15" hidden="false" customHeight="false" outlineLevel="0" collapsed="false">
      <c r="A1519" s="22" t="n">
        <v>5</v>
      </c>
      <c r="B1519" s="23" t="n">
        <v>44861</v>
      </c>
      <c r="C1519" s="28" t="n">
        <v>552671662.37307</v>
      </c>
      <c r="D1519" s="28" t="n">
        <v>3280459.17777195</v>
      </c>
      <c r="E1519" s="28" t="n">
        <v>21273197.1041788</v>
      </c>
      <c r="F1519" s="28" t="n">
        <v>24553656.2819507</v>
      </c>
      <c r="G1519" s="28" t="n">
        <v>531398465.268891</v>
      </c>
      <c r="H1519" s="25" t="n">
        <f aca="false">J1518</f>
        <v>552671662.37307</v>
      </c>
      <c r="I1519" s="25" t="n">
        <f aca="false">H1519*N1519</f>
        <v>3280459.17777195</v>
      </c>
      <c r="J1519" s="25" t="n">
        <f aca="false">H1519+I1519-F1519</f>
        <v>531398465.268891</v>
      </c>
      <c r="K1519" s="25" t="n">
        <f aca="false">D1519-I1519</f>
        <v>0</v>
      </c>
      <c r="L1519" s="25" t="n">
        <f aca="false">G1519-J1519</f>
        <v>0</v>
      </c>
      <c r="M1519" s="25" t="n">
        <f aca="false">F1519</f>
        <v>24553656.2819507</v>
      </c>
      <c r="N1519" s="49" t="n">
        <f aca="false">$C$1509</f>
        <v>0.00593563846513545</v>
      </c>
      <c r="O1519" s="25" t="n">
        <f aca="false">IF(AND(B1519&gt;=DATE(2026,1,1),B1519&lt;=Resumen!$C$5),1,0)</f>
        <v>0</v>
      </c>
      <c r="P1519" s="25" t="n">
        <f aca="false">IF(AND(B1519&gt;Resumen!$C$5,B1519&lt;=DATE(2027,7,31)),1,0)</f>
        <v>0</v>
      </c>
    </row>
    <row r="1520" customFormat="false" ht="15" hidden="false" customHeight="false" outlineLevel="0" collapsed="false">
      <c r="A1520" s="22" t="n">
        <v>6</v>
      </c>
      <c r="B1520" s="23" t="n">
        <v>44953</v>
      </c>
      <c r="C1520" s="28" t="n">
        <v>531398465.268891</v>
      </c>
      <c r="D1520" s="28" t="n">
        <v>3154189.17076398</v>
      </c>
      <c r="E1520" s="28" t="n">
        <v>21399467.1111867</v>
      </c>
      <c r="F1520" s="28" t="n">
        <v>24553656.2819507</v>
      </c>
      <c r="G1520" s="28" t="n">
        <v>509998998.157705</v>
      </c>
      <c r="H1520" s="25" t="n">
        <f aca="false">J1519</f>
        <v>531398465.268891</v>
      </c>
      <c r="I1520" s="25" t="n">
        <f aca="false">H1520*N1520</f>
        <v>3154189.17076398</v>
      </c>
      <c r="J1520" s="25" t="n">
        <f aca="false">H1520+I1520-F1520</f>
        <v>509998998.157705</v>
      </c>
      <c r="K1520" s="25" t="n">
        <f aca="false">D1520-I1520</f>
        <v>0</v>
      </c>
      <c r="L1520" s="25" t="n">
        <f aca="false">G1520-J1520</f>
        <v>0</v>
      </c>
      <c r="M1520" s="25" t="n">
        <f aca="false">F1520</f>
        <v>24553656.2819507</v>
      </c>
      <c r="N1520" s="49" t="n">
        <f aca="false">$C$1509</f>
        <v>0.00593563846513545</v>
      </c>
      <c r="O1520" s="25" t="n">
        <f aca="false">IF(AND(B1520&gt;=DATE(2026,1,1),B1520&lt;=Resumen!$C$5),1,0)</f>
        <v>0</v>
      </c>
      <c r="P1520" s="25" t="n">
        <f aca="false">IF(AND(B1520&gt;Resumen!$C$5,B1520&lt;=DATE(2027,7,31)),1,0)</f>
        <v>0</v>
      </c>
    </row>
    <row r="1521" customFormat="false" ht="15" hidden="false" customHeight="false" outlineLevel="0" collapsed="false">
      <c r="A1521" s="22" t="n">
        <v>7</v>
      </c>
      <c r="B1521" s="23" t="n">
        <v>45043</v>
      </c>
      <c r="C1521" s="28" t="n">
        <v>509998998.157705</v>
      </c>
      <c r="D1521" s="28" t="n">
        <v>3027169.67064542</v>
      </c>
      <c r="E1521" s="28" t="n">
        <v>21526486.6113053</v>
      </c>
      <c r="F1521" s="28" t="n">
        <v>24553656.2819507</v>
      </c>
      <c r="G1521" s="28" t="n">
        <v>488472511.546399</v>
      </c>
      <c r="H1521" s="25" t="n">
        <f aca="false">J1520</f>
        <v>509998998.157705</v>
      </c>
      <c r="I1521" s="25" t="n">
        <f aca="false">H1521*N1521</f>
        <v>3027169.67064542</v>
      </c>
      <c r="J1521" s="25" t="n">
        <f aca="false">H1521+I1521-F1521</f>
        <v>488472511.546399</v>
      </c>
      <c r="K1521" s="25" t="n">
        <f aca="false">D1521-I1521</f>
        <v>0</v>
      </c>
      <c r="L1521" s="25" t="n">
        <f aca="false">G1521-J1521</f>
        <v>0</v>
      </c>
      <c r="M1521" s="25" t="n">
        <f aca="false">F1521</f>
        <v>24553656.2819507</v>
      </c>
      <c r="N1521" s="49" t="n">
        <f aca="false">$C$1509</f>
        <v>0.00593563846513545</v>
      </c>
      <c r="O1521" s="25" t="n">
        <f aca="false">IF(AND(B1521&gt;=DATE(2026,1,1),B1521&lt;=Resumen!$C$5),1,0)</f>
        <v>0</v>
      </c>
      <c r="P1521" s="25" t="n">
        <f aca="false">IF(AND(B1521&gt;Resumen!$C$5,B1521&lt;=DATE(2027,7,31)),1,0)</f>
        <v>0</v>
      </c>
    </row>
    <row r="1522" customFormat="false" ht="15" hidden="false" customHeight="false" outlineLevel="0" collapsed="false">
      <c r="A1522" s="22" t="n">
        <v>8</v>
      </c>
      <c r="B1522" s="23" t="n">
        <v>45134</v>
      </c>
      <c r="C1522" s="28" t="n">
        <v>488472511.546399</v>
      </c>
      <c r="D1522" s="28" t="n">
        <v>2899396.22869613</v>
      </c>
      <c r="E1522" s="28" t="n">
        <v>21654260.0532546</v>
      </c>
      <c r="F1522" s="28" t="n">
        <v>24553656.2819507</v>
      </c>
      <c r="G1522" s="28" t="n">
        <v>466818251.493145</v>
      </c>
      <c r="H1522" s="25" t="n">
        <f aca="false">J1521</f>
        <v>488472511.546399</v>
      </c>
      <c r="I1522" s="25" t="n">
        <f aca="false">H1522*N1522</f>
        <v>2899396.22869613</v>
      </c>
      <c r="J1522" s="25" t="n">
        <f aca="false">H1522+I1522-F1522</f>
        <v>466818251.493145</v>
      </c>
      <c r="K1522" s="25" t="n">
        <f aca="false">D1522-I1522</f>
        <v>0</v>
      </c>
      <c r="L1522" s="25" t="n">
        <f aca="false">G1522-J1522</f>
        <v>0</v>
      </c>
      <c r="M1522" s="25" t="n">
        <f aca="false">F1522</f>
        <v>24553656.2819507</v>
      </c>
      <c r="N1522" s="49" t="n">
        <f aca="false">$C$1509</f>
        <v>0.00593563846513545</v>
      </c>
      <c r="O1522" s="25" t="n">
        <f aca="false">IF(AND(B1522&gt;=DATE(2026,1,1),B1522&lt;=Resumen!$C$5),1,0)</f>
        <v>0</v>
      </c>
      <c r="P1522" s="25" t="n">
        <f aca="false">IF(AND(B1522&gt;Resumen!$C$5,B1522&lt;=DATE(2027,7,31)),1,0)</f>
        <v>0</v>
      </c>
    </row>
    <row r="1523" customFormat="false" ht="15" hidden="false" customHeight="false" outlineLevel="0" collapsed="false">
      <c r="A1523" s="22" t="n">
        <v>9</v>
      </c>
      <c r="B1523" s="23" t="n">
        <v>45226</v>
      </c>
      <c r="C1523" s="28" t="n">
        <v>466818251.493145</v>
      </c>
      <c r="D1523" s="28" t="n">
        <v>2770864.36978998</v>
      </c>
      <c r="E1523" s="28" t="n">
        <v>21782791.9121608</v>
      </c>
      <c r="F1523" s="28" t="n">
        <v>24553656.2819507</v>
      </c>
      <c r="G1523" s="28" t="n">
        <v>445035459.580984</v>
      </c>
      <c r="H1523" s="25" t="n">
        <f aca="false">J1522</f>
        <v>466818251.493145</v>
      </c>
      <c r="I1523" s="25" t="n">
        <f aca="false">H1523*N1523</f>
        <v>2770864.36978998</v>
      </c>
      <c r="J1523" s="25" t="n">
        <f aca="false">H1523+I1523-F1523</f>
        <v>445035459.580984</v>
      </c>
      <c r="K1523" s="25" t="n">
        <f aca="false">D1523-I1523</f>
        <v>0</v>
      </c>
      <c r="L1523" s="25" t="n">
        <f aca="false">G1523-J1523</f>
        <v>0</v>
      </c>
      <c r="M1523" s="25" t="n">
        <f aca="false">F1523</f>
        <v>24553656.2819507</v>
      </c>
      <c r="N1523" s="49" t="n">
        <f aca="false">$C$1509</f>
        <v>0.00593563846513545</v>
      </c>
      <c r="O1523" s="25" t="n">
        <f aca="false">IF(AND(B1523&gt;=DATE(2026,1,1),B1523&lt;=Resumen!$C$5),1,0)</f>
        <v>0</v>
      </c>
      <c r="P1523" s="25" t="n">
        <f aca="false">IF(AND(B1523&gt;Resumen!$C$5,B1523&lt;=DATE(2027,7,31)),1,0)</f>
        <v>0</v>
      </c>
    </row>
    <row r="1524" customFormat="false" ht="15" hidden="false" customHeight="false" outlineLevel="0" collapsed="false">
      <c r="A1524" s="22" t="n">
        <v>10</v>
      </c>
      <c r="B1524" s="23" t="n">
        <v>45318</v>
      </c>
      <c r="C1524" s="28" t="n">
        <v>445035459.580984</v>
      </c>
      <c r="D1524" s="28" t="n">
        <v>2641569.59223812</v>
      </c>
      <c r="E1524" s="28" t="n">
        <v>21912086.6897126</v>
      </c>
      <c r="F1524" s="28" t="n">
        <v>24553656.2819507</v>
      </c>
      <c r="G1524" s="28" t="n">
        <v>423123372.891271</v>
      </c>
      <c r="H1524" s="25" t="n">
        <f aca="false">J1523</f>
        <v>445035459.580984</v>
      </c>
      <c r="I1524" s="25" t="n">
        <f aca="false">H1524*N1524</f>
        <v>2641569.59223812</v>
      </c>
      <c r="J1524" s="25" t="n">
        <f aca="false">H1524+I1524-F1524</f>
        <v>423123372.891271</v>
      </c>
      <c r="K1524" s="25" t="n">
        <f aca="false">D1524-I1524</f>
        <v>0</v>
      </c>
      <c r="L1524" s="25" t="n">
        <f aca="false">G1524-J1524</f>
        <v>0</v>
      </c>
      <c r="M1524" s="25" t="n">
        <f aca="false">F1524</f>
        <v>24553656.2819507</v>
      </c>
      <c r="N1524" s="49" t="n">
        <f aca="false">$C$1509</f>
        <v>0.00593563846513545</v>
      </c>
      <c r="O1524" s="25" t="n">
        <f aca="false">IF(AND(B1524&gt;=DATE(2026,1,1),B1524&lt;=Resumen!$C$5),1,0)</f>
        <v>0</v>
      </c>
      <c r="P1524" s="25" t="n">
        <f aca="false">IF(AND(B1524&gt;Resumen!$C$5,B1524&lt;=DATE(2027,7,31)),1,0)</f>
        <v>0</v>
      </c>
    </row>
    <row r="1525" customFormat="false" ht="15" hidden="false" customHeight="false" outlineLevel="0" collapsed="false">
      <c r="A1525" s="22" t="n">
        <v>11</v>
      </c>
      <c r="B1525" s="23" t="n">
        <v>45409</v>
      </c>
      <c r="C1525" s="28" t="n">
        <v>423123372.891271</v>
      </c>
      <c r="D1525" s="28" t="n">
        <v>2511507.36763128</v>
      </c>
      <c r="E1525" s="28" t="n">
        <v>22042148.9143195</v>
      </c>
      <c r="F1525" s="28" t="n">
        <v>24553656.2819507</v>
      </c>
      <c r="G1525" s="28" t="n">
        <v>401081223.976952</v>
      </c>
      <c r="H1525" s="25" t="n">
        <f aca="false">J1524</f>
        <v>423123372.891271</v>
      </c>
      <c r="I1525" s="25" t="n">
        <f aca="false">H1525*N1525</f>
        <v>2511507.36763128</v>
      </c>
      <c r="J1525" s="25" t="n">
        <f aca="false">H1525+I1525-F1525</f>
        <v>401081223.976952</v>
      </c>
      <c r="K1525" s="25" t="n">
        <f aca="false">D1525-I1525</f>
        <v>0</v>
      </c>
      <c r="L1525" s="25" t="n">
        <f aca="false">G1525-J1525</f>
        <v>0</v>
      </c>
      <c r="M1525" s="25" t="n">
        <f aca="false">F1525</f>
        <v>24553656.2819507</v>
      </c>
      <c r="N1525" s="49" t="n">
        <f aca="false">$C$1509</f>
        <v>0.00593563846513545</v>
      </c>
      <c r="O1525" s="25" t="n">
        <f aca="false">IF(AND(B1525&gt;=DATE(2026,1,1),B1525&lt;=Resumen!$C$5),1,0)</f>
        <v>0</v>
      </c>
      <c r="P1525" s="25" t="n">
        <f aca="false">IF(AND(B1525&gt;Resumen!$C$5,B1525&lt;=DATE(2027,7,31)),1,0)</f>
        <v>0</v>
      </c>
    </row>
    <row r="1526" customFormat="false" ht="15" hidden="false" customHeight="false" outlineLevel="0" collapsed="false">
      <c r="A1526" s="22" t="n">
        <v>12</v>
      </c>
      <c r="B1526" s="23" t="n">
        <v>45500</v>
      </c>
      <c r="C1526" s="28" t="n">
        <v>401081223.976952</v>
      </c>
      <c r="D1526" s="28" t="n">
        <v>2380673.1406812</v>
      </c>
      <c r="E1526" s="28" t="n">
        <v>22172983.1412695</v>
      </c>
      <c r="F1526" s="28" t="n">
        <v>24553656.2819507</v>
      </c>
      <c r="G1526" s="28" t="n">
        <v>378908240.835682</v>
      </c>
      <c r="H1526" s="25" t="n">
        <f aca="false">J1525</f>
        <v>401081223.976952</v>
      </c>
      <c r="I1526" s="25" t="n">
        <f aca="false">H1526*N1526</f>
        <v>2380673.1406812</v>
      </c>
      <c r="J1526" s="25" t="n">
        <f aca="false">H1526+I1526-F1526</f>
        <v>378908240.835682</v>
      </c>
      <c r="K1526" s="25" t="n">
        <f aca="false">D1526-I1526</f>
        <v>0</v>
      </c>
      <c r="L1526" s="25" t="n">
        <f aca="false">G1526-J1526</f>
        <v>0</v>
      </c>
      <c r="M1526" s="25" t="n">
        <f aca="false">F1526</f>
        <v>24553656.2819507</v>
      </c>
      <c r="N1526" s="49" t="n">
        <f aca="false">$C$1509</f>
        <v>0.00593563846513545</v>
      </c>
      <c r="O1526" s="25" t="n">
        <f aca="false">IF(AND(B1526&gt;=DATE(2026,1,1),B1526&lt;=Resumen!$C$5),1,0)</f>
        <v>0</v>
      </c>
      <c r="P1526" s="25" t="n">
        <f aca="false">IF(AND(B1526&gt;Resumen!$C$5,B1526&lt;=DATE(2027,7,31)),1,0)</f>
        <v>0</v>
      </c>
    </row>
    <row r="1527" customFormat="false" ht="15" hidden="false" customHeight="false" outlineLevel="0" collapsed="false">
      <c r="A1527" s="22" t="n">
        <v>13</v>
      </c>
      <c r="B1527" s="23" t="n">
        <v>45592</v>
      </c>
      <c r="C1527" s="28" t="n">
        <v>378908240.835682</v>
      </c>
      <c r="D1527" s="28" t="n">
        <v>2249062.32906108</v>
      </c>
      <c r="E1527" s="28" t="n">
        <v>22304593.9528896</v>
      </c>
      <c r="F1527" s="28" t="n">
        <v>24553656.2819507</v>
      </c>
      <c r="G1527" s="28" t="n">
        <v>356603646.882793</v>
      </c>
      <c r="H1527" s="25" t="n">
        <f aca="false">J1526</f>
        <v>378908240.835682</v>
      </c>
      <c r="I1527" s="25" t="n">
        <f aca="false">H1527*N1527</f>
        <v>2249062.32906108</v>
      </c>
      <c r="J1527" s="25" t="n">
        <f aca="false">H1527+I1527-F1527</f>
        <v>356603646.882793</v>
      </c>
      <c r="K1527" s="25" t="n">
        <f aca="false">D1527-I1527</f>
        <v>0</v>
      </c>
      <c r="L1527" s="25" t="n">
        <f aca="false">G1527-J1527</f>
        <v>0</v>
      </c>
      <c r="M1527" s="25" t="n">
        <f aca="false">F1527</f>
        <v>24553656.2819507</v>
      </c>
      <c r="N1527" s="49" t="n">
        <f aca="false">$C$1509</f>
        <v>0.00593563846513545</v>
      </c>
      <c r="O1527" s="25" t="n">
        <f aca="false">IF(AND(B1527&gt;=DATE(2026,1,1),B1527&lt;=Resumen!$C$5),1,0)</f>
        <v>0</v>
      </c>
      <c r="P1527" s="25" t="n">
        <f aca="false">IF(AND(B1527&gt;Resumen!$C$5,B1527&lt;=DATE(2027,7,31)),1,0)</f>
        <v>0</v>
      </c>
    </row>
    <row r="1528" customFormat="false" ht="15" hidden="false" customHeight="false" outlineLevel="0" collapsed="false">
      <c r="A1528" s="22" t="n">
        <v>14</v>
      </c>
      <c r="B1528" s="23" t="n">
        <v>45684</v>
      </c>
      <c r="C1528" s="28" t="n">
        <v>356603646.882793</v>
      </c>
      <c r="D1528" s="28" t="n">
        <v>2116670.32324508</v>
      </c>
      <c r="E1528" s="28" t="n">
        <v>22436985.9587056</v>
      </c>
      <c r="F1528" s="28" t="n">
        <v>24553656.2819507</v>
      </c>
      <c r="G1528" s="28" t="n">
        <v>334166660.924087</v>
      </c>
      <c r="H1528" s="25" t="n">
        <f aca="false">J1527</f>
        <v>356603646.882793</v>
      </c>
      <c r="I1528" s="25" t="n">
        <f aca="false">H1528*N1528</f>
        <v>2116670.32324508</v>
      </c>
      <c r="J1528" s="25" t="n">
        <f aca="false">H1528+I1528-F1528</f>
        <v>334166660.924087</v>
      </c>
      <c r="K1528" s="25" t="n">
        <f aca="false">D1528-I1528</f>
        <v>0</v>
      </c>
      <c r="L1528" s="25" t="n">
        <f aca="false">G1528-J1528</f>
        <v>0</v>
      </c>
      <c r="M1528" s="25" t="n">
        <f aca="false">F1528</f>
        <v>24553656.2819507</v>
      </c>
      <c r="N1528" s="49" t="n">
        <f aca="false">$C$1509</f>
        <v>0.00593563846513545</v>
      </c>
      <c r="O1528" s="25" t="n">
        <f aca="false">IF(AND(B1528&gt;=DATE(2026,1,1),B1528&lt;=Resumen!$C$5),1,0)</f>
        <v>0</v>
      </c>
      <c r="P1528" s="25" t="n">
        <f aca="false">IF(AND(B1528&gt;Resumen!$C$5,B1528&lt;=DATE(2027,7,31)),1,0)</f>
        <v>0</v>
      </c>
    </row>
    <row r="1529" customFormat="false" ht="15" hidden="false" customHeight="false" outlineLevel="0" collapsed="false">
      <c r="A1529" s="22" t="n">
        <v>15</v>
      </c>
      <c r="B1529" s="23" t="n">
        <v>45774</v>
      </c>
      <c r="C1529" s="28" t="n">
        <v>334166660.924087</v>
      </c>
      <c r="D1529" s="28" t="n">
        <v>1983492.48634689</v>
      </c>
      <c r="E1529" s="28" t="n">
        <v>22570163.7956038</v>
      </c>
      <c r="F1529" s="28" t="n">
        <v>24553656.2819507</v>
      </c>
      <c r="G1529" s="28" t="n">
        <v>311596497.128483</v>
      </c>
      <c r="H1529" s="25" t="n">
        <f aca="false">J1528</f>
        <v>334166660.924087</v>
      </c>
      <c r="I1529" s="25" t="n">
        <f aca="false">H1529*N1529</f>
        <v>1983492.48634689</v>
      </c>
      <c r="J1529" s="25" t="n">
        <f aca="false">H1529+I1529-F1529</f>
        <v>311596497.128483</v>
      </c>
      <c r="K1529" s="25" t="n">
        <f aca="false">D1529-I1529</f>
        <v>0</v>
      </c>
      <c r="L1529" s="25" t="n">
        <f aca="false">G1529-J1529</f>
        <v>0</v>
      </c>
      <c r="M1529" s="25" t="n">
        <f aca="false">F1529</f>
        <v>24553656.2819507</v>
      </c>
      <c r="N1529" s="49" t="n">
        <f aca="false">$C$1509</f>
        <v>0.00593563846513545</v>
      </c>
      <c r="O1529" s="25" t="n">
        <f aca="false">IF(AND(B1529&gt;=DATE(2026,1,1),B1529&lt;=Resumen!$C$5),1,0)</f>
        <v>0</v>
      </c>
      <c r="P1529" s="25" t="n">
        <f aca="false">IF(AND(B1529&gt;Resumen!$C$5,B1529&lt;=DATE(2027,7,31)),1,0)</f>
        <v>0</v>
      </c>
    </row>
    <row r="1530" customFormat="false" ht="15" hidden="false" customHeight="false" outlineLevel="0" collapsed="false">
      <c r="A1530" s="22" t="n">
        <v>16</v>
      </c>
      <c r="B1530" s="23" t="n">
        <v>45865</v>
      </c>
      <c r="C1530" s="28" t="n">
        <v>311596497.128483</v>
      </c>
      <c r="D1530" s="28" t="n">
        <v>1849524.15395729</v>
      </c>
      <c r="E1530" s="28" t="n">
        <v>22704132.1279934</v>
      </c>
      <c r="F1530" s="28" t="n">
        <v>24553656.2819507</v>
      </c>
      <c r="G1530" s="28" t="n">
        <v>288892365.00049</v>
      </c>
      <c r="H1530" s="25" t="n">
        <f aca="false">J1529</f>
        <v>311596497.128483</v>
      </c>
      <c r="I1530" s="25" t="n">
        <f aca="false">H1530*N1530</f>
        <v>1849524.15395729</v>
      </c>
      <c r="J1530" s="25" t="n">
        <f aca="false">H1530+I1530-F1530</f>
        <v>288892365.00049</v>
      </c>
      <c r="K1530" s="25" t="n">
        <f aca="false">D1530-I1530</f>
        <v>0</v>
      </c>
      <c r="L1530" s="25" t="n">
        <f aca="false">G1530-J1530</f>
        <v>0</v>
      </c>
      <c r="M1530" s="25" t="n">
        <f aca="false">F1530</f>
        <v>24553656.2819507</v>
      </c>
      <c r="N1530" s="49" t="n">
        <f aca="false">$C$1509</f>
        <v>0.00593563846513545</v>
      </c>
      <c r="O1530" s="25" t="n">
        <f aca="false">IF(AND(B1530&gt;=DATE(2026,1,1),B1530&lt;=Resumen!$C$5),1,0)</f>
        <v>0</v>
      </c>
      <c r="P1530" s="25" t="n">
        <f aca="false">IF(AND(B1530&gt;Resumen!$C$5,B1530&lt;=DATE(2027,7,31)),1,0)</f>
        <v>0</v>
      </c>
    </row>
    <row r="1531" customFormat="false" ht="15" hidden="false" customHeight="false" outlineLevel="0" collapsed="false">
      <c r="A1531" s="22" t="n">
        <v>17</v>
      </c>
      <c r="B1531" s="23" t="n">
        <v>45957</v>
      </c>
      <c r="C1531" s="28" t="n">
        <v>288892365.00049</v>
      </c>
      <c r="D1531" s="28" t="n">
        <v>1714760.63398086</v>
      </c>
      <c r="E1531" s="28" t="n">
        <v>22838895.6479698</v>
      </c>
      <c r="F1531" s="28" t="n">
        <v>24553656.2819507</v>
      </c>
      <c r="G1531" s="28" t="n">
        <v>266053469.35252</v>
      </c>
      <c r="H1531" s="25" t="n">
        <f aca="false">J1530</f>
        <v>288892365.00049</v>
      </c>
      <c r="I1531" s="25" t="n">
        <f aca="false">H1531*N1531</f>
        <v>1714760.63398086</v>
      </c>
      <c r="J1531" s="25" t="n">
        <f aca="false">H1531+I1531-F1531</f>
        <v>266053469.35252</v>
      </c>
      <c r="K1531" s="25" t="n">
        <f aca="false">D1531-I1531</f>
        <v>0</v>
      </c>
      <c r="L1531" s="25" t="n">
        <f aca="false">G1531-J1531</f>
        <v>0</v>
      </c>
      <c r="M1531" s="25" t="n">
        <f aca="false">F1531</f>
        <v>24553656.2819507</v>
      </c>
      <c r="N1531" s="49" t="n">
        <f aca="false">$C$1509</f>
        <v>0.00593563846513545</v>
      </c>
      <c r="O1531" s="25" t="n">
        <f aca="false">IF(AND(B1531&gt;=DATE(2026,1,1),B1531&lt;=Resumen!$C$5),1,0)</f>
        <v>0</v>
      </c>
      <c r="P1531" s="25" t="n">
        <f aca="false">IF(AND(B1531&gt;Resumen!$C$5,B1531&lt;=DATE(2027,7,31)),1,0)</f>
        <v>0</v>
      </c>
    </row>
    <row r="1532" customFormat="false" ht="15" hidden="false" customHeight="false" outlineLevel="0" collapsed="false">
      <c r="A1532" s="22" t="n">
        <v>18</v>
      </c>
      <c r="B1532" s="23" t="n">
        <v>46049</v>
      </c>
      <c r="C1532" s="28" t="n">
        <v>266053469.35252</v>
      </c>
      <c r="D1532" s="28" t="n">
        <v>1579197.20647155</v>
      </c>
      <c r="E1532" s="28" t="n">
        <v>22974459.0754791</v>
      </c>
      <c r="F1532" s="28" t="n">
        <v>24553656.2819507</v>
      </c>
      <c r="G1532" s="28" t="n">
        <v>243079010.277041</v>
      </c>
      <c r="H1532" s="25" t="n">
        <f aca="false">J1531</f>
        <v>266053469.35252</v>
      </c>
      <c r="I1532" s="25" t="n">
        <f aca="false">H1532*N1532</f>
        <v>1579197.20647155</v>
      </c>
      <c r="J1532" s="25" t="n">
        <f aca="false">H1532+I1532-F1532</f>
        <v>243079010.277041</v>
      </c>
      <c r="K1532" s="25" t="n">
        <f aca="false">D1532-I1532</f>
        <v>0</v>
      </c>
      <c r="L1532" s="25" t="n">
        <f aca="false">G1532-J1532</f>
        <v>0</v>
      </c>
      <c r="M1532" s="25" t="n">
        <f aca="false">F1532</f>
        <v>24553656.2819507</v>
      </c>
      <c r="N1532" s="49" t="n">
        <f aca="false">$C$1509</f>
        <v>0.00593563846513545</v>
      </c>
      <c r="O1532" s="25" t="n">
        <f aca="false">IF(AND(B1532&gt;=DATE(2026,1,1),B1532&lt;=Resumen!$C$5),1,0)</f>
        <v>1</v>
      </c>
      <c r="P1532" s="25" t="n">
        <f aca="false">IF(AND(B1532&gt;Resumen!$C$5,B1532&lt;=DATE(2027,7,31)),1,0)</f>
        <v>0</v>
      </c>
    </row>
    <row r="1533" customFormat="false" ht="15" hidden="false" customHeight="false" outlineLevel="0" collapsed="false">
      <c r="A1533" s="22" t="n">
        <v>19</v>
      </c>
      <c r="B1533" s="23" t="n">
        <v>46139</v>
      </c>
      <c r="C1533" s="28" t="n">
        <v>243079010.277041</v>
      </c>
      <c r="D1533" s="28" t="n">
        <v>1442829.12346746</v>
      </c>
      <c r="E1533" s="28" t="n">
        <v>23110827.1584832</v>
      </c>
      <c r="F1533" s="28" t="n">
        <v>24553656.2819507</v>
      </c>
      <c r="G1533" s="28" t="n">
        <v>219968183.118558</v>
      </c>
      <c r="H1533" s="25" t="n">
        <f aca="false">J1532</f>
        <v>243079010.277041</v>
      </c>
      <c r="I1533" s="25" t="n">
        <f aca="false">H1533*N1533</f>
        <v>1442829.12346746</v>
      </c>
      <c r="J1533" s="25" t="n">
        <f aca="false">H1533+I1533-F1533</f>
        <v>219968183.118558</v>
      </c>
      <c r="K1533" s="25" t="n">
        <f aca="false">D1533-I1533</f>
        <v>0</v>
      </c>
      <c r="L1533" s="25" t="n">
        <f aca="false">G1533-J1533</f>
        <v>0</v>
      </c>
      <c r="M1533" s="25" t="n">
        <f aca="false">F1533</f>
        <v>24553656.2819507</v>
      </c>
      <c r="N1533" s="49" t="n">
        <f aca="false">$C$1509</f>
        <v>0.00593563846513545</v>
      </c>
      <c r="O1533" s="25" t="n">
        <f aca="false">IF(AND(B1533&gt;=DATE(2026,1,1),B1533&lt;=Resumen!$C$5),1,0)</f>
        <v>1</v>
      </c>
      <c r="P1533" s="25" t="n">
        <f aca="false">IF(AND(B1533&gt;Resumen!$C$5,B1533&lt;=DATE(2027,7,31)),1,0)</f>
        <v>0</v>
      </c>
    </row>
    <row r="1534" customFormat="false" ht="15" hidden="false" customHeight="false" outlineLevel="0" collapsed="false">
      <c r="A1534" s="22" t="n">
        <v>20</v>
      </c>
      <c r="B1534" s="23" t="n">
        <v>46230</v>
      </c>
      <c r="C1534" s="28" t="n">
        <v>219968183.118558</v>
      </c>
      <c r="D1534" s="28" t="n">
        <v>1305651.60882447</v>
      </c>
      <c r="E1534" s="28" t="n">
        <v>23248004.6731262</v>
      </c>
      <c r="F1534" s="28" t="n">
        <v>24553656.2819507</v>
      </c>
      <c r="G1534" s="28" t="n">
        <v>196720178.445431</v>
      </c>
      <c r="H1534" s="25" t="n">
        <f aca="false">J1533</f>
        <v>219968183.118558</v>
      </c>
      <c r="I1534" s="25" t="n">
        <f aca="false">H1534*N1534</f>
        <v>1305651.60882447</v>
      </c>
      <c r="J1534" s="25" t="n">
        <f aca="false">H1534+I1534-F1534</f>
        <v>196720178.445431</v>
      </c>
      <c r="K1534" s="25" t="n">
        <f aca="false">D1534-I1534</f>
        <v>0</v>
      </c>
      <c r="L1534" s="25" t="n">
        <f aca="false">G1534-J1534</f>
        <v>0</v>
      </c>
      <c r="M1534" s="25" t="n">
        <f aca="false">F1534</f>
        <v>24553656.2819507</v>
      </c>
      <c r="N1534" s="49" t="n">
        <f aca="false">$C$1509</f>
        <v>0.00593563846513545</v>
      </c>
      <c r="O1534" s="25" t="n">
        <f aca="false">IF(AND(B1534&gt;=DATE(2026,1,1),B1534&lt;=Resumen!$C$5),1,0)</f>
        <v>1</v>
      </c>
      <c r="P1534" s="25" t="n">
        <f aca="false">IF(AND(B1534&gt;Resumen!$C$5,B1534&lt;=DATE(2027,7,31)),1,0)</f>
        <v>0</v>
      </c>
    </row>
    <row r="1535" customFormat="false" ht="15" hidden="false" customHeight="false" outlineLevel="0" collapsed="false">
      <c r="A1535" s="22" t="n">
        <v>21</v>
      </c>
      <c r="B1535" s="23" t="n">
        <v>46322</v>
      </c>
      <c r="C1535" s="28" t="n">
        <v>196720178.445431</v>
      </c>
      <c r="D1535" s="28" t="n">
        <v>1167659.85804901</v>
      </c>
      <c r="E1535" s="28" t="n">
        <v>23385996.4239017</v>
      </c>
      <c r="F1535" s="28" t="n">
        <v>24553656.2819507</v>
      </c>
      <c r="G1535" s="28" t="n">
        <v>173334182.02153</v>
      </c>
      <c r="H1535" s="25" t="n">
        <f aca="false">J1534</f>
        <v>196720178.445431</v>
      </c>
      <c r="I1535" s="25" t="n">
        <f aca="false">H1535*N1535</f>
        <v>1167659.85804901</v>
      </c>
      <c r="J1535" s="25" t="n">
        <f aca="false">H1535+I1535-F1535</f>
        <v>173334182.02153</v>
      </c>
      <c r="K1535" s="25" t="n">
        <f aca="false">D1535-I1535</f>
        <v>0</v>
      </c>
      <c r="L1535" s="25" t="n">
        <f aca="false">G1535-J1535</f>
        <v>0</v>
      </c>
      <c r="M1535" s="25" t="n">
        <f aca="false">F1535</f>
        <v>24553656.2819507</v>
      </c>
      <c r="N1535" s="49" t="n">
        <f aca="false">$C$1509</f>
        <v>0.00593563846513545</v>
      </c>
      <c r="O1535" s="25" t="n">
        <f aca="false">IF(AND(B1535&gt;=DATE(2026,1,1),B1535&lt;=Resumen!$C$5),1,0)</f>
        <v>0</v>
      </c>
      <c r="P1535" s="25" t="n">
        <f aca="false">IF(AND(B1535&gt;Resumen!$C$5,B1535&lt;=DATE(2027,7,31)),1,0)</f>
        <v>1</v>
      </c>
    </row>
    <row r="1536" customFormat="false" ht="15" hidden="false" customHeight="false" outlineLevel="0" collapsed="false">
      <c r="A1536" s="22" t="n">
        <v>22</v>
      </c>
      <c r="B1536" s="23" t="n">
        <v>46414</v>
      </c>
      <c r="C1536" s="28" t="n">
        <v>173334182.02153</v>
      </c>
      <c r="D1536" s="28" t="n">
        <v>1028849.03812978</v>
      </c>
      <c r="E1536" s="28" t="n">
        <v>23524807.2438209</v>
      </c>
      <c r="F1536" s="28" t="n">
        <v>24553656.2819507</v>
      </c>
      <c r="G1536" s="28" t="n">
        <v>149809374.777709</v>
      </c>
      <c r="H1536" s="25" t="n">
        <f aca="false">J1535</f>
        <v>173334182.02153</v>
      </c>
      <c r="I1536" s="25" t="n">
        <f aca="false">H1536*N1536</f>
        <v>1028849.03812978</v>
      </c>
      <c r="J1536" s="25" t="n">
        <f aca="false">H1536+I1536-F1536</f>
        <v>149809374.777709</v>
      </c>
      <c r="K1536" s="25" t="n">
        <f aca="false">D1536-I1536</f>
        <v>0</v>
      </c>
      <c r="L1536" s="25" t="n">
        <f aca="false">G1536-J1536</f>
        <v>0</v>
      </c>
      <c r="M1536" s="25" t="n">
        <f aca="false">F1536</f>
        <v>24553656.2819507</v>
      </c>
      <c r="N1536" s="49" t="n">
        <f aca="false">$C$1509</f>
        <v>0.00593563846513545</v>
      </c>
      <c r="O1536" s="25" t="n">
        <f aca="false">IF(AND(B1536&gt;=DATE(2026,1,1),B1536&lt;=Resumen!$C$5),1,0)</f>
        <v>0</v>
      </c>
      <c r="P1536" s="25" t="n">
        <f aca="false">IF(AND(B1536&gt;Resumen!$C$5,B1536&lt;=DATE(2027,7,31)),1,0)</f>
        <v>1</v>
      </c>
    </row>
    <row r="1537" customFormat="false" ht="15" hidden="false" customHeight="false" outlineLevel="0" collapsed="false">
      <c r="A1537" s="22" t="n">
        <v>23</v>
      </c>
      <c r="B1537" s="23" t="n">
        <v>46504</v>
      </c>
      <c r="C1537" s="28" t="n">
        <v>149809374.777709</v>
      </c>
      <c r="D1537" s="28" t="n">
        <v>889214.287368461</v>
      </c>
      <c r="E1537" s="28" t="n">
        <v>23664441.9945822</v>
      </c>
      <c r="F1537" s="28" t="n">
        <v>24553656.2819507</v>
      </c>
      <c r="G1537" s="28" t="n">
        <v>126144932.783127</v>
      </c>
      <c r="H1537" s="25" t="n">
        <f aca="false">J1536</f>
        <v>149809374.777709</v>
      </c>
      <c r="I1537" s="25" t="n">
        <f aca="false">H1537*N1537</f>
        <v>889214.287368461</v>
      </c>
      <c r="J1537" s="25" t="n">
        <f aca="false">H1537+I1537-F1537</f>
        <v>126144932.783127</v>
      </c>
      <c r="K1537" s="25" t="n">
        <f aca="false">D1537-I1537</f>
        <v>0</v>
      </c>
      <c r="L1537" s="25" t="n">
        <f aca="false">G1537-J1537</f>
        <v>0</v>
      </c>
      <c r="M1537" s="25" t="n">
        <f aca="false">F1537</f>
        <v>24553656.2819507</v>
      </c>
      <c r="N1537" s="49" t="n">
        <f aca="false">$C$1509</f>
        <v>0.00593563846513545</v>
      </c>
      <c r="O1537" s="25" t="n">
        <f aca="false">IF(AND(B1537&gt;=DATE(2026,1,1),B1537&lt;=Resumen!$C$5),1,0)</f>
        <v>0</v>
      </c>
      <c r="P1537" s="25" t="n">
        <f aca="false">IF(AND(B1537&gt;Resumen!$C$5,B1537&lt;=DATE(2027,7,31)),1,0)</f>
        <v>1</v>
      </c>
    </row>
    <row r="1538" customFormat="false" ht="15" hidden="false" customHeight="false" outlineLevel="0" collapsed="false">
      <c r="A1538" s="22" t="n">
        <v>24</v>
      </c>
      <c r="B1538" s="23" t="n">
        <v>46595</v>
      </c>
      <c r="C1538" s="28" t="n">
        <v>126144932.783127</v>
      </c>
      <c r="D1538" s="28" t="n">
        <v>748750.715209452</v>
      </c>
      <c r="E1538" s="28" t="n">
        <v>23804905.5667412</v>
      </c>
      <c r="F1538" s="28" t="n">
        <v>24553656.2819507</v>
      </c>
      <c r="G1538" s="28" t="n">
        <v>102340027.216385</v>
      </c>
      <c r="H1538" s="25" t="n">
        <f aca="false">J1537</f>
        <v>126144932.783127</v>
      </c>
      <c r="I1538" s="25" t="n">
        <f aca="false">H1538*N1538</f>
        <v>748750.715209452</v>
      </c>
      <c r="J1538" s="25" t="n">
        <f aca="false">H1538+I1538-F1538</f>
        <v>102340027.216385</v>
      </c>
      <c r="K1538" s="25" t="n">
        <f aca="false">D1538-I1538</f>
        <v>0</v>
      </c>
      <c r="L1538" s="25" t="n">
        <f aca="false">G1538-J1538</f>
        <v>0</v>
      </c>
      <c r="M1538" s="25" t="n">
        <f aca="false">F1538</f>
        <v>24553656.2819507</v>
      </c>
      <c r="N1538" s="49" t="n">
        <f aca="false">$C$1509</f>
        <v>0.00593563846513545</v>
      </c>
      <c r="O1538" s="25" t="n">
        <f aca="false">IF(AND(B1538&gt;=DATE(2026,1,1),B1538&lt;=Resumen!$C$5),1,0)</f>
        <v>0</v>
      </c>
      <c r="P1538" s="25" t="n">
        <f aca="false">IF(AND(B1538&gt;Resumen!$C$5,B1538&lt;=DATE(2027,7,31)),1,0)</f>
        <v>1</v>
      </c>
    </row>
    <row r="1539" customFormat="false" ht="15" hidden="false" customHeight="false" outlineLevel="0" collapsed="false">
      <c r="A1539" s="22" t="n">
        <v>25</v>
      </c>
      <c r="B1539" s="23" t="n">
        <v>46687</v>
      </c>
      <c r="C1539" s="28" t="n">
        <v>102340027.216385</v>
      </c>
      <c r="D1539" s="28" t="n">
        <v>607453.402068586</v>
      </c>
      <c r="E1539" s="28" t="n">
        <v>23946202.8798821</v>
      </c>
      <c r="F1539" s="28" t="n">
        <v>24553656.2819507</v>
      </c>
      <c r="G1539" s="28" t="n">
        <v>78393824.3365033</v>
      </c>
      <c r="H1539" s="25" t="n">
        <f aca="false">J1538</f>
        <v>102340027.216385</v>
      </c>
      <c r="I1539" s="25" t="n">
        <f aca="false">H1539*N1539</f>
        <v>607453.402068586</v>
      </c>
      <c r="J1539" s="25" t="n">
        <f aca="false">H1539+I1539-F1539</f>
        <v>78393824.3365033</v>
      </c>
      <c r="K1539" s="25" t="n">
        <f aca="false">D1539-I1539</f>
        <v>0</v>
      </c>
      <c r="L1539" s="25" t="n">
        <f aca="false">G1539-J1539</f>
        <v>0</v>
      </c>
      <c r="M1539" s="25" t="n">
        <f aca="false">F1539</f>
        <v>24553656.2819507</v>
      </c>
      <c r="N1539" s="49" t="n">
        <f aca="false">$C$1509</f>
        <v>0.00593563846513545</v>
      </c>
      <c r="O1539" s="25" t="n">
        <f aca="false">IF(AND(B1539&gt;=DATE(2026,1,1),B1539&lt;=Resumen!$C$5),1,0)</f>
        <v>0</v>
      </c>
      <c r="P1539" s="25" t="n">
        <f aca="false">IF(AND(B1539&gt;Resumen!$C$5,B1539&lt;=DATE(2027,7,31)),1,0)</f>
        <v>0</v>
      </c>
    </row>
    <row r="1540" customFormat="false" ht="15" hidden="false" customHeight="false" outlineLevel="0" collapsed="false">
      <c r="A1540" s="22" t="n">
        <v>26</v>
      </c>
      <c r="B1540" s="23" t="n">
        <v>46779</v>
      </c>
      <c r="C1540" s="28" t="n">
        <v>78393824.3365033</v>
      </c>
      <c r="D1540" s="28" t="n">
        <v>465317.399160821</v>
      </c>
      <c r="E1540" s="28" t="n">
        <v>24088338.8827899</v>
      </c>
      <c r="F1540" s="28" t="n">
        <v>24553656.2819507</v>
      </c>
      <c r="G1540" s="28" t="n">
        <v>54305485.4537134</v>
      </c>
      <c r="H1540" s="25" t="n">
        <f aca="false">J1539</f>
        <v>78393824.3365033</v>
      </c>
      <c r="I1540" s="25" t="n">
        <f aca="false">H1540*N1540</f>
        <v>465317.39916082</v>
      </c>
      <c r="J1540" s="25" t="n">
        <f aca="false">H1540+I1540-F1540</f>
        <v>54305485.4537134</v>
      </c>
      <c r="K1540" s="25" t="n">
        <f aca="false">D1540-I1540</f>
        <v>0</v>
      </c>
      <c r="L1540" s="25" t="n">
        <f aca="false">G1540-J1540</f>
        <v>0</v>
      </c>
      <c r="M1540" s="25" t="n">
        <f aca="false">F1540</f>
        <v>24553656.2819507</v>
      </c>
      <c r="N1540" s="49" t="n">
        <f aca="false">$C$1509</f>
        <v>0.00593563846513545</v>
      </c>
      <c r="O1540" s="25" t="n">
        <f aca="false">IF(AND(B1540&gt;=DATE(2026,1,1),B1540&lt;=Resumen!$C$5),1,0)</f>
        <v>0</v>
      </c>
      <c r="P1540" s="25" t="n">
        <f aca="false">IF(AND(B1540&gt;Resumen!$C$5,B1540&lt;=DATE(2027,7,31)),1,0)</f>
        <v>0</v>
      </c>
    </row>
    <row r="1541" customFormat="false" ht="15" hidden="false" customHeight="false" outlineLevel="0" collapsed="false">
      <c r="A1541" s="22" t="n">
        <v>27</v>
      </c>
      <c r="B1541" s="23" t="n">
        <v>46870</v>
      </c>
      <c r="C1541" s="28" t="n">
        <v>54305485.4537134</v>
      </c>
      <c r="D1541" s="28" t="n">
        <v>322337.728326915</v>
      </c>
      <c r="E1541" s="28" t="n">
        <v>24231318.5536238</v>
      </c>
      <c r="F1541" s="28" t="n">
        <v>24553656.2819507</v>
      </c>
      <c r="G1541" s="28" t="n">
        <v>30074166.9000897</v>
      </c>
      <c r="H1541" s="25" t="n">
        <f aca="false">J1540</f>
        <v>54305485.4537134</v>
      </c>
      <c r="I1541" s="25" t="n">
        <f aca="false">H1541*N1541</f>
        <v>322337.728326915</v>
      </c>
      <c r="J1541" s="25" t="n">
        <f aca="false">H1541+I1541-F1541</f>
        <v>30074166.9000896</v>
      </c>
      <c r="K1541" s="25" t="n">
        <f aca="false">D1541-I1541</f>
        <v>0</v>
      </c>
      <c r="L1541" s="25" t="n">
        <f aca="false">G1541-J1541</f>
        <v>0</v>
      </c>
      <c r="M1541" s="25" t="n">
        <f aca="false">F1541</f>
        <v>24553656.2819507</v>
      </c>
      <c r="N1541" s="49" t="n">
        <f aca="false">$C$1509</f>
        <v>0.00593563846513545</v>
      </c>
      <c r="O1541" s="25" t="n">
        <f aca="false">IF(AND(B1541&gt;=DATE(2026,1,1),B1541&lt;=Resumen!$C$5),1,0)</f>
        <v>0</v>
      </c>
      <c r="P1541" s="25" t="n">
        <f aca="false">IF(AND(B1541&gt;Resumen!$C$5,B1541&lt;=DATE(2027,7,31)),1,0)</f>
        <v>0</v>
      </c>
    </row>
    <row r="1542" customFormat="false" ht="15" hidden="false" customHeight="false" outlineLevel="0" collapsed="false">
      <c r="A1542" s="22" t="n">
        <v>28</v>
      </c>
      <c r="B1542" s="23" t="n">
        <v>46961</v>
      </c>
      <c r="C1542" s="28" t="n">
        <v>30074166.9000897</v>
      </c>
      <c r="D1542" s="28" t="n">
        <v>178509.381859076</v>
      </c>
      <c r="E1542" s="28" t="n">
        <v>30074166.9000916</v>
      </c>
      <c r="F1542" s="28" t="n">
        <v>30252676.2819507</v>
      </c>
      <c r="G1542" s="28" t="n">
        <v>-1.96322798728943E-006</v>
      </c>
      <c r="H1542" s="25" t="n">
        <f aca="false">J1541</f>
        <v>30074166.9000896</v>
      </c>
      <c r="I1542" s="25" t="n">
        <f aca="false">H1542*N1542</f>
        <v>178509.381859075</v>
      </c>
      <c r="J1542" s="25" t="n">
        <f aca="false">H1542+I1542-F1542</f>
        <v>-2.00793147087097E-006</v>
      </c>
      <c r="K1542" s="25" t="n">
        <f aca="false">D1542-I1542</f>
        <v>0</v>
      </c>
      <c r="L1542" s="25" t="n">
        <f aca="false">G1542-J1542</f>
        <v>4.47034835815425E-008</v>
      </c>
      <c r="M1542" s="25" t="n">
        <f aca="false">F1542</f>
        <v>30252676.2819507</v>
      </c>
      <c r="N1542" s="49" t="n">
        <f aca="false">$C$1509</f>
        <v>0.00593563846513545</v>
      </c>
      <c r="O1542" s="25" t="n">
        <f aca="false">IF(AND(B1542&gt;=DATE(2026,1,1),B1542&lt;=Resumen!$C$5),1,0)</f>
        <v>0</v>
      </c>
      <c r="P1542" s="25" t="n">
        <f aca="false">IF(AND(B1542&gt;Resumen!$C$5,B1542&lt;=DATE(2027,7,31)),1,0)</f>
        <v>0</v>
      </c>
    </row>
    <row r="1545" customFormat="false" ht="15" hidden="false" customHeight="false" outlineLevel="0" collapsed="false">
      <c r="A1545" s="33" t="s">
        <v>878</v>
      </c>
    </row>
    <row r="1546" customFormat="false" ht="15" hidden="false" customHeight="false" outlineLevel="0" collapsed="false">
      <c r="A1546" s="34" t="s">
        <v>860</v>
      </c>
    </row>
    <row r="1547" customFormat="false" ht="15" hidden="false" customHeight="false" outlineLevel="0" collapsed="false">
      <c r="A1547" s="19" t="s">
        <v>879</v>
      </c>
    </row>
    <row r="1548" customFormat="false" ht="15" hidden="false" customHeight="false" outlineLevel="0" collapsed="false">
      <c r="A1548" s="20" t="s">
        <v>880</v>
      </c>
    </row>
    <row r="1549" customFormat="false" ht="15" hidden="false" customHeight="false" outlineLevel="0" collapsed="false">
      <c r="A1549" s="29" t="s">
        <v>773</v>
      </c>
      <c r="C1549" s="22" t="s">
        <v>881</v>
      </c>
      <c r="F1549" s="47" t="s">
        <v>775</v>
      </c>
    </row>
    <row r="1550" customFormat="false" ht="15" hidden="false" customHeight="false" outlineLevel="0" collapsed="false">
      <c r="A1550" s="29" t="s">
        <v>640</v>
      </c>
      <c r="C1550" s="28" t="n">
        <v>569902000</v>
      </c>
      <c r="F1550" s="22" t="s">
        <v>776</v>
      </c>
      <c r="I1550" s="41" t="n">
        <f aca="false">_xlfn.MAXIFS($B$1558:$B$1586,$B$1558:$B$1586,"&lt;="&amp;Resumen!$C$5)</f>
        <v>46226</v>
      </c>
    </row>
    <row r="1551" customFormat="false" ht="15" hidden="false" customHeight="false" outlineLevel="0" collapsed="false">
      <c r="A1551" s="29" t="s">
        <v>641</v>
      </c>
      <c r="C1551" s="23" t="n">
        <v>44949</v>
      </c>
      <c r="F1551" s="22" t="s">
        <v>777</v>
      </c>
      <c r="I1551" s="25" t="n">
        <f aca="false">SUMIFS($G$1558:$G$1586,$B$1558:$B$1586,I1550)</f>
        <v>382649239.487494</v>
      </c>
    </row>
    <row r="1552" customFormat="false" ht="15" hidden="false" customHeight="false" outlineLevel="0" collapsed="false">
      <c r="A1552" s="29" t="s">
        <v>778</v>
      </c>
      <c r="C1552" s="22" t="s">
        <v>864</v>
      </c>
      <c r="F1552" s="22" t="s">
        <v>780</v>
      </c>
      <c r="I1552" s="25" t="n">
        <f aca="false">SUMIFS($J$1558:$J$1586,$B$1558:$B$1586,I1550)</f>
        <v>382649239.487494</v>
      </c>
    </row>
    <row r="1553" customFormat="false" ht="15" hidden="false" customHeight="false" outlineLevel="0" collapsed="false">
      <c r="A1553" s="29" t="s">
        <v>781</v>
      </c>
      <c r="C1553" s="48" t="n">
        <v>0.0367281325015472</v>
      </c>
      <c r="F1553" s="22" t="s">
        <v>650</v>
      </c>
      <c r="I1553" s="25" t="n">
        <f aca="false">SUMIFS($D$1558:$D$1586,$O$1558:$O$1586,1)</f>
        <v>46536704.8980723</v>
      </c>
    </row>
    <row r="1554" customFormat="false" ht="15" hidden="false" customHeight="false" outlineLevel="0" collapsed="false">
      <c r="A1554" s="29" t="s">
        <v>782</v>
      </c>
      <c r="C1554" s="49" t="n">
        <f aca="false">IFERROR(IRR($M$1558:$M$1586),"N/A")</f>
        <v>0.0367281325015467</v>
      </c>
      <c r="F1554" s="22" t="s">
        <v>783</v>
      </c>
      <c r="I1554" s="25" t="n">
        <f aca="false">SUMIFS($E$1558:$E$1586,$P$1558:$P$1586,1)</f>
        <v>89056070.4283575</v>
      </c>
    </row>
    <row r="1555" customFormat="false" ht="15" hidden="false" customHeight="false" outlineLevel="0" collapsed="false">
      <c r="A1555" s="29" t="s">
        <v>784</v>
      </c>
      <c r="C1555" s="50" t="n">
        <f aca="false">IF(ISNUMBER(C1554),(1+C1554)^4-1,"N/A")</f>
        <v>0.155206262487279</v>
      </c>
      <c r="F1555" s="22" t="s">
        <v>785</v>
      </c>
      <c r="I1555" s="25" t="n">
        <f aca="false">SUMPRODUCT(MAX(ABS($L$1558:$L$1586)))</f>
        <v>1.49011611938477E-008</v>
      </c>
    </row>
    <row r="1557" customFormat="false" ht="36" hidden="false" customHeight="true" outlineLevel="0" collapsed="false">
      <c r="A1557" s="27" t="s">
        <v>786</v>
      </c>
      <c r="B1557" s="27" t="s">
        <v>396</v>
      </c>
      <c r="C1557" s="27" t="s">
        <v>787</v>
      </c>
      <c r="D1557" s="27" t="s">
        <v>788</v>
      </c>
      <c r="E1557" s="27" t="s">
        <v>789</v>
      </c>
      <c r="F1557" s="27" t="s">
        <v>790</v>
      </c>
      <c r="G1557" s="27" t="s">
        <v>791</v>
      </c>
      <c r="H1557" s="27" t="s">
        <v>792</v>
      </c>
      <c r="I1557" s="27" t="s">
        <v>793</v>
      </c>
      <c r="J1557" s="27" t="s">
        <v>794</v>
      </c>
      <c r="K1557" s="27" t="s">
        <v>795</v>
      </c>
      <c r="L1557" s="27" t="s">
        <v>796</v>
      </c>
      <c r="M1557" s="27" t="s">
        <v>797</v>
      </c>
      <c r="N1557" s="27" t="s">
        <v>798</v>
      </c>
      <c r="O1557" s="27" t="s">
        <v>799</v>
      </c>
      <c r="P1557" s="27" t="s">
        <v>800</v>
      </c>
    </row>
    <row r="1558" customFormat="false" ht="15" hidden="false" customHeight="false" outlineLevel="0" collapsed="false">
      <c r="A1558" s="22" t="n">
        <v>0</v>
      </c>
      <c r="B1558" s="23" t="n">
        <v>44949</v>
      </c>
      <c r="C1558" s="28"/>
      <c r="D1558" s="28" t="n">
        <v>0</v>
      </c>
      <c r="E1558" s="28" t="n">
        <v>0</v>
      </c>
      <c r="F1558" s="28" t="n">
        <v>0</v>
      </c>
      <c r="G1558" s="28" t="n">
        <v>569902000</v>
      </c>
      <c r="H1558" s="25" t="n">
        <f aca="false">G1558</f>
        <v>569902000</v>
      </c>
      <c r="I1558" s="28" t="n">
        <v>0</v>
      </c>
      <c r="J1558" s="25" t="n">
        <f aca="false">H1558</f>
        <v>569902000</v>
      </c>
      <c r="K1558" s="25" t="n">
        <f aca="false">D1558-I1558</f>
        <v>0</v>
      </c>
      <c r="L1558" s="25" t="n">
        <f aca="false">G1558-J1558</f>
        <v>0</v>
      </c>
      <c r="M1558" s="25" t="n">
        <f aca="false">-$C$1550</f>
        <v>-569902000</v>
      </c>
      <c r="N1558" s="49" t="n">
        <f aca="false">$C$1553</f>
        <v>0.0367281325015472</v>
      </c>
      <c r="O1558" s="25" t="n">
        <f aca="false">IF(AND(B1558&gt;=DATE(2026,1,1),B1558&lt;=Resumen!$C$5),1,0)</f>
        <v>0</v>
      </c>
      <c r="P1558" s="25" t="n">
        <f aca="false">IF(AND(B1558&gt;Resumen!$C$5,B1558&lt;=DATE(2027,7,31)),1,0)</f>
        <v>0</v>
      </c>
    </row>
    <row r="1559" customFormat="false" ht="15" hidden="false" customHeight="false" outlineLevel="0" collapsed="false">
      <c r="A1559" s="22" t="n">
        <v>1</v>
      </c>
      <c r="B1559" s="23" t="n">
        <v>45039</v>
      </c>
      <c r="C1559" s="28" t="n">
        <v>569902000</v>
      </c>
      <c r="D1559" s="28" t="n">
        <v>20931436.1688967</v>
      </c>
      <c r="E1559" s="28" t="n">
        <v>3195336.62951076</v>
      </c>
      <c r="F1559" s="28" t="n">
        <v>24126772.7984075</v>
      </c>
      <c r="G1559" s="28" t="n">
        <v>566706663.370489</v>
      </c>
      <c r="H1559" s="25" t="n">
        <f aca="false">J1558</f>
        <v>569902000</v>
      </c>
      <c r="I1559" s="25" t="n">
        <f aca="false">H1559*N1559</f>
        <v>20931436.1688967</v>
      </c>
      <c r="J1559" s="25" t="n">
        <f aca="false">H1559+I1559-F1559</f>
        <v>566706663.370489</v>
      </c>
      <c r="K1559" s="25" t="n">
        <f aca="false">D1559-I1559</f>
        <v>0</v>
      </c>
      <c r="L1559" s="25" t="n">
        <f aca="false">G1559-J1559</f>
        <v>0</v>
      </c>
      <c r="M1559" s="25" t="n">
        <f aca="false">F1559</f>
        <v>24126772.7984075</v>
      </c>
      <c r="N1559" s="49" t="n">
        <f aca="false">$C$1553</f>
        <v>0.0367281325015472</v>
      </c>
      <c r="O1559" s="25" t="n">
        <f aca="false">IF(AND(B1559&gt;=DATE(2026,1,1),B1559&lt;=Resumen!$C$5),1,0)</f>
        <v>0</v>
      </c>
      <c r="P1559" s="25" t="n">
        <f aca="false">IF(AND(B1559&gt;Resumen!$C$5,B1559&lt;=DATE(2027,7,31)),1,0)</f>
        <v>0</v>
      </c>
    </row>
    <row r="1560" customFormat="false" ht="15" hidden="false" customHeight="false" outlineLevel="0" collapsed="false">
      <c r="A1560" s="22" t="n">
        <v>2</v>
      </c>
      <c r="B1560" s="23" t="n">
        <v>45130</v>
      </c>
      <c r="C1560" s="28" t="n">
        <v>566706663.370489</v>
      </c>
      <c r="D1560" s="28" t="n">
        <v>20814077.421781</v>
      </c>
      <c r="E1560" s="28" t="n">
        <v>3312695.37662637</v>
      </c>
      <c r="F1560" s="28" t="n">
        <v>24126772.7984074</v>
      </c>
      <c r="G1560" s="28" t="n">
        <v>563393967.993863</v>
      </c>
      <c r="H1560" s="25" t="n">
        <f aca="false">J1559</f>
        <v>566706663.370489</v>
      </c>
      <c r="I1560" s="25" t="n">
        <f aca="false">H1560*N1560</f>
        <v>20814077.421781</v>
      </c>
      <c r="J1560" s="25" t="n">
        <f aca="false">H1560+I1560-F1560</f>
        <v>563393967.993863</v>
      </c>
      <c r="K1560" s="25" t="n">
        <f aca="false">D1560-I1560</f>
        <v>0</v>
      </c>
      <c r="L1560" s="25" t="n">
        <f aca="false">G1560-J1560</f>
        <v>0</v>
      </c>
      <c r="M1560" s="25" t="n">
        <f aca="false">F1560</f>
        <v>24126772.7984074</v>
      </c>
      <c r="N1560" s="49" t="n">
        <f aca="false">$C$1553</f>
        <v>0.0367281325015472</v>
      </c>
      <c r="O1560" s="25" t="n">
        <f aca="false">IF(AND(B1560&gt;=DATE(2026,1,1),B1560&lt;=Resumen!$C$5),1,0)</f>
        <v>0</v>
      </c>
      <c r="P1560" s="25" t="n">
        <f aca="false">IF(AND(B1560&gt;Resumen!$C$5,B1560&lt;=DATE(2027,7,31)),1,0)</f>
        <v>0</v>
      </c>
    </row>
    <row r="1561" customFormat="false" ht="15" hidden="false" customHeight="false" outlineLevel="0" collapsed="false">
      <c r="A1561" s="22" t="n">
        <v>3</v>
      </c>
      <c r="B1561" s="23" t="n">
        <v>45222</v>
      </c>
      <c r="C1561" s="28" t="n">
        <v>563393967.993863</v>
      </c>
      <c r="D1561" s="28" t="n">
        <v>20692408.307051</v>
      </c>
      <c r="E1561" s="28" t="n">
        <v>3434364.49135637</v>
      </c>
      <c r="F1561" s="28" t="n">
        <v>24126772.7984074</v>
      </c>
      <c r="G1561" s="28" t="n">
        <v>559959603.502507</v>
      </c>
      <c r="H1561" s="25" t="n">
        <f aca="false">J1560</f>
        <v>563393967.993863</v>
      </c>
      <c r="I1561" s="25" t="n">
        <f aca="false">H1561*N1561</f>
        <v>20692408.307051</v>
      </c>
      <c r="J1561" s="25" t="n">
        <f aca="false">H1561+I1561-F1561</f>
        <v>559959603.502507</v>
      </c>
      <c r="K1561" s="25" t="n">
        <f aca="false">D1561-I1561</f>
        <v>0</v>
      </c>
      <c r="L1561" s="25" t="n">
        <f aca="false">G1561-J1561</f>
        <v>0</v>
      </c>
      <c r="M1561" s="25" t="n">
        <f aca="false">F1561</f>
        <v>24126772.7984074</v>
      </c>
      <c r="N1561" s="49" t="n">
        <f aca="false">$C$1553</f>
        <v>0.0367281325015472</v>
      </c>
      <c r="O1561" s="25" t="n">
        <f aca="false">IF(AND(B1561&gt;=DATE(2026,1,1),B1561&lt;=Resumen!$C$5),1,0)</f>
        <v>0</v>
      </c>
      <c r="P1561" s="25" t="n">
        <f aca="false">IF(AND(B1561&gt;Resumen!$C$5,B1561&lt;=DATE(2027,7,31)),1,0)</f>
        <v>0</v>
      </c>
    </row>
    <row r="1562" customFormat="false" ht="15" hidden="false" customHeight="false" outlineLevel="0" collapsed="false">
      <c r="A1562" s="22" t="n">
        <v>4</v>
      </c>
      <c r="B1562" s="23" t="n">
        <v>45314</v>
      </c>
      <c r="C1562" s="28" t="n">
        <v>559959603.502507</v>
      </c>
      <c r="D1562" s="28" t="n">
        <v>20566270.5129539</v>
      </c>
      <c r="E1562" s="28" t="n">
        <v>3560502.28545356</v>
      </c>
      <c r="F1562" s="28" t="n">
        <v>24126772.7984074</v>
      </c>
      <c r="G1562" s="28" t="n">
        <v>556399101.217053</v>
      </c>
      <c r="H1562" s="25" t="n">
        <f aca="false">J1561</f>
        <v>559959603.502507</v>
      </c>
      <c r="I1562" s="25" t="n">
        <f aca="false">H1562*N1562</f>
        <v>20566270.5129539</v>
      </c>
      <c r="J1562" s="25" t="n">
        <f aca="false">H1562+I1562-F1562</f>
        <v>556399101.217053</v>
      </c>
      <c r="K1562" s="25" t="n">
        <f aca="false">D1562-I1562</f>
        <v>0</v>
      </c>
      <c r="L1562" s="25" t="n">
        <f aca="false">G1562-J1562</f>
        <v>0</v>
      </c>
      <c r="M1562" s="25" t="n">
        <f aca="false">F1562</f>
        <v>24126772.7984074</v>
      </c>
      <c r="N1562" s="49" t="n">
        <f aca="false">$C$1553</f>
        <v>0.0367281325015472</v>
      </c>
      <c r="O1562" s="25" t="n">
        <f aca="false">IF(AND(B1562&gt;=DATE(2026,1,1),B1562&lt;=Resumen!$C$5),1,0)</f>
        <v>0</v>
      </c>
      <c r="P1562" s="25" t="n">
        <f aca="false">IF(AND(B1562&gt;Resumen!$C$5,B1562&lt;=DATE(2027,7,31)),1,0)</f>
        <v>0</v>
      </c>
    </row>
    <row r="1563" customFormat="false" ht="15" hidden="false" customHeight="false" outlineLevel="0" collapsed="false">
      <c r="A1563" s="22" t="n">
        <v>5</v>
      </c>
      <c r="B1563" s="23" t="n">
        <v>45405</v>
      </c>
      <c r="C1563" s="28" t="n">
        <v>556399101.217053</v>
      </c>
      <c r="D1563" s="28" t="n">
        <v>20435499.9132417</v>
      </c>
      <c r="E1563" s="28" t="n">
        <v>14692790.8786392</v>
      </c>
      <c r="F1563" s="28" t="n">
        <v>35128290.7918809</v>
      </c>
      <c r="G1563" s="28" t="n">
        <v>541706310.338414</v>
      </c>
      <c r="H1563" s="25" t="n">
        <f aca="false">J1562</f>
        <v>556399101.217053</v>
      </c>
      <c r="I1563" s="25" t="n">
        <f aca="false">H1563*N1563</f>
        <v>20435499.9132417</v>
      </c>
      <c r="J1563" s="25" t="n">
        <f aca="false">H1563+I1563-F1563</f>
        <v>541706310.338414</v>
      </c>
      <c r="K1563" s="25" t="n">
        <f aca="false">D1563-I1563</f>
        <v>0</v>
      </c>
      <c r="L1563" s="25" t="n">
        <f aca="false">G1563-J1563</f>
        <v>0</v>
      </c>
      <c r="M1563" s="25" t="n">
        <f aca="false">F1563</f>
        <v>35128290.7918809</v>
      </c>
      <c r="N1563" s="49" t="n">
        <f aca="false">$C$1553</f>
        <v>0.0367281325015472</v>
      </c>
      <c r="O1563" s="25" t="n">
        <f aca="false">IF(AND(B1563&gt;=DATE(2026,1,1),B1563&lt;=Resumen!$C$5),1,0)</f>
        <v>0</v>
      </c>
      <c r="P1563" s="25" t="n">
        <f aca="false">IF(AND(B1563&gt;Resumen!$C$5,B1563&lt;=DATE(2027,7,31)),1,0)</f>
        <v>0</v>
      </c>
    </row>
    <row r="1564" customFormat="false" ht="15" hidden="false" customHeight="false" outlineLevel="0" collapsed="false">
      <c r="A1564" s="22" t="n">
        <v>6</v>
      </c>
      <c r="B1564" s="23" t="n">
        <v>45496</v>
      </c>
      <c r="C1564" s="28" t="n">
        <v>541706310.338414</v>
      </c>
      <c r="D1564" s="28" t="n">
        <v>19895861.1430335</v>
      </c>
      <c r="E1564" s="28" t="n">
        <v>15232429.6488473</v>
      </c>
      <c r="F1564" s="28" t="n">
        <v>35128290.7918808</v>
      </c>
      <c r="G1564" s="28" t="n">
        <v>526473880.689566</v>
      </c>
      <c r="H1564" s="25" t="n">
        <f aca="false">J1563</f>
        <v>541706310.338414</v>
      </c>
      <c r="I1564" s="25" t="n">
        <f aca="false">H1564*N1564</f>
        <v>19895861.1430335</v>
      </c>
      <c r="J1564" s="25" t="n">
        <f aca="false">H1564+I1564-F1564</f>
        <v>526473880.689566</v>
      </c>
      <c r="K1564" s="25" t="n">
        <f aca="false">D1564-I1564</f>
        <v>0</v>
      </c>
      <c r="L1564" s="25" t="n">
        <f aca="false">G1564-J1564</f>
        <v>0</v>
      </c>
      <c r="M1564" s="25" t="n">
        <f aca="false">F1564</f>
        <v>35128290.7918808</v>
      </c>
      <c r="N1564" s="49" t="n">
        <f aca="false">$C$1553</f>
        <v>0.0367281325015472</v>
      </c>
      <c r="O1564" s="25" t="n">
        <f aca="false">IF(AND(B1564&gt;=DATE(2026,1,1),B1564&lt;=Resumen!$C$5),1,0)</f>
        <v>0</v>
      </c>
      <c r="P1564" s="25" t="n">
        <f aca="false">IF(AND(B1564&gt;Resumen!$C$5,B1564&lt;=DATE(2027,7,31)),1,0)</f>
        <v>0</v>
      </c>
    </row>
    <row r="1565" customFormat="false" ht="15" hidden="false" customHeight="false" outlineLevel="0" collapsed="false">
      <c r="A1565" s="22" t="n">
        <v>7</v>
      </c>
      <c r="B1565" s="23" t="n">
        <v>45588</v>
      </c>
      <c r="C1565" s="28" t="n">
        <v>526473880.689566</v>
      </c>
      <c r="D1565" s="28" t="n">
        <v>19336402.4485701</v>
      </c>
      <c r="E1565" s="28" t="n">
        <v>15791888.3433107</v>
      </c>
      <c r="F1565" s="28" t="n">
        <v>35128290.7918808</v>
      </c>
      <c r="G1565" s="28" t="n">
        <v>510681992.346256</v>
      </c>
      <c r="H1565" s="25" t="n">
        <f aca="false">J1564</f>
        <v>526473880.689566</v>
      </c>
      <c r="I1565" s="25" t="n">
        <f aca="false">H1565*N1565</f>
        <v>19336402.4485701</v>
      </c>
      <c r="J1565" s="25" t="n">
        <f aca="false">H1565+I1565-F1565</f>
        <v>510681992.346256</v>
      </c>
      <c r="K1565" s="25" t="n">
        <f aca="false">D1565-I1565</f>
        <v>0</v>
      </c>
      <c r="L1565" s="25" t="n">
        <f aca="false">G1565-J1565</f>
        <v>0</v>
      </c>
      <c r="M1565" s="25" t="n">
        <f aca="false">F1565</f>
        <v>35128290.7918808</v>
      </c>
      <c r="N1565" s="49" t="n">
        <f aca="false">$C$1553</f>
        <v>0.0367281325015472</v>
      </c>
      <c r="O1565" s="25" t="n">
        <f aca="false">IF(AND(B1565&gt;=DATE(2026,1,1),B1565&lt;=Resumen!$C$5),1,0)</f>
        <v>0</v>
      </c>
      <c r="P1565" s="25" t="n">
        <f aca="false">IF(AND(B1565&gt;Resumen!$C$5,B1565&lt;=DATE(2027,7,31)),1,0)</f>
        <v>0</v>
      </c>
    </row>
    <row r="1566" customFormat="false" ht="15" hidden="false" customHeight="false" outlineLevel="0" collapsed="false">
      <c r="A1566" s="22" t="n">
        <v>8</v>
      </c>
      <c r="B1566" s="23" t="n">
        <v>45680</v>
      </c>
      <c r="C1566" s="28" t="n">
        <v>510681992.346256</v>
      </c>
      <c r="D1566" s="28" t="n">
        <v>18756395.8810474</v>
      </c>
      <c r="E1566" s="28" t="n">
        <v>16371894.9108335</v>
      </c>
      <c r="F1566" s="28" t="n">
        <v>35128290.7918809</v>
      </c>
      <c r="G1566" s="28" t="n">
        <v>494310097.435422</v>
      </c>
      <c r="H1566" s="25" t="n">
        <f aca="false">J1565</f>
        <v>510681992.346256</v>
      </c>
      <c r="I1566" s="25" t="n">
        <f aca="false">H1566*N1566</f>
        <v>18756395.8810474</v>
      </c>
      <c r="J1566" s="25" t="n">
        <f aca="false">H1566+I1566-F1566</f>
        <v>494310097.435422</v>
      </c>
      <c r="K1566" s="25" t="n">
        <f aca="false">D1566-I1566</f>
        <v>0</v>
      </c>
      <c r="L1566" s="25" t="n">
        <f aca="false">G1566-J1566</f>
        <v>0</v>
      </c>
      <c r="M1566" s="25" t="n">
        <f aca="false">F1566</f>
        <v>35128290.7918809</v>
      </c>
      <c r="N1566" s="49" t="n">
        <f aca="false">$C$1553</f>
        <v>0.0367281325015472</v>
      </c>
      <c r="O1566" s="25" t="n">
        <f aca="false">IF(AND(B1566&gt;=DATE(2026,1,1),B1566&lt;=Resumen!$C$5),1,0)</f>
        <v>0</v>
      </c>
      <c r="P1566" s="25" t="n">
        <f aca="false">IF(AND(B1566&gt;Resumen!$C$5,B1566&lt;=DATE(2027,7,31)),1,0)</f>
        <v>0</v>
      </c>
    </row>
    <row r="1567" customFormat="false" ht="15" hidden="false" customHeight="false" outlineLevel="0" collapsed="false">
      <c r="A1567" s="22" t="n">
        <v>9</v>
      </c>
      <c r="B1567" s="23" t="n">
        <v>45770</v>
      </c>
      <c r="C1567" s="28" t="n">
        <v>494310097.435422</v>
      </c>
      <c r="D1567" s="28" t="n">
        <v>18155086.7554609</v>
      </c>
      <c r="E1567" s="28" t="n">
        <v>16973204.03642</v>
      </c>
      <c r="F1567" s="28" t="n">
        <v>35128290.7918809</v>
      </c>
      <c r="G1567" s="28" t="n">
        <v>477336893.399002</v>
      </c>
      <c r="H1567" s="25" t="n">
        <f aca="false">J1566</f>
        <v>494310097.435422</v>
      </c>
      <c r="I1567" s="25" t="n">
        <f aca="false">H1567*N1567</f>
        <v>18155086.7554609</v>
      </c>
      <c r="J1567" s="25" t="n">
        <f aca="false">H1567+I1567-F1567</f>
        <v>477336893.399002</v>
      </c>
      <c r="K1567" s="25" t="n">
        <f aca="false">D1567-I1567</f>
        <v>0</v>
      </c>
      <c r="L1567" s="25" t="n">
        <f aca="false">G1567-J1567</f>
        <v>0</v>
      </c>
      <c r="M1567" s="25" t="n">
        <f aca="false">F1567</f>
        <v>35128290.7918809</v>
      </c>
      <c r="N1567" s="49" t="n">
        <f aca="false">$C$1553</f>
        <v>0.0367281325015472</v>
      </c>
      <c r="O1567" s="25" t="n">
        <f aca="false">IF(AND(B1567&gt;=DATE(2026,1,1),B1567&lt;=Resumen!$C$5),1,0)</f>
        <v>0</v>
      </c>
      <c r="P1567" s="25" t="n">
        <f aca="false">IF(AND(B1567&gt;Resumen!$C$5,B1567&lt;=DATE(2027,7,31)),1,0)</f>
        <v>0</v>
      </c>
    </row>
    <row r="1568" customFormat="false" ht="15" hidden="false" customHeight="false" outlineLevel="0" collapsed="false">
      <c r="A1568" s="22" t="n">
        <v>10</v>
      </c>
      <c r="B1568" s="23" t="n">
        <v>45861</v>
      </c>
      <c r="C1568" s="28" t="n">
        <v>477336893.399002</v>
      </c>
      <c r="D1568" s="28" t="n">
        <v>17531692.6686355</v>
      </c>
      <c r="E1568" s="28" t="n">
        <v>17596598.1232455</v>
      </c>
      <c r="F1568" s="28" t="n">
        <v>35128290.7918809</v>
      </c>
      <c r="G1568" s="28" t="n">
        <v>459740295.275757</v>
      </c>
      <c r="H1568" s="25" t="n">
        <f aca="false">J1567</f>
        <v>477336893.399002</v>
      </c>
      <c r="I1568" s="25" t="n">
        <f aca="false">H1568*N1568</f>
        <v>17531692.6686354</v>
      </c>
      <c r="J1568" s="25" t="n">
        <f aca="false">H1568+I1568-F1568</f>
        <v>459740295.275757</v>
      </c>
      <c r="K1568" s="25" t="n">
        <f aca="false">D1568-I1568</f>
        <v>0</v>
      </c>
      <c r="L1568" s="25" t="n">
        <f aca="false">G1568-J1568</f>
        <v>0</v>
      </c>
      <c r="M1568" s="25" t="n">
        <f aca="false">F1568</f>
        <v>35128290.7918809</v>
      </c>
      <c r="N1568" s="49" t="n">
        <f aca="false">$C$1553</f>
        <v>0.0367281325015472</v>
      </c>
      <c r="O1568" s="25" t="n">
        <f aca="false">IF(AND(B1568&gt;=DATE(2026,1,1),B1568&lt;=Resumen!$C$5),1,0)</f>
        <v>0</v>
      </c>
      <c r="P1568" s="25" t="n">
        <f aca="false">IF(AND(B1568&gt;Resumen!$C$5,B1568&lt;=DATE(2027,7,31)),1,0)</f>
        <v>0</v>
      </c>
    </row>
    <row r="1569" customFormat="false" ht="15" hidden="false" customHeight="false" outlineLevel="0" collapsed="false">
      <c r="A1569" s="22" t="n">
        <v>11</v>
      </c>
      <c r="B1569" s="23" t="n">
        <v>45953</v>
      </c>
      <c r="C1569" s="28" t="n">
        <v>459740295.275757</v>
      </c>
      <c r="D1569" s="28" t="n">
        <v>16885402.4811884</v>
      </c>
      <c r="E1569" s="28" t="n">
        <v>18242888.3106924</v>
      </c>
      <c r="F1569" s="28" t="n">
        <v>35128290.7918808</v>
      </c>
      <c r="G1569" s="28" t="n">
        <v>441497406.965064</v>
      </c>
      <c r="H1569" s="25" t="n">
        <f aca="false">J1568</f>
        <v>459740295.275757</v>
      </c>
      <c r="I1569" s="25" t="n">
        <f aca="false">H1569*N1569</f>
        <v>16885402.4811884</v>
      </c>
      <c r="J1569" s="25" t="n">
        <f aca="false">H1569+I1569-F1569</f>
        <v>441497406.965064</v>
      </c>
      <c r="K1569" s="25" t="n">
        <f aca="false">D1569-I1569</f>
        <v>0</v>
      </c>
      <c r="L1569" s="25" t="n">
        <f aca="false">G1569-J1569</f>
        <v>0</v>
      </c>
      <c r="M1569" s="25" t="n">
        <f aca="false">F1569</f>
        <v>35128290.7918808</v>
      </c>
      <c r="N1569" s="49" t="n">
        <f aca="false">$C$1553</f>
        <v>0.0367281325015472</v>
      </c>
      <c r="O1569" s="25" t="n">
        <f aca="false">IF(AND(B1569&gt;=DATE(2026,1,1),B1569&lt;=Resumen!$C$5),1,0)</f>
        <v>0</v>
      </c>
      <c r="P1569" s="25" t="n">
        <f aca="false">IF(AND(B1569&gt;Resumen!$C$5,B1569&lt;=DATE(2027,7,31)),1,0)</f>
        <v>0</v>
      </c>
    </row>
    <row r="1570" customFormat="false" ht="15" hidden="false" customHeight="false" outlineLevel="0" collapsed="false">
      <c r="A1570" s="22" t="n">
        <v>12</v>
      </c>
      <c r="B1570" s="23" t="n">
        <v>46045</v>
      </c>
      <c r="C1570" s="28" t="n">
        <v>441497406.965064</v>
      </c>
      <c r="D1570" s="28" t="n">
        <v>16215375.2621024</v>
      </c>
      <c r="E1570" s="28" t="n">
        <v>18912915.5297785</v>
      </c>
      <c r="F1570" s="28" t="n">
        <v>35128290.7918809</v>
      </c>
      <c r="G1570" s="28" t="n">
        <v>422584491.435286</v>
      </c>
      <c r="H1570" s="25" t="n">
        <f aca="false">J1569</f>
        <v>441497406.965064</v>
      </c>
      <c r="I1570" s="25" t="n">
        <f aca="false">H1570*N1570</f>
        <v>16215375.2621024</v>
      </c>
      <c r="J1570" s="25" t="n">
        <f aca="false">H1570+I1570-F1570</f>
        <v>422584491.435286</v>
      </c>
      <c r="K1570" s="25" t="n">
        <f aca="false">D1570-I1570</f>
        <v>0</v>
      </c>
      <c r="L1570" s="25" t="n">
        <f aca="false">G1570-J1570</f>
        <v>0</v>
      </c>
      <c r="M1570" s="25" t="n">
        <f aca="false">F1570</f>
        <v>35128290.7918809</v>
      </c>
      <c r="N1570" s="49" t="n">
        <f aca="false">$C$1553</f>
        <v>0.0367281325015472</v>
      </c>
      <c r="O1570" s="25" t="n">
        <f aca="false">IF(AND(B1570&gt;=DATE(2026,1,1),B1570&lt;=Resumen!$C$5),1,0)</f>
        <v>1</v>
      </c>
      <c r="P1570" s="25" t="n">
        <f aca="false">IF(AND(B1570&gt;Resumen!$C$5,B1570&lt;=DATE(2027,7,31)),1,0)</f>
        <v>0</v>
      </c>
    </row>
    <row r="1571" customFormat="false" ht="15" hidden="false" customHeight="false" outlineLevel="0" collapsed="false">
      <c r="A1571" s="22" t="n">
        <v>13</v>
      </c>
      <c r="B1571" s="23" t="n">
        <v>46135</v>
      </c>
      <c r="C1571" s="28" t="n">
        <v>422584491.435286</v>
      </c>
      <c r="D1571" s="28" t="n">
        <v>15520739.1945341</v>
      </c>
      <c r="E1571" s="28" t="n">
        <v>19607551.5973468</v>
      </c>
      <c r="F1571" s="28" t="n">
        <v>35128290.7918809</v>
      </c>
      <c r="G1571" s="28" t="n">
        <v>402976939.837939</v>
      </c>
      <c r="H1571" s="25" t="n">
        <f aca="false">J1570</f>
        <v>422584491.435286</v>
      </c>
      <c r="I1571" s="25" t="n">
        <f aca="false">H1571*N1571</f>
        <v>15520739.1945341</v>
      </c>
      <c r="J1571" s="25" t="n">
        <f aca="false">H1571+I1571-F1571</f>
        <v>402976939.837939</v>
      </c>
      <c r="K1571" s="25" t="n">
        <f aca="false">D1571-I1571</f>
        <v>0</v>
      </c>
      <c r="L1571" s="25" t="n">
        <f aca="false">G1571-J1571</f>
        <v>0</v>
      </c>
      <c r="M1571" s="25" t="n">
        <f aca="false">F1571</f>
        <v>35128290.7918809</v>
      </c>
      <c r="N1571" s="49" t="n">
        <f aca="false">$C$1553</f>
        <v>0.0367281325015472</v>
      </c>
      <c r="O1571" s="25" t="n">
        <f aca="false">IF(AND(B1571&gt;=DATE(2026,1,1),B1571&lt;=Resumen!$C$5),1,0)</f>
        <v>1</v>
      </c>
      <c r="P1571" s="25" t="n">
        <f aca="false">IF(AND(B1571&gt;Resumen!$C$5,B1571&lt;=DATE(2027,7,31)),1,0)</f>
        <v>0</v>
      </c>
    </row>
    <row r="1572" customFormat="false" ht="15" hidden="false" customHeight="false" outlineLevel="0" collapsed="false">
      <c r="A1572" s="22" t="n">
        <v>14</v>
      </c>
      <c r="B1572" s="23" t="n">
        <v>46226</v>
      </c>
      <c r="C1572" s="28" t="n">
        <v>402976939.837939</v>
      </c>
      <c r="D1572" s="28" t="n">
        <v>14800590.4414358</v>
      </c>
      <c r="E1572" s="28" t="n">
        <v>20327700.350445</v>
      </c>
      <c r="F1572" s="28" t="n">
        <v>35128290.7918809</v>
      </c>
      <c r="G1572" s="28" t="n">
        <v>382649239.487494</v>
      </c>
      <c r="H1572" s="25" t="n">
        <f aca="false">J1571</f>
        <v>402976939.837939</v>
      </c>
      <c r="I1572" s="25" t="n">
        <f aca="false">H1572*N1572</f>
        <v>14800590.4414358</v>
      </c>
      <c r="J1572" s="25" t="n">
        <f aca="false">H1572+I1572-F1572</f>
        <v>382649239.487494</v>
      </c>
      <c r="K1572" s="25" t="n">
        <f aca="false">D1572-I1572</f>
        <v>0</v>
      </c>
      <c r="L1572" s="25" t="n">
        <f aca="false">G1572-J1572</f>
        <v>0</v>
      </c>
      <c r="M1572" s="25" t="n">
        <f aca="false">F1572</f>
        <v>35128290.7918809</v>
      </c>
      <c r="N1572" s="49" t="n">
        <f aca="false">$C$1553</f>
        <v>0.0367281325015472</v>
      </c>
      <c r="O1572" s="25" t="n">
        <f aca="false">IF(AND(B1572&gt;=DATE(2026,1,1),B1572&lt;=Resumen!$C$5),1,0)</f>
        <v>1</v>
      </c>
      <c r="P1572" s="25" t="n">
        <f aca="false">IF(AND(B1572&gt;Resumen!$C$5,B1572&lt;=DATE(2027,7,31)),1,0)</f>
        <v>0</v>
      </c>
    </row>
    <row r="1573" customFormat="false" ht="15" hidden="false" customHeight="false" outlineLevel="0" collapsed="false">
      <c r="A1573" s="22" t="n">
        <v>15</v>
      </c>
      <c r="B1573" s="23" t="n">
        <v>46318</v>
      </c>
      <c r="C1573" s="28" t="n">
        <v>382649239.487494</v>
      </c>
      <c r="D1573" s="28" t="n">
        <v>14053991.9695129</v>
      </c>
      <c r="E1573" s="28" t="n">
        <v>21074298.8223679</v>
      </c>
      <c r="F1573" s="28" t="n">
        <v>35128290.7918808</v>
      </c>
      <c r="G1573" s="28" t="n">
        <v>361574940.665126</v>
      </c>
      <c r="H1573" s="25" t="n">
        <f aca="false">J1572</f>
        <v>382649239.487494</v>
      </c>
      <c r="I1573" s="25" t="n">
        <f aca="false">H1573*N1573</f>
        <v>14053991.9695129</v>
      </c>
      <c r="J1573" s="25" t="n">
        <f aca="false">H1573+I1573-F1573</f>
        <v>361574940.665126</v>
      </c>
      <c r="K1573" s="25" t="n">
        <f aca="false">D1573-I1573</f>
        <v>0</v>
      </c>
      <c r="L1573" s="25" t="n">
        <f aca="false">G1573-J1573</f>
        <v>0</v>
      </c>
      <c r="M1573" s="25" t="n">
        <f aca="false">F1573</f>
        <v>35128290.7918808</v>
      </c>
      <c r="N1573" s="49" t="n">
        <f aca="false">$C$1553</f>
        <v>0.0367281325015472</v>
      </c>
      <c r="O1573" s="25" t="n">
        <f aca="false">IF(AND(B1573&gt;=DATE(2026,1,1),B1573&lt;=Resumen!$C$5),1,0)</f>
        <v>0</v>
      </c>
      <c r="P1573" s="25" t="n">
        <f aca="false">IF(AND(B1573&gt;Resumen!$C$5,B1573&lt;=DATE(2027,7,31)),1,0)</f>
        <v>1</v>
      </c>
    </row>
    <row r="1574" customFormat="false" ht="15" hidden="false" customHeight="false" outlineLevel="0" collapsed="false">
      <c r="A1574" s="22" t="n">
        <v>16</v>
      </c>
      <c r="B1574" s="23" t="n">
        <v>46410</v>
      </c>
      <c r="C1574" s="28" t="n">
        <v>361574940.665126</v>
      </c>
      <c r="D1574" s="28" t="n">
        <v>13279972.3299878</v>
      </c>
      <c r="E1574" s="28" t="n">
        <v>21848318.4618931</v>
      </c>
      <c r="F1574" s="28" t="n">
        <v>35128290.7918809</v>
      </c>
      <c r="G1574" s="28" t="n">
        <v>339726622.203233</v>
      </c>
      <c r="H1574" s="25" t="n">
        <f aca="false">J1573</f>
        <v>361574940.665126</v>
      </c>
      <c r="I1574" s="25" t="n">
        <f aca="false">H1574*N1574</f>
        <v>13279972.3299878</v>
      </c>
      <c r="J1574" s="25" t="n">
        <f aca="false">H1574+I1574-F1574</f>
        <v>339726622.203233</v>
      </c>
      <c r="K1574" s="25" t="n">
        <f aca="false">D1574-I1574</f>
        <v>0</v>
      </c>
      <c r="L1574" s="25" t="n">
        <f aca="false">G1574-J1574</f>
        <v>0</v>
      </c>
      <c r="M1574" s="25" t="n">
        <f aca="false">F1574</f>
        <v>35128290.7918809</v>
      </c>
      <c r="N1574" s="49" t="n">
        <f aca="false">$C$1553</f>
        <v>0.0367281325015472</v>
      </c>
      <c r="O1574" s="25" t="n">
        <f aca="false">IF(AND(B1574&gt;=DATE(2026,1,1),B1574&lt;=Resumen!$C$5),1,0)</f>
        <v>0</v>
      </c>
      <c r="P1574" s="25" t="n">
        <f aca="false">IF(AND(B1574&gt;Resumen!$C$5,B1574&lt;=DATE(2027,7,31)),1,0)</f>
        <v>1</v>
      </c>
    </row>
    <row r="1575" customFormat="false" ht="15" hidden="false" customHeight="false" outlineLevel="0" collapsed="false">
      <c r="A1575" s="22" t="n">
        <v>17</v>
      </c>
      <c r="B1575" s="23" t="n">
        <v>46500</v>
      </c>
      <c r="C1575" s="28" t="n">
        <v>339726622.203233</v>
      </c>
      <c r="D1575" s="28" t="n">
        <v>12477524.3945834</v>
      </c>
      <c r="E1575" s="28" t="n">
        <v>22650766.3972975</v>
      </c>
      <c r="F1575" s="28" t="n">
        <v>35128290.7918809</v>
      </c>
      <c r="G1575" s="28" t="n">
        <v>317075855.805936</v>
      </c>
      <c r="H1575" s="25" t="n">
        <f aca="false">J1574</f>
        <v>339726622.203233</v>
      </c>
      <c r="I1575" s="25" t="n">
        <f aca="false">H1575*N1575</f>
        <v>12477524.3945834</v>
      </c>
      <c r="J1575" s="25" t="n">
        <f aca="false">H1575+I1575-F1575</f>
        <v>317075855.805936</v>
      </c>
      <c r="K1575" s="25" t="n">
        <f aca="false">D1575-I1575</f>
        <v>0</v>
      </c>
      <c r="L1575" s="25" t="n">
        <f aca="false">G1575-J1575</f>
        <v>0</v>
      </c>
      <c r="M1575" s="25" t="n">
        <f aca="false">F1575</f>
        <v>35128290.7918809</v>
      </c>
      <c r="N1575" s="49" t="n">
        <f aca="false">$C$1553</f>
        <v>0.0367281325015472</v>
      </c>
      <c r="O1575" s="25" t="n">
        <f aca="false">IF(AND(B1575&gt;=DATE(2026,1,1),B1575&lt;=Resumen!$C$5),1,0)</f>
        <v>0</v>
      </c>
      <c r="P1575" s="25" t="n">
        <f aca="false">IF(AND(B1575&gt;Resumen!$C$5,B1575&lt;=DATE(2027,7,31)),1,0)</f>
        <v>1</v>
      </c>
    </row>
    <row r="1576" customFormat="false" ht="15" hidden="false" customHeight="false" outlineLevel="0" collapsed="false">
      <c r="A1576" s="22" t="n">
        <v>18</v>
      </c>
      <c r="B1576" s="23" t="n">
        <v>46591</v>
      </c>
      <c r="C1576" s="28" t="n">
        <v>317075855.805936</v>
      </c>
      <c r="D1576" s="28" t="n">
        <v>11645604.0450819</v>
      </c>
      <c r="E1576" s="28" t="n">
        <v>23482686.746799</v>
      </c>
      <c r="F1576" s="28" t="n">
        <v>35128290.7918809</v>
      </c>
      <c r="G1576" s="28" t="n">
        <v>293593169.059137</v>
      </c>
      <c r="H1576" s="25" t="n">
        <f aca="false">J1575</f>
        <v>317075855.805936</v>
      </c>
      <c r="I1576" s="25" t="n">
        <f aca="false">H1576*N1576</f>
        <v>11645604.0450819</v>
      </c>
      <c r="J1576" s="25" t="n">
        <f aca="false">H1576+I1576-F1576</f>
        <v>293593169.059137</v>
      </c>
      <c r="K1576" s="25" t="n">
        <f aca="false">D1576-I1576</f>
        <v>0</v>
      </c>
      <c r="L1576" s="25" t="n">
        <f aca="false">G1576-J1576</f>
        <v>0</v>
      </c>
      <c r="M1576" s="25" t="n">
        <f aca="false">F1576</f>
        <v>35128290.7918809</v>
      </c>
      <c r="N1576" s="49" t="n">
        <f aca="false">$C$1553</f>
        <v>0.0367281325015472</v>
      </c>
      <c r="O1576" s="25" t="n">
        <f aca="false">IF(AND(B1576&gt;=DATE(2026,1,1),B1576&lt;=Resumen!$C$5),1,0)</f>
        <v>0</v>
      </c>
      <c r="P1576" s="25" t="n">
        <f aca="false">IF(AND(B1576&gt;Resumen!$C$5,B1576&lt;=DATE(2027,7,31)),1,0)</f>
        <v>1</v>
      </c>
    </row>
    <row r="1577" customFormat="false" ht="15" hidden="false" customHeight="false" outlineLevel="0" collapsed="false">
      <c r="A1577" s="22" t="n">
        <v>19</v>
      </c>
      <c r="B1577" s="23" t="n">
        <v>46683</v>
      </c>
      <c r="C1577" s="28" t="n">
        <v>293593169.059137</v>
      </c>
      <c r="D1577" s="28" t="n">
        <v>10783128.8147531</v>
      </c>
      <c r="E1577" s="28" t="n">
        <v>24345161.9771278</v>
      </c>
      <c r="F1577" s="28" t="n">
        <v>35128290.7918809</v>
      </c>
      <c r="G1577" s="28" t="n">
        <v>269248007.082009</v>
      </c>
      <c r="H1577" s="25" t="n">
        <f aca="false">J1576</f>
        <v>293593169.059137</v>
      </c>
      <c r="I1577" s="25" t="n">
        <f aca="false">H1577*N1577</f>
        <v>10783128.8147531</v>
      </c>
      <c r="J1577" s="25" t="n">
        <f aca="false">H1577+I1577-F1577</f>
        <v>269248007.082009</v>
      </c>
      <c r="K1577" s="25" t="n">
        <f aca="false">D1577-I1577</f>
        <v>0</v>
      </c>
      <c r="L1577" s="25" t="n">
        <f aca="false">G1577-J1577</f>
        <v>0</v>
      </c>
      <c r="M1577" s="25" t="n">
        <f aca="false">F1577</f>
        <v>35128290.7918809</v>
      </c>
      <c r="N1577" s="49" t="n">
        <f aca="false">$C$1553</f>
        <v>0.0367281325015472</v>
      </c>
      <c r="O1577" s="25" t="n">
        <f aca="false">IF(AND(B1577&gt;=DATE(2026,1,1),B1577&lt;=Resumen!$C$5),1,0)</f>
        <v>0</v>
      </c>
      <c r="P1577" s="25" t="n">
        <f aca="false">IF(AND(B1577&gt;Resumen!$C$5,B1577&lt;=DATE(2027,7,31)),1,0)</f>
        <v>0</v>
      </c>
    </row>
    <row r="1578" customFormat="false" ht="15" hidden="false" customHeight="false" outlineLevel="0" collapsed="false">
      <c r="A1578" s="22" t="n">
        <v>20</v>
      </c>
      <c r="B1578" s="23" t="n">
        <v>46775</v>
      </c>
      <c r="C1578" s="28" t="n">
        <v>269248007.082009</v>
      </c>
      <c r="D1578" s="28" t="n">
        <v>9888976.47988552</v>
      </c>
      <c r="E1578" s="28" t="n">
        <v>25239314.3119954</v>
      </c>
      <c r="F1578" s="28" t="n">
        <v>35128290.7918809</v>
      </c>
      <c r="G1578" s="28" t="n">
        <v>244008692.770013</v>
      </c>
      <c r="H1578" s="25" t="n">
        <f aca="false">J1577</f>
        <v>269248007.082009</v>
      </c>
      <c r="I1578" s="25" t="n">
        <f aca="false">H1578*N1578</f>
        <v>9888976.47988552</v>
      </c>
      <c r="J1578" s="25" t="n">
        <f aca="false">H1578+I1578-F1578</f>
        <v>244008692.770013</v>
      </c>
      <c r="K1578" s="25" t="n">
        <f aca="false">D1578-I1578</f>
        <v>0</v>
      </c>
      <c r="L1578" s="25" t="n">
        <f aca="false">G1578-J1578</f>
        <v>0</v>
      </c>
      <c r="M1578" s="25" t="n">
        <f aca="false">F1578</f>
        <v>35128290.7918809</v>
      </c>
      <c r="N1578" s="49" t="n">
        <f aca="false">$C$1553</f>
        <v>0.0367281325015472</v>
      </c>
      <c r="O1578" s="25" t="n">
        <f aca="false">IF(AND(B1578&gt;=DATE(2026,1,1),B1578&lt;=Resumen!$C$5),1,0)</f>
        <v>0</v>
      </c>
      <c r="P1578" s="25" t="n">
        <f aca="false">IF(AND(B1578&gt;Resumen!$C$5,B1578&lt;=DATE(2027,7,31)),1,0)</f>
        <v>0</v>
      </c>
    </row>
    <row r="1579" customFormat="false" ht="15" hidden="false" customHeight="false" outlineLevel="0" collapsed="false">
      <c r="A1579" s="22" t="n">
        <v>21</v>
      </c>
      <c r="B1579" s="23" t="n">
        <v>46866</v>
      </c>
      <c r="C1579" s="28" t="n">
        <v>244008692.770013</v>
      </c>
      <c r="D1579" s="28" t="n">
        <v>8961983.59958636</v>
      </c>
      <c r="E1579" s="28" t="n">
        <v>26166307.1922945</v>
      </c>
      <c r="F1579" s="28" t="n">
        <v>35128290.7918809</v>
      </c>
      <c r="G1579" s="28" t="n">
        <v>217842385.577719</v>
      </c>
      <c r="H1579" s="25" t="n">
        <f aca="false">J1578</f>
        <v>244008692.770013</v>
      </c>
      <c r="I1579" s="25" t="n">
        <f aca="false">H1579*N1579</f>
        <v>8961983.59958636</v>
      </c>
      <c r="J1579" s="25" t="n">
        <f aca="false">H1579+I1579-F1579</f>
        <v>217842385.577719</v>
      </c>
      <c r="K1579" s="25" t="n">
        <f aca="false">D1579-I1579</f>
        <v>0</v>
      </c>
      <c r="L1579" s="25" t="n">
        <f aca="false">G1579-J1579</f>
        <v>0</v>
      </c>
      <c r="M1579" s="25" t="n">
        <f aca="false">F1579</f>
        <v>35128290.7918809</v>
      </c>
      <c r="N1579" s="49" t="n">
        <f aca="false">$C$1553</f>
        <v>0.0367281325015472</v>
      </c>
      <c r="O1579" s="25" t="n">
        <f aca="false">IF(AND(B1579&gt;=DATE(2026,1,1),B1579&lt;=Resumen!$C$5),1,0)</f>
        <v>0</v>
      </c>
      <c r="P1579" s="25" t="n">
        <f aca="false">IF(AND(B1579&gt;Resumen!$C$5,B1579&lt;=DATE(2027,7,31)),1,0)</f>
        <v>0</v>
      </c>
    </row>
    <row r="1580" customFormat="false" ht="15" hidden="false" customHeight="false" outlineLevel="0" collapsed="false">
      <c r="A1580" s="22" t="n">
        <v>22</v>
      </c>
      <c r="B1580" s="23" t="n">
        <v>46957</v>
      </c>
      <c r="C1580" s="28" t="n">
        <v>217842385.577719</v>
      </c>
      <c r="D1580" s="28" t="n">
        <v>8000944.00195159</v>
      </c>
      <c r="E1580" s="28" t="n">
        <v>27127346.7899293</v>
      </c>
      <c r="F1580" s="28" t="n">
        <v>35128290.7918809</v>
      </c>
      <c r="G1580" s="28" t="n">
        <v>190715038.78779</v>
      </c>
      <c r="H1580" s="25" t="n">
        <f aca="false">J1579</f>
        <v>217842385.577719</v>
      </c>
      <c r="I1580" s="25" t="n">
        <f aca="false">H1580*N1580</f>
        <v>8000944.00195159</v>
      </c>
      <c r="J1580" s="25" t="n">
        <f aca="false">H1580+I1580-F1580</f>
        <v>190715038.78779</v>
      </c>
      <c r="K1580" s="25" t="n">
        <f aca="false">D1580-I1580</f>
        <v>0</v>
      </c>
      <c r="L1580" s="25" t="n">
        <f aca="false">G1580-J1580</f>
        <v>0</v>
      </c>
      <c r="M1580" s="25" t="n">
        <f aca="false">F1580</f>
        <v>35128290.7918809</v>
      </c>
      <c r="N1580" s="49" t="n">
        <f aca="false">$C$1553</f>
        <v>0.0367281325015472</v>
      </c>
      <c r="O1580" s="25" t="n">
        <f aca="false">IF(AND(B1580&gt;=DATE(2026,1,1),B1580&lt;=Resumen!$C$5),1,0)</f>
        <v>0</v>
      </c>
      <c r="P1580" s="25" t="n">
        <f aca="false">IF(AND(B1580&gt;Resumen!$C$5,B1580&lt;=DATE(2027,7,31)),1,0)</f>
        <v>0</v>
      </c>
    </row>
    <row r="1581" customFormat="false" ht="15" hidden="false" customHeight="false" outlineLevel="0" collapsed="false">
      <c r="A1581" s="22" t="n">
        <v>23</v>
      </c>
      <c r="B1581" s="23" t="n">
        <v>47049</v>
      </c>
      <c r="C1581" s="28" t="n">
        <v>190715038.78779</v>
      </c>
      <c r="D1581" s="28" t="n">
        <v>7004607.21463564</v>
      </c>
      <c r="E1581" s="28" t="n">
        <v>28123683.5772452</v>
      </c>
      <c r="F1581" s="28" t="n">
        <v>35128290.7918809</v>
      </c>
      <c r="G1581" s="28" t="n">
        <v>162591355.210544</v>
      </c>
      <c r="H1581" s="25" t="n">
        <f aca="false">J1580</f>
        <v>190715038.78779</v>
      </c>
      <c r="I1581" s="25" t="n">
        <f aca="false">H1581*N1581</f>
        <v>7004607.21463564</v>
      </c>
      <c r="J1581" s="25" t="n">
        <f aca="false">H1581+I1581-F1581</f>
        <v>162591355.210544</v>
      </c>
      <c r="K1581" s="25" t="n">
        <f aca="false">D1581-I1581</f>
        <v>0</v>
      </c>
      <c r="L1581" s="25" t="n">
        <f aca="false">G1581-J1581</f>
        <v>0</v>
      </c>
      <c r="M1581" s="25" t="n">
        <f aca="false">F1581</f>
        <v>35128290.7918809</v>
      </c>
      <c r="N1581" s="49" t="n">
        <f aca="false">$C$1553</f>
        <v>0.0367281325015472</v>
      </c>
      <c r="O1581" s="25" t="n">
        <f aca="false">IF(AND(B1581&gt;=DATE(2026,1,1),B1581&lt;=Resumen!$C$5),1,0)</f>
        <v>0</v>
      </c>
      <c r="P1581" s="25" t="n">
        <f aca="false">IF(AND(B1581&gt;Resumen!$C$5,B1581&lt;=DATE(2027,7,31)),1,0)</f>
        <v>0</v>
      </c>
    </row>
    <row r="1582" customFormat="false" ht="15" hidden="false" customHeight="false" outlineLevel="0" collapsed="false">
      <c r="A1582" s="22" t="n">
        <v>24</v>
      </c>
      <c r="B1582" s="23" t="n">
        <v>47141</v>
      </c>
      <c r="C1582" s="28" t="n">
        <v>162591355.210544</v>
      </c>
      <c r="D1582" s="28" t="n">
        <v>5971676.83777899</v>
      </c>
      <c r="E1582" s="28" t="n">
        <v>29156613.9541019</v>
      </c>
      <c r="F1582" s="28" t="n">
        <v>35128290.7918809</v>
      </c>
      <c r="G1582" s="28" t="n">
        <v>133434741.256442</v>
      </c>
      <c r="H1582" s="25" t="n">
        <f aca="false">J1581</f>
        <v>162591355.210544</v>
      </c>
      <c r="I1582" s="25" t="n">
        <f aca="false">H1582*N1582</f>
        <v>5971676.83777899</v>
      </c>
      <c r="J1582" s="25" t="n">
        <f aca="false">H1582+I1582-F1582</f>
        <v>133434741.256442</v>
      </c>
      <c r="K1582" s="25" t="n">
        <f aca="false">D1582-I1582</f>
        <v>0</v>
      </c>
      <c r="L1582" s="25" t="n">
        <f aca="false">G1582-J1582</f>
        <v>0</v>
      </c>
      <c r="M1582" s="25" t="n">
        <f aca="false">F1582</f>
        <v>35128290.7918809</v>
      </c>
      <c r="N1582" s="49" t="n">
        <f aca="false">$C$1553</f>
        <v>0.0367281325015472</v>
      </c>
      <c r="O1582" s="25" t="n">
        <f aca="false">IF(AND(B1582&gt;=DATE(2026,1,1),B1582&lt;=Resumen!$C$5),1,0)</f>
        <v>0</v>
      </c>
      <c r="P1582" s="25" t="n">
        <f aca="false">IF(AND(B1582&gt;Resumen!$C$5,B1582&lt;=DATE(2027,7,31)),1,0)</f>
        <v>0</v>
      </c>
    </row>
    <row r="1583" customFormat="false" ht="15" hidden="false" customHeight="false" outlineLevel="0" collapsed="false">
      <c r="A1583" s="22" t="n">
        <v>25</v>
      </c>
      <c r="B1583" s="23" t="n">
        <v>47231</v>
      </c>
      <c r="C1583" s="28" t="n">
        <v>133434741.256442</v>
      </c>
      <c r="D1583" s="28" t="n">
        <v>4900808.85717628</v>
      </c>
      <c r="E1583" s="28" t="n">
        <v>30227481.9347046</v>
      </c>
      <c r="F1583" s="28" t="n">
        <v>35128290.7918809</v>
      </c>
      <c r="G1583" s="28" t="n">
        <v>103207259.321738</v>
      </c>
      <c r="H1583" s="25" t="n">
        <f aca="false">J1582</f>
        <v>133434741.256442</v>
      </c>
      <c r="I1583" s="25" t="n">
        <f aca="false">H1583*N1583</f>
        <v>4900808.85717628</v>
      </c>
      <c r="J1583" s="25" t="n">
        <f aca="false">H1583+I1583-F1583</f>
        <v>103207259.321738</v>
      </c>
      <c r="K1583" s="25" t="n">
        <f aca="false">D1583-I1583</f>
        <v>0</v>
      </c>
      <c r="L1583" s="25" t="n">
        <f aca="false">G1583-J1583</f>
        <v>0</v>
      </c>
      <c r="M1583" s="25" t="n">
        <f aca="false">F1583</f>
        <v>35128290.7918809</v>
      </c>
      <c r="N1583" s="49" t="n">
        <f aca="false">$C$1553</f>
        <v>0.0367281325015472</v>
      </c>
      <c r="O1583" s="25" t="n">
        <f aca="false">IF(AND(B1583&gt;=DATE(2026,1,1),B1583&lt;=Resumen!$C$5),1,0)</f>
        <v>0</v>
      </c>
      <c r="P1583" s="25" t="n">
        <f aca="false">IF(AND(B1583&gt;Resumen!$C$5,B1583&lt;=DATE(2027,7,31)),1,0)</f>
        <v>0</v>
      </c>
    </row>
    <row r="1584" customFormat="false" ht="15" hidden="false" customHeight="false" outlineLevel="0" collapsed="false">
      <c r="A1584" s="22" t="n">
        <v>26</v>
      </c>
      <c r="B1584" s="23" t="n">
        <v>47322</v>
      </c>
      <c r="C1584" s="28" t="n">
        <v>103207259.321738</v>
      </c>
      <c r="D1584" s="28" t="n">
        <v>3790609.89549033</v>
      </c>
      <c r="E1584" s="28" t="n">
        <v>31337680.8963906</v>
      </c>
      <c r="F1584" s="28" t="n">
        <v>35128290.7918809</v>
      </c>
      <c r="G1584" s="28" t="n">
        <v>71869578.4253473</v>
      </c>
      <c r="H1584" s="25" t="n">
        <f aca="false">J1583</f>
        <v>103207259.321738</v>
      </c>
      <c r="I1584" s="25" t="n">
        <f aca="false">H1584*N1584</f>
        <v>3790609.89549033</v>
      </c>
      <c r="J1584" s="25" t="n">
        <f aca="false">H1584+I1584-F1584</f>
        <v>71869578.4253473</v>
      </c>
      <c r="K1584" s="25" t="n">
        <f aca="false">D1584-I1584</f>
        <v>0</v>
      </c>
      <c r="L1584" s="25" t="n">
        <f aca="false">G1584-J1584</f>
        <v>0</v>
      </c>
      <c r="M1584" s="25" t="n">
        <f aca="false">F1584</f>
        <v>35128290.7918809</v>
      </c>
      <c r="N1584" s="49" t="n">
        <f aca="false">$C$1553</f>
        <v>0.0367281325015472</v>
      </c>
      <c r="O1584" s="25" t="n">
        <f aca="false">IF(AND(B1584&gt;=DATE(2026,1,1),B1584&lt;=Resumen!$C$5),1,0)</f>
        <v>0</v>
      </c>
      <c r="P1584" s="25" t="n">
        <f aca="false">IF(AND(B1584&gt;Resumen!$C$5,B1584&lt;=DATE(2027,7,31)),1,0)</f>
        <v>0</v>
      </c>
    </row>
    <row r="1585" customFormat="false" ht="15" hidden="false" customHeight="false" outlineLevel="0" collapsed="false">
      <c r="A1585" s="22" t="n">
        <v>27</v>
      </c>
      <c r="B1585" s="23" t="n">
        <v>47414</v>
      </c>
      <c r="C1585" s="28" t="n">
        <v>71869578.4253473</v>
      </c>
      <c r="D1585" s="28" t="n">
        <v>2639635.39923649</v>
      </c>
      <c r="E1585" s="28" t="n">
        <v>32488655.3926444</v>
      </c>
      <c r="F1585" s="28" t="n">
        <v>35128290.7918809</v>
      </c>
      <c r="G1585" s="28" t="n">
        <v>39380923.0327029</v>
      </c>
      <c r="H1585" s="25" t="n">
        <f aca="false">J1584</f>
        <v>71869578.4253473</v>
      </c>
      <c r="I1585" s="25" t="n">
        <f aca="false">H1585*N1585</f>
        <v>2639635.39923649</v>
      </c>
      <c r="J1585" s="25" t="n">
        <f aca="false">H1585+I1585-F1585</f>
        <v>39380923.0327029</v>
      </c>
      <c r="K1585" s="25" t="n">
        <f aca="false">D1585-I1585</f>
        <v>0</v>
      </c>
      <c r="L1585" s="25" t="n">
        <f aca="false">G1585-J1585</f>
        <v>0</v>
      </c>
      <c r="M1585" s="25" t="n">
        <f aca="false">F1585</f>
        <v>35128290.7918809</v>
      </c>
      <c r="N1585" s="49" t="n">
        <f aca="false">$C$1553</f>
        <v>0.0367281325015472</v>
      </c>
      <c r="O1585" s="25" t="n">
        <f aca="false">IF(AND(B1585&gt;=DATE(2026,1,1),B1585&lt;=Resumen!$C$5),1,0)</f>
        <v>0</v>
      </c>
      <c r="P1585" s="25" t="n">
        <f aca="false">IF(AND(B1585&gt;Resumen!$C$5,B1585&lt;=DATE(2027,7,31)),1,0)</f>
        <v>0</v>
      </c>
    </row>
    <row r="1586" customFormat="false" ht="15" hidden="false" customHeight="false" outlineLevel="0" collapsed="false">
      <c r="A1586" s="22" t="n">
        <v>28</v>
      </c>
      <c r="B1586" s="23" t="n">
        <v>47506</v>
      </c>
      <c r="C1586" s="28" t="n">
        <v>39380923.0327029</v>
      </c>
      <c r="D1586" s="28" t="n">
        <v>1446387.75917834</v>
      </c>
      <c r="E1586" s="28" t="n">
        <v>39380923.0327025</v>
      </c>
      <c r="F1586" s="28" t="n">
        <v>40827310.7918809</v>
      </c>
      <c r="G1586" s="28" t="n">
        <v>3.42726707458496E-007</v>
      </c>
      <c r="H1586" s="25" t="n">
        <f aca="false">J1585</f>
        <v>39380923.0327029</v>
      </c>
      <c r="I1586" s="25" t="n">
        <f aca="false">H1586*N1586</f>
        <v>1446387.75917834</v>
      </c>
      <c r="J1586" s="25" t="n">
        <f aca="false">H1586+I1586-F1586</f>
        <v>3.27825546264648E-007</v>
      </c>
      <c r="K1586" s="25" t="n">
        <f aca="false">D1586-I1586</f>
        <v>0</v>
      </c>
      <c r="L1586" s="25" t="n">
        <f aca="false">G1586-J1586</f>
        <v>1.49011611938477E-008</v>
      </c>
      <c r="M1586" s="25" t="n">
        <f aca="false">F1586</f>
        <v>40827310.7918809</v>
      </c>
      <c r="N1586" s="49" t="n">
        <f aca="false">$C$1553</f>
        <v>0.0367281325015472</v>
      </c>
      <c r="O1586" s="25" t="n">
        <f aca="false">IF(AND(B1586&gt;=DATE(2026,1,1),B1586&lt;=Resumen!$C$5),1,0)</f>
        <v>0</v>
      </c>
      <c r="P1586" s="25" t="n">
        <f aca="false">IF(AND(B1586&gt;Resumen!$C$5,B1586&lt;=DATE(2027,7,31)),1,0)</f>
        <v>0</v>
      </c>
    </row>
    <row r="1589" customFormat="false" ht="15" hidden="false" customHeight="false" outlineLevel="0" collapsed="false">
      <c r="A1589" s="33" t="s">
        <v>882</v>
      </c>
    </row>
    <row r="1590" customFormat="false" ht="15" hidden="false" customHeight="false" outlineLevel="0" collapsed="false">
      <c r="A1590" s="34" t="s">
        <v>883</v>
      </c>
    </row>
    <row r="1591" customFormat="false" ht="15" hidden="false" customHeight="false" outlineLevel="0" collapsed="false">
      <c r="A1591" s="19" t="s">
        <v>884</v>
      </c>
    </row>
    <row r="1592" customFormat="false" ht="15" hidden="false" customHeight="false" outlineLevel="0" collapsed="false">
      <c r="A1592" s="20" t="s">
        <v>885</v>
      </c>
    </row>
    <row r="1593" customFormat="false" ht="15" hidden="false" customHeight="false" outlineLevel="0" collapsed="false">
      <c r="A1593" s="29" t="s">
        <v>773</v>
      </c>
      <c r="C1593" s="22" t="s">
        <v>886</v>
      </c>
      <c r="F1593" s="47" t="s">
        <v>775</v>
      </c>
    </row>
    <row r="1594" customFormat="false" ht="15" hidden="false" customHeight="false" outlineLevel="0" collapsed="false">
      <c r="A1594" s="29" t="s">
        <v>640</v>
      </c>
      <c r="C1594" s="28" t="n">
        <v>1622075804</v>
      </c>
      <c r="F1594" s="22" t="s">
        <v>776</v>
      </c>
      <c r="I1594" s="41" t="n">
        <f aca="false">_xlfn.MAXIFS($B$1602:$B$1626,$B$1602:$B$1626,"&lt;="&amp;Resumen!$C$5)</f>
        <v>46225</v>
      </c>
    </row>
    <row r="1595" customFormat="false" ht="15" hidden="false" customHeight="false" outlineLevel="0" collapsed="false">
      <c r="A1595" s="29" t="s">
        <v>641</v>
      </c>
      <c r="C1595" s="23" t="n">
        <v>44764</v>
      </c>
      <c r="F1595" s="22" t="s">
        <v>777</v>
      </c>
      <c r="I1595" s="25" t="n">
        <f aca="false">SUMIFS($G$1602:$G$1626,$B$1602:$B$1626,I1594)</f>
        <v>968620472.418459</v>
      </c>
    </row>
    <row r="1596" customFormat="false" ht="15" hidden="false" customHeight="false" outlineLevel="0" collapsed="false">
      <c r="A1596" s="29" t="s">
        <v>778</v>
      </c>
      <c r="C1596" s="22" t="s">
        <v>887</v>
      </c>
      <c r="F1596" s="22" t="s">
        <v>780</v>
      </c>
      <c r="I1596" s="25" t="n">
        <f aca="false">SUMIFS($J$1602:$J$1626,$B$1602:$B$1626,I1594)</f>
        <v>968620472.418459</v>
      </c>
    </row>
    <row r="1597" customFormat="false" ht="15" hidden="false" customHeight="false" outlineLevel="0" collapsed="false">
      <c r="A1597" s="29" t="s">
        <v>781</v>
      </c>
      <c r="C1597" s="48" t="n">
        <v>0.0318904961505968</v>
      </c>
      <c r="F1597" s="22" t="s">
        <v>650</v>
      </c>
      <c r="I1597" s="25" t="n">
        <f aca="false">SUMIFS($D$1602:$D$1626,$O$1602:$O$1626,1)</f>
        <v>104728442.4778</v>
      </c>
    </row>
    <row r="1598" customFormat="false" ht="15" hidden="false" customHeight="false" outlineLevel="0" collapsed="false">
      <c r="A1598" s="29" t="s">
        <v>782</v>
      </c>
      <c r="C1598" s="49" t="n">
        <f aca="false">IFERROR(IRR($M$1602:$M$1626),"N/A")</f>
        <v>0.0318904961505969</v>
      </c>
      <c r="F1598" s="22" t="s">
        <v>783</v>
      </c>
      <c r="I1598" s="25" t="n">
        <f aca="false">SUMIFS($E$1602:$E$1626,$P$1602:$P$1626,1)</f>
        <v>278537651.756876</v>
      </c>
    </row>
    <row r="1599" customFormat="false" ht="15" hidden="false" customHeight="false" outlineLevel="0" collapsed="false">
      <c r="A1599" s="29" t="s">
        <v>784</v>
      </c>
      <c r="C1599" s="50" t="n">
        <f aca="false">IF(ISNUMBER(C1598),(1+C1598)^4-1,"N/A")</f>
        <v>0.133794772383417</v>
      </c>
      <c r="F1599" s="22" t="s">
        <v>785</v>
      </c>
      <c r="I1599" s="25" t="n">
        <f aca="false">SUMPRODUCT(MAX(ABS($L$1602:$L$1626)))</f>
        <v>1.9371509552002E-007</v>
      </c>
    </row>
    <row r="1601" customFormat="false" ht="36" hidden="false" customHeight="true" outlineLevel="0" collapsed="false">
      <c r="A1601" s="27" t="s">
        <v>786</v>
      </c>
      <c r="B1601" s="27" t="s">
        <v>396</v>
      </c>
      <c r="C1601" s="27" t="s">
        <v>787</v>
      </c>
      <c r="D1601" s="27" t="s">
        <v>788</v>
      </c>
      <c r="E1601" s="27" t="s">
        <v>789</v>
      </c>
      <c r="F1601" s="27" t="s">
        <v>790</v>
      </c>
      <c r="G1601" s="27" t="s">
        <v>791</v>
      </c>
      <c r="H1601" s="27" t="s">
        <v>792</v>
      </c>
      <c r="I1601" s="27" t="s">
        <v>793</v>
      </c>
      <c r="J1601" s="27" t="s">
        <v>794</v>
      </c>
      <c r="K1601" s="27" t="s">
        <v>795</v>
      </c>
      <c r="L1601" s="27" t="s">
        <v>796</v>
      </c>
      <c r="M1601" s="27" t="s">
        <v>797</v>
      </c>
      <c r="N1601" s="27" t="s">
        <v>798</v>
      </c>
      <c r="O1601" s="27" t="s">
        <v>799</v>
      </c>
      <c r="P1601" s="27" t="s">
        <v>800</v>
      </c>
    </row>
    <row r="1602" customFormat="false" ht="15" hidden="false" customHeight="false" outlineLevel="0" collapsed="false">
      <c r="A1602" s="22" t="n">
        <v>0</v>
      </c>
      <c r="B1602" s="23" t="n">
        <v>44764</v>
      </c>
      <c r="C1602" s="28"/>
      <c r="D1602" s="28" t="n">
        <v>0</v>
      </c>
      <c r="E1602" s="28" t="n">
        <v>0</v>
      </c>
      <c r="F1602" s="28" t="n">
        <v>0</v>
      </c>
      <c r="G1602" s="28" t="n">
        <v>1622075804</v>
      </c>
      <c r="H1602" s="25" t="n">
        <f aca="false">G1602</f>
        <v>1622075804</v>
      </c>
      <c r="I1602" s="28" t="n">
        <v>0</v>
      </c>
      <c r="J1602" s="25" t="n">
        <f aca="false">H1602</f>
        <v>1622075804</v>
      </c>
      <c r="K1602" s="25" t="n">
        <f aca="false">D1602-I1602</f>
        <v>0</v>
      </c>
      <c r="L1602" s="25" t="n">
        <f aca="false">G1602-J1602</f>
        <v>0</v>
      </c>
      <c r="M1602" s="25" t="n">
        <f aca="false">-$C$1594</f>
        <v>-1622075804</v>
      </c>
      <c r="N1602" s="49" t="n">
        <f aca="false">$C$1597</f>
        <v>0.0318904961505968</v>
      </c>
      <c r="O1602" s="25" t="n">
        <f aca="false">IF(AND(B1602&gt;=DATE(2026,1,1),B1602&lt;=Resumen!$C$5),1,0)</f>
        <v>0</v>
      </c>
      <c r="P1602" s="25" t="n">
        <f aca="false">IF(AND(B1602&gt;Resumen!$C$5,B1602&lt;=DATE(2027,7,31)),1,0)</f>
        <v>0</v>
      </c>
    </row>
    <row r="1603" customFormat="false" ht="15" hidden="false" customHeight="false" outlineLevel="0" collapsed="false">
      <c r="A1603" s="22" t="n">
        <v>1</v>
      </c>
      <c r="B1603" s="23" t="n">
        <v>45221</v>
      </c>
      <c r="C1603" s="28" t="n">
        <v>1622075804</v>
      </c>
      <c r="D1603" s="28" t="n">
        <v>51728802.1834382</v>
      </c>
      <c r="E1603" s="28" t="n">
        <v>45551500.7741406</v>
      </c>
      <c r="F1603" s="28" t="n">
        <v>97280302.9575788</v>
      </c>
      <c r="G1603" s="28" t="n">
        <v>1576524303.22586</v>
      </c>
      <c r="H1603" s="25" t="n">
        <f aca="false">J1602</f>
        <v>1622075804</v>
      </c>
      <c r="I1603" s="25" t="n">
        <f aca="false">H1603*N1603</f>
        <v>51728802.1834382</v>
      </c>
      <c r="J1603" s="25" t="n">
        <f aca="false">H1603+I1603-F1603</f>
        <v>1576524303.22586</v>
      </c>
      <c r="K1603" s="25" t="n">
        <f aca="false">D1603-I1603</f>
        <v>0</v>
      </c>
      <c r="L1603" s="25" t="n">
        <f aca="false">G1603-J1603</f>
        <v>0</v>
      </c>
      <c r="M1603" s="25" t="n">
        <f aca="false">F1603</f>
        <v>97280302.9575788</v>
      </c>
      <c r="N1603" s="49" t="n">
        <f aca="false">$C$1597</f>
        <v>0.0318904961505968</v>
      </c>
      <c r="O1603" s="25" t="n">
        <f aca="false">IF(AND(B1603&gt;=DATE(2026,1,1),B1603&lt;=Resumen!$C$5),1,0)</f>
        <v>0</v>
      </c>
      <c r="P1603" s="25" t="n">
        <f aca="false">IF(AND(B1603&gt;Resumen!$C$5,B1603&lt;=DATE(2027,7,31)),1,0)</f>
        <v>0</v>
      </c>
    </row>
    <row r="1604" customFormat="false" ht="15" hidden="false" customHeight="false" outlineLevel="0" collapsed="false">
      <c r="A1604" s="22" t="n">
        <v>2</v>
      </c>
      <c r="B1604" s="23" t="n">
        <v>45313</v>
      </c>
      <c r="C1604" s="28" t="n">
        <v>1576524303.22586</v>
      </c>
      <c r="D1604" s="28" t="n">
        <v>50276142.2233466</v>
      </c>
      <c r="E1604" s="28" t="n">
        <v>47004160.7342324</v>
      </c>
      <c r="F1604" s="28" t="n">
        <v>97280302.957579</v>
      </c>
      <c r="G1604" s="28" t="n">
        <v>1529520142.49163</v>
      </c>
      <c r="H1604" s="25" t="n">
        <f aca="false">J1603</f>
        <v>1576524303.22586</v>
      </c>
      <c r="I1604" s="25" t="n">
        <f aca="false">H1604*N1604</f>
        <v>50276142.2233466</v>
      </c>
      <c r="J1604" s="25" t="n">
        <f aca="false">H1604+I1604-F1604</f>
        <v>1529520142.49163</v>
      </c>
      <c r="K1604" s="25" t="n">
        <f aca="false">D1604-I1604</f>
        <v>0</v>
      </c>
      <c r="L1604" s="25" t="n">
        <f aca="false">G1604-J1604</f>
        <v>0</v>
      </c>
      <c r="M1604" s="25" t="n">
        <f aca="false">F1604</f>
        <v>97280302.957579</v>
      </c>
      <c r="N1604" s="49" t="n">
        <f aca="false">$C$1597</f>
        <v>0.0318904961505968</v>
      </c>
      <c r="O1604" s="25" t="n">
        <f aca="false">IF(AND(B1604&gt;=DATE(2026,1,1),B1604&lt;=Resumen!$C$5),1,0)</f>
        <v>0</v>
      </c>
      <c r="P1604" s="25" t="n">
        <f aca="false">IF(AND(B1604&gt;Resumen!$C$5,B1604&lt;=DATE(2027,7,31)),1,0)</f>
        <v>0</v>
      </c>
    </row>
    <row r="1605" customFormat="false" ht="15" hidden="false" customHeight="false" outlineLevel="0" collapsed="false">
      <c r="A1605" s="22" t="n">
        <v>3</v>
      </c>
      <c r="B1605" s="23" t="n">
        <v>45404</v>
      </c>
      <c r="C1605" s="28" t="n">
        <v>1529520142.49163</v>
      </c>
      <c r="D1605" s="28" t="n">
        <v>48777156.2163895</v>
      </c>
      <c r="E1605" s="28" t="n">
        <v>48503146.7411895</v>
      </c>
      <c r="F1605" s="28" t="n">
        <v>97280302.957579</v>
      </c>
      <c r="G1605" s="28" t="n">
        <v>1481016995.75044</v>
      </c>
      <c r="H1605" s="25" t="n">
        <f aca="false">J1604</f>
        <v>1529520142.49163</v>
      </c>
      <c r="I1605" s="25" t="n">
        <f aca="false">H1605*N1605</f>
        <v>48777156.2163895</v>
      </c>
      <c r="J1605" s="25" t="n">
        <f aca="false">H1605+I1605-F1605</f>
        <v>1481016995.75044</v>
      </c>
      <c r="K1605" s="25" t="n">
        <f aca="false">D1605-I1605</f>
        <v>0</v>
      </c>
      <c r="L1605" s="25" t="n">
        <f aca="false">G1605-J1605</f>
        <v>0</v>
      </c>
      <c r="M1605" s="25" t="n">
        <f aca="false">F1605</f>
        <v>97280302.957579</v>
      </c>
      <c r="N1605" s="49" t="n">
        <f aca="false">$C$1597</f>
        <v>0.0318904961505968</v>
      </c>
      <c r="O1605" s="25" t="n">
        <f aca="false">IF(AND(B1605&gt;=DATE(2026,1,1),B1605&lt;=Resumen!$C$5),1,0)</f>
        <v>0</v>
      </c>
      <c r="P1605" s="25" t="n">
        <f aca="false">IF(AND(B1605&gt;Resumen!$C$5,B1605&lt;=DATE(2027,7,31)),1,0)</f>
        <v>0</v>
      </c>
    </row>
    <row r="1606" customFormat="false" ht="15" hidden="false" customHeight="false" outlineLevel="0" collapsed="false">
      <c r="A1606" s="22" t="n">
        <v>4</v>
      </c>
      <c r="B1606" s="23" t="n">
        <v>45495</v>
      </c>
      <c r="C1606" s="28" t="n">
        <v>1481016995.75044</v>
      </c>
      <c r="D1606" s="28" t="n">
        <v>47230366.8019478</v>
      </c>
      <c r="E1606" s="28" t="n">
        <v>50049936.1556311</v>
      </c>
      <c r="F1606" s="28" t="n">
        <v>97280302.9575788</v>
      </c>
      <c r="G1606" s="28" t="n">
        <v>1430967059.59481</v>
      </c>
      <c r="H1606" s="25" t="n">
        <f aca="false">J1605</f>
        <v>1481016995.75044</v>
      </c>
      <c r="I1606" s="25" t="n">
        <f aca="false">H1606*N1606</f>
        <v>47230366.8019478</v>
      </c>
      <c r="J1606" s="25" t="n">
        <f aca="false">H1606+I1606-F1606</f>
        <v>1430967059.59481</v>
      </c>
      <c r="K1606" s="25" t="n">
        <f aca="false">D1606-I1606</f>
        <v>0</v>
      </c>
      <c r="L1606" s="25" t="n">
        <f aca="false">G1606-J1606</f>
        <v>0</v>
      </c>
      <c r="M1606" s="25" t="n">
        <f aca="false">F1606</f>
        <v>97280302.9575788</v>
      </c>
      <c r="N1606" s="49" t="n">
        <f aca="false">$C$1597</f>
        <v>0.0318904961505968</v>
      </c>
      <c r="O1606" s="25" t="n">
        <f aca="false">IF(AND(B1606&gt;=DATE(2026,1,1),B1606&lt;=Resumen!$C$5),1,0)</f>
        <v>0</v>
      </c>
      <c r="P1606" s="25" t="n">
        <f aca="false">IF(AND(B1606&gt;Resumen!$C$5,B1606&lt;=DATE(2027,7,31)),1,0)</f>
        <v>0</v>
      </c>
    </row>
    <row r="1607" customFormat="false" ht="15" hidden="false" customHeight="false" outlineLevel="0" collapsed="false">
      <c r="A1607" s="22" t="n">
        <v>5</v>
      </c>
      <c r="B1607" s="23" t="n">
        <v>45587</v>
      </c>
      <c r="C1607" s="28" t="n">
        <v>1430967059.59481</v>
      </c>
      <c r="D1607" s="28" t="n">
        <v>45634249.505639</v>
      </c>
      <c r="E1607" s="28" t="n">
        <v>51646053.4519398</v>
      </c>
      <c r="F1607" s="28" t="n">
        <v>97280302.9575788</v>
      </c>
      <c r="G1607" s="28" t="n">
        <v>1379321006.14287</v>
      </c>
      <c r="H1607" s="25" t="n">
        <f aca="false">J1606</f>
        <v>1430967059.59481</v>
      </c>
      <c r="I1607" s="25" t="n">
        <f aca="false">H1607*N1607</f>
        <v>45634249.505639</v>
      </c>
      <c r="J1607" s="25" t="n">
        <f aca="false">H1607+I1607-F1607</f>
        <v>1379321006.14287</v>
      </c>
      <c r="K1607" s="25" t="n">
        <f aca="false">D1607-I1607</f>
        <v>0</v>
      </c>
      <c r="L1607" s="25" t="n">
        <f aca="false">G1607-J1607</f>
        <v>0</v>
      </c>
      <c r="M1607" s="25" t="n">
        <f aca="false">F1607</f>
        <v>97280302.9575788</v>
      </c>
      <c r="N1607" s="49" t="n">
        <f aca="false">$C$1597</f>
        <v>0.0318904961505968</v>
      </c>
      <c r="O1607" s="25" t="n">
        <f aca="false">IF(AND(B1607&gt;=DATE(2026,1,1),B1607&lt;=Resumen!$C$5),1,0)</f>
        <v>0</v>
      </c>
      <c r="P1607" s="25" t="n">
        <f aca="false">IF(AND(B1607&gt;Resumen!$C$5,B1607&lt;=DATE(2027,7,31)),1,0)</f>
        <v>0</v>
      </c>
    </row>
    <row r="1608" customFormat="false" ht="15" hidden="false" customHeight="false" outlineLevel="0" collapsed="false">
      <c r="A1608" s="22" t="n">
        <v>6</v>
      </c>
      <c r="B1608" s="23" t="n">
        <v>45679</v>
      </c>
      <c r="C1608" s="28" t="n">
        <v>1379321006.14287</v>
      </c>
      <c r="D1608" s="28" t="n">
        <v>43987231.2368364</v>
      </c>
      <c r="E1608" s="28" t="n">
        <v>53293071.7207425</v>
      </c>
      <c r="F1608" s="28" t="n">
        <v>97280302.9575789</v>
      </c>
      <c r="G1608" s="28" t="n">
        <v>1326027934.42212</v>
      </c>
      <c r="H1608" s="25" t="n">
        <f aca="false">J1607</f>
        <v>1379321006.14287</v>
      </c>
      <c r="I1608" s="25" t="n">
        <f aca="false">H1608*N1608</f>
        <v>43987231.2368364</v>
      </c>
      <c r="J1608" s="25" t="n">
        <f aca="false">H1608+I1608-F1608</f>
        <v>1326027934.42212</v>
      </c>
      <c r="K1608" s="25" t="n">
        <f aca="false">D1608-I1608</f>
        <v>0</v>
      </c>
      <c r="L1608" s="25" t="n">
        <f aca="false">G1608-J1608</f>
        <v>0</v>
      </c>
      <c r="M1608" s="25" t="n">
        <f aca="false">F1608</f>
        <v>97280302.9575789</v>
      </c>
      <c r="N1608" s="49" t="n">
        <f aca="false">$C$1597</f>
        <v>0.0318904961505968</v>
      </c>
      <c r="O1608" s="25" t="n">
        <f aca="false">IF(AND(B1608&gt;=DATE(2026,1,1),B1608&lt;=Resumen!$C$5),1,0)</f>
        <v>0</v>
      </c>
      <c r="P1608" s="25" t="n">
        <f aca="false">IF(AND(B1608&gt;Resumen!$C$5,B1608&lt;=DATE(2027,7,31)),1,0)</f>
        <v>0</v>
      </c>
    </row>
    <row r="1609" customFormat="false" ht="15" hidden="false" customHeight="false" outlineLevel="0" collapsed="false">
      <c r="A1609" s="22" t="n">
        <v>7</v>
      </c>
      <c r="B1609" s="23" t="n">
        <v>45769</v>
      </c>
      <c r="C1609" s="28" t="n">
        <v>1326027934.42212</v>
      </c>
      <c r="D1609" s="28" t="n">
        <v>42287688.7382726</v>
      </c>
      <c r="E1609" s="28" t="n">
        <v>54992614.2193062</v>
      </c>
      <c r="F1609" s="28" t="n">
        <v>97280302.9575788</v>
      </c>
      <c r="G1609" s="28" t="n">
        <v>1271035320.20282</v>
      </c>
      <c r="H1609" s="25" t="n">
        <f aca="false">J1608</f>
        <v>1326027934.42212</v>
      </c>
      <c r="I1609" s="25" t="n">
        <f aca="false">H1609*N1609</f>
        <v>42287688.7382726</v>
      </c>
      <c r="J1609" s="25" t="n">
        <f aca="false">H1609+I1609-F1609</f>
        <v>1271035320.20282</v>
      </c>
      <c r="K1609" s="25" t="n">
        <f aca="false">D1609-I1609</f>
        <v>0</v>
      </c>
      <c r="L1609" s="25" t="n">
        <f aca="false">G1609-J1609</f>
        <v>0</v>
      </c>
      <c r="M1609" s="25" t="n">
        <f aca="false">F1609</f>
        <v>97280302.9575788</v>
      </c>
      <c r="N1609" s="49" t="n">
        <f aca="false">$C$1597</f>
        <v>0.0318904961505968</v>
      </c>
      <c r="O1609" s="25" t="n">
        <f aca="false">IF(AND(B1609&gt;=DATE(2026,1,1),B1609&lt;=Resumen!$C$5),1,0)</f>
        <v>0</v>
      </c>
      <c r="P1609" s="25" t="n">
        <f aca="false">IF(AND(B1609&gt;Resumen!$C$5,B1609&lt;=DATE(2027,7,31)),1,0)</f>
        <v>0</v>
      </c>
    </row>
    <row r="1610" customFormat="false" ht="15" hidden="false" customHeight="false" outlineLevel="0" collapsed="false">
      <c r="A1610" s="22" t="n">
        <v>8</v>
      </c>
      <c r="B1610" s="23" t="n">
        <v>45860</v>
      </c>
      <c r="C1610" s="28" t="n">
        <v>1271035320.20282</v>
      </c>
      <c r="D1610" s="28" t="n">
        <v>40533946.9862005</v>
      </c>
      <c r="E1610" s="28" t="n">
        <v>56746355.9713783</v>
      </c>
      <c r="F1610" s="28" t="n">
        <v>97280302.9575789</v>
      </c>
      <c r="G1610" s="28" t="n">
        <v>1214288964.23144</v>
      </c>
      <c r="H1610" s="25" t="n">
        <f aca="false">J1609</f>
        <v>1271035320.20282</v>
      </c>
      <c r="I1610" s="25" t="n">
        <f aca="false">H1610*N1610</f>
        <v>40533946.9862005</v>
      </c>
      <c r="J1610" s="25" t="n">
        <f aca="false">H1610+I1610-F1610</f>
        <v>1214288964.23144</v>
      </c>
      <c r="K1610" s="25" t="n">
        <f aca="false">D1610-I1610</f>
        <v>0</v>
      </c>
      <c r="L1610" s="25" t="n">
        <f aca="false">G1610-J1610</f>
        <v>0</v>
      </c>
      <c r="M1610" s="25" t="n">
        <f aca="false">F1610</f>
        <v>97280302.9575789</v>
      </c>
      <c r="N1610" s="49" t="n">
        <f aca="false">$C$1597</f>
        <v>0.0318904961505968</v>
      </c>
      <c r="O1610" s="25" t="n">
        <f aca="false">IF(AND(B1610&gt;=DATE(2026,1,1),B1610&lt;=Resumen!$C$5),1,0)</f>
        <v>0</v>
      </c>
      <c r="P1610" s="25" t="n">
        <f aca="false">IF(AND(B1610&gt;Resumen!$C$5,B1610&lt;=DATE(2027,7,31)),1,0)</f>
        <v>0</v>
      </c>
    </row>
    <row r="1611" customFormat="false" ht="15" hidden="false" customHeight="false" outlineLevel="0" collapsed="false">
      <c r="A1611" s="22" t="n">
        <v>9</v>
      </c>
      <c r="B1611" s="23" t="n">
        <v>45952</v>
      </c>
      <c r="C1611" s="28" t="n">
        <v>1214288964.23144</v>
      </c>
      <c r="D1611" s="28" t="n">
        <v>38724277.5395349</v>
      </c>
      <c r="E1611" s="28" t="n">
        <v>58556025.4180441</v>
      </c>
      <c r="F1611" s="28" t="n">
        <v>97280302.957579</v>
      </c>
      <c r="G1611" s="28" t="n">
        <v>1155732938.8134</v>
      </c>
      <c r="H1611" s="25" t="n">
        <f aca="false">J1610</f>
        <v>1214288964.23144</v>
      </c>
      <c r="I1611" s="25" t="n">
        <f aca="false">H1611*N1611</f>
        <v>38724277.5395349</v>
      </c>
      <c r="J1611" s="25" t="n">
        <f aca="false">H1611+I1611-F1611</f>
        <v>1155732938.8134</v>
      </c>
      <c r="K1611" s="25" t="n">
        <f aca="false">D1611-I1611</f>
        <v>0</v>
      </c>
      <c r="L1611" s="25" t="n">
        <f aca="false">G1611-J1611</f>
        <v>0</v>
      </c>
      <c r="M1611" s="25" t="n">
        <f aca="false">F1611</f>
        <v>97280302.957579</v>
      </c>
      <c r="N1611" s="49" t="n">
        <f aca="false">$C$1597</f>
        <v>0.0318904961505968</v>
      </c>
      <c r="O1611" s="25" t="n">
        <f aca="false">IF(AND(B1611&gt;=DATE(2026,1,1),B1611&lt;=Resumen!$C$5),1,0)</f>
        <v>0</v>
      </c>
      <c r="P1611" s="25" t="n">
        <f aca="false">IF(AND(B1611&gt;Resumen!$C$5,B1611&lt;=DATE(2027,7,31)),1,0)</f>
        <v>0</v>
      </c>
    </row>
    <row r="1612" customFormat="false" ht="15" hidden="false" customHeight="false" outlineLevel="0" collapsed="false">
      <c r="A1612" s="22" t="n">
        <v>10</v>
      </c>
      <c r="B1612" s="23" t="n">
        <v>46044</v>
      </c>
      <c r="C1612" s="28" t="n">
        <v>1155732938.8134</v>
      </c>
      <c r="D1612" s="28" t="n">
        <v>36856896.8363465</v>
      </c>
      <c r="E1612" s="28" t="n">
        <v>60423406.1212323</v>
      </c>
      <c r="F1612" s="28" t="n">
        <v>97280302.9575788</v>
      </c>
      <c r="G1612" s="28" t="n">
        <v>1095309532.69216</v>
      </c>
      <c r="H1612" s="25" t="n">
        <f aca="false">J1611</f>
        <v>1155732938.8134</v>
      </c>
      <c r="I1612" s="25" t="n">
        <f aca="false">H1612*N1612</f>
        <v>36856896.8363465</v>
      </c>
      <c r="J1612" s="25" t="n">
        <f aca="false">H1612+I1612-F1612</f>
        <v>1095309532.69216</v>
      </c>
      <c r="K1612" s="25" t="n">
        <f aca="false">D1612-I1612</f>
        <v>0</v>
      </c>
      <c r="L1612" s="25" t="n">
        <f aca="false">G1612-J1612</f>
        <v>0</v>
      </c>
      <c r="M1612" s="25" t="n">
        <f aca="false">F1612</f>
        <v>97280302.9575788</v>
      </c>
      <c r="N1612" s="49" t="n">
        <f aca="false">$C$1597</f>
        <v>0.0318904961505968</v>
      </c>
      <c r="O1612" s="25" t="n">
        <f aca="false">IF(AND(B1612&gt;=DATE(2026,1,1),B1612&lt;=Resumen!$C$5),1,0)</f>
        <v>1</v>
      </c>
      <c r="P1612" s="25" t="n">
        <f aca="false">IF(AND(B1612&gt;Resumen!$C$5,B1612&lt;=DATE(2027,7,31)),1,0)</f>
        <v>0</v>
      </c>
    </row>
    <row r="1613" customFormat="false" ht="15" hidden="false" customHeight="false" outlineLevel="0" collapsed="false">
      <c r="A1613" s="22" t="n">
        <v>11</v>
      </c>
      <c r="B1613" s="23" t="n">
        <v>46134</v>
      </c>
      <c r="C1613" s="28" t="n">
        <v>1095309532.69216</v>
      </c>
      <c r="D1613" s="28" t="n">
        <v>34929964.4360314</v>
      </c>
      <c r="E1613" s="28" t="n">
        <v>62350338.5215474</v>
      </c>
      <c r="F1613" s="28" t="n">
        <v>97280302.9575789</v>
      </c>
      <c r="G1613" s="28" t="n">
        <v>1032959194.17062</v>
      </c>
      <c r="H1613" s="25" t="n">
        <f aca="false">J1612</f>
        <v>1095309532.69216</v>
      </c>
      <c r="I1613" s="25" t="n">
        <f aca="false">H1613*N1613</f>
        <v>34929964.4360314</v>
      </c>
      <c r="J1613" s="25" t="n">
        <f aca="false">H1613+I1613-F1613</f>
        <v>1032959194.17062</v>
      </c>
      <c r="K1613" s="25" t="n">
        <f aca="false">D1613-I1613</f>
        <v>0</v>
      </c>
      <c r="L1613" s="25" t="n">
        <f aca="false">G1613-J1613</f>
        <v>0</v>
      </c>
      <c r="M1613" s="25" t="n">
        <f aca="false">F1613</f>
        <v>97280302.9575789</v>
      </c>
      <c r="N1613" s="49" t="n">
        <f aca="false">$C$1597</f>
        <v>0.0318904961505968</v>
      </c>
      <c r="O1613" s="25" t="n">
        <f aca="false">IF(AND(B1613&gt;=DATE(2026,1,1),B1613&lt;=Resumen!$C$5),1,0)</f>
        <v>1</v>
      </c>
      <c r="P1613" s="25" t="n">
        <f aca="false">IF(AND(B1613&gt;Resumen!$C$5,B1613&lt;=DATE(2027,7,31)),1,0)</f>
        <v>0</v>
      </c>
    </row>
    <row r="1614" customFormat="false" ht="15" hidden="false" customHeight="false" outlineLevel="0" collapsed="false">
      <c r="A1614" s="22" t="n">
        <v>12</v>
      </c>
      <c r="B1614" s="23" t="n">
        <v>46225</v>
      </c>
      <c r="C1614" s="28" t="n">
        <v>1032959194.17062</v>
      </c>
      <c r="D1614" s="28" t="n">
        <v>32941581.2054216</v>
      </c>
      <c r="E1614" s="28" t="n">
        <v>64338721.7521572</v>
      </c>
      <c r="F1614" s="28" t="n">
        <v>97280302.9575788</v>
      </c>
      <c r="G1614" s="28" t="n">
        <v>968620472.418459</v>
      </c>
      <c r="H1614" s="25" t="n">
        <f aca="false">J1613</f>
        <v>1032959194.17062</v>
      </c>
      <c r="I1614" s="25" t="n">
        <f aca="false">H1614*N1614</f>
        <v>32941581.2054216</v>
      </c>
      <c r="J1614" s="25" t="n">
        <f aca="false">H1614+I1614-F1614</f>
        <v>968620472.418459</v>
      </c>
      <c r="K1614" s="25" t="n">
        <f aca="false">D1614-I1614</f>
        <v>0</v>
      </c>
      <c r="L1614" s="25" t="n">
        <f aca="false">G1614-J1614</f>
        <v>0</v>
      </c>
      <c r="M1614" s="25" t="n">
        <f aca="false">F1614</f>
        <v>97280302.9575788</v>
      </c>
      <c r="N1614" s="49" t="n">
        <f aca="false">$C$1597</f>
        <v>0.0318904961505968</v>
      </c>
      <c r="O1614" s="25" t="n">
        <f aca="false">IF(AND(B1614&gt;=DATE(2026,1,1),B1614&lt;=Resumen!$C$5),1,0)</f>
        <v>1</v>
      </c>
      <c r="P1614" s="25" t="n">
        <f aca="false">IF(AND(B1614&gt;Resumen!$C$5,B1614&lt;=DATE(2027,7,31)),1,0)</f>
        <v>0</v>
      </c>
    </row>
    <row r="1615" customFormat="false" ht="15" hidden="false" customHeight="false" outlineLevel="0" collapsed="false">
      <c r="A1615" s="22" t="n">
        <v>13</v>
      </c>
      <c r="B1615" s="23" t="n">
        <v>46317</v>
      </c>
      <c r="C1615" s="28" t="n">
        <v>968620472.418459</v>
      </c>
      <c r="D1615" s="28" t="n">
        <v>30889787.4470501</v>
      </c>
      <c r="E1615" s="28" t="n">
        <v>66390515.5105287</v>
      </c>
      <c r="F1615" s="28" t="n">
        <v>97280302.9575788</v>
      </c>
      <c r="G1615" s="28" t="n">
        <v>902229956.90793</v>
      </c>
      <c r="H1615" s="25" t="n">
        <f aca="false">J1614</f>
        <v>968620472.418459</v>
      </c>
      <c r="I1615" s="25" t="n">
        <f aca="false">H1615*N1615</f>
        <v>30889787.4470501</v>
      </c>
      <c r="J1615" s="25" t="n">
        <f aca="false">H1615+I1615-F1615</f>
        <v>902229956.90793</v>
      </c>
      <c r="K1615" s="25" t="n">
        <f aca="false">D1615-I1615</f>
        <v>0</v>
      </c>
      <c r="L1615" s="25" t="n">
        <f aca="false">G1615-J1615</f>
        <v>0</v>
      </c>
      <c r="M1615" s="25" t="n">
        <f aca="false">F1615</f>
        <v>97280302.9575788</v>
      </c>
      <c r="N1615" s="49" t="n">
        <f aca="false">$C$1597</f>
        <v>0.0318904961505968</v>
      </c>
      <c r="O1615" s="25" t="n">
        <f aca="false">IF(AND(B1615&gt;=DATE(2026,1,1),B1615&lt;=Resumen!$C$5),1,0)</f>
        <v>0</v>
      </c>
      <c r="P1615" s="25" t="n">
        <f aca="false">IF(AND(B1615&gt;Resumen!$C$5,B1615&lt;=DATE(2027,7,31)),1,0)</f>
        <v>1</v>
      </c>
    </row>
    <row r="1616" customFormat="false" ht="15" hidden="false" customHeight="false" outlineLevel="0" collapsed="false">
      <c r="A1616" s="22" t="n">
        <v>14</v>
      </c>
      <c r="B1616" s="23" t="n">
        <v>46409</v>
      </c>
      <c r="C1616" s="28" t="n">
        <v>902229956.90793</v>
      </c>
      <c r="D1616" s="28" t="n">
        <v>28772560.9677255</v>
      </c>
      <c r="E1616" s="28" t="n">
        <v>68507741.9898533</v>
      </c>
      <c r="F1616" s="28" t="n">
        <v>97280302.9575787</v>
      </c>
      <c r="G1616" s="28" t="n">
        <v>833722214.918077</v>
      </c>
      <c r="H1616" s="25" t="n">
        <f aca="false">J1615</f>
        <v>902229956.90793</v>
      </c>
      <c r="I1616" s="25" t="n">
        <f aca="false">H1616*N1616</f>
        <v>28772560.9677255</v>
      </c>
      <c r="J1616" s="25" t="n">
        <f aca="false">H1616+I1616-F1616</f>
        <v>833722214.918077</v>
      </c>
      <c r="K1616" s="25" t="n">
        <f aca="false">D1616-I1616</f>
        <v>0</v>
      </c>
      <c r="L1616" s="25" t="n">
        <f aca="false">G1616-J1616</f>
        <v>0</v>
      </c>
      <c r="M1616" s="25" t="n">
        <f aca="false">F1616</f>
        <v>97280302.9575787</v>
      </c>
      <c r="N1616" s="49" t="n">
        <f aca="false">$C$1597</f>
        <v>0.0318904961505968</v>
      </c>
      <c r="O1616" s="25" t="n">
        <f aca="false">IF(AND(B1616&gt;=DATE(2026,1,1),B1616&lt;=Resumen!$C$5),1,0)</f>
        <v>0</v>
      </c>
      <c r="P1616" s="25" t="n">
        <f aca="false">IF(AND(B1616&gt;Resumen!$C$5,B1616&lt;=DATE(2027,7,31)),1,0)</f>
        <v>1</v>
      </c>
    </row>
    <row r="1617" customFormat="false" ht="15" hidden="false" customHeight="false" outlineLevel="0" collapsed="false">
      <c r="A1617" s="22" t="n">
        <v>15</v>
      </c>
      <c r="B1617" s="23" t="n">
        <v>46499</v>
      </c>
      <c r="C1617" s="28" t="n">
        <v>833722214.918077</v>
      </c>
      <c r="D1617" s="28" t="n">
        <v>26587815.085512</v>
      </c>
      <c r="E1617" s="28" t="n">
        <v>70692487.8720669</v>
      </c>
      <c r="F1617" s="28" t="n">
        <v>97280302.9575788</v>
      </c>
      <c r="G1617" s="28" t="n">
        <v>763029727.04601</v>
      </c>
      <c r="H1617" s="25" t="n">
        <f aca="false">J1616</f>
        <v>833722214.918077</v>
      </c>
      <c r="I1617" s="25" t="n">
        <f aca="false">H1617*N1617</f>
        <v>26587815.085512</v>
      </c>
      <c r="J1617" s="25" t="n">
        <f aca="false">H1617+I1617-F1617</f>
        <v>763029727.04601</v>
      </c>
      <c r="K1617" s="25" t="n">
        <f aca="false">D1617-I1617</f>
        <v>0</v>
      </c>
      <c r="L1617" s="25" t="n">
        <f aca="false">G1617-J1617</f>
        <v>0</v>
      </c>
      <c r="M1617" s="25" t="n">
        <f aca="false">F1617</f>
        <v>97280302.9575788</v>
      </c>
      <c r="N1617" s="49" t="n">
        <f aca="false">$C$1597</f>
        <v>0.0318904961505968</v>
      </c>
      <c r="O1617" s="25" t="n">
        <f aca="false">IF(AND(B1617&gt;=DATE(2026,1,1),B1617&lt;=Resumen!$C$5),1,0)</f>
        <v>0</v>
      </c>
      <c r="P1617" s="25" t="n">
        <f aca="false">IF(AND(B1617&gt;Resumen!$C$5,B1617&lt;=DATE(2027,7,31)),1,0)</f>
        <v>1</v>
      </c>
    </row>
    <row r="1618" customFormat="false" ht="15" hidden="false" customHeight="false" outlineLevel="0" collapsed="false">
      <c r="A1618" s="22" t="n">
        <v>16</v>
      </c>
      <c r="B1618" s="23" t="n">
        <v>46590</v>
      </c>
      <c r="C1618" s="28" t="n">
        <v>763029727.04601</v>
      </c>
      <c r="D1618" s="28" t="n">
        <v>24333396.5731517</v>
      </c>
      <c r="E1618" s="28" t="n">
        <v>72946906.3844271</v>
      </c>
      <c r="F1618" s="28" t="n">
        <v>97280302.9575788</v>
      </c>
      <c r="G1618" s="28" t="n">
        <v>690082820.661583</v>
      </c>
      <c r="H1618" s="25" t="n">
        <f aca="false">J1617</f>
        <v>763029727.04601</v>
      </c>
      <c r="I1618" s="25" t="n">
        <f aca="false">H1618*N1618</f>
        <v>24333396.5731517</v>
      </c>
      <c r="J1618" s="25" t="n">
        <f aca="false">H1618+I1618-F1618</f>
        <v>690082820.661583</v>
      </c>
      <c r="K1618" s="25" t="n">
        <f aca="false">D1618-I1618</f>
        <v>0</v>
      </c>
      <c r="L1618" s="25" t="n">
        <f aca="false">G1618-J1618</f>
        <v>0</v>
      </c>
      <c r="M1618" s="25" t="n">
        <f aca="false">F1618</f>
        <v>97280302.9575788</v>
      </c>
      <c r="N1618" s="49" t="n">
        <f aca="false">$C$1597</f>
        <v>0.0318904961505968</v>
      </c>
      <c r="O1618" s="25" t="n">
        <f aca="false">IF(AND(B1618&gt;=DATE(2026,1,1),B1618&lt;=Resumen!$C$5),1,0)</f>
        <v>0</v>
      </c>
      <c r="P1618" s="25" t="n">
        <f aca="false">IF(AND(B1618&gt;Resumen!$C$5,B1618&lt;=DATE(2027,7,31)),1,0)</f>
        <v>1</v>
      </c>
    </row>
    <row r="1619" customFormat="false" ht="15" hidden="false" customHeight="false" outlineLevel="0" collapsed="false">
      <c r="A1619" s="22" t="n">
        <v>17</v>
      </c>
      <c r="B1619" s="23" t="n">
        <v>46682</v>
      </c>
      <c r="C1619" s="28" t="n">
        <v>690082820.661583</v>
      </c>
      <c r="D1619" s="28" t="n">
        <v>22007083.5359012</v>
      </c>
      <c r="E1619" s="28" t="n">
        <v>75273219.4216776</v>
      </c>
      <c r="F1619" s="28" t="n">
        <v>97280302.9575788</v>
      </c>
      <c r="G1619" s="28" t="n">
        <v>614809601.239905</v>
      </c>
      <c r="H1619" s="25" t="n">
        <f aca="false">J1618</f>
        <v>690082820.661583</v>
      </c>
      <c r="I1619" s="25" t="n">
        <f aca="false">H1619*N1619</f>
        <v>22007083.5359012</v>
      </c>
      <c r="J1619" s="25" t="n">
        <f aca="false">H1619+I1619-F1619</f>
        <v>614809601.239905</v>
      </c>
      <c r="K1619" s="25" t="n">
        <f aca="false">D1619-I1619</f>
        <v>0</v>
      </c>
      <c r="L1619" s="25" t="n">
        <f aca="false">G1619-J1619</f>
        <v>0</v>
      </c>
      <c r="M1619" s="25" t="n">
        <f aca="false">F1619</f>
        <v>97280302.9575788</v>
      </c>
      <c r="N1619" s="49" t="n">
        <f aca="false">$C$1597</f>
        <v>0.0318904961505968</v>
      </c>
      <c r="O1619" s="25" t="n">
        <f aca="false">IF(AND(B1619&gt;=DATE(2026,1,1),B1619&lt;=Resumen!$C$5),1,0)</f>
        <v>0</v>
      </c>
      <c r="P1619" s="25" t="n">
        <f aca="false">IF(AND(B1619&gt;Resumen!$C$5,B1619&lt;=DATE(2027,7,31)),1,0)</f>
        <v>0</v>
      </c>
    </row>
    <row r="1620" customFormat="false" ht="15" hidden="false" customHeight="false" outlineLevel="0" collapsed="false">
      <c r="A1620" s="22" t="n">
        <v>18</v>
      </c>
      <c r="B1620" s="23" t="n">
        <v>46774</v>
      </c>
      <c r="C1620" s="28" t="n">
        <v>614809601.239905</v>
      </c>
      <c r="D1620" s="28" t="n">
        <v>19606583.2216912</v>
      </c>
      <c r="E1620" s="28" t="n">
        <v>77673719.7358877</v>
      </c>
      <c r="F1620" s="28" t="n">
        <v>97280302.9575788</v>
      </c>
      <c r="G1620" s="28" t="n">
        <v>537135881.504018</v>
      </c>
      <c r="H1620" s="25" t="n">
        <f aca="false">J1619</f>
        <v>614809601.239905</v>
      </c>
      <c r="I1620" s="25" t="n">
        <f aca="false">H1620*N1620</f>
        <v>19606583.2216911</v>
      </c>
      <c r="J1620" s="25" t="n">
        <f aca="false">H1620+I1620-F1620</f>
        <v>537135881.504017</v>
      </c>
      <c r="K1620" s="25" t="n">
        <f aca="false">D1620-I1620</f>
        <v>0</v>
      </c>
      <c r="L1620" s="25" t="n">
        <f aca="false">G1620-J1620</f>
        <v>0</v>
      </c>
      <c r="M1620" s="25" t="n">
        <f aca="false">F1620</f>
        <v>97280302.9575788</v>
      </c>
      <c r="N1620" s="49" t="n">
        <f aca="false">$C$1597</f>
        <v>0.0318904961505968</v>
      </c>
      <c r="O1620" s="25" t="n">
        <f aca="false">IF(AND(B1620&gt;=DATE(2026,1,1),B1620&lt;=Resumen!$C$5),1,0)</f>
        <v>0</v>
      </c>
      <c r="P1620" s="25" t="n">
        <f aca="false">IF(AND(B1620&gt;Resumen!$C$5,B1620&lt;=DATE(2027,7,31)),1,0)</f>
        <v>0</v>
      </c>
    </row>
    <row r="1621" customFormat="false" ht="15" hidden="false" customHeight="false" outlineLevel="0" collapsed="false">
      <c r="A1621" s="22" t="n">
        <v>19</v>
      </c>
      <c r="B1621" s="23" t="n">
        <v>46865</v>
      </c>
      <c r="C1621" s="28" t="n">
        <v>537135881.504018</v>
      </c>
      <c r="D1621" s="28" t="n">
        <v>17129529.7614513</v>
      </c>
      <c r="E1621" s="28" t="n">
        <v>80150773.1961276</v>
      </c>
      <c r="F1621" s="28" t="n">
        <v>97280302.9575789</v>
      </c>
      <c r="G1621" s="28" t="n">
        <v>456985108.30789</v>
      </c>
      <c r="H1621" s="25" t="n">
        <f aca="false">J1620</f>
        <v>537135881.504017</v>
      </c>
      <c r="I1621" s="25" t="n">
        <f aca="false">H1621*N1621</f>
        <v>17129529.7614513</v>
      </c>
      <c r="J1621" s="25" t="n">
        <f aca="false">H1621+I1621-F1621</f>
        <v>456985108.30789</v>
      </c>
      <c r="K1621" s="25" t="n">
        <f aca="false">D1621-I1621</f>
        <v>0</v>
      </c>
      <c r="L1621" s="25" t="n">
        <f aca="false">G1621-J1621</f>
        <v>0</v>
      </c>
      <c r="M1621" s="25" t="n">
        <f aca="false">F1621</f>
        <v>97280302.9575789</v>
      </c>
      <c r="N1621" s="49" t="n">
        <f aca="false">$C$1597</f>
        <v>0.0318904961505968</v>
      </c>
      <c r="O1621" s="25" t="n">
        <f aca="false">IF(AND(B1621&gt;=DATE(2026,1,1),B1621&lt;=Resumen!$C$5),1,0)</f>
        <v>0</v>
      </c>
      <c r="P1621" s="25" t="n">
        <f aca="false">IF(AND(B1621&gt;Resumen!$C$5,B1621&lt;=DATE(2027,7,31)),1,0)</f>
        <v>0</v>
      </c>
    </row>
    <row r="1622" customFormat="false" ht="15" hidden="false" customHeight="false" outlineLevel="0" collapsed="false">
      <c r="A1622" s="22" t="n">
        <v>20</v>
      </c>
      <c r="B1622" s="23" t="n">
        <v>46956</v>
      </c>
      <c r="C1622" s="28" t="n">
        <v>456985108.30789</v>
      </c>
      <c r="D1622" s="28" t="n">
        <v>14573481.8373728</v>
      </c>
      <c r="E1622" s="28" t="n">
        <v>82706821.120206</v>
      </c>
      <c r="F1622" s="28" t="n">
        <v>97280302.9575788</v>
      </c>
      <c r="G1622" s="28" t="n">
        <v>374278287.187684</v>
      </c>
      <c r="H1622" s="25" t="n">
        <f aca="false">J1621</f>
        <v>456985108.30789</v>
      </c>
      <c r="I1622" s="25" t="n">
        <f aca="false">H1622*N1622</f>
        <v>14573481.8373728</v>
      </c>
      <c r="J1622" s="25" t="n">
        <f aca="false">H1622+I1622-F1622</f>
        <v>374278287.187684</v>
      </c>
      <c r="K1622" s="25" t="n">
        <f aca="false">D1622-I1622</f>
        <v>0</v>
      </c>
      <c r="L1622" s="25" t="n">
        <f aca="false">G1622-J1622</f>
        <v>0</v>
      </c>
      <c r="M1622" s="25" t="n">
        <f aca="false">F1622</f>
        <v>97280302.9575788</v>
      </c>
      <c r="N1622" s="49" t="n">
        <f aca="false">$C$1597</f>
        <v>0.0318904961505968</v>
      </c>
      <c r="O1622" s="25" t="n">
        <f aca="false">IF(AND(B1622&gt;=DATE(2026,1,1),B1622&lt;=Resumen!$C$5),1,0)</f>
        <v>0</v>
      </c>
      <c r="P1622" s="25" t="n">
        <f aca="false">IF(AND(B1622&gt;Resumen!$C$5,B1622&lt;=DATE(2027,7,31)),1,0)</f>
        <v>0</v>
      </c>
    </row>
    <row r="1623" customFormat="false" ht="15" hidden="false" customHeight="false" outlineLevel="0" collapsed="false">
      <c r="A1623" s="22" t="n">
        <v>21</v>
      </c>
      <c r="B1623" s="23" t="n">
        <v>47048</v>
      </c>
      <c r="C1623" s="28" t="n">
        <v>374278287.187684</v>
      </c>
      <c r="D1623" s="28" t="n">
        <v>11935920.2768108</v>
      </c>
      <c r="E1623" s="28" t="n">
        <v>85344382.680768</v>
      </c>
      <c r="F1623" s="28" t="n">
        <v>97280302.9575788</v>
      </c>
      <c r="G1623" s="28" t="n">
        <v>288933904.506916</v>
      </c>
      <c r="H1623" s="25" t="n">
        <f aca="false">J1622</f>
        <v>374278287.187684</v>
      </c>
      <c r="I1623" s="25" t="n">
        <f aca="false">H1623*N1623</f>
        <v>11935920.2768108</v>
      </c>
      <c r="J1623" s="25" t="n">
        <f aca="false">H1623+I1623-F1623</f>
        <v>288933904.506916</v>
      </c>
      <c r="K1623" s="25" t="n">
        <f aca="false">D1623-I1623</f>
        <v>0</v>
      </c>
      <c r="L1623" s="25" t="n">
        <f aca="false">G1623-J1623</f>
        <v>0</v>
      </c>
      <c r="M1623" s="25" t="n">
        <f aca="false">F1623</f>
        <v>97280302.9575788</v>
      </c>
      <c r="N1623" s="49" t="n">
        <f aca="false">$C$1597</f>
        <v>0.0318904961505968</v>
      </c>
      <c r="O1623" s="25" t="n">
        <f aca="false">IF(AND(B1623&gt;=DATE(2026,1,1),B1623&lt;=Resumen!$C$5),1,0)</f>
        <v>0</v>
      </c>
      <c r="P1623" s="25" t="n">
        <f aca="false">IF(AND(B1623&gt;Resumen!$C$5,B1623&lt;=DATE(2027,7,31)),1,0)</f>
        <v>0</v>
      </c>
    </row>
    <row r="1624" customFormat="false" ht="15" hidden="false" customHeight="false" outlineLevel="0" collapsed="false">
      <c r="A1624" s="22" t="n">
        <v>22</v>
      </c>
      <c r="B1624" s="23" t="n">
        <v>47140</v>
      </c>
      <c r="C1624" s="28" t="n">
        <v>288933904.506916</v>
      </c>
      <c r="D1624" s="28" t="n">
        <v>9214245.56945471</v>
      </c>
      <c r="E1624" s="28" t="n">
        <v>88066057.3881241</v>
      </c>
      <c r="F1624" s="28" t="n">
        <v>97280302.9575788</v>
      </c>
      <c r="G1624" s="28" t="n">
        <v>200867847.118792</v>
      </c>
      <c r="H1624" s="25" t="n">
        <f aca="false">J1623</f>
        <v>288933904.506916</v>
      </c>
      <c r="I1624" s="25" t="n">
        <f aca="false">H1624*N1624</f>
        <v>9214245.5694547</v>
      </c>
      <c r="J1624" s="25" t="n">
        <f aca="false">H1624+I1624-F1624</f>
        <v>200867847.118792</v>
      </c>
      <c r="K1624" s="25" t="n">
        <f aca="false">D1624-I1624</f>
        <v>0</v>
      </c>
      <c r="L1624" s="25" t="n">
        <f aca="false">G1624-J1624</f>
        <v>0</v>
      </c>
      <c r="M1624" s="25" t="n">
        <f aca="false">F1624</f>
        <v>97280302.9575788</v>
      </c>
      <c r="N1624" s="49" t="n">
        <f aca="false">$C$1597</f>
        <v>0.0318904961505968</v>
      </c>
      <c r="O1624" s="25" t="n">
        <f aca="false">IF(AND(B1624&gt;=DATE(2026,1,1),B1624&lt;=Resumen!$C$5),1,0)</f>
        <v>0</v>
      </c>
      <c r="P1624" s="25" t="n">
        <f aca="false">IF(AND(B1624&gt;Resumen!$C$5,B1624&lt;=DATE(2027,7,31)),1,0)</f>
        <v>0</v>
      </c>
    </row>
    <row r="1625" customFormat="false" ht="15" hidden="false" customHeight="false" outlineLevel="0" collapsed="false">
      <c r="A1625" s="22" t="n">
        <v>23</v>
      </c>
      <c r="B1625" s="23" t="n">
        <v>47230</v>
      </c>
      <c r="C1625" s="28" t="n">
        <v>200867847.118792</v>
      </c>
      <c r="D1625" s="28" t="n">
        <v>6405775.3053205</v>
      </c>
      <c r="E1625" s="28" t="n">
        <v>90874527.6522583</v>
      </c>
      <c r="F1625" s="28" t="n">
        <v>97280302.9575788</v>
      </c>
      <c r="G1625" s="28" t="n">
        <v>109993319.466533</v>
      </c>
      <c r="H1625" s="25" t="n">
        <f aca="false">J1624</f>
        <v>200867847.118792</v>
      </c>
      <c r="I1625" s="25" t="n">
        <f aca="false">H1625*N1625</f>
        <v>6405775.30532049</v>
      </c>
      <c r="J1625" s="25" t="n">
        <f aca="false">H1625+I1625-F1625</f>
        <v>109993319.466533</v>
      </c>
      <c r="K1625" s="25" t="n">
        <f aca="false">D1625-I1625</f>
        <v>0</v>
      </c>
      <c r="L1625" s="25" t="n">
        <f aca="false">G1625-J1625</f>
        <v>0</v>
      </c>
      <c r="M1625" s="25" t="n">
        <f aca="false">F1625</f>
        <v>97280302.9575788</v>
      </c>
      <c r="N1625" s="49" t="n">
        <f aca="false">$C$1597</f>
        <v>0.0318904961505968</v>
      </c>
      <c r="O1625" s="25" t="n">
        <f aca="false">IF(AND(B1625&gt;=DATE(2026,1,1),B1625&lt;=Resumen!$C$5),1,0)</f>
        <v>0</v>
      </c>
      <c r="P1625" s="25" t="n">
        <f aca="false">IF(AND(B1625&gt;Resumen!$C$5,B1625&lt;=DATE(2027,7,31)),1,0)</f>
        <v>0</v>
      </c>
    </row>
    <row r="1626" customFormat="false" ht="15" hidden="false" customHeight="false" outlineLevel="0" collapsed="false">
      <c r="A1626" s="22" t="n">
        <v>24</v>
      </c>
      <c r="B1626" s="23" t="n">
        <v>47321</v>
      </c>
      <c r="C1626" s="28" t="n">
        <v>109993319.466533</v>
      </c>
      <c r="D1626" s="28" t="n">
        <v>3507741.53103885</v>
      </c>
      <c r="E1626" s="28" t="n">
        <v>109993319.46654</v>
      </c>
      <c r="F1626" s="28" t="n">
        <v>113501060.997579</v>
      </c>
      <c r="G1626" s="28" t="n">
        <v>-6.54160976409912E-006</v>
      </c>
      <c r="H1626" s="25" t="n">
        <f aca="false">J1625</f>
        <v>109993319.466533</v>
      </c>
      <c r="I1626" s="25" t="n">
        <f aca="false">H1626*N1626</f>
        <v>3507741.53103884</v>
      </c>
      <c r="J1626" s="25" t="n">
        <f aca="false">H1626+I1626-F1626</f>
        <v>-6.73532485961914E-006</v>
      </c>
      <c r="K1626" s="25" t="n">
        <f aca="false">D1626-I1626</f>
        <v>0</v>
      </c>
      <c r="L1626" s="25" t="n">
        <f aca="false">G1626-J1626</f>
        <v>1.9371509552002E-007</v>
      </c>
      <c r="M1626" s="25" t="n">
        <f aca="false">F1626</f>
        <v>113501060.997579</v>
      </c>
      <c r="N1626" s="49" t="n">
        <f aca="false">$C$1597</f>
        <v>0.0318904961505968</v>
      </c>
      <c r="O1626" s="25" t="n">
        <f aca="false">IF(AND(B1626&gt;=DATE(2026,1,1),B1626&lt;=Resumen!$C$5),1,0)</f>
        <v>0</v>
      </c>
      <c r="P1626" s="25" t="n">
        <f aca="false">IF(AND(B1626&gt;Resumen!$C$5,B1626&lt;=DATE(2027,7,31)),1,0)</f>
        <v>0</v>
      </c>
    </row>
    <row r="1629" customFormat="false" ht="15" hidden="false" customHeight="false" outlineLevel="0" collapsed="false">
      <c r="A1629" s="33" t="s">
        <v>888</v>
      </c>
    </row>
    <row r="1630" customFormat="false" ht="15" hidden="false" customHeight="false" outlineLevel="0" collapsed="false">
      <c r="A1630" s="34" t="s">
        <v>889</v>
      </c>
    </row>
    <row r="1631" customFormat="false" ht="15" hidden="false" customHeight="false" outlineLevel="0" collapsed="false">
      <c r="A1631" s="19" t="s">
        <v>890</v>
      </c>
    </row>
    <row r="1632" customFormat="false" ht="15" hidden="false" customHeight="false" outlineLevel="0" collapsed="false">
      <c r="A1632" s="20" t="s">
        <v>891</v>
      </c>
    </row>
    <row r="1633" customFormat="false" ht="15" hidden="false" customHeight="false" outlineLevel="0" collapsed="false">
      <c r="A1633" s="29" t="s">
        <v>773</v>
      </c>
      <c r="C1633" s="22" t="s">
        <v>892</v>
      </c>
      <c r="F1633" s="47" t="s">
        <v>775</v>
      </c>
    </row>
    <row r="1634" customFormat="false" ht="15" hidden="false" customHeight="false" outlineLevel="0" collapsed="false">
      <c r="A1634" s="29" t="s">
        <v>640</v>
      </c>
      <c r="C1634" s="28" t="n">
        <v>2300000000</v>
      </c>
      <c r="F1634" s="22" t="s">
        <v>776</v>
      </c>
      <c r="I1634" s="41" t="n">
        <f aca="false">_xlfn.MAXIFS($B$1642:$B$1702,$B$1642:$B$1702,"&lt;="&amp;Resumen!$C$5)</f>
        <v>46220</v>
      </c>
    </row>
    <row r="1635" customFormat="false" ht="15" hidden="false" customHeight="false" outlineLevel="0" collapsed="false">
      <c r="A1635" s="29" t="s">
        <v>641</v>
      </c>
      <c r="C1635" s="23" t="n">
        <v>44547</v>
      </c>
      <c r="F1635" s="22" t="s">
        <v>777</v>
      </c>
      <c r="I1635" s="25" t="n">
        <f aca="false">SUMIFS($G$1642:$G$1702,$B$1642:$B$1702,I1634)</f>
        <v>287500000</v>
      </c>
    </row>
    <row r="1636" customFormat="false" ht="15" hidden="false" customHeight="false" outlineLevel="0" collapsed="false">
      <c r="A1636" s="29" t="s">
        <v>778</v>
      </c>
      <c r="C1636" s="22" t="s">
        <v>893</v>
      </c>
      <c r="F1636" s="22" t="s">
        <v>780</v>
      </c>
      <c r="I1636" s="25" t="n">
        <f aca="false">SUMIFS($J$1642:$J$1702,$B$1642:$B$1702,I1634)</f>
        <v>287500000</v>
      </c>
    </row>
    <row r="1637" customFormat="false" ht="15" hidden="false" customHeight="false" outlineLevel="0" collapsed="false">
      <c r="A1637" s="29" t="s">
        <v>781</v>
      </c>
      <c r="C1637" s="48" t="s">
        <v>818</v>
      </c>
      <c r="F1637" s="22" t="s">
        <v>650</v>
      </c>
      <c r="I1637" s="25" t="n">
        <f aca="false">SUMIFS($D$1642:$D$1702,$O$1642:$O$1702,1)</f>
        <v>36715666.6666667</v>
      </c>
    </row>
    <row r="1638" customFormat="false" ht="15" hidden="false" customHeight="false" outlineLevel="0" collapsed="false">
      <c r="A1638" s="29" t="s">
        <v>782</v>
      </c>
      <c r="C1638" s="49" t="str">
        <f aca="false">IFERROR(IRR($M$1642:$M$1702),"N/A")</f>
        <v>N/A</v>
      </c>
      <c r="F1638" s="22" t="s">
        <v>783</v>
      </c>
      <c r="I1638" s="25" t="n">
        <f aca="false">SUMIFS($E$1642:$E$1702,$P$1642:$P$1702,1)</f>
        <v>287500000</v>
      </c>
    </row>
    <row r="1639" customFormat="false" ht="15" hidden="false" customHeight="false" outlineLevel="0" collapsed="false">
      <c r="A1639" s="29" t="s">
        <v>784</v>
      </c>
      <c r="C1639" s="50" t="str">
        <f aca="false">IF(ISNUMBER(C1638),(1+C1638)^12-1,"N/A")</f>
        <v>N/A</v>
      </c>
      <c r="F1639" s="22" t="s">
        <v>785</v>
      </c>
      <c r="I1639" s="25" t="n">
        <f aca="false">SUMPRODUCT(MAX(ABS($L$1642:$L$1702)))</f>
        <v>0</v>
      </c>
    </row>
    <row r="1641" customFormat="false" ht="36" hidden="false" customHeight="true" outlineLevel="0" collapsed="false">
      <c r="A1641" s="27" t="s">
        <v>786</v>
      </c>
      <c r="B1641" s="27" t="s">
        <v>396</v>
      </c>
      <c r="C1641" s="27" t="s">
        <v>787</v>
      </c>
      <c r="D1641" s="27" t="s">
        <v>788</v>
      </c>
      <c r="E1641" s="27" t="s">
        <v>789</v>
      </c>
      <c r="F1641" s="27" t="s">
        <v>790</v>
      </c>
      <c r="G1641" s="27" t="s">
        <v>791</v>
      </c>
      <c r="H1641" s="27" t="s">
        <v>792</v>
      </c>
      <c r="I1641" s="27" t="s">
        <v>793</v>
      </c>
      <c r="J1641" s="27" t="s">
        <v>794</v>
      </c>
      <c r="K1641" s="27" t="s">
        <v>795</v>
      </c>
      <c r="L1641" s="27" t="s">
        <v>796</v>
      </c>
      <c r="M1641" s="27" t="s">
        <v>797</v>
      </c>
      <c r="N1641" s="27" t="s">
        <v>798</v>
      </c>
      <c r="O1641" s="27" t="s">
        <v>799</v>
      </c>
      <c r="P1641" s="27" t="s">
        <v>800</v>
      </c>
    </row>
    <row r="1642" customFormat="false" ht="15" hidden="false" customHeight="false" outlineLevel="0" collapsed="false">
      <c r="A1642" s="22" t="n">
        <v>0</v>
      </c>
      <c r="B1642" s="23" t="n">
        <v>44547</v>
      </c>
      <c r="C1642" s="28" t="n">
        <v>2300000000</v>
      </c>
      <c r="D1642" s="28" t="n">
        <v>0</v>
      </c>
      <c r="E1642" s="28" t="n">
        <v>0</v>
      </c>
      <c r="F1642" s="28" t="n">
        <v>0</v>
      </c>
      <c r="G1642" s="28" t="n">
        <v>2300000000</v>
      </c>
      <c r="H1642" s="25" t="n">
        <f aca="false">C1642</f>
        <v>2300000000</v>
      </c>
      <c r="I1642" s="25" t="n">
        <f aca="false">H1642*N1642</f>
        <v>11289166.6666667</v>
      </c>
      <c r="J1642" s="25" t="n">
        <f aca="false">H1642-E1642</f>
        <v>2300000000</v>
      </c>
      <c r="K1642" s="25" t="n">
        <f aca="false">D1642-I1642</f>
        <v>-11289166.6666667</v>
      </c>
      <c r="L1642" s="25" t="n">
        <f aca="false">G1642-J1642</f>
        <v>0</v>
      </c>
      <c r="M1642" s="25" t="n">
        <f aca="false">-$C$1634</f>
        <v>-2300000000</v>
      </c>
      <c r="N1642" s="48" t="n">
        <v>0.00490833333333333</v>
      </c>
      <c r="O1642" s="25" t="n">
        <f aca="false">IF(AND(B1642&gt;=DATE(2026,1,1),B1642&lt;=Resumen!$C$5),1,0)</f>
        <v>0</v>
      </c>
      <c r="P1642" s="25" t="n">
        <f aca="false">IF(AND(B1642&gt;Resumen!$C$5,B1642&lt;=DATE(2027,7,31)),1,0)</f>
        <v>0</v>
      </c>
    </row>
    <row r="1643" customFormat="false" ht="15" hidden="false" customHeight="false" outlineLevel="0" collapsed="false">
      <c r="A1643" s="22" t="n">
        <v>1</v>
      </c>
      <c r="B1643" s="23" t="n">
        <v>44578</v>
      </c>
      <c r="C1643" s="28" t="n">
        <v>2300000000</v>
      </c>
      <c r="D1643" s="28" t="n">
        <v>12784166.6666667</v>
      </c>
      <c r="E1643" s="28" t="n">
        <v>0</v>
      </c>
      <c r="F1643" s="28" t="n">
        <v>12784166.6666667</v>
      </c>
      <c r="G1643" s="28" t="n">
        <v>2300000000</v>
      </c>
      <c r="H1643" s="25" t="n">
        <f aca="false">J1642</f>
        <v>2300000000</v>
      </c>
      <c r="I1643" s="25" t="n">
        <f aca="false">H1643*N1643</f>
        <v>12784166.6666667</v>
      </c>
      <c r="J1643" s="25" t="n">
        <f aca="false">H1643-E1643</f>
        <v>2300000000</v>
      </c>
      <c r="K1643" s="25" t="n">
        <f aca="false">D1643-I1643</f>
        <v>0</v>
      </c>
      <c r="L1643" s="25" t="n">
        <f aca="false">G1643-J1643</f>
        <v>0</v>
      </c>
      <c r="M1643" s="25" t="n">
        <f aca="false">F1643</f>
        <v>12784166.6666667</v>
      </c>
      <c r="N1643" s="48" t="n">
        <v>0.00555833333333333</v>
      </c>
      <c r="O1643" s="25" t="n">
        <f aca="false">IF(AND(B1643&gt;=DATE(2026,1,1),B1643&lt;=Resumen!$C$5),1,0)</f>
        <v>0</v>
      </c>
      <c r="P1643" s="25" t="n">
        <f aca="false">IF(AND(B1643&gt;Resumen!$C$5,B1643&lt;=DATE(2027,7,31)),1,0)</f>
        <v>0</v>
      </c>
    </row>
    <row r="1644" customFormat="false" ht="15" hidden="false" customHeight="false" outlineLevel="0" collapsed="false">
      <c r="A1644" s="22" t="n">
        <v>2</v>
      </c>
      <c r="B1644" s="23" t="n">
        <v>44609</v>
      </c>
      <c r="C1644" s="28" t="n">
        <v>2300000000</v>
      </c>
      <c r="D1644" s="28" t="n">
        <v>15914083.3333333</v>
      </c>
      <c r="E1644" s="28" t="n">
        <v>0</v>
      </c>
      <c r="F1644" s="28" t="n">
        <v>15914083.3333333</v>
      </c>
      <c r="G1644" s="28" t="n">
        <v>2300000000</v>
      </c>
      <c r="H1644" s="25" t="n">
        <f aca="false">J1643</f>
        <v>2300000000</v>
      </c>
      <c r="I1644" s="25" t="n">
        <f aca="false">H1644*N1644</f>
        <v>15914083.3333333</v>
      </c>
      <c r="J1644" s="25" t="n">
        <f aca="false">H1644-E1644</f>
        <v>2300000000</v>
      </c>
      <c r="K1644" s="25" t="n">
        <f aca="false">D1644-I1644</f>
        <v>0</v>
      </c>
      <c r="L1644" s="25" t="n">
        <f aca="false">G1644-J1644</f>
        <v>0</v>
      </c>
      <c r="M1644" s="25" t="n">
        <f aca="false">F1644</f>
        <v>15914083.3333333</v>
      </c>
      <c r="N1644" s="48" t="n">
        <v>0.00691916666666667</v>
      </c>
      <c r="O1644" s="25" t="n">
        <f aca="false">IF(AND(B1644&gt;=DATE(2026,1,1),B1644&lt;=Resumen!$C$5),1,0)</f>
        <v>0</v>
      </c>
      <c r="P1644" s="25" t="n">
        <f aca="false">IF(AND(B1644&gt;Resumen!$C$5,B1644&lt;=DATE(2027,7,31)),1,0)</f>
        <v>0</v>
      </c>
    </row>
    <row r="1645" customFormat="false" ht="15" hidden="false" customHeight="false" outlineLevel="0" collapsed="false">
      <c r="A1645" s="22" t="n">
        <v>3</v>
      </c>
      <c r="B1645" s="23" t="n">
        <v>44637</v>
      </c>
      <c r="C1645" s="28" t="n">
        <v>2300000000</v>
      </c>
      <c r="D1645" s="28" t="n">
        <v>16092333.3333333</v>
      </c>
      <c r="E1645" s="28" t="n">
        <v>0</v>
      </c>
      <c r="F1645" s="28" t="n">
        <v>16092333.3333333</v>
      </c>
      <c r="G1645" s="28" t="n">
        <v>2300000000</v>
      </c>
      <c r="H1645" s="25" t="n">
        <f aca="false">J1644</f>
        <v>2300000000</v>
      </c>
      <c r="I1645" s="25" t="n">
        <f aca="false">H1645*N1645</f>
        <v>16092333.3333333</v>
      </c>
      <c r="J1645" s="25" t="n">
        <f aca="false">H1645-E1645</f>
        <v>2300000000</v>
      </c>
      <c r="K1645" s="25" t="n">
        <f aca="false">D1645-I1645</f>
        <v>0</v>
      </c>
      <c r="L1645" s="25" t="n">
        <f aca="false">G1645-J1645</f>
        <v>0</v>
      </c>
      <c r="M1645" s="25" t="n">
        <f aca="false">F1645</f>
        <v>16092333.3333333</v>
      </c>
      <c r="N1645" s="48" t="n">
        <v>0.00699666666666667</v>
      </c>
      <c r="O1645" s="25" t="n">
        <f aca="false">IF(AND(B1645&gt;=DATE(2026,1,1),B1645&lt;=Resumen!$C$5),1,0)</f>
        <v>0</v>
      </c>
      <c r="P1645" s="25" t="n">
        <f aca="false">IF(AND(B1645&gt;Resumen!$C$5,B1645&lt;=DATE(2027,7,31)),1,0)</f>
        <v>0</v>
      </c>
    </row>
    <row r="1646" customFormat="false" ht="15" hidden="false" customHeight="false" outlineLevel="0" collapsed="false">
      <c r="A1646" s="22" t="n">
        <v>4</v>
      </c>
      <c r="B1646" s="23" t="n">
        <v>44668</v>
      </c>
      <c r="C1646" s="28" t="n">
        <v>2300000000</v>
      </c>
      <c r="D1646" s="28" t="n">
        <v>17771333.3333333</v>
      </c>
      <c r="E1646" s="28" t="n">
        <v>0</v>
      </c>
      <c r="F1646" s="28" t="n">
        <v>17771333.3333333</v>
      </c>
      <c r="G1646" s="28" t="n">
        <v>2300000000</v>
      </c>
      <c r="H1646" s="25" t="n">
        <f aca="false">J1645</f>
        <v>2300000000</v>
      </c>
      <c r="I1646" s="25" t="n">
        <f aca="false">H1646*N1646</f>
        <v>17771333.3333333</v>
      </c>
      <c r="J1646" s="25" t="n">
        <f aca="false">H1646-E1646</f>
        <v>2300000000</v>
      </c>
      <c r="K1646" s="25" t="n">
        <f aca="false">D1646-I1646</f>
        <v>0</v>
      </c>
      <c r="L1646" s="25" t="n">
        <f aca="false">G1646-J1646</f>
        <v>0</v>
      </c>
      <c r="M1646" s="25" t="n">
        <f aca="false">F1646</f>
        <v>17771333.3333333</v>
      </c>
      <c r="N1646" s="48" t="n">
        <v>0.00772666666666667</v>
      </c>
      <c r="O1646" s="25" t="n">
        <f aca="false">IF(AND(B1646&gt;=DATE(2026,1,1),B1646&lt;=Resumen!$C$5),1,0)</f>
        <v>0</v>
      </c>
      <c r="P1646" s="25" t="n">
        <f aca="false">IF(AND(B1646&gt;Resumen!$C$5,B1646&lt;=DATE(2027,7,31)),1,0)</f>
        <v>0</v>
      </c>
    </row>
    <row r="1647" customFormat="false" ht="15" hidden="false" customHeight="false" outlineLevel="0" collapsed="false">
      <c r="A1647" s="22" t="n">
        <v>5</v>
      </c>
      <c r="B1647" s="23" t="n">
        <v>44698</v>
      </c>
      <c r="C1647" s="28" t="n">
        <v>2300000000</v>
      </c>
      <c r="D1647" s="28" t="n">
        <v>18419166.6666667</v>
      </c>
      <c r="E1647" s="28" t="n">
        <v>0</v>
      </c>
      <c r="F1647" s="28" t="n">
        <v>18419166.6666667</v>
      </c>
      <c r="G1647" s="28" t="n">
        <v>2300000000</v>
      </c>
      <c r="H1647" s="25" t="n">
        <f aca="false">J1646</f>
        <v>2300000000</v>
      </c>
      <c r="I1647" s="25" t="n">
        <f aca="false">H1647*N1647</f>
        <v>18419166.6666667</v>
      </c>
      <c r="J1647" s="25" t="n">
        <f aca="false">H1647-E1647</f>
        <v>2300000000</v>
      </c>
      <c r="K1647" s="25" t="n">
        <f aca="false">D1647-I1647</f>
        <v>0</v>
      </c>
      <c r="L1647" s="25" t="n">
        <f aca="false">G1647-J1647</f>
        <v>0</v>
      </c>
      <c r="M1647" s="25" t="n">
        <f aca="false">F1647</f>
        <v>18419166.6666667</v>
      </c>
      <c r="N1647" s="48" t="n">
        <v>0.00800833333333333</v>
      </c>
      <c r="O1647" s="25" t="n">
        <f aca="false">IF(AND(B1647&gt;=DATE(2026,1,1),B1647&lt;=Resumen!$C$5),1,0)</f>
        <v>0</v>
      </c>
      <c r="P1647" s="25" t="n">
        <f aca="false">IF(AND(B1647&gt;Resumen!$C$5,B1647&lt;=DATE(2027,7,31)),1,0)</f>
        <v>0</v>
      </c>
    </row>
    <row r="1648" customFormat="false" ht="15" hidden="false" customHeight="false" outlineLevel="0" collapsed="false">
      <c r="A1648" s="22" t="n">
        <v>6</v>
      </c>
      <c r="B1648" s="23" t="n">
        <v>44729</v>
      </c>
      <c r="C1648" s="28" t="n">
        <v>2300000000</v>
      </c>
      <c r="D1648" s="28" t="n">
        <v>18419166.6666667</v>
      </c>
      <c r="E1648" s="28" t="n">
        <v>0</v>
      </c>
      <c r="F1648" s="28" t="n">
        <v>18419166.6666667</v>
      </c>
      <c r="G1648" s="28" t="n">
        <v>2300000000</v>
      </c>
      <c r="H1648" s="25" t="n">
        <f aca="false">J1647</f>
        <v>2300000000</v>
      </c>
      <c r="I1648" s="25" t="n">
        <f aca="false">H1648*N1648</f>
        <v>18419166.6666667</v>
      </c>
      <c r="J1648" s="25" t="n">
        <f aca="false">H1648-E1648</f>
        <v>2300000000</v>
      </c>
      <c r="K1648" s="25" t="n">
        <f aca="false">D1648-I1648</f>
        <v>0</v>
      </c>
      <c r="L1648" s="25" t="n">
        <f aca="false">G1648-J1648</f>
        <v>0</v>
      </c>
      <c r="M1648" s="25" t="n">
        <f aca="false">F1648</f>
        <v>18419166.6666667</v>
      </c>
      <c r="N1648" s="48" t="n">
        <v>0.00800833333333333</v>
      </c>
      <c r="O1648" s="25" t="n">
        <f aca="false">IF(AND(B1648&gt;=DATE(2026,1,1),B1648&lt;=Resumen!$C$5),1,0)</f>
        <v>0</v>
      </c>
      <c r="P1648" s="25" t="n">
        <f aca="false">IF(AND(B1648&gt;Resumen!$C$5,B1648&lt;=DATE(2027,7,31)),1,0)</f>
        <v>0</v>
      </c>
    </row>
    <row r="1649" customFormat="false" ht="15" hidden="false" customHeight="false" outlineLevel="0" collapsed="false">
      <c r="A1649" s="22" t="n">
        <v>7</v>
      </c>
      <c r="B1649" s="23" t="n">
        <v>44759</v>
      </c>
      <c r="C1649" s="28" t="n">
        <v>2300000000</v>
      </c>
      <c r="D1649" s="28" t="n">
        <v>22394333.3333333</v>
      </c>
      <c r="E1649" s="28" t="n">
        <v>0</v>
      </c>
      <c r="F1649" s="28" t="n">
        <v>22394333.3333333</v>
      </c>
      <c r="G1649" s="28" t="n">
        <v>2300000000</v>
      </c>
      <c r="H1649" s="25" t="n">
        <f aca="false">J1648</f>
        <v>2300000000</v>
      </c>
      <c r="I1649" s="25" t="n">
        <f aca="false">H1649*N1649</f>
        <v>22394333.3333333</v>
      </c>
      <c r="J1649" s="25" t="n">
        <f aca="false">H1649-E1649</f>
        <v>2300000000</v>
      </c>
      <c r="K1649" s="25" t="n">
        <f aca="false">D1649-I1649</f>
        <v>0</v>
      </c>
      <c r="L1649" s="25" t="n">
        <f aca="false">G1649-J1649</f>
        <v>0</v>
      </c>
      <c r="M1649" s="25" t="n">
        <f aca="false">F1649</f>
        <v>22394333.3333333</v>
      </c>
      <c r="N1649" s="48" t="n">
        <v>0.00973666666666667</v>
      </c>
      <c r="O1649" s="25" t="n">
        <f aca="false">IF(AND(B1649&gt;=DATE(2026,1,1),B1649&lt;=Resumen!$C$5),1,0)</f>
        <v>0</v>
      </c>
      <c r="P1649" s="25" t="n">
        <f aca="false">IF(AND(B1649&gt;Resumen!$C$5,B1649&lt;=DATE(2027,7,31)),1,0)</f>
        <v>0</v>
      </c>
    </row>
    <row r="1650" customFormat="false" ht="15" hidden="false" customHeight="false" outlineLevel="0" collapsed="false">
      <c r="A1650" s="22" t="n">
        <v>8</v>
      </c>
      <c r="B1650" s="23" t="n">
        <v>44790</v>
      </c>
      <c r="C1650" s="28" t="n">
        <v>2300000000</v>
      </c>
      <c r="D1650" s="28" t="n">
        <v>23718750</v>
      </c>
      <c r="E1650" s="28" t="n">
        <v>0</v>
      </c>
      <c r="F1650" s="28" t="n">
        <v>23718750</v>
      </c>
      <c r="G1650" s="28" t="n">
        <v>2300000000</v>
      </c>
      <c r="H1650" s="25" t="n">
        <f aca="false">J1649</f>
        <v>2300000000</v>
      </c>
      <c r="I1650" s="25" t="n">
        <f aca="false">H1650*N1650</f>
        <v>23718750</v>
      </c>
      <c r="J1650" s="25" t="n">
        <f aca="false">H1650-E1650</f>
        <v>2300000000</v>
      </c>
      <c r="K1650" s="25" t="n">
        <f aca="false">D1650-I1650</f>
        <v>0</v>
      </c>
      <c r="L1650" s="25" t="n">
        <f aca="false">G1650-J1650</f>
        <v>0</v>
      </c>
      <c r="M1650" s="25" t="n">
        <f aca="false">F1650</f>
        <v>23718750</v>
      </c>
      <c r="N1650" s="48" t="n">
        <v>0.0103125</v>
      </c>
      <c r="O1650" s="25" t="n">
        <f aca="false">IF(AND(B1650&gt;=DATE(2026,1,1),B1650&lt;=Resumen!$C$5),1,0)</f>
        <v>0</v>
      </c>
      <c r="P1650" s="25" t="n">
        <f aca="false">IF(AND(B1650&gt;Resumen!$C$5,B1650&lt;=DATE(2027,7,31)),1,0)</f>
        <v>0</v>
      </c>
    </row>
    <row r="1651" customFormat="false" ht="15" hidden="false" customHeight="false" outlineLevel="0" collapsed="false">
      <c r="A1651" s="22" t="n">
        <v>9</v>
      </c>
      <c r="B1651" s="23" t="n">
        <v>44821</v>
      </c>
      <c r="C1651" s="28" t="n">
        <v>2300000000</v>
      </c>
      <c r="D1651" s="28" t="n">
        <v>24941583.3333333</v>
      </c>
      <c r="E1651" s="28" t="n">
        <v>0</v>
      </c>
      <c r="F1651" s="28" t="n">
        <v>24941583.3333333</v>
      </c>
      <c r="G1651" s="28" t="n">
        <v>2300000000</v>
      </c>
      <c r="H1651" s="25" t="n">
        <f aca="false">J1650</f>
        <v>2300000000</v>
      </c>
      <c r="I1651" s="25" t="n">
        <f aca="false">H1651*N1651</f>
        <v>24941583.3333333</v>
      </c>
      <c r="J1651" s="25" t="n">
        <f aca="false">H1651-E1651</f>
        <v>2300000000</v>
      </c>
      <c r="K1651" s="25" t="n">
        <f aca="false">D1651-I1651</f>
        <v>0</v>
      </c>
      <c r="L1651" s="25" t="n">
        <f aca="false">G1651-J1651</f>
        <v>0</v>
      </c>
      <c r="M1651" s="25" t="n">
        <f aca="false">F1651</f>
        <v>24941583.3333333</v>
      </c>
      <c r="N1651" s="48" t="n">
        <v>0.0108441666666667</v>
      </c>
      <c r="O1651" s="25" t="n">
        <f aca="false">IF(AND(B1651&gt;=DATE(2026,1,1),B1651&lt;=Resumen!$C$5),1,0)</f>
        <v>0</v>
      </c>
      <c r="P1651" s="25" t="n">
        <f aca="false">IF(AND(B1651&gt;Resumen!$C$5,B1651&lt;=DATE(2027,7,31)),1,0)</f>
        <v>0</v>
      </c>
    </row>
    <row r="1652" customFormat="false" ht="15" hidden="false" customHeight="false" outlineLevel="0" collapsed="false">
      <c r="A1652" s="22" t="n">
        <v>10</v>
      </c>
      <c r="B1652" s="23" t="n">
        <v>44851</v>
      </c>
      <c r="C1652" s="28" t="n">
        <v>2300000000</v>
      </c>
      <c r="D1652" s="28" t="n">
        <v>26553500</v>
      </c>
      <c r="E1652" s="28" t="n">
        <v>0</v>
      </c>
      <c r="F1652" s="28" t="n">
        <v>26553500</v>
      </c>
      <c r="G1652" s="28" t="n">
        <v>2300000000</v>
      </c>
      <c r="H1652" s="25" t="n">
        <f aca="false">J1651</f>
        <v>2300000000</v>
      </c>
      <c r="I1652" s="25" t="n">
        <f aca="false">H1652*N1652</f>
        <v>26553500</v>
      </c>
      <c r="J1652" s="25" t="n">
        <f aca="false">H1652-E1652</f>
        <v>2300000000</v>
      </c>
      <c r="K1652" s="25" t="n">
        <f aca="false">D1652-I1652</f>
        <v>0</v>
      </c>
      <c r="L1652" s="25" t="n">
        <f aca="false">G1652-J1652</f>
        <v>0</v>
      </c>
      <c r="M1652" s="25" t="n">
        <f aca="false">F1652</f>
        <v>26553500</v>
      </c>
      <c r="N1652" s="48" t="n">
        <v>0.011545</v>
      </c>
      <c r="O1652" s="25" t="n">
        <f aca="false">IF(AND(B1652&gt;=DATE(2026,1,1),B1652&lt;=Resumen!$C$5),1,0)</f>
        <v>0</v>
      </c>
      <c r="P1652" s="25" t="n">
        <f aca="false">IF(AND(B1652&gt;Resumen!$C$5,B1652&lt;=DATE(2027,7,31)),1,0)</f>
        <v>0</v>
      </c>
    </row>
    <row r="1653" customFormat="false" ht="15" hidden="false" customHeight="false" outlineLevel="0" collapsed="false">
      <c r="A1653" s="22" t="n">
        <v>11</v>
      </c>
      <c r="B1653" s="23" t="n">
        <v>44882</v>
      </c>
      <c r="C1653" s="28" t="n">
        <v>2300000000</v>
      </c>
      <c r="D1653" s="28" t="n">
        <v>27067166.6666667</v>
      </c>
      <c r="E1653" s="28" t="n">
        <v>0</v>
      </c>
      <c r="F1653" s="28" t="n">
        <v>27067166.6666667</v>
      </c>
      <c r="G1653" s="28" t="n">
        <v>2300000000</v>
      </c>
      <c r="H1653" s="25" t="n">
        <f aca="false">J1652</f>
        <v>2300000000</v>
      </c>
      <c r="I1653" s="25" t="n">
        <f aca="false">H1653*N1653</f>
        <v>27067166.6666667</v>
      </c>
      <c r="J1653" s="25" t="n">
        <f aca="false">H1653-E1653</f>
        <v>2300000000</v>
      </c>
      <c r="K1653" s="25" t="n">
        <f aca="false">D1653-I1653</f>
        <v>0</v>
      </c>
      <c r="L1653" s="25" t="n">
        <f aca="false">G1653-J1653</f>
        <v>0</v>
      </c>
      <c r="M1653" s="25" t="n">
        <f aca="false">F1653</f>
        <v>27067166.6666667</v>
      </c>
      <c r="N1653" s="48" t="n">
        <v>0.0117683333333333</v>
      </c>
      <c r="O1653" s="25" t="n">
        <f aca="false">IF(AND(B1653&gt;=DATE(2026,1,1),B1653&lt;=Resumen!$C$5),1,0)</f>
        <v>0</v>
      </c>
      <c r="P1653" s="25" t="n">
        <f aca="false">IF(AND(B1653&gt;Resumen!$C$5,B1653&lt;=DATE(2027,7,31)),1,0)</f>
        <v>0</v>
      </c>
    </row>
    <row r="1654" customFormat="false" ht="15" hidden="false" customHeight="false" outlineLevel="0" collapsed="false">
      <c r="A1654" s="22" t="n">
        <v>12</v>
      </c>
      <c r="B1654" s="23" t="n">
        <v>44912</v>
      </c>
      <c r="C1654" s="28" t="n">
        <v>2300000000</v>
      </c>
      <c r="D1654" s="28" t="n">
        <v>28288083.3333333</v>
      </c>
      <c r="E1654" s="28" t="n">
        <v>0</v>
      </c>
      <c r="F1654" s="28" t="n">
        <v>28288083.3333333</v>
      </c>
      <c r="G1654" s="28" t="n">
        <v>2300000000</v>
      </c>
      <c r="H1654" s="25" t="n">
        <f aca="false">J1653</f>
        <v>2300000000</v>
      </c>
      <c r="I1654" s="25" t="n">
        <f aca="false">H1654*N1654</f>
        <v>28288083.3333333</v>
      </c>
      <c r="J1654" s="25" t="n">
        <f aca="false">H1654-E1654</f>
        <v>2300000000</v>
      </c>
      <c r="K1654" s="25" t="n">
        <f aca="false">D1654-I1654</f>
        <v>0</v>
      </c>
      <c r="L1654" s="25" t="n">
        <f aca="false">G1654-J1654</f>
        <v>0</v>
      </c>
      <c r="M1654" s="25" t="n">
        <f aca="false">F1654</f>
        <v>28288083.3333333</v>
      </c>
      <c r="N1654" s="48" t="n">
        <v>0.0122991666666667</v>
      </c>
      <c r="O1654" s="25" t="n">
        <f aca="false">IF(AND(B1654&gt;=DATE(2026,1,1),B1654&lt;=Resumen!$C$5),1,0)</f>
        <v>0</v>
      </c>
      <c r="P1654" s="25" t="n">
        <f aca="false">IF(AND(B1654&gt;Resumen!$C$5,B1654&lt;=DATE(2027,7,31)),1,0)</f>
        <v>0</v>
      </c>
    </row>
    <row r="1655" customFormat="false" ht="15" hidden="false" customHeight="false" outlineLevel="0" collapsed="false">
      <c r="A1655" s="22" t="n">
        <v>13</v>
      </c>
      <c r="B1655" s="23" t="n">
        <v>44943</v>
      </c>
      <c r="C1655" s="28" t="n">
        <v>2300000000</v>
      </c>
      <c r="D1655" s="28" t="n">
        <v>29198500</v>
      </c>
      <c r="E1655" s="28" t="n">
        <v>0</v>
      </c>
      <c r="F1655" s="28" t="n">
        <v>29198500</v>
      </c>
      <c r="G1655" s="28" t="n">
        <v>2300000000</v>
      </c>
      <c r="H1655" s="25" t="n">
        <f aca="false">J1654</f>
        <v>2300000000</v>
      </c>
      <c r="I1655" s="25" t="n">
        <f aca="false">H1655*N1655</f>
        <v>29198500</v>
      </c>
      <c r="J1655" s="25" t="n">
        <f aca="false">H1655-E1655</f>
        <v>2300000000</v>
      </c>
      <c r="K1655" s="25" t="n">
        <f aca="false">D1655-I1655</f>
        <v>0</v>
      </c>
      <c r="L1655" s="25" t="n">
        <f aca="false">G1655-J1655</f>
        <v>0</v>
      </c>
      <c r="M1655" s="25" t="n">
        <f aca="false">F1655</f>
        <v>29198500</v>
      </c>
      <c r="N1655" s="48" t="n">
        <v>0.012695</v>
      </c>
      <c r="O1655" s="25" t="n">
        <f aca="false">IF(AND(B1655&gt;=DATE(2026,1,1),B1655&lt;=Resumen!$C$5),1,0)</f>
        <v>0</v>
      </c>
      <c r="P1655" s="25" t="n">
        <f aca="false">IF(AND(B1655&gt;Resumen!$C$5,B1655&lt;=DATE(2027,7,31)),1,0)</f>
        <v>0</v>
      </c>
    </row>
    <row r="1656" customFormat="false" ht="15" hidden="false" customHeight="false" outlineLevel="0" collapsed="false">
      <c r="A1656" s="22" t="n">
        <v>14</v>
      </c>
      <c r="B1656" s="23" t="n">
        <v>44974</v>
      </c>
      <c r="C1656" s="28" t="n">
        <v>2300000000</v>
      </c>
      <c r="D1656" s="28" t="n">
        <v>29652750</v>
      </c>
      <c r="E1656" s="28" t="n">
        <v>0</v>
      </c>
      <c r="F1656" s="28" t="n">
        <v>29652750</v>
      </c>
      <c r="G1656" s="28" t="n">
        <v>2300000000</v>
      </c>
      <c r="H1656" s="25" t="n">
        <f aca="false">J1655</f>
        <v>2300000000</v>
      </c>
      <c r="I1656" s="25" t="n">
        <f aca="false">H1656*N1656</f>
        <v>29652750</v>
      </c>
      <c r="J1656" s="25" t="n">
        <f aca="false">H1656-E1656</f>
        <v>2300000000</v>
      </c>
      <c r="K1656" s="25" t="n">
        <f aca="false">D1656-I1656</f>
        <v>0</v>
      </c>
      <c r="L1656" s="25" t="n">
        <f aca="false">G1656-J1656</f>
        <v>0</v>
      </c>
      <c r="M1656" s="25" t="n">
        <f aca="false">F1656</f>
        <v>29652750</v>
      </c>
      <c r="N1656" s="48" t="n">
        <v>0.0128925</v>
      </c>
      <c r="O1656" s="25" t="n">
        <f aca="false">IF(AND(B1656&gt;=DATE(2026,1,1),B1656&lt;=Resumen!$C$5),1,0)</f>
        <v>0</v>
      </c>
      <c r="P1656" s="25" t="n">
        <f aca="false">IF(AND(B1656&gt;Resumen!$C$5,B1656&lt;=DATE(2027,7,31)),1,0)</f>
        <v>0</v>
      </c>
    </row>
    <row r="1657" customFormat="false" ht="15" hidden="false" customHeight="false" outlineLevel="0" collapsed="false">
      <c r="A1657" s="22" t="n">
        <v>15</v>
      </c>
      <c r="B1657" s="23" t="n">
        <v>45002</v>
      </c>
      <c r="C1657" s="28" t="n">
        <v>2300000000</v>
      </c>
      <c r="D1657" s="28" t="n">
        <v>29535833.3333333</v>
      </c>
      <c r="E1657" s="28" t="n">
        <v>143750000</v>
      </c>
      <c r="F1657" s="28" t="n">
        <v>173285833.333333</v>
      </c>
      <c r="G1657" s="28" t="n">
        <v>2156250000</v>
      </c>
      <c r="H1657" s="25" t="n">
        <f aca="false">J1656</f>
        <v>2300000000</v>
      </c>
      <c r="I1657" s="25" t="n">
        <f aca="false">H1657*N1657</f>
        <v>29535833.3333333</v>
      </c>
      <c r="J1657" s="25" t="n">
        <f aca="false">H1657-E1657</f>
        <v>2156250000</v>
      </c>
      <c r="K1657" s="25" t="n">
        <f aca="false">D1657-I1657</f>
        <v>0</v>
      </c>
      <c r="L1657" s="25" t="n">
        <f aca="false">G1657-J1657</f>
        <v>0</v>
      </c>
      <c r="M1657" s="25" t="n">
        <f aca="false">F1657</f>
        <v>173285833.333333</v>
      </c>
      <c r="N1657" s="48" t="n">
        <v>0.0128416666666667</v>
      </c>
      <c r="O1657" s="25" t="n">
        <f aca="false">IF(AND(B1657&gt;=DATE(2026,1,1),B1657&lt;=Resumen!$C$5),1,0)</f>
        <v>0</v>
      </c>
      <c r="P1657" s="25" t="n">
        <f aca="false">IF(AND(B1657&gt;Resumen!$C$5,B1657&lt;=DATE(2027,7,31)),1,0)</f>
        <v>0</v>
      </c>
    </row>
    <row r="1658" customFormat="false" ht="15" hidden="false" customHeight="false" outlineLevel="0" collapsed="false">
      <c r="A1658" s="22" t="n">
        <v>16</v>
      </c>
      <c r="B1658" s="23" t="n">
        <v>45033</v>
      </c>
      <c r="C1658" s="28" t="n">
        <v>2156250000</v>
      </c>
      <c r="D1658" s="28" t="n">
        <v>27941406.25</v>
      </c>
      <c r="E1658" s="28" t="n">
        <v>0</v>
      </c>
      <c r="F1658" s="28" t="n">
        <v>27941406.25</v>
      </c>
      <c r="G1658" s="28" t="n">
        <v>2156250000</v>
      </c>
      <c r="H1658" s="25" t="n">
        <f aca="false">J1657</f>
        <v>2156250000</v>
      </c>
      <c r="I1658" s="25" t="n">
        <f aca="false">H1658*N1658</f>
        <v>27941406.25</v>
      </c>
      <c r="J1658" s="25" t="n">
        <f aca="false">H1658-E1658</f>
        <v>2156250000</v>
      </c>
      <c r="K1658" s="25" t="n">
        <f aca="false">D1658-I1658</f>
        <v>0</v>
      </c>
      <c r="L1658" s="25" t="n">
        <f aca="false">G1658-J1658</f>
        <v>0</v>
      </c>
      <c r="M1658" s="25" t="n">
        <f aca="false">F1658</f>
        <v>27941406.25</v>
      </c>
      <c r="N1658" s="48" t="n">
        <v>0.0129583333333333</v>
      </c>
      <c r="O1658" s="25" t="n">
        <f aca="false">IF(AND(B1658&gt;=DATE(2026,1,1),B1658&lt;=Resumen!$C$5),1,0)</f>
        <v>0</v>
      </c>
      <c r="P1658" s="25" t="n">
        <f aca="false">IF(AND(B1658&gt;Resumen!$C$5,B1658&lt;=DATE(2027,7,31)),1,0)</f>
        <v>0</v>
      </c>
    </row>
    <row r="1659" customFormat="false" ht="15" hidden="false" customHeight="false" outlineLevel="0" collapsed="false">
      <c r="A1659" s="22" t="n">
        <v>17</v>
      </c>
      <c r="B1659" s="23" t="n">
        <v>45063</v>
      </c>
      <c r="C1659" s="28" t="n">
        <v>2156250000</v>
      </c>
      <c r="D1659" s="28" t="n">
        <v>28121093.75</v>
      </c>
      <c r="E1659" s="28" t="n">
        <v>0</v>
      </c>
      <c r="F1659" s="28" t="n">
        <v>28121093.75</v>
      </c>
      <c r="G1659" s="28" t="n">
        <v>2156250000</v>
      </c>
      <c r="H1659" s="25" t="n">
        <f aca="false">J1658</f>
        <v>2156250000</v>
      </c>
      <c r="I1659" s="25" t="n">
        <f aca="false">H1659*N1659</f>
        <v>28121093.75</v>
      </c>
      <c r="J1659" s="25" t="n">
        <f aca="false">H1659-E1659</f>
        <v>2156250000</v>
      </c>
      <c r="K1659" s="25" t="n">
        <f aca="false">D1659-I1659</f>
        <v>0</v>
      </c>
      <c r="L1659" s="25" t="n">
        <f aca="false">G1659-J1659</f>
        <v>0</v>
      </c>
      <c r="M1659" s="25" t="n">
        <f aca="false">F1659</f>
        <v>28121093.75</v>
      </c>
      <c r="N1659" s="48" t="n">
        <v>0.0130416666666667</v>
      </c>
      <c r="O1659" s="25" t="n">
        <f aca="false">IF(AND(B1659&gt;=DATE(2026,1,1),B1659&lt;=Resumen!$C$5),1,0)</f>
        <v>0</v>
      </c>
      <c r="P1659" s="25" t="n">
        <f aca="false">IF(AND(B1659&gt;Resumen!$C$5,B1659&lt;=DATE(2027,7,31)),1,0)</f>
        <v>0</v>
      </c>
    </row>
    <row r="1660" customFormat="false" ht="15" hidden="false" customHeight="false" outlineLevel="0" collapsed="false">
      <c r="A1660" s="22" t="n">
        <v>18</v>
      </c>
      <c r="B1660" s="23" t="n">
        <v>45094</v>
      </c>
      <c r="C1660" s="28" t="n">
        <v>2156250000</v>
      </c>
      <c r="D1660" s="28" t="n">
        <v>28128281.25</v>
      </c>
      <c r="E1660" s="28" t="n">
        <v>143750000</v>
      </c>
      <c r="F1660" s="28" t="n">
        <v>171878281.25</v>
      </c>
      <c r="G1660" s="28" t="n">
        <v>2012500000</v>
      </c>
      <c r="H1660" s="25" t="n">
        <f aca="false">J1659</f>
        <v>2156250000</v>
      </c>
      <c r="I1660" s="25" t="n">
        <f aca="false">H1660*N1660</f>
        <v>28128281.25</v>
      </c>
      <c r="J1660" s="25" t="n">
        <f aca="false">H1660-E1660</f>
        <v>2012500000</v>
      </c>
      <c r="K1660" s="25" t="n">
        <f aca="false">D1660-I1660</f>
        <v>0</v>
      </c>
      <c r="L1660" s="25" t="n">
        <f aca="false">G1660-J1660</f>
        <v>0</v>
      </c>
      <c r="M1660" s="25" t="n">
        <f aca="false">F1660</f>
        <v>171878281.25</v>
      </c>
      <c r="N1660" s="48" t="n">
        <v>0.013045</v>
      </c>
      <c r="O1660" s="25" t="n">
        <f aca="false">IF(AND(B1660&gt;=DATE(2026,1,1),B1660&lt;=Resumen!$C$5),1,0)</f>
        <v>0</v>
      </c>
      <c r="P1660" s="25" t="n">
        <f aca="false">IF(AND(B1660&gt;Resumen!$C$5,B1660&lt;=DATE(2027,7,31)),1,0)</f>
        <v>0</v>
      </c>
    </row>
    <row r="1661" customFormat="false" ht="15" hidden="false" customHeight="false" outlineLevel="0" collapsed="false">
      <c r="A1661" s="22" t="n">
        <v>19</v>
      </c>
      <c r="B1661" s="23" t="n">
        <v>45124</v>
      </c>
      <c r="C1661" s="28" t="n">
        <v>2012500000</v>
      </c>
      <c r="D1661" s="28" t="n">
        <v>26014916.6666667</v>
      </c>
      <c r="E1661" s="28" t="n">
        <v>0</v>
      </c>
      <c r="F1661" s="28" t="n">
        <v>26014916.6666667</v>
      </c>
      <c r="G1661" s="28" t="n">
        <v>2012500000</v>
      </c>
      <c r="H1661" s="25" t="n">
        <f aca="false">J1660</f>
        <v>2012500000</v>
      </c>
      <c r="I1661" s="25" t="n">
        <f aca="false">H1661*N1661</f>
        <v>26014916.6666667</v>
      </c>
      <c r="J1661" s="25" t="n">
        <f aca="false">H1661-E1661</f>
        <v>2012500000</v>
      </c>
      <c r="K1661" s="25" t="n">
        <f aca="false">D1661-I1661</f>
        <v>0</v>
      </c>
      <c r="L1661" s="25" t="n">
        <f aca="false">G1661-J1661</f>
        <v>0</v>
      </c>
      <c r="M1661" s="25" t="n">
        <f aca="false">F1661</f>
        <v>26014916.6666667</v>
      </c>
      <c r="N1661" s="48" t="n">
        <v>0.0129266666666667</v>
      </c>
      <c r="O1661" s="25" t="n">
        <f aca="false">IF(AND(B1661&gt;=DATE(2026,1,1),B1661&lt;=Resumen!$C$5),1,0)</f>
        <v>0</v>
      </c>
      <c r="P1661" s="25" t="n">
        <f aca="false">IF(AND(B1661&gt;Resumen!$C$5,B1661&lt;=DATE(2027,7,31)),1,0)</f>
        <v>0</v>
      </c>
    </row>
    <row r="1662" customFormat="false" ht="15" hidden="false" customHeight="false" outlineLevel="0" collapsed="false">
      <c r="A1662" s="22" t="n">
        <v>20</v>
      </c>
      <c r="B1662" s="23" t="n">
        <v>45155</v>
      </c>
      <c r="C1662" s="28" t="n">
        <v>2012500000</v>
      </c>
      <c r="D1662" s="28" t="n">
        <v>26013239.5833333</v>
      </c>
      <c r="E1662" s="28" t="n">
        <v>0</v>
      </c>
      <c r="F1662" s="28" t="n">
        <v>26013239.5833333</v>
      </c>
      <c r="G1662" s="28" t="n">
        <v>2012500000</v>
      </c>
      <c r="H1662" s="25" t="n">
        <f aca="false">J1661</f>
        <v>2012500000</v>
      </c>
      <c r="I1662" s="25" t="n">
        <f aca="false">H1662*N1662</f>
        <v>26013239.5833333</v>
      </c>
      <c r="J1662" s="25" t="n">
        <f aca="false">H1662-E1662</f>
        <v>2012500000</v>
      </c>
      <c r="K1662" s="25" t="n">
        <f aca="false">D1662-I1662</f>
        <v>0</v>
      </c>
      <c r="L1662" s="25" t="n">
        <f aca="false">G1662-J1662</f>
        <v>0</v>
      </c>
      <c r="M1662" s="25" t="n">
        <f aca="false">F1662</f>
        <v>26013239.5833333</v>
      </c>
      <c r="N1662" s="48" t="n">
        <v>0.0129258333333333</v>
      </c>
      <c r="O1662" s="25" t="n">
        <f aca="false">IF(AND(B1662&gt;=DATE(2026,1,1),B1662&lt;=Resumen!$C$5),1,0)</f>
        <v>0</v>
      </c>
      <c r="P1662" s="25" t="n">
        <f aca="false">IF(AND(B1662&gt;Resumen!$C$5,B1662&lt;=DATE(2027,7,31)),1,0)</f>
        <v>0</v>
      </c>
    </row>
    <row r="1663" customFormat="false" ht="15" hidden="false" customHeight="false" outlineLevel="0" collapsed="false">
      <c r="A1663" s="22" t="n">
        <v>21</v>
      </c>
      <c r="B1663" s="23" t="n">
        <v>45186</v>
      </c>
      <c r="C1663" s="28" t="n">
        <v>2012500000</v>
      </c>
      <c r="D1663" s="28" t="n">
        <v>24679958.3333333</v>
      </c>
      <c r="E1663" s="28" t="n">
        <v>143750000</v>
      </c>
      <c r="F1663" s="28" t="n">
        <v>168429958.333333</v>
      </c>
      <c r="G1663" s="28" t="n">
        <v>1868750000</v>
      </c>
      <c r="H1663" s="25" t="n">
        <f aca="false">J1662</f>
        <v>2012500000</v>
      </c>
      <c r="I1663" s="25" t="n">
        <f aca="false">H1663*N1663</f>
        <v>24679958.3333333</v>
      </c>
      <c r="J1663" s="25" t="n">
        <f aca="false">H1663-E1663</f>
        <v>1868750000</v>
      </c>
      <c r="K1663" s="25" t="n">
        <f aca="false">D1663-I1663</f>
        <v>0</v>
      </c>
      <c r="L1663" s="25" t="n">
        <f aca="false">G1663-J1663</f>
        <v>0</v>
      </c>
      <c r="M1663" s="25" t="n">
        <f aca="false">F1663</f>
        <v>168429958.333333</v>
      </c>
      <c r="N1663" s="48" t="n">
        <v>0.0122633333333333</v>
      </c>
      <c r="O1663" s="25" t="n">
        <f aca="false">IF(AND(B1663&gt;=DATE(2026,1,1),B1663&lt;=Resumen!$C$5),1,0)</f>
        <v>0</v>
      </c>
      <c r="P1663" s="25" t="n">
        <f aca="false">IF(AND(B1663&gt;Resumen!$C$5,B1663&lt;=DATE(2027,7,31)),1,0)</f>
        <v>0</v>
      </c>
    </row>
    <row r="1664" customFormat="false" ht="15" hidden="false" customHeight="false" outlineLevel="0" collapsed="false">
      <c r="A1664" s="22" t="n">
        <v>22</v>
      </c>
      <c r="B1664" s="23" t="n">
        <v>45216</v>
      </c>
      <c r="C1664" s="28" t="n">
        <v>1868750000</v>
      </c>
      <c r="D1664" s="28" t="n">
        <v>22906203.125</v>
      </c>
      <c r="E1664" s="28" t="n">
        <v>0</v>
      </c>
      <c r="F1664" s="28" t="n">
        <v>22906203.125</v>
      </c>
      <c r="G1664" s="28" t="n">
        <v>1868750000</v>
      </c>
      <c r="H1664" s="25" t="n">
        <f aca="false">J1663</f>
        <v>1868750000</v>
      </c>
      <c r="I1664" s="25" t="n">
        <f aca="false">H1664*N1664</f>
        <v>22906203.125</v>
      </c>
      <c r="J1664" s="25" t="n">
        <f aca="false">H1664-E1664</f>
        <v>1868750000</v>
      </c>
      <c r="K1664" s="25" t="n">
        <f aca="false">D1664-I1664</f>
        <v>0</v>
      </c>
      <c r="L1664" s="25" t="n">
        <f aca="false">G1664-J1664</f>
        <v>0</v>
      </c>
      <c r="M1664" s="25" t="n">
        <f aca="false">F1664</f>
        <v>22906203.125</v>
      </c>
      <c r="N1664" s="48" t="n">
        <v>0.0122575</v>
      </c>
      <c r="O1664" s="25" t="n">
        <f aca="false">IF(AND(B1664&gt;=DATE(2026,1,1),B1664&lt;=Resumen!$C$5),1,0)</f>
        <v>0</v>
      </c>
      <c r="P1664" s="25" t="n">
        <f aca="false">IF(AND(B1664&gt;Resumen!$C$5,B1664&lt;=DATE(2027,7,31)),1,0)</f>
        <v>0</v>
      </c>
    </row>
    <row r="1665" customFormat="false" ht="15" hidden="false" customHeight="false" outlineLevel="0" collapsed="false">
      <c r="A1665" s="22" t="n">
        <v>23</v>
      </c>
      <c r="B1665" s="23" t="n">
        <v>45247</v>
      </c>
      <c r="C1665" s="28" t="n">
        <v>1868750000</v>
      </c>
      <c r="D1665" s="28" t="n">
        <v>22657036.4583333</v>
      </c>
      <c r="E1665" s="28" t="n">
        <v>0</v>
      </c>
      <c r="F1665" s="28" t="n">
        <v>22657036.4583333</v>
      </c>
      <c r="G1665" s="28" t="n">
        <v>1868750000</v>
      </c>
      <c r="H1665" s="25" t="n">
        <f aca="false">J1664</f>
        <v>1868750000</v>
      </c>
      <c r="I1665" s="25" t="n">
        <f aca="false">H1665*N1665</f>
        <v>22657036.4583333</v>
      </c>
      <c r="J1665" s="25" t="n">
        <f aca="false">H1665-E1665</f>
        <v>1868750000</v>
      </c>
      <c r="K1665" s="25" t="n">
        <f aca="false">D1665-I1665</f>
        <v>0</v>
      </c>
      <c r="L1665" s="25" t="n">
        <f aca="false">G1665-J1665</f>
        <v>0</v>
      </c>
      <c r="M1665" s="25" t="n">
        <f aca="false">F1665</f>
        <v>22657036.4583333</v>
      </c>
      <c r="N1665" s="48" t="n">
        <v>0.0121241666666667</v>
      </c>
      <c r="O1665" s="25" t="n">
        <f aca="false">IF(AND(B1665&gt;=DATE(2026,1,1),B1665&lt;=Resumen!$C$5),1,0)</f>
        <v>0</v>
      </c>
      <c r="P1665" s="25" t="n">
        <f aca="false">IF(AND(B1665&gt;Resumen!$C$5,B1665&lt;=DATE(2027,7,31)),1,0)</f>
        <v>0</v>
      </c>
    </row>
    <row r="1666" customFormat="false" ht="15" hidden="false" customHeight="false" outlineLevel="0" collapsed="false">
      <c r="A1666" s="22" t="n">
        <v>24</v>
      </c>
      <c r="B1666" s="23" t="n">
        <v>45277</v>
      </c>
      <c r="C1666" s="28" t="n">
        <v>1868750000</v>
      </c>
      <c r="D1666" s="28" t="n">
        <v>22425000</v>
      </c>
      <c r="E1666" s="28" t="n">
        <v>143750000</v>
      </c>
      <c r="F1666" s="28" t="n">
        <v>166175000</v>
      </c>
      <c r="G1666" s="28" t="n">
        <v>1725000000</v>
      </c>
      <c r="H1666" s="25" t="n">
        <f aca="false">J1665</f>
        <v>1868750000</v>
      </c>
      <c r="I1666" s="25" t="n">
        <f aca="false">H1666*N1666</f>
        <v>22425000</v>
      </c>
      <c r="J1666" s="25" t="n">
        <f aca="false">H1666-E1666</f>
        <v>1725000000</v>
      </c>
      <c r="K1666" s="25" t="n">
        <f aca="false">D1666-I1666</f>
        <v>0</v>
      </c>
      <c r="L1666" s="25" t="n">
        <f aca="false">G1666-J1666</f>
        <v>0</v>
      </c>
      <c r="M1666" s="25" t="n">
        <f aca="false">F1666</f>
        <v>166175000</v>
      </c>
      <c r="N1666" s="48" t="n">
        <v>0.012</v>
      </c>
      <c r="O1666" s="25" t="n">
        <f aca="false">IF(AND(B1666&gt;=DATE(2026,1,1),B1666&lt;=Resumen!$C$5),1,0)</f>
        <v>0</v>
      </c>
      <c r="P1666" s="25" t="n">
        <f aca="false">IF(AND(B1666&gt;Resumen!$C$5,B1666&lt;=DATE(2027,7,31)),1,0)</f>
        <v>0</v>
      </c>
    </row>
    <row r="1667" customFormat="false" ht="15" hidden="false" customHeight="false" outlineLevel="0" collapsed="false">
      <c r="A1667" s="22" t="n">
        <v>25</v>
      </c>
      <c r="B1667" s="23" t="n">
        <v>45308</v>
      </c>
      <c r="C1667" s="28" t="n">
        <v>1725000000</v>
      </c>
      <c r="D1667" s="28" t="n">
        <v>20392375</v>
      </c>
      <c r="E1667" s="28" t="n">
        <v>0</v>
      </c>
      <c r="F1667" s="28" t="n">
        <v>20392375</v>
      </c>
      <c r="G1667" s="28" t="n">
        <v>1725000000</v>
      </c>
      <c r="H1667" s="25" t="n">
        <f aca="false">J1666</f>
        <v>1725000000</v>
      </c>
      <c r="I1667" s="25" t="n">
        <f aca="false">H1667*N1667</f>
        <v>20392375</v>
      </c>
      <c r="J1667" s="25" t="n">
        <f aca="false">H1667-E1667</f>
        <v>1725000000</v>
      </c>
      <c r="K1667" s="25" t="n">
        <f aca="false">D1667-I1667</f>
        <v>0</v>
      </c>
      <c r="L1667" s="25" t="n">
        <f aca="false">G1667-J1667</f>
        <v>0</v>
      </c>
      <c r="M1667" s="25" t="n">
        <f aca="false">F1667</f>
        <v>20392375</v>
      </c>
      <c r="N1667" s="48" t="n">
        <v>0.0118216666666667</v>
      </c>
      <c r="O1667" s="25" t="n">
        <f aca="false">IF(AND(B1667&gt;=DATE(2026,1,1),B1667&lt;=Resumen!$C$5),1,0)</f>
        <v>0</v>
      </c>
      <c r="P1667" s="25" t="n">
        <f aca="false">IF(AND(B1667&gt;Resumen!$C$5,B1667&lt;=DATE(2027,7,31)),1,0)</f>
        <v>0</v>
      </c>
    </row>
    <row r="1668" customFormat="false" ht="15" hidden="false" customHeight="false" outlineLevel="0" collapsed="false">
      <c r="A1668" s="22" t="n">
        <v>26</v>
      </c>
      <c r="B1668" s="23" t="n">
        <v>45339</v>
      </c>
      <c r="C1668" s="28" t="n">
        <v>1725000000</v>
      </c>
      <c r="D1668" s="28" t="n">
        <v>21024875</v>
      </c>
      <c r="E1668" s="28" t="n">
        <v>0</v>
      </c>
      <c r="F1668" s="28" t="n">
        <v>21024875</v>
      </c>
      <c r="G1668" s="28" t="n">
        <v>1725000000</v>
      </c>
      <c r="H1668" s="25" t="n">
        <f aca="false">J1667</f>
        <v>1725000000</v>
      </c>
      <c r="I1668" s="25" t="n">
        <f aca="false">H1668*N1668</f>
        <v>21024875</v>
      </c>
      <c r="J1668" s="25" t="n">
        <f aca="false">H1668-E1668</f>
        <v>1725000000</v>
      </c>
      <c r="K1668" s="25" t="n">
        <f aca="false">D1668-I1668</f>
        <v>0</v>
      </c>
      <c r="L1668" s="25" t="n">
        <f aca="false">G1668-J1668</f>
        <v>0</v>
      </c>
      <c r="M1668" s="25" t="n">
        <f aca="false">F1668</f>
        <v>21024875</v>
      </c>
      <c r="N1668" s="48" t="n">
        <v>0.0121883333333333</v>
      </c>
      <c r="O1668" s="25" t="n">
        <f aca="false">IF(AND(B1668&gt;=DATE(2026,1,1),B1668&lt;=Resumen!$C$5),1,0)</f>
        <v>0</v>
      </c>
      <c r="P1668" s="25" t="n">
        <f aca="false">IF(AND(B1668&gt;Resumen!$C$5,B1668&lt;=DATE(2027,7,31)),1,0)</f>
        <v>0</v>
      </c>
    </row>
    <row r="1669" customFormat="false" ht="15" hidden="false" customHeight="false" outlineLevel="0" collapsed="false">
      <c r="A1669" s="22" t="n">
        <v>27</v>
      </c>
      <c r="B1669" s="23" t="n">
        <v>45368</v>
      </c>
      <c r="C1669" s="28" t="n">
        <v>1725000000</v>
      </c>
      <c r="D1669" s="28" t="n">
        <v>19564375</v>
      </c>
      <c r="E1669" s="28" t="n">
        <v>143750000</v>
      </c>
      <c r="F1669" s="28" t="n">
        <v>163314375</v>
      </c>
      <c r="G1669" s="28" t="n">
        <v>1581250000</v>
      </c>
      <c r="H1669" s="25" t="n">
        <f aca="false">J1668</f>
        <v>1725000000</v>
      </c>
      <c r="I1669" s="25" t="n">
        <f aca="false">H1669*N1669</f>
        <v>19564375</v>
      </c>
      <c r="J1669" s="25" t="n">
        <f aca="false">H1669-E1669</f>
        <v>1581250000</v>
      </c>
      <c r="K1669" s="25" t="n">
        <f aca="false">D1669-I1669</f>
        <v>0</v>
      </c>
      <c r="L1669" s="25" t="n">
        <f aca="false">G1669-J1669</f>
        <v>0</v>
      </c>
      <c r="M1669" s="25" t="n">
        <f aca="false">F1669</f>
        <v>163314375</v>
      </c>
      <c r="N1669" s="48" t="n">
        <v>0.0113416666666667</v>
      </c>
      <c r="O1669" s="25" t="n">
        <f aca="false">IF(AND(B1669&gt;=DATE(2026,1,1),B1669&lt;=Resumen!$C$5),1,0)</f>
        <v>0</v>
      </c>
      <c r="P1669" s="25" t="n">
        <f aca="false">IF(AND(B1669&gt;Resumen!$C$5,B1669&lt;=DATE(2027,7,31)),1,0)</f>
        <v>0</v>
      </c>
    </row>
    <row r="1670" customFormat="false" ht="15" hidden="false" customHeight="false" outlineLevel="0" collapsed="false">
      <c r="A1670" s="22" t="n">
        <v>28</v>
      </c>
      <c r="B1670" s="23" t="n">
        <v>45399</v>
      </c>
      <c r="C1670" s="28" t="n">
        <v>1581250000</v>
      </c>
      <c r="D1670" s="28" t="n">
        <v>18395208.3333333</v>
      </c>
      <c r="E1670" s="28" t="n">
        <v>0</v>
      </c>
      <c r="F1670" s="28" t="n">
        <v>18395208.3333333</v>
      </c>
      <c r="G1670" s="28" t="n">
        <v>1581250000</v>
      </c>
      <c r="H1670" s="25" t="n">
        <f aca="false">J1669</f>
        <v>1581250000</v>
      </c>
      <c r="I1670" s="25" t="n">
        <f aca="false">H1670*N1670</f>
        <v>18395208.3333333</v>
      </c>
      <c r="J1670" s="25" t="n">
        <f aca="false">H1670-E1670</f>
        <v>1581250000</v>
      </c>
      <c r="K1670" s="25" t="n">
        <f aca="false">D1670-I1670</f>
        <v>0</v>
      </c>
      <c r="L1670" s="25" t="n">
        <f aca="false">G1670-J1670</f>
        <v>0</v>
      </c>
      <c r="M1670" s="25" t="n">
        <f aca="false">F1670</f>
        <v>18395208.3333333</v>
      </c>
      <c r="N1670" s="48" t="n">
        <v>0.0116333333333333</v>
      </c>
      <c r="O1670" s="25" t="n">
        <f aca="false">IF(AND(B1670&gt;=DATE(2026,1,1),B1670&lt;=Resumen!$C$5),1,0)</f>
        <v>0</v>
      </c>
      <c r="P1670" s="25" t="n">
        <f aca="false">IF(AND(B1670&gt;Resumen!$C$5,B1670&lt;=DATE(2027,7,31)),1,0)</f>
        <v>0</v>
      </c>
    </row>
    <row r="1671" customFormat="false" ht="15" hidden="false" customHeight="false" outlineLevel="0" collapsed="false">
      <c r="A1671" s="22" t="n">
        <v>29</v>
      </c>
      <c r="B1671" s="23" t="n">
        <v>45429</v>
      </c>
      <c r="C1671" s="28" t="n">
        <v>1581250000</v>
      </c>
      <c r="D1671" s="28" t="n">
        <v>17877348.9583333</v>
      </c>
      <c r="E1671" s="28" t="n">
        <v>0</v>
      </c>
      <c r="F1671" s="28" t="n">
        <v>17877348.9583333</v>
      </c>
      <c r="G1671" s="28" t="n">
        <v>1581250000</v>
      </c>
      <c r="H1671" s="25" t="n">
        <f aca="false">J1670</f>
        <v>1581250000</v>
      </c>
      <c r="I1671" s="25" t="n">
        <f aca="false">H1671*N1671</f>
        <v>17877348.9583333</v>
      </c>
      <c r="J1671" s="25" t="n">
        <f aca="false">H1671-E1671</f>
        <v>1581250000</v>
      </c>
      <c r="K1671" s="25" t="n">
        <f aca="false">D1671-I1671</f>
        <v>0</v>
      </c>
      <c r="L1671" s="25" t="n">
        <f aca="false">G1671-J1671</f>
        <v>0</v>
      </c>
      <c r="M1671" s="25" t="n">
        <f aca="false">F1671</f>
        <v>17877348.9583333</v>
      </c>
      <c r="N1671" s="48" t="n">
        <v>0.0113058333333333</v>
      </c>
      <c r="O1671" s="25" t="n">
        <f aca="false">IF(AND(B1671&gt;=DATE(2026,1,1),B1671&lt;=Resumen!$C$5),1,0)</f>
        <v>0</v>
      </c>
      <c r="P1671" s="25" t="n">
        <f aca="false">IF(AND(B1671&gt;Resumen!$C$5,B1671&lt;=DATE(2027,7,31)),1,0)</f>
        <v>0</v>
      </c>
    </row>
    <row r="1672" customFormat="false" ht="15" hidden="false" customHeight="false" outlineLevel="0" collapsed="false">
      <c r="A1672" s="22" t="n">
        <v>30</v>
      </c>
      <c r="B1672" s="23" t="n">
        <v>45460</v>
      </c>
      <c r="C1672" s="28" t="n">
        <v>1581250000</v>
      </c>
      <c r="D1672" s="28" t="n">
        <v>16682187.5</v>
      </c>
      <c r="E1672" s="28" t="n">
        <v>143750000</v>
      </c>
      <c r="F1672" s="28" t="n">
        <v>160432187.5</v>
      </c>
      <c r="G1672" s="28" t="n">
        <v>1437500000</v>
      </c>
      <c r="H1672" s="25" t="n">
        <f aca="false">J1671</f>
        <v>1581250000</v>
      </c>
      <c r="I1672" s="25" t="n">
        <f aca="false">H1672*N1672</f>
        <v>16682187.5</v>
      </c>
      <c r="J1672" s="25" t="n">
        <f aca="false">H1672-E1672</f>
        <v>1437500000</v>
      </c>
      <c r="K1672" s="25" t="n">
        <f aca="false">D1672-I1672</f>
        <v>0</v>
      </c>
      <c r="L1672" s="25" t="n">
        <f aca="false">G1672-J1672</f>
        <v>0</v>
      </c>
      <c r="M1672" s="25" t="n">
        <f aca="false">F1672</f>
        <v>160432187.5</v>
      </c>
      <c r="N1672" s="48" t="n">
        <v>0.01055</v>
      </c>
      <c r="O1672" s="25" t="n">
        <f aca="false">IF(AND(B1672&gt;=DATE(2026,1,1),B1672&lt;=Resumen!$C$5),1,0)</f>
        <v>0</v>
      </c>
      <c r="P1672" s="25" t="n">
        <f aca="false">IF(AND(B1672&gt;Resumen!$C$5,B1672&lt;=DATE(2027,7,31)),1,0)</f>
        <v>0</v>
      </c>
    </row>
    <row r="1673" customFormat="false" ht="15" hidden="false" customHeight="false" outlineLevel="0" collapsed="false">
      <c r="A1673" s="22" t="n">
        <v>31</v>
      </c>
      <c r="B1673" s="23" t="n">
        <v>45490</v>
      </c>
      <c r="C1673" s="28" t="n">
        <v>1437500000</v>
      </c>
      <c r="D1673" s="28" t="n">
        <v>15141666.6666667</v>
      </c>
      <c r="E1673" s="28" t="n">
        <v>0</v>
      </c>
      <c r="F1673" s="28" t="n">
        <v>15141666.6666667</v>
      </c>
      <c r="G1673" s="28" t="n">
        <v>1437500000</v>
      </c>
      <c r="H1673" s="25" t="n">
        <f aca="false">J1672</f>
        <v>1437500000</v>
      </c>
      <c r="I1673" s="25" t="n">
        <f aca="false">H1673*N1673</f>
        <v>15141666.6666667</v>
      </c>
      <c r="J1673" s="25" t="n">
        <f aca="false">H1673-E1673</f>
        <v>1437500000</v>
      </c>
      <c r="K1673" s="25" t="n">
        <f aca="false">D1673-I1673</f>
        <v>0</v>
      </c>
      <c r="L1673" s="25" t="n">
        <f aca="false">G1673-J1673</f>
        <v>0</v>
      </c>
      <c r="M1673" s="25" t="n">
        <f aca="false">F1673</f>
        <v>15141666.6666667</v>
      </c>
      <c r="N1673" s="48" t="n">
        <v>0.0105333333333333</v>
      </c>
      <c r="O1673" s="25" t="n">
        <f aca="false">IF(AND(B1673&gt;=DATE(2026,1,1),B1673&lt;=Resumen!$C$5),1,0)</f>
        <v>0</v>
      </c>
      <c r="P1673" s="25" t="n">
        <f aca="false">IF(AND(B1673&gt;Resumen!$C$5,B1673&lt;=DATE(2027,7,31)),1,0)</f>
        <v>0</v>
      </c>
    </row>
    <row r="1674" customFormat="false" ht="15" hidden="false" customHeight="false" outlineLevel="0" collapsed="false">
      <c r="A1674" s="22" t="n">
        <v>32</v>
      </c>
      <c r="B1674" s="23" t="n">
        <v>45521</v>
      </c>
      <c r="C1674" s="28" t="n">
        <v>1437500000</v>
      </c>
      <c r="D1674" s="28" t="n">
        <v>15068593.75</v>
      </c>
      <c r="E1674" s="28" t="n">
        <v>0</v>
      </c>
      <c r="F1674" s="28" t="n">
        <v>15068593.75</v>
      </c>
      <c r="G1674" s="28" t="n">
        <v>1437500000</v>
      </c>
      <c r="H1674" s="25" t="n">
        <f aca="false">J1673</f>
        <v>1437500000</v>
      </c>
      <c r="I1674" s="25" t="n">
        <f aca="false">H1674*N1674</f>
        <v>15068593.75</v>
      </c>
      <c r="J1674" s="25" t="n">
        <f aca="false">H1674-E1674</f>
        <v>1437500000</v>
      </c>
      <c r="K1674" s="25" t="n">
        <f aca="false">D1674-I1674</f>
        <v>0</v>
      </c>
      <c r="L1674" s="25" t="n">
        <f aca="false">G1674-J1674</f>
        <v>0</v>
      </c>
      <c r="M1674" s="25" t="n">
        <f aca="false">F1674</f>
        <v>15068593.75</v>
      </c>
      <c r="N1674" s="48" t="n">
        <v>0.0104825</v>
      </c>
      <c r="O1674" s="25" t="n">
        <f aca="false">IF(AND(B1674&gt;=DATE(2026,1,1),B1674&lt;=Resumen!$C$5),1,0)</f>
        <v>0</v>
      </c>
      <c r="P1674" s="25" t="n">
        <f aca="false">IF(AND(B1674&gt;Resumen!$C$5,B1674&lt;=DATE(2027,7,31)),1,0)</f>
        <v>0</v>
      </c>
    </row>
    <row r="1675" customFormat="false" ht="15" hidden="false" customHeight="false" outlineLevel="0" collapsed="false">
      <c r="A1675" s="22" t="n">
        <v>33</v>
      </c>
      <c r="B1675" s="23" t="n">
        <v>45552</v>
      </c>
      <c r="C1675" s="28" t="n">
        <v>1437500000</v>
      </c>
      <c r="D1675" s="28" t="n">
        <v>13997656.25</v>
      </c>
      <c r="E1675" s="28" t="n">
        <v>143750000</v>
      </c>
      <c r="F1675" s="28" t="n">
        <v>157747656.25</v>
      </c>
      <c r="G1675" s="28" t="n">
        <v>1293750000</v>
      </c>
      <c r="H1675" s="25" t="n">
        <f aca="false">J1674</f>
        <v>1437500000</v>
      </c>
      <c r="I1675" s="25" t="n">
        <f aca="false">H1675*N1675</f>
        <v>13997656.25</v>
      </c>
      <c r="J1675" s="25" t="n">
        <f aca="false">H1675-E1675</f>
        <v>1293750000</v>
      </c>
      <c r="K1675" s="25" t="n">
        <f aca="false">D1675-I1675</f>
        <v>0</v>
      </c>
      <c r="L1675" s="25" t="n">
        <f aca="false">G1675-J1675</f>
        <v>0</v>
      </c>
      <c r="M1675" s="25" t="n">
        <f aca="false">F1675</f>
        <v>157747656.25</v>
      </c>
      <c r="N1675" s="48" t="n">
        <v>0.0097375</v>
      </c>
      <c r="O1675" s="25" t="n">
        <f aca="false">IF(AND(B1675&gt;=DATE(2026,1,1),B1675&lt;=Resumen!$C$5),1,0)</f>
        <v>0</v>
      </c>
      <c r="P1675" s="25" t="n">
        <f aca="false">IF(AND(B1675&gt;Resumen!$C$5,B1675&lt;=DATE(2027,7,31)),1,0)</f>
        <v>0</v>
      </c>
    </row>
    <row r="1676" customFormat="false" ht="15" hidden="false" customHeight="false" outlineLevel="0" collapsed="false">
      <c r="A1676" s="22" t="n">
        <v>34</v>
      </c>
      <c r="B1676" s="23" t="n">
        <v>45582</v>
      </c>
      <c r="C1676" s="28" t="n">
        <v>1293750000</v>
      </c>
      <c r="D1676" s="28" t="n">
        <v>12296015.625</v>
      </c>
      <c r="E1676" s="28" t="n">
        <v>0</v>
      </c>
      <c r="F1676" s="28" t="n">
        <v>12296015.625</v>
      </c>
      <c r="G1676" s="28" t="n">
        <v>1293750000</v>
      </c>
      <c r="H1676" s="25" t="n">
        <f aca="false">J1675</f>
        <v>1293750000</v>
      </c>
      <c r="I1676" s="25" t="n">
        <f aca="false">H1676*N1676</f>
        <v>12296015.625</v>
      </c>
      <c r="J1676" s="25" t="n">
        <f aca="false">H1676-E1676</f>
        <v>1293750000</v>
      </c>
      <c r="K1676" s="25" t="n">
        <f aca="false">D1676-I1676</f>
        <v>0</v>
      </c>
      <c r="L1676" s="25" t="n">
        <f aca="false">G1676-J1676</f>
        <v>0</v>
      </c>
      <c r="M1676" s="25" t="n">
        <f aca="false">F1676</f>
        <v>12296015.625</v>
      </c>
      <c r="N1676" s="48" t="n">
        <v>0.00950416666666667</v>
      </c>
      <c r="O1676" s="25" t="n">
        <f aca="false">IF(AND(B1676&gt;=DATE(2026,1,1),B1676&lt;=Resumen!$C$5),1,0)</f>
        <v>0</v>
      </c>
      <c r="P1676" s="25" t="n">
        <f aca="false">IF(AND(B1676&gt;Resumen!$C$5,B1676&lt;=DATE(2027,7,31)),1,0)</f>
        <v>0</v>
      </c>
    </row>
    <row r="1677" customFormat="false" ht="15" hidden="false" customHeight="false" outlineLevel="0" collapsed="false">
      <c r="A1677" s="22" t="n">
        <v>35</v>
      </c>
      <c r="B1677" s="23" t="n">
        <v>45613</v>
      </c>
      <c r="C1677" s="28" t="n">
        <v>1293750000</v>
      </c>
      <c r="D1677" s="28" t="n">
        <v>12099796.875</v>
      </c>
      <c r="E1677" s="28" t="n">
        <v>0</v>
      </c>
      <c r="F1677" s="28" t="n">
        <v>12099796.875</v>
      </c>
      <c r="G1677" s="28" t="n">
        <v>1293750000</v>
      </c>
      <c r="H1677" s="25" t="n">
        <f aca="false">J1676</f>
        <v>1293750000</v>
      </c>
      <c r="I1677" s="25" t="n">
        <f aca="false">H1677*N1677</f>
        <v>12099796.875</v>
      </c>
      <c r="J1677" s="25" t="n">
        <f aca="false">H1677-E1677</f>
        <v>1293750000</v>
      </c>
      <c r="K1677" s="25" t="n">
        <f aca="false">D1677-I1677</f>
        <v>0</v>
      </c>
      <c r="L1677" s="25" t="n">
        <f aca="false">G1677-J1677</f>
        <v>0</v>
      </c>
      <c r="M1677" s="25" t="n">
        <f aca="false">F1677</f>
        <v>12099796.875</v>
      </c>
      <c r="N1677" s="48" t="n">
        <v>0.0093525</v>
      </c>
      <c r="O1677" s="25" t="n">
        <f aca="false">IF(AND(B1677&gt;=DATE(2026,1,1),B1677&lt;=Resumen!$C$5),1,0)</f>
        <v>0</v>
      </c>
      <c r="P1677" s="25" t="n">
        <f aca="false">IF(AND(B1677&gt;Resumen!$C$5,B1677&lt;=DATE(2027,7,31)),1,0)</f>
        <v>0</v>
      </c>
    </row>
    <row r="1678" customFormat="false" ht="15" hidden="false" customHeight="false" outlineLevel="0" collapsed="false">
      <c r="A1678" s="22" t="n">
        <v>36</v>
      </c>
      <c r="B1678" s="23" t="n">
        <v>45643</v>
      </c>
      <c r="C1678" s="28" t="n">
        <v>1293750000</v>
      </c>
      <c r="D1678" s="28" t="n">
        <v>12244265.625</v>
      </c>
      <c r="E1678" s="28" t="n">
        <v>143750000</v>
      </c>
      <c r="F1678" s="28" t="n">
        <v>155994265.625</v>
      </c>
      <c r="G1678" s="28" t="n">
        <v>1150000000</v>
      </c>
      <c r="H1678" s="25" t="n">
        <f aca="false">J1677</f>
        <v>1293750000</v>
      </c>
      <c r="I1678" s="25" t="n">
        <f aca="false">H1678*N1678</f>
        <v>12244265.625</v>
      </c>
      <c r="J1678" s="25" t="n">
        <f aca="false">H1678-E1678</f>
        <v>1150000000</v>
      </c>
      <c r="K1678" s="25" t="n">
        <f aca="false">D1678-I1678</f>
        <v>0</v>
      </c>
      <c r="L1678" s="25" t="n">
        <f aca="false">G1678-J1678</f>
        <v>0</v>
      </c>
      <c r="M1678" s="25" t="n">
        <f aca="false">F1678</f>
        <v>155994265.625</v>
      </c>
      <c r="N1678" s="48" t="n">
        <v>0.00946416666666667</v>
      </c>
      <c r="O1678" s="25" t="n">
        <f aca="false">IF(AND(B1678&gt;=DATE(2026,1,1),B1678&lt;=Resumen!$C$5),1,0)</f>
        <v>0</v>
      </c>
      <c r="P1678" s="25" t="n">
        <f aca="false">IF(AND(B1678&gt;Resumen!$C$5,B1678&lt;=DATE(2027,7,31)),1,0)</f>
        <v>0</v>
      </c>
    </row>
    <row r="1679" customFormat="false" ht="15" hidden="false" customHeight="false" outlineLevel="0" collapsed="false">
      <c r="A1679" s="22" t="n">
        <v>37</v>
      </c>
      <c r="B1679" s="23" t="n">
        <v>45674</v>
      </c>
      <c r="C1679" s="28" t="n">
        <v>1150000000</v>
      </c>
      <c r="D1679" s="28" t="n">
        <v>10741000</v>
      </c>
      <c r="E1679" s="28" t="n">
        <v>0</v>
      </c>
      <c r="F1679" s="28" t="n">
        <v>10741000</v>
      </c>
      <c r="G1679" s="28" t="n">
        <v>1150000000</v>
      </c>
      <c r="H1679" s="25" t="n">
        <f aca="false">J1678</f>
        <v>1150000000</v>
      </c>
      <c r="I1679" s="25" t="n">
        <f aca="false">H1679*N1679</f>
        <v>10741000</v>
      </c>
      <c r="J1679" s="25" t="n">
        <f aca="false">H1679-E1679</f>
        <v>1150000000</v>
      </c>
      <c r="K1679" s="25" t="n">
        <f aca="false">D1679-I1679</f>
        <v>0</v>
      </c>
      <c r="L1679" s="25" t="n">
        <f aca="false">G1679-J1679</f>
        <v>0</v>
      </c>
      <c r="M1679" s="25" t="n">
        <f aca="false">F1679</f>
        <v>10741000</v>
      </c>
      <c r="N1679" s="48" t="n">
        <v>0.00934</v>
      </c>
      <c r="O1679" s="25" t="n">
        <f aca="false">IF(AND(B1679&gt;=DATE(2026,1,1),B1679&lt;=Resumen!$C$5),1,0)</f>
        <v>0</v>
      </c>
      <c r="P1679" s="25" t="n">
        <f aca="false">IF(AND(B1679&gt;Resumen!$C$5,B1679&lt;=DATE(2027,7,31)),1,0)</f>
        <v>0</v>
      </c>
    </row>
    <row r="1680" customFormat="false" ht="15" hidden="false" customHeight="false" outlineLevel="0" collapsed="false">
      <c r="A1680" s="22" t="n">
        <v>38</v>
      </c>
      <c r="B1680" s="23" t="n">
        <v>45705</v>
      </c>
      <c r="C1680" s="28" t="n">
        <v>1150000000</v>
      </c>
      <c r="D1680" s="28" t="n">
        <v>10788916.6666667</v>
      </c>
      <c r="E1680" s="28" t="n">
        <v>0</v>
      </c>
      <c r="F1680" s="28" t="n">
        <v>10788916.6666667</v>
      </c>
      <c r="G1680" s="28" t="n">
        <v>1150000000</v>
      </c>
      <c r="H1680" s="25" t="n">
        <f aca="false">J1679</f>
        <v>1150000000</v>
      </c>
      <c r="I1680" s="25" t="n">
        <f aca="false">H1680*N1680</f>
        <v>10788916.6666667</v>
      </c>
      <c r="J1680" s="25" t="n">
        <f aca="false">H1680-E1680</f>
        <v>1150000000</v>
      </c>
      <c r="K1680" s="25" t="n">
        <f aca="false">D1680-I1680</f>
        <v>0</v>
      </c>
      <c r="L1680" s="25" t="n">
        <f aca="false">G1680-J1680</f>
        <v>0</v>
      </c>
      <c r="M1680" s="25" t="n">
        <f aca="false">F1680</f>
        <v>10788916.6666667</v>
      </c>
      <c r="N1680" s="48" t="n">
        <v>0.00938166666666667</v>
      </c>
      <c r="O1680" s="25" t="n">
        <f aca="false">IF(AND(B1680&gt;=DATE(2026,1,1),B1680&lt;=Resumen!$C$5),1,0)</f>
        <v>0</v>
      </c>
      <c r="P1680" s="25" t="n">
        <f aca="false">IF(AND(B1680&gt;Resumen!$C$5,B1680&lt;=DATE(2027,7,31)),1,0)</f>
        <v>0</v>
      </c>
    </row>
    <row r="1681" customFormat="false" ht="15" hidden="false" customHeight="false" outlineLevel="0" collapsed="false">
      <c r="A1681" s="22" t="n">
        <v>39</v>
      </c>
      <c r="B1681" s="23" t="n">
        <v>45733</v>
      </c>
      <c r="C1681" s="28" t="n">
        <v>1150000000</v>
      </c>
      <c r="D1681" s="28" t="n">
        <v>10819583.3333333</v>
      </c>
      <c r="E1681" s="28" t="n">
        <v>143750000</v>
      </c>
      <c r="F1681" s="28" t="n">
        <v>154569583.333333</v>
      </c>
      <c r="G1681" s="28" t="n">
        <v>1006250000</v>
      </c>
      <c r="H1681" s="25" t="n">
        <f aca="false">J1680</f>
        <v>1150000000</v>
      </c>
      <c r="I1681" s="25" t="n">
        <f aca="false">H1681*N1681</f>
        <v>10819583.3333333</v>
      </c>
      <c r="J1681" s="25" t="n">
        <f aca="false">H1681-E1681</f>
        <v>1006250000</v>
      </c>
      <c r="K1681" s="25" t="n">
        <f aca="false">D1681-I1681</f>
        <v>0</v>
      </c>
      <c r="L1681" s="25" t="n">
        <f aca="false">G1681-J1681</f>
        <v>0</v>
      </c>
      <c r="M1681" s="25" t="n">
        <f aca="false">F1681</f>
        <v>154569583.333333</v>
      </c>
      <c r="N1681" s="48" t="n">
        <v>0.00940833333333333</v>
      </c>
      <c r="O1681" s="25" t="n">
        <f aca="false">IF(AND(B1681&gt;=DATE(2026,1,1),B1681&lt;=Resumen!$C$5),1,0)</f>
        <v>0</v>
      </c>
      <c r="P1681" s="25" t="n">
        <f aca="false">IF(AND(B1681&gt;Resumen!$C$5,B1681&lt;=DATE(2027,7,31)),1,0)</f>
        <v>0</v>
      </c>
    </row>
    <row r="1682" customFormat="false" ht="15" hidden="false" customHeight="false" outlineLevel="0" collapsed="false">
      <c r="A1682" s="22" t="n">
        <v>40</v>
      </c>
      <c r="B1682" s="23" t="n">
        <v>45764</v>
      </c>
      <c r="C1682" s="28" t="n">
        <v>1006250000</v>
      </c>
      <c r="D1682" s="28" t="n">
        <v>9521640.625</v>
      </c>
      <c r="E1682" s="28" t="n">
        <v>0</v>
      </c>
      <c r="F1682" s="28" t="n">
        <v>9521640.625</v>
      </c>
      <c r="G1682" s="28" t="n">
        <v>1006250000</v>
      </c>
      <c r="H1682" s="25" t="n">
        <f aca="false">J1681</f>
        <v>1006250000</v>
      </c>
      <c r="I1682" s="25" t="n">
        <f aca="false">H1682*N1682</f>
        <v>9521640.625</v>
      </c>
      <c r="J1682" s="25" t="n">
        <f aca="false">H1682-E1682</f>
        <v>1006250000</v>
      </c>
      <c r="K1682" s="25" t="n">
        <f aca="false">D1682-I1682</f>
        <v>0</v>
      </c>
      <c r="L1682" s="25" t="n">
        <f aca="false">G1682-J1682</f>
        <v>0</v>
      </c>
      <c r="M1682" s="25" t="n">
        <f aca="false">F1682</f>
        <v>9521640.625</v>
      </c>
      <c r="N1682" s="48" t="n">
        <v>0.0094625</v>
      </c>
      <c r="O1682" s="25" t="n">
        <f aca="false">IF(AND(B1682&gt;=DATE(2026,1,1),B1682&lt;=Resumen!$C$5),1,0)</f>
        <v>0</v>
      </c>
      <c r="P1682" s="25" t="n">
        <f aca="false">IF(AND(B1682&gt;Resumen!$C$5,B1682&lt;=DATE(2027,7,31)),1,0)</f>
        <v>0</v>
      </c>
    </row>
    <row r="1683" customFormat="false" ht="15" hidden="false" customHeight="false" outlineLevel="0" collapsed="false">
      <c r="A1683" s="22" t="n">
        <v>41</v>
      </c>
      <c r="B1683" s="23" t="n">
        <v>45794</v>
      </c>
      <c r="C1683" s="28" t="n">
        <v>1006250000</v>
      </c>
      <c r="D1683" s="28" t="n">
        <v>9322067.70833333</v>
      </c>
      <c r="E1683" s="28" t="n">
        <v>0</v>
      </c>
      <c r="F1683" s="28" t="n">
        <v>9322067.70833333</v>
      </c>
      <c r="G1683" s="28" t="n">
        <v>1006250000</v>
      </c>
      <c r="H1683" s="25" t="n">
        <f aca="false">J1682</f>
        <v>1006250000</v>
      </c>
      <c r="I1683" s="25" t="n">
        <f aca="false">H1683*N1683</f>
        <v>9322067.70833333</v>
      </c>
      <c r="J1683" s="25" t="n">
        <f aca="false">H1683-E1683</f>
        <v>1006250000</v>
      </c>
      <c r="K1683" s="25" t="n">
        <f aca="false">D1683-I1683</f>
        <v>0</v>
      </c>
      <c r="L1683" s="25" t="n">
        <f aca="false">G1683-J1683</f>
        <v>0</v>
      </c>
      <c r="M1683" s="25" t="n">
        <f aca="false">F1683</f>
        <v>9322067.70833333</v>
      </c>
      <c r="N1683" s="48" t="n">
        <v>0.00926416666666667</v>
      </c>
      <c r="O1683" s="25" t="n">
        <f aca="false">IF(AND(B1683&gt;=DATE(2026,1,1),B1683&lt;=Resumen!$C$5),1,0)</f>
        <v>0</v>
      </c>
      <c r="P1683" s="25" t="n">
        <f aca="false">IF(AND(B1683&gt;Resumen!$C$5,B1683&lt;=DATE(2027,7,31)),1,0)</f>
        <v>0</v>
      </c>
    </row>
    <row r="1684" customFormat="false" ht="15" hidden="false" customHeight="false" outlineLevel="0" collapsed="false">
      <c r="A1684" s="22" t="n">
        <v>42</v>
      </c>
      <c r="B1684" s="23" t="n">
        <v>45825</v>
      </c>
      <c r="C1684" s="28" t="n">
        <v>1006250000</v>
      </c>
      <c r="D1684" s="28" t="n">
        <v>9302781.25</v>
      </c>
      <c r="E1684" s="28" t="n">
        <v>143750000</v>
      </c>
      <c r="F1684" s="28" t="n">
        <v>153052781.25</v>
      </c>
      <c r="G1684" s="28" t="n">
        <v>862500000</v>
      </c>
      <c r="H1684" s="25" t="n">
        <f aca="false">J1683</f>
        <v>1006250000</v>
      </c>
      <c r="I1684" s="25" t="n">
        <f aca="false">H1684*N1684</f>
        <v>9302781.25</v>
      </c>
      <c r="J1684" s="25" t="n">
        <f aca="false">H1684-E1684</f>
        <v>862500000</v>
      </c>
      <c r="K1684" s="25" t="n">
        <f aca="false">D1684-I1684</f>
        <v>0</v>
      </c>
      <c r="L1684" s="25" t="n">
        <f aca="false">G1684-J1684</f>
        <v>0</v>
      </c>
      <c r="M1684" s="25" t="n">
        <f aca="false">F1684</f>
        <v>153052781.25</v>
      </c>
      <c r="N1684" s="48" t="n">
        <v>0.009245</v>
      </c>
      <c r="O1684" s="25" t="n">
        <f aca="false">IF(AND(B1684&gt;=DATE(2026,1,1),B1684&lt;=Resumen!$C$5),1,0)</f>
        <v>0</v>
      </c>
      <c r="P1684" s="25" t="n">
        <f aca="false">IF(AND(B1684&gt;Resumen!$C$5,B1684&lt;=DATE(2027,7,31)),1,0)</f>
        <v>0</v>
      </c>
    </row>
    <row r="1685" customFormat="false" ht="15" hidden="false" customHeight="false" outlineLevel="0" collapsed="false">
      <c r="A1685" s="22" t="n">
        <v>43</v>
      </c>
      <c r="B1685" s="23" t="n">
        <v>45855</v>
      </c>
      <c r="C1685" s="28" t="n">
        <v>862500000</v>
      </c>
      <c r="D1685" s="28" t="n">
        <v>7916312.5</v>
      </c>
      <c r="E1685" s="28" t="n">
        <v>0</v>
      </c>
      <c r="F1685" s="28" t="n">
        <v>7916312.5</v>
      </c>
      <c r="G1685" s="28" t="n">
        <v>862500000</v>
      </c>
      <c r="H1685" s="25" t="n">
        <f aca="false">J1684</f>
        <v>862500000</v>
      </c>
      <c r="I1685" s="25" t="n">
        <f aca="false">H1685*N1685</f>
        <v>7916312.5</v>
      </c>
      <c r="J1685" s="25" t="n">
        <f aca="false">H1685-E1685</f>
        <v>862500000</v>
      </c>
      <c r="K1685" s="25" t="n">
        <f aca="false">D1685-I1685</f>
        <v>0</v>
      </c>
      <c r="L1685" s="25" t="n">
        <f aca="false">G1685-J1685</f>
        <v>0</v>
      </c>
      <c r="M1685" s="25" t="n">
        <f aca="false">F1685</f>
        <v>7916312.5</v>
      </c>
      <c r="N1685" s="48" t="n">
        <v>0.00917833333333333</v>
      </c>
      <c r="O1685" s="25" t="n">
        <f aca="false">IF(AND(B1685&gt;=DATE(2026,1,1),B1685&lt;=Resumen!$C$5),1,0)</f>
        <v>0</v>
      </c>
      <c r="P1685" s="25" t="n">
        <f aca="false">IF(AND(B1685&gt;Resumen!$C$5,B1685&lt;=DATE(2027,7,31)),1,0)</f>
        <v>0</v>
      </c>
    </row>
    <row r="1686" customFormat="false" ht="15" hidden="false" customHeight="false" outlineLevel="0" collapsed="false">
      <c r="A1686" s="22" t="n">
        <v>44</v>
      </c>
      <c r="B1686" s="23" t="n">
        <v>45886</v>
      </c>
      <c r="C1686" s="28" t="n">
        <v>862500000</v>
      </c>
      <c r="D1686" s="28" t="n">
        <v>8020531.25</v>
      </c>
      <c r="E1686" s="28" t="n">
        <v>0</v>
      </c>
      <c r="F1686" s="28" t="n">
        <v>8020531.25</v>
      </c>
      <c r="G1686" s="28" t="n">
        <v>862500000</v>
      </c>
      <c r="H1686" s="25" t="n">
        <f aca="false">J1685</f>
        <v>862500000</v>
      </c>
      <c r="I1686" s="25" t="n">
        <f aca="false">H1686*N1686</f>
        <v>8020531.25</v>
      </c>
      <c r="J1686" s="25" t="n">
        <f aca="false">H1686-E1686</f>
        <v>862500000</v>
      </c>
      <c r="K1686" s="25" t="n">
        <f aca="false">D1686-I1686</f>
        <v>0</v>
      </c>
      <c r="L1686" s="25" t="n">
        <f aca="false">G1686-J1686</f>
        <v>0</v>
      </c>
      <c r="M1686" s="25" t="n">
        <f aca="false">F1686</f>
        <v>8020531.25</v>
      </c>
      <c r="N1686" s="48" t="n">
        <v>0.00929916666666667</v>
      </c>
      <c r="O1686" s="25" t="n">
        <f aca="false">IF(AND(B1686&gt;=DATE(2026,1,1),B1686&lt;=Resumen!$C$5),1,0)</f>
        <v>0</v>
      </c>
      <c r="P1686" s="25" t="n">
        <f aca="false">IF(AND(B1686&gt;Resumen!$C$5,B1686&lt;=DATE(2027,7,31)),1,0)</f>
        <v>0</v>
      </c>
    </row>
    <row r="1687" customFormat="false" ht="15" hidden="false" customHeight="false" outlineLevel="0" collapsed="false">
      <c r="A1687" s="22" t="n">
        <v>45</v>
      </c>
      <c r="B1687" s="23" t="n">
        <v>45917</v>
      </c>
      <c r="C1687" s="28" t="n">
        <v>862500000</v>
      </c>
      <c r="D1687" s="28" t="n">
        <v>8037781.25</v>
      </c>
      <c r="E1687" s="28" t="n">
        <v>143750000</v>
      </c>
      <c r="F1687" s="28" t="n">
        <v>151787781.25</v>
      </c>
      <c r="G1687" s="28" t="n">
        <v>718750000</v>
      </c>
      <c r="H1687" s="25" t="n">
        <f aca="false">J1686</f>
        <v>862500000</v>
      </c>
      <c r="I1687" s="25" t="n">
        <f aca="false">H1687*N1687</f>
        <v>8037781.25</v>
      </c>
      <c r="J1687" s="25" t="n">
        <f aca="false">H1687-E1687</f>
        <v>718750000</v>
      </c>
      <c r="K1687" s="25" t="n">
        <f aca="false">D1687-I1687</f>
        <v>0</v>
      </c>
      <c r="L1687" s="25" t="n">
        <f aca="false">G1687-J1687</f>
        <v>0</v>
      </c>
      <c r="M1687" s="25" t="n">
        <f aca="false">F1687</f>
        <v>151787781.25</v>
      </c>
      <c r="N1687" s="48" t="n">
        <v>0.00931916666666667</v>
      </c>
      <c r="O1687" s="25" t="n">
        <f aca="false">IF(AND(B1687&gt;=DATE(2026,1,1),B1687&lt;=Resumen!$C$5),1,0)</f>
        <v>0</v>
      </c>
      <c r="P1687" s="25" t="n">
        <f aca="false">IF(AND(B1687&gt;Resumen!$C$5,B1687&lt;=DATE(2027,7,31)),1,0)</f>
        <v>0</v>
      </c>
    </row>
    <row r="1688" customFormat="false" ht="15" hidden="false" customHeight="false" outlineLevel="0" collapsed="false">
      <c r="A1688" s="22" t="n">
        <v>46</v>
      </c>
      <c r="B1688" s="23" t="n">
        <v>45947</v>
      </c>
      <c r="C1688" s="28" t="n">
        <v>718750000</v>
      </c>
      <c r="D1688" s="28" t="n">
        <v>6736484.375</v>
      </c>
      <c r="E1688" s="28" t="n">
        <v>0</v>
      </c>
      <c r="F1688" s="28" t="n">
        <v>6736484.375</v>
      </c>
      <c r="G1688" s="28" t="n">
        <v>718750000</v>
      </c>
      <c r="H1688" s="25" t="n">
        <f aca="false">J1687</f>
        <v>718750000</v>
      </c>
      <c r="I1688" s="25" t="n">
        <f aca="false">H1688*N1688</f>
        <v>6736484.375</v>
      </c>
      <c r="J1688" s="25" t="n">
        <f aca="false">H1688-E1688</f>
        <v>718750000</v>
      </c>
      <c r="K1688" s="25" t="n">
        <f aca="false">D1688-I1688</f>
        <v>0</v>
      </c>
      <c r="L1688" s="25" t="n">
        <f aca="false">G1688-J1688</f>
        <v>0</v>
      </c>
      <c r="M1688" s="25" t="n">
        <f aca="false">F1688</f>
        <v>6736484.375</v>
      </c>
      <c r="N1688" s="48" t="n">
        <v>0.0093725</v>
      </c>
      <c r="O1688" s="25" t="n">
        <f aca="false">IF(AND(B1688&gt;=DATE(2026,1,1),B1688&lt;=Resumen!$C$5),1,0)</f>
        <v>0</v>
      </c>
      <c r="P1688" s="25" t="n">
        <f aca="false">IF(AND(B1688&gt;Resumen!$C$5,B1688&lt;=DATE(2027,7,31)),1,0)</f>
        <v>0</v>
      </c>
    </row>
    <row r="1689" customFormat="false" ht="15" hidden="false" customHeight="false" outlineLevel="0" collapsed="false">
      <c r="A1689" s="22" t="n">
        <v>47</v>
      </c>
      <c r="B1689" s="23" t="n">
        <v>45978</v>
      </c>
      <c r="C1689" s="28" t="n">
        <v>718750000</v>
      </c>
      <c r="D1689" s="28" t="n">
        <v>6841901.04166667</v>
      </c>
      <c r="E1689" s="28" t="n">
        <v>0</v>
      </c>
      <c r="F1689" s="28" t="n">
        <v>6841901.04166667</v>
      </c>
      <c r="G1689" s="28" t="n">
        <v>718750000</v>
      </c>
      <c r="H1689" s="25" t="n">
        <f aca="false">J1688</f>
        <v>718750000</v>
      </c>
      <c r="I1689" s="25" t="n">
        <f aca="false">H1689*N1689</f>
        <v>6841901.04166667</v>
      </c>
      <c r="J1689" s="25" t="n">
        <f aca="false">H1689-E1689</f>
        <v>718750000</v>
      </c>
      <c r="K1689" s="25" t="n">
        <f aca="false">D1689-I1689</f>
        <v>0</v>
      </c>
      <c r="L1689" s="25" t="n">
        <f aca="false">G1689-J1689</f>
        <v>0</v>
      </c>
      <c r="M1689" s="25" t="n">
        <f aca="false">F1689</f>
        <v>6841901.04166667</v>
      </c>
      <c r="N1689" s="48" t="n">
        <v>0.00951916666666667</v>
      </c>
      <c r="O1689" s="25" t="n">
        <f aca="false">IF(AND(B1689&gt;=DATE(2026,1,1),B1689&lt;=Resumen!$C$5),1,0)</f>
        <v>0</v>
      </c>
      <c r="P1689" s="25" t="n">
        <f aca="false">IF(AND(B1689&gt;Resumen!$C$5,B1689&lt;=DATE(2027,7,31)),1,0)</f>
        <v>0</v>
      </c>
    </row>
    <row r="1690" customFormat="false" ht="15" hidden="false" customHeight="false" outlineLevel="0" collapsed="false">
      <c r="A1690" s="22" t="n">
        <v>48</v>
      </c>
      <c r="B1690" s="23" t="n">
        <v>46008</v>
      </c>
      <c r="C1690" s="28" t="n">
        <v>718750000</v>
      </c>
      <c r="D1690" s="28" t="n">
        <v>7068307.29166667</v>
      </c>
      <c r="E1690" s="28" t="n">
        <v>143750000</v>
      </c>
      <c r="F1690" s="28" t="n">
        <v>150818307.291667</v>
      </c>
      <c r="G1690" s="28" t="n">
        <v>575000000</v>
      </c>
      <c r="H1690" s="25" t="n">
        <f aca="false">J1689</f>
        <v>718750000</v>
      </c>
      <c r="I1690" s="25" t="n">
        <f aca="false">H1690*N1690</f>
        <v>7068307.29166667</v>
      </c>
      <c r="J1690" s="25" t="n">
        <f aca="false">H1690-E1690</f>
        <v>575000000</v>
      </c>
      <c r="K1690" s="25" t="n">
        <f aca="false">D1690-I1690</f>
        <v>0</v>
      </c>
      <c r="L1690" s="25" t="n">
        <f aca="false">G1690-J1690</f>
        <v>0</v>
      </c>
      <c r="M1690" s="25" t="n">
        <f aca="false">F1690</f>
        <v>150818307.291667</v>
      </c>
      <c r="N1690" s="48" t="n">
        <v>0.00983416666666667</v>
      </c>
      <c r="O1690" s="25" t="n">
        <f aca="false">IF(AND(B1690&gt;=DATE(2026,1,1),B1690&lt;=Resumen!$C$5),1,0)</f>
        <v>0</v>
      </c>
      <c r="P1690" s="25" t="n">
        <f aca="false">IF(AND(B1690&gt;Resumen!$C$5,B1690&lt;=DATE(2027,7,31)),1,0)</f>
        <v>0</v>
      </c>
    </row>
    <row r="1691" customFormat="false" ht="15" hidden="false" customHeight="false" outlineLevel="0" collapsed="false">
      <c r="A1691" s="22" t="n">
        <v>49</v>
      </c>
      <c r="B1691" s="23" t="n">
        <v>46039</v>
      </c>
      <c r="C1691" s="28" t="n">
        <v>575000000</v>
      </c>
      <c r="D1691" s="28" t="n">
        <v>5742812.5</v>
      </c>
      <c r="E1691" s="28" t="n">
        <v>0</v>
      </c>
      <c r="F1691" s="28" t="n">
        <v>5742812.5</v>
      </c>
      <c r="G1691" s="28" t="n">
        <v>575000000</v>
      </c>
      <c r="H1691" s="25" t="n">
        <f aca="false">J1690</f>
        <v>575000000</v>
      </c>
      <c r="I1691" s="25" t="n">
        <f aca="false">H1691*N1691</f>
        <v>5742812.5</v>
      </c>
      <c r="J1691" s="25" t="n">
        <f aca="false">H1691-E1691</f>
        <v>575000000</v>
      </c>
      <c r="K1691" s="25" t="n">
        <f aca="false">D1691-I1691</f>
        <v>0</v>
      </c>
      <c r="L1691" s="25" t="n">
        <f aca="false">G1691-J1691</f>
        <v>0</v>
      </c>
      <c r="M1691" s="25" t="n">
        <f aca="false">F1691</f>
        <v>5742812.5</v>
      </c>
      <c r="N1691" s="48" t="n">
        <v>0.0099875</v>
      </c>
      <c r="O1691" s="25" t="n">
        <f aca="false">IF(AND(B1691&gt;=DATE(2026,1,1),B1691&lt;=Resumen!$C$5),1,0)</f>
        <v>1</v>
      </c>
      <c r="P1691" s="25" t="n">
        <f aca="false">IF(AND(B1691&gt;Resumen!$C$5,B1691&lt;=DATE(2027,7,31)),1,0)</f>
        <v>0</v>
      </c>
    </row>
    <row r="1692" customFormat="false" ht="15" hidden="false" customHeight="false" outlineLevel="0" collapsed="false">
      <c r="A1692" s="22" t="n">
        <v>50</v>
      </c>
      <c r="B1692" s="23" t="n">
        <v>46070</v>
      </c>
      <c r="C1692" s="28" t="n">
        <v>575000000</v>
      </c>
      <c r="D1692" s="28" t="n">
        <v>6206645.83333333</v>
      </c>
      <c r="E1692" s="28" t="n">
        <v>0</v>
      </c>
      <c r="F1692" s="28" t="n">
        <v>6206645.83333333</v>
      </c>
      <c r="G1692" s="28" t="n">
        <v>575000000</v>
      </c>
      <c r="H1692" s="25" t="n">
        <f aca="false">J1691</f>
        <v>575000000</v>
      </c>
      <c r="I1692" s="25" t="n">
        <f aca="false">H1692*N1692</f>
        <v>6206645.83333334</v>
      </c>
      <c r="J1692" s="25" t="n">
        <f aca="false">H1692-E1692</f>
        <v>575000000</v>
      </c>
      <c r="K1692" s="25" t="n">
        <f aca="false">D1692-I1692</f>
        <v>0</v>
      </c>
      <c r="L1692" s="25" t="n">
        <f aca="false">G1692-J1692</f>
        <v>0</v>
      </c>
      <c r="M1692" s="25" t="n">
        <f aca="false">F1692</f>
        <v>6206645.83333333</v>
      </c>
      <c r="N1692" s="48" t="n">
        <v>0.0107941666666667</v>
      </c>
      <c r="O1692" s="25" t="n">
        <f aca="false">IF(AND(B1692&gt;=DATE(2026,1,1),B1692&lt;=Resumen!$C$5),1,0)</f>
        <v>1</v>
      </c>
      <c r="P1692" s="25" t="n">
        <f aca="false">IF(AND(B1692&gt;Resumen!$C$5,B1692&lt;=DATE(2027,7,31)),1,0)</f>
        <v>0</v>
      </c>
    </row>
    <row r="1693" customFormat="false" ht="15" hidden="false" customHeight="false" outlineLevel="0" collapsed="false">
      <c r="A1693" s="22" t="n">
        <v>51</v>
      </c>
      <c r="B1693" s="23" t="n">
        <v>46098</v>
      </c>
      <c r="C1693" s="28" t="n">
        <v>575000000</v>
      </c>
      <c r="D1693" s="28" t="n">
        <v>6431854.16666667</v>
      </c>
      <c r="E1693" s="28" t="n">
        <v>143750000</v>
      </c>
      <c r="F1693" s="28" t="n">
        <v>150181854.166667</v>
      </c>
      <c r="G1693" s="28" t="n">
        <v>431250000</v>
      </c>
      <c r="H1693" s="25" t="n">
        <f aca="false">J1692</f>
        <v>575000000</v>
      </c>
      <c r="I1693" s="25" t="n">
        <f aca="false">H1693*N1693</f>
        <v>6431854.16666667</v>
      </c>
      <c r="J1693" s="25" t="n">
        <f aca="false">H1693-E1693</f>
        <v>431250000</v>
      </c>
      <c r="K1693" s="25" t="n">
        <f aca="false">D1693-I1693</f>
        <v>0</v>
      </c>
      <c r="L1693" s="25" t="n">
        <f aca="false">G1693-J1693</f>
        <v>0</v>
      </c>
      <c r="M1693" s="25" t="n">
        <f aca="false">F1693</f>
        <v>150181854.166667</v>
      </c>
      <c r="N1693" s="48" t="n">
        <v>0.0111858333333333</v>
      </c>
      <c r="O1693" s="25" t="n">
        <f aca="false">IF(AND(B1693&gt;=DATE(2026,1,1),B1693&lt;=Resumen!$C$5),1,0)</f>
        <v>1</v>
      </c>
      <c r="P1693" s="25" t="n">
        <f aca="false">IF(AND(B1693&gt;Resumen!$C$5,B1693&lt;=DATE(2027,7,31)),1,0)</f>
        <v>0</v>
      </c>
    </row>
    <row r="1694" customFormat="false" ht="15" hidden="false" customHeight="false" outlineLevel="0" collapsed="false">
      <c r="A1694" s="22" t="n">
        <v>52</v>
      </c>
      <c r="B1694" s="23" t="n">
        <v>46129</v>
      </c>
      <c r="C1694" s="28" t="n">
        <v>431250000</v>
      </c>
      <c r="D1694" s="28" t="n">
        <v>4976265.625</v>
      </c>
      <c r="E1694" s="28" t="n">
        <v>0</v>
      </c>
      <c r="F1694" s="28" t="n">
        <v>4976265.625</v>
      </c>
      <c r="G1694" s="28" t="n">
        <v>431250000</v>
      </c>
      <c r="H1694" s="25" t="n">
        <f aca="false">J1693</f>
        <v>431250000</v>
      </c>
      <c r="I1694" s="25" t="n">
        <f aca="false">H1694*N1694</f>
        <v>4976265.625</v>
      </c>
      <c r="J1694" s="25" t="n">
        <f aca="false">H1694-E1694</f>
        <v>431250000</v>
      </c>
      <c r="K1694" s="25" t="n">
        <f aca="false">D1694-I1694</f>
        <v>0</v>
      </c>
      <c r="L1694" s="25" t="n">
        <f aca="false">G1694-J1694</f>
        <v>0</v>
      </c>
      <c r="M1694" s="25" t="n">
        <f aca="false">F1694</f>
        <v>4976265.625</v>
      </c>
      <c r="N1694" s="48" t="n">
        <v>0.0115391666666667</v>
      </c>
      <c r="O1694" s="25" t="n">
        <f aca="false">IF(AND(B1694&gt;=DATE(2026,1,1),B1694&lt;=Resumen!$C$5),1,0)</f>
        <v>1</v>
      </c>
      <c r="P1694" s="25" t="n">
        <f aca="false">IF(AND(B1694&gt;Resumen!$C$5,B1694&lt;=DATE(2027,7,31)),1,0)</f>
        <v>0</v>
      </c>
    </row>
    <row r="1695" customFormat="false" ht="15" hidden="false" customHeight="false" outlineLevel="0" collapsed="false">
      <c r="A1695" s="22" t="n">
        <v>53</v>
      </c>
      <c r="B1695" s="23" t="n">
        <v>46159</v>
      </c>
      <c r="C1695" s="28" t="n">
        <v>431250000</v>
      </c>
      <c r="D1695" s="28" t="n">
        <v>4976265.625</v>
      </c>
      <c r="E1695" s="28" t="n">
        <v>0</v>
      </c>
      <c r="F1695" s="28" t="n">
        <v>4976265.625</v>
      </c>
      <c r="G1695" s="28" t="n">
        <v>431250000</v>
      </c>
      <c r="H1695" s="25" t="n">
        <f aca="false">J1694</f>
        <v>431250000</v>
      </c>
      <c r="I1695" s="25" t="n">
        <f aca="false">H1695*N1695</f>
        <v>4976265.625</v>
      </c>
      <c r="J1695" s="25" t="n">
        <f aca="false">H1695-E1695</f>
        <v>431250000</v>
      </c>
      <c r="K1695" s="25" t="n">
        <f aca="false">D1695-I1695</f>
        <v>0</v>
      </c>
      <c r="L1695" s="25" t="n">
        <f aca="false">G1695-J1695</f>
        <v>0</v>
      </c>
      <c r="M1695" s="25" t="n">
        <f aca="false">F1695</f>
        <v>4976265.625</v>
      </c>
      <c r="N1695" s="48" t="n">
        <v>0.0115391666666667</v>
      </c>
      <c r="O1695" s="25" t="n">
        <f aca="false">IF(AND(B1695&gt;=DATE(2026,1,1),B1695&lt;=Resumen!$C$5),1,0)</f>
        <v>1</v>
      </c>
      <c r="P1695" s="25" t="n">
        <f aca="false">IF(AND(B1695&gt;Resumen!$C$5,B1695&lt;=DATE(2027,7,31)),1,0)</f>
        <v>0</v>
      </c>
    </row>
    <row r="1696" customFormat="false" ht="15" hidden="false" customHeight="false" outlineLevel="0" collapsed="false">
      <c r="A1696" s="22" t="n">
        <v>54</v>
      </c>
      <c r="B1696" s="23" t="n">
        <v>46190</v>
      </c>
      <c r="C1696" s="28" t="n">
        <v>431250000</v>
      </c>
      <c r="D1696" s="28" t="n">
        <v>4987406.25</v>
      </c>
      <c r="E1696" s="28" t="n">
        <v>143750000</v>
      </c>
      <c r="F1696" s="28" t="n">
        <v>148737406.25</v>
      </c>
      <c r="G1696" s="28" t="n">
        <v>287500000</v>
      </c>
      <c r="H1696" s="25" t="n">
        <f aca="false">J1695</f>
        <v>431250000</v>
      </c>
      <c r="I1696" s="25" t="n">
        <f aca="false">H1696*N1696</f>
        <v>4987406.25</v>
      </c>
      <c r="J1696" s="25" t="n">
        <f aca="false">H1696-E1696</f>
        <v>287500000</v>
      </c>
      <c r="K1696" s="25" t="n">
        <f aca="false">D1696-I1696</f>
        <v>0</v>
      </c>
      <c r="L1696" s="25" t="n">
        <f aca="false">G1696-J1696</f>
        <v>0</v>
      </c>
      <c r="M1696" s="25" t="n">
        <f aca="false">F1696</f>
        <v>148737406.25</v>
      </c>
      <c r="N1696" s="48" t="n">
        <v>0.011565</v>
      </c>
      <c r="O1696" s="25" t="n">
        <f aca="false">IF(AND(B1696&gt;=DATE(2026,1,1),B1696&lt;=Resumen!$C$5),1,0)</f>
        <v>1</v>
      </c>
      <c r="P1696" s="25" t="n">
        <f aca="false">IF(AND(B1696&gt;Resumen!$C$5,B1696&lt;=DATE(2027,7,31)),1,0)</f>
        <v>0</v>
      </c>
    </row>
    <row r="1697" customFormat="false" ht="15" hidden="false" customHeight="false" outlineLevel="0" collapsed="false">
      <c r="A1697" s="22" t="n">
        <v>55</v>
      </c>
      <c r="B1697" s="23" t="n">
        <v>46220</v>
      </c>
      <c r="C1697" s="28" t="n">
        <v>287500000</v>
      </c>
      <c r="D1697" s="28" t="n">
        <v>3394416.66666667</v>
      </c>
      <c r="E1697" s="28" t="n">
        <v>0</v>
      </c>
      <c r="F1697" s="28" t="n">
        <v>3394416.66666667</v>
      </c>
      <c r="G1697" s="28" t="n">
        <v>287500000</v>
      </c>
      <c r="H1697" s="25" t="n">
        <f aca="false">J1696</f>
        <v>287500000</v>
      </c>
      <c r="I1697" s="25" t="n">
        <f aca="false">H1697*N1697</f>
        <v>3394416.66666667</v>
      </c>
      <c r="J1697" s="25" t="n">
        <f aca="false">H1697-E1697</f>
        <v>287500000</v>
      </c>
      <c r="K1697" s="25" t="n">
        <f aca="false">D1697-I1697</f>
        <v>0</v>
      </c>
      <c r="L1697" s="25" t="n">
        <f aca="false">G1697-J1697</f>
        <v>0</v>
      </c>
      <c r="M1697" s="25" t="n">
        <f aca="false">F1697</f>
        <v>3394416.66666667</v>
      </c>
      <c r="N1697" s="48" t="n">
        <v>0.0118066666666667</v>
      </c>
      <c r="O1697" s="25" t="n">
        <f aca="false">IF(AND(B1697&gt;=DATE(2026,1,1),B1697&lt;=Resumen!$C$5),1,0)</f>
        <v>1</v>
      </c>
      <c r="P1697" s="25" t="n">
        <f aca="false">IF(AND(B1697&gt;Resumen!$C$5,B1697&lt;=DATE(2027,7,31)),1,0)</f>
        <v>0</v>
      </c>
    </row>
    <row r="1698" customFormat="false" ht="15" hidden="false" customHeight="false" outlineLevel="0" collapsed="false">
      <c r="A1698" s="22" t="n">
        <v>56</v>
      </c>
      <c r="B1698" s="23" t="n">
        <v>46251</v>
      </c>
      <c r="C1698" s="28" t="n">
        <v>287500000</v>
      </c>
      <c r="D1698" s="28" t="n">
        <v>3394416.66666667</v>
      </c>
      <c r="E1698" s="28" t="n">
        <v>0</v>
      </c>
      <c r="F1698" s="28" t="n">
        <v>3394416.66666667</v>
      </c>
      <c r="G1698" s="28" t="n">
        <v>287500000</v>
      </c>
      <c r="H1698" s="25" t="n">
        <f aca="false">J1697</f>
        <v>287500000</v>
      </c>
      <c r="I1698" s="25" t="n">
        <f aca="false">H1698*N1698</f>
        <v>3394416.66666667</v>
      </c>
      <c r="J1698" s="25" t="n">
        <f aca="false">H1698-E1698</f>
        <v>287500000</v>
      </c>
      <c r="K1698" s="25" t="n">
        <f aca="false">D1698-I1698</f>
        <v>0</v>
      </c>
      <c r="L1698" s="25" t="n">
        <f aca="false">G1698-J1698</f>
        <v>0</v>
      </c>
      <c r="M1698" s="25" t="n">
        <f aca="false">F1698</f>
        <v>3394416.66666667</v>
      </c>
      <c r="N1698" s="48" t="n">
        <v>0.0118066666666667</v>
      </c>
      <c r="O1698" s="25" t="n">
        <f aca="false">IF(AND(B1698&gt;=DATE(2026,1,1),B1698&lt;=Resumen!$C$5),1,0)</f>
        <v>0</v>
      </c>
      <c r="P1698" s="25" t="n">
        <f aca="false">IF(AND(B1698&gt;Resumen!$C$5,B1698&lt;=DATE(2027,7,31)),1,0)</f>
        <v>1</v>
      </c>
    </row>
    <row r="1699" customFormat="false" ht="15" hidden="false" customHeight="false" outlineLevel="0" collapsed="false">
      <c r="A1699" s="22" t="n">
        <v>57</v>
      </c>
      <c r="B1699" s="23" t="n">
        <v>46282</v>
      </c>
      <c r="C1699" s="28" t="n">
        <v>287500000</v>
      </c>
      <c r="D1699" s="28" t="n">
        <v>3394416.66666667</v>
      </c>
      <c r="E1699" s="28" t="n">
        <v>143750000</v>
      </c>
      <c r="F1699" s="28" t="n">
        <v>147144416.666667</v>
      </c>
      <c r="G1699" s="28" t="n">
        <v>143750000</v>
      </c>
      <c r="H1699" s="25" t="n">
        <f aca="false">J1698</f>
        <v>287500000</v>
      </c>
      <c r="I1699" s="25" t="n">
        <f aca="false">H1699*N1699</f>
        <v>3394416.66666667</v>
      </c>
      <c r="J1699" s="25" t="n">
        <f aca="false">H1699-E1699</f>
        <v>143750000</v>
      </c>
      <c r="K1699" s="25" t="n">
        <f aca="false">D1699-I1699</f>
        <v>0</v>
      </c>
      <c r="L1699" s="25" t="n">
        <f aca="false">G1699-J1699</f>
        <v>0</v>
      </c>
      <c r="M1699" s="25" t="n">
        <f aca="false">F1699</f>
        <v>147144416.666667</v>
      </c>
      <c r="N1699" s="48" t="n">
        <v>0.0118066666666667</v>
      </c>
      <c r="O1699" s="25" t="n">
        <f aca="false">IF(AND(B1699&gt;=DATE(2026,1,1),B1699&lt;=Resumen!$C$5),1,0)</f>
        <v>0</v>
      </c>
      <c r="P1699" s="25" t="n">
        <f aca="false">IF(AND(B1699&gt;Resumen!$C$5,B1699&lt;=DATE(2027,7,31)),1,0)</f>
        <v>1</v>
      </c>
    </row>
    <row r="1700" customFormat="false" ht="15" hidden="false" customHeight="false" outlineLevel="0" collapsed="false">
      <c r="A1700" s="22" t="n">
        <v>58</v>
      </c>
      <c r="B1700" s="23" t="n">
        <v>46312</v>
      </c>
      <c r="C1700" s="28" t="n">
        <v>143750000</v>
      </c>
      <c r="D1700" s="28" t="n">
        <v>1697208.33333333</v>
      </c>
      <c r="E1700" s="28" t="n">
        <v>0</v>
      </c>
      <c r="F1700" s="28" t="n">
        <v>1697208.33333333</v>
      </c>
      <c r="G1700" s="28" t="n">
        <v>143750000</v>
      </c>
      <c r="H1700" s="25" t="n">
        <f aca="false">J1699</f>
        <v>143750000</v>
      </c>
      <c r="I1700" s="25" t="n">
        <f aca="false">H1700*N1700</f>
        <v>1697208.33333333</v>
      </c>
      <c r="J1700" s="25" t="n">
        <f aca="false">H1700-E1700</f>
        <v>143750000</v>
      </c>
      <c r="K1700" s="25" t="n">
        <f aca="false">D1700-I1700</f>
        <v>0</v>
      </c>
      <c r="L1700" s="25" t="n">
        <f aca="false">G1700-J1700</f>
        <v>0</v>
      </c>
      <c r="M1700" s="25" t="n">
        <f aca="false">F1700</f>
        <v>1697208.33333333</v>
      </c>
      <c r="N1700" s="48" t="n">
        <v>0.0118066666666667</v>
      </c>
      <c r="O1700" s="25" t="n">
        <f aca="false">IF(AND(B1700&gt;=DATE(2026,1,1),B1700&lt;=Resumen!$C$5),1,0)</f>
        <v>0</v>
      </c>
      <c r="P1700" s="25" t="n">
        <f aca="false">IF(AND(B1700&gt;Resumen!$C$5,B1700&lt;=DATE(2027,7,31)),1,0)</f>
        <v>1</v>
      </c>
    </row>
    <row r="1701" customFormat="false" ht="15" hidden="false" customHeight="false" outlineLevel="0" collapsed="false">
      <c r="A1701" s="22" t="n">
        <v>59</v>
      </c>
      <c r="B1701" s="23" t="n">
        <v>46343</v>
      </c>
      <c r="C1701" s="28" t="n">
        <v>143750000</v>
      </c>
      <c r="D1701" s="28" t="n">
        <v>1697208.33333333</v>
      </c>
      <c r="E1701" s="28" t="n">
        <v>0</v>
      </c>
      <c r="F1701" s="28" t="n">
        <v>1697208.33333333</v>
      </c>
      <c r="G1701" s="28" t="n">
        <v>143750000</v>
      </c>
      <c r="H1701" s="25" t="n">
        <f aca="false">J1700</f>
        <v>143750000</v>
      </c>
      <c r="I1701" s="25" t="n">
        <f aca="false">H1701*N1701</f>
        <v>1697208.33333333</v>
      </c>
      <c r="J1701" s="25" t="n">
        <f aca="false">H1701-E1701</f>
        <v>143750000</v>
      </c>
      <c r="K1701" s="25" t="n">
        <f aca="false">D1701-I1701</f>
        <v>0</v>
      </c>
      <c r="L1701" s="25" t="n">
        <f aca="false">G1701-J1701</f>
        <v>0</v>
      </c>
      <c r="M1701" s="25" t="n">
        <f aca="false">F1701</f>
        <v>1697208.33333333</v>
      </c>
      <c r="N1701" s="48" t="n">
        <v>0.0118066666666667</v>
      </c>
      <c r="O1701" s="25" t="n">
        <f aca="false">IF(AND(B1701&gt;=DATE(2026,1,1),B1701&lt;=Resumen!$C$5),1,0)</f>
        <v>0</v>
      </c>
      <c r="P1701" s="25" t="n">
        <f aca="false">IF(AND(B1701&gt;Resumen!$C$5,B1701&lt;=DATE(2027,7,31)),1,0)</f>
        <v>1</v>
      </c>
    </row>
    <row r="1702" customFormat="false" ht="15" hidden="false" customHeight="false" outlineLevel="0" collapsed="false">
      <c r="A1702" s="22" t="n">
        <v>60</v>
      </c>
      <c r="B1702" s="23" t="n">
        <v>46373</v>
      </c>
      <c r="C1702" s="28" t="n">
        <v>143750000</v>
      </c>
      <c r="D1702" s="28" t="n">
        <v>1697208.33333333</v>
      </c>
      <c r="E1702" s="28" t="n">
        <v>143750000</v>
      </c>
      <c r="F1702" s="28" t="n">
        <v>145447208.333333</v>
      </c>
      <c r="G1702" s="28" t="n">
        <v>0</v>
      </c>
      <c r="H1702" s="25" t="n">
        <f aca="false">J1701</f>
        <v>143750000</v>
      </c>
      <c r="I1702" s="25" t="n">
        <f aca="false">H1702*N1702</f>
        <v>1697208.33333333</v>
      </c>
      <c r="J1702" s="25" t="n">
        <f aca="false">H1702-E1702</f>
        <v>0</v>
      </c>
      <c r="K1702" s="25" t="n">
        <f aca="false">D1702-I1702</f>
        <v>0</v>
      </c>
      <c r="L1702" s="25" t="n">
        <f aca="false">G1702-J1702</f>
        <v>0</v>
      </c>
      <c r="M1702" s="25" t="n">
        <f aca="false">F1702</f>
        <v>145447208.333333</v>
      </c>
      <c r="N1702" s="48" t="n">
        <v>0.0118066666666667</v>
      </c>
      <c r="O1702" s="25" t="n">
        <f aca="false">IF(AND(B1702&gt;=DATE(2026,1,1),B1702&lt;=Resumen!$C$5),1,0)</f>
        <v>0</v>
      </c>
      <c r="P1702" s="25" t="n">
        <f aca="false">IF(AND(B1702&gt;Resumen!$C$5,B1702&lt;=DATE(2027,7,31)),1,0)</f>
        <v>1</v>
      </c>
    </row>
    <row r="1705" customFormat="false" ht="15" hidden="false" customHeight="false" outlineLevel="0" collapsed="false">
      <c r="A1705" s="33" t="s">
        <v>894</v>
      </c>
    </row>
    <row r="1706" customFormat="false" ht="15" hidden="false" customHeight="false" outlineLevel="0" collapsed="false">
      <c r="A1706" s="34" t="s">
        <v>895</v>
      </c>
    </row>
    <row r="1707" customFormat="false" ht="15" hidden="false" customHeight="false" outlineLevel="0" collapsed="false">
      <c r="A1707" s="19" t="s">
        <v>896</v>
      </c>
    </row>
    <row r="1708" customFormat="false" ht="15" hidden="false" customHeight="false" outlineLevel="0" collapsed="false">
      <c r="A1708" s="20" t="s">
        <v>897</v>
      </c>
    </row>
    <row r="1709" customFormat="false" ht="15" hidden="false" customHeight="false" outlineLevel="0" collapsed="false">
      <c r="A1709" s="29" t="s">
        <v>773</v>
      </c>
      <c r="C1709" s="22" t="s">
        <v>898</v>
      </c>
      <c r="F1709" s="47" t="s">
        <v>775</v>
      </c>
    </row>
    <row r="1710" customFormat="false" ht="15" hidden="false" customHeight="false" outlineLevel="0" collapsed="false">
      <c r="A1710" s="29" t="s">
        <v>640</v>
      </c>
      <c r="C1710" s="28" t="n">
        <v>4700000000</v>
      </c>
      <c r="F1710" s="22" t="s">
        <v>776</v>
      </c>
      <c r="I1710" s="41" t="n">
        <f aca="false">_xlfn.MAXIFS($B$1718:$B$1724,$B$1718:$B$1724,"&lt;="&amp;Resumen!$C$5)</f>
        <v>46184</v>
      </c>
    </row>
    <row r="1711" customFormat="false" ht="15" hidden="false" customHeight="false" outlineLevel="0" collapsed="false">
      <c r="A1711" s="29" t="s">
        <v>641</v>
      </c>
      <c r="C1711" s="23" t="n">
        <v>46002</v>
      </c>
      <c r="F1711" s="22" t="s">
        <v>777</v>
      </c>
      <c r="I1711" s="25" t="n">
        <f aca="false">SUMIFS($G$1718:$G$1724,$B$1718:$B$1724,I1710)</f>
        <v>0</v>
      </c>
    </row>
    <row r="1712" customFormat="false" ht="15" hidden="false" customHeight="false" outlineLevel="0" collapsed="false">
      <c r="A1712" s="29" t="s">
        <v>778</v>
      </c>
      <c r="C1712" s="22" t="s">
        <v>899</v>
      </c>
      <c r="F1712" s="22" t="s">
        <v>780</v>
      </c>
      <c r="I1712" s="25" t="n">
        <f aca="false">SUMIFS($J$1718:$J$1724,$B$1718:$B$1724,I1710)</f>
        <v>0</v>
      </c>
    </row>
    <row r="1713" customFormat="false" ht="15" hidden="false" customHeight="false" outlineLevel="0" collapsed="false">
      <c r="A1713" s="29" t="s">
        <v>781</v>
      </c>
      <c r="C1713" s="48" t="s">
        <v>818</v>
      </c>
      <c r="F1713" s="22" t="s">
        <v>650</v>
      </c>
      <c r="I1713" s="25" t="n">
        <f aca="false">SUMIFS($D$1718:$D$1724,$O$1718:$O$1724,1)</f>
        <v>280170916.666667</v>
      </c>
    </row>
    <row r="1714" customFormat="false" ht="15" hidden="false" customHeight="false" outlineLevel="0" collapsed="false">
      <c r="A1714" s="29" t="s">
        <v>782</v>
      </c>
      <c r="C1714" s="49" t="n">
        <f aca="false">IFERROR(IRR($M$1718:$M$1724),"N/A")</f>
        <v>0.00992648677860791</v>
      </c>
      <c r="F1714" s="22" t="s">
        <v>783</v>
      </c>
      <c r="I1714" s="25" t="n">
        <f aca="false">SUMIFS($E$1718:$E$1724,$P$1718:$P$1724,1)</f>
        <v>0</v>
      </c>
    </row>
    <row r="1715" customFormat="false" ht="15" hidden="false" customHeight="false" outlineLevel="0" collapsed="false">
      <c r="A1715" s="29" t="s">
        <v>784</v>
      </c>
      <c r="C1715" s="50" t="n">
        <f aca="false">IF(ISNUMBER(C1714),(1+C1714)^12-1,"N/A")</f>
        <v>0.125841227539443</v>
      </c>
      <c r="F1715" s="22" t="s">
        <v>785</v>
      </c>
      <c r="I1715" s="25" t="n">
        <f aca="false">SUMPRODUCT(MAX(ABS($L$1718:$L$1724)))</f>
        <v>0</v>
      </c>
    </row>
    <row r="1717" customFormat="false" ht="36" hidden="false" customHeight="true" outlineLevel="0" collapsed="false">
      <c r="A1717" s="27" t="s">
        <v>786</v>
      </c>
      <c r="B1717" s="27" t="s">
        <v>396</v>
      </c>
      <c r="C1717" s="27" t="s">
        <v>787</v>
      </c>
      <c r="D1717" s="27" t="s">
        <v>788</v>
      </c>
      <c r="E1717" s="27" t="s">
        <v>789</v>
      </c>
      <c r="F1717" s="27" t="s">
        <v>790</v>
      </c>
      <c r="G1717" s="27" t="s">
        <v>791</v>
      </c>
      <c r="H1717" s="27" t="s">
        <v>792</v>
      </c>
      <c r="I1717" s="27" t="s">
        <v>793</v>
      </c>
      <c r="J1717" s="27" t="s">
        <v>794</v>
      </c>
      <c r="K1717" s="27" t="s">
        <v>795</v>
      </c>
      <c r="L1717" s="27" t="s">
        <v>796</v>
      </c>
      <c r="M1717" s="27" t="s">
        <v>797</v>
      </c>
      <c r="N1717" s="27" t="s">
        <v>798</v>
      </c>
      <c r="O1717" s="27" t="s">
        <v>799</v>
      </c>
      <c r="P1717" s="27" t="s">
        <v>800</v>
      </c>
    </row>
    <row r="1718" customFormat="false" ht="15" hidden="false" customHeight="false" outlineLevel="0" collapsed="false">
      <c r="A1718" s="22" t="n">
        <v>0</v>
      </c>
      <c r="B1718" s="23" t="n">
        <v>46002</v>
      </c>
      <c r="C1718" s="28" t="n">
        <v>4700000000</v>
      </c>
      <c r="D1718" s="28" t="n">
        <v>0</v>
      </c>
      <c r="E1718" s="28" t="n">
        <v>0</v>
      </c>
      <c r="F1718" s="28" t="n">
        <v>0</v>
      </c>
      <c r="G1718" s="28" t="n">
        <v>4700000000</v>
      </c>
      <c r="H1718" s="25" t="n">
        <f aca="false">C1718</f>
        <v>4700000000</v>
      </c>
      <c r="I1718" s="25" t="n">
        <f aca="false">H1718*N1718</f>
        <v>40737250</v>
      </c>
      <c r="J1718" s="25" t="n">
        <f aca="false">H1718-E1718</f>
        <v>4700000000</v>
      </c>
      <c r="K1718" s="25" t="n">
        <f aca="false">D1718-I1718</f>
        <v>-40737250</v>
      </c>
      <c r="L1718" s="25" t="n">
        <f aca="false">G1718-J1718</f>
        <v>0</v>
      </c>
      <c r="M1718" s="25" t="n">
        <f aca="false">-$C$1710</f>
        <v>-4700000000</v>
      </c>
      <c r="N1718" s="48" t="n">
        <v>0.0086675</v>
      </c>
      <c r="O1718" s="25" t="n">
        <f aca="false">IF(AND(B1718&gt;=DATE(2026,1,1),B1718&lt;=Resumen!$C$5),1,0)</f>
        <v>0</v>
      </c>
      <c r="P1718" s="25" t="n">
        <f aca="false">IF(AND(B1718&gt;Resumen!$C$5,B1718&lt;=DATE(2027,7,31)),1,0)</f>
        <v>0</v>
      </c>
    </row>
    <row r="1719" customFormat="false" ht="15" hidden="false" customHeight="false" outlineLevel="0" collapsed="false">
      <c r="A1719" s="22" t="n">
        <v>1</v>
      </c>
      <c r="B1719" s="23" t="n">
        <v>46033</v>
      </c>
      <c r="C1719" s="28" t="n">
        <v>4700000000</v>
      </c>
      <c r="D1719" s="28" t="n">
        <v>41457916.6666667</v>
      </c>
      <c r="E1719" s="28" t="n">
        <v>0</v>
      </c>
      <c r="F1719" s="28" t="n">
        <v>41457916.6666667</v>
      </c>
      <c r="G1719" s="28" t="n">
        <v>4700000000</v>
      </c>
      <c r="H1719" s="25" t="n">
        <f aca="false">J1718</f>
        <v>4700000000</v>
      </c>
      <c r="I1719" s="25" t="n">
        <f aca="false">H1719*N1719</f>
        <v>41457916.6666667</v>
      </c>
      <c r="J1719" s="25" t="n">
        <f aca="false">H1719-E1719</f>
        <v>4700000000</v>
      </c>
      <c r="K1719" s="25" t="n">
        <f aca="false">D1719-I1719</f>
        <v>0</v>
      </c>
      <c r="L1719" s="25" t="n">
        <f aca="false">G1719-J1719</f>
        <v>0</v>
      </c>
      <c r="M1719" s="25" t="n">
        <f aca="false">F1719</f>
        <v>41457916.6666667</v>
      </c>
      <c r="N1719" s="48" t="n">
        <v>0.00882083333333333</v>
      </c>
      <c r="O1719" s="25" t="n">
        <f aca="false">IF(AND(B1719&gt;=DATE(2026,1,1),B1719&lt;=Resumen!$C$5),1,0)</f>
        <v>1</v>
      </c>
      <c r="P1719" s="25" t="n">
        <f aca="false">IF(AND(B1719&gt;Resumen!$C$5,B1719&lt;=DATE(2027,7,31)),1,0)</f>
        <v>0</v>
      </c>
    </row>
    <row r="1720" customFormat="false" ht="15" hidden="false" customHeight="false" outlineLevel="0" collapsed="false">
      <c r="A1720" s="22" t="n">
        <v>2</v>
      </c>
      <c r="B1720" s="23" t="n">
        <v>46064</v>
      </c>
      <c r="C1720" s="28" t="n">
        <v>4700000000</v>
      </c>
      <c r="D1720" s="28" t="n">
        <v>45249250</v>
      </c>
      <c r="E1720" s="28" t="n">
        <v>0</v>
      </c>
      <c r="F1720" s="28" t="n">
        <v>45249250</v>
      </c>
      <c r="G1720" s="28" t="n">
        <v>4700000000</v>
      </c>
      <c r="H1720" s="25" t="n">
        <f aca="false">J1719</f>
        <v>4700000000</v>
      </c>
      <c r="I1720" s="25" t="n">
        <f aca="false">H1720*N1720</f>
        <v>45249250</v>
      </c>
      <c r="J1720" s="25" t="n">
        <f aca="false">H1720-E1720</f>
        <v>4700000000</v>
      </c>
      <c r="K1720" s="25" t="n">
        <f aca="false">D1720-I1720</f>
        <v>0</v>
      </c>
      <c r="L1720" s="25" t="n">
        <f aca="false">G1720-J1720</f>
        <v>0</v>
      </c>
      <c r="M1720" s="25" t="n">
        <f aca="false">F1720</f>
        <v>45249250</v>
      </c>
      <c r="N1720" s="48" t="n">
        <v>0.0096275</v>
      </c>
      <c r="O1720" s="25" t="n">
        <f aca="false">IF(AND(B1720&gt;=DATE(2026,1,1),B1720&lt;=Resumen!$C$5),1,0)</f>
        <v>1</v>
      </c>
      <c r="P1720" s="25" t="n">
        <f aca="false">IF(AND(B1720&gt;Resumen!$C$5,B1720&lt;=DATE(2027,7,31)),1,0)</f>
        <v>0</v>
      </c>
    </row>
    <row r="1721" customFormat="false" ht="15" hidden="false" customHeight="false" outlineLevel="0" collapsed="false">
      <c r="A1721" s="22" t="n">
        <v>3</v>
      </c>
      <c r="B1721" s="23" t="n">
        <v>46092</v>
      </c>
      <c r="C1721" s="28" t="n">
        <v>4700000000</v>
      </c>
      <c r="D1721" s="28" t="n">
        <v>47090083.3333333</v>
      </c>
      <c r="E1721" s="28" t="n">
        <v>0</v>
      </c>
      <c r="F1721" s="28" t="n">
        <v>47090083.3333333</v>
      </c>
      <c r="G1721" s="28" t="n">
        <v>4700000000</v>
      </c>
      <c r="H1721" s="25" t="n">
        <f aca="false">J1720</f>
        <v>4700000000</v>
      </c>
      <c r="I1721" s="25" t="n">
        <f aca="false">H1721*N1721</f>
        <v>47090083.3333333</v>
      </c>
      <c r="J1721" s="25" t="n">
        <f aca="false">H1721-E1721</f>
        <v>4700000000</v>
      </c>
      <c r="K1721" s="25" t="n">
        <f aca="false">D1721-I1721</f>
        <v>0</v>
      </c>
      <c r="L1721" s="25" t="n">
        <f aca="false">G1721-J1721</f>
        <v>0</v>
      </c>
      <c r="M1721" s="25" t="n">
        <f aca="false">F1721</f>
        <v>47090083.3333333</v>
      </c>
      <c r="N1721" s="48" t="n">
        <v>0.0100191666666667</v>
      </c>
      <c r="O1721" s="25" t="n">
        <f aca="false">IF(AND(B1721&gt;=DATE(2026,1,1),B1721&lt;=Resumen!$C$5),1,0)</f>
        <v>1</v>
      </c>
      <c r="P1721" s="25" t="n">
        <f aca="false">IF(AND(B1721&gt;Resumen!$C$5,B1721&lt;=DATE(2027,7,31)),1,0)</f>
        <v>0</v>
      </c>
    </row>
    <row r="1722" customFormat="false" ht="15" hidden="false" customHeight="false" outlineLevel="0" collapsed="false">
      <c r="A1722" s="22" t="n">
        <v>4</v>
      </c>
      <c r="B1722" s="23" t="n">
        <v>46123</v>
      </c>
      <c r="C1722" s="28" t="n">
        <v>4700000000</v>
      </c>
      <c r="D1722" s="28" t="n">
        <v>48750750</v>
      </c>
      <c r="E1722" s="28" t="n">
        <v>0</v>
      </c>
      <c r="F1722" s="28" t="n">
        <v>48750750</v>
      </c>
      <c r="G1722" s="28" t="n">
        <v>4700000000</v>
      </c>
      <c r="H1722" s="25" t="n">
        <f aca="false">J1721</f>
        <v>4700000000</v>
      </c>
      <c r="I1722" s="25" t="n">
        <f aca="false">H1722*N1722</f>
        <v>48750750</v>
      </c>
      <c r="J1722" s="25" t="n">
        <f aca="false">H1722-E1722</f>
        <v>4700000000</v>
      </c>
      <c r="K1722" s="25" t="n">
        <f aca="false">D1722-I1722</f>
        <v>0</v>
      </c>
      <c r="L1722" s="25" t="n">
        <f aca="false">G1722-J1722</f>
        <v>0</v>
      </c>
      <c r="M1722" s="25" t="n">
        <f aca="false">F1722</f>
        <v>48750750</v>
      </c>
      <c r="N1722" s="48" t="n">
        <v>0.0103725</v>
      </c>
      <c r="O1722" s="25" t="n">
        <f aca="false">IF(AND(B1722&gt;=DATE(2026,1,1),B1722&lt;=Resumen!$C$5),1,0)</f>
        <v>1</v>
      </c>
      <c r="P1722" s="25" t="n">
        <f aca="false">IF(AND(B1722&gt;Resumen!$C$5,B1722&lt;=DATE(2027,7,31)),1,0)</f>
        <v>0</v>
      </c>
    </row>
    <row r="1723" customFormat="false" ht="15" hidden="false" customHeight="false" outlineLevel="0" collapsed="false">
      <c r="A1723" s="22" t="n">
        <v>5</v>
      </c>
      <c r="B1723" s="23" t="n">
        <v>46153</v>
      </c>
      <c r="C1723" s="28" t="n">
        <v>4700000000</v>
      </c>
      <c r="D1723" s="28" t="n">
        <v>48750750</v>
      </c>
      <c r="E1723" s="28" t="n">
        <v>0</v>
      </c>
      <c r="F1723" s="28" t="n">
        <v>48750750</v>
      </c>
      <c r="G1723" s="28" t="n">
        <v>4700000000</v>
      </c>
      <c r="H1723" s="25" t="n">
        <f aca="false">J1722</f>
        <v>4700000000</v>
      </c>
      <c r="I1723" s="25" t="n">
        <f aca="false">H1723*N1723</f>
        <v>48750750</v>
      </c>
      <c r="J1723" s="25" t="n">
        <f aca="false">H1723-E1723</f>
        <v>4700000000</v>
      </c>
      <c r="K1723" s="25" t="n">
        <f aca="false">D1723-I1723</f>
        <v>0</v>
      </c>
      <c r="L1723" s="25" t="n">
        <f aca="false">G1723-J1723</f>
        <v>0</v>
      </c>
      <c r="M1723" s="25" t="n">
        <f aca="false">F1723</f>
        <v>48750750</v>
      </c>
      <c r="N1723" s="48" t="n">
        <v>0.0103725</v>
      </c>
      <c r="O1723" s="25" t="n">
        <f aca="false">IF(AND(B1723&gt;=DATE(2026,1,1),B1723&lt;=Resumen!$C$5),1,0)</f>
        <v>1</v>
      </c>
      <c r="P1723" s="25" t="n">
        <f aca="false">IF(AND(B1723&gt;Resumen!$C$5,B1723&lt;=DATE(2027,7,31)),1,0)</f>
        <v>0</v>
      </c>
    </row>
    <row r="1724" customFormat="false" ht="15" hidden="false" customHeight="false" outlineLevel="0" collapsed="false">
      <c r="A1724" s="22" t="n">
        <v>6</v>
      </c>
      <c r="B1724" s="23" t="n">
        <v>46184</v>
      </c>
      <c r="C1724" s="28" t="n">
        <v>4700000000</v>
      </c>
      <c r="D1724" s="28" t="n">
        <v>48872166.6666667</v>
      </c>
      <c r="E1724" s="28" t="n">
        <v>4700000000</v>
      </c>
      <c r="F1724" s="28" t="n">
        <v>4748872166.66667</v>
      </c>
      <c r="G1724" s="28" t="n">
        <v>0</v>
      </c>
      <c r="H1724" s="25" t="n">
        <f aca="false">J1723</f>
        <v>4700000000</v>
      </c>
      <c r="I1724" s="25" t="n">
        <f aca="false">H1724*N1724</f>
        <v>48872166.6666667</v>
      </c>
      <c r="J1724" s="25" t="n">
        <f aca="false">H1724-E1724</f>
        <v>0</v>
      </c>
      <c r="K1724" s="25" t="n">
        <f aca="false">D1724-I1724</f>
        <v>0</v>
      </c>
      <c r="L1724" s="25" t="n">
        <f aca="false">G1724-J1724</f>
        <v>0</v>
      </c>
      <c r="M1724" s="25" t="n">
        <f aca="false">F1724</f>
        <v>4748872166.66667</v>
      </c>
      <c r="N1724" s="48" t="n">
        <v>0.0103983333333333</v>
      </c>
      <c r="O1724" s="25" t="n">
        <f aca="false">IF(AND(B1724&gt;=DATE(2026,1,1),B1724&lt;=Resumen!$C$5),1,0)</f>
        <v>1</v>
      </c>
      <c r="P1724" s="25" t="n">
        <f aca="false">IF(AND(B1724&gt;Resumen!$C$5,B1724&lt;=DATE(2027,7,31)),1,0)</f>
        <v>0</v>
      </c>
    </row>
    <row r="1727" customFormat="false" ht="15" hidden="false" customHeight="false" outlineLevel="0" collapsed="false">
      <c r="A1727" s="33" t="s">
        <v>900</v>
      </c>
    </row>
    <row r="1728" customFormat="false" ht="15" hidden="false" customHeight="false" outlineLevel="0" collapsed="false">
      <c r="A1728" s="34" t="s">
        <v>901</v>
      </c>
    </row>
    <row r="1729" customFormat="false" ht="15" hidden="false" customHeight="false" outlineLevel="0" collapsed="false">
      <c r="A1729" s="19" t="s">
        <v>902</v>
      </c>
    </row>
    <row r="1730" customFormat="false" ht="15" hidden="false" customHeight="false" outlineLevel="0" collapsed="false">
      <c r="A1730" s="20" t="s">
        <v>903</v>
      </c>
    </row>
    <row r="1731" customFormat="false" ht="15" hidden="false" customHeight="false" outlineLevel="0" collapsed="false">
      <c r="A1731" s="29" t="s">
        <v>773</v>
      </c>
      <c r="C1731" s="22" t="s">
        <v>904</v>
      </c>
      <c r="F1731" s="47" t="s">
        <v>775</v>
      </c>
    </row>
    <row r="1732" customFormat="false" ht="15" hidden="false" customHeight="false" outlineLevel="0" collapsed="false">
      <c r="A1732" s="29" t="s">
        <v>640</v>
      </c>
      <c r="C1732" s="28" t="n">
        <v>5000000000</v>
      </c>
      <c r="F1732" s="22" t="s">
        <v>776</v>
      </c>
      <c r="I1732" s="41" t="n">
        <f aca="false">_xlfn.MAXIFS($B$1740:$B$1776,$B$1740:$B$1776,"&lt;="&amp;Resumen!$C$5)</f>
        <v>46224</v>
      </c>
    </row>
    <row r="1733" customFormat="false" ht="15" hidden="false" customHeight="false" outlineLevel="0" collapsed="false">
      <c r="A1733" s="29" t="s">
        <v>641</v>
      </c>
      <c r="C1733" s="23" t="n">
        <v>45768</v>
      </c>
      <c r="F1733" s="22" t="s">
        <v>777</v>
      </c>
      <c r="I1733" s="25" t="n">
        <f aca="false">SUMIFS($G$1740:$G$1776,$B$1740:$B$1776,I1732)</f>
        <v>3333333333.33333</v>
      </c>
    </row>
    <row r="1734" customFormat="false" ht="15" hidden="false" customHeight="false" outlineLevel="0" collapsed="false">
      <c r="A1734" s="29" t="s">
        <v>778</v>
      </c>
      <c r="C1734" s="22" t="s">
        <v>905</v>
      </c>
      <c r="F1734" s="22" t="s">
        <v>780</v>
      </c>
      <c r="I1734" s="25" t="n">
        <f aca="false">SUMIFS($J$1740:$J$1776,$B$1740:$B$1776,I1732)</f>
        <v>3333333333.33333</v>
      </c>
    </row>
    <row r="1735" customFormat="false" ht="15" hidden="false" customHeight="false" outlineLevel="0" collapsed="false">
      <c r="A1735" s="29" t="s">
        <v>781</v>
      </c>
      <c r="C1735" s="48" t="s">
        <v>818</v>
      </c>
      <c r="F1735" s="22" t="s">
        <v>650</v>
      </c>
      <c r="I1735" s="25" t="n">
        <f aca="false">SUMIFS($D$1740:$D$1776,$O$1740:$O$1776,1)</f>
        <v>311402777.777778</v>
      </c>
    </row>
    <row r="1736" customFormat="false" ht="15" hidden="false" customHeight="false" outlineLevel="0" collapsed="false">
      <c r="A1736" s="29" t="s">
        <v>782</v>
      </c>
      <c r="C1736" s="49" t="n">
        <f aca="false">IFERROR(IRR($M$1740:$M$1776),"N/A")</f>
        <v>0.00998937524782703</v>
      </c>
      <c r="F1736" s="22" t="s">
        <v>783</v>
      </c>
      <c r="I1736" s="25" t="n">
        <f aca="false">SUMIFS($E$1740:$E$1776,$P$1740:$P$1776,1)</f>
        <v>1666666666.66667</v>
      </c>
    </row>
    <row r="1737" customFormat="false" ht="15" hidden="false" customHeight="false" outlineLevel="0" collapsed="false">
      <c r="A1737" s="29" t="s">
        <v>784</v>
      </c>
      <c r="C1737" s="50" t="n">
        <f aca="false">IF(ISNUMBER(C1736),(1+C1736)^12-1,"N/A")</f>
        <v>0.126682793965309</v>
      </c>
      <c r="F1737" s="22" t="s">
        <v>785</v>
      </c>
      <c r="I1737" s="25" t="n">
        <f aca="false">SUMPRODUCT(MAX(ABS($L$1740:$L$1776)))</f>
        <v>0</v>
      </c>
    </row>
    <row r="1739" customFormat="false" ht="36" hidden="false" customHeight="true" outlineLevel="0" collapsed="false">
      <c r="A1739" s="27" t="s">
        <v>786</v>
      </c>
      <c r="B1739" s="27" t="s">
        <v>396</v>
      </c>
      <c r="C1739" s="27" t="s">
        <v>787</v>
      </c>
      <c r="D1739" s="27" t="s">
        <v>788</v>
      </c>
      <c r="E1739" s="27" t="s">
        <v>789</v>
      </c>
      <c r="F1739" s="27" t="s">
        <v>790</v>
      </c>
      <c r="G1739" s="27" t="s">
        <v>791</v>
      </c>
      <c r="H1739" s="27" t="s">
        <v>792</v>
      </c>
      <c r="I1739" s="27" t="s">
        <v>793</v>
      </c>
      <c r="J1739" s="27" t="s">
        <v>794</v>
      </c>
      <c r="K1739" s="27" t="s">
        <v>795</v>
      </c>
      <c r="L1739" s="27" t="s">
        <v>796</v>
      </c>
      <c r="M1739" s="27" t="s">
        <v>797</v>
      </c>
      <c r="N1739" s="27" t="s">
        <v>798</v>
      </c>
      <c r="O1739" s="27" t="s">
        <v>799</v>
      </c>
      <c r="P1739" s="27" t="s">
        <v>800</v>
      </c>
    </row>
    <row r="1740" customFormat="false" ht="15" hidden="false" customHeight="false" outlineLevel="0" collapsed="false">
      <c r="A1740" s="22" t="n">
        <v>0</v>
      </c>
      <c r="B1740" s="23" t="n">
        <v>45768</v>
      </c>
      <c r="C1740" s="28" t="n">
        <v>5000000000</v>
      </c>
      <c r="D1740" s="28" t="n">
        <v>0</v>
      </c>
      <c r="E1740" s="28" t="n">
        <v>0</v>
      </c>
      <c r="F1740" s="28" t="n">
        <v>0</v>
      </c>
      <c r="G1740" s="28" t="n">
        <v>5000000000</v>
      </c>
      <c r="H1740" s="25" t="n">
        <f aca="false">C1740</f>
        <v>5000000000</v>
      </c>
      <c r="I1740" s="25" t="n">
        <f aca="false">H1740*N1740</f>
        <v>43562500</v>
      </c>
      <c r="J1740" s="25" t="n">
        <f aca="false">H1740-E1740</f>
        <v>5000000000</v>
      </c>
      <c r="K1740" s="25" t="n">
        <f aca="false">D1740-I1740</f>
        <v>-43562500</v>
      </c>
      <c r="L1740" s="25" t="n">
        <f aca="false">G1740-J1740</f>
        <v>0</v>
      </c>
      <c r="M1740" s="25" t="n">
        <f aca="false">-$C$1732</f>
        <v>-5000000000</v>
      </c>
      <c r="N1740" s="48" t="n">
        <v>0.0087125</v>
      </c>
      <c r="O1740" s="25" t="n">
        <f aca="false">IF(AND(B1740&gt;=DATE(2026,1,1),B1740&lt;=Resumen!$C$5),1,0)</f>
        <v>0</v>
      </c>
      <c r="P1740" s="25" t="n">
        <f aca="false">IF(AND(B1740&gt;Resumen!$C$5,B1740&lt;=DATE(2027,7,31)),1,0)</f>
        <v>0</v>
      </c>
    </row>
    <row r="1741" customFormat="false" ht="15" hidden="false" customHeight="false" outlineLevel="0" collapsed="false">
      <c r="A1741" s="22" t="n">
        <v>1</v>
      </c>
      <c r="B1741" s="23" t="n">
        <v>45798</v>
      </c>
      <c r="C1741" s="28" t="n">
        <v>5000000000</v>
      </c>
      <c r="D1741" s="28" t="n">
        <v>42570833.3333333</v>
      </c>
      <c r="E1741" s="28" t="n">
        <v>0</v>
      </c>
      <c r="F1741" s="28" t="n">
        <v>42570833.3333333</v>
      </c>
      <c r="G1741" s="28" t="n">
        <v>5000000000</v>
      </c>
      <c r="H1741" s="25" t="n">
        <f aca="false">J1740</f>
        <v>5000000000</v>
      </c>
      <c r="I1741" s="25" t="n">
        <f aca="false">H1741*N1741</f>
        <v>42570833.3333333</v>
      </c>
      <c r="J1741" s="25" t="n">
        <f aca="false">H1741-E1741</f>
        <v>5000000000</v>
      </c>
      <c r="K1741" s="25" t="n">
        <f aca="false">D1741-I1741</f>
        <v>0</v>
      </c>
      <c r="L1741" s="25" t="n">
        <f aca="false">G1741-J1741</f>
        <v>0</v>
      </c>
      <c r="M1741" s="25" t="n">
        <f aca="false">F1741</f>
        <v>42570833.3333333</v>
      </c>
      <c r="N1741" s="48" t="n">
        <v>0.00851416666666667</v>
      </c>
      <c r="O1741" s="25" t="n">
        <f aca="false">IF(AND(B1741&gt;=DATE(2026,1,1),B1741&lt;=Resumen!$C$5),1,0)</f>
        <v>0</v>
      </c>
      <c r="P1741" s="25" t="n">
        <f aca="false">IF(AND(B1741&gt;Resumen!$C$5,B1741&lt;=DATE(2027,7,31)),1,0)</f>
        <v>0</v>
      </c>
    </row>
    <row r="1742" customFormat="false" ht="15" hidden="false" customHeight="false" outlineLevel="0" collapsed="false">
      <c r="A1742" s="22" t="n">
        <v>2</v>
      </c>
      <c r="B1742" s="23" t="n">
        <v>45829</v>
      </c>
      <c r="C1742" s="28" t="n">
        <v>5000000000</v>
      </c>
      <c r="D1742" s="28" t="n">
        <v>42475000</v>
      </c>
      <c r="E1742" s="28" t="n">
        <v>0</v>
      </c>
      <c r="F1742" s="28" t="n">
        <v>42475000</v>
      </c>
      <c r="G1742" s="28" t="n">
        <v>5000000000</v>
      </c>
      <c r="H1742" s="25" t="n">
        <f aca="false">J1741</f>
        <v>5000000000</v>
      </c>
      <c r="I1742" s="25" t="n">
        <f aca="false">H1742*N1742</f>
        <v>42475000</v>
      </c>
      <c r="J1742" s="25" t="n">
        <f aca="false">H1742-E1742</f>
        <v>5000000000</v>
      </c>
      <c r="K1742" s="25" t="n">
        <f aca="false">D1742-I1742</f>
        <v>0</v>
      </c>
      <c r="L1742" s="25" t="n">
        <f aca="false">G1742-J1742</f>
        <v>0</v>
      </c>
      <c r="M1742" s="25" t="n">
        <f aca="false">F1742</f>
        <v>42475000</v>
      </c>
      <c r="N1742" s="48" t="n">
        <v>0.008495</v>
      </c>
      <c r="O1742" s="25" t="n">
        <f aca="false">IF(AND(B1742&gt;=DATE(2026,1,1),B1742&lt;=Resumen!$C$5),1,0)</f>
        <v>0</v>
      </c>
      <c r="P1742" s="25" t="n">
        <f aca="false">IF(AND(B1742&gt;Resumen!$C$5,B1742&lt;=DATE(2027,7,31)),1,0)</f>
        <v>0</v>
      </c>
    </row>
    <row r="1743" customFormat="false" ht="15" hidden="false" customHeight="false" outlineLevel="0" collapsed="false">
      <c r="A1743" s="22" t="n">
        <v>3</v>
      </c>
      <c r="B1743" s="23" t="n">
        <v>45859</v>
      </c>
      <c r="C1743" s="28" t="n">
        <v>5000000000</v>
      </c>
      <c r="D1743" s="28" t="n">
        <v>42141666.6666667</v>
      </c>
      <c r="E1743" s="28" t="n">
        <v>0</v>
      </c>
      <c r="F1743" s="28" t="n">
        <v>42141666.6666667</v>
      </c>
      <c r="G1743" s="28" t="n">
        <v>5000000000</v>
      </c>
      <c r="H1743" s="25" t="n">
        <f aca="false">J1742</f>
        <v>5000000000</v>
      </c>
      <c r="I1743" s="25" t="n">
        <f aca="false">H1743*N1743</f>
        <v>42141666.6666667</v>
      </c>
      <c r="J1743" s="25" t="n">
        <f aca="false">H1743-E1743</f>
        <v>5000000000</v>
      </c>
      <c r="K1743" s="25" t="n">
        <f aca="false">D1743-I1743</f>
        <v>0</v>
      </c>
      <c r="L1743" s="25" t="n">
        <f aca="false">G1743-J1743</f>
        <v>0</v>
      </c>
      <c r="M1743" s="25" t="n">
        <f aca="false">F1743</f>
        <v>42141666.6666667</v>
      </c>
      <c r="N1743" s="48" t="n">
        <v>0.00842833333333333</v>
      </c>
      <c r="O1743" s="25" t="n">
        <f aca="false">IF(AND(B1743&gt;=DATE(2026,1,1),B1743&lt;=Resumen!$C$5),1,0)</f>
        <v>0</v>
      </c>
      <c r="P1743" s="25" t="n">
        <f aca="false">IF(AND(B1743&gt;Resumen!$C$5,B1743&lt;=DATE(2027,7,31)),1,0)</f>
        <v>0</v>
      </c>
    </row>
    <row r="1744" customFormat="false" ht="15" hidden="false" customHeight="false" outlineLevel="0" collapsed="false">
      <c r="A1744" s="22" t="n">
        <v>4</v>
      </c>
      <c r="B1744" s="23" t="n">
        <v>45890</v>
      </c>
      <c r="C1744" s="28" t="n">
        <v>5000000000</v>
      </c>
      <c r="D1744" s="28" t="n">
        <v>42745833.3333333</v>
      </c>
      <c r="E1744" s="28" t="n">
        <v>0</v>
      </c>
      <c r="F1744" s="28" t="n">
        <v>42745833.3333333</v>
      </c>
      <c r="G1744" s="28" t="n">
        <v>5000000000</v>
      </c>
      <c r="H1744" s="25" t="n">
        <f aca="false">J1743</f>
        <v>5000000000</v>
      </c>
      <c r="I1744" s="25" t="n">
        <f aca="false">H1744*N1744</f>
        <v>42745833.3333333</v>
      </c>
      <c r="J1744" s="25" t="n">
        <f aca="false">H1744-E1744</f>
        <v>5000000000</v>
      </c>
      <c r="K1744" s="25" t="n">
        <f aca="false">D1744-I1744</f>
        <v>0</v>
      </c>
      <c r="L1744" s="25" t="n">
        <f aca="false">G1744-J1744</f>
        <v>0</v>
      </c>
      <c r="M1744" s="25" t="n">
        <f aca="false">F1744</f>
        <v>42745833.3333333</v>
      </c>
      <c r="N1744" s="48" t="n">
        <v>0.00854916666666667</v>
      </c>
      <c r="O1744" s="25" t="n">
        <f aca="false">IF(AND(B1744&gt;=DATE(2026,1,1),B1744&lt;=Resumen!$C$5),1,0)</f>
        <v>0</v>
      </c>
      <c r="P1744" s="25" t="n">
        <f aca="false">IF(AND(B1744&gt;Resumen!$C$5,B1744&lt;=DATE(2027,7,31)),1,0)</f>
        <v>0</v>
      </c>
    </row>
    <row r="1745" customFormat="false" ht="15" hidden="false" customHeight="false" outlineLevel="0" collapsed="false">
      <c r="A1745" s="22" t="n">
        <v>5</v>
      </c>
      <c r="B1745" s="23" t="n">
        <v>45921</v>
      </c>
      <c r="C1745" s="28" t="n">
        <v>5000000000</v>
      </c>
      <c r="D1745" s="28" t="n">
        <v>42845833.3333333</v>
      </c>
      <c r="E1745" s="28" t="n">
        <v>0</v>
      </c>
      <c r="F1745" s="28" t="n">
        <v>42845833.3333333</v>
      </c>
      <c r="G1745" s="28" t="n">
        <v>5000000000</v>
      </c>
      <c r="H1745" s="25" t="n">
        <f aca="false">J1744</f>
        <v>5000000000</v>
      </c>
      <c r="I1745" s="25" t="n">
        <f aca="false">H1745*N1745</f>
        <v>42845833.3333333</v>
      </c>
      <c r="J1745" s="25" t="n">
        <f aca="false">H1745-E1745</f>
        <v>5000000000</v>
      </c>
      <c r="K1745" s="25" t="n">
        <f aca="false">D1745-I1745</f>
        <v>0</v>
      </c>
      <c r="L1745" s="25" t="n">
        <f aca="false">G1745-J1745</f>
        <v>0</v>
      </c>
      <c r="M1745" s="25" t="n">
        <f aca="false">F1745</f>
        <v>42845833.3333333</v>
      </c>
      <c r="N1745" s="48" t="n">
        <v>0.00856916666666667</v>
      </c>
      <c r="O1745" s="25" t="n">
        <f aca="false">IF(AND(B1745&gt;=DATE(2026,1,1),B1745&lt;=Resumen!$C$5),1,0)</f>
        <v>0</v>
      </c>
      <c r="P1745" s="25" t="n">
        <f aca="false">IF(AND(B1745&gt;Resumen!$C$5,B1745&lt;=DATE(2027,7,31)),1,0)</f>
        <v>0</v>
      </c>
    </row>
    <row r="1746" customFormat="false" ht="15" hidden="false" customHeight="false" outlineLevel="0" collapsed="false">
      <c r="A1746" s="22" t="n">
        <v>6</v>
      </c>
      <c r="B1746" s="23" t="n">
        <v>45951</v>
      </c>
      <c r="C1746" s="28" t="n">
        <v>5000000000</v>
      </c>
      <c r="D1746" s="28" t="n">
        <v>43112500</v>
      </c>
      <c r="E1746" s="28" t="n">
        <v>0</v>
      </c>
      <c r="F1746" s="28" t="n">
        <v>43112500</v>
      </c>
      <c r="G1746" s="28" t="n">
        <v>5000000000</v>
      </c>
      <c r="H1746" s="25" t="n">
        <f aca="false">J1745</f>
        <v>5000000000</v>
      </c>
      <c r="I1746" s="25" t="n">
        <f aca="false">H1746*N1746</f>
        <v>43112500</v>
      </c>
      <c r="J1746" s="25" t="n">
        <f aca="false">H1746-E1746</f>
        <v>5000000000</v>
      </c>
      <c r="K1746" s="25" t="n">
        <f aca="false">D1746-I1746</f>
        <v>0</v>
      </c>
      <c r="L1746" s="25" t="n">
        <f aca="false">G1746-J1746</f>
        <v>0</v>
      </c>
      <c r="M1746" s="25" t="n">
        <f aca="false">F1746</f>
        <v>43112500</v>
      </c>
      <c r="N1746" s="48" t="n">
        <v>0.0086225</v>
      </c>
      <c r="O1746" s="25" t="n">
        <f aca="false">IF(AND(B1746&gt;=DATE(2026,1,1),B1746&lt;=Resumen!$C$5),1,0)</f>
        <v>0</v>
      </c>
      <c r="P1746" s="25" t="n">
        <f aca="false">IF(AND(B1746&gt;Resumen!$C$5,B1746&lt;=DATE(2027,7,31)),1,0)</f>
        <v>0</v>
      </c>
    </row>
    <row r="1747" customFormat="false" ht="15" hidden="false" customHeight="false" outlineLevel="0" collapsed="false">
      <c r="A1747" s="22" t="n">
        <v>7</v>
      </c>
      <c r="B1747" s="23" t="n">
        <v>45982</v>
      </c>
      <c r="C1747" s="28" t="n">
        <v>5000000000</v>
      </c>
      <c r="D1747" s="28" t="n">
        <v>43845833.3333333</v>
      </c>
      <c r="E1747" s="28" t="n">
        <v>0</v>
      </c>
      <c r="F1747" s="28" t="n">
        <v>43845833.3333333</v>
      </c>
      <c r="G1747" s="28" t="n">
        <v>5000000000</v>
      </c>
      <c r="H1747" s="25" t="n">
        <f aca="false">J1746</f>
        <v>5000000000</v>
      </c>
      <c r="I1747" s="25" t="n">
        <f aca="false">H1747*N1747</f>
        <v>43845833.3333333</v>
      </c>
      <c r="J1747" s="25" t="n">
        <f aca="false">H1747-E1747</f>
        <v>5000000000</v>
      </c>
      <c r="K1747" s="25" t="n">
        <f aca="false">D1747-I1747</f>
        <v>0</v>
      </c>
      <c r="L1747" s="25" t="n">
        <f aca="false">G1747-J1747</f>
        <v>0</v>
      </c>
      <c r="M1747" s="25" t="n">
        <f aca="false">F1747</f>
        <v>43845833.3333333</v>
      </c>
      <c r="N1747" s="48" t="n">
        <v>0.00876916666666667</v>
      </c>
      <c r="O1747" s="25" t="n">
        <f aca="false">IF(AND(B1747&gt;=DATE(2026,1,1),B1747&lt;=Resumen!$C$5),1,0)</f>
        <v>0</v>
      </c>
      <c r="P1747" s="25" t="n">
        <f aca="false">IF(AND(B1747&gt;Resumen!$C$5,B1747&lt;=DATE(2027,7,31)),1,0)</f>
        <v>0</v>
      </c>
    </row>
    <row r="1748" customFormat="false" ht="15" hidden="false" customHeight="false" outlineLevel="0" collapsed="false">
      <c r="A1748" s="22" t="n">
        <v>8</v>
      </c>
      <c r="B1748" s="23" t="n">
        <v>46012</v>
      </c>
      <c r="C1748" s="28" t="n">
        <v>5000000000</v>
      </c>
      <c r="D1748" s="28" t="n">
        <v>45420833.3333333</v>
      </c>
      <c r="E1748" s="28" t="n">
        <v>0</v>
      </c>
      <c r="F1748" s="28" t="n">
        <v>45420833.3333333</v>
      </c>
      <c r="G1748" s="28" t="n">
        <v>5000000000</v>
      </c>
      <c r="H1748" s="25" t="n">
        <f aca="false">J1747</f>
        <v>5000000000</v>
      </c>
      <c r="I1748" s="25" t="n">
        <f aca="false">H1748*N1748</f>
        <v>45420833.3333333</v>
      </c>
      <c r="J1748" s="25" t="n">
        <f aca="false">H1748-E1748</f>
        <v>5000000000</v>
      </c>
      <c r="K1748" s="25" t="n">
        <f aca="false">D1748-I1748</f>
        <v>0</v>
      </c>
      <c r="L1748" s="25" t="n">
        <f aca="false">G1748-J1748</f>
        <v>0</v>
      </c>
      <c r="M1748" s="25" t="n">
        <f aca="false">F1748</f>
        <v>45420833.3333333</v>
      </c>
      <c r="N1748" s="48" t="n">
        <v>0.00908416666666667</v>
      </c>
      <c r="O1748" s="25" t="n">
        <f aca="false">IF(AND(B1748&gt;=DATE(2026,1,1),B1748&lt;=Resumen!$C$5),1,0)</f>
        <v>0</v>
      </c>
      <c r="P1748" s="25" t="n">
        <f aca="false">IF(AND(B1748&gt;Resumen!$C$5,B1748&lt;=DATE(2027,7,31)),1,0)</f>
        <v>0</v>
      </c>
    </row>
    <row r="1749" customFormat="false" ht="15" hidden="false" customHeight="false" outlineLevel="0" collapsed="false">
      <c r="A1749" s="22" t="n">
        <v>9</v>
      </c>
      <c r="B1749" s="23" t="n">
        <v>46043</v>
      </c>
      <c r="C1749" s="28" t="n">
        <v>5000000000</v>
      </c>
      <c r="D1749" s="28" t="n">
        <v>46187500</v>
      </c>
      <c r="E1749" s="28" t="n">
        <v>0</v>
      </c>
      <c r="F1749" s="28" t="n">
        <v>46187500</v>
      </c>
      <c r="G1749" s="28" t="n">
        <v>5000000000</v>
      </c>
      <c r="H1749" s="25" t="n">
        <f aca="false">J1748</f>
        <v>5000000000</v>
      </c>
      <c r="I1749" s="25" t="n">
        <f aca="false">H1749*N1749</f>
        <v>46187500</v>
      </c>
      <c r="J1749" s="25" t="n">
        <f aca="false">H1749-E1749</f>
        <v>5000000000</v>
      </c>
      <c r="K1749" s="25" t="n">
        <f aca="false">D1749-I1749</f>
        <v>0</v>
      </c>
      <c r="L1749" s="25" t="n">
        <f aca="false">G1749-J1749</f>
        <v>0</v>
      </c>
      <c r="M1749" s="25" t="n">
        <f aca="false">F1749</f>
        <v>46187500</v>
      </c>
      <c r="N1749" s="48" t="n">
        <v>0.0092375</v>
      </c>
      <c r="O1749" s="25" t="n">
        <f aca="false">IF(AND(B1749&gt;=DATE(2026,1,1),B1749&lt;=Resumen!$C$5),1,0)</f>
        <v>1</v>
      </c>
      <c r="P1749" s="25" t="n">
        <f aca="false">IF(AND(B1749&gt;Resumen!$C$5,B1749&lt;=DATE(2027,7,31)),1,0)</f>
        <v>0</v>
      </c>
    </row>
    <row r="1750" customFormat="false" ht="15" hidden="false" customHeight="false" outlineLevel="0" collapsed="false">
      <c r="A1750" s="22" t="n">
        <v>10</v>
      </c>
      <c r="B1750" s="23" t="n">
        <v>46074</v>
      </c>
      <c r="C1750" s="28" t="n">
        <v>5000000000</v>
      </c>
      <c r="D1750" s="28" t="n">
        <v>50220833.3333333</v>
      </c>
      <c r="E1750" s="28" t="n">
        <v>0</v>
      </c>
      <c r="F1750" s="28" t="n">
        <v>50220833.3333333</v>
      </c>
      <c r="G1750" s="28" t="n">
        <v>5000000000</v>
      </c>
      <c r="H1750" s="25" t="n">
        <f aca="false">J1749</f>
        <v>5000000000</v>
      </c>
      <c r="I1750" s="25" t="n">
        <f aca="false">H1750*N1750</f>
        <v>50220833.3333334</v>
      </c>
      <c r="J1750" s="25" t="n">
        <f aca="false">H1750-E1750</f>
        <v>5000000000</v>
      </c>
      <c r="K1750" s="25" t="n">
        <f aca="false">D1750-I1750</f>
        <v>0</v>
      </c>
      <c r="L1750" s="25" t="n">
        <f aca="false">G1750-J1750</f>
        <v>0</v>
      </c>
      <c r="M1750" s="25" t="n">
        <f aca="false">F1750</f>
        <v>50220833.3333333</v>
      </c>
      <c r="N1750" s="48" t="n">
        <v>0.0100441666666667</v>
      </c>
      <c r="O1750" s="25" t="n">
        <f aca="false">IF(AND(B1750&gt;=DATE(2026,1,1),B1750&lt;=Resumen!$C$5),1,0)</f>
        <v>1</v>
      </c>
      <c r="P1750" s="25" t="n">
        <f aca="false">IF(AND(B1750&gt;Resumen!$C$5,B1750&lt;=DATE(2027,7,31)),1,0)</f>
        <v>0</v>
      </c>
    </row>
    <row r="1751" customFormat="false" ht="15" hidden="false" customHeight="false" outlineLevel="0" collapsed="false">
      <c r="A1751" s="22" t="n">
        <v>11</v>
      </c>
      <c r="B1751" s="23" t="n">
        <v>46102</v>
      </c>
      <c r="C1751" s="28" t="n">
        <v>5000000000</v>
      </c>
      <c r="D1751" s="28" t="n">
        <v>52179166.6666667</v>
      </c>
      <c r="E1751" s="28" t="n">
        <v>0</v>
      </c>
      <c r="F1751" s="28" t="n">
        <v>52179166.6666667</v>
      </c>
      <c r="G1751" s="28" t="n">
        <v>5000000000</v>
      </c>
      <c r="H1751" s="25" t="n">
        <f aca="false">J1750</f>
        <v>5000000000</v>
      </c>
      <c r="I1751" s="25" t="n">
        <f aca="false">H1751*N1751</f>
        <v>52179166.6666667</v>
      </c>
      <c r="J1751" s="25" t="n">
        <f aca="false">H1751-E1751</f>
        <v>5000000000</v>
      </c>
      <c r="K1751" s="25" t="n">
        <f aca="false">D1751-I1751</f>
        <v>0</v>
      </c>
      <c r="L1751" s="25" t="n">
        <f aca="false">G1751-J1751</f>
        <v>0</v>
      </c>
      <c r="M1751" s="25" t="n">
        <f aca="false">F1751</f>
        <v>52179166.6666667</v>
      </c>
      <c r="N1751" s="48" t="n">
        <v>0.0104358333333333</v>
      </c>
      <c r="O1751" s="25" t="n">
        <f aca="false">IF(AND(B1751&gt;=DATE(2026,1,1),B1751&lt;=Resumen!$C$5),1,0)</f>
        <v>1</v>
      </c>
      <c r="P1751" s="25" t="n">
        <f aca="false">IF(AND(B1751&gt;Resumen!$C$5,B1751&lt;=DATE(2027,7,31)),1,0)</f>
        <v>0</v>
      </c>
    </row>
    <row r="1752" customFormat="false" ht="15" hidden="false" customHeight="false" outlineLevel="0" collapsed="false">
      <c r="A1752" s="22" t="n">
        <v>12</v>
      </c>
      <c r="B1752" s="23" t="n">
        <v>46133</v>
      </c>
      <c r="C1752" s="28" t="n">
        <v>5000000000</v>
      </c>
      <c r="D1752" s="28" t="n">
        <v>53945833.3333333</v>
      </c>
      <c r="E1752" s="28" t="n">
        <v>1666666666.66667</v>
      </c>
      <c r="F1752" s="28" t="n">
        <v>1720612500</v>
      </c>
      <c r="G1752" s="28" t="n">
        <v>3333333333.33333</v>
      </c>
      <c r="H1752" s="25" t="n">
        <f aca="false">J1751</f>
        <v>5000000000</v>
      </c>
      <c r="I1752" s="25" t="n">
        <f aca="false">H1752*N1752</f>
        <v>53945833.3333334</v>
      </c>
      <c r="J1752" s="25" t="n">
        <f aca="false">H1752-E1752</f>
        <v>3333333333.33333</v>
      </c>
      <c r="K1752" s="25" t="n">
        <f aca="false">D1752-I1752</f>
        <v>0</v>
      </c>
      <c r="L1752" s="25" t="n">
        <f aca="false">G1752-J1752</f>
        <v>0</v>
      </c>
      <c r="M1752" s="25" t="n">
        <f aca="false">F1752</f>
        <v>1720612500</v>
      </c>
      <c r="N1752" s="48" t="n">
        <v>0.0107891666666667</v>
      </c>
      <c r="O1752" s="25" t="n">
        <f aca="false">IF(AND(B1752&gt;=DATE(2026,1,1),B1752&lt;=Resumen!$C$5),1,0)</f>
        <v>1</v>
      </c>
      <c r="P1752" s="25" t="n">
        <f aca="false">IF(AND(B1752&gt;Resumen!$C$5,B1752&lt;=DATE(2027,7,31)),1,0)</f>
        <v>0</v>
      </c>
    </row>
    <row r="1753" customFormat="false" ht="15" hidden="false" customHeight="false" outlineLevel="0" collapsed="false">
      <c r="A1753" s="22" t="n">
        <v>13</v>
      </c>
      <c r="B1753" s="23" t="n">
        <v>46163</v>
      </c>
      <c r="C1753" s="28" t="n">
        <v>3333333333.33333</v>
      </c>
      <c r="D1753" s="28" t="n">
        <v>35963888.8888889</v>
      </c>
      <c r="E1753" s="28" t="n">
        <v>0</v>
      </c>
      <c r="F1753" s="28" t="n">
        <v>35963888.8888889</v>
      </c>
      <c r="G1753" s="28" t="n">
        <v>3333333333.33333</v>
      </c>
      <c r="H1753" s="25" t="n">
        <f aca="false">J1752</f>
        <v>3333333333.33333</v>
      </c>
      <c r="I1753" s="25" t="n">
        <f aca="false">H1753*N1753</f>
        <v>35963888.8888889</v>
      </c>
      <c r="J1753" s="25" t="n">
        <f aca="false">H1753-E1753</f>
        <v>3333333333.33333</v>
      </c>
      <c r="K1753" s="25" t="n">
        <f aca="false">D1753-I1753</f>
        <v>0</v>
      </c>
      <c r="L1753" s="25" t="n">
        <f aca="false">G1753-J1753</f>
        <v>0</v>
      </c>
      <c r="M1753" s="25" t="n">
        <f aca="false">F1753</f>
        <v>35963888.8888889</v>
      </c>
      <c r="N1753" s="48" t="n">
        <v>0.0107891666666667</v>
      </c>
      <c r="O1753" s="25" t="n">
        <f aca="false">IF(AND(B1753&gt;=DATE(2026,1,1),B1753&lt;=Resumen!$C$5),1,0)</f>
        <v>1</v>
      </c>
      <c r="P1753" s="25" t="n">
        <f aca="false">IF(AND(B1753&gt;Resumen!$C$5,B1753&lt;=DATE(2027,7,31)),1,0)</f>
        <v>0</v>
      </c>
    </row>
    <row r="1754" customFormat="false" ht="15" hidden="false" customHeight="false" outlineLevel="0" collapsed="false">
      <c r="A1754" s="22" t="n">
        <v>14</v>
      </c>
      <c r="B1754" s="23" t="n">
        <v>46194</v>
      </c>
      <c r="C1754" s="28" t="n">
        <v>3333333333.33333</v>
      </c>
      <c r="D1754" s="28" t="n">
        <v>36050000</v>
      </c>
      <c r="E1754" s="28" t="n">
        <v>0</v>
      </c>
      <c r="F1754" s="28" t="n">
        <v>36050000</v>
      </c>
      <c r="G1754" s="28" t="n">
        <v>3333333333.33333</v>
      </c>
      <c r="H1754" s="25" t="n">
        <f aca="false">J1753</f>
        <v>3333333333.33333</v>
      </c>
      <c r="I1754" s="25" t="n">
        <f aca="false">H1754*N1754</f>
        <v>36050000</v>
      </c>
      <c r="J1754" s="25" t="n">
        <f aca="false">H1754-E1754</f>
        <v>3333333333.33333</v>
      </c>
      <c r="K1754" s="25" t="n">
        <f aca="false">D1754-I1754</f>
        <v>0</v>
      </c>
      <c r="L1754" s="25" t="n">
        <f aca="false">G1754-J1754</f>
        <v>0</v>
      </c>
      <c r="M1754" s="25" t="n">
        <f aca="false">F1754</f>
        <v>36050000</v>
      </c>
      <c r="N1754" s="48" t="n">
        <v>0.010815</v>
      </c>
      <c r="O1754" s="25" t="n">
        <f aca="false">IF(AND(B1754&gt;=DATE(2026,1,1),B1754&lt;=Resumen!$C$5),1,0)</f>
        <v>1</v>
      </c>
      <c r="P1754" s="25" t="n">
        <f aca="false">IF(AND(B1754&gt;Resumen!$C$5,B1754&lt;=DATE(2027,7,31)),1,0)</f>
        <v>0</v>
      </c>
    </row>
    <row r="1755" customFormat="false" ht="15" hidden="false" customHeight="false" outlineLevel="0" collapsed="false">
      <c r="A1755" s="22" t="n">
        <v>15</v>
      </c>
      <c r="B1755" s="23" t="n">
        <v>46224</v>
      </c>
      <c r="C1755" s="28" t="n">
        <v>3333333333.33333</v>
      </c>
      <c r="D1755" s="28" t="n">
        <v>36855555.5555556</v>
      </c>
      <c r="E1755" s="28" t="n">
        <v>0</v>
      </c>
      <c r="F1755" s="28" t="n">
        <v>36855555.5555556</v>
      </c>
      <c r="G1755" s="28" t="n">
        <v>3333333333.33333</v>
      </c>
      <c r="H1755" s="25" t="n">
        <f aca="false">J1754</f>
        <v>3333333333.33333</v>
      </c>
      <c r="I1755" s="25" t="n">
        <f aca="false">H1755*N1755</f>
        <v>36855555.5555556</v>
      </c>
      <c r="J1755" s="25" t="n">
        <f aca="false">H1755-E1755</f>
        <v>3333333333.33333</v>
      </c>
      <c r="K1755" s="25" t="n">
        <f aca="false">D1755-I1755</f>
        <v>0</v>
      </c>
      <c r="L1755" s="25" t="n">
        <f aca="false">G1755-J1755</f>
        <v>0</v>
      </c>
      <c r="M1755" s="25" t="n">
        <f aca="false">F1755</f>
        <v>36855555.5555556</v>
      </c>
      <c r="N1755" s="48" t="n">
        <v>0.0110566666666667</v>
      </c>
      <c r="O1755" s="25" t="n">
        <f aca="false">IF(AND(B1755&gt;=DATE(2026,1,1),B1755&lt;=Resumen!$C$5),1,0)</f>
        <v>1</v>
      </c>
      <c r="P1755" s="25" t="n">
        <f aca="false">IF(AND(B1755&gt;Resumen!$C$5,B1755&lt;=DATE(2027,7,31)),1,0)</f>
        <v>0</v>
      </c>
    </row>
    <row r="1756" customFormat="false" ht="15" hidden="false" customHeight="false" outlineLevel="0" collapsed="false">
      <c r="A1756" s="22" t="n">
        <v>16</v>
      </c>
      <c r="B1756" s="23" t="n">
        <v>46255</v>
      </c>
      <c r="C1756" s="28" t="n">
        <v>3333333333.33333</v>
      </c>
      <c r="D1756" s="28" t="n">
        <v>36855555.5555556</v>
      </c>
      <c r="E1756" s="28" t="n">
        <v>0</v>
      </c>
      <c r="F1756" s="28" t="n">
        <v>36855555.5555556</v>
      </c>
      <c r="G1756" s="28" t="n">
        <v>3333333333.33333</v>
      </c>
      <c r="H1756" s="25" t="n">
        <f aca="false">J1755</f>
        <v>3333333333.33333</v>
      </c>
      <c r="I1756" s="25" t="n">
        <f aca="false">H1756*N1756</f>
        <v>36855555.5555556</v>
      </c>
      <c r="J1756" s="25" t="n">
        <f aca="false">H1756-E1756</f>
        <v>3333333333.33333</v>
      </c>
      <c r="K1756" s="25" t="n">
        <f aca="false">D1756-I1756</f>
        <v>0</v>
      </c>
      <c r="L1756" s="25" t="n">
        <f aca="false">G1756-J1756</f>
        <v>0</v>
      </c>
      <c r="M1756" s="25" t="n">
        <f aca="false">F1756</f>
        <v>36855555.5555556</v>
      </c>
      <c r="N1756" s="48" t="n">
        <v>0.0110566666666667</v>
      </c>
      <c r="O1756" s="25" t="n">
        <f aca="false">IF(AND(B1756&gt;=DATE(2026,1,1),B1756&lt;=Resumen!$C$5),1,0)</f>
        <v>0</v>
      </c>
      <c r="P1756" s="25" t="n">
        <f aca="false">IF(AND(B1756&gt;Resumen!$C$5,B1756&lt;=DATE(2027,7,31)),1,0)</f>
        <v>1</v>
      </c>
    </row>
    <row r="1757" customFormat="false" ht="15" hidden="false" customHeight="false" outlineLevel="0" collapsed="false">
      <c r="A1757" s="22" t="n">
        <v>17</v>
      </c>
      <c r="B1757" s="23" t="n">
        <v>46286</v>
      </c>
      <c r="C1757" s="28" t="n">
        <v>3333333333.33333</v>
      </c>
      <c r="D1757" s="28" t="n">
        <v>36855555.5555556</v>
      </c>
      <c r="E1757" s="28" t="n">
        <v>0</v>
      </c>
      <c r="F1757" s="28" t="n">
        <v>36855555.5555556</v>
      </c>
      <c r="G1757" s="28" t="n">
        <v>3333333333.33333</v>
      </c>
      <c r="H1757" s="25" t="n">
        <f aca="false">J1756</f>
        <v>3333333333.33333</v>
      </c>
      <c r="I1757" s="25" t="n">
        <f aca="false">H1757*N1757</f>
        <v>36855555.5555556</v>
      </c>
      <c r="J1757" s="25" t="n">
        <f aca="false">H1757-E1757</f>
        <v>3333333333.33333</v>
      </c>
      <c r="K1757" s="25" t="n">
        <f aca="false">D1757-I1757</f>
        <v>0</v>
      </c>
      <c r="L1757" s="25" t="n">
        <f aca="false">G1757-J1757</f>
        <v>0</v>
      </c>
      <c r="M1757" s="25" t="n">
        <f aca="false">F1757</f>
        <v>36855555.5555556</v>
      </c>
      <c r="N1757" s="48" t="n">
        <v>0.0110566666666667</v>
      </c>
      <c r="O1757" s="25" t="n">
        <f aca="false">IF(AND(B1757&gt;=DATE(2026,1,1),B1757&lt;=Resumen!$C$5),1,0)</f>
        <v>0</v>
      </c>
      <c r="P1757" s="25" t="n">
        <f aca="false">IF(AND(B1757&gt;Resumen!$C$5,B1757&lt;=DATE(2027,7,31)),1,0)</f>
        <v>1</v>
      </c>
    </row>
    <row r="1758" customFormat="false" ht="15" hidden="false" customHeight="false" outlineLevel="0" collapsed="false">
      <c r="A1758" s="22" t="n">
        <v>18</v>
      </c>
      <c r="B1758" s="23" t="n">
        <v>46316</v>
      </c>
      <c r="C1758" s="28" t="n">
        <v>3333333333.33333</v>
      </c>
      <c r="D1758" s="28" t="n">
        <v>36855555.5555556</v>
      </c>
      <c r="E1758" s="28" t="n">
        <v>0</v>
      </c>
      <c r="F1758" s="28" t="n">
        <v>36855555.5555556</v>
      </c>
      <c r="G1758" s="28" t="n">
        <v>3333333333.33333</v>
      </c>
      <c r="H1758" s="25" t="n">
        <f aca="false">J1757</f>
        <v>3333333333.33333</v>
      </c>
      <c r="I1758" s="25" t="n">
        <f aca="false">H1758*N1758</f>
        <v>36855555.5555556</v>
      </c>
      <c r="J1758" s="25" t="n">
        <f aca="false">H1758-E1758</f>
        <v>3333333333.33333</v>
      </c>
      <c r="K1758" s="25" t="n">
        <f aca="false">D1758-I1758</f>
        <v>0</v>
      </c>
      <c r="L1758" s="25" t="n">
        <f aca="false">G1758-J1758</f>
        <v>0</v>
      </c>
      <c r="M1758" s="25" t="n">
        <f aca="false">F1758</f>
        <v>36855555.5555556</v>
      </c>
      <c r="N1758" s="48" t="n">
        <v>0.0110566666666667</v>
      </c>
      <c r="O1758" s="25" t="n">
        <f aca="false">IF(AND(B1758&gt;=DATE(2026,1,1),B1758&lt;=Resumen!$C$5),1,0)</f>
        <v>0</v>
      </c>
      <c r="P1758" s="25" t="n">
        <f aca="false">IF(AND(B1758&gt;Resumen!$C$5,B1758&lt;=DATE(2027,7,31)),1,0)</f>
        <v>1</v>
      </c>
    </row>
    <row r="1759" customFormat="false" ht="15" hidden="false" customHeight="false" outlineLevel="0" collapsed="false">
      <c r="A1759" s="22" t="n">
        <v>19</v>
      </c>
      <c r="B1759" s="23" t="n">
        <v>46347</v>
      </c>
      <c r="C1759" s="28" t="n">
        <v>3333333333.33333</v>
      </c>
      <c r="D1759" s="28" t="n">
        <v>36855555.5555556</v>
      </c>
      <c r="E1759" s="28" t="n">
        <v>0</v>
      </c>
      <c r="F1759" s="28" t="n">
        <v>36855555.5555556</v>
      </c>
      <c r="G1759" s="28" t="n">
        <v>3333333333.33333</v>
      </c>
      <c r="H1759" s="25" t="n">
        <f aca="false">J1758</f>
        <v>3333333333.33333</v>
      </c>
      <c r="I1759" s="25" t="n">
        <f aca="false">H1759*N1759</f>
        <v>36855555.5555556</v>
      </c>
      <c r="J1759" s="25" t="n">
        <f aca="false">H1759-E1759</f>
        <v>3333333333.33333</v>
      </c>
      <c r="K1759" s="25" t="n">
        <f aca="false">D1759-I1759</f>
        <v>0</v>
      </c>
      <c r="L1759" s="25" t="n">
        <f aca="false">G1759-J1759</f>
        <v>0</v>
      </c>
      <c r="M1759" s="25" t="n">
        <f aca="false">F1759</f>
        <v>36855555.5555556</v>
      </c>
      <c r="N1759" s="48" t="n">
        <v>0.0110566666666667</v>
      </c>
      <c r="O1759" s="25" t="n">
        <f aca="false">IF(AND(B1759&gt;=DATE(2026,1,1),B1759&lt;=Resumen!$C$5),1,0)</f>
        <v>0</v>
      </c>
      <c r="P1759" s="25" t="n">
        <f aca="false">IF(AND(B1759&gt;Resumen!$C$5,B1759&lt;=DATE(2027,7,31)),1,0)</f>
        <v>1</v>
      </c>
    </row>
    <row r="1760" customFormat="false" ht="15" hidden="false" customHeight="false" outlineLevel="0" collapsed="false">
      <c r="A1760" s="22" t="n">
        <v>20</v>
      </c>
      <c r="B1760" s="23" t="n">
        <v>46377</v>
      </c>
      <c r="C1760" s="28" t="n">
        <v>3333333333.33333</v>
      </c>
      <c r="D1760" s="28" t="n">
        <v>36855555.5555556</v>
      </c>
      <c r="E1760" s="28" t="n">
        <v>0</v>
      </c>
      <c r="F1760" s="28" t="n">
        <v>36855555.5555556</v>
      </c>
      <c r="G1760" s="28" t="n">
        <v>3333333333.33333</v>
      </c>
      <c r="H1760" s="25" t="n">
        <f aca="false">J1759</f>
        <v>3333333333.33333</v>
      </c>
      <c r="I1760" s="25" t="n">
        <f aca="false">H1760*N1760</f>
        <v>36855555.5555556</v>
      </c>
      <c r="J1760" s="25" t="n">
        <f aca="false">H1760-E1760</f>
        <v>3333333333.33333</v>
      </c>
      <c r="K1760" s="25" t="n">
        <f aca="false">D1760-I1760</f>
        <v>0</v>
      </c>
      <c r="L1760" s="25" t="n">
        <f aca="false">G1760-J1760</f>
        <v>0</v>
      </c>
      <c r="M1760" s="25" t="n">
        <f aca="false">F1760</f>
        <v>36855555.5555556</v>
      </c>
      <c r="N1760" s="48" t="n">
        <v>0.0110566666666667</v>
      </c>
      <c r="O1760" s="25" t="n">
        <f aca="false">IF(AND(B1760&gt;=DATE(2026,1,1),B1760&lt;=Resumen!$C$5),1,0)</f>
        <v>0</v>
      </c>
      <c r="P1760" s="25" t="n">
        <f aca="false">IF(AND(B1760&gt;Resumen!$C$5,B1760&lt;=DATE(2027,7,31)),1,0)</f>
        <v>1</v>
      </c>
    </row>
    <row r="1761" customFormat="false" ht="15" hidden="false" customHeight="false" outlineLevel="0" collapsed="false">
      <c r="A1761" s="22" t="n">
        <v>21</v>
      </c>
      <c r="B1761" s="23" t="n">
        <v>46408</v>
      </c>
      <c r="C1761" s="28" t="n">
        <v>3333333333.33333</v>
      </c>
      <c r="D1761" s="28" t="n">
        <v>36855555.5555556</v>
      </c>
      <c r="E1761" s="28" t="n">
        <v>0</v>
      </c>
      <c r="F1761" s="28" t="n">
        <v>36855555.5555556</v>
      </c>
      <c r="G1761" s="28" t="n">
        <v>3333333333.33333</v>
      </c>
      <c r="H1761" s="25" t="n">
        <f aca="false">J1760</f>
        <v>3333333333.33333</v>
      </c>
      <c r="I1761" s="25" t="n">
        <f aca="false">H1761*N1761</f>
        <v>36855555.5555556</v>
      </c>
      <c r="J1761" s="25" t="n">
        <f aca="false">H1761-E1761</f>
        <v>3333333333.33333</v>
      </c>
      <c r="K1761" s="25" t="n">
        <f aca="false">D1761-I1761</f>
        <v>0</v>
      </c>
      <c r="L1761" s="25" t="n">
        <f aca="false">G1761-J1761</f>
        <v>0</v>
      </c>
      <c r="M1761" s="25" t="n">
        <f aca="false">F1761</f>
        <v>36855555.5555556</v>
      </c>
      <c r="N1761" s="48" t="n">
        <v>0.0110566666666667</v>
      </c>
      <c r="O1761" s="25" t="n">
        <f aca="false">IF(AND(B1761&gt;=DATE(2026,1,1),B1761&lt;=Resumen!$C$5),1,0)</f>
        <v>0</v>
      </c>
      <c r="P1761" s="25" t="n">
        <f aca="false">IF(AND(B1761&gt;Resumen!$C$5,B1761&lt;=DATE(2027,7,31)),1,0)</f>
        <v>1</v>
      </c>
    </row>
    <row r="1762" customFormat="false" ht="15" hidden="false" customHeight="false" outlineLevel="0" collapsed="false">
      <c r="A1762" s="22" t="n">
        <v>22</v>
      </c>
      <c r="B1762" s="23" t="n">
        <v>46439</v>
      </c>
      <c r="C1762" s="28" t="n">
        <v>3333333333.33333</v>
      </c>
      <c r="D1762" s="28" t="n">
        <v>36855555.5555556</v>
      </c>
      <c r="E1762" s="28" t="n">
        <v>0</v>
      </c>
      <c r="F1762" s="28" t="n">
        <v>36855555.5555556</v>
      </c>
      <c r="G1762" s="28" t="n">
        <v>3333333333.33333</v>
      </c>
      <c r="H1762" s="25" t="n">
        <f aca="false">J1761</f>
        <v>3333333333.33333</v>
      </c>
      <c r="I1762" s="25" t="n">
        <f aca="false">H1762*N1762</f>
        <v>36855555.5555556</v>
      </c>
      <c r="J1762" s="25" t="n">
        <f aca="false">H1762-E1762</f>
        <v>3333333333.33333</v>
      </c>
      <c r="K1762" s="25" t="n">
        <f aca="false">D1762-I1762</f>
        <v>0</v>
      </c>
      <c r="L1762" s="25" t="n">
        <f aca="false">G1762-J1762</f>
        <v>0</v>
      </c>
      <c r="M1762" s="25" t="n">
        <f aca="false">F1762</f>
        <v>36855555.5555556</v>
      </c>
      <c r="N1762" s="48" t="n">
        <v>0.0110566666666667</v>
      </c>
      <c r="O1762" s="25" t="n">
        <f aca="false">IF(AND(B1762&gt;=DATE(2026,1,1),B1762&lt;=Resumen!$C$5),1,0)</f>
        <v>0</v>
      </c>
      <c r="P1762" s="25" t="n">
        <f aca="false">IF(AND(B1762&gt;Resumen!$C$5,B1762&lt;=DATE(2027,7,31)),1,0)</f>
        <v>1</v>
      </c>
    </row>
    <row r="1763" customFormat="false" ht="15" hidden="false" customHeight="false" outlineLevel="0" collapsed="false">
      <c r="A1763" s="22" t="n">
        <v>23</v>
      </c>
      <c r="B1763" s="23" t="n">
        <v>46467</v>
      </c>
      <c r="C1763" s="28" t="n">
        <v>3333333333.33333</v>
      </c>
      <c r="D1763" s="28" t="n">
        <v>36855555.5555556</v>
      </c>
      <c r="E1763" s="28" t="n">
        <v>0</v>
      </c>
      <c r="F1763" s="28" t="n">
        <v>36855555.5555556</v>
      </c>
      <c r="G1763" s="28" t="n">
        <v>3333333333.33333</v>
      </c>
      <c r="H1763" s="25" t="n">
        <f aca="false">J1762</f>
        <v>3333333333.33333</v>
      </c>
      <c r="I1763" s="25" t="n">
        <f aca="false">H1763*N1763</f>
        <v>36855555.5555556</v>
      </c>
      <c r="J1763" s="25" t="n">
        <f aca="false">H1763-E1763</f>
        <v>3333333333.33333</v>
      </c>
      <c r="K1763" s="25" t="n">
        <f aca="false">D1763-I1763</f>
        <v>0</v>
      </c>
      <c r="L1763" s="25" t="n">
        <f aca="false">G1763-J1763</f>
        <v>0</v>
      </c>
      <c r="M1763" s="25" t="n">
        <f aca="false">F1763</f>
        <v>36855555.5555556</v>
      </c>
      <c r="N1763" s="48" t="n">
        <v>0.0110566666666667</v>
      </c>
      <c r="O1763" s="25" t="n">
        <f aca="false">IF(AND(B1763&gt;=DATE(2026,1,1),B1763&lt;=Resumen!$C$5),1,0)</f>
        <v>0</v>
      </c>
      <c r="P1763" s="25" t="n">
        <f aca="false">IF(AND(B1763&gt;Resumen!$C$5,B1763&lt;=DATE(2027,7,31)),1,0)</f>
        <v>1</v>
      </c>
    </row>
    <row r="1764" customFormat="false" ht="15" hidden="false" customHeight="false" outlineLevel="0" collapsed="false">
      <c r="A1764" s="22" t="n">
        <v>24</v>
      </c>
      <c r="B1764" s="23" t="n">
        <v>46498</v>
      </c>
      <c r="C1764" s="28" t="n">
        <v>3333333333.33333</v>
      </c>
      <c r="D1764" s="28" t="n">
        <v>36855555.5555556</v>
      </c>
      <c r="E1764" s="28" t="n">
        <v>1666666666.66667</v>
      </c>
      <c r="F1764" s="28" t="n">
        <v>1703522222.22222</v>
      </c>
      <c r="G1764" s="28" t="n">
        <v>1666666666.66667</v>
      </c>
      <c r="H1764" s="25" t="n">
        <f aca="false">J1763</f>
        <v>3333333333.33333</v>
      </c>
      <c r="I1764" s="25" t="n">
        <f aca="false">H1764*N1764</f>
        <v>36855555.5555556</v>
      </c>
      <c r="J1764" s="25" t="n">
        <f aca="false">H1764-E1764</f>
        <v>1666666666.66667</v>
      </c>
      <c r="K1764" s="25" t="n">
        <f aca="false">D1764-I1764</f>
        <v>0</v>
      </c>
      <c r="L1764" s="25" t="n">
        <f aca="false">G1764-J1764</f>
        <v>0</v>
      </c>
      <c r="M1764" s="25" t="n">
        <f aca="false">F1764</f>
        <v>1703522222.22222</v>
      </c>
      <c r="N1764" s="48" t="n">
        <v>0.0110566666666667</v>
      </c>
      <c r="O1764" s="25" t="n">
        <f aca="false">IF(AND(B1764&gt;=DATE(2026,1,1),B1764&lt;=Resumen!$C$5),1,0)</f>
        <v>0</v>
      </c>
      <c r="P1764" s="25" t="n">
        <f aca="false">IF(AND(B1764&gt;Resumen!$C$5,B1764&lt;=DATE(2027,7,31)),1,0)</f>
        <v>1</v>
      </c>
    </row>
    <row r="1765" customFormat="false" ht="15" hidden="false" customHeight="false" outlineLevel="0" collapsed="false">
      <c r="A1765" s="22" t="n">
        <v>25</v>
      </c>
      <c r="B1765" s="23" t="n">
        <v>46528</v>
      </c>
      <c r="C1765" s="28" t="n">
        <v>1666666666.66667</v>
      </c>
      <c r="D1765" s="28" t="n">
        <v>18427777.7777778</v>
      </c>
      <c r="E1765" s="28" t="n">
        <v>0</v>
      </c>
      <c r="F1765" s="28" t="n">
        <v>18427777.7777778</v>
      </c>
      <c r="G1765" s="28" t="n">
        <v>1666666666.66667</v>
      </c>
      <c r="H1765" s="25" t="n">
        <f aca="false">J1764</f>
        <v>1666666666.66667</v>
      </c>
      <c r="I1765" s="25" t="n">
        <f aca="false">H1765*N1765</f>
        <v>18427777.7777778</v>
      </c>
      <c r="J1765" s="25" t="n">
        <f aca="false">H1765-E1765</f>
        <v>1666666666.66667</v>
      </c>
      <c r="K1765" s="25" t="n">
        <f aca="false">D1765-I1765</f>
        <v>0</v>
      </c>
      <c r="L1765" s="25" t="n">
        <f aca="false">G1765-J1765</f>
        <v>0</v>
      </c>
      <c r="M1765" s="25" t="n">
        <f aca="false">F1765</f>
        <v>18427777.7777778</v>
      </c>
      <c r="N1765" s="48" t="n">
        <v>0.0110566666666667</v>
      </c>
      <c r="O1765" s="25" t="n">
        <f aca="false">IF(AND(B1765&gt;=DATE(2026,1,1),B1765&lt;=Resumen!$C$5),1,0)</f>
        <v>0</v>
      </c>
      <c r="P1765" s="25" t="n">
        <f aca="false">IF(AND(B1765&gt;Resumen!$C$5,B1765&lt;=DATE(2027,7,31)),1,0)</f>
        <v>1</v>
      </c>
    </row>
    <row r="1766" customFormat="false" ht="15" hidden="false" customHeight="false" outlineLevel="0" collapsed="false">
      <c r="A1766" s="22" t="n">
        <v>26</v>
      </c>
      <c r="B1766" s="23" t="n">
        <v>46559</v>
      </c>
      <c r="C1766" s="28" t="n">
        <v>1666666666.66667</v>
      </c>
      <c r="D1766" s="28" t="n">
        <v>18427777.7777778</v>
      </c>
      <c r="E1766" s="28" t="n">
        <v>0</v>
      </c>
      <c r="F1766" s="28" t="n">
        <v>18427777.7777778</v>
      </c>
      <c r="G1766" s="28" t="n">
        <v>1666666666.66667</v>
      </c>
      <c r="H1766" s="25" t="n">
        <f aca="false">J1765</f>
        <v>1666666666.66667</v>
      </c>
      <c r="I1766" s="25" t="n">
        <f aca="false">H1766*N1766</f>
        <v>18427777.7777778</v>
      </c>
      <c r="J1766" s="25" t="n">
        <f aca="false">H1766-E1766</f>
        <v>1666666666.66667</v>
      </c>
      <c r="K1766" s="25" t="n">
        <f aca="false">D1766-I1766</f>
        <v>0</v>
      </c>
      <c r="L1766" s="25" t="n">
        <f aca="false">G1766-J1766</f>
        <v>0</v>
      </c>
      <c r="M1766" s="25" t="n">
        <f aca="false">F1766</f>
        <v>18427777.7777778</v>
      </c>
      <c r="N1766" s="48" t="n">
        <v>0.0110566666666667</v>
      </c>
      <c r="O1766" s="25" t="n">
        <f aca="false">IF(AND(B1766&gt;=DATE(2026,1,1),B1766&lt;=Resumen!$C$5),1,0)</f>
        <v>0</v>
      </c>
      <c r="P1766" s="25" t="n">
        <f aca="false">IF(AND(B1766&gt;Resumen!$C$5,B1766&lt;=DATE(2027,7,31)),1,0)</f>
        <v>1</v>
      </c>
    </row>
    <row r="1767" customFormat="false" ht="15" hidden="false" customHeight="false" outlineLevel="0" collapsed="false">
      <c r="A1767" s="22" t="n">
        <v>27</v>
      </c>
      <c r="B1767" s="23" t="n">
        <v>46589</v>
      </c>
      <c r="C1767" s="28" t="n">
        <v>1666666666.66667</v>
      </c>
      <c r="D1767" s="28" t="n">
        <v>18427777.7777778</v>
      </c>
      <c r="E1767" s="28" t="n">
        <v>0</v>
      </c>
      <c r="F1767" s="28" t="n">
        <v>18427777.7777778</v>
      </c>
      <c r="G1767" s="28" t="n">
        <v>1666666666.66667</v>
      </c>
      <c r="H1767" s="25" t="n">
        <f aca="false">J1766</f>
        <v>1666666666.66667</v>
      </c>
      <c r="I1767" s="25" t="n">
        <f aca="false">H1767*N1767</f>
        <v>18427777.7777778</v>
      </c>
      <c r="J1767" s="25" t="n">
        <f aca="false">H1767-E1767</f>
        <v>1666666666.66667</v>
      </c>
      <c r="K1767" s="25" t="n">
        <f aca="false">D1767-I1767</f>
        <v>0</v>
      </c>
      <c r="L1767" s="25" t="n">
        <f aca="false">G1767-J1767</f>
        <v>0</v>
      </c>
      <c r="M1767" s="25" t="n">
        <f aca="false">F1767</f>
        <v>18427777.7777778</v>
      </c>
      <c r="N1767" s="48" t="n">
        <v>0.0110566666666667</v>
      </c>
      <c r="O1767" s="25" t="n">
        <f aca="false">IF(AND(B1767&gt;=DATE(2026,1,1),B1767&lt;=Resumen!$C$5),1,0)</f>
        <v>0</v>
      </c>
      <c r="P1767" s="25" t="n">
        <f aca="false">IF(AND(B1767&gt;Resumen!$C$5,B1767&lt;=DATE(2027,7,31)),1,0)</f>
        <v>1</v>
      </c>
    </row>
    <row r="1768" customFormat="false" ht="15" hidden="false" customHeight="false" outlineLevel="0" collapsed="false">
      <c r="A1768" s="22" t="n">
        <v>28</v>
      </c>
      <c r="B1768" s="23" t="n">
        <v>46620</v>
      </c>
      <c r="C1768" s="28" t="n">
        <v>1666666666.66667</v>
      </c>
      <c r="D1768" s="28" t="n">
        <v>18427777.7777778</v>
      </c>
      <c r="E1768" s="28" t="n">
        <v>0</v>
      </c>
      <c r="F1768" s="28" t="n">
        <v>18427777.7777778</v>
      </c>
      <c r="G1768" s="28" t="n">
        <v>1666666666.66667</v>
      </c>
      <c r="H1768" s="25" t="n">
        <f aca="false">J1767</f>
        <v>1666666666.66667</v>
      </c>
      <c r="I1768" s="25" t="n">
        <f aca="false">H1768*N1768</f>
        <v>18427777.7777778</v>
      </c>
      <c r="J1768" s="25" t="n">
        <f aca="false">H1768-E1768</f>
        <v>1666666666.66667</v>
      </c>
      <c r="K1768" s="25" t="n">
        <f aca="false">D1768-I1768</f>
        <v>0</v>
      </c>
      <c r="L1768" s="25" t="n">
        <f aca="false">G1768-J1768</f>
        <v>0</v>
      </c>
      <c r="M1768" s="25" t="n">
        <f aca="false">F1768</f>
        <v>18427777.7777778</v>
      </c>
      <c r="N1768" s="48" t="n">
        <v>0.0110566666666667</v>
      </c>
      <c r="O1768" s="25" t="n">
        <f aca="false">IF(AND(B1768&gt;=DATE(2026,1,1),B1768&lt;=Resumen!$C$5),1,0)</f>
        <v>0</v>
      </c>
      <c r="P1768" s="25" t="n">
        <f aca="false">IF(AND(B1768&gt;Resumen!$C$5,B1768&lt;=DATE(2027,7,31)),1,0)</f>
        <v>0</v>
      </c>
    </row>
    <row r="1769" customFormat="false" ht="15" hidden="false" customHeight="false" outlineLevel="0" collapsed="false">
      <c r="A1769" s="22" t="n">
        <v>29</v>
      </c>
      <c r="B1769" s="23" t="n">
        <v>46651</v>
      </c>
      <c r="C1769" s="28" t="n">
        <v>1666666666.66667</v>
      </c>
      <c r="D1769" s="28" t="n">
        <v>18427777.7777778</v>
      </c>
      <c r="E1769" s="28" t="n">
        <v>0</v>
      </c>
      <c r="F1769" s="28" t="n">
        <v>18427777.7777778</v>
      </c>
      <c r="G1769" s="28" t="n">
        <v>1666666666.66667</v>
      </c>
      <c r="H1769" s="25" t="n">
        <f aca="false">J1768</f>
        <v>1666666666.66667</v>
      </c>
      <c r="I1769" s="25" t="n">
        <f aca="false">H1769*N1769</f>
        <v>18427777.7777778</v>
      </c>
      <c r="J1769" s="25" t="n">
        <f aca="false">H1769-E1769</f>
        <v>1666666666.66667</v>
      </c>
      <c r="K1769" s="25" t="n">
        <f aca="false">D1769-I1769</f>
        <v>0</v>
      </c>
      <c r="L1769" s="25" t="n">
        <f aca="false">G1769-J1769</f>
        <v>0</v>
      </c>
      <c r="M1769" s="25" t="n">
        <f aca="false">F1769</f>
        <v>18427777.7777778</v>
      </c>
      <c r="N1769" s="48" t="n">
        <v>0.0110566666666667</v>
      </c>
      <c r="O1769" s="25" t="n">
        <f aca="false">IF(AND(B1769&gt;=DATE(2026,1,1),B1769&lt;=Resumen!$C$5),1,0)</f>
        <v>0</v>
      </c>
      <c r="P1769" s="25" t="n">
        <f aca="false">IF(AND(B1769&gt;Resumen!$C$5,B1769&lt;=DATE(2027,7,31)),1,0)</f>
        <v>0</v>
      </c>
    </row>
    <row r="1770" customFormat="false" ht="15" hidden="false" customHeight="false" outlineLevel="0" collapsed="false">
      <c r="A1770" s="22" t="n">
        <v>30</v>
      </c>
      <c r="B1770" s="23" t="n">
        <v>46681</v>
      </c>
      <c r="C1770" s="28" t="n">
        <v>1666666666.66667</v>
      </c>
      <c r="D1770" s="28" t="n">
        <v>18427777.7777778</v>
      </c>
      <c r="E1770" s="28" t="n">
        <v>0</v>
      </c>
      <c r="F1770" s="28" t="n">
        <v>18427777.7777778</v>
      </c>
      <c r="G1770" s="28" t="n">
        <v>1666666666.66667</v>
      </c>
      <c r="H1770" s="25" t="n">
        <f aca="false">J1769</f>
        <v>1666666666.66667</v>
      </c>
      <c r="I1770" s="25" t="n">
        <f aca="false">H1770*N1770</f>
        <v>18427777.7777778</v>
      </c>
      <c r="J1770" s="25" t="n">
        <f aca="false">H1770-E1770</f>
        <v>1666666666.66667</v>
      </c>
      <c r="K1770" s="25" t="n">
        <f aca="false">D1770-I1770</f>
        <v>0</v>
      </c>
      <c r="L1770" s="25" t="n">
        <f aca="false">G1770-J1770</f>
        <v>0</v>
      </c>
      <c r="M1770" s="25" t="n">
        <f aca="false">F1770</f>
        <v>18427777.7777778</v>
      </c>
      <c r="N1770" s="48" t="n">
        <v>0.0110566666666667</v>
      </c>
      <c r="O1770" s="25" t="n">
        <f aca="false">IF(AND(B1770&gt;=DATE(2026,1,1),B1770&lt;=Resumen!$C$5),1,0)</f>
        <v>0</v>
      </c>
      <c r="P1770" s="25" t="n">
        <f aca="false">IF(AND(B1770&gt;Resumen!$C$5,B1770&lt;=DATE(2027,7,31)),1,0)</f>
        <v>0</v>
      </c>
    </row>
    <row r="1771" customFormat="false" ht="15" hidden="false" customHeight="false" outlineLevel="0" collapsed="false">
      <c r="A1771" s="22" t="n">
        <v>31</v>
      </c>
      <c r="B1771" s="23" t="n">
        <v>46712</v>
      </c>
      <c r="C1771" s="28" t="n">
        <v>1666666666.66667</v>
      </c>
      <c r="D1771" s="28" t="n">
        <v>18427777.7777778</v>
      </c>
      <c r="E1771" s="28" t="n">
        <v>0</v>
      </c>
      <c r="F1771" s="28" t="n">
        <v>18427777.7777778</v>
      </c>
      <c r="G1771" s="28" t="n">
        <v>1666666666.66667</v>
      </c>
      <c r="H1771" s="25" t="n">
        <f aca="false">J1770</f>
        <v>1666666666.66667</v>
      </c>
      <c r="I1771" s="25" t="n">
        <f aca="false">H1771*N1771</f>
        <v>18427777.7777778</v>
      </c>
      <c r="J1771" s="25" t="n">
        <f aca="false">H1771-E1771</f>
        <v>1666666666.66667</v>
      </c>
      <c r="K1771" s="25" t="n">
        <f aca="false">D1771-I1771</f>
        <v>0</v>
      </c>
      <c r="L1771" s="25" t="n">
        <f aca="false">G1771-J1771</f>
        <v>0</v>
      </c>
      <c r="M1771" s="25" t="n">
        <f aca="false">F1771</f>
        <v>18427777.7777778</v>
      </c>
      <c r="N1771" s="48" t="n">
        <v>0.0110566666666667</v>
      </c>
      <c r="O1771" s="25" t="n">
        <f aca="false">IF(AND(B1771&gt;=DATE(2026,1,1),B1771&lt;=Resumen!$C$5),1,0)</f>
        <v>0</v>
      </c>
      <c r="P1771" s="25" t="n">
        <f aca="false">IF(AND(B1771&gt;Resumen!$C$5,B1771&lt;=DATE(2027,7,31)),1,0)</f>
        <v>0</v>
      </c>
    </row>
    <row r="1772" customFormat="false" ht="15" hidden="false" customHeight="false" outlineLevel="0" collapsed="false">
      <c r="A1772" s="22" t="n">
        <v>32</v>
      </c>
      <c r="B1772" s="23" t="n">
        <v>46742</v>
      </c>
      <c r="C1772" s="28" t="n">
        <v>1666666666.66667</v>
      </c>
      <c r="D1772" s="28" t="n">
        <v>18427777.7777778</v>
      </c>
      <c r="E1772" s="28" t="n">
        <v>0</v>
      </c>
      <c r="F1772" s="28" t="n">
        <v>18427777.7777778</v>
      </c>
      <c r="G1772" s="28" t="n">
        <v>1666666666.66667</v>
      </c>
      <c r="H1772" s="25" t="n">
        <f aca="false">J1771</f>
        <v>1666666666.66667</v>
      </c>
      <c r="I1772" s="25" t="n">
        <f aca="false">H1772*N1772</f>
        <v>18427777.7777778</v>
      </c>
      <c r="J1772" s="25" t="n">
        <f aca="false">H1772-E1772</f>
        <v>1666666666.66667</v>
      </c>
      <c r="K1772" s="25" t="n">
        <f aca="false">D1772-I1772</f>
        <v>0</v>
      </c>
      <c r="L1772" s="25" t="n">
        <f aca="false">G1772-J1772</f>
        <v>0</v>
      </c>
      <c r="M1772" s="25" t="n">
        <f aca="false">F1772</f>
        <v>18427777.7777778</v>
      </c>
      <c r="N1772" s="48" t="n">
        <v>0.0110566666666667</v>
      </c>
      <c r="O1772" s="25" t="n">
        <f aca="false">IF(AND(B1772&gt;=DATE(2026,1,1),B1772&lt;=Resumen!$C$5),1,0)</f>
        <v>0</v>
      </c>
      <c r="P1772" s="25" t="n">
        <f aca="false">IF(AND(B1772&gt;Resumen!$C$5,B1772&lt;=DATE(2027,7,31)),1,0)</f>
        <v>0</v>
      </c>
    </row>
    <row r="1773" customFormat="false" ht="15" hidden="false" customHeight="false" outlineLevel="0" collapsed="false">
      <c r="A1773" s="22" t="n">
        <v>33</v>
      </c>
      <c r="B1773" s="23" t="n">
        <v>46773</v>
      </c>
      <c r="C1773" s="28" t="n">
        <v>1666666666.66667</v>
      </c>
      <c r="D1773" s="28" t="n">
        <v>18427777.7777778</v>
      </c>
      <c r="E1773" s="28" t="n">
        <v>0</v>
      </c>
      <c r="F1773" s="28" t="n">
        <v>18427777.7777778</v>
      </c>
      <c r="G1773" s="28" t="n">
        <v>1666666666.66667</v>
      </c>
      <c r="H1773" s="25" t="n">
        <f aca="false">J1772</f>
        <v>1666666666.66667</v>
      </c>
      <c r="I1773" s="25" t="n">
        <f aca="false">H1773*N1773</f>
        <v>18427777.7777778</v>
      </c>
      <c r="J1773" s="25" t="n">
        <f aca="false">H1773-E1773</f>
        <v>1666666666.66667</v>
      </c>
      <c r="K1773" s="25" t="n">
        <f aca="false">D1773-I1773</f>
        <v>0</v>
      </c>
      <c r="L1773" s="25" t="n">
        <f aca="false">G1773-J1773</f>
        <v>0</v>
      </c>
      <c r="M1773" s="25" t="n">
        <f aca="false">F1773</f>
        <v>18427777.7777778</v>
      </c>
      <c r="N1773" s="48" t="n">
        <v>0.0110566666666667</v>
      </c>
      <c r="O1773" s="25" t="n">
        <f aca="false">IF(AND(B1773&gt;=DATE(2026,1,1),B1773&lt;=Resumen!$C$5),1,0)</f>
        <v>0</v>
      </c>
      <c r="P1773" s="25" t="n">
        <f aca="false">IF(AND(B1773&gt;Resumen!$C$5,B1773&lt;=DATE(2027,7,31)),1,0)</f>
        <v>0</v>
      </c>
    </row>
    <row r="1774" customFormat="false" ht="15" hidden="false" customHeight="false" outlineLevel="0" collapsed="false">
      <c r="A1774" s="22" t="n">
        <v>34</v>
      </c>
      <c r="B1774" s="23" t="n">
        <v>46804</v>
      </c>
      <c r="C1774" s="28" t="n">
        <v>1666666666.66667</v>
      </c>
      <c r="D1774" s="28" t="n">
        <v>18427777.7777778</v>
      </c>
      <c r="E1774" s="28" t="n">
        <v>0</v>
      </c>
      <c r="F1774" s="28" t="n">
        <v>18427777.7777778</v>
      </c>
      <c r="G1774" s="28" t="n">
        <v>1666666666.66667</v>
      </c>
      <c r="H1774" s="25" t="n">
        <f aca="false">J1773</f>
        <v>1666666666.66667</v>
      </c>
      <c r="I1774" s="25" t="n">
        <f aca="false">H1774*N1774</f>
        <v>18427777.7777778</v>
      </c>
      <c r="J1774" s="25" t="n">
        <f aca="false">H1774-E1774</f>
        <v>1666666666.66667</v>
      </c>
      <c r="K1774" s="25" t="n">
        <f aca="false">D1774-I1774</f>
        <v>0</v>
      </c>
      <c r="L1774" s="25" t="n">
        <f aca="false">G1774-J1774</f>
        <v>0</v>
      </c>
      <c r="M1774" s="25" t="n">
        <f aca="false">F1774</f>
        <v>18427777.7777778</v>
      </c>
      <c r="N1774" s="48" t="n">
        <v>0.0110566666666667</v>
      </c>
      <c r="O1774" s="25" t="n">
        <f aca="false">IF(AND(B1774&gt;=DATE(2026,1,1),B1774&lt;=Resumen!$C$5),1,0)</f>
        <v>0</v>
      </c>
      <c r="P1774" s="25" t="n">
        <f aca="false">IF(AND(B1774&gt;Resumen!$C$5,B1774&lt;=DATE(2027,7,31)),1,0)</f>
        <v>0</v>
      </c>
    </row>
    <row r="1775" customFormat="false" ht="15" hidden="false" customHeight="false" outlineLevel="0" collapsed="false">
      <c r="A1775" s="22" t="n">
        <v>35</v>
      </c>
      <c r="B1775" s="23" t="n">
        <v>46833</v>
      </c>
      <c r="C1775" s="28" t="n">
        <v>1666666666.66667</v>
      </c>
      <c r="D1775" s="28" t="n">
        <v>18427777.7777778</v>
      </c>
      <c r="E1775" s="28" t="n">
        <v>0</v>
      </c>
      <c r="F1775" s="28" t="n">
        <v>18427777.7777778</v>
      </c>
      <c r="G1775" s="28" t="n">
        <v>1666666666.66667</v>
      </c>
      <c r="H1775" s="25" t="n">
        <f aca="false">J1774</f>
        <v>1666666666.66667</v>
      </c>
      <c r="I1775" s="25" t="n">
        <f aca="false">H1775*N1775</f>
        <v>18427777.7777778</v>
      </c>
      <c r="J1775" s="25" t="n">
        <f aca="false">H1775-E1775</f>
        <v>1666666666.66667</v>
      </c>
      <c r="K1775" s="25" t="n">
        <f aca="false">D1775-I1775</f>
        <v>0</v>
      </c>
      <c r="L1775" s="25" t="n">
        <f aca="false">G1775-J1775</f>
        <v>0</v>
      </c>
      <c r="M1775" s="25" t="n">
        <f aca="false">F1775</f>
        <v>18427777.7777778</v>
      </c>
      <c r="N1775" s="48" t="n">
        <v>0.0110566666666667</v>
      </c>
      <c r="O1775" s="25" t="n">
        <f aca="false">IF(AND(B1775&gt;=DATE(2026,1,1),B1775&lt;=Resumen!$C$5),1,0)</f>
        <v>0</v>
      </c>
      <c r="P1775" s="25" t="n">
        <f aca="false">IF(AND(B1775&gt;Resumen!$C$5,B1775&lt;=DATE(2027,7,31)),1,0)</f>
        <v>0</v>
      </c>
    </row>
    <row r="1776" customFormat="false" ht="15" hidden="false" customHeight="false" outlineLevel="0" collapsed="false">
      <c r="A1776" s="22" t="n">
        <v>36</v>
      </c>
      <c r="B1776" s="23" t="n">
        <v>46864</v>
      </c>
      <c r="C1776" s="28" t="n">
        <v>1666666666.66667</v>
      </c>
      <c r="D1776" s="28" t="n">
        <v>18427777.7777778</v>
      </c>
      <c r="E1776" s="28" t="n">
        <v>1666666666.66667</v>
      </c>
      <c r="F1776" s="28" t="n">
        <v>1685094444.44444</v>
      </c>
      <c r="G1776" s="28" t="n">
        <v>0</v>
      </c>
      <c r="H1776" s="25" t="n">
        <f aca="false">J1775</f>
        <v>1666666666.66667</v>
      </c>
      <c r="I1776" s="25" t="n">
        <f aca="false">H1776*N1776</f>
        <v>18427777.7777778</v>
      </c>
      <c r="J1776" s="25" t="n">
        <f aca="false">H1776-E1776</f>
        <v>0</v>
      </c>
      <c r="K1776" s="25" t="n">
        <f aca="false">D1776-I1776</f>
        <v>0</v>
      </c>
      <c r="L1776" s="25" t="n">
        <f aca="false">G1776-J1776</f>
        <v>0</v>
      </c>
      <c r="M1776" s="25" t="n">
        <f aca="false">F1776</f>
        <v>1685094444.44444</v>
      </c>
      <c r="N1776" s="48" t="n">
        <v>0.0110566666666667</v>
      </c>
      <c r="O1776" s="25" t="n">
        <f aca="false">IF(AND(B1776&gt;=DATE(2026,1,1),B1776&lt;=Resumen!$C$5),1,0)</f>
        <v>0</v>
      </c>
      <c r="P1776" s="25" t="n">
        <f aca="false">IF(AND(B1776&gt;Resumen!$C$5,B1776&lt;=DATE(2027,7,31)),1,0)</f>
        <v>0</v>
      </c>
    </row>
    <row r="1779" customFormat="false" ht="15" hidden="false" customHeight="false" outlineLevel="0" collapsed="false">
      <c r="A1779" s="33" t="s">
        <v>906</v>
      </c>
    </row>
    <row r="1780" customFormat="false" ht="15" hidden="false" customHeight="false" outlineLevel="0" collapsed="false">
      <c r="A1780" s="34" t="s">
        <v>907</v>
      </c>
    </row>
    <row r="1781" customFormat="false" ht="15" hidden="false" customHeight="false" outlineLevel="0" collapsed="false">
      <c r="A1781" s="19" t="s">
        <v>908</v>
      </c>
    </row>
    <row r="1782" customFormat="false" ht="15" hidden="false" customHeight="false" outlineLevel="0" collapsed="false">
      <c r="A1782" s="20" t="s">
        <v>909</v>
      </c>
    </row>
    <row r="1783" customFormat="false" ht="15" hidden="false" customHeight="false" outlineLevel="0" collapsed="false">
      <c r="A1783" s="29" t="s">
        <v>773</v>
      </c>
      <c r="C1783" s="22" t="s">
        <v>910</v>
      </c>
      <c r="F1783" s="47" t="s">
        <v>775</v>
      </c>
    </row>
    <row r="1784" customFormat="false" ht="15" hidden="false" customHeight="false" outlineLevel="0" collapsed="false">
      <c r="A1784" s="29" t="s">
        <v>640</v>
      </c>
      <c r="C1784" s="28" t="n">
        <v>561680000</v>
      </c>
      <c r="F1784" s="22" t="s">
        <v>776</v>
      </c>
      <c r="I1784" s="41" t="n">
        <f aca="false">_xlfn.MAXIFS($B$1792:$B$1812,$B$1792:$B$1812,"&lt;="&amp;Resumen!$C$5)</f>
        <v>46187</v>
      </c>
    </row>
    <row r="1785" customFormat="false" ht="15" hidden="false" customHeight="false" outlineLevel="0" collapsed="false">
      <c r="A1785" s="29" t="s">
        <v>641</v>
      </c>
      <c r="C1785" s="23" t="n">
        <v>45730</v>
      </c>
      <c r="F1785" s="22" t="s">
        <v>777</v>
      </c>
      <c r="I1785" s="25" t="n">
        <f aca="false">SUMIFS($G$1792:$G$1812,$B$1792:$B$1812,I1784)</f>
        <v>524519291.134113</v>
      </c>
    </row>
    <row r="1786" customFormat="false" ht="15" hidden="false" customHeight="false" outlineLevel="0" collapsed="false">
      <c r="A1786" s="29" t="s">
        <v>778</v>
      </c>
      <c r="C1786" s="22" t="s">
        <v>911</v>
      </c>
      <c r="F1786" s="22" t="s">
        <v>780</v>
      </c>
      <c r="I1786" s="25" t="n">
        <f aca="false">SUMIFS($J$1792:$J$1812,$B$1792:$B$1812,I1784)</f>
        <v>524519291.134113</v>
      </c>
    </row>
    <row r="1787" customFormat="false" ht="15" hidden="false" customHeight="false" outlineLevel="0" collapsed="false">
      <c r="A1787" s="29" t="s">
        <v>781</v>
      </c>
      <c r="C1787" s="48" t="n">
        <v>0.0214501400540117</v>
      </c>
      <c r="F1787" s="22" t="s">
        <v>650</v>
      </c>
      <c r="I1787" s="25" t="n">
        <f aca="false">SUMIFS($D$1792:$D$1812,$O$1792:$O$1812,1)</f>
        <v>20871066.3030259</v>
      </c>
    </row>
    <row r="1788" customFormat="false" ht="15" hidden="false" customHeight="false" outlineLevel="0" collapsed="false">
      <c r="A1788" s="29" t="s">
        <v>782</v>
      </c>
      <c r="C1788" s="49" t="n">
        <f aca="false">IFERROR(IRR($M$1792:$M$1812),"N/A")</f>
        <v>0.025689223703405</v>
      </c>
      <c r="F1788" s="22" t="s">
        <v>783</v>
      </c>
      <c r="I1788" s="25" t="n">
        <f aca="false">SUMIFS($E$1792:$E$1812,$P$1792:$P$1812,1)</f>
        <v>148642835.463547</v>
      </c>
    </row>
    <row r="1789" customFormat="false" ht="15" hidden="false" customHeight="false" outlineLevel="0" collapsed="false">
      <c r="A1789" s="29" t="s">
        <v>784</v>
      </c>
      <c r="C1789" s="50" t="n">
        <f aca="false">IF(ISNUMBER(C1788),(1+C1788)^4-1,"N/A")</f>
        <v>0.106784760612504</v>
      </c>
      <c r="F1789" s="22" t="s">
        <v>785</v>
      </c>
      <c r="I1789" s="25" t="n">
        <f aca="false">SUMPRODUCT(MAX(ABS($L$1792:$L$1812)))</f>
        <v>5.21540641784668E-008</v>
      </c>
    </row>
    <row r="1791" customFormat="false" ht="36" hidden="false" customHeight="true" outlineLevel="0" collapsed="false">
      <c r="A1791" s="27" t="s">
        <v>786</v>
      </c>
      <c r="B1791" s="27" t="s">
        <v>396</v>
      </c>
      <c r="C1791" s="27" t="s">
        <v>787</v>
      </c>
      <c r="D1791" s="27" t="s">
        <v>788</v>
      </c>
      <c r="E1791" s="27" t="s">
        <v>789</v>
      </c>
      <c r="F1791" s="27" t="s">
        <v>790</v>
      </c>
      <c r="G1791" s="27" t="s">
        <v>791</v>
      </c>
      <c r="H1791" s="27" t="s">
        <v>792</v>
      </c>
      <c r="I1791" s="27" t="s">
        <v>793</v>
      </c>
      <c r="J1791" s="27" t="s">
        <v>794</v>
      </c>
      <c r="K1791" s="27" t="s">
        <v>795</v>
      </c>
      <c r="L1791" s="27" t="s">
        <v>796</v>
      </c>
      <c r="M1791" s="27" t="s">
        <v>797</v>
      </c>
      <c r="N1791" s="27" t="s">
        <v>798</v>
      </c>
      <c r="O1791" s="27" t="s">
        <v>799</v>
      </c>
      <c r="P1791" s="27" t="s">
        <v>800</v>
      </c>
    </row>
    <row r="1792" customFormat="false" ht="15" hidden="false" customHeight="false" outlineLevel="0" collapsed="false">
      <c r="A1792" s="22" t="n">
        <v>0</v>
      </c>
      <c r="B1792" s="23" t="n">
        <v>45730</v>
      </c>
      <c r="C1792" s="28"/>
      <c r="D1792" s="28" t="n">
        <v>0</v>
      </c>
      <c r="E1792" s="28" t="n">
        <v>0</v>
      </c>
      <c r="F1792" s="28" t="n">
        <v>0</v>
      </c>
      <c r="G1792" s="28" t="n">
        <v>561680000</v>
      </c>
      <c r="H1792" s="25" t="n">
        <f aca="false">G1792</f>
        <v>561680000</v>
      </c>
      <c r="I1792" s="28" t="n">
        <v>0</v>
      </c>
      <c r="J1792" s="25" t="n">
        <f aca="false">H1792</f>
        <v>561680000</v>
      </c>
      <c r="K1792" s="25" t="n">
        <f aca="false">D1792-I1792</f>
        <v>0</v>
      </c>
      <c r="L1792" s="25" t="n">
        <f aca="false">G1792-J1792</f>
        <v>0</v>
      </c>
      <c r="M1792" s="25" t="n">
        <f aca="false">-$C$1784</f>
        <v>-561680000</v>
      </c>
      <c r="N1792" s="49" t="n">
        <f aca="false">$C$1787</f>
        <v>0.0214501400540117</v>
      </c>
      <c r="O1792" s="25" t="n">
        <f aca="false">IF(AND(B1792&gt;=DATE(2026,1,1),B1792&lt;=Resumen!$C$5),1,0)</f>
        <v>0</v>
      </c>
      <c r="P1792" s="25" t="n">
        <f aca="false">IF(AND(B1792&gt;Resumen!$C$5,B1792&lt;=DATE(2027,7,31)),1,0)</f>
        <v>0</v>
      </c>
    </row>
    <row r="1793" customFormat="false" ht="15" hidden="false" customHeight="false" outlineLevel="0" collapsed="false">
      <c r="A1793" s="22" t="n">
        <v>1</v>
      </c>
      <c r="B1793" s="23" t="n">
        <v>45822</v>
      </c>
      <c r="C1793" s="28" t="n">
        <v>561680000</v>
      </c>
      <c r="D1793" s="28" t="n">
        <v>12048114.6655373</v>
      </c>
      <c r="E1793" s="28" t="n">
        <v>21479467</v>
      </c>
      <c r="F1793" s="28" t="n">
        <v>33527581.6655373</v>
      </c>
      <c r="G1793" s="28" t="n">
        <v>540200533</v>
      </c>
      <c r="H1793" s="25" t="n">
        <f aca="false">J1792</f>
        <v>561680000</v>
      </c>
      <c r="I1793" s="25" t="n">
        <f aca="false">H1793*N1793</f>
        <v>12048114.6655373</v>
      </c>
      <c r="J1793" s="25" t="n">
        <f aca="false">H1793+I1793-F1793</f>
        <v>540200533</v>
      </c>
      <c r="K1793" s="25" t="n">
        <f aca="false">D1793-I1793</f>
        <v>0</v>
      </c>
      <c r="L1793" s="25" t="n">
        <f aca="false">G1793-J1793</f>
        <v>0</v>
      </c>
      <c r="M1793" s="25" t="n">
        <f aca="false">F1793</f>
        <v>33527581.6655373</v>
      </c>
      <c r="N1793" s="49" t="n">
        <f aca="false">$C$1787</f>
        <v>0.0214501400540117</v>
      </c>
      <c r="O1793" s="25" t="n">
        <f aca="false">IF(AND(B1793&gt;=DATE(2026,1,1),B1793&lt;=Resumen!$C$5),1,0)</f>
        <v>0</v>
      </c>
      <c r="P1793" s="25" t="n">
        <f aca="false">IF(AND(B1793&gt;Resumen!$C$5,B1793&lt;=DATE(2027,7,31)),1,0)</f>
        <v>0</v>
      </c>
    </row>
    <row r="1794" customFormat="false" ht="15" hidden="false" customHeight="false" outlineLevel="0" collapsed="false">
      <c r="A1794" s="22" t="n">
        <v>2</v>
      </c>
      <c r="B1794" s="23" t="n">
        <v>45914</v>
      </c>
      <c r="C1794" s="28" t="n">
        <v>540200533</v>
      </c>
      <c r="D1794" s="28" t="n">
        <v>11587377.0901018</v>
      </c>
      <c r="E1794" s="28" t="n">
        <v>21479467</v>
      </c>
      <c r="F1794" s="28" t="n">
        <v>33066844.0901018</v>
      </c>
      <c r="G1794" s="28" t="n">
        <v>518721066</v>
      </c>
      <c r="H1794" s="25" t="n">
        <f aca="false">J1793</f>
        <v>540200533</v>
      </c>
      <c r="I1794" s="25" t="n">
        <f aca="false">H1794*N1794</f>
        <v>11587377.0901018</v>
      </c>
      <c r="J1794" s="25" t="n">
        <f aca="false">H1794+I1794-F1794</f>
        <v>518721066</v>
      </c>
      <c r="K1794" s="25" t="n">
        <f aca="false">D1794-I1794</f>
        <v>0</v>
      </c>
      <c r="L1794" s="25" t="n">
        <f aca="false">G1794-J1794</f>
        <v>0</v>
      </c>
      <c r="M1794" s="25" t="n">
        <f aca="false">F1794</f>
        <v>33066844.0901018</v>
      </c>
      <c r="N1794" s="49" t="n">
        <f aca="false">$C$1787</f>
        <v>0.0214501400540117</v>
      </c>
      <c r="O1794" s="25" t="n">
        <f aca="false">IF(AND(B1794&gt;=DATE(2026,1,1),B1794&lt;=Resumen!$C$5),1,0)</f>
        <v>0</v>
      </c>
      <c r="P1794" s="25" t="n">
        <f aca="false">IF(AND(B1794&gt;Resumen!$C$5,B1794&lt;=DATE(2027,7,31)),1,0)</f>
        <v>0</v>
      </c>
    </row>
    <row r="1795" customFormat="false" ht="15" hidden="false" customHeight="false" outlineLevel="0" collapsed="false">
      <c r="A1795" s="22" t="n">
        <v>3</v>
      </c>
      <c r="B1795" s="23" t="n">
        <v>46005</v>
      </c>
      <c r="C1795" s="28" t="n">
        <v>518721066</v>
      </c>
      <c r="D1795" s="28" t="n">
        <v>11126639.5146662</v>
      </c>
      <c r="E1795" s="28" t="n">
        <v>21479467</v>
      </c>
      <c r="F1795" s="28" t="n">
        <v>32606106.5146662</v>
      </c>
      <c r="G1795" s="28" t="n">
        <v>497241599</v>
      </c>
      <c r="H1795" s="25" t="n">
        <f aca="false">J1794</f>
        <v>518721066</v>
      </c>
      <c r="I1795" s="25" t="n">
        <f aca="false">H1795*N1795</f>
        <v>11126639.5146662</v>
      </c>
      <c r="J1795" s="25" t="n">
        <f aca="false">H1795+I1795-F1795</f>
        <v>497241599</v>
      </c>
      <c r="K1795" s="25" t="n">
        <f aca="false">D1795-I1795</f>
        <v>0</v>
      </c>
      <c r="L1795" s="25" t="n">
        <f aca="false">G1795-J1795</f>
        <v>0</v>
      </c>
      <c r="M1795" s="25" t="n">
        <f aca="false">F1795</f>
        <v>32606106.5146662</v>
      </c>
      <c r="N1795" s="49" t="n">
        <f aca="false">$C$1787</f>
        <v>0.0214501400540117</v>
      </c>
      <c r="O1795" s="25" t="n">
        <f aca="false">IF(AND(B1795&gt;=DATE(2026,1,1),B1795&lt;=Resumen!$C$5),1,0)</f>
        <v>0</v>
      </c>
      <c r="P1795" s="25" t="n">
        <f aca="false">IF(AND(B1795&gt;Resumen!$C$5,B1795&lt;=DATE(2027,7,31)),1,0)</f>
        <v>0</v>
      </c>
    </row>
    <row r="1796" customFormat="false" ht="15" hidden="false" customHeight="false" outlineLevel="0" collapsed="false">
      <c r="A1796" s="22" t="n">
        <v>4</v>
      </c>
      <c r="B1796" s="23" t="n">
        <v>46095</v>
      </c>
      <c r="C1796" s="28" t="n">
        <v>497241599</v>
      </c>
      <c r="D1796" s="28" t="n">
        <v>10665901.9392307</v>
      </c>
      <c r="E1796" s="28" t="n">
        <v>21479467</v>
      </c>
      <c r="F1796" s="28" t="n">
        <v>32145368.9392307</v>
      </c>
      <c r="G1796" s="28" t="n">
        <v>475762132</v>
      </c>
      <c r="H1796" s="25" t="n">
        <f aca="false">J1795</f>
        <v>497241599</v>
      </c>
      <c r="I1796" s="25" t="n">
        <f aca="false">H1796*N1796</f>
        <v>10665901.9392307</v>
      </c>
      <c r="J1796" s="25" t="n">
        <f aca="false">H1796+I1796-F1796</f>
        <v>475762132</v>
      </c>
      <c r="K1796" s="25" t="n">
        <f aca="false">D1796-I1796</f>
        <v>0</v>
      </c>
      <c r="L1796" s="25" t="n">
        <f aca="false">G1796-J1796</f>
        <v>0</v>
      </c>
      <c r="M1796" s="25" t="n">
        <f aca="false">F1796</f>
        <v>32145368.9392307</v>
      </c>
      <c r="N1796" s="49" t="n">
        <f aca="false">$C$1787</f>
        <v>0.0214501400540117</v>
      </c>
      <c r="O1796" s="25" t="n">
        <f aca="false">IF(AND(B1796&gt;=DATE(2026,1,1),B1796&lt;=Resumen!$C$5),1,0)</f>
        <v>1</v>
      </c>
      <c r="P1796" s="25" t="n">
        <f aca="false">IF(AND(B1796&gt;Resumen!$C$5,B1796&lt;=DATE(2027,7,31)),1,0)</f>
        <v>0</v>
      </c>
    </row>
    <row r="1797" customFormat="false" ht="15" hidden="false" customHeight="false" outlineLevel="0" collapsed="false">
      <c r="A1797" s="22" t="n">
        <v>5</v>
      </c>
      <c r="B1797" s="23" t="n">
        <v>46187</v>
      </c>
      <c r="C1797" s="28" t="n">
        <v>475762132</v>
      </c>
      <c r="D1797" s="28" t="n">
        <v>10205164.3637952</v>
      </c>
      <c r="E1797" s="28" t="n">
        <v>-48757159.1341134</v>
      </c>
      <c r="F1797" s="28" t="n">
        <v>-38551994.7703182</v>
      </c>
      <c r="G1797" s="28" t="n">
        <v>524519291.134113</v>
      </c>
      <c r="H1797" s="25" t="n">
        <f aca="false">J1796</f>
        <v>475762132</v>
      </c>
      <c r="I1797" s="25" t="n">
        <f aca="false">H1797*N1797</f>
        <v>10205164.3637952</v>
      </c>
      <c r="J1797" s="25" t="n">
        <f aca="false">H1797+I1797-F1797</f>
        <v>524519291.134113</v>
      </c>
      <c r="K1797" s="25" t="n">
        <f aca="false">D1797-I1797</f>
        <v>0</v>
      </c>
      <c r="L1797" s="25" t="n">
        <f aca="false">G1797-J1797</f>
        <v>0</v>
      </c>
      <c r="M1797" s="25" t="n">
        <f aca="false">F1797</f>
        <v>-38551994.7703182</v>
      </c>
      <c r="N1797" s="49" t="n">
        <f aca="false">$C$1787</f>
        <v>0.0214501400540117</v>
      </c>
      <c r="O1797" s="25" t="n">
        <f aca="false">IF(AND(B1797&gt;=DATE(2026,1,1),B1797&lt;=Resumen!$C$5),1,0)</f>
        <v>1</v>
      </c>
      <c r="P1797" s="25" t="n">
        <f aca="false">IF(AND(B1797&gt;Resumen!$C$5,B1797&lt;=DATE(2027,7,31)),1,0)</f>
        <v>0</v>
      </c>
    </row>
    <row r="1798" customFormat="false" ht="15" hidden="false" customHeight="false" outlineLevel="0" collapsed="false">
      <c r="A1798" s="22" t="n">
        <v>6</v>
      </c>
      <c r="B1798" s="23" t="n">
        <v>46279</v>
      </c>
      <c r="C1798" s="28" t="n">
        <v>524519291.134113</v>
      </c>
      <c r="D1798" s="28" t="n">
        <v>11251012.2558577</v>
      </c>
      <c r="E1798" s="28" t="n">
        <v>37160708.8658866</v>
      </c>
      <c r="F1798" s="28" t="n">
        <v>48411721.1217443</v>
      </c>
      <c r="G1798" s="28" t="n">
        <v>487358582.268227</v>
      </c>
      <c r="H1798" s="25" t="n">
        <f aca="false">J1797</f>
        <v>524519291.134113</v>
      </c>
      <c r="I1798" s="25" t="n">
        <f aca="false">H1798*N1798</f>
        <v>11251012.2558577</v>
      </c>
      <c r="J1798" s="25" t="n">
        <f aca="false">H1798+I1798-F1798</f>
        <v>487358582.268227</v>
      </c>
      <c r="K1798" s="25" t="n">
        <f aca="false">D1798-I1798</f>
        <v>0</v>
      </c>
      <c r="L1798" s="25" t="n">
        <f aca="false">G1798-J1798</f>
        <v>0</v>
      </c>
      <c r="M1798" s="25" t="n">
        <f aca="false">F1798</f>
        <v>48411721.1217443</v>
      </c>
      <c r="N1798" s="49" t="n">
        <f aca="false">$C$1787</f>
        <v>0.0214501400540117</v>
      </c>
      <c r="O1798" s="25" t="n">
        <f aca="false">IF(AND(B1798&gt;=DATE(2026,1,1),B1798&lt;=Resumen!$C$5),1,0)</f>
        <v>0</v>
      </c>
      <c r="P1798" s="25" t="n">
        <f aca="false">IF(AND(B1798&gt;Resumen!$C$5,B1798&lt;=DATE(2027,7,31)),1,0)</f>
        <v>1</v>
      </c>
    </row>
    <row r="1799" customFormat="false" ht="15" hidden="false" customHeight="false" outlineLevel="0" collapsed="false">
      <c r="A1799" s="22" t="n">
        <v>7</v>
      </c>
      <c r="B1799" s="23" t="n">
        <v>46370</v>
      </c>
      <c r="C1799" s="28" t="n">
        <v>487358582.268227</v>
      </c>
      <c r="D1799" s="28" t="n">
        <v>10453909.846178</v>
      </c>
      <c r="E1799" s="28" t="n">
        <v>37160708.8658866</v>
      </c>
      <c r="F1799" s="28" t="n">
        <v>47614618.7120647</v>
      </c>
      <c r="G1799" s="28" t="n">
        <v>450197873.40234</v>
      </c>
      <c r="H1799" s="25" t="n">
        <f aca="false">J1798</f>
        <v>487358582.268227</v>
      </c>
      <c r="I1799" s="25" t="n">
        <f aca="false">H1799*N1799</f>
        <v>10453909.846178</v>
      </c>
      <c r="J1799" s="25" t="n">
        <f aca="false">H1799+I1799-F1799</f>
        <v>450197873.40234</v>
      </c>
      <c r="K1799" s="25" t="n">
        <f aca="false">D1799-I1799</f>
        <v>0</v>
      </c>
      <c r="L1799" s="25" t="n">
        <f aca="false">G1799-J1799</f>
        <v>0</v>
      </c>
      <c r="M1799" s="25" t="n">
        <f aca="false">F1799</f>
        <v>47614618.7120647</v>
      </c>
      <c r="N1799" s="49" t="n">
        <f aca="false">$C$1787</f>
        <v>0.0214501400540117</v>
      </c>
      <c r="O1799" s="25" t="n">
        <f aca="false">IF(AND(B1799&gt;=DATE(2026,1,1),B1799&lt;=Resumen!$C$5),1,0)</f>
        <v>0</v>
      </c>
      <c r="P1799" s="25" t="n">
        <f aca="false">IF(AND(B1799&gt;Resumen!$C$5,B1799&lt;=DATE(2027,7,31)),1,0)</f>
        <v>1</v>
      </c>
    </row>
    <row r="1800" customFormat="false" ht="15" hidden="false" customHeight="false" outlineLevel="0" collapsed="false">
      <c r="A1800" s="22" t="n">
        <v>8</v>
      </c>
      <c r="B1800" s="23" t="n">
        <v>46460</v>
      </c>
      <c r="C1800" s="28" t="n">
        <v>450197873.40234</v>
      </c>
      <c r="D1800" s="28" t="n">
        <v>9656807.43649842</v>
      </c>
      <c r="E1800" s="28" t="n">
        <v>37160708.8658866</v>
      </c>
      <c r="F1800" s="28" t="n">
        <v>46817516.3023851</v>
      </c>
      <c r="G1800" s="28" t="n">
        <v>413037164.536454</v>
      </c>
      <c r="H1800" s="25" t="n">
        <f aca="false">J1799</f>
        <v>450197873.40234</v>
      </c>
      <c r="I1800" s="25" t="n">
        <f aca="false">H1800*N1800</f>
        <v>9656807.43649842</v>
      </c>
      <c r="J1800" s="25" t="n">
        <f aca="false">H1800+I1800-F1800</f>
        <v>413037164.536453</v>
      </c>
      <c r="K1800" s="25" t="n">
        <f aca="false">D1800-I1800</f>
        <v>0</v>
      </c>
      <c r="L1800" s="25" t="n">
        <f aca="false">G1800-J1800</f>
        <v>0</v>
      </c>
      <c r="M1800" s="25" t="n">
        <f aca="false">F1800</f>
        <v>46817516.3023851</v>
      </c>
      <c r="N1800" s="49" t="n">
        <f aca="false">$C$1787</f>
        <v>0.0214501400540117</v>
      </c>
      <c r="O1800" s="25" t="n">
        <f aca="false">IF(AND(B1800&gt;=DATE(2026,1,1),B1800&lt;=Resumen!$C$5),1,0)</f>
        <v>0</v>
      </c>
      <c r="P1800" s="25" t="n">
        <f aca="false">IF(AND(B1800&gt;Resumen!$C$5,B1800&lt;=DATE(2027,7,31)),1,0)</f>
        <v>1</v>
      </c>
    </row>
    <row r="1801" customFormat="false" ht="15" hidden="false" customHeight="false" outlineLevel="0" collapsed="false">
      <c r="A1801" s="22" t="n">
        <v>9</v>
      </c>
      <c r="B1801" s="23" t="n">
        <v>46552</v>
      </c>
      <c r="C1801" s="28" t="n">
        <v>413037164.536454</v>
      </c>
      <c r="D1801" s="28" t="n">
        <v>8859705.0268188</v>
      </c>
      <c r="E1801" s="28" t="n">
        <v>37160708.8658866</v>
      </c>
      <c r="F1801" s="28" t="n">
        <v>46020413.8927054</v>
      </c>
      <c r="G1801" s="28" t="n">
        <v>375876455.670567</v>
      </c>
      <c r="H1801" s="25" t="n">
        <f aca="false">J1800</f>
        <v>413037164.536453</v>
      </c>
      <c r="I1801" s="25" t="n">
        <f aca="false">H1801*N1801</f>
        <v>8859705.0268188</v>
      </c>
      <c r="J1801" s="25" t="n">
        <f aca="false">H1801+I1801-F1801</f>
        <v>375876455.670567</v>
      </c>
      <c r="K1801" s="25" t="n">
        <f aca="false">D1801-I1801</f>
        <v>0</v>
      </c>
      <c r="L1801" s="25" t="n">
        <f aca="false">G1801-J1801</f>
        <v>0</v>
      </c>
      <c r="M1801" s="25" t="n">
        <f aca="false">F1801</f>
        <v>46020413.8927054</v>
      </c>
      <c r="N1801" s="49" t="n">
        <f aca="false">$C$1787</f>
        <v>0.0214501400540117</v>
      </c>
      <c r="O1801" s="25" t="n">
        <f aca="false">IF(AND(B1801&gt;=DATE(2026,1,1),B1801&lt;=Resumen!$C$5),1,0)</f>
        <v>0</v>
      </c>
      <c r="P1801" s="25" t="n">
        <f aca="false">IF(AND(B1801&gt;Resumen!$C$5,B1801&lt;=DATE(2027,7,31)),1,0)</f>
        <v>1</v>
      </c>
    </row>
    <row r="1802" customFormat="false" ht="15" hidden="false" customHeight="false" outlineLevel="0" collapsed="false">
      <c r="A1802" s="22" t="n">
        <v>10</v>
      </c>
      <c r="B1802" s="23" t="n">
        <v>46644</v>
      </c>
      <c r="C1802" s="28" t="n">
        <v>375876455.670567</v>
      </c>
      <c r="D1802" s="28" t="n">
        <v>8062602.61713918</v>
      </c>
      <c r="E1802" s="28" t="n">
        <v>37160708.8658866</v>
      </c>
      <c r="F1802" s="28" t="n">
        <v>45223311.4830258</v>
      </c>
      <c r="G1802" s="28" t="n">
        <v>338715746.80468</v>
      </c>
      <c r="H1802" s="25" t="n">
        <f aca="false">J1801</f>
        <v>375876455.670567</v>
      </c>
      <c r="I1802" s="25" t="n">
        <f aca="false">H1802*N1802</f>
        <v>8062602.61713918</v>
      </c>
      <c r="J1802" s="25" t="n">
        <f aca="false">H1802+I1802-F1802</f>
        <v>338715746.80468</v>
      </c>
      <c r="K1802" s="25" t="n">
        <f aca="false">D1802-I1802</f>
        <v>0</v>
      </c>
      <c r="L1802" s="25" t="n">
        <f aca="false">G1802-J1802</f>
        <v>0</v>
      </c>
      <c r="M1802" s="25" t="n">
        <f aca="false">F1802</f>
        <v>45223311.4830258</v>
      </c>
      <c r="N1802" s="49" t="n">
        <f aca="false">$C$1787</f>
        <v>0.0214501400540117</v>
      </c>
      <c r="O1802" s="25" t="n">
        <f aca="false">IF(AND(B1802&gt;=DATE(2026,1,1),B1802&lt;=Resumen!$C$5),1,0)</f>
        <v>0</v>
      </c>
      <c r="P1802" s="25" t="n">
        <f aca="false">IF(AND(B1802&gt;Resumen!$C$5,B1802&lt;=DATE(2027,7,31)),1,0)</f>
        <v>0</v>
      </c>
    </row>
    <row r="1803" customFormat="false" ht="15" hidden="false" customHeight="false" outlineLevel="0" collapsed="false">
      <c r="A1803" s="22" t="n">
        <v>11</v>
      </c>
      <c r="B1803" s="23" t="n">
        <v>46735</v>
      </c>
      <c r="C1803" s="28" t="n">
        <v>338715746.80468</v>
      </c>
      <c r="D1803" s="28" t="n">
        <v>7265500.20745955</v>
      </c>
      <c r="E1803" s="28" t="n">
        <v>37160708.8658866</v>
      </c>
      <c r="F1803" s="28" t="n">
        <v>44426209.0733462</v>
      </c>
      <c r="G1803" s="28" t="n">
        <v>301555037.938794</v>
      </c>
      <c r="H1803" s="25" t="n">
        <f aca="false">J1802</f>
        <v>338715746.80468</v>
      </c>
      <c r="I1803" s="25" t="n">
        <f aca="false">H1803*N1803</f>
        <v>7265500.20745955</v>
      </c>
      <c r="J1803" s="25" t="n">
        <f aca="false">H1803+I1803-F1803</f>
        <v>301555037.938794</v>
      </c>
      <c r="K1803" s="25" t="n">
        <f aca="false">D1803-I1803</f>
        <v>0</v>
      </c>
      <c r="L1803" s="25" t="n">
        <f aca="false">G1803-J1803</f>
        <v>0</v>
      </c>
      <c r="M1803" s="25" t="n">
        <f aca="false">F1803</f>
        <v>44426209.0733462</v>
      </c>
      <c r="N1803" s="49" t="n">
        <f aca="false">$C$1787</f>
        <v>0.0214501400540117</v>
      </c>
      <c r="O1803" s="25" t="n">
        <f aca="false">IF(AND(B1803&gt;=DATE(2026,1,1),B1803&lt;=Resumen!$C$5),1,0)</f>
        <v>0</v>
      </c>
      <c r="P1803" s="25" t="n">
        <f aca="false">IF(AND(B1803&gt;Resumen!$C$5,B1803&lt;=DATE(2027,7,31)),1,0)</f>
        <v>0</v>
      </c>
    </row>
    <row r="1804" customFormat="false" ht="15" hidden="false" customHeight="false" outlineLevel="0" collapsed="false">
      <c r="A1804" s="22" t="n">
        <v>12</v>
      </c>
      <c r="B1804" s="23" t="n">
        <v>46826</v>
      </c>
      <c r="C1804" s="28" t="n">
        <v>301555037.938794</v>
      </c>
      <c r="D1804" s="28" t="n">
        <v>6468397.79777993</v>
      </c>
      <c r="E1804" s="28" t="n">
        <v>37160708.8658866</v>
      </c>
      <c r="F1804" s="28" t="n">
        <v>43629106.6636666</v>
      </c>
      <c r="G1804" s="28" t="n">
        <v>264394329.072907</v>
      </c>
      <c r="H1804" s="25" t="n">
        <f aca="false">J1803</f>
        <v>301555037.938794</v>
      </c>
      <c r="I1804" s="25" t="n">
        <f aca="false">H1804*N1804</f>
        <v>6468397.79777993</v>
      </c>
      <c r="J1804" s="25" t="n">
        <f aca="false">H1804+I1804-F1804</f>
        <v>264394329.072907</v>
      </c>
      <c r="K1804" s="25" t="n">
        <f aca="false">D1804-I1804</f>
        <v>0</v>
      </c>
      <c r="L1804" s="25" t="n">
        <f aca="false">G1804-J1804</f>
        <v>0</v>
      </c>
      <c r="M1804" s="25" t="n">
        <f aca="false">F1804</f>
        <v>43629106.6636666</v>
      </c>
      <c r="N1804" s="49" t="n">
        <f aca="false">$C$1787</f>
        <v>0.0214501400540117</v>
      </c>
      <c r="O1804" s="25" t="n">
        <f aca="false">IF(AND(B1804&gt;=DATE(2026,1,1),B1804&lt;=Resumen!$C$5),1,0)</f>
        <v>0</v>
      </c>
      <c r="P1804" s="25" t="n">
        <f aca="false">IF(AND(B1804&gt;Resumen!$C$5,B1804&lt;=DATE(2027,7,31)),1,0)</f>
        <v>0</v>
      </c>
    </row>
    <row r="1805" customFormat="false" ht="15" hidden="false" customHeight="false" outlineLevel="0" collapsed="false">
      <c r="A1805" s="22" t="n">
        <v>13</v>
      </c>
      <c r="B1805" s="23" t="n">
        <v>46918</v>
      </c>
      <c r="C1805" s="28" t="n">
        <v>264394329.072907</v>
      </c>
      <c r="D1805" s="28" t="n">
        <v>5671295.38810031</v>
      </c>
      <c r="E1805" s="28" t="n">
        <v>37160708.8658866</v>
      </c>
      <c r="F1805" s="28" t="n">
        <v>42832004.2539869</v>
      </c>
      <c r="G1805" s="28" t="n">
        <v>227233620.20702</v>
      </c>
      <c r="H1805" s="25" t="n">
        <f aca="false">J1804</f>
        <v>264394329.072907</v>
      </c>
      <c r="I1805" s="25" t="n">
        <f aca="false">H1805*N1805</f>
        <v>5671295.38810031</v>
      </c>
      <c r="J1805" s="25" t="n">
        <f aca="false">H1805+I1805-F1805</f>
        <v>227233620.20702</v>
      </c>
      <c r="K1805" s="25" t="n">
        <f aca="false">D1805-I1805</f>
        <v>0</v>
      </c>
      <c r="L1805" s="25" t="n">
        <f aca="false">G1805-J1805</f>
        <v>0</v>
      </c>
      <c r="M1805" s="25" t="n">
        <f aca="false">F1805</f>
        <v>42832004.2539869</v>
      </c>
      <c r="N1805" s="49" t="n">
        <f aca="false">$C$1787</f>
        <v>0.0214501400540117</v>
      </c>
      <c r="O1805" s="25" t="n">
        <f aca="false">IF(AND(B1805&gt;=DATE(2026,1,1),B1805&lt;=Resumen!$C$5),1,0)</f>
        <v>0</v>
      </c>
      <c r="P1805" s="25" t="n">
        <f aca="false">IF(AND(B1805&gt;Resumen!$C$5,B1805&lt;=DATE(2027,7,31)),1,0)</f>
        <v>0</v>
      </c>
    </row>
    <row r="1806" customFormat="false" ht="15" hidden="false" customHeight="false" outlineLevel="0" collapsed="false">
      <c r="A1806" s="22" t="n">
        <v>14</v>
      </c>
      <c r="B1806" s="23" t="n">
        <v>47010</v>
      </c>
      <c r="C1806" s="28" t="n">
        <v>227233620.20702</v>
      </c>
      <c r="D1806" s="28" t="n">
        <v>4874192.97842069</v>
      </c>
      <c r="E1806" s="28" t="n">
        <v>37160708.8658866</v>
      </c>
      <c r="F1806" s="28" t="n">
        <v>42034901.8443073</v>
      </c>
      <c r="G1806" s="28" t="n">
        <v>190072911.341134</v>
      </c>
      <c r="H1806" s="25" t="n">
        <f aca="false">J1805</f>
        <v>227233620.20702</v>
      </c>
      <c r="I1806" s="25" t="n">
        <f aca="false">H1806*N1806</f>
        <v>4874192.97842069</v>
      </c>
      <c r="J1806" s="25" t="n">
        <f aca="false">H1806+I1806-F1806</f>
        <v>190072911.341134</v>
      </c>
      <c r="K1806" s="25" t="n">
        <f aca="false">D1806-I1806</f>
        <v>0</v>
      </c>
      <c r="L1806" s="25" t="n">
        <f aca="false">G1806-J1806</f>
        <v>0</v>
      </c>
      <c r="M1806" s="25" t="n">
        <f aca="false">F1806</f>
        <v>42034901.8443073</v>
      </c>
      <c r="N1806" s="49" t="n">
        <f aca="false">$C$1787</f>
        <v>0.0214501400540117</v>
      </c>
      <c r="O1806" s="25" t="n">
        <f aca="false">IF(AND(B1806&gt;=DATE(2026,1,1),B1806&lt;=Resumen!$C$5),1,0)</f>
        <v>0</v>
      </c>
      <c r="P1806" s="25" t="n">
        <f aca="false">IF(AND(B1806&gt;Resumen!$C$5,B1806&lt;=DATE(2027,7,31)),1,0)</f>
        <v>0</v>
      </c>
    </row>
    <row r="1807" customFormat="false" ht="15" hidden="false" customHeight="false" outlineLevel="0" collapsed="false">
      <c r="A1807" s="22" t="n">
        <v>15</v>
      </c>
      <c r="B1807" s="23" t="n">
        <v>47101</v>
      </c>
      <c r="C1807" s="28" t="n">
        <v>190072911.341134</v>
      </c>
      <c r="D1807" s="28" t="n">
        <v>4077090.56874107</v>
      </c>
      <c r="E1807" s="28" t="n">
        <v>37160708.8658866</v>
      </c>
      <c r="F1807" s="28" t="n">
        <v>41237799.4346277</v>
      </c>
      <c r="G1807" s="28" t="n">
        <v>152912202.475247</v>
      </c>
      <c r="H1807" s="25" t="n">
        <f aca="false">J1806</f>
        <v>190072911.341134</v>
      </c>
      <c r="I1807" s="25" t="n">
        <f aca="false">H1807*N1807</f>
        <v>4077090.56874106</v>
      </c>
      <c r="J1807" s="25" t="n">
        <f aca="false">H1807+I1807-F1807</f>
        <v>152912202.475247</v>
      </c>
      <c r="K1807" s="25" t="n">
        <f aca="false">D1807-I1807</f>
        <v>0</v>
      </c>
      <c r="L1807" s="25" t="n">
        <f aca="false">G1807-J1807</f>
        <v>0</v>
      </c>
      <c r="M1807" s="25" t="n">
        <f aca="false">F1807</f>
        <v>41237799.4346277</v>
      </c>
      <c r="N1807" s="49" t="n">
        <f aca="false">$C$1787</f>
        <v>0.0214501400540117</v>
      </c>
      <c r="O1807" s="25" t="n">
        <f aca="false">IF(AND(B1807&gt;=DATE(2026,1,1),B1807&lt;=Resumen!$C$5),1,0)</f>
        <v>0</v>
      </c>
      <c r="P1807" s="25" t="n">
        <f aca="false">IF(AND(B1807&gt;Resumen!$C$5,B1807&lt;=DATE(2027,7,31)),1,0)</f>
        <v>0</v>
      </c>
    </row>
    <row r="1808" customFormat="false" ht="15" hidden="false" customHeight="false" outlineLevel="0" collapsed="false">
      <c r="A1808" s="22" t="n">
        <v>16</v>
      </c>
      <c r="B1808" s="23" t="n">
        <v>47191</v>
      </c>
      <c r="C1808" s="28" t="n">
        <v>152912202.475247</v>
      </c>
      <c r="D1808" s="28" t="n">
        <v>3279988.15906144</v>
      </c>
      <c r="E1808" s="28" t="n">
        <v>37160708.8658866</v>
      </c>
      <c r="F1808" s="28" t="n">
        <v>40440697.0249481</v>
      </c>
      <c r="G1808" s="28" t="n">
        <v>115751493.609361</v>
      </c>
      <c r="H1808" s="25" t="n">
        <f aca="false">J1807</f>
        <v>152912202.475247</v>
      </c>
      <c r="I1808" s="25" t="n">
        <f aca="false">H1808*N1808</f>
        <v>3279988.15906144</v>
      </c>
      <c r="J1808" s="25" t="n">
        <f aca="false">H1808+I1808-F1808</f>
        <v>115751493.60936</v>
      </c>
      <c r="K1808" s="25" t="n">
        <f aca="false">D1808-I1808</f>
        <v>0</v>
      </c>
      <c r="L1808" s="25" t="n">
        <f aca="false">G1808-J1808</f>
        <v>0</v>
      </c>
      <c r="M1808" s="25" t="n">
        <f aca="false">F1808</f>
        <v>40440697.0249481</v>
      </c>
      <c r="N1808" s="49" t="n">
        <f aca="false">$C$1787</f>
        <v>0.0214501400540117</v>
      </c>
      <c r="O1808" s="25" t="n">
        <f aca="false">IF(AND(B1808&gt;=DATE(2026,1,1),B1808&lt;=Resumen!$C$5),1,0)</f>
        <v>0</v>
      </c>
      <c r="P1808" s="25" t="n">
        <f aca="false">IF(AND(B1808&gt;Resumen!$C$5,B1808&lt;=DATE(2027,7,31)),1,0)</f>
        <v>0</v>
      </c>
    </row>
    <row r="1809" customFormat="false" ht="15" hidden="false" customHeight="false" outlineLevel="0" collapsed="false">
      <c r="A1809" s="22" t="n">
        <v>17</v>
      </c>
      <c r="B1809" s="23" t="n">
        <v>47283</v>
      </c>
      <c r="C1809" s="28" t="n">
        <v>115751493.609361</v>
      </c>
      <c r="D1809" s="28" t="n">
        <v>2482885.74938182</v>
      </c>
      <c r="E1809" s="28" t="n">
        <v>37160708.8658866</v>
      </c>
      <c r="F1809" s="28" t="n">
        <v>39643594.6152684</v>
      </c>
      <c r="G1809" s="28" t="n">
        <v>78590784.7434739</v>
      </c>
      <c r="H1809" s="25" t="n">
        <f aca="false">J1808</f>
        <v>115751493.60936</v>
      </c>
      <c r="I1809" s="25" t="n">
        <f aca="false">H1809*N1809</f>
        <v>2482885.74938182</v>
      </c>
      <c r="J1809" s="25" t="n">
        <f aca="false">H1809+I1809-F1809</f>
        <v>78590784.7434738</v>
      </c>
      <c r="K1809" s="25" t="n">
        <f aca="false">D1809-I1809</f>
        <v>0</v>
      </c>
      <c r="L1809" s="25" t="n">
        <f aca="false">G1809-J1809</f>
        <v>0</v>
      </c>
      <c r="M1809" s="25" t="n">
        <f aca="false">F1809</f>
        <v>39643594.6152684</v>
      </c>
      <c r="N1809" s="49" t="n">
        <f aca="false">$C$1787</f>
        <v>0.0214501400540117</v>
      </c>
      <c r="O1809" s="25" t="n">
        <f aca="false">IF(AND(B1809&gt;=DATE(2026,1,1),B1809&lt;=Resumen!$C$5),1,0)</f>
        <v>0</v>
      </c>
      <c r="P1809" s="25" t="n">
        <f aca="false">IF(AND(B1809&gt;Resumen!$C$5,B1809&lt;=DATE(2027,7,31)),1,0)</f>
        <v>0</v>
      </c>
    </row>
    <row r="1810" customFormat="false" ht="15" hidden="false" customHeight="false" outlineLevel="0" collapsed="false">
      <c r="A1810" s="22" t="n">
        <v>18</v>
      </c>
      <c r="B1810" s="23" t="n">
        <v>47375</v>
      </c>
      <c r="C1810" s="28" t="n">
        <v>78590784.7434739</v>
      </c>
      <c r="D1810" s="28" t="n">
        <v>1685783.3397022</v>
      </c>
      <c r="E1810" s="28" t="n">
        <v>37160708.8658866</v>
      </c>
      <c r="F1810" s="28" t="n">
        <v>38846492.2055888</v>
      </c>
      <c r="G1810" s="28" t="n">
        <v>41430075.8775872</v>
      </c>
      <c r="H1810" s="25" t="n">
        <f aca="false">J1809</f>
        <v>78590784.7434738</v>
      </c>
      <c r="I1810" s="25" t="n">
        <f aca="false">H1810*N1810</f>
        <v>1685783.3397022</v>
      </c>
      <c r="J1810" s="25" t="n">
        <f aca="false">H1810+I1810-F1810</f>
        <v>41430075.8775872</v>
      </c>
      <c r="K1810" s="25" t="n">
        <f aca="false">D1810-I1810</f>
        <v>0</v>
      </c>
      <c r="L1810" s="25" t="n">
        <f aca="false">G1810-J1810</f>
        <v>0</v>
      </c>
      <c r="M1810" s="25" t="n">
        <f aca="false">F1810</f>
        <v>38846492.2055888</v>
      </c>
      <c r="N1810" s="49" t="n">
        <f aca="false">$C$1787</f>
        <v>0.0214501400540117</v>
      </c>
      <c r="O1810" s="25" t="n">
        <f aca="false">IF(AND(B1810&gt;=DATE(2026,1,1),B1810&lt;=Resumen!$C$5),1,0)</f>
        <v>0</v>
      </c>
      <c r="P1810" s="25" t="n">
        <f aca="false">IF(AND(B1810&gt;Resumen!$C$5,B1810&lt;=DATE(2027,7,31)),1,0)</f>
        <v>0</v>
      </c>
    </row>
    <row r="1811" customFormat="false" ht="15" hidden="false" customHeight="false" outlineLevel="0" collapsed="false">
      <c r="A1811" s="22" t="n">
        <v>19</v>
      </c>
      <c r="B1811" s="23" t="n">
        <v>47466</v>
      </c>
      <c r="C1811" s="28" t="n">
        <v>41430075.8775872</v>
      </c>
      <c r="D1811" s="28" t="n">
        <v>888680.930022578</v>
      </c>
      <c r="E1811" s="28" t="n">
        <v>37160708.8658866</v>
      </c>
      <c r="F1811" s="28" t="n">
        <v>38049389.7959092</v>
      </c>
      <c r="G1811" s="28" t="n">
        <v>4269367.01170063</v>
      </c>
      <c r="H1811" s="25" t="n">
        <f aca="false">J1810</f>
        <v>41430075.8775872</v>
      </c>
      <c r="I1811" s="25" t="n">
        <f aca="false">H1811*N1811</f>
        <v>888680.930022577</v>
      </c>
      <c r="J1811" s="25" t="n">
        <f aca="false">H1811+I1811-F1811</f>
        <v>4269367.01170058</v>
      </c>
      <c r="K1811" s="25" t="n">
        <f aca="false">D1811-I1811</f>
        <v>0</v>
      </c>
      <c r="L1811" s="25" t="n">
        <f aca="false">G1811-J1811</f>
        <v>5.21540641784668E-008</v>
      </c>
      <c r="M1811" s="25" t="n">
        <f aca="false">F1811</f>
        <v>38049389.7959092</v>
      </c>
      <c r="N1811" s="49" t="n">
        <f aca="false">$C$1787</f>
        <v>0.0214501400540117</v>
      </c>
      <c r="O1811" s="25" t="n">
        <f aca="false">IF(AND(B1811&gt;=DATE(2026,1,1),B1811&lt;=Resumen!$C$5),1,0)</f>
        <v>0</v>
      </c>
      <c r="P1811" s="25" t="n">
        <f aca="false">IF(AND(B1811&gt;Resumen!$C$5,B1811&lt;=DATE(2027,7,31)),1,0)</f>
        <v>0</v>
      </c>
    </row>
    <row r="1812" customFormat="false" ht="15" hidden="false" customHeight="false" outlineLevel="0" collapsed="false">
      <c r="A1812" s="22" t="n">
        <v>20</v>
      </c>
      <c r="B1812" s="23" t="n">
        <v>47556</v>
      </c>
      <c r="C1812" s="28" t="n">
        <v>4269367.01170063</v>
      </c>
      <c r="D1812" s="28" t="n">
        <v>91578.5203429559</v>
      </c>
      <c r="E1812" s="28" t="n">
        <v>42777508.8658866</v>
      </c>
      <c r="F1812" s="28" t="n">
        <v>42869087.3862296</v>
      </c>
      <c r="G1812" s="28" t="n">
        <v>-38508141.854186</v>
      </c>
      <c r="H1812" s="25" t="n">
        <f aca="false">J1811</f>
        <v>4269367.01170058</v>
      </c>
      <c r="I1812" s="25" t="n">
        <f aca="false">H1812*N1812</f>
        <v>91578.5203429548</v>
      </c>
      <c r="J1812" s="25" t="n">
        <f aca="false">H1812+I1812-F1812</f>
        <v>-38508141.854186</v>
      </c>
      <c r="K1812" s="25" t="n">
        <f aca="false">D1812-I1812</f>
        <v>1.12049747258425E-009</v>
      </c>
      <c r="L1812" s="25" t="n">
        <f aca="false">G1812-J1812</f>
        <v>0</v>
      </c>
      <c r="M1812" s="25" t="n">
        <f aca="false">F1812</f>
        <v>42869087.3862296</v>
      </c>
      <c r="N1812" s="49" t="n">
        <f aca="false">$C$1787</f>
        <v>0.0214501400540117</v>
      </c>
      <c r="O1812" s="25" t="n">
        <f aca="false">IF(AND(B1812&gt;=DATE(2026,1,1),B1812&lt;=Resumen!$C$5),1,0)</f>
        <v>0</v>
      </c>
      <c r="P1812" s="25" t="n">
        <f aca="false">IF(AND(B1812&gt;Resumen!$C$5,B1812&lt;=DATE(2027,7,31)),1,0)</f>
        <v>0</v>
      </c>
    </row>
    <row r="1815" customFormat="false" ht="15" hidden="false" customHeight="false" outlineLevel="0" collapsed="false">
      <c r="A1815" s="33" t="s">
        <v>912</v>
      </c>
    </row>
    <row r="1816" customFormat="false" ht="15" hidden="false" customHeight="false" outlineLevel="0" collapsed="false">
      <c r="A1816" s="34" t="s">
        <v>913</v>
      </c>
    </row>
    <row r="1817" customFormat="false" ht="15" hidden="false" customHeight="false" outlineLevel="0" collapsed="false">
      <c r="A1817" s="19" t="s">
        <v>914</v>
      </c>
    </row>
    <row r="1818" customFormat="false" ht="15" hidden="false" customHeight="false" outlineLevel="0" collapsed="false">
      <c r="A1818" s="20" t="s">
        <v>915</v>
      </c>
    </row>
    <row r="1819" customFormat="false" ht="15" hidden="false" customHeight="false" outlineLevel="0" collapsed="false">
      <c r="A1819" s="29" t="s">
        <v>773</v>
      </c>
      <c r="C1819" s="22" t="s">
        <v>916</v>
      </c>
      <c r="F1819" s="47" t="s">
        <v>775</v>
      </c>
    </row>
    <row r="1820" customFormat="false" ht="15" hidden="false" customHeight="false" outlineLevel="0" collapsed="false">
      <c r="A1820" s="29" t="s">
        <v>640</v>
      </c>
      <c r="C1820" s="28" t="n">
        <v>858438452</v>
      </c>
      <c r="F1820" s="22" t="s">
        <v>776</v>
      </c>
      <c r="I1820" s="41" t="n">
        <f aca="false">_xlfn.MAXIFS($B$1828:$B$1900,$B$1828:$B$1900,"&lt;="&amp;Resumen!$C$5)</f>
        <v>46230</v>
      </c>
    </row>
    <row r="1821" customFormat="false" ht="15" hidden="false" customHeight="false" outlineLevel="0" collapsed="false">
      <c r="A1821" s="29" t="s">
        <v>641</v>
      </c>
      <c r="C1821" s="23" t="n">
        <v>45804</v>
      </c>
      <c r="F1821" s="22" t="s">
        <v>777</v>
      </c>
      <c r="I1821" s="25" t="n">
        <f aca="false">SUMIFS($G$1828:$G$1900,$B$1828:$B$1900,I1820)</f>
        <v>770085425.158301</v>
      </c>
    </row>
    <row r="1822" customFormat="false" ht="15" hidden="false" customHeight="false" outlineLevel="0" collapsed="false">
      <c r="A1822" s="29" t="s">
        <v>778</v>
      </c>
      <c r="C1822" s="22" t="s">
        <v>917</v>
      </c>
      <c r="F1822" s="22" t="s">
        <v>780</v>
      </c>
      <c r="I1822" s="25" t="n">
        <f aca="false">SUMIFS($J$1828:$J$1900,$B$1828:$B$1900,I1820)</f>
        <v>770085425.158301</v>
      </c>
    </row>
    <row r="1823" customFormat="false" ht="15" hidden="false" customHeight="false" outlineLevel="0" collapsed="false">
      <c r="A1823" s="29" t="s">
        <v>781</v>
      </c>
      <c r="C1823" s="48" t="n">
        <v>0.00792035016710324</v>
      </c>
      <c r="F1823" s="22" t="s">
        <v>650</v>
      </c>
      <c r="I1823" s="25" t="n">
        <f aca="false">SUMIFS($D$1828:$D$1900,$O$1828:$O$1900,1)</f>
        <v>44946958.2921088</v>
      </c>
    </row>
    <row r="1824" customFormat="false" ht="15" hidden="false" customHeight="false" outlineLevel="0" collapsed="false">
      <c r="A1824" s="29" t="s">
        <v>782</v>
      </c>
      <c r="C1824" s="49" t="str">
        <f aca="false">IFERROR(IRR($M$1828:$M$1900),"N/A")</f>
        <v>N/A</v>
      </c>
      <c r="F1824" s="22" t="s">
        <v>783</v>
      </c>
      <c r="I1824" s="25" t="n">
        <f aca="false">SUMIFS($E$1828:$E$1900,$P$1828:$P$1900,1)</f>
        <v>130316947.737682</v>
      </c>
    </row>
    <row r="1825" customFormat="false" ht="15" hidden="false" customHeight="false" outlineLevel="0" collapsed="false">
      <c r="A1825" s="29" t="s">
        <v>784</v>
      </c>
      <c r="C1825" s="50" t="str">
        <f aca="false">IF(ISNUMBER(C1824),(1+C1824)^12-1,"N/A")</f>
        <v>N/A</v>
      </c>
      <c r="F1825" s="22" t="s">
        <v>785</v>
      </c>
      <c r="I1825" s="25" t="n">
        <f aca="false">SUMPRODUCT(MAX(ABS($L$1828:$L$1900)))</f>
        <v>6.70552253723145E-008</v>
      </c>
    </row>
    <row r="1827" customFormat="false" ht="36" hidden="false" customHeight="true" outlineLevel="0" collapsed="false">
      <c r="A1827" s="27" t="s">
        <v>786</v>
      </c>
      <c r="B1827" s="27" t="s">
        <v>396</v>
      </c>
      <c r="C1827" s="27" t="s">
        <v>787</v>
      </c>
      <c r="D1827" s="27" t="s">
        <v>788</v>
      </c>
      <c r="E1827" s="27" t="s">
        <v>789</v>
      </c>
      <c r="F1827" s="27" t="s">
        <v>790</v>
      </c>
      <c r="G1827" s="27" t="s">
        <v>791</v>
      </c>
      <c r="H1827" s="27" t="s">
        <v>792</v>
      </c>
      <c r="I1827" s="27" t="s">
        <v>793</v>
      </c>
      <c r="J1827" s="27" t="s">
        <v>794</v>
      </c>
      <c r="K1827" s="27" t="s">
        <v>795</v>
      </c>
      <c r="L1827" s="27" t="s">
        <v>796</v>
      </c>
      <c r="M1827" s="27" t="s">
        <v>797</v>
      </c>
      <c r="N1827" s="27" t="s">
        <v>798</v>
      </c>
      <c r="O1827" s="27" t="s">
        <v>799</v>
      </c>
      <c r="P1827" s="27" t="s">
        <v>800</v>
      </c>
    </row>
    <row r="1828" customFormat="false" ht="15" hidden="false" customHeight="false" outlineLevel="0" collapsed="false">
      <c r="A1828" s="22" t="n">
        <v>0</v>
      </c>
      <c r="B1828" s="23" t="n">
        <v>45804</v>
      </c>
      <c r="C1828" s="28"/>
      <c r="D1828" s="28" t="n">
        <v>0</v>
      </c>
      <c r="E1828" s="28" t="n">
        <v>0</v>
      </c>
      <c r="F1828" s="28" t="n">
        <v>0</v>
      </c>
      <c r="G1828" s="28" t="n">
        <v>858438452</v>
      </c>
      <c r="H1828" s="25" t="n">
        <f aca="false">G1828</f>
        <v>858438452</v>
      </c>
      <c r="I1828" s="28" t="n">
        <v>0</v>
      </c>
      <c r="J1828" s="25" t="n">
        <f aca="false">H1828</f>
        <v>858438452</v>
      </c>
      <c r="K1828" s="25" t="n">
        <f aca="false">D1828-I1828</f>
        <v>0</v>
      </c>
      <c r="L1828" s="25" t="n">
        <f aca="false">G1828-J1828</f>
        <v>0</v>
      </c>
      <c r="M1828" s="25" t="n">
        <f aca="false">-$C$1820</f>
        <v>-858438452</v>
      </c>
      <c r="N1828" s="49" t="n">
        <f aca="false">$C$1823</f>
        <v>0.00792035016710324</v>
      </c>
      <c r="O1828" s="25" t="n">
        <f aca="false">IF(AND(B1828&gt;=DATE(2026,1,1),B1828&lt;=Resumen!$C$5),1,0)</f>
        <v>0</v>
      </c>
      <c r="P1828" s="25" t="n">
        <f aca="false">IF(AND(B1828&gt;Resumen!$C$5,B1828&lt;=DATE(2027,7,31)),1,0)</f>
        <v>0</v>
      </c>
    </row>
    <row r="1829" customFormat="false" ht="15" hidden="false" customHeight="false" outlineLevel="0" collapsed="false">
      <c r="A1829" s="22" t="n">
        <v>1</v>
      </c>
      <c r="B1829" s="23" t="n">
        <v>45835</v>
      </c>
      <c r="C1829" s="28" t="n">
        <v>858438452</v>
      </c>
      <c r="D1829" s="28" t="n">
        <v>6799133.13674605</v>
      </c>
      <c r="E1829" s="28" t="n">
        <v>1320616.16825163</v>
      </c>
      <c r="F1829" s="28" t="n">
        <v>8119749.30499768</v>
      </c>
      <c r="G1829" s="28" t="n">
        <v>857117835.831748</v>
      </c>
      <c r="H1829" s="25" t="n">
        <f aca="false">J1828</f>
        <v>858438452</v>
      </c>
      <c r="I1829" s="25" t="n">
        <f aca="false">H1829*N1829</f>
        <v>6799133.13674605</v>
      </c>
      <c r="J1829" s="25" t="n">
        <f aca="false">H1829+I1829-F1829</f>
        <v>857117835.831748</v>
      </c>
      <c r="K1829" s="25" t="n">
        <f aca="false">D1829-I1829</f>
        <v>0</v>
      </c>
      <c r="L1829" s="25" t="n">
        <f aca="false">G1829-J1829</f>
        <v>0</v>
      </c>
      <c r="M1829" s="25" t="n">
        <f aca="false">F1829</f>
        <v>8119749.30499768</v>
      </c>
      <c r="N1829" s="49" t="n">
        <f aca="false">$C$1823</f>
        <v>0.00792035016710324</v>
      </c>
      <c r="O1829" s="25" t="n">
        <f aca="false">IF(AND(B1829&gt;=DATE(2026,1,1),B1829&lt;=Resumen!$C$5),1,0)</f>
        <v>0</v>
      </c>
      <c r="P1829" s="25" t="n">
        <f aca="false">IF(AND(B1829&gt;Resumen!$C$5,B1829&lt;=DATE(2027,7,31)),1,0)</f>
        <v>0</v>
      </c>
    </row>
    <row r="1830" customFormat="false" ht="15" hidden="false" customHeight="false" outlineLevel="0" collapsed="false">
      <c r="A1830" s="22" t="n">
        <v>2</v>
      </c>
      <c r="B1830" s="23" t="n">
        <v>45865</v>
      </c>
      <c r="C1830" s="28" t="n">
        <v>857117835.831748</v>
      </c>
      <c r="D1830" s="28" t="n">
        <v>6788673.39425716</v>
      </c>
      <c r="E1830" s="28" t="n">
        <v>1331075.9107405</v>
      </c>
      <c r="F1830" s="28" t="n">
        <v>8119749.30499765</v>
      </c>
      <c r="G1830" s="28" t="n">
        <v>855786759.921008</v>
      </c>
      <c r="H1830" s="25" t="n">
        <f aca="false">J1829</f>
        <v>857117835.831748</v>
      </c>
      <c r="I1830" s="25" t="n">
        <f aca="false">H1830*N1830</f>
        <v>6788673.39425716</v>
      </c>
      <c r="J1830" s="25" t="n">
        <f aca="false">H1830+I1830-F1830</f>
        <v>855786759.921008</v>
      </c>
      <c r="K1830" s="25" t="n">
        <f aca="false">D1830-I1830</f>
        <v>0</v>
      </c>
      <c r="L1830" s="25" t="n">
        <f aca="false">G1830-J1830</f>
        <v>0</v>
      </c>
      <c r="M1830" s="25" t="n">
        <f aca="false">F1830</f>
        <v>8119749.30499765</v>
      </c>
      <c r="N1830" s="49" t="n">
        <f aca="false">$C$1823</f>
        <v>0.00792035016710324</v>
      </c>
      <c r="O1830" s="25" t="n">
        <f aca="false">IF(AND(B1830&gt;=DATE(2026,1,1),B1830&lt;=Resumen!$C$5),1,0)</f>
        <v>0</v>
      </c>
      <c r="P1830" s="25" t="n">
        <f aca="false">IF(AND(B1830&gt;Resumen!$C$5,B1830&lt;=DATE(2027,7,31)),1,0)</f>
        <v>0</v>
      </c>
    </row>
    <row r="1831" customFormat="false" ht="15" hidden="false" customHeight="false" outlineLevel="0" collapsed="false">
      <c r="A1831" s="22" t="n">
        <v>3</v>
      </c>
      <c r="B1831" s="23" t="n">
        <v>45896</v>
      </c>
      <c r="C1831" s="28" t="n">
        <v>855786759.921008</v>
      </c>
      <c r="D1831" s="28" t="n">
        <v>6778130.8069451</v>
      </c>
      <c r="E1831" s="28" t="n">
        <v>1341618.4980526</v>
      </c>
      <c r="F1831" s="28" t="n">
        <v>8119749.30499769</v>
      </c>
      <c r="G1831" s="28" t="n">
        <v>854445141.422955</v>
      </c>
      <c r="H1831" s="25" t="n">
        <f aca="false">J1830</f>
        <v>855786759.921008</v>
      </c>
      <c r="I1831" s="25" t="n">
        <f aca="false">H1831*N1831</f>
        <v>6778130.8069451</v>
      </c>
      <c r="J1831" s="25" t="n">
        <f aca="false">H1831+I1831-F1831</f>
        <v>854445141.422955</v>
      </c>
      <c r="K1831" s="25" t="n">
        <f aca="false">D1831-I1831</f>
        <v>0</v>
      </c>
      <c r="L1831" s="25" t="n">
        <f aca="false">G1831-J1831</f>
        <v>0</v>
      </c>
      <c r="M1831" s="25" t="n">
        <f aca="false">F1831</f>
        <v>8119749.30499769</v>
      </c>
      <c r="N1831" s="49" t="n">
        <f aca="false">$C$1823</f>
        <v>0.00792035016710324</v>
      </c>
      <c r="O1831" s="25" t="n">
        <f aca="false">IF(AND(B1831&gt;=DATE(2026,1,1),B1831&lt;=Resumen!$C$5),1,0)</f>
        <v>0</v>
      </c>
      <c r="P1831" s="25" t="n">
        <f aca="false">IF(AND(B1831&gt;Resumen!$C$5,B1831&lt;=DATE(2027,7,31)),1,0)</f>
        <v>0</v>
      </c>
    </row>
    <row r="1832" customFormat="false" ht="15" hidden="false" customHeight="false" outlineLevel="0" collapsed="false">
      <c r="A1832" s="22" t="n">
        <v>4</v>
      </c>
      <c r="B1832" s="23" t="n">
        <v>45927</v>
      </c>
      <c r="C1832" s="28" t="n">
        <v>854445141.422955</v>
      </c>
      <c r="D1832" s="28" t="n">
        <v>6767504.71864986</v>
      </c>
      <c r="E1832" s="28" t="n">
        <v>1352244.58634782</v>
      </c>
      <c r="F1832" s="28" t="n">
        <v>8119749.30499767</v>
      </c>
      <c r="G1832" s="28" t="n">
        <v>853092896.836608</v>
      </c>
      <c r="H1832" s="25" t="n">
        <f aca="false">J1831</f>
        <v>854445141.422955</v>
      </c>
      <c r="I1832" s="25" t="n">
        <f aca="false">H1832*N1832</f>
        <v>6767504.71864986</v>
      </c>
      <c r="J1832" s="25" t="n">
        <f aca="false">H1832+I1832-F1832</f>
        <v>853092896.836608</v>
      </c>
      <c r="K1832" s="25" t="n">
        <f aca="false">D1832-I1832</f>
        <v>0</v>
      </c>
      <c r="L1832" s="25" t="n">
        <f aca="false">G1832-J1832</f>
        <v>0</v>
      </c>
      <c r="M1832" s="25" t="n">
        <f aca="false">F1832</f>
        <v>8119749.30499767</v>
      </c>
      <c r="N1832" s="49" t="n">
        <f aca="false">$C$1823</f>
        <v>0.00792035016710324</v>
      </c>
      <c r="O1832" s="25" t="n">
        <f aca="false">IF(AND(B1832&gt;=DATE(2026,1,1),B1832&lt;=Resumen!$C$5),1,0)</f>
        <v>0</v>
      </c>
      <c r="P1832" s="25" t="n">
        <f aca="false">IF(AND(B1832&gt;Resumen!$C$5,B1832&lt;=DATE(2027,7,31)),1,0)</f>
        <v>0</v>
      </c>
    </row>
    <row r="1833" customFormat="false" ht="15" hidden="false" customHeight="false" outlineLevel="0" collapsed="false">
      <c r="A1833" s="22" t="n">
        <v>5</v>
      </c>
      <c r="B1833" s="23" t="n">
        <v>45957</v>
      </c>
      <c r="C1833" s="28" t="n">
        <v>853092896.836608</v>
      </c>
      <c r="D1833" s="28" t="n">
        <v>6756794.46801441</v>
      </c>
      <c r="E1833" s="28" t="n">
        <v>1362954.83698332</v>
      </c>
      <c r="F1833" s="28" t="n">
        <v>8119749.30499774</v>
      </c>
      <c r="G1833" s="28" t="n">
        <v>851729941.999624</v>
      </c>
      <c r="H1833" s="25" t="n">
        <f aca="false">J1832</f>
        <v>853092896.836608</v>
      </c>
      <c r="I1833" s="25" t="n">
        <f aca="false">H1833*N1833</f>
        <v>6756794.46801441</v>
      </c>
      <c r="J1833" s="25" t="n">
        <f aca="false">H1833+I1833-F1833</f>
        <v>851729941.999624</v>
      </c>
      <c r="K1833" s="25" t="n">
        <f aca="false">D1833-I1833</f>
        <v>0</v>
      </c>
      <c r="L1833" s="25" t="n">
        <f aca="false">G1833-J1833</f>
        <v>0</v>
      </c>
      <c r="M1833" s="25" t="n">
        <f aca="false">F1833</f>
        <v>8119749.30499774</v>
      </c>
      <c r="N1833" s="49" t="n">
        <f aca="false">$C$1823</f>
        <v>0.00792035016710324</v>
      </c>
      <c r="O1833" s="25" t="n">
        <f aca="false">IF(AND(B1833&gt;=DATE(2026,1,1),B1833&lt;=Resumen!$C$5),1,0)</f>
        <v>0</v>
      </c>
      <c r="P1833" s="25" t="n">
        <f aca="false">IF(AND(B1833&gt;Resumen!$C$5,B1833&lt;=DATE(2027,7,31)),1,0)</f>
        <v>0</v>
      </c>
    </row>
    <row r="1834" customFormat="false" ht="15" hidden="false" customHeight="false" outlineLevel="0" collapsed="false">
      <c r="A1834" s="22" t="n">
        <v>6</v>
      </c>
      <c r="B1834" s="23" t="n">
        <v>45988</v>
      </c>
      <c r="C1834" s="28" t="n">
        <v>851729941.999624</v>
      </c>
      <c r="D1834" s="28" t="n">
        <v>6745999.38844356</v>
      </c>
      <c r="E1834" s="28" t="n">
        <v>1373749.91655409</v>
      </c>
      <c r="F1834" s="28" t="n">
        <v>8119749.30499765</v>
      </c>
      <c r="G1834" s="28" t="n">
        <v>850356192.08307</v>
      </c>
      <c r="H1834" s="25" t="n">
        <f aca="false">J1833</f>
        <v>851729941.999624</v>
      </c>
      <c r="I1834" s="25" t="n">
        <f aca="false">H1834*N1834</f>
        <v>6745999.38844356</v>
      </c>
      <c r="J1834" s="25" t="n">
        <f aca="false">H1834+I1834-F1834</f>
        <v>850356192.08307</v>
      </c>
      <c r="K1834" s="25" t="n">
        <f aca="false">D1834-I1834</f>
        <v>0</v>
      </c>
      <c r="L1834" s="25" t="n">
        <f aca="false">G1834-J1834</f>
        <v>0</v>
      </c>
      <c r="M1834" s="25" t="n">
        <f aca="false">F1834</f>
        <v>8119749.30499765</v>
      </c>
      <c r="N1834" s="49" t="n">
        <f aca="false">$C$1823</f>
        <v>0.00792035016710324</v>
      </c>
      <c r="O1834" s="25" t="n">
        <f aca="false">IF(AND(B1834&gt;=DATE(2026,1,1),B1834&lt;=Resumen!$C$5),1,0)</f>
        <v>0</v>
      </c>
      <c r="P1834" s="25" t="n">
        <f aca="false">IF(AND(B1834&gt;Resumen!$C$5,B1834&lt;=DATE(2027,7,31)),1,0)</f>
        <v>0</v>
      </c>
    </row>
    <row r="1835" customFormat="false" ht="15" hidden="false" customHeight="false" outlineLevel="0" collapsed="false">
      <c r="A1835" s="22" t="n">
        <v>7</v>
      </c>
      <c r="B1835" s="23" t="n">
        <v>46018</v>
      </c>
      <c r="C1835" s="28" t="n">
        <v>850356192.08307</v>
      </c>
      <c r="D1835" s="28" t="n">
        <v>6735118.80806242</v>
      </c>
      <c r="E1835" s="28" t="n">
        <v>9758986.69505513</v>
      </c>
      <c r="F1835" s="28" t="n">
        <v>16494105.5031176</v>
      </c>
      <c r="G1835" s="28" t="n">
        <v>840597205.388015</v>
      </c>
      <c r="H1835" s="25" t="n">
        <f aca="false">J1834</f>
        <v>850356192.08307</v>
      </c>
      <c r="I1835" s="25" t="n">
        <f aca="false">H1835*N1835</f>
        <v>6735118.80806242</v>
      </c>
      <c r="J1835" s="25" t="n">
        <f aca="false">H1835+I1835-F1835</f>
        <v>840597205.388015</v>
      </c>
      <c r="K1835" s="25" t="n">
        <f aca="false">D1835-I1835</f>
        <v>0</v>
      </c>
      <c r="L1835" s="25" t="n">
        <f aca="false">G1835-J1835</f>
        <v>0</v>
      </c>
      <c r="M1835" s="25" t="n">
        <f aca="false">F1835</f>
        <v>16494105.5031176</v>
      </c>
      <c r="N1835" s="49" t="n">
        <f aca="false">$C$1823</f>
        <v>0.00792035016710324</v>
      </c>
      <c r="O1835" s="25" t="n">
        <f aca="false">IF(AND(B1835&gt;=DATE(2026,1,1),B1835&lt;=Resumen!$C$5),1,0)</f>
        <v>0</v>
      </c>
      <c r="P1835" s="25" t="n">
        <f aca="false">IF(AND(B1835&gt;Resumen!$C$5,B1835&lt;=DATE(2027,7,31)),1,0)</f>
        <v>0</v>
      </c>
    </row>
    <row r="1836" customFormat="false" ht="15" hidden="false" customHeight="false" outlineLevel="0" collapsed="false">
      <c r="A1836" s="22" t="n">
        <v>8</v>
      </c>
      <c r="B1836" s="23" t="n">
        <v>46049</v>
      </c>
      <c r="C1836" s="28" t="n">
        <v>840597205.388015</v>
      </c>
      <c r="D1836" s="28" t="n">
        <v>6657824.21616148</v>
      </c>
      <c r="E1836" s="28" t="n">
        <v>9836281.28695607</v>
      </c>
      <c r="F1836" s="28" t="n">
        <v>16494105.5031176</v>
      </c>
      <c r="G1836" s="28" t="n">
        <v>830760924.101059</v>
      </c>
      <c r="H1836" s="25" t="n">
        <f aca="false">J1835</f>
        <v>840597205.388015</v>
      </c>
      <c r="I1836" s="25" t="n">
        <f aca="false">H1836*N1836</f>
        <v>6657824.21616148</v>
      </c>
      <c r="J1836" s="25" t="n">
        <f aca="false">H1836+I1836-F1836</f>
        <v>830760924.101059</v>
      </c>
      <c r="K1836" s="25" t="n">
        <f aca="false">D1836-I1836</f>
        <v>0</v>
      </c>
      <c r="L1836" s="25" t="n">
        <f aca="false">G1836-J1836</f>
        <v>0</v>
      </c>
      <c r="M1836" s="25" t="n">
        <f aca="false">F1836</f>
        <v>16494105.5031176</v>
      </c>
      <c r="N1836" s="49" t="n">
        <f aca="false">$C$1823</f>
        <v>0.00792035016710324</v>
      </c>
      <c r="O1836" s="25" t="n">
        <f aca="false">IF(AND(B1836&gt;=DATE(2026,1,1),B1836&lt;=Resumen!$C$5),1,0)</f>
        <v>1</v>
      </c>
      <c r="P1836" s="25" t="n">
        <f aca="false">IF(AND(B1836&gt;Resumen!$C$5,B1836&lt;=DATE(2027,7,31)),1,0)</f>
        <v>0</v>
      </c>
    </row>
    <row r="1837" customFormat="false" ht="15" hidden="false" customHeight="false" outlineLevel="0" collapsed="false">
      <c r="A1837" s="22" t="n">
        <v>9</v>
      </c>
      <c r="B1837" s="23" t="n">
        <v>46080</v>
      </c>
      <c r="C1837" s="28" t="n">
        <v>830760924.101059</v>
      </c>
      <c r="D1837" s="28" t="n">
        <v>6579917.42402666</v>
      </c>
      <c r="E1837" s="28" t="n">
        <v>9914188.07909095</v>
      </c>
      <c r="F1837" s="28" t="n">
        <v>16494105.5031176</v>
      </c>
      <c r="G1837" s="28" t="n">
        <v>820846736.021968</v>
      </c>
      <c r="H1837" s="25" t="n">
        <f aca="false">J1836</f>
        <v>830760924.101059</v>
      </c>
      <c r="I1837" s="25" t="n">
        <f aca="false">H1837*N1837</f>
        <v>6579917.42402666</v>
      </c>
      <c r="J1837" s="25" t="n">
        <f aca="false">H1837+I1837-F1837</f>
        <v>820846736.021968</v>
      </c>
      <c r="K1837" s="25" t="n">
        <f aca="false">D1837-I1837</f>
        <v>0</v>
      </c>
      <c r="L1837" s="25" t="n">
        <f aca="false">G1837-J1837</f>
        <v>0</v>
      </c>
      <c r="M1837" s="25" t="n">
        <f aca="false">F1837</f>
        <v>16494105.5031176</v>
      </c>
      <c r="N1837" s="49" t="n">
        <f aca="false">$C$1823</f>
        <v>0.00792035016710324</v>
      </c>
      <c r="O1837" s="25" t="n">
        <f aca="false">IF(AND(B1837&gt;=DATE(2026,1,1),B1837&lt;=Resumen!$C$5),1,0)</f>
        <v>1</v>
      </c>
      <c r="P1837" s="25" t="n">
        <f aca="false">IF(AND(B1837&gt;Resumen!$C$5,B1837&lt;=DATE(2027,7,31)),1,0)</f>
        <v>0</v>
      </c>
    </row>
    <row r="1838" customFormat="false" ht="15" hidden="false" customHeight="false" outlineLevel="0" collapsed="false">
      <c r="A1838" s="22" t="n">
        <v>10</v>
      </c>
      <c r="B1838" s="23" t="n">
        <v>46108</v>
      </c>
      <c r="C1838" s="28" t="n">
        <v>820846736.021968</v>
      </c>
      <c r="D1838" s="28" t="n">
        <v>6501393.58281774</v>
      </c>
      <c r="E1838" s="28" t="n">
        <v>9992711.92029977</v>
      </c>
      <c r="F1838" s="28" t="n">
        <v>16494105.5031175</v>
      </c>
      <c r="G1838" s="28" t="n">
        <v>810854024.101668</v>
      </c>
      <c r="H1838" s="25" t="n">
        <f aca="false">J1837</f>
        <v>820846736.021968</v>
      </c>
      <c r="I1838" s="25" t="n">
        <f aca="false">H1838*N1838</f>
        <v>6501393.58281774</v>
      </c>
      <c r="J1838" s="25" t="n">
        <f aca="false">H1838+I1838-F1838</f>
        <v>810854024.101668</v>
      </c>
      <c r="K1838" s="25" t="n">
        <f aca="false">D1838-I1838</f>
        <v>0</v>
      </c>
      <c r="L1838" s="25" t="n">
        <f aca="false">G1838-J1838</f>
        <v>0</v>
      </c>
      <c r="M1838" s="25" t="n">
        <f aca="false">F1838</f>
        <v>16494105.5031175</v>
      </c>
      <c r="N1838" s="49" t="n">
        <f aca="false">$C$1823</f>
        <v>0.00792035016710324</v>
      </c>
      <c r="O1838" s="25" t="n">
        <f aca="false">IF(AND(B1838&gt;=DATE(2026,1,1),B1838&lt;=Resumen!$C$5),1,0)</f>
        <v>1</v>
      </c>
      <c r="P1838" s="25" t="n">
        <f aca="false">IF(AND(B1838&gt;Resumen!$C$5,B1838&lt;=DATE(2027,7,31)),1,0)</f>
        <v>0</v>
      </c>
    </row>
    <row r="1839" customFormat="false" ht="15" hidden="false" customHeight="false" outlineLevel="0" collapsed="false">
      <c r="A1839" s="22" t="n">
        <v>11</v>
      </c>
      <c r="B1839" s="23" t="n">
        <v>46139</v>
      </c>
      <c r="C1839" s="28" t="n">
        <v>810854024.101668</v>
      </c>
      <c r="D1839" s="28" t="n">
        <v>6422247.80528998</v>
      </c>
      <c r="E1839" s="28" t="n">
        <v>10071857.6978276</v>
      </c>
      <c r="F1839" s="28" t="n">
        <v>16494105.5031176</v>
      </c>
      <c r="G1839" s="28" t="n">
        <v>800782166.403841</v>
      </c>
      <c r="H1839" s="25" t="n">
        <f aca="false">J1838</f>
        <v>810854024.101668</v>
      </c>
      <c r="I1839" s="25" t="n">
        <f aca="false">H1839*N1839</f>
        <v>6422247.80528998</v>
      </c>
      <c r="J1839" s="25" t="n">
        <f aca="false">H1839+I1839-F1839</f>
        <v>800782166.403841</v>
      </c>
      <c r="K1839" s="25" t="n">
        <f aca="false">D1839-I1839</f>
        <v>0</v>
      </c>
      <c r="L1839" s="25" t="n">
        <f aca="false">G1839-J1839</f>
        <v>0</v>
      </c>
      <c r="M1839" s="25" t="n">
        <f aca="false">F1839</f>
        <v>16494105.5031176</v>
      </c>
      <c r="N1839" s="49" t="n">
        <f aca="false">$C$1823</f>
        <v>0.00792035016710324</v>
      </c>
      <c r="O1839" s="25" t="n">
        <f aca="false">IF(AND(B1839&gt;=DATE(2026,1,1),B1839&lt;=Resumen!$C$5),1,0)</f>
        <v>1</v>
      </c>
      <c r="P1839" s="25" t="n">
        <f aca="false">IF(AND(B1839&gt;Resumen!$C$5,B1839&lt;=DATE(2027,7,31)),1,0)</f>
        <v>0</v>
      </c>
    </row>
    <row r="1840" customFormat="false" ht="15" hidden="false" customHeight="false" outlineLevel="0" collapsed="false">
      <c r="A1840" s="22" t="n">
        <v>12</v>
      </c>
      <c r="B1840" s="23" t="n">
        <v>46169</v>
      </c>
      <c r="C1840" s="28" t="n">
        <v>800782166.403841</v>
      </c>
      <c r="D1840" s="28" t="n">
        <v>6342475.16548995</v>
      </c>
      <c r="E1840" s="28" t="n">
        <v>10151630.3376277</v>
      </c>
      <c r="F1840" s="28" t="n">
        <v>16494105.5031176</v>
      </c>
      <c r="G1840" s="28" t="n">
        <v>790630536.066213</v>
      </c>
      <c r="H1840" s="25" t="n">
        <f aca="false">J1839</f>
        <v>800782166.403841</v>
      </c>
      <c r="I1840" s="25" t="n">
        <f aca="false">H1840*N1840</f>
        <v>6342475.16548995</v>
      </c>
      <c r="J1840" s="25" t="n">
        <f aca="false">H1840+I1840-F1840</f>
        <v>790630536.066213</v>
      </c>
      <c r="K1840" s="25" t="n">
        <f aca="false">D1840-I1840</f>
        <v>0</v>
      </c>
      <c r="L1840" s="25" t="n">
        <f aca="false">G1840-J1840</f>
        <v>0</v>
      </c>
      <c r="M1840" s="25" t="n">
        <f aca="false">F1840</f>
        <v>16494105.5031176</v>
      </c>
      <c r="N1840" s="49" t="n">
        <f aca="false">$C$1823</f>
        <v>0.00792035016710324</v>
      </c>
      <c r="O1840" s="25" t="n">
        <f aca="false">IF(AND(B1840&gt;=DATE(2026,1,1),B1840&lt;=Resumen!$C$5),1,0)</f>
        <v>1</v>
      </c>
      <c r="P1840" s="25" t="n">
        <f aca="false">IF(AND(B1840&gt;Resumen!$C$5,B1840&lt;=DATE(2027,7,31)),1,0)</f>
        <v>0</v>
      </c>
    </row>
    <row r="1841" customFormat="false" ht="15" hidden="false" customHeight="false" outlineLevel="0" collapsed="false">
      <c r="A1841" s="22" t="n">
        <v>13</v>
      </c>
      <c r="B1841" s="23" t="n">
        <v>46200</v>
      </c>
      <c r="C1841" s="28" t="n">
        <v>790630536.066213</v>
      </c>
      <c r="D1841" s="28" t="n">
        <v>6262070.69844895</v>
      </c>
      <c r="E1841" s="28" t="n">
        <v>10232034.8046687</v>
      </c>
      <c r="F1841" s="28" t="n">
        <v>16494105.5031176</v>
      </c>
      <c r="G1841" s="28" t="n">
        <v>780398501.261544</v>
      </c>
      <c r="H1841" s="25" t="n">
        <f aca="false">J1840</f>
        <v>790630536.066213</v>
      </c>
      <c r="I1841" s="25" t="n">
        <f aca="false">H1841*N1841</f>
        <v>6262070.69844895</v>
      </c>
      <c r="J1841" s="25" t="n">
        <f aca="false">H1841+I1841-F1841</f>
        <v>780398501.261544</v>
      </c>
      <c r="K1841" s="25" t="n">
        <f aca="false">D1841-I1841</f>
        <v>0</v>
      </c>
      <c r="L1841" s="25" t="n">
        <f aca="false">G1841-J1841</f>
        <v>0</v>
      </c>
      <c r="M1841" s="25" t="n">
        <f aca="false">F1841</f>
        <v>16494105.5031176</v>
      </c>
      <c r="N1841" s="49" t="n">
        <f aca="false">$C$1823</f>
        <v>0.00792035016710324</v>
      </c>
      <c r="O1841" s="25" t="n">
        <f aca="false">IF(AND(B1841&gt;=DATE(2026,1,1),B1841&lt;=Resumen!$C$5),1,0)</f>
        <v>1</v>
      </c>
      <c r="P1841" s="25" t="n">
        <f aca="false">IF(AND(B1841&gt;Resumen!$C$5,B1841&lt;=DATE(2027,7,31)),1,0)</f>
        <v>0</v>
      </c>
    </row>
    <row r="1842" customFormat="false" ht="15" hidden="false" customHeight="false" outlineLevel="0" collapsed="false">
      <c r="A1842" s="22" t="n">
        <v>14</v>
      </c>
      <c r="B1842" s="23" t="n">
        <v>46230</v>
      </c>
      <c r="C1842" s="28" t="n">
        <v>780398501.261544</v>
      </c>
      <c r="D1842" s="28" t="n">
        <v>6181029.39987399</v>
      </c>
      <c r="E1842" s="28" t="n">
        <v>10313076.1032436</v>
      </c>
      <c r="F1842" s="28" t="n">
        <v>16494105.5031176</v>
      </c>
      <c r="G1842" s="28" t="n">
        <v>770085425.158301</v>
      </c>
      <c r="H1842" s="25" t="n">
        <f aca="false">J1841</f>
        <v>780398501.261544</v>
      </c>
      <c r="I1842" s="25" t="n">
        <f aca="false">H1842*N1842</f>
        <v>6181029.39987399</v>
      </c>
      <c r="J1842" s="25" t="n">
        <f aca="false">H1842+I1842-F1842</f>
        <v>770085425.158301</v>
      </c>
      <c r="K1842" s="25" t="n">
        <f aca="false">D1842-I1842</f>
        <v>0</v>
      </c>
      <c r="L1842" s="25" t="n">
        <f aca="false">G1842-J1842</f>
        <v>0</v>
      </c>
      <c r="M1842" s="25" t="n">
        <f aca="false">F1842</f>
        <v>16494105.5031176</v>
      </c>
      <c r="N1842" s="49" t="n">
        <f aca="false">$C$1823</f>
        <v>0.00792035016710324</v>
      </c>
      <c r="O1842" s="25" t="n">
        <f aca="false">IF(AND(B1842&gt;=DATE(2026,1,1),B1842&lt;=Resumen!$C$5),1,0)</f>
        <v>1</v>
      </c>
      <c r="P1842" s="25" t="n">
        <f aca="false">IF(AND(B1842&gt;Resumen!$C$5,B1842&lt;=DATE(2027,7,31)),1,0)</f>
        <v>0</v>
      </c>
    </row>
    <row r="1843" customFormat="false" ht="15" hidden="false" customHeight="false" outlineLevel="0" collapsed="false">
      <c r="A1843" s="22" t="n">
        <v>15</v>
      </c>
      <c r="B1843" s="23" t="n">
        <v>46261</v>
      </c>
      <c r="C1843" s="28" t="n">
        <v>770085425.158301</v>
      </c>
      <c r="D1843" s="28" t="n">
        <v>6099346.22583632</v>
      </c>
      <c r="E1843" s="28" t="n">
        <v>10394759.2772813</v>
      </c>
      <c r="F1843" s="28" t="n">
        <v>16494105.5031176</v>
      </c>
      <c r="G1843" s="28" t="n">
        <v>759690665.881019</v>
      </c>
      <c r="H1843" s="25" t="n">
        <f aca="false">J1842</f>
        <v>770085425.158301</v>
      </c>
      <c r="I1843" s="25" t="n">
        <f aca="false">H1843*N1843</f>
        <v>6099346.22583632</v>
      </c>
      <c r="J1843" s="25" t="n">
        <f aca="false">H1843+I1843-F1843</f>
        <v>759690665.881019</v>
      </c>
      <c r="K1843" s="25" t="n">
        <f aca="false">D1843-I1843</f>
        <v>0</v>
      </c>
      <c r="L1843" s="25" t="n">
        <f aca="false">G1843-J1843</f>
        <v>0</v>
      </c>
      <c r="M1843" s="25" t="n">
        <f aca="false">F1843</f>
        <v>16494105.5031176</v>
      </c>
      <c r="N1843" s="49" t="n">
        <f aca="false">$C$1823</f>
        <v>0.00792035016710324</v>
      </c>
      <c r="O1843" s="25" t="n">
        <f aca="false">IF(AND(B1843&gt;=DATE(2026,1,1),B1843&lt;=Resumen!$C$5),1,0)</f>
        <v>0</v>
      </c>
      <c r="P1843" s="25" t="n">
        <f aca="false">IF(AND(B1843&gt;Resumen!$C$5,B1843&lt;=DATE(2027,7,31)),1,0)</f>
        <v>1</v>
      </c>
    </row>
    <row r="1844" customFormat="false" ht="15" hidden="false" customHeight="false" outlineLevel="0" collapsed="false">
      <c r="A1844" s="22" t="n">
        <v>16</v>
      </c>
      <c r="B1844" s="23" t="n">
        <v>46292</v>
      </c>
      <c r="C1844" s="28" t="n">
        <v>759690665.881019</v>
      </c>
      <c r="D1844" s="28" t="n">
        <v>6017016.0924575</v>
      </c>
      <c r="E1844" s="28" t="n">
        <v>10477089.41066</v>
      </c>
      <c r="F1844" s="28" t="n">
        <v>16494105.5031175</v>
      </c>
      <c r="G1844" s="28" t="n">
        <v>749213576.470359</v>
      </c>
      <c r="H1844" s="25" t="n">
        <f aca="false">J1843</f>
        <v>759690665.881019</v>
      </c>
      <c r="I1844" s="25" t="n">
        <f aca="false">H1844*N1844</f>
        <v>6017016.0924575</v>
      </c>
      <c r="J1844" s="25" t="n">
        <f aca="false">H1844+I1844-F1844</f>
        <v>749213576.470359</v>
      </c>
      <c r="K1844" s="25" t="n">
        <f aca="false">D1844-I1844</f>
        <v>0</v>
      </c>
      <c r="L1844" s="25" t="n">
        <f aca="false">G1844-J1844</f>
        <v>0</v>
      </c>
      <c r="M1844" s="25" t="n">
        <f aca="false">F1844</f>
        <v>16494105.5031175</v>
      </c>
      <c r="N1844" s="49" t="n">
        <f aca="false">$C$1823</f>
        <v>0.00792035016710324</v>
      </c>
      <c r="O1844" s="25" t="n">
        <f aca="false">IF(AND(B1844&gt;=DATE(2026,1,1),B1844&lt;=Resumen!$C$5),1,0)</f>
        <v>0</v>
      </c>
      <c r="P1844" s="25" t="n">
        <f aca="false">IF(AND(B1844&gt;Resumen!$C$5,B1844&lt;=DATE(2027,7,31)),1,0)</f>
        <v>1</v>
      </c>
    </row>
    <row r="1845" customFormat="false" ht="15" hidden="false" customHeight="false" outlineLevel="0" collapsed="false">
      <c r="A1845" s="22" t="n">
        <v>17</v>
      </c>
      <c r="B1845" s="23" t="n">
        <v>46322</v>
      </c>
      <c r="C1845" s="28" t="n">
        <v>749213576.470359</v>
      </c>
      <c r="D1845" s="28" t="n">
        <v>5934033.87559303</v>
      </c>
      <c r="E1845" s="28" t="n">
        <v>10560071.6275245</v>
      </c>
      <c r="F1845" s="28" t="n">
        <v>16494105.5031175</v>
      </c>
      <c r="G1845" s="28" t="n">
        <v>738653504.842835</v>
      </c>
      <c r="H1845" s="25" t="n">
        <f aca="false">J1844</f>
        <v>749213576.470359</v>
      </c>
      <c r="I1845" s="25" t="n">
        <f aca="false">H1845*N1845</f>
        <v>5934033.87559303</v>
      </c>
      <c r="J1845" s="25" t="n">
        <f aca="false">H1845+I1845-F1845</f>
        <v>738653504.842835</v>
      </c>
      <c r="K1845" s="25" t="n">
        <f aca="false">D1845-I1845</f>
        <v>0</v>
      </c>
      <c r="L1845" s="25" t="n">
        <f aca="false">G1845-J1845</f>
        <v>0</v>
      </c>
      <c r="M1845" s="25" t="n">
        <f aca="false">F1845</f>
        <v>16494105.5031175</v>
      </c>
      <c r="N1845" s="49" t="n">
        <f aca="false">$C$1823</f>
        <v>0.00792035016710324</v>
      </c>
      <c r="O1845" s="25" t="n">
        <f aca="false">IF(AND(B1845&gt;=DATE(2026,1,1),B1845&lt;=Resumen!$C$5),1,0)</f>
        <v>0</v>
      </c>
      <c r="P1845" s="25" t="n">
        <f aca="false">IF(AND(B1845&gt;Resumen!$C$5,B1845&lt;=DATE(2027,7,31)),1,0)</f>
        <v>1</v>
      </c>
    </row>
    <row r="1846" customFormat="false" ht="15" hidden="false" customHeight="false" outlineLevel="0" collapsed="false">
      <c r="A1846" s="22" t="n">
        <v>18</v>
      </c>
      <c r="B1846" s="23" t="n">
        <v>46353</v>
      </c>
      <c r="C1846" s="28" t="n">
        <v>738653504.842835</v>
      </c>
      <c r="D1846" s="28" t="n">
        <v>5850394.41051334</v>
      </c>
      <c r="E1846" s="28" t="n">
        <v>10643711.0926043</v>
      </c>
      <c r="F1846" s="28" t="n">
        <v>16494105.5031176</v>
      </c>
      <c r="G1846" s="28" t="n">
        <v>728009793.750231</v>
      </c>
      <c r="H1846" s="25" t="n">
        <f aca="false">J1845</f>
        <v>738653504.842835</v>
      </c>
      <c r="I1846" s="25" t="n">
        <f aca="false">H1846*N1846</f>
        <v>5850394.41051334</v>
      </c>
      <c r="J1846" s="25" t="n">
        <f aca="false">H1846+I1846-F1846</f>
        <v>728009793.750231</v>
      </c>
      <c r="K1846" s="25" t="n">
        <f aca="false">D1846-I1846</f>
        <v>0</v>
      </c>
      <c r="L1846" s="25" t="n">
        <f aca="false">G1846-J1846</f>
        <v>0</v>
      </c>
      <c r="M1846" s="25" t="n">
        <f aca="false">F1846</f>
        <v>16494105.5031176</v>
      </c>
      <c r="N1846" s="49" t="n">
        <f aca="false">$C$1823</f>
        <v>0.00792035016710324</v>
      </c>
      <c r="O1846" s="25" t="n">
        <f aca="false">IF(AND(B1846&gt;=DATE(2026,1,1),B1846&lt;=Resumen!$C$5),1,0)</f>
        <v>0</v>
      </c>
      <c r="P1846" s="25" t="n">
        <f aca="false">IF(AND(B1846&gt;Resumen!$C$5,B1846&lt;=DATE(2027,7,31)),1,0)</f>
        <v>1</v>
      </c>
    </row>
    <row r="1847" customFormat="false" ht="15" hidden="false" customHeight="false" outlineLevel="0" collapsed="false">
      <c r="A1847" s="22" t="n">
        <v>19</v>
      </c>
      <c r="B1847" s="23" t="n">
        <v>46383</v>
      </c>
      <c r="C1847" s="28" t="n">
        <v>728009793.750231</v>
      </c>
      <c r="D1847" s="28" t="n">
        <v>5766092.49158244</v>
      </c>
      <c r="E1847" s="28" t="n">
        <v>10728013.0115352</v>
      </c>
      <c r="F1847" s="28" t="n">
        <v>16494105.5031176</v>
      </c>
      <c r="G1847" s="28" t="n">
        <v>717281780.738695</v>
      </c>
      <c r="H1847" s="25" t="n">
        <f aca="false">J1846</f>
        <v>728009793.750231</v>
      </c>
      <c r="I1847" s="25" t="n">
        <f aca="false">H1847*N1847</f>
        <v>5766092.49158244</v>
      </c>
      <c r="J1847" s="25" t="n">
        <f aca="false">H1847+I1847-F1847</f>
        <v>717281780.738695</v>
      </c>
      <c r="K1847" s="25" t="n">
        <f aca="false">D1847-I1847</f>
        <v>0</v>
      </c>
      <c r="L1847" s="25" t="n">
        <f aca="false">G1847-J1847</f>
        <v>0</v>
      </c>
      <c r="M1847" s="25" t="n">
        <f aca="false">F1847</f>
        <v>16494105.5031176</v>
      </c>
      <c r="N1847" s="49" t="n">
        <f aca="false">$C$1823</f>
        <v>0.00792035016710324</v>
      </c>
      <c r="O1847" s="25" t="n">
        <f aca="false">IF(AND(B1847&gt;=DATE(2026,1,1),B1847&lt;=Resumen!$C$5),1,0)</f>
        <v>0</v>
      </c>
      <c r="P1847" s="25" t="n">
        <f aca="false">IF(AND(B1847&gt;Resumen!$C$5,B1847&lt;=DATE(2027,7,31)),1,0)</f>
        <v>1</v>
      </c>
    </row>
    <row r="1848" customFormat="false" ht="15" hidden="false" customHeight="false" outlineLevel="0" collapsed="false">
      <c r="A1848" s="22" t="n">
        <v>20</v>
      </c>
      <c r="B1848" s="23" t="n">
        <v>46414</v>
      </c>
      <c r="C1848" s="28" t="n">
        <v>717281780.738695</v>
      </c>
      <c r="D1848" s="28" t="n">
        <v>5681122.87193384</v>
      </c>
      <c r="E1848" s="28" t="n">
        <v>10812982.6311837</v>
      </c>
      <c r="F1848" s="28" t="n">
        <v>16494105.5031176</v>
      </c>
      <c r="G1848" s="28" t="n">
        <v>706468798.107512</v>
      </c>
      <c r="H1848" s="25" t="n">
        <f aca="false">J1847</f>
        <v>717281780.738695</v>
      </c>
      <c r="I1848" s="25" t="n">
        <f aca="false">H1848*N1848</f>
        <v>5681122.87193384</v>
      </c>
      <c r="J1848" s="25" t="n">
        <f aca="false">H1848+I1848-F1848</f>
        <v>706468798.107512</v>
      </c>
      <c r="K1848" s="25" t="n">
        <f aca="false">D1848-I1848</f>
        <v>0</v>
      </c>
      <c r="L1848" s="25" t="n">
        <f aca="false">G1848-J1848</f>
        <v>0</v>
      </c>
      <c r="M1848" s="25" t="n">
        <f aca="false">F1848</f>
        <v>16494105.5031176</v>
      </c>
      <c r="N1848" s="49" t="n">
        <f aca="false">$C$1823</f>
        <v>0.00792035016710324</v>
      </c>
      <c r="O1848" s="25" t="n">
        <f aca="false">IF(AND(B1848&gt;=DATE(2026,1,1),B1848&lt;=Resumen!$C$5),1,0)</f>
        <v>0</v>
      </c>
      <c r="P1848" s="25" t="n">
        <f aca="false">IF(AND(B1848&gt;Resumen!$C$5,B1848&lt;=DATE(2027,7,31)),1,0)</f>
        <v>1</v>
      </c>
    </row>
    <row r="1849" customFormat="false" ht="15" hidden="false" customHeight="false" outlineLevel="0" collapsed="false">
      <c r="A1849" s="22" t="n">
        <v>21</v>
      </c>
      <c r="B1849" s="23" t="n">
        <v>46445</v>
      </c>
      <c r="C1849" s="28" t="n">
        <v>706468798.107512</v>
      </c>
      <c r="D1849" s="28" t="n">
        <v>5595480.26314406</v>
      </c>
      <c r="E1849" s="28" t="n">
        <v>10898625.2399736</v>
      </c>
      <c r="F1849" s="28" t="n">
        <v>16494105.5031176</v>
      </c>
      <c r="G1849" s="28" t="n">
        <v>695570172.867538</v>
      </c>
      <c r="H1849" s="25" t="n">
        <f aca="false">J1848</f>
        <v>706468798.107512</v>
      </c>
      <c r="I1849" s="25" t="n">
        <f aca="false">H1849*N1849</f>
        <v>5595480.26314406</v>
      </c>
      <c r="J1849" s="25" t="n">
        <f aca="false">H1849+I1849-F1849</f>
        <v>695570172.867538</v>
      </c>
      <c r="K1849" s="25" t="n">
        <f aca="false">D1849-I1849</f>
        <v>0</v>
      </c>
      <c r="L1849" s="25" t="n">
        <f aca="false">G1849-J1849</f>
        <v>0</v>
      </c>
      <c r="M1849" s="25" t="n">
        <f aca="false">F1849</f>
        <v>16494105.5031176</v>
      </c>
      <c r="N1849" s="49" t="n">
        <f aca="false">$C$1823</f>
        <v>0.00792035016710324</v>
      </c>
      <c r="O1849" s="25" t="n">
        <f aca="false">IF(AND(B1849&gt;=DATE(2026,1,1),B1849&lt;=Resumen!$C$5),1,0)</f>
        <v>0</v>
      </c>
      <c r="P1849" s="25" t="n">
        <f aca="false">IF(AND(B1849&gt;Resumen!$C$5,B1849&lt;=DATE(2027,7,31)),1,0)</f>
        <v>1</v>
      </c>
    </row>
    <row r="1850" customFormat="false" ht="15" hidden="false" customHeight="false" outlineLevel="0" collapsed="false">
      <c r="A1850" s="22" t="n">
        <v>22</v>
      </c>
      <c r="B1850" s="23" t="n">
        <v>46473</v>
      </c>
      <c r="C1850" s="28" t="n">
        <v>695570172.867538</v>
      </c>
      <c r="D1850" s="28" t="n">
        <v>5509159.33490344</v>
      </c>
      <c r="E1850" s="28" t="n">
        <v>10984946.1682141</v>
      </c>
      <c r="F1850" s="28" t="n">
        <v>16494105.5031175</v>
      </c>
      <c r="G1850" s="28" t="n">
        <v>684585226.699324</v>
      </c>
      <c r="H1850" s="25" t="n">
        <f aca="false">J1849</f>
        <v>695570172.867538</v>
      </c>
      <c r="I1850" s="25" t="n">
        <f aca="false">H1850*N1850</f>
        <v>5509159.33490344</v>
      </c>
      <c r="J1850" s="25" t="n">
        <f aca="false">H1850+I1850-F1850</f>
        <v>684585226.699324</v>
      </c>
      <c r="K1850" s="25" t="n">
        <f aca="false">D1850-I1850</f>
        <v>0</v>
      </c>
      <c r="L1850" s="25" t="n">
        <f aca="false">G1850-J1850</f>
        <v>0</v>
      </c>
      <c r="M1850" s="25" t="n">
        <f aca="false">F1850</f>
        <v>16494105.5031175</v>
      </c>
      <c r="N1850" s="49" t="n">
        <f aca="false">$C$1823</f>
        <v>0.00792035016710324</v>
      </c>
      <c r="O1850" s="25" t="n">
        <f aca="false">IF(AND(B1850&gt;=DATE(2026,1,1),B1850&lt;=Resumen!$C$5),1,0)</f>
        <v>0</v>
      </c>
      <c r="P1850" s="25" t="n">
        <f aca="false">IF(AND(B1850&gt;Resumen!$C$5,B1850&lt;=DATE(2027,7,31)),1,0)</f>
        <v>1</v>
      </c>
    </row>
    <row r="1851" customFormat="false" ht="15" hidden="false" customHeight="false" outlineLevel="0" collapsed="false">
      <c r="A1851" s="22" t="n">
        <v>23</v>
      </c>
      <c r="B1851" s="23" t="n">
        <v>46504</v>
      </c>
      <c r="C1851" s="28" t="n">
        <v>684585226.699324</v>
      </c>
      <c r="D1851" s="28" t="n">
        <v>5422154.7146844</v>
      </c>
      <c r="E1851" s="28" t="n">
        <v>11071950.7884332</v>
      </c>
      <c r="F1851" s="28" t="n">
        <v>16494105.5031176</v>
      </c>
      <c r="G1851" s="28" t="n">
        <v>673513275.910891</v>
      </c>
      <c r="H1851" s="25" t="n">
        <f aca="false">J1850</f>
        <v>684585226.699324</v>
      </c>
      <c r="I1851" s="25" t="n">
        <f aca="false">H1851*N1851</f>
        <v>5422154.7146844</v>
      </c>
      <c r="J1851" s="25" t="n">
        <f aca="false">H1851+I1851-F1851</f>
        <v>673513275.910891</v>
      </c>
      <c r="K1851" s="25" t="n">
        <f aca="false">D1851-I1851</f>
        <v>0</v>
      </c>
      <c r="L1851" s="25" t="n">
        <f aca="false">G1851-J1851</f>
        <v>0</v>
      </c>
      <c r="M1851" s="25" t="n">
        <f aca="false">F1851</f>
        <v>16494105.5031176</v>
      </c>
      <c r="N1851" s="49" t="n">
        <f aca="false">$C$1823</f>
        <v>0.00792035016710324</v>
      </c>
      <c r="O1851" s="25" t="n">
        <f aca="false">IF(AND(B1851&gt;=DATE(2026,1,1),B1851&lt;=Resumen!$C$5),1,0)</f>
        <v>0</v>
      </c>
      <c r="P1851" s="25" t="n">
        <f aca="false">IF(AND(B1851&gt;Resumen!$C$5,B1851&lt;=DATE(2027,7,31)),1,0)</f>
        <v>1</v>
      </c>
    </row>
    <row r="1852" customFormat="false" ht="15" hidden="false" customHeight="false" outlineLevel="0" collapsed="false">
      <c r="A1852" s="22" t="n">
        <v>24</v>
      </c>
      <c r="B1852" s="23" t="n">
        <v>46534</v>
      </c>
      <c r="C1852" s="28" t="n">
        <v>673513275.910891</v>
      </c>
      <c r="D1852" s="28" t="n">
        <v>5334460.98740708</v>
      </c>
      <c r="E1852" s="28" t="n">
        <v>11159644.5157105</v>
      </c>
      <c r="F1852" s="28" t="n">
        <v>16494105.5031176</v>
      </c>
      <c r="G1852" s="28" t="n">
        <v>662353631.39518</v>
      </c>
      <c r="H1852" s="25" t="n">
        <f aca="false">J1851</f>
        <v>673513275.910891</v>
      </c>
      <c r="I1852" s="25" t="n">
        <f aca="false">H1852*N1852</f>
        <v>5334460.98740708</v>
      </c>
      <c r="J1852" s="25" t="n">
        <f aca="false">H1852+I1852-F1852</f>
        <v>662353631.39518</v>
      </c>
      <c r="K1852" s="25" t="n">
        <f aca="false">D1852-I1852</f>
        <v>0</v>
      </c>
      <c r="L1852" s="25" t="n">
        <f aca="false">G1852-J1852</f>
        <v>0</v>
      </c>
      <c r="M1852" s="25" t="n">
        <f aca="false">F1852</f>
        <v>16494105.5031176</v>
      </c>
      <c r="N1852" s="49" t="n">
        <f aca="false">$C$1823</f>
        <v>0.00792035016710324</v>
      </c>
      <c r="O1852" s="25" t="n">
        <f aca="false">IF(AND(B1852&gt;=DATE(2026,1,1),B1852&lt;=Resumen!$C$5),1,0)</f>
        <v>0</v>
      </c>
      <c r="P1852" s="25" t="n">
        <f aca="false">IF(AND(B1852&gt;Resumen!$C$5,B1852&lt;=DATE(2027,7,31)),1,0)</f>
        <v>1</v>
      </c>
    </row>
    <row r="1853" customFormat="false" ht="15" hidden="false" customHeight="false" outlineLevel="0" collapsed="false">
      <c r="A1853" s="22" t="n">
        <v>25</v>
      </c>
      <c r="B1853" s="23" t="n">
        <v>46565</v>
      </c>
      <c r="C1853" s="28" t="n">
        <v>662353631.39518</v>
      </c>
      <c r="D1853" s="28" t="n">
        <v>5246072.69510226</v>
      </c>
      <c r="E1853" s="28" t="n">
        <v>11248032.8080154</v>
      </c>
      <c r="F1853" s="28" t="n">
        <v>16494105.5031176</v>
      </c>
      <c r="G1853" s="28" t="n">
        <v>651105598.587165</v>
      </c>
      <c r="H1853" s="25" t="n">
        <f aca="false">J1852</f>
        <v>662353631.39518</v>
      </c>
      <c r="I1853" s="25" t="n">
        <f aca="false">H1853*N1853</f>
        <v>5246072.69510226</v>
      </c>
      <c r="J1853" s="25" t="n">
        <f aca="false">H1853+I1853-F1853</f>
        <v>651105598.587165</v>
      </c>
      <c r="K1853" s="25" t="n">
        <f aca="false">D1853-I1853</f>
        <v>0</v>
      </c>
      <c r="L1853" s="25" t="n">
        <f aca="false">G1853-J1853</f>
        <v>0</v>
      </c>
      <c r="M1853" s="25" t="n">
        <f aca="false">F1853</f>
        <v>16494105.5031176</v>
      </c>
      <c r="N1853" s="49" t="n">
        <f aca="false">$C$1823</f>
        <v>0.00792035016710324</v>
      </c>
      <c r="O1853" s="25" t="n">
        <f aca="false">IF(AND(B1853&gt;=DATE(2026,1,1),B1853&lt;=Resumen!$C$5),1,0)</f>
        <v>0</v>
      </c>
      <c r="P1853" s="25" t="n">
        <f aca="false">IF(AND(B1853&gt;Resumen!$C$5,B1853&lt;=DATE(2027,7,31)),1,0)</f>
        <v>1</v>
      </c>
    </row>
    <row r="1854" customFormat="false" ht="15" hidden="false" customHeight="false" outlineLevel="0" collapsed="false">
      <c r="A1854" s="22" t="n">
        <v>26</v>
      </c>
      <c r="B1854" s="23" t="n">
        <v>46595</v>
      </c>
      <c r="C1854" s="28" t="n">
        <v>651105598.587165</v>
      </c>
      <c r="D1854" s="28" t="n">
        <v>5156984.33657171</v>
      </c>
      <c r="E1854" s="28" t="n">
        <v>11337121.1665459</v>
      </c>
      <c r="F1854" s="28" t="n">
        <v>16494105.5031176</v>
      </c>
      <c r="G1854" s="28" t="n">
        <v>639768477.420619</v>
      </c>
      <c r="H1854" s="25" t="n">
        <f aca="false">J1853</f>
        <v>651105598.587165</v>
      </c>
      <c r="I1854" s="25" t="n">
        <f aca="false">H1854*N1854</f>
        <v>5156984.33657171</v>
      </c>
      <c r="J1854" s="25" t="n">
        <f aca="false">H1854+I1854-F1854</f>
        <v>639768477.420619</v>
      </c>
      <c r="K1854" s="25" t="n">
        <f aca="false">D1854-I1854</f>
        <v>0</v>
      </c>
      <c r="L1854" s="25" t="n">
        <f aca="false">G1854-J1854</f>
        <v>0</v>
      </c>
      <c r="M1854" s="25" t="n">
        <f aca="false">F1854</f>
        <v>16494105.5031176</v>
      </c>
      <c r="N1854" s="49" t="n">
        <f aca="false">$C$1823</f>
        <v>0.00792035016710324</v>
      </c>
      <c r="O1854" s="25" t="n">
        <f aca="false">IF(AND(B1854&gt;=DATE(2026,1,1),B1854&lt;=Resumen!$C$5),1,0)</f>
        <v>0</v>
      </c>
      <c r="P1854" s="25" t="n">
        <f aca="false">IF(AND(B1854&gt;Resumen!$C$5,B1854&lt;=DATE(2027,7,31)),1,0)</f>
        <v>1</v>
      </c>
    </row>
    <row r="1855" customFormat="false" ht="15" hidden="false" customHeight="false" outlineLevel="0" collapsed="false">
      <c r="A1855" s="22" t="n">
        <v>27</v>
      </c>
      <c r="B1855" s="23" t="n">
        <v>46626</v>
      </c>
      <c r="C1855" s="28" t="n">
        <v>639768477.420619</v>
      </c>
      <c r="D1855" s="28" t="n">
        <v>5067190.36704579</v>
      </c>
      <c r="E1855" s="28" t="n">
        <v>11426915.1360718</v>
      </c>
      <c r="F1855" s="28" t="n">
        <v>16494105.5031176</v>
      </c>
      <c r="G1855" s="28" t="n">
        <v>628341562.284547</v>
      </c>
      <c r="H1855" s="25" t="n">
        <f aca="false">J1854</f>
        <v>639768477.420619</v>
      </c>
      <c r="I1855" s="25" t="n">
        <f aca="false">H1855*N1855</f>
        <v>5067190.36704579</v>
      </c>
      <c r="J1855" s="25" t="n">
        <f aca="false">H1855+I1855-F1855</f>
        <v>628341562.284547</v>
      </c>
      <c r="K1855" s="25" t="n">
        <f aca="false">D1855-I1855</f>
        <v>0</v>
      </c>
      <c r="L1855" s="25" t="n">
        <f aca="false">G1855-J1855</f>
        <v>0</v>
      </c>
      <c r="M1855" s="25" t="n">
        <f aca="false">F1855</f>
        <v>16494105.5031176</v>
      </c>
      <c r="N1855" s="49" t="n">
        <f aca="false">$C$1823</f>
        <v>0.00792035016710324</v>
      </c>
      <c r="O1855" s="25" t="n">
        <f aca="false">IF(AND(B1855&gt;=DATE(2026,1,1),B1855&lt;=Resumen!$C$5),1,0)</f>
        <v>0</v>
      </c>
      <c r="P1855" s="25" t="n">
        <f aca="false">IF(AND(B1855&gt;Resumen!$C$5,B1855&lt;=DATE(2027,7,31)),1,0)</f>
        <v>0</v>
      </c>
    </row>
    <row r="1856" customFormat="false" ht="15" hidden="false" customHeight="false" outlineLevel="0" collapsed="false">
      <c r="A1856" s="22" t="n">
        <v>28</v>
      </c>
      <c r="B1856" s="23" t="n">
        <v>46657</v>
      </c>
      <c r="C1856" s="28" t="n">
        <v>628341562.284547</v>
      </c>
      <c r="D1856" s="28" t="n">
        <v>4976685.19783833</v>
      </c>
      <c r="E1856" s="28" t="n">
        <v>11517420.3052793</v>
      </c>
      <c r="F1856" s="28" t="n">
        <v>16494105.5031176</v>
      </c>
      <c r="G1856" s="28" t="n">
        <v>616824141.979268</v>
      </c>
      <c r="H1856" s="25" t="n">
        <f aca="false">J1855</f>
        <v>628341562.284547</v>
      </c>
      <c r="I1856" s="25" t="n">
        <f aca="false">H1856*N1856</f>
        <v>4976685.19783833</v>
      </c>
      <c r="J1856" s="25" t="n">
        <f aca="false">H1856+I1856-F1856</f>
        <v>616824141.979268</v>
      </c>
      <c r="K1856" s="25" t="n">
        <f aca="false">D1856-I1856</f>
        <v>0</v>
      </c>
      <c r="L1856" s="25" t="n">
        <f aca="false">G1856-J1856</f>
        <v>0</v>
      </c>
      <c r="M1856" s="25" t="n">
        <f aca="false">F1856</f>
        <v>16494105.5031176</v>
      </c>
      <c r="N1856" s="49" t="n">
        <f aca="false">$C$1823</f>
        <v>0.00792035016710324</v>
      </c>
      <c r="O1856" s="25" t="n">
        <f aca="false">IF(AND(B1856&gt;=DATE(2026,1,1),B1856&lt;=Resumen!$C$5),1,0)</f>
        <v>0</v>
      </c>
      <c r="P1856" s="25" t="n">
        <f aca="false">IF(AND(B1856&gt;Resumen!$C$5,B1856&lt;=DATE(2027,7,31)),1,0)</f>
        <v>0</v>
      </c>
    </row>
    <row r="1857" customFormat="false" ht="15" hidden="false" customHeight="false" outlineLevel="0" collapsed="false">
      <c r="A1857" s="22" t="n">
        <v>29</v>
      </c>
      <c r="B1857" s="23" t="n">
        <v>46687</v>
      </c>
      <c r="C1857" s="28" t="n">
        <v>616824141.979268</v>
      </c>
      <c r="D1857" s="28" t="n">
        <v>4885463.19599881</v>
      </c>
      <c r="E1857" s="28" t="n">
        <v>11608642.3071188</v>
      </c>
      <c r="F1857" s="28" t="n">
        <v>16494105.5031176</v>
      </c>
      <c r="G1857" s="28" t="n">
        <v>605215499.672149</v>
      </c>
      <c r="H1857" s="25" t="n">
        <f aca="false">J1856</f>
        <v>616824141.979268</v>
      </c>
      <c r="I1857" s="25" t="n">
        <f aca="false">H1857*N1857</f>
        <v>4885463.19599881</v>
      </c>
      <c r="J1857" s="25" t="n">
        <f aca="false">H1857+I1857-F1857</f>
        <v>605215499.672149</v>
      </c>
      <c r="K1857" s="25" t="n">
        <f aca="false">D1857-I1857</f>
        <v>0</v>
      </c>
      <c r="L1857" s="25" t="n">
        <f aca="false">G1857-J1857</f>
        <v>0</v>
      </c>
      <c r="M1857" s="25" t="n">
        <f aca="false">F1857</f>
        <v>16494105.5031176</v>
      </c>
      <c r="N1857" s="49" t="n">
        <f aca="false">$C$1823</f>
        <v>0.00792035016710324</v>
      </c>
      <c r="O1857" s="25" t="n">
        <f aca="false">IF(AND(B1857&gt;=DATE(2026,1,1),B1857&lt;=Resumen!$C$5),1,0)</f>
        <v>0</v>
      </c>
      <c r="P1857" s="25" t="n">
        <f aca="false">IF(AND(B1857&gt;Resumen!$C$5,B1857&lt;=DATE(2027,7,31)),1,0)</f>
        <v>0</v>
      </c>
    </row>
    <row r="1858" customFormat="false" ht="15" hidden="false" customHeight="false" outlineLevel="0" collapsed="false">
      <c r="A1858" s="22" t="n">
        <v>30</v>
      </c>
      <c r="B1858" s="23" t="n">
        <v>46718</v>
      </c>
      <c r="C1858" s="28" t="n">
        <v>605215499.672149</v>
      </c>
      <c r="D1858" s="28" t="n">
        <v>4793518.68396178</v>
      </c>
      <c r="E1858" s="28" t="n">
        <v>11700586.8191558</v>
      </c>
      <c r="F1858" s="28" t="n">
        <v>16494105.5031176</v>
      </c>
      <c r="G1858" s="28" t="n">
        <v>593514912.852994</v>
      </c>
      <c r="H1858" s="25" t="n">
        <f aca="false">J1857</f>
        <v>605215499.672149</v>
      </c>
      <c r="I1858" s="25" t="n">
        <f aca="false">H1858*N1858</f>
        <v>4793518.68396178</v>
      </c>
      <c r="J1858" s="25" t="n">
        <f aca="false">H1858+I1858-F1858</f>
        <v>593514912.852994</v>
      </c>
      <c r="K1858" s="25" t="n">
        <f aca="false">D1858-I1858</f>
        <v>0</v>
      </c>
      <c r="L1858" s="25" t="n">
        <f aca="false">G1858-J1858</f>
        <v>0</v>
      </c>
      <c r="M1858" s="25" t="n">
        <f aca="false">F1858</f>
        <v>16494105.5031176</v>
      </c>
      <c r="N1858" s="49" t="n">
        <f aca="false">$C$1823</f>
        <v>0.00792035016710324</v>
      </c>
      <c r="O1858" s="25" t="n">
        <f aca="false">IF(AND(B1858&gt;=DATE(2026,1,1),B1858&lt;=Resumen!$C$5),1,0)</f>
        <v>0</v>
      </c>
      <c r="P1858" s="25" t="n">
        <f aca="false">IF(AND(B1858&gt;Resumen!$C$5,B1858&lt;=DATE(2027,7,31)),1,0)</f>
        <v>0</v>
      </c>
    </row>
    <row r="1859" customFormat="false" ht="15" hidden="false" customHeight="false" outlineLevel="0" collapsed="false">
      <c r="A1859" s="22" t="n">
        <v>31</v>
      </c>
      <c r="B1859" s="23" t="n">
        <v>46748</v>
      </c>
      <c r="C1859" s="28" t="n">
        <v>593514912.852994</v>
      </c>
      <c r="D1859" s="28" t="n">
        <v>4700845.93919347</v>
      </c>
      <c r="E1859" s="28" t="n">
        <v>11793259.5639241</v>
      </c>
      <c r="F1859" s="28" t="n">
        <v>16494105.5031176</v>
      </c>
      <c r="G1859" s="28" t="n">
        <v>581721653.289069</v>
      </c>
      <c r="H1859" s="25" t="n">
        <f aca="false">J1858</f>
        <v>593514912.852994</v>
      </c>
      <c r="I1859" s="25" t="n">
        <f aca="false">H1859*N1859</f>
        <v>4700845.93919347</v>
      </c>
      <c r="J1859" s="25" t="n">
        <f aca="false">H1859+I1859-F1859</f>
        <v>581721653.289069</v>
      </c>
      <c r="K1859" s="25" t="n">
        <f aca="false">D1859-I1859</f>
        <v>0</v>
      </c>
      <c r="L1859" s="25" t="n">
        <f aca="false">G1859-J1859</f>
        <v>0</v>
      </c>
      <c r="M1859" s="25" t="n">
        <f aca="false">F1859</f>
        <v>16494105.5031176</v>
      </c>
      <c r="N1859" s="49" t="n">
        <f aca="false">$C$1823</f>
        <v>0.00792035016710324</v>
      </c>
      <c r="O1859" s="25" t="n">
        <f aca="false">IF(AND(B1859&gt;=DATE(2026,1,1),B1859&lt;=Resumen!$C$5),1,0)</f>
        <v>0</v>
      </c>
      <c r="P1859" s="25" t="n">
        <f aca="false">IF(AND(B1859&gt;Resumen!$C$5,B1859&lt;=DATE(2027,7,31)),1,0)</f>
        <v>0</v>
      </c>
    </row>
    <row r="1860" customFormat="false" ht="15" hidden="false" customHeight="false" outlineLevel="0" collapsed="false">
      <c r="A1860" s="22" t="n">
        <v>32</v>
      </c>
      <c r="B1860" s="23" t="n">
        <v>46779</v>
      </c>
      <c r="C1860" s="28" t="n">
        <v>581721653.289069</v>
      </c>
      <c r="D1860" s="28" t="n">
        <v>4607439.19383565</v>
      </c>
      <c r="E1860" s="28" t="n">
        <v>11886666.309282</v>
      </c>
      <c r="F1860" s="28" t="n">
        <v>16494105.5031176</v>
      </c>
      <c r="G1860" s="28" t="n">
        <v>569834986.979788</v>
      </c>
      <c r="H1860" s="25" t="n">
        <f aca="false">J1859</f>
        <v>581721653.289069</v>
      </c>
      <c r="I1860" s="25" t="n">
        <f aca="false">H1860*N1860</f>
        <v>4607439.19383565</v>
      </c>
      <c r="J1860" s="25" t="n">
        <f aca="false">H1860+I1860-F1860</f>
        <v>569834986.979788</v>
      </c>
      <c r="K1860" s="25" t="n">
        <f aca="false">D1860-I1860</f>
        <v>0</v>
      </c>
      <c r="L1860" s="25" t="n">
        <f aca="false">G1860-J1860</f>
        <v>0</v>
      </c>
      <c r="M1860" s="25" t="n">
        <f aca="false">F1860</f>
        <v>16494105.5031176</v>
      </c>
      <c r="N1860" s="49" t="n">
        <f aca="false">$C$1823</f>
        <v>0.00792035016710324</v>
      </c>
      <c r="O1860" s="25" t="n">
        <f aca="false">IF(AND(B1860&gt;=DATE(2026,1,1),B1860&lt;=Resumen!$C$5),1,0)</f>
        <v>0</v>
      </c>
      <c r="P1860" s="25" t="n">
        <f aca="false">IF(AND(B1860&gt;Resumen!$C$5,B1860&lt;=DATE(2027,7,31)),1,0)</f>
        <v>0</v>
      </c>
    </row>
    <row r="1861" customFormat="false" ht="15" hidden="false" customHeight="false" outlineLevel="0" collapsed="false">
      <c r="A1861" s="22" t="n">
        <v>33</v>
      </c>
      <c r="B1861" s="23" t="n">
        <v>46810</v>
      </c>
      <c r="C1861" s="28" t="n">
        <v>569834986.979788</v>
      </c>
      <c r="D1861" s="28" t="n">
        <v>4513292.63434663</v>
      </c>
      <c r="E1861" s="28" t="n">
        <v>11980812.868771</v>
      </c>
      <c r="F1861" s="28" t="n">
        <v>16494105.5031176</v>
      </c>
      <c r="G1861" s="28" t="n">
        <v>557854174.111017</v>
      </c>
      <c r="H1861" s="25" t="n">
        <f aca="false">J1860</f>
        <v>569834986.979788</v>
      </c>
      <c r="I1861" s="25" t="n">
        <f aca="false">H1861*N1861</f>
        <v>4513292.63434663</v>
      </c>
      <c r="J1861" s="25" t="n">
        <f aca="false">H1861+I1861-F1861</f>
        <v>557854174.111017</v>
      </c>
      <c r="K1861" s="25" t="n">
        <f aca="false">D1861-I1861</f>
        <v>0</v>
      </c>
      <c r="L1861" s="25" t="n">
        <f aca="false">G1861-J1861</f>
        <v>0</v>
      </c>
      <c r="M1861" s="25" t="n">
        <f aca="false">F1861</f>
        <v>16494105.5031176</v>
      </c>
      <c r="N1861" s="49" t="n">
        <f aca="false">$C$1823</f>
        <v>0.00792035016710324</v>
      </c>
      <c r="O1861" s="25" t="n">
        <f aca="false">IF(AND(B1861&gt;=DATE(2026,1,1),B1861&lt;=Resumen!$C$5),1,0)</f>
        <v>0</v>
      </c>
      <c r="P1861" s="25" t="n">
        <f aca="false">IF(AND(B1861&gt;Resumen!$C$5,B1861&lt;=DATE(2027,7,31)),1,0)</f>
        <v>0</v>
      </c>
    </row>
    <row r="1862" customFormat="false" ht="15" hidden="false" customHeight="false" outlineLevel="0" collapsed="false">
      <c r="A1862" s="22" t="n">
        <v>34</v>
      </c>
      <c r="B1862" s="23" t="n">
        <v>46839</v>
      </c>
      <c r="C1862" s="28" t="n">
        <v>557854174.111017</v>
      </c>
      <c r="D1862" s="28" t="n">
        <v>4418400.40113943</v>
      </c>
      <c r="E1862" s="28" t="n">
        <v>12075705.1019782</v>
      </c>
      <c r="F1862" s="28" t="n">
        <v>16494105.5031176</v>
      </c>
      <c r="G1862" s="28" t="n">
        <v>545778469.009038</v>
      </c>
      <c r="H1862" s="25" t="n">
        <f aca="false">J1861</f>
        <v>557854174.111017</v>
      </c>
      <c r="I1862" s="25" t="n">
        <f aca="false">H1862*N1862</f>
        <v>4418400.40113943</v>
      </c>
      <c r="J1862" s="25" t="n">
        <f aca="false">H1862+I1862-F1862</f>
        <v>545778469.009038</v>
      </c>
      <c r="K1862" s="25" t="n">
        <f aca="false">D1862-I1862</f>
        <v>0</v>
      </c>
      <c r="L1862" s="25" t="n">
        <f aca="false">G1862-J1862</f>
        <v>0</v>
      </c>
      <c r="M1862" s="25" t="n">
        <f aca="false">F1862</f>
        <v>16494105.5031176</v>
      </c>
      <c r="N1862" s="49" t="n">
        <f aca="false">$C$1823</f>
        <v>0.00792035016710324</v>
      </c>
      <c r="O1862" s="25" t="n">
        <f aca="false">IF(AND(B1862&gt;=DATE(2026,1,1),B1862&lt;=Resumen!$C$5),1,0)</f>
        <v>0</v>
      </c>
      <c r="P1862" s="25" t="n">
        <f aca="false">IF(AND(B1862&gt;Resumen!$C$5,B1862&lt;=DATE(2027,7,31)),1,0)</f>
        <v>0</v>
      </c>
    </row>
    <row r="1863" customFormat="false" ht="15" hidden="false" customHeight="false" outlineLevel="0" collapsed="false">
      <c r="A1863" s="22" t="n">
        <v>35</v>
      </c>
      <c r="B1863" s="23" t="n">
        <v>46870</v>
      </c>
      <c r="C1863" s="28" t="n">
        <v>545778469.009038</v>
      </c>
      <c r="D1863" s="28" t="n">
        <v>4322756.58821709</v>
      </c>
      <c r="E1863" s="28" t="n">
        <v>12171348.9149004</v>
      </c>
      <c r="F1863" s="28" t="n">
        <v>16494105.5031175</v>
      </c>
      <c r="G1863" s="28" t="n">
        <v>533607120.094138</v>
      </c>
      <c r="H1863" s="25" t="n">
        <f aca="false">J1862</f>
        <v>545778469.009038</v>
      </c>
      <c r="I1863" s="25" t="n">
        <f aca="false">H1863*N1863</f>
        <v>4322756.58821709</v>
      </c>
      <c r="J1863" s="25" t="n">
        <f aca="false">H1863+I1863-F1863</f>
        <v>533607120.094138</v>
      </c>
      <c r="K1863" s="25" t="n">
        <f aca="false">D1863-I1863</f>
        <v>0</v>
      </c>
      <c r="L1863" s="25" t="n">
        <f aca="false">G1863-J1863</f>
        <v>0</v>
      </c>
      <c r="M1863" s="25" t="n">
        <f aca="false">F1863</f>
        <v>16494105.5031175</v>
      </c>
      <c r="N1863" s="49" t="n">
        <f aca="false">$C$1823</f>
        <v>0.00792035016710324</v>
      </c>
      <c r="O1863" s="25" t="n">
        <f aca="false">IF(AND(B1863&gt;=DATE(2026,1,1),B1863&lt;=Resumen!$C$5),1,0)</f>
        <v>0</v>
      </c>
      <c r="P1863" s="25" t="n">
        <f aca="false">IF(AND(B1863&gt;Resumen!$C$5,B1863&lt;=DATE(2027,7,31)),1,0)</f>
        <v>0</v>
      </c>
    </row>
    <row r="1864" customFormat="false" ht="15" hidden="false" customHeight="false" outlineLevel="0" collapsed="false">
      <c r="A1864" s="22" t="n">
        <v>36</v>
      </c>
      <c r="B1864" s="23" t="n">
        <v>46900</v>
      </c>
      <c r="C1864" s="28" t="n">
        <v>533607120.094138</v>
      </c>
      <c r="D1864" s="28" t="n">
        <v>4226355.24280508</v>
      </c>
      <c r="E1864" s="28" t="n">
        <v>12267750.2603124</v>
      </c>
      <c r="F1864" s="28" t="n">
        <v>16494105.5031175</v>
      </c>
      <c r="G1864" s="28" t="n">
        <v>521339369.833826</v>
      </c>
      <c r="H1864" s="25" t="n">
        <f aca="false">J1863</f>
        <v>533607120.094138</v>
      </c>
      <c r="I1864" s="25" t="n">
        <f aca="false">H1864*N1864</f>
        <v>4226355.24280508</v>
      </c>
      <c r="J1864" s="25" t="n">
        <f aca="false">H1864+I1864-F1864</f>
        <v>521339369.833826</v>
      </c>
      <c r="K1864" s="25" t="n">
        <f aca="false">D1864-I1864</f>
        <v>0</v>
      </c>
      <c r="L1864" s="25" t="n">
        <f aca="false">G1864-J1864</f>
        <v>0</v>
      </c>
      <c r="M1864" s="25" t="n">
        <f aca="false">F1864</f>
        <v>16494105.5031175</v>
      </c>
      <c r="N1864" s="49" t="n">
        <f aca="false">$C$1823</f>
        <v>0.00792035016710324</v>
      </c>
      <c r="O1864" s="25" t="n">
        <f aca="false">IF(AND(B1864&gt;=DATE(2026,1,1),B1864&lt;=Resumen!$C$5),1,0)</f>
        <v>0</v>
      </c>
      <c r="P1864" s="25" t="n">
        <f aca="false">IF(AND(B1864&gt;Resumen!$C$5,B1864&lt;=DATE(2027,7,31)),1,0)</f>
        <v>0</v>
      </c>
    </row>
    <row r="1865" customFormat="false" ht="15" hidden="false" customHeight="false" outlineLevel="0" collapsed="false">
      <c r="A1865" s="22" t="n">
        <v>37</v>
      </c>
      <c r="B1865" s="23" t="n">
        <v>46931</v>
      </c>
      <c r="C1865" s="28" t="n">
        <v>521339369.833826</v>
      </c>
      <c r="D1865" s="28" t="n">
        <v>4129190.36498084</v>
      </c>
      <c r="E1865" s="28" t="n">
        <v>12364915.1381367</v>
      </c>
      <c r="F1865" s="28" t="n">
        <v>16494105.5031176</v>
      </c>
      <c r="G1865" s="28" t="n">
        <v>508974454.695689</v>
      </c>
      <c r="H1865" s="25" t="n">
        <f aca="false">J1864</f>
        <v>521339369.833826</v>
      </c>
      <c r="I1865" s="25" t="n">
        <f aca="false">H1865*N1865</f>
        <v>4129190.36498084</v>
      </c>
      <c r="J1865" s="25" t="n">
        <f aca="false">H1865+I1865-F1865</f>
        <v>508974454.695689</v>
      </c>
      <c r="K1865" s="25" t="n">
        <f aca="false">D1865-I1865</f>
        <v>0</v>
      </c>
      <c r="L1865" s="25" t="n">
        <f aca="false">G1865-J1865</f>
        <v>0</v>
      </c>
      <c r="M1865" s="25" t="n">
        <f aca="false">F1865</f>
        <v>16494105.5031176</v>
      </c>
      <c r="N1865" s="49" t="n">
        <f aca="false">$C$1823</f>
        <v>0.00792035016710324</v>
      </c>
      <c r="O1865" s="25" t="n">
        <f aca="false">IF(AND(B1865&gt;=DATE(2026,1,1),B1865&lt;=Resumen!$C$5),1,0)</f>
        <v>0</v>
      </c>
      <c r="P1865" s="25" t="n">
        <f aca="false">IF(AND(B1865&gt;Resumen!$C$5,B1865&lt;=DATE(2027,7,31)),1,0)</f>
        <v>0</v>
      </c>
    </row>
    <row r="1866" customFormat="false" ht="15" hidden="false" customHeight="false" outlineLevel="0" collapsed="false">
      <c r="A1866" s="22" t="n">
        <v>38</v>
      </c>
      <c r="B1866" s="23" t="n">
        <v>46961</v>
      </c>
      <c r="C1866" s="28" t="n">
        <v>508974454.695689</v>
      </c>
      <c r="D1866" s="28" t="n">
        <v>4031255.90730028</v>
      </c>
      <c r="E1866" s="28" t="n">
        <v>12462849.5958173</v>
      </c>
      <c r="F1866" s="28" t="n">
        <v>16494105.5031176</v>
      </c>
      <c r="G1866" s="28" t="n">
        <v>496511605.099872</v>
      </c>
      <c r="H1866" s="25" t="n">
        <f aca="false">J1865</f>
        <v>508974454.695689</v>
      </c>
      <c r="I1866" s="25" t="n">
        <f aca="false">H1866*N1866</f>
        <v>4031255.90730028</v>
      </c>
      <c r="J1866" s="25" t="n">
        <f aca="false">H1866+I1866-F1866</f>
        <v>496511605.099872</v>
      </c>
      <c r="K1866" s="25" t="n">
        <f aca="false">D1866-I1866</f>
        <v>0</v>
      </c>
      <c r="L1866" s="25" t="n">
        <f aca="false">G1866-J1866</f>
        <v>0</v>
      </c>
      <c r="M1866" s="25" t="n">
        <f aca="false">F1866</f>
        <v>16494105.5031176</v>
      </c>
      <c r="N1866" s="49" t="n">
        <f aca="false">$C$1823</f>
        <v>0.00792035016710324</v>
      </c>
      <c r="O1866" s="25" t="n">
        <f aca="false">IF(AND(B1866&gt;=DATE(2026,1,1),B1866&lt;=Resumen!$C$5),1,0)</f>
        <v>0</v>
      </c>
      <c r="P1866" s="25" t="n">
        <f aca="false">IF(AND(B1866&gt;Resumen!$C$5,B1866&lt;=DATE(2027,7,31)),1,0)</f>
        <v>0</v>
      </c>
    </row>
    <row r="1867" customFormat="false" ht="15" hidden="false" customHeight="false" outlineLevel="0" collapsed="false">
      <c r="A1867" s="22" t="n">
        <v>39</v>
      </c>
      <c r="B1867" s="23" t="n">
        <v>46992</v>
      </c>
      <c r="C1867" s="28" t="n">
        <v>496511605.099872</v>
      </c>
      <c r="D1867" s="28" t="n">
        <v>3932545.77442147</v>
      </c>
      <c r="E1867" s="28" t="n">
        <v>12561559.7286961</v>
      </c>
      <c r="F1867" s="28" t="n">
        <v>16494105.5031176</v>
      </c>
      <c r="G1867" s="28" t="n">
        <v>483950045.371175</v>
      </c>
      <c r="H1867" s="25" t="n">
        <f aca="false">J1866</f>
        <v>496511605.099872</v>
      </c>
      <c r="I1867" s="25" t="n">
        <f aca="false">H1867*N1867</f>
        <v>3932545.77442147</v>
      </c>
      <c r="J1867" s="25" t="n">
        <f aca="false">H1867+I1867-F1867</f>
        <v>483950045.371175</v>
      </c>
      <c r="K1867" s="25" t="n">
        <f aca="false">D1867-I1867</f>
        <v>0</v>
      </c>
      <c r="L1867" s="25" t="n">
        <f aca="false">G1867-J1867</f>
        <v>0</v>
      </c>
      <c r="M1867" s="25" t="n">
        <f aca="false">F1867</f>
        <v>16494105.5031176</v>
      </c>
      <c r="N1867" s="49" t="n">
        <f aca="false">$C$1823</f>
        <v>0.00792035016710324</v>
      </c>
      <c r="O1867" s="25" t="n">
        <f aca="false">IF(AND(B1867&gt;=DATE(2026,1,1),B1867&lt;=Resumen!$C$5),1,0)</f>
        <v>0</v>
      </c>
      <c r="P1867" s="25" t="n">
        <f aca="false">IF(AND(B1867&gt;Resumen!$C$5,B1867&lt;=DATE(2027,7,31)),1,0)</f>
        <v>0</v>
      </c>
    </row>
    <row r="1868" customFormat="false" ht="15" hidden="false" customHeight="false" outlineLevel="0" collapsed="false">
      <c r="A1868" s="22" t="n">
        <v>40</v>
      </c>
      <c r="B1868" s="23" t="n">
        <v>47023</v>
      </c>
      <c r="C1868" s="28" t="n">
        <v>483950045.371175</v>
      </c>
      <c r="D1868" s="28" t="n">
        <v>3833053.82272521</v>
      </c>
      <c r="E1868" s="28" t="n">
        <v>12661051.6803923</v>
      </c>
      <c r="F1868" s="28" t="n">
        <v>16494105.5031175</v>
      </c>
      <c r="G1868" s="28" t="n">
        <v>471288993.690783</v>
      </c>
      <c r="H1868" s="25" t="n">
        <f aca="false">J1867</f>
        <v>483950045.371175</v>
      </c>
      <c r="I1868" s="25" t="n">
        <f aca="false">H1868*N1868</f>
        <v>3833053.82272521</v>
      </c>
      <c r="J1868" s="25" t="n">
        <f aca="false">H1868+I1868-F1868</f>
        <v>471288993.690783</v>
      </c>
      <c r="K1868" s="25" t="n">
        <f aca="false">D1868-I1868</f>
        <v>0</v>
      </c>
      <c r="L1868" s="25" t="n">
        <f aca="false">G1868-J1868</f>
        <v>0</v>
      </c>
      <c r="M1868" s="25" t="n">
        <f aca="false">F1868</f>
        <v>16494105.5031175</v>
      </c>
      <c r="N1868" s="49" t="n">
        <f aca="false">$C$1823</f>
        <v>0.00792035016710324</v>
      </c>
      <c r="O1868" s="25" t="n">
        <f aca="false">IF(AND(B1868&gt;=DATE(2026,1,1),B1868&lt;=Resumen!$C$5),1,0)</f>
        <v>0</v>
      </c>
      <c r="P1868" s="25" t="n">
        <f aca="false">IF(AND(B1868&gt;Resumen!$C$5,B1868&lt;=DATE(2027,7,31)),1,0)</f>
        <v>0</v>
      </c>
    </row>
    <row r="1869" customFormat="false" ht="15" hidden="false" customHeight="false" outlineLevel="0" collapsed="false">
      <c r="A1869" s="22" t="n">
        <v>41</v>
      </c>
      <c r="B1869" s="23" t="n">
        <v>47053</v>
      </c>
      <c r="C1869" s="28" t="n">
        <v>471288993.690783</v>
      </c>
      <c r="D1869" s="28" t="n">
        <v>3732773.85993271</v>
      </c>
      <c r="E1869" s="28" t="n">
        <v>12761331.6431848</v>
      </c>
      <c r="F1869" s="28" t="n">
        <v>16494105.5031176</v>
      </c>
      <c r="G1869" s="28" t="n">
        <v>458527662.047598</v>
      </c>
      <c r="H1869" s="25" t="n">
        <f aca="false">J1868</f>
        <v>471288993.690783</v>
      </c>
      <c r="I1869" s="25" t="n">
        <f aca="false">H1869*N1869</f>
        <v>3732773.85993271</v>
      </c>
      <c r="J1869" s="25" t="n">
        <f aca="false">H1869+I1869-F1869</f>
        <v>458527662.047598</v>
      </c>
      <c r="K1869" s="25" t="n">
        <f aca="false">D1869-I1869</f>
        <v>0</v>
      </c>
      <c r="L1869" s="25" t="n">
        <f aca="false">G1869-J1869</f>
        <v>0</v>
      </c>
      <c r="M1869" s="25" t="n">
        <f aca="false">F1869</f>
        <v>16494105.5031176</v>
      </c>
      <c r="N1869" s="49" t="n">
        <f aca="false">$C$1823</f>
        <v>0.00792035016710324</v>
      </c>
      <c r="O1869" s="25" t="n">
        <f aca="false">IF(AND(B1869&gt;=DATE(2026,1,1),B1869&lt;=Resumen!$C$5),1,0)</f>
        <v>0</v>
      </c>
      <c r="P1869" s="25" t="n">
        <f aca="false">IF(AND(B1869&gt;Resumen!$C$5,B1869&lt;=DATE(2027,7,31)),1,0)</f>
        <v>0</v>
      </c>
    </row>
    <row r="1870" customFormat="false" ht="15" hidden="false" customHeight="false" outlineLevel="0" collapsed="false">
      <c r="A1870" s="22" t="n">
        <v>42</v>
      </c>
      <c r="B1870" s="23" t="n">
        <v>47084</v>
      </c>
      <c r="C1870" s="28" t="n">
        <v>458527662.047598</v>
      </c>
      <c r="D1870" s="28" t="n">
        <v>3631699.64472015</v>
      </c>
      <c r="E1870" s="28" t="n">
        <v>12862405.8583974</v>
      </c>
      <c r="F1870" s="28" t="n">
        <v>16494105.5031176</v>
      </c>
      <c r="G1870" s="28" t="n">
        <v>445665256.189201</v>
      </c>
      <c r="H1870" s="25" t="n">
        <f aca="false">J1869</f>
        <v>458527662.047598</v>
      </c>
      <c r="I1870" s="25" t="n">
        <f aca="false">H1870*N1870</f>
        <v>3631699.64472015</v>
      </c>
      <c r="J1870" s="25" t="n">
        <f aca="false">H1870+I1870-F1870</f>
        <v>445665256.189201</v>
      </c>
      <c r="K1870" s="25" t="n">
        <f aca="false">D1870-I1870</f>
        <v>0</v>
      </c>
      <c r="L1870" s="25" t="n">
        <f aca="false">G1870-J1870</f>
        <v>0</v>
      </c>
      <c r="M1870" s="25" t="n">
        <f aca="false">F1870</f>
        <v>16494105.5031176</v>
      </c>
      <c r="N1870" s="49" t="n">
        <f aca="false">$C$1823</f>
        <v>0.00792035016710324</v>
      </c>
      <c r="O1870" s="25" t="n">
        <f aca="false">IF(AND(B1870&gt;=DATE(2026,1,1),B1870&lt;=Resumen!$C$5),1,0)</f>
        <v>0</v>
      </c>
      <c r="P1870" s="25" t="n">
        <f aca="false">IF(AND(B1870&gt;Resumen!$C$5,B1870&lt;=DATE(2027,7,31)),1,0)</f>
        <v>0</v>
      </c>
    </row>
    <row r="1871" customFormat="false" ht="15" hidden="false" customHeight="false" outlineLevel="0" collapsed="false">
      <c r="A1871" s="22" t="n">
        <v>43</v>
      </c>
      <c r="B1871" s="23" t="n">
        <v>47114</v>
      </c>
      <c r="C1871" s="28" t="n">
        <v>445665256.189201</v>
      </c>
      <c r="D1871" s="28" t="n">
        <v>3529824.88633025</v>
      </c>
      <c r="E1871" s="28" t="n">
        <v>12964280.6167873</v>
      </c>
      <c r="F1871" s="28" t="n">
        <v>16494105.5031176</v>
      </c>
      <c r="G1871" s="28" t="n">
        <v>432700975.572413</v>
      </c>
      <c r="H1871" s="25" t="n">
        <f aca="false">J1870</f>
        <v>445665256.189201</v>
      </c>
      <c r="I1871" s="25" t="n">
        <f aca="false">H1871*N1871</f>
        <v>3529824.88633025</v>
      </c>
      <c r="J1871" s="25" t="n">
        <f aca="false">H1871+I1871-F1871</f>
        <v>432700975.572414</v>
      </c>
      <c r="K1871" s="25" t="n">
        <f aca="false">D1871-I1871</f>
        <v>0</v>
      </c>
      <c r="L1871" s="25" t="n">
        <f aca="false">G1871-J1871</f>
        <v>0</v>
      </c>
      <c r="M1871" s="25" t="n">
        <f aca="false">F1871</f>
        <v>16494105.5031176</v>
      </c>
      <c r="N1871" s="49" t="n">
        <f aca="false">$C$1823</f>
        <v>0.00792035016710324</v>
      </c>
      <c r="O1871" s="25" t="n">
        <f aca="false">IF(AND(B1871&gt;=DATE(2026,1,1),B1871&lt;=Resumen!$C$5),1,0)</f>
        <v>0</v>
      </c>
      <c r="P1871" s="25" t="n">
        <f aca="false">IF(AND(B1871&gt;Resumen!$C$5,B1871&lt;=DATE(2027,7,31)),1,0)</f>
        <v>0</v>
      </c>
    </row>
    <row r="1872" customFormat="false" ht="15" hidden="false" customHeight="false" outlineLevel="0" collapsed="false">
      <c r="A1872" s="22" t="n">
        <v>44</v>
      </c>
      <c r="B1872" s="23" t="n">
        <v>47145</v>
      </c>
      <c r="C1872" s="28" t="n">
        <v>432700975.572413</v>
      </c>
      <c r="D1872" s="28" t="n">
        <v>3427143.2441807</v>
      </c>
      <c r="E1872" s="28" t="n">
        <v>13066962.2589369</v>
      </c>
      <c r="F1872" s="28" t="n">
        <v>16494105.5031176</v>
      </c>
      <c r="G1872" s="28" t="n">
        <v>419634013.313477</v>
      </c>
      <c r="H1872" s="25" t="n">
        <f aca="false">J1871</f>
        <v>432700975.572414</v>
      </c>
      <c r="I1872" s="25" t="n">
        <f aca="false">H1872*N1872</f>
        <v>3427143.2441807</v>
      </c>
      <c r="J1872" s="25" t="n">
        <f aca="false">H1872+I1872-F1872</f>
        <v>419634013.313477</v>
      </c>
      <c r="K1872" s="25" t="n">
        <f aca="false">D1872-I1872</f>
        <v>0</v>
      </c>
      <c r="L1872" s="25" t="n">
        <f aca="false">G1872-J1872</f>
        <v>0</v>
      </c>
      <c r="M1872" s="25" t="n">
        <f aca="false">F1872</f>
        <v>16494105.5031176</v>
      </c>
      <c r="N1872" s="49" t="n">
        <f aca="false">$C$1823</f>
        <v>0.00792035016710324</v>
      </c>
      <c r="O1872" s="25" t="n">
        <f aca="false">IF(AND(B1872&gt;=DATE(2026,1,1),B1872&lt;=Resumen!$C$5),1,0)</f>
        <v>0</v>
      </c>
      <c r="P1872" s="25" t="n">
        <f aca="false">IF(AND(B1872&gt;Resumen!$C$5,B1872&lt;=DATE(2027,7,31)),1,0)</f>
        <v>0</v>
      </c>
    </row>
    <row r="1873" customFormat="false" ht="15" hidden="false" customHeight="false" outlineLevel="0" collapsed="false">
      <c r="A1873" s="22" t="n">
        <v>45</v>
      </c>
      <c r="B1873" s="23" t="n">
        <v>47176</v>
      </c>
      <c r="C1873" s="28" t="n">
        <v>419634013.313477</v>
      </c>
      <c r="D1873" s="28" t="n">
        <v>3323648.3274696</v>
      </c>
      <c r="E1873" s="28" t="n">
        <v>13170457.175648</v>
      </c>
      <c r="F1873" s="28" t="n">
        <v>16494105.5031176</v>
      </c>
      <c r="G1873" s="28" t="n">
        <v>406463556.137829</v>
      </c>
      <c r="H1873" s="25" t="n">
        <f aca="false">J1872</f>
        <v>419634013.313477</v>
      </c>
      <c r="I1873" s="25" t="n">
        <f aca="false">H1873*N1873</f>
        <v>3323648.3274696</v>
      </c>
      <c r="J1873" s="25" t="n">
        <f aca="false">H1873+I1873-F1873</f>
        <v>406463556.137829</v>
      </c>
      <c r="K1873" s="25" t="n">
        <f aca="false">D1873-I1873</f>
        <v>0</v>
      </c>
      <c r="L1873" s="25" t="n">
        <f aca="false">G1873-J1873</f>
        <v>0</v>
      </c>
      <c r="M1873" s="25" t="n">
        <f aca="false">F1873</f>
        <v>16494105.5031176</v>
      </c>
      <c r="N1873" s="49" t="n">
        <f aca="false">$C$1823</f>
        <v>0.00792035016710324</v>
      </c>
      <c r="O1873" s="25" t="n">
        <f aca="false">IF(AND(B1873&gt;=DATE(2026,1,1),B1873&lt;=Resumen!$C$5),1,0)</f>
        <v>0</v>
      </c>
      <c r="P1873" s="25" t="n">
        <f aca="false">IF(AND(B1873&gt;Resumen!$C$5,B1873&lt;=DATE(2027,7,31)),1,0)</f>
        <v>0</v>
      </c>
    </row>
    <row r="1874" customFormat="false" ht="15" hidden="false" customHeight="false" outlineLevel="0" collapsed="false">
      <c r="A1874" s="22" t="n">
        <v>46</v>
      </c>
      <c r="B1874" s="23" t="n">
        <v>47204</v>
      </c>
      <c r="C1874" s="28" t="n">
        <v>406463556.137829</v>
      </c>
      <c r="D1874" s="28" t="n">
        <v>3219333.69477763</v>
      </c>
      <c r="E1874" s="28" t="n">
        <v>13274771.80834</v>
      </c>
      <c r="F1874" s="28" t="n">
        <v>16494105.5031176</v>
      </c>
      <c r="G1874" s="28" t="n">
        <v>393188784.329489</v>
      </c>
      <c r="H1874" s="25" t="n">
        <f aca="false">J1873</f>
        <v>406463556.137829</v>
      </c>
      <c r="I1874" s="25" t="n">
        <f aca="false">H1874*N1874</f>
        <v>3219333.69477763</v>
      </c>
      <c r="J1874" s="25" t="n">
        <f aca="false">H1874+I1874-F1874</f>
        <v>393188784.329489</v>
      </c>
      <c r="K1874" s="25" t="n">
        <f aca="false">D1874-I1874</f>
        <v>0</v>
      </c>
      <c r="L1874" s="25" t="n">
        <f aca="false">G1874-J1874</f>
        <v>0</v>
      </c>
      <c r="M1874" s="25" t="n">
        <f aca="false">F1874</f>
        <v>16494105.5031176</v>
      </c>
      <c r="N1874" s="49" t="n">
        <f aca="false">$C$1823</f>
        <v>0.00792035016710324</v>
      </c>
      <c r="O1874" s="25" t="n">
        <f aca="false">IF(AND(B1874&gt;=DATE(2026,1,1),B1874&lt;=Resumen!$C$5),1,0)</f>
        <v>0</v>
      </c>
      <c r="P1874" s="25" t="n">
        <f aca="false">IF(AND(B1874&gt;Resumen!$C$5,B1874&lt;=DATE(2027,7,31)),1,0)</f>
        <v>0</v>
      </c>
    </row>
    <row r="1875" customFormat="false" ht="15" hidden="false" customHeight="false" outlineLevel="0" collapsed="false">
      <c r="A1875" s="22" t="n">
        <v>47</v>
      </c>
      <c r="B1875" s="23" t="n">
        <v>47235</v>
      </c>
      <c r="C1875" s="28" t="n">
        <v>393188784.329489</v>
      </c>
      <c r="D1875" s="28" t="n">
        <v>3114192.85366719</v>
      </c>
      <c r="E1875" s="28" t="n">
        <v>13379912.6494504</v>
      </c>
      <c r="F1875" s="28" t="n">
        <v>16494105.5031176</v>
      </c>
      <c r="G1875" s="28" t="n">
        <v>379808871.680038</v>
      </c>
      <c r="H1875" s="25" t="n">
        <f aca="false">J1874</f>
        <v>393188784.329489</v>
      </c>
      <c r="I1875" s="25" t="n">
        <f aca="false">H1875*N1875</f>
        <v>3114192.85366719</v>
      </c>
      <c r="J1875" s="25" t="n">
        <f aca="false">H1875+I1875-F1875</f>
        <v>379808871.680038</v>
      </c>
      <c r="K1875" s="25" t="n">
        <f aca="false">D1875-I1875</f>
        <v>0</v>
      </c>
      <c r="L1875" s="25" t="n">
        <f aca="false">G1875-J1875</f>
        <v>0</v>
      </c>
      <c r="M1875" s="25" t="n">
        <f aca="false">F1875</f>
        <v>16494105.5031176</v>
      </c>
      <c r="N1875" s="49" t="n">
        <f aca="false">$C$1823</f>
        <v>0.00792035016710324</v>
      </c>
      <c r="O1875" s="25" t="n">
        <f aca="false">IF(AND(B1875&gt;=DATE(2026,1,1),B1875&lt;=Resumen!$C$5),1,0)</f>
        <v>0</v>
      </c>
      <c r="P1875" s="25" t="n">
        <f aca="false">IF(AND(B1875&gt;Resumen!$C$5,B1875&lt;=DATE(2027,7,31)),1,0)</f>
        <v>0</v>
      </c>
    </row>
    <row r="1876" customFormat="false" ht="15" hidden="false" customHeight="false" outlineLevel="0" collapsed="false">
      <c r="A1876" s="22" t="n">
        <v>48</v>
      </c>
      <c r="B1876" s="23" t="n">
        <v>47265</v>
      </c>
      <c r="C1876" s="28" t="n">
        <v>379808871.680038</v>
      </c>
      <c r="D1876" s="28" t="n">
        <v>3008219.26027829</v>
      </c>
      <c r="E1876" s="28" t="n">
        <v>13485886.2428393</v>
      </c>
      <c r="F1876" s="28" t="n">
        <v>16494105.5031176</v>
      </c>
      <c r="G1876" s="28" t="n">
        <v>366322985.437199</v>
      </c>
      <c r="H1876" s="25" t="n">
        <f aca="false">J1875</f>
        <v>379808871.680038</v>
      </c>
      <c r="I1876" s="25" t="n">
        <f aca="false">H1876*N1876</f>
        <v>3008219.26027829</v>
      </c>
      <c r="J1876" s="25" t="n">
        <f aca="false">H1876+I1876-F1876</f>
        <v>366322985.437199</v>
      </c>
      <c r="K1876" s="25" t="n">
        <f aca="false">D1876-I1876</f>
        <v>0</v>
      </c>
      <c r="L1876" s="25" t="n">
        <f aca="false">G1876-J1876</f>
        <v>0</v>
      </c>
      <c r="M1876" s="25" t="n">
        <f aca="false">F1876</f>
        <v>16494105.5031176</v>
      </c>
      <c r="N1876" s="49" t="n">
        <f aca="false">$C$1823</f>
        <v>0.00792035016710324</v>
      </c>
      <c r="O1876" s="25" t="n">
        <f aca="false">IF(AND(B1876&gt;=DATE(2026,1,1),B1876&lt;=Resumen!$C$5),1,0)</f>
        <v>0</v>
      </c>
      <c r="P1876" s="25" t="n">
        <f aca="false">IF(AND(B1876&gt;Resumen!$C$5,B1876&lt;=DATE(2027,7,31)),1,0)</f>
        <v>0</v>
      </c>
    </row>
    <row r="1877" customFormat="false" ht="15" hidden="false" customHeight="false" outlineLevel="0" collapsed="false">
      <c r="A1877" s="22" t="n">
        <v>49</v>
      </c>
      <c r="B1877" s="23" t="n">
        <v>47296</v>
      </c>
      <c r="C1877" s="28" t="n">
        <v>366322985.437199</v>
      </c>
      <c r="D1877" s="28" t="n">
        <v>2901406.31892128</v>
      </c>
      <c r="E1877" s="28" t="n">
        <v>13592699.1841963</v>
      </c>
      <c r="F1877" s="28" t="n">
        <v>16494105.5031176</v>
      </c>
      <c r="G1877" s="28" t="n">
        <v>352730286.253003</v>
      </c>
      <c r="H1877" s="25" t="n">
        <f aca="false">J1876</f>
        <v>366322985.437199</v>
      </c>
      <c r="I1877" s="25" t="n">
        <f aca="false">H1877*N1877</f>
        <v>2901406.31892128</v>
      </c>
      <c r="J1877" s="25" t="n">
        <f aca="false">H1877+I1877-F1877</f>
        <v>352730286.253003</v>
      </c>
      <c r="K1877" s="25" t="n">
        <f aca="false">D1877-I1877</f>
        <v>0</v>
      </c>
      <c r="L1877" s="25" t="n">
        <f aca="false">G1877-J1877</f>
        <v>0</v>
      </c>
      <c r="M1877" s="25" t="n">
        <f aca="false">F1877</f>
        <v>16494105.5031176</v>
      </c>
      <c r="N1877" s="49" t="n">
        <f aca="false">$C$1823</f>
        <v>0.00792035016710324</v>
      </c>
      <c r="O1877" s="25" t="n">
        <f aca="false">IF(AND(B1877&gt;=DATE(2026,1,1),B1877&lt;=Resumen!$C$5),1,0)</f>
        <v>0</v>
      </c>
      <c r="P1877" s="25" t="n">
        <f aca="false">IF(AND(B1877&gt;Resumen!$C$5,B1877&lt;=DATE(2027,7,31)),1,0)</f>
        <v>0</v>
      </c>
    </row>
    <row r="1878" customFormat="false" ht="15" hidden="false" customHeight="false" outlineLevel="0" collapsed="false">
      <c r="A1878" s="22" t="n">
        <v>50</v>
      </c>
      <c r="B1878" s="23" t="n">
        <v>47326</v>
      </c>
      <c r="C1878" s="28" t="n">
        <v>352730286.253003</v>
      </c>
      <c r="D1878" s="28" t="n">
        <v>2793747.38166634</v>
      </c>
      <c r="E1878" s="28" t="n">
        <v>13700358.1214512</v>
      </c>
      <c r="F1878" s="28" t="n">
        <v>16494105.5031175</v>
      </c>
      <c r="G1878" s="28" t="n">
        <v>339029928.131552</v>
      </c>
      <c r="H1878" s="25" t="n">
        <f aca="false">J1877</f>
        <v>352730286.253003</v>
      </c>
      <c r="I1878" s="25" t="n">
        <f aca="false">H1878*N1878</f>
        <v>2793747.38166634</v>
      </c>
      <c r="J1878" s="25" t="n">
        <f aca="false">H1878+I1878-F1878</f>
        <v>339029928.131552</v>
      </c>
      <c r="K1878" s="25" t="n">
        <f aca="false">D1878-I1878</f>
        <v>0</v>
      </c>
      <c r="L1878" s="25" t="n">
        <f aca="false">G1878-J1878</f>
        <v>0</v>
      </c>
      <c r="M1878" s="25" t="n">
        <f aca="false">F1878</f>
        <v>16494105.5031175</v>
      </c>
      <c r="N1878" s="49" t="n">
        <f aca="false">$C$1823</f>
        <v>0.00792035016710324</v>
      </c>
      <c r="O1878" s="25" t="n">
        <f aca="false">IF(AND(B1878&gt;=DATE(2026,1,1),B1878&lt;=Resumen!$C$5),1,0)</f>
        <v>0</v>
      </c>
      <c r="P1878" s="25" t="n">
        <f aca="false">IF(AND(B1878&gt;Resumen!$C$5,B1878&lt;=DATE(2027,7,31)),1,0)</f>
        <v>0</v>
      </c>
    </row>
    <row r="1879" customFormat="false" ht="15" hidden="false" customHeight="false" outlineLevel="0" collapsed="false">
      <c r="A1879" s="22" t="n">
        <v>51</v>
      </c>
      <c r="B1879" s="23" t="n">
        <v>47357</v>
      </c>
      <c r="C1879" s="28" t="n">
        <v>339029928.131552</v>
      </c>
      <c r="D1879" s="28" t="n">
        <v>2685235.74792973</v>
      </c>
      <c r="E1879" s="28" t="n">
        <v>13808869.7551878</v>
      </c>
      <c r="F1879" s="28" t="n">
        <v>16494105.5031175</v>
      </c>
      <c r="G1879" s="28" t="n">
        <v>325221058.376364</v>
      </c>
      <c r="H1879" s="25" t="n">
        <f aca="false">J1878</f>
        <v>339029928.131552</v>
      </c>
      <c r="I1879" s="25" t="n">
        <f aca="false">H1879*N1879</f>
        <v>2685235.74792973</v>
      </c>
      <c r="J1879" s="25" t="n">
        <f aca="false">H1879+I1879-F1879</f>
        <v>325221058.376364</v>
      </c>
      <c r="K1879" s="25" t="n">
        <f aca="false">D1879-I1879</f>
        <v>0</v>
      </c>
      <c r="L1879" s="25" t="n">
        <f aca="false">G1879-J1879</f>
        <v>0</v>
      </c>
      <c r="M1879" s="25" t="n">
        <f aca="false">F1879</f>
        <v>16494105.5031175</v>
      </c>
      <c r="N1879" s="49" t="n">
        <f aca="false">$C$1823</f>
        <v>0.00792035016710324</v>
      </c>
      <c r="O1879" s="25" t="n">
        <f aca="false">IF(AND(B1879&gt;=DATE(2026,1,1),B1879&lt;=Resumen!$C$5),1,0)</f>
        <v>0</v>
      </c>
      <c r="P1879" s="25" t="n">
        <f aca="false">IF(AND(B1879&gt;Resumen!$C$5,B1879&lt;=DATE(2027,7,31)),1,0)</f>
        <v>0</v>
      </c>
    </row>
    <row r="1880" customFormat="false" ht="15" hidden="false" customHeight="false" outlineLevel="0" collapsed="false">
      <c r="A1880" s="22" t="n">
        <v>52</v>
      </c>
      <c r="B1880" s="23" t="n">
        <v>47388</v>
      </c>
      <c r="C1880" s="28" t="n">
        <v>325221058.376364</v>
      </c>
      <c r="D1880" s="28" t="n">
        <v>2575864.66405673</v>
      </c>
      <c r="E1880" s="28" t="n">
        <v>13918240.8390608</v>
      </c>
      <c r="F1880" s="28" t="n">
        <v>16494105.5031176</v>
      </c>
      <c r="G1880" s="28" t="n">
        <v>311302817.537303</v>
      </c>
      <c r="H1880" s="25" t="n">
        <f aca="false">J1879</f>
        <v>325221058.376364</v>
      </c>
      <c r="I1880" s="25" t="n">
        <f aca="false">H1880*N1880</f>
        <v>2575864.66405673</v>
      </c>
      <c r="J1880" s="25" t="n">
        <f aca="false">H1880+I1880-F1880</f>
        <v>311302817.537303</v>
      </c>
      <c r="K1880" s="25" t="n">
        <f aca="false">D1880-I1880</f>
        <v>0</v>
      </c>
      <c r="L1880" s="25" t="n">
        <f aca="false">G1880-J1880</f>
        <v>0</v>
      </c>
      <c r="M1880" s="25" t="n">
        <f aca="false">F1880</f>
        <v>16494105.5031176</v>
      </c>
      <c r="N1880" s="49" t="n">
        <f aca="false">$C$1823</f>
        <v>0.00792035016710324</v>
      </c>
      <c r="O1880" s="25" t="n">
        <f aca="false">IF(AND(B1880&gt;=DATE(2026,1,1),B1880&lt;=Resumen!$C$5),1,0)</f>
        <v>0</v>
      </c>
      <c r="P1880" s="25" t="n">
        <f aca="false">IF(AND(B1880&gt;Resumen!$C$5,B1880&lt;=DATE(2027,7,31)),1,0)</f>
        <v>0</v>
      </c>
    </row>
    <row r="1881" customFormat="false" ht="15" hidden="false" customHeight="false" outlineLevel="0" collapsed="false">
      <c r="A1881" s="22" t="n">
        <v>53</v>
      </c>
      <c r="B1881" s="23" t="n">
        <v>47418</v>
      </c>
      <c r="C1881" s="28" t="n">
        <v>311302817.537303</v>
      </c>
      <c r="D1881" s="28" t="n">
        <v>2465627.32290129</v>
      </c>
      <c r="E1881" s="28" t="n">
        <v>14028478.1802163</v>
      </c>
      <c r="F1881" s="28" t="n">
        <v>16494105.5031175</v>
      </c>
      <c r="G1881" s="28" t="n">
        <v>297274339.357087</v>
      </c>
      <c r="H1881" s="25" t="n">
        <f aca="false">J1880</f>
        <v>311302817.537303</v>
      </c>
      <c r="I1881" s="25" t="n">
        <f aca="false">H1881*N1881</f>
        <v>2465627.32290129</v>
      </c>
      <c r="J1881" s="25" t="n">
        <f aca="false">H1881+I1881-F1881</f>
        <v>297274339.357087</v>
      </c>
      <c r="K1881" s="25" t="n">
        <f aca="false">D1881-I1881</f>
        <v>0</v>
      </c>
      <c r="L1881" s="25" t="n">
        <f aca="false">G1881-J1881</f>
        <v>0</v>
      </c>
      <c r="M1881" s="25" t="n">
        <f aca="false">F1881</f>
        <v>16494105.5031175</v>
      </c>
      <c r="N1881" s="49" t="n">
        <f aca="false">$C$1823</f>
        <v>0.00792035016710324</v>
      </c>
      <c r="O1881" s="25" t="n">
        <f aca="false">IF(AND(B1881&gt;=DATE(2026,1,1),B1881&lt;=Resumen!$C$5),1,0)</f>
        <v>0</v>
      </c>
      <c r="P1881" s="25" t="n">
        <f aca="false">IF(AND(B1881&gt;Resumen!$C$5,B1881&lt;=DATE(2027,7,31)),1,0)</f>
        <v>0</v>
      </c>
    </row>
    <row r="1882" customFormat="false" ht="15" hidden="false" customHeight="false" outlineLevel="0" collapsed="false">
      <c r="A1882" s="22" t="n">
        <v>54</v>
      </c>
      <c r="B1882" s="23" t="n">
        <v>47449</v>
      </c>
      <c r="C1882" s="28" t="n">
        <v>297274339.357087</v>
      </c>
      <c r="D1882" s="28" t="n">
        <v>2354516.86340241</v>
      </c>
      <c r="E1882" s="28" t="n">
        <v>14139588.6397151</v>
      </c>
      <c r="F1882" s="28" t="n">
        <v>16494105.5031175</v>
      </c>
      <c r="G1882" s="28" t="n">
        <v>283134750.717372</v>
      </c>
      <c r="H1882" s="25" t="n">
        <f aca="false">J1881</f>
        <v>297274339.357087</v>
      </c>
      <c r="I1882" s="25" t="n">
        <f aca="false">H1882*N1882</f>
        <v>2354516.86340241</v>
      </c>
      <c r="J1882" s="25" t="n">
        <f aca="false">H1882+I1882-F1882</f>
        <v>283134750.717372</v>
      </c>
      <c r="K1882" s="25" t="n">
        <f aca="false">D1882-I1882</f>
        <v>0</v>
      </c>
      <c r="L1882" s="25" t="n">
        <f aca="false">G1882-J1882</f>
        <v>0</v>
      </c>
      <c r="M1882" s="25" t="n">
        <f aca="false">F1882</f>
        <v>16494105.5031175</v>
      </c>
      <c r="N1882" s="49" t="n">
        <f aca="false">$C$1823</f>
        <v>0.00792035016710324</v>
      </c>
      <c r="O1882" s="25" t="n">
        <f aca="false">IF(AND(B1882&gt;=DATE(2026,1,1),B1882&lt;=Resumen!$C$5),1,0)</f>
        <v>0</v>
      </c>
      <c r="P1882" s="25" t="n">
        <f aca="false">IF(AND(B1882&gt;Resumen!$C$5,B1882&lt;=DATE(2027,7,31)),1,0)</f>
        <v>0</v>
      </c>
    </row>
    <row r="1883" customFormat="false" ht="15" hidden="false" customHeight="false" outlineLevel="0" collapsed="false">
      <c r="A1883" s="22" t="n">
        <v>55</v>
      </c>
      <c r="B1883" s="23" t="n">
        <v>47479</v>
      </c>
      <c r="C1883" s="28" t="n">
        <v>283134750.717372</v>
      </c>
      <c r="D1883" s="28" t="n">
        <v>2242526.37015707</v>
      </c>
      <c r="E1883" s="28" t="n">
        <v>14251579.1329605</v>
      </c>
      <c r="F1883" s="28" t="n">
        <v>16494105.5031176</v>
      </c>
      <c r="G1883" s="28" t="n">
        <v>268883171.584411</v>
      </c>
      <c r="H1883" s="25" t="n">
        <f aca="false">J1882</f>
        <v>283134750.717372</v>
      </c>
      <c r="I1883" s="25" t="n">
        <f aca="false">H1883*N1883</f>
        <v>2242526.37015707</v>
      </c>
      <c r="J1883" s="25" t="n">
        <f aca="false">H1883+I1883-F1883</f>
        <v>268883171.584411</v>
      </c>
      <c r="K1883" s="25" t="n">
        <f aca="false">D1883-I1883</f>
        <v>0</v>
      </c>
      <c r="L1883" s="25" t="n">
        <f aca="false">G1883-J1883</f>
        <v>0</v>
      </c>
      <c r="M1883" s="25" t="n">
        <f aca="false">F1883</f>
        <v>16494105.5031176</v>
      </c>
      <c r="N1883" s="49" t="n">
        <f aca="false">$C$1823</f>
        <v>0.00792035016710324</v>
      </c>
      <c r="O1883" s="25" t="n">
        <f aca="false">IF(AND(B1883&gt;=DATE(2026,1,1),B1883&lt;=Resumen!$C$5),1,0)</f>
        <v>0</v>
      </c>
      <c r="P1883" s="25" t="n">
        <f aca="false">IF(AND(B1883&gt;Resumen!$C$5,B1883&lt;=DATE(2027,7,31)),1,0)</f>
        <v>0</v>
      </c>
    </row>
    <row r="1884" customFormat="false" ht="15" hidden="false" customHeight="false" outlineLevel="0" collapsed="false">
      <c r="A1884" s="22" t="n">
        <v>56</v>
      </c>
      <c r="B1884" s="23" t="n">
        <v>47510</v>
      </c>
      <c r="C1884" s="28" t="n">
        <v>268883171.584411</v>
      </c>
      <c r="D1884" s="28" t="n">
        <v>2129648.87298984</v>
      </c>
      <c r="E1884" s="28" t="n">
        <v>14364456.6301277</v>
      </c>
      <c r="F1884" s="28" t="n">
        <v>16494105.5031176</v>
      </c>
      <c r="G1884" s="28" t="n">
        <v>254518714.954283</v>
      </c>
      <c r="H1884" s="25" t="n">
        <f aca="false">J1883</f>
        <v>268883171.584411</v>
      </c>
      <c r="I1884" s="25" t="n">
        <f aca="false">H1884*N1884</f>
        <v>2129648.87298984</v>
      </c>
      <c r="J1884" s="25" t="n">
        <f aca="false">H1884+I1884-F1884</f>
        <v>254518714.954283</v>
      </c>
      <c r="K1884" s="25" t="n">
        <f aca="false">D1884-I1884</f>
        <v>0</v>
      </c>
      <c r="L1884" s="25" t="n">
        <f aca="false">G1884-J1884</f>
        <v>0</v>
      </c>
      <c r="M1884" s="25" t="n">
        <f aca="false">F1884</f>
        <v>16494105.5031176</v>
      </c>
      <c r="N1884" s="49" t="n">
        <f aca="false">$C$1823</f>
        <v>0.00792035016710324</v>
      </c>
      <c r="O1884" s="25" t="n">
        <f aca="false">IF(AND(B1884&gt;=DATE(2026,1,1),B1884&lt;=Resumen!$C$5),1,0)</f>
        <v>0</v>
      </c>
      <c r="P1884" s="25" t="n">
        <f aca="false">IF(AND(B1884&gt;Resumen!$C$5,B1884&lt;=DATE(2027,7,31)),1,0)</f>
        <v>0</v>
      </c>
    </row>
    <row r="1885" customFormat="false" ht="15" hidden="false" customHeight="false" outlineLevel="0" collapsed="false">
      <c r="A1885" s="22" t="n">
        <v>57</v>
      </c>
      <c r="B1885" s="23" t="n">
        <v>47541</v>
      </c>
      <c r="C1885" s="28" t="n">
        <v>254518714.954283</v>
      </c>
      <c r="D1885" s="28" t="n">
        <v>2015877.34651906</v>
      </c>
      <c r="E1885" s="28" t="n">
        <v>14478228.1565985</v>
      </c>
      <c r="F1885" s="28" t="n">
        <v>16494105.5031176</v>
      </c>
      <c r="G1885" s="28" t="n">
        <v>240040486.797685</v>
      </c>
      <c r="H1885" s="25" t="n">
        <f aca="false">J1884</f>
        <v>254518714.954283</v>
      </c>
      <c r="I1885" s="25" t="n">
        <f aca="false">H1885*N1885</f>
        <v>2015877.34651906</v>
      </c>
      <c r="J1885" s="25" t="n">
        <f aca="false">H1885+I1885-F1885</f>
        <v>240040486.797685</v>
      </c>
      <c r="K1885" s="25" t="n">
        <f aca="false">D1885-I1885</f>
        <v>0</v>
      </c>
      <c r="L1885" s="25" t="n">
        <f aca="false">G1885-J1885</f>
        <v>0</v>
      </c>
      <c r="M1885" s="25" t="n">
        <f aca="false">F1885</f>
        <v>16494105.5031176</v>
      </c>
      <c r="N1885" s="49" t="n">
        <f aca="false">$C$1823</f>
        <v>0.00792035016710324</v>
      </c>
      <c r="O1885" s="25" t="n">
        <f aca="false">IF(AND(B1885&gt;=DATE(2026,1,1),B1885&lt;=Resumen!$C$5),1,0)</f>
        <v>0</v>
      </c>
      <c r="P1885" s="25" t="n">
        <f aca="false">IF(AND(B1885&gt;Resumen!$C$5,B1885&lt;=DATE(2027,7,31)),1,0)</f>
        <v>0</v>
      </c>
    </row>
    <row r="1886" customFormat="false" ht="15" hidden="false" customHeight="false" outlineLevel="0" collapsed="false">
      <c r="A1886" s="22" t="n">
        <v>58</v>
      </c>
      <c r="B1886" s="23" t="n">
        <v>47569</v>
      </c>
      <c r="C1886" s="28" t="n">
        <v>240040486.797685</v>
      </c>
      <c r="D1886" s="28" t="n">
        <v>1901204.70971959</v>
      </c>
      <c r="E1886" s="28" t="n">
        <v>14592900.793398</v>
      </c>
      <c r="F1886" s="28" t="n">
        <v>16494105.5031176</v>
      </c>
      <c r="G1886" s="28" t="n">
        <v>225447586.004287</v>
      </c>
      <c r="H1886" s="25" t="n">
        <f aca="false">J1885</f>
        <v>240040486.797685</v>
      </c>
      <c r="I1886" s="25" t="n">
        <f aca="false">H1886*N1886</f>
        <v>1901204.70971959</v>
      </c>
      <c r="J1886" s="25" t="n">
        <f aca="false">H1886+I1886-F1886</f>
        <v>225447586.004287</v>
      </c>
      <c r="K1886" s="25" t="n">
        <f aca="false">D1886-I1886</f>
        <v>0</v>
      </c>
      <c r="L1886" s="25" t="n">
        <f aca="false">G1886-J1886</f>
        <v>0</v>
      </c>
      <c r="M1886" s="25" t="n">
        <f aca="false">F1886</f>
        <v>16494105.5031176</v>
      </c>
      <c r="N1886" s="49" t="n">
        <f aca="false">$C$1823</f>
        <v>0.00792035016710324</v>
      </c>
      <c r="O1886" s="25" t="n">
        <f aca="false">IF(AND(B1886&gt;=DATE(2026,1,1),B1886&lt;=Resumen!$C$5),1,0)</f>
        <v>0</v>
      </c>
      <c r="P1886" s="25" t="n">
        <f aca="false">IF(AND(B1886&gt;Resumen!$C$5,B1886&lt;=DATE(2027,7,31)),1,0)</f>
        <v>0</v>
      </c>
    </row>
    <row r="1887" customFormat="false" ht="15" hidden="false" customHeight="false" outlineLevel="0" collapsed="false">
      <c r="A1887" s="22" t="n">
        <v>59</v>
      </c>
      <c r="B1887" s="23" t="n">
        <v>47600</v>
      </c>
      <c r="C1887" s="28" t="n">
        <v>225447586.004287</v>
      </c>
      <c r="D1887" s="28" t="n">
        <v>1785623.82548208</v>
      </c>
      <c r="E1887" s="28" t="n">
        <v>14708481.6776355</v>
      </c>
      <c r="F1887" s="28" t="n">
        <v>16494105.5031176</v>
      </c>
      <c r="G1887" s="28" t="n">
        <v>210739104.326651</v>
      </c>
      <c r="H1887" s="25" t="n">
        <f aca="false">J1886</f>
        <v>225447586.004287</v>
      </c>
      <c r="I1887" s="25" t="n">
        <f aca="false">H1887*N1887</f>
        <v>1785623.82548208</v>
      </c>
      <c r="J1887" s="25" t="n">
        <f aca="false">H1887+I1887-F1887</f>
        <v>210739104.326651</v>
      </c>
      <c r="K1887" s="25" t="n">
        <f aca="false">D1887-I1887</f>
        <v>0</v>
      </c>
      <c r="L1887" s="25" t="n">
        <f aca="false">G1887-J1887</f>
        <v>0</v>
      </c>
      <c r="M1887" s="25" t="n">
        <f aca="false">F1887</f>
        <v>16494105.5031176</v>
      </c>
      <c r="N1887" s="49" t="n">
        <f aca="false">$C$1823</f>
        <v>0.00792035016710324</v>
      </c>
      <c r="O1887" s="25" t="n">
        <f aca="false">IF(AND(B1887&gt;=DATE(2026,1,1),B1887&lt;=Resumen!$C$5),1,0)</f>
        <v>0</v>
      </c>
      <c r="P1887" s="25" t="n">
        <f aca="false">IF(AND(B1887&gt;Resumen!$C$5,B1887&lt;=DATE(2027,7,31)),1,0)</f>
        <v>0</v>
      </c>
    </row>
    <row r="1888" customFormat="false" ht="15" hidden="false" customHeight="false" outlineLevel="0" collapsed="false">
      <c r="A1888" s="22" t="n">
        <v>60</v>
      </c>
      <c r="B1888" s="23" t="n">
        <v>47630</v>
      </c>
      <c r="C1888" s="28" t="n">
        <v>210739104.326651</v>
      </c>
      <c r="D1888" s="28" t="n">
        <v>1669127.50016878</v>
      </c>
      <c r="E1888" s="28" t="n">
        <v>14824978.0029488</v>
      </c>
      <c r="F1888" s="28" t="n">
        <v>16494105.5031176</v>
      </c>
      <c r="G1888" s="28" t="n">
        <v>195914126.323703</v>
      </c>
      <c r="H1888" s="25" t="n">
        <f aca="false">J1887</f>
        <v>210739104.326651</v>
      </c>
      <c r="I1888" s="25" t="n">
        <f aca="false">H1888*N1888</f>
        <v>1669127.50016878</v>
      </c>
      <c r="J1888" s="25" t="n">
        <f aca="false">H1888+I1888-F1888</f>
        <v>195914126.323703</v>
      </c>
      <c r="K1888" s="25" t="n">
        <f aca="false">D1888-I1888</f>
        <v>0</v>
      </c>
      <c r="L1888" s="25" t="n">
        <f aca="false">G1888-J1888</f>
        <v>0</v>
      </c>
      <c r="M1888" s="25" t="n">
        <f aca="false">F1888</f>
        <v>16494105.5031176</v>
      </c>
      <c r="N1888" s="49" t="n">
        <f aca="false">$C$1823</f>
        <v>0.00792035016710324</v>
      </c>
      <c r="O1888" s="25" t="n">
        <f aca="false">IF(AND(B1888&gt;=DATE(2026,1,1),B1888&lt;=Resumen!$C$5),1,0)</f>
        <v>0</v>
      </c>
      <c r="P1888" s="25" t="n">
        <f aca="false">IF(AND(B1888&gt;Resumen!$C$5,B1888&lt;=DATE(2027,7,31)),1,0)</f>
        <v>0</v>
      </c>
    </row>
    <row r="1889" customFormat="false" ht="15" hidden="false" customHeight="false" outlineLevel="0" collapsed="false">
      <c r="A1889" s="22" t="n">
        <v>61</v>
      </c>
      <c r="B1889" s="23" t="n">
        <v>47661</v>
      </c>
      <c r="C1889" s="28" t="n">
        <v>195914126.323703</v>
      </c>
      <c r="D1889" s="28" t="n">
        <v>1551708.48316582</v>
      </c>
      <c r="E1889" s="28" t="n">
        <v>14942397.0199517</v>
      </c>
      <c r="F1889" s="28" t="n">
        <v>16494105.5031176</v>
      </c>
      <c r="G1889" s="28" t="n">
        <v>180971729.303751</v>
      </c>
      <c r="H1889" s="25" t="n">
        <f aca="false">J1888</f>
        <v>195914126.323703</v>
      </c>
      <c r="I1889" s="25" t="n">
        <f aca="false">H1889*N1889</f>
        <v>1551708.48316582</v>
      </c>
      <c r="J1889" s="25" t="n">
        <f aca="false">H1889+I1889-F1889</f>
        <v>180971729.303751</v>
      </c>
      <c r="K1889" s="25" t="n">
        <f aca="false">D1889-I1889</f>
        <v>0</v>
      </c>
      <c r="L1889" s="25" t="n">
        <f aca="false">G1889-J1889</f>
        <v>0</v>
      </c>
      <c r="M1889" s="25" t="n">
        <f aca="false">F1889</f>
        <v>16494105.5031176</v>
      </c>
      <c r="N1889" s="49" t="n">
        <f aca="false">$C$1823</f>
        <v>0.00792035016710324</v>
      </c>
      <c r="O1889" s="25" t="n">
        <f aca="false">IF(AND(B1889&gt;=DATE(2026,1,1),B1889&lt;=Resumen!$C$5),1,0)</f>
        <v>0</v>
      </c>
      <c r="P1889" s="25" t="n">
        <f aca="false">IF(AND(B1889&gt;Resumen!$C$5,B1889&lt;=DATE(2027,7,31)),1,0)</f>
        <v>0</v>
      </c>
    </row>
    <row r="1890" customFormat="false" ht="15" hidden="false" customHeight="false" outlineLevel="0" collapsed="false">
      <c r="A1890" s="22" t="n">
        <v>62</v>
      </c>
      <c r="B1890" s="23" t="n">
        <v>47691</v>
      </c>
      <c r="C1890" s="28" t="n">
        <v>180971729.303751</v>
      </c>
      <c r="D1890" s="28" t="n">
        <v>1433359.46643193</v>
      </c>
      <c r="E1890" s="28" t="n">
        <v>15060746.0366857</v>
      </c>
      <c r="F1890" s="28" t="n">
        <v>16494105.5031176</v>
      </c>
      <c r="G1890" s="28" t="n">
        <v>165910983.267065</v>
      </c>
      <c r="H1890" s="25" t="n">
        <f aca="false">J1889</f>
        <v>180971729.303751</v>
      </c>
      <c r="I1890" s="25" t="n">
        <f aca="false">H1890*N1890</f>
        <v>1433359.46643193</v>
      </c>
      <c r="J1890" s="25" t="n">
        <f aca="false">H1890+I1890-F1890</f>
        <v>165910983.267065</v>
      </c>
      <c r="K1890" s="25" t="n">
        <f aca="false">D1890-I1890</f>
        <v>0</v>
      </c>
      <c r="L1890" s="25" t="n">
        <f aca="false">G1890-J1890</f>
        <v>0</v>
      </c>
      <c r="M1890" s="25" t="n">
        <f aca="false">F1890</f>
        <v>16494105.5031176</v>
      </c>
      <c r="N1890" s="49" t="n">
        <f aca="false">$C$1823</f>
        <v>0.00792035016710324</v>
      </c>
      <c r="O1890" s="25" t="n">
        <f aca="false">IF(AND(B1890&gt;=DATE(2026,1,1),B1890&lt;=Resumen!$C$5),1,0)</f>
        <v>0</v>
      </c>
      <c r="P1890" s="25" t="n">
        <f aca="false">IF(AND(B1890&gt;Resumen!$C$5,B1890&lt;=DATE(2027,7,31)),1,0)</f>
        <v>0</v>
      </c>
    </row>
    <row r="1891" customFormat="false" ht="15" hidden="false" customHeight="false" outlineLevel="0" collapsed="false">
      <c r="A1891" s="22" t="n">
        <v>63</v>
      </c>
      <c r="B1891" s="23" t="n">
        <v>47722</v>
      </c>
      <c r="C1891" s="28" t="n">
        <v>165910983.267065</v>
      </c>
      <c r="D1891" s="28" t="n">
        <v>1314073.08404356</v>
      </c>
      <c r="E1891" s="28" t="n">
        <v>15180032.419074</v>
      </c>
      <c r="F1891" s="28" t="n">
        <v>16494105.5031176</v>
      </c>
      <c r="G1891" s="28" t="n">
        <v>150730950.847991</v>
      </c>
      <c r="H1891" s="25" t="n">
        <f aca="false">J1890</f>
        <v>165910983.267065</v>
      </c>
      <c r="I1891" s="25" t="n">
        <f aca="false">H1891*N1891</f>
        <v>1314073.08404356</v>
      </c>
      <c r="J1891" s="25" t="n">
        <f aca="false">H1891+I1891-F1891</f>
        <v>150730950.847991</v>
      </c>
      <c r="K1891" s="25" t="n">
        <f aca="false">D1891-I1891</f>
        <v>0</v>
      </c>
      <c r="L1891" s="25" t="n">
        <f aca="false">G1891-J1891</f>
        <v>0</v>
      </c>
      <c r="M1891" s="25" t="n">
        <f aca="false">F1891</f>
        <v>16494105.5031176</v>
      </c>
      <c r="N1891" s="49" t="n">
        <f aca="false">$C$1823</f>
        <v>0.00792035016710324</v>
      </c>
      <c r="O1891" s="25" t="n">
        <f aca="false">IF(AND(B1891&gt;=DATE(2026,1,1),B1891&lt;=Resumen!$C$5),1,0)</f>
        <v>0</v>
      </c>
      <c r="P1891" s="25" t="n">
        <f aca="false">IF(AND(B1891&gt;Resumen!$C$5,B1891&lt;=DATE(2027,7,31)),1,0)</f>
        <v>0</v>
      </c>
    </row>
    <row r="1892" customFormat="false" ht="15" hidden="false" customHeight="false" outlineLevel="0" collapsed="false">
      <c r="A1892" s="22" t="n">
        <v>64</v>
      </c>
      <c r="B1892" s="23" t="n">
        <v>47753</v>
      </c>
      <c r="C1892" s="28" t="n">
        <v>150730950.847991</v>
      </c>
      <c r="D1892" s="28" t="n">
        <v>1193841.91173652</v>
      </c>
      <c r="E1892" s="28" t="n">
        <v>15300263.591381</v>
      </c>
      <c r="F1892" s="28" t="n">
        <v>16494105.5031176</v>
      </c>
      <c r="G1892" s="28" t="n">
        <v>135430687.25661</v>
      </c>
      <c r="H1892" s="25" t="n">
        <f aca="false">J1891</f>
        <v>150730950.847991</v>
      </c>
      <c r="I1892" s="25" t="n">
        <f aca="false">H1892*N1892</f>
        <v>1193841.91173652</v>
      </c>
      <c r="J1892" s="25" t="n">
        <f aca="false">H1892+I1892-F1892</f>
        <v>135430687.25661</v>
      </c>
      <c r="K1892" s="25" t="n">
        <f aca="false">D1892-I1892</f>
        <v>0</v>
      </c>
      <c r="L1892" s="25" t="n">
        <f aca="false">G1892-J1892</f>
        <v>0</v>
      </c>
      <c r="M1892" s="25" t="n">
        <f aca="false">F1892</f>
        <v>16494105.5031176</v>
      </c>
      <c r="N1892" s="49" t="n">
        <f aca="false">$C$1823</f>
        <v>0.00792035016710324</v>
      </c>
      <c r="O1892" s="25" t="n">
        <f aca="false">IF(AND(B1892&gt;=DATE(2026,1,1),B1892&lt;=Resumen!$C$5),1,0)</f>
        <v>0</v>
      </c>
      <c r="P1892" s="25" t="n">
        <f aca="false">IF(AND(B1892&gt;Resumen!$C$5,B1892&lt;=DATE(2027,7,31)),1,0)</f>
        <v>0</v>
      </c>
    </row>
    <row r="1893" customFormat="false" ht="15" hidden="false" customHeight="false" outlineLevel="0" collapsed="false">
      <c r="A1893" s="22" t="n">
        <v>65</v>
      </c>
      <c r="B1893" s="23" t="n">
        <v>47783</v>
      </c>
      <c r="C1893" s="28" t="n">
        <v>135430687.25661</v>
      </c>
      <c r="D1893" s="28" t="n">
        <v>1072658.4664438</v>
      </c>
      <c r="E1893" s="28" t="n">
        <v>15421447.0366738</v>
      </c>
      <c r="F1893" s="28" t="n">
        <v>16494105.5031176</v>
      </c>
      <c r="G1893" s="28" t="n">
        <v>120009240.219936</v>
      </c>
      <c r="H1893" s="25" t="n">
        <f aca="false">J1892</f>
        <v>135430687.25661</v>
      </c>
      <c r="I1893" s="25" t="n">
        <f aca="false">H1893*N1893</f>
        <v>1072658.4664438</v>
      </c>
      <c r="J1893" s="25" t="n">
        <f aca="false">H1893+I1893-F1893</f>
        <v>120009240.219936</v>
      </c>
      <c r="K1893" s="25" t="n">
        <f aca="false">D1893-I1893</f>
        <v>0</v>
      </c>
      <c r="L1893" s="25" t="n">
        <f aca="false">G1893-J1893</f>
        <v>0</v>
      </c>
      <c r="M1893" s="25" t="n">
        <f aca="false">F1893</f>
        <v>16494105.5031176</v>
      </c>
      <c r="N1893" s="49" t="n">
        <f aca="false">$C$1823</f>
        <v>0.00792035016710324</v>
      </c>
      <c r="O1893" s="25" t="n">
        <f aca="false">IF(AND(B1893&gt;=DATE(2026,1,1),B1893&lt;=Resumen!$C$5),1,0)</f>
        <v>0</v>
      </c>
      <c r="P1893" s="25" t="n">
        <f aca="false">IF(AND(B1893&gt;Resumen!$C$5,B1893&lt;=DATE(2027,7,31)),1,0)</f>
        <v>0</v>
      </c>
    </row>
    <row r="1894" customFormat="false" ht="15" hidden="false" customHeight="false" outlineLevel="0" collapsed="false">
      <c r="A1894" s="22" t="n">
        <v>66</v>
      </c>
      <c r="B1894" s="23" t="n">
        <v>47814</v>
      </c>
      <c r="C1894" s="28" t="n">
        <v>120009240.219936</v>
      </c>
      <c r="D1894" s="28" t="n">
        <v>950515.205829905</v>
      </c>
      <c r="E1894" s="28" t="n">
        <v>15543590.2972877</v>
      </c>
      <c r="F1894" s="28" t="n">
        <v>16494105.5031176</v>
      </c>
      <c r="G1894" s="28" t="n">
        <v>104465649.922649</v>
      </c>
      <c r="H1894" s="25" t="n">
        <f aca="false">J1893</f>
        <v>120009240.219936</v>
      </c>
      <c r="I1894" s="25" t="n">
        <f aca="false">H1894*N1894</f>
        <v>950515.205829906</v>
      </c>
      <c r="J1894" s="25" t="n">
        <f aca="false">H1894+I1894-F1894</f>
        <v>104465649.922649</v>
      </c>
      <c r="K1894" s="25" t="n">
        <f aca="false">D1894-I1894</f>
        <v>0</v>
      </c>
      <c r="L1894" s="25" t="n">
        <f aca="false">G1894-J1894</f>
        <v>0</v>
      </c>
      <c r="M1894" s="25" t="n">
        <f aca="false">F1894</f>
        <v>16494105.5031176</v>
      </c>
      <c r="N1894" s="49" t="n">
        <f aca="false">$C$1823</f>
        <v>0.00792035016710324</v>
      </c>
      <c r="O1894" s="25" t="n">
        <f aca="false">IF(AND(B1894&gt;=DATE(2026,1,1),B1894&lt;=Resumen!$C$5),1,0)</f>
        <v>0</v>
      </c>
      <c r="P1894" s="25" t="n">
        <f aca="false">IF(AND(B1894&gt;Resumen!$C$5,B1894&lt;=DATE(2027,7,31)),1,0)</f>
        <v>0</v>
      </c>
    </row>
    <row r="1895" customFormat="false" ht="15" hidden="false" customHeight="false" outlineLevel="0" collapsed="false">
      <c r="A1895" s="22" t="n">
        <v>67</v>
      </c>
      <c r="B1895" s="23" t="n">
        <v>47844</v>
      </c>
      <c r="C1895" s="28" t="n">
        <v>104465649.922649</v>
      </c>
      <c r="D1895" s="28" t="n">
        <v>827404.527821399</v>
      </c>
      <c r="E1895" s="28" t="n">
        <v>15666700.9752962</v>
      </c>
      <c r="F1895" s="28" t="n">
        <v>16494105.5031176</v>
      </c>
      <c r="G1895" s="28" t="n">
        <v>88798948.9473524</v>
      </c>
      <c r="H1895" s="25" t="n">
        <f aca="false">J1894</f>
        <v>104465649.922649</v>
      </c>
      <c r="I1895" s="25" t="n">
        <f aca="false">H1895*N1895</f>
        <v>827404.527821399</v>
      </c>
      <c r="J1895" s="25" t="n">
        <f aca="false">H1895+I1895-F1895</f>
        <v>88798948.9473525</v>
      </c>
      <c r="K1895" s="25" t="n">
        <f aca="false">D1895-I1895</f>
        <v>0</v>
      </c>
      <c r="L1895" s="25" t="n">
        <f aca="false">G1895-J1895</f>
        <v>0</v>
      </c>
      <c r="M1895" s="25" t="n">
        <f aca="false">F1895</f>
        <v>16494105.5031176</v>
      </c>
      <c r="N1895" s="49" t="n">
        <f aca="false">$C$1823</f>
        <v>0.00792035016710324</v>
      </c>
      <c r="O1895" s="25" t="n">
        <f aca="false">IF(AND(B1895&gt;=DATE(2026,1,1),B1895&lt;=Resumen!$C$5),1,0)</f>
        <v>0</v>
      </c>
      <c r="P1895" s="25" t="n">
        <f aca="false">IF(AND(B1895&gt;Resumen!$C$5,B1895&lt;=DATE(2027,7,31)),1,0)</f>
        <v>0</v>
      </c>
    </row>
    <row r="1896" customFormat="false" ht="15" hidden="false" customHeight="false" outlineLevel="0" collapsed="false">
      <c r="A1896" s="22" t="n">
        <v>68</v>
      </c>
      <c r="B1896" s="23" t="n">
        <v>47875</v>
      </c>
      <c r="C1896" s="28" t="n">
        <v>88798948.9473524</v>
      </c>
      <c r="D1896" s="28" t="n">
        <v>703318.770133755</v>
      </c>
      <c r="E1896" s="28" t="n">
        <v>15790786.7329838</v>
      </c>
      <c r="F1896" s="28" t="n">
        <v>16494105.5031176</v>
      </c>
      <c r="G1896" s="28" t="n">
        <v>73008162.2143686</v>
      </c>
      <c r="H1896" s="25" t="n">
        <f aca="false">J1895</f>
        <v>88798948.9473525</v>
      </c>
      <c r="I1896" s="25" t="n">
        <f aca="false">H1896*N1896</f>
        <v>703318.770133756</v>
      </c>
      <c r="J1896" s="25" t="n">
        <f aca="false">H1896+I1896-F1896</f>
        <v>73008162.2143687</v>
      </c>
      <c r="K1896" s="25" t="n">
        <f aca="false">D1896-I1896</f>
        <v>0</v>
      </c>
      <c r="L1896" s="25" t="n">
        <f aca="false">G1896-J1896</f>
        <v>0</v>
      </c>
      <c r="M1896" s="25" t="n">
        <f aca="false">F1896</f>
        <v>16494105.5031176</v>
      </c>
      <c r="N1896" s="49" t="n">
        <f aca="false">$C$1823</f>
        <v>0.00792035016710324</v>
      </c>
      <c r="O1896" s="25" t="n">
        <f aca="false">IF(AND(B1896&gt;=DATE(2026,1,1),B1896&lt;=Resumen!$C$5),1,0)</f>
        <v>0</v>
      </c>
      <c r="P1896" s="25" t="n">
        <f aca="false">IF(AND(B1896&gt;Resumen!$C$5,B1896&lt;=DATE(2027,7,31)),1,0)</f>
        <v>0</v>
      </c>
    </row>
    <row r="1897" customFormat="false" ht="15" hidden="false" customHeight="false" outlineLevel="0" collapsed="false">
      <c r="A1897" s="22" t="n">
        <v>69</v>
      </c>
      <c r="B1897" s="23" t="n">
        <v>47906</v>
      </c>
      <c r="C1897" s="28" t="n">
        <v>73008162.2143686</v>
      </c>
      <c r="D1897" s="28" t="n">
        <v>578250.209794475</v>
      </c>
      <c r="E1897" s="28" t="n">
        <v>15915855.2933231</v>
      </c>
      <c r="F1897" s="28" t="n">
        <v>16494105.5031176</v>
      </c>
      <c r="G1897" s="28" t="n">
        <v>57092306.9210455</v>
      </c>
      <c r="H1897" s="25" t="n">
        <f aca="false">J1896</f>
        <v>73008162.2143687</v>
      </c>
      <c r="I1897" s="25" t="n">
        <f aca="false">H1897*N1897</f>
        <v>578250.209794475</v>
      </c>
      <c r="J1897" s="25" t="n">
        <f aca="false">H1897+I1897-F1897</f>
        <v>57092306.9210456</v>
      </c>
      <c r="K1897" s="25" t="n">
        <f aca="false">D1897-I1897</f>
        <v>0</v>
      </c>
      <c r="L1897" s="25" t="n">
        <f aca="false">G1897-J1897</f>
        <v>0</v>
      </c>
      <c r="M1897" s="25" t="n">
        <f aca="false">F1897</f>
        <v>16494105.5031176</v>
      </c>
      <c r="N1897" s="49" t="n">
        <f aca="false">$C$1823</f>
        <v>0.00792035016710324</v>
      </c>
      <c r="O1897" s="25" t="n">
        <f aca="false">IF(AND(B1897&gt;=DATE(2026,1,1),B1897&lt;=Resumen!$C$5),1,0)</f>
        <v>0</v>
      </c>
      <c r="P1897" s="25" t="n">
        <f aca="false">IF(AND(B1897&gt;Resumen!$C$5,B1897&lt;=DATE(2027,7,31)),1,0)</f>
        <v>0</v>
      </c>
    </row>
    <row r="1898" customFormat="false" ht="15" hidden="false" customHeight="false" outlineLevel="0" collapsed="false">
      <c r="A1898" s="22" t="n">
        <v>70</v>
      </c>
      <c r="B1898" s="23" t="n">
        <v>47934</v>
      </c>
      <c r="C1898" s="28" t="n">
        <v>57092306.9210455</v>
      </c>
      <c r="D1898" s="28" t="n">
        <v>452191.062662412</v>
      </c>
      <c r="E1898" s="28" t="n">
        <v>16041914.4404552</v>
      </c>
      <c r="F1898" s="28" t="n">
        <v>16494105.5031176</v>
      </c>
      <c r="G1898" s="28" t="n">
        <v>41050392.4805904</v>
      </c>
      <c r="H1898" s="25" t="n">
        <f aca="false">J1897</f>
        <v>57092306.9210456</v>
      </c>
      <c r="I1898" s="25" t="n">
        <f aca="false">H1898*N1898</f>
        <v>452191.062662413</v>
      </c>
      <c r="J1898" s="25" t="n">
        <f aca="false">H1898+I1898-F1898</f>
        <v>41050392.4805904</v>
      </c>
      <c r="K1898" s="25" t="n">
        <f aca="false">D1898-I1898</f>
        <v>0</v>
      </c>
      <c r="L1898" s="25" t="n">
        <f aca="false">G1898-J1898</f>
        <v>0</v>
      </c>
      <c r="M1898" s="25" t="n">
        <f aca="false">F1898</f>
        <v>16494105.5031176</v>
      </c>
      <c r="N1898" s="49" t="n">
        <f aca="false">$C$1823</f>
        <v>0.00792035016710324</v>
      </c>
      <c r="O1898" s="25" t="n">
        <f aca="false">IF(AND(B1898&gt;=DATE(2026,1,1),B1898&lt;=Resumen!$C$5),1,0)</f>
        <v>0</v>
      </c>
      <c r="P1898" s="25" t="n">
        <f aca="false">IF(AND(B1898&gt;Resumen!$C$5,B1898&lt;=DATE(2027,7,31)),1,0)</f>
        <v>0</v>
      </c>
    </row>
    <row r="1899" customFormat="false" ht="15" hidden="false" customHeight="false" outlineLevel="0" collapsed="false">
      <c r="A1899" s="22" t="n">
        <v>71</v>
      </c>
      <c r="B1899" s="23" t="n">
        <v>47965</v>
      </c>
      <c r="C1899" s="28" t="n">
        <v>41050392.4805904</v>
      </c>
      <c r="D1899" s="28" t="n">
        <v>325133.482943298</v>
      </c>
      <c r="E1899" s="28" t="n">
        <v>16168972.0201743</v>
      </c>
      <c r="F1899" s="28" t="n">
        <v>16494105.5031176</v>
      </c>
      <c r="G1899" s="28" t="n">
        <v>24881420.4604161</v>
      </c>
      <c r="H1899" s="25" t="n">
        <f aca="false">J1898</f>
        <v>41050392.4805904</v>
      </c>
      <c r="I1899" s="25" t="n">
        <f aca="false">H1899*N1899</f>
        <v>325133.482943298</v>
      </c>
      <c r="J1899" s="25" t="n">
        <f aca="false">H1899+I1899-F1899</f>
        <v>24881420.4604162</v>
      </c>
      <c r="K1899" s="25" t="n">
        <f aca="false">D1899-I1899</f>
        <v>0</v>
      </c>
      <c r="L1899" s="25" t="n">
        <f aca="false">G1899-J1899</f>
        <v>0</v>
      </c>
      <c r="M1899" s="25" t="n">
        <f aca="false">F1899</f>
        <v>16494105.5031176</v>
      </c>
      <c r="N1899" s="49" t="n">
        <f aca="false">$C$1823</f>
        <v>0.00792035016710324</v>
      </c>
      <c r="O1899" s="25" t="n">
        <f aca="false">IF(AND(B1899&gt;=DATE(2026,1,1),B1899&lt;=Resumen!$C$5),1,0)</f>
        <v>0</v>
      </c>
      <c r="P1899" s="25" t="n">
        <f aca="false">IF(AND(B1899&gt;Resumen!$C$5,B1899&lt;=DATE(2027,7,31)),1,0)</f>
        <v>0</v>
      </c>
    </row>
    <row r="1900" customFormat="false" ht="15" hidden="false" customHeight="false" outlineLevel="0" collapsed="false">
      <c r="A1900" s="22" t="n">
        <v>72</v>
      </c>
      <c r="B1900" s="23" t="n">
        <v>47995</v>
      </c>
      <c r="C1900" s="28" t="n">
        <v>24881420.4604161</v>
      </c>
      <c r="D1900" s="28" t="n">
        <v>197069.562701423</v>
      </c>
      <c r="E1900" s="28" t="n">
        <v>24881420.4604162</v>
      </c>
      <c r="F1900" s="28" t="n">
        <v>25078490.0231176</v>
      </c>
      <c r="G1900" s="28" t="n">
        <v>-6.70552253723145E-008</v>
      </c>
      <c r="H1900" s="25" t="n">
        <f aca="false">J1899</f>
        <v>24881420.4604162</v>
      </c>
      <c r="I1900" s="25" t="n">
        <f aca="false">H1900*N1900</f>
        <v>197069.562701423</v>
      </c>
      <c r="J1900" s="25" t="n">
        <f aca="false">H1900+I1900-F1900</f>
        <v>0</v>
      </c>
      <c r="K1900" s="25" t="n">
        <f aca="false">D1900-I1900</f>
        <v>0</v>
      </c>
      <c r="L1900" s="25" t="n">
        <f aca="false">G1900-J1900</f>
        <v>-6.70552253723145E-008</v>
      </c>
      <c r="M1900" s="25" t="n">
        <f aca="false">F1900</f>
        <v>25078490.0231176</v>
      </c>
      <c r="N1900" s="49" t="n">
        <f aca="false">$C$1823</f>
        <v>0.00792035016710324</v>
      </c>
      <c r="O1900" s="25" t="n">
        <f aca="false">IF(AND(B1900&gt;=DATE(2026,1,1),B1900&lt;=Resumen!$C$5),1,0)</f>
        <v>0</v>
      </c>
      <c r="P1900" s="25" t="n">
        <f aca="false">IF(AND(B1900&gt;Resumen!$C$5,B1900&lt;=DATE(2027,7,31)),1,0)</f>
        <v>0</v>
      </c>
    </row>
    <row r="1903" customFormat="false" ht="15" hidden="false" customHeight="false" outlineLevel="0" collapsed="false">
      <c r="A1903" s="33" t="s">
        <v>918</v>
      </c>
    </row>
    <row r="1904" customFormat="false" ht="15" hidden="false" customHeight="false" outlineLevel="0" collapsed="false">
      <c r="A1904" s="34" t="s">
        <v>919</v>
      </c>
    </row>
    <row r="1905" customFormat="false" ht="15" hidden="false" customHeight="false" outlineLevel="0" collapsed="false">
      <c r="A1905" s="19" t="s">
        <v>920</v>
      </c>
    </row>
    <row r="1906" customFormat="false" ht="15" hidden="false" customHeight="false" outlineLevel="0" collapsed="false">
      <c r="A1906" s="20" t="s">
        <v>921</v>
      </c>
    </row>
    <row r="1907" customFormat="false" ht="15" hidden="false" customHeight="false" outlineLevel="0" collapsed="false">
      <c r="A1907" s="29" t="s">
        <v>773</v>
      </c>
      <c r="C1907" s="22" t="s">
        <v>922</v>
      </c>
      <c r="F1907" s="47" t="s">
        <v>775</v>
      </c>
    </row>
    <row r="1908" customFormat="false" ht="15" hidden="false" customHeight="false" outlineLevel="0" collapsed="false">
      <c r="A1908" s="29" t="s">
        <v>640</v>
      </c>
      <c r="C1908" s="28" t="n">
        <v>915429932</v>
      </c>
      <c r="F1908" s="22" t="s">
        <v>776</v>
      </c>
      <c r="I1908" s="41" t="n">
        <f aca="false">_xlfn.MAXIFS($B$1916:$B$1976,$B$1916:$B$1976,"&lt;="&amp;Resumen!$C$5)</f>
        <v>46229</v>
      </c>
    </row>
    <row r="1909" customFormat="false" ht="15" hidden="false" customHeight="false" outlineLevel="0" collapsed="false">
      <c r="A1909" s="29" t="s">
        <v>641</v>
      </c>
      <c r="C1909" s="23" t="n">
        <v>45133</v>
      </c>
      <c r="F1909" s="22" t="s">
        <v>777</v>
      </c>
      <c r="I1909" s="25" t="n">
        <f aca="false">SUMIFS($G$1916:$G$1976,$B$1916:$B$1976,I1908)</f>
        <v>503693510</v>
      </c>
    </row>
    <row r="1910" customFormat="false" ht="15" hidden="false" customHeight="false" outlineLevel="0" collapsed="false">
      <c r="A1910" s="29" t="s">
        <v>778</v>
      </c>
      <c r="C1910" s="22" t="s">
        <v>923</v>
      </c>
      <c r="F1910" s="22" t="s">
        <v>780</v>
      </c>
      <c r="I1910" s="25" t="n">
        <f aca="false">SUMIFS($J$1916:$J$1976,$B$1916:$B$1976,I1908)</f>
        <v>503693510</v>
      </c>
    </row>
    <row r="1911" customFormat="false" ht="15" hidden="false" customHeight="false" outlineLevel="0" collapsed="false">
      <c r="A1911" s="29" t="s">
        <v>781</v>
      </c>
      <c r="C1911" s="48" t="n">
        <v>0.0253937097041328</v>
      </c>
      <c r="F1911" s="22" t="s">
        <v>650</v>
      </c>
      <c r="I1911" s="25" t="n">
        <f aca="false">SUMIFS($D$1916:$D$1976,$O$1916:$O$1976,1)</f>
        <v>99905792.5025106</v>
      </c>
    </row>
    <row r="1912" customFormat="false" ht="15" hidden="false" customHeight="false" outlineLevel="0" collapsed="false">
      <c r="A1912" s="29" t="s">
        <v>782</v>
      </c>
      <c r="C1912" s="49" t="n">
        <f aca="false">IFERROR(IRR($M$1916:$M$1976),"N/A")</f>
        <v>0.0228929357231654</v>
      </c>
      <c r="F1912" s="22" t="s">
        <v>783</v>
      </c>
      <c r="I1912" s="25" t="n">
        <f aca="false">SUMIFS($E$1916:$E$1976,$P$1916:$P$1976,1)</f>
        <v>175036572</v>
      </c>
    </row>
    <row r="1913" customFormat="false" ht="15" hidden="false" customHeight="false" outlineLevel="0" collapsed="false">
      <c r="A1913" s="29" t="s">
        <v>784</v>
      </c>
      <c r="C1913" s="50" t="n">
        <f aca="false">IF(ISNUMBER(C1912),(1+C1912)^12-1,"N/A")</f>
        <v>0.312085547082589</v>
      </c>
      <c r="F1913" s="22" t="s">
        <v>785</v>
      </c>
      <c r="I1913" s="25" t="n">
        <f aca="false">SUMPRODUCT(MAX(ABS($L$1916:$L$1976)))</f>
        <v>0</v>
      </c>
    </row>
    <row r="1915" customFormat="false" ht="36" hidden="false" customHeight="true" outlineLevel="0" collapsed="false">
      <c r="A1915" s="27" t="s">
        <v>786</v>
      </c>
      <c r="B1915" s="27" t="s">
        <v>396</v>
      </c>
      <c r="C1915" s="27" t="s">
        <v>787</v>
      </c>
      <c r="D1915" s="27" t="s">
        <v>788</v>
      </c>
      <c r="E1915" s="27" t="s">
        <v>789</v>
      </c>
      <c r="F1915" s="27" t="s">
        <v>790</v>
      </c>
      <c r="G1915" s="27" t="s">
        <v>791</v>
      </c>
      <c r="H1915" s="27" t="s">
        <v>792</v>
      </c>
      <c r="I1915" s="27" t="s">
        <v>793</v>
      </c>
      <c r="J1915" s="27" t="s">
        <v>794</v>
      </c>
      <c r="K1915" s="27" t="s">
        <v>795</v>
      </c>
      <c r="L1915" s="27" t="s">
        <v>796</v>
      </c>
      <c r="M1915" s="27" t="s">
        <v>797</v>
      </c>
      <c r="N1915" s="27" t="s">
        <v>798</v>
      </c>
      <c r="O1915" s="27" t="s">
        <v>799</v>
      </c>
      <c r="P1915" s="27" t="s">
        <v>800</v>
      </c>
    </row>
    <row r="1916" customFormat="false" ht="15" hidden="false" customHeight="false" outlineLevel="0" collapsed="false">
      <c r="A1916" s="22" t="n">
        <v>0</v>
      </c>
      <c r="B1916" s="23" t="n">
        <v>45133</v>
      </c>
      <c r="C1916" s="28"/>
      <c r="D1916" s="28" t="n">
        <v>0</v>
      </c>
      <c r="E1916" s="28" t="n">
        <v>0</v>
      </c>
      <c r="F1916" s="28" t="n">
        <v>0</v>
      </c>
      <c r="G1916" s="28" t="n">
        <v>915429932</v>
      </c>
      <c r="H1916" s="25" t="n">
        <f aca="false">G1916</f>
        <v>915429932</v>
      </c>
      <c r="I1916" s="28" t="n">
        <v>0</v>
      </c>
      <c r="J1916" s="25" t="n">
        <f aca="false">H1916</f>
        <v>915429932</v>
      </c>
      <c r="K1916" s="25" t="n">
        <f aca="false">D1916-I1916</f>
        <v>0</v>
      </c>
      <c r="L1916" s="25" t="n">
        <f aca="false">G1916-J1916</f>
        <v>0</v>
      </c>
      <c r="M1916" s="25" t="n">
        <f aca="false">-$C$1908</f>
        <v>-915429932</v>
      </c>
      <c r="N1916" s="49" t="n">
        <f aca="false">$C$1911</f>
        <v>0.0253937097041328</v>
      </c>
      <c r="O1916" s="25" t="n">
        <f aca="false">IF(AND(B1916&gt;=DATE(2026,1,1),B1916&lt;=Resumen!$C$5),1,0)</f>
        <v>0</v>
      </c>
      <c r="P1916" s="25" t="n">
        <f aca="false">IF(AND(B1916&gt;Resumen!$C$5,B1916&lt;=DATE(2027,7,31)),1,0)</f>
        <v>0</v>
      </c>
    </row>
    <row r="1917" customFormat="false" ht="15" hidden="false" customHeight="false" outlineLevel="0" collapsed="false">
      <c r="A1917" s="22" t="n">
        <v>1</v>
      </c>
      <c r="B1917" s="23" t="n">
        <v>45164</v>
      </c>
      <c r="C1917" s="28" t="n">
        <v>915429932</v>
      </c>
      <c r="D1917" s="28" t="n">
        <v>23246161.947682</v>
      </c>
      <c r="E1917" s="28" t="n">
        <v>0</v>
      </c>
      <c r="F1917" s="28" t="n">
        <v>23246161.947682</v>
      </c>
      <c r="G1917" s="28" t="n">
        <v>915429932</v>
      </c>
      <c r="H1917" s="25" t="n">
        <f aca="false">J1916</f>
        <v>915429932</v>
      </c>
      <c r="I1917" s="25" t="n">
        <f aca="false">H1917*N1917</f>
        <v>23246161.947682</v>
      </c>
      <c r="J1917" s="25" t="n">
        <f aca="false">H1917+I1917-F1917</f>
        <v>915429932</v>
      </c>
      <c r="K1917" s="25" t="n">
        <f aca="false">D1917-I1917</f>
        <v>0</v>
      </c>
      <c r="L1917" s="25" t="n">
        <f aca="false">G1917-J1917</f>
        <v>0</v>
      </c>
      <c r="M1917" s="25" t="n">
        <f aca="false">F1917</f>
        <v>23246161.947682</v>
      </c>
      <c r="N1917" s="49" t="n">
        <f aca="false">$C$1911</f>
        <v>0.0253937097041328</v>
      </c>
      <c r="O1917" s="25" t="n">
        <f aca="false">IF(AND(B1917&gt;=DATE(2026,1,1),B1917&lt;=Resumen!$C$5),1,0)</f>
        <v>0</v>
      </c>
      <c r="P1917" s="25" t="n">
        <f aca="false">IF(AND(B1917&gt;Resumen!$C$5,B1917&lt;=DATE(2027,7,31)),1,0)</f>
        <v>0</v>
      </c>
    </row>
    <row r="1918" customFormat="false" ht="15" hidden="false" customHeight="false" outlineLevel="0" collapsed="false">
      <c r="A1918" s="22" t="n">
        <v>2</v>
      </c>
      <c r="B1918" s="23" t="n">
        <v>45195</v>
      </c>
      <c r="C1918" s="28" t="n">
        <v>915429932</v>
      </c>
      <c r="D1918" s="28" t="n">
        <v>23246161.947682</v>
      </c>
      <c r="E1918" s="28" t="n">
        <v>0</v>
      </c>
      <c r="F1918" s="28" t="n">
        <v>23246161.947682</v>
      </c>
      <c r="G1918" s="28" t="n">
        <v>915429932</v>
      </c>
      <c r="H1918" s="25" t="n">
        <f aca="false">J1917</f>
        <v>915429932</v>
      </c>
      <c r="I1918" s="25" t="n">
        <f aca="false">H1918*N1918</f>
        <v>23246161.947682</v>
      </c>
      <c r="J1918" s="25" t="n">
        <f aca="false">H1918+I1918-F1918</f>
        <v>915429932</v>
      </c>
      <c r="K1918" s="25" t="n">
        <f aca="false">D1918-I1918</f>
        <v>0</v>
      </c>
      <c r="L1918" s="25" t="n">
        <f aca="false">G1918-J1918</f>
        <v>0</v>
      </c>
      <c r="M1918" s="25" t="n">
        <f aca="false">F1918</f>
        <v>23246161.947682</v>
      </c>
      <c r="N1918" s="49" t="n">
        <f aca="false">$C$1911</f>
        <v>0.0253937097041328</v>
      </c>
      <c r="O1918" s="25" t="n">
        <f aca="false">IF(AND(B1918&gt;=DATE(2026,1,1),B1918&lt;=Resumen!$C$5),1,0)</f>
        <v>0</v>
      </c>
      <c r="P1918" s="25" t="n">
        <f aca="false">IF(AND(B1918&gt;Resumen!$C$5,B1918&lt;=DATE(2027,7,31)),1,0)</f>
        <v>0</v>
      </c>
    </row>
    <row r="1919" customFormat="false" ht="15" hidden="false" customHeight="false" outlineLevel="0" collapsed="false">
      <c r="A1919" s="22" t="n">
        <v>3</v>
      </c>
      <c r="B1919" s="23" t="n">
        <v>45225</v>
      </c>
      <c r="C1919" s="28" t="n">
        <v>915429932</v>
      </c>
      <c r="D1919" s="28" t="n">
        <v>23246161.947682</v>
      </c>
      <c r="E1919" s="28" t="n">
        <v>0</v>
      </c>
      <c r="F1919" s="28" t="n">
        <v>23246161.947682</v>
      </c>
      <c r="G1919" s="28" t="n">
        <v>915429932</v>
      </c>
      <c r="H1919" s="25" t="n">
        <f aca="false">J1918</f>
        <v>915429932</v>
      </c>
      <c r="I1919" s="25" t="n">
        <f aca="false">H1919*N1919</f>
        <v>23246161.947682</v>
      </c>
      <c r="J1919" s="25" t="n">
        <f aca="false">H1919+I1919-F1919</f>
        <v>915429932</v>
      </c>
      <c r="K1919" s="25" t="n">
        <f aca="false">D1919-I1919</f>
        <v>0</v>
      </c>
      <c r="L1919" s="25" t="n">
        <f aca="false">G1919-J1919</f>
        <v>0</v>
      </c>
      <c r="M1919" s="25" t="n">
        <f aca="false">F1919</f>
        <v>23246161.947682</v>
      </c>
      <c r="N1919" s="49" t="n">
        <f aca="false">$C$1911</f>
        <v>0.0253937097041328</v>
      </c>
      <c r="O1919" s="25" t="n">
        <f aca="false">IF(AND(B1919&gt;=DATE(2026,1,1),B1919&lt;=Resumen!$C$5),1,0)</f>
        <v>0</v>
      </c>
      <c r="P1919" s="25" t="n">
        <f aca="false">IF(AND(B1919&gt;Resumen!$C$5,B1919&lt;=DATE(2027,7,31)),1,0)</f>
        <v>0</v>
      </c>
    </row>
    <row r="1920" customFormat="false" ht="15" hidden="false" customHeight="false" outlineLevel="0" collapsed="false">
      <c r="A1920" s="22" t="n">
        <v>4</v>
      </c>
      <c r="B1920" s="23" t="n">
        <v>45256</v>
      </c>
      <c r="C1920" s="28" t="n">
        <v>915429932</v>
      </c>
      <c r="D1920" s="28" t="n">
        <v>23246161.947682</v>
      </c>
      <c r="E1920" s="28" t="n">
        <v>0</v>
      </c>
      <c r="F1920" s="28" t="n">
        <v>23246161.947682</v>
      </c>
      <c r="G1920" s="28" t="n">
        <v>915429932</v>
      </c>
      <c r="H1920" s="25" t="n">
        <f aca="false">J1919</f>
        <v>915429932</v>
      </c>
      <c r="I1920" s="25" t="n">
        <f aca="false">H1920*N1920</f>
        <v>23246161.947682</v>
      </c>
      <c r="J1920" s="25" t="n">
        <f aca="false">H1920+I1920-F1920</f>
        <v>915429932</v>
      </c>
      <c r="K1920" s="25" t="n">
        <f aca="false">D1920-I1920</f>
        <v>0</v>
      </c>
      <c r="L1920" s="25" t="n">
        <f aca="false">G1920-J1920</f>
        <v>0</v>
      </c>
      <c r="M1920" s="25" t="n">
        <f aca="false">F1920</f>
        <v>23246161.947682</v>
      </c>
      <c r="N1920" s="49" t="n">
        <f aca="false">$C$1911</f>
        <v>0.0253937097041328</v>
      </c>
      <c r="O1920" s="25" t="n">
        <f aca="false">IF(AND(B1920&gt;=DATE(2026,1,1),B1920&lt;=Resumen!$C$5),1,0)</f>
        <v>0</v>
      </c>
      <c r="P1920" s="25" t="n">
        <f aca="false">IF(AND(B1920&gt;Resumen!$C$5,B1920&lt;=DATE(2027,7,31)),1,0)</f>
        <v>0</v>
      </c>
    </row>
    <row r="1921" customFormat="false" ht="15" hidden="false" customHeight="false" outlineLevel="0" collapsed="false">
      <c r="A1921" s="22" t="n">
        <v>5</v>
      </c>
      <c r="B1921" s="23" t="n">
        <v>45286</v>
      </c>
      <c r="C1921" s="28" t="n">
        <v>915429932</v>
      </c>
      <c r="D1921" s="28" t="n">
        <v>23246161.947682</v>
      </c>
      <c r="E1921" s="28" t="n">
        <v>0</v>
      </c>
      <c r="F1921" s="28" t="n">
        <v>23246161.947682</v>
      </c>
      <c r="G1921" s="28" t="n">
        <v>915429932</v>
      </c>
      <c r="H1921" s="25" t="n">
        <f aca="false">J1920</f>
        <v>915429932</v>
      </c>
      <c r="I1921" s="25" t="n">
        <f aca="false">H1921*N1921</f>
        <v>23246161.947682</v>
      </c>
      <c r="J1921" s="25" t="n">
        <f aca="false">H1921+I1921-F1921</f>
        <v>915429932</v>
      </c>
      <c r="K1921" s="25" t="n">
        <f aca="false">D1921-I1921</f>
        <v>0</v>
      </c>
      <c r="L1921" s="25" t="n">
        <f aca="false">G1921-J1921</f>
        <v>0</v>
      </c>
      <c r="M1921" s="25" t="n">
        <f aca="false">F1921</f>
        <v>23246161.947682</v>
      </c>
      <c r="N1921" s="49" t="n">
        <f aca="false">$C$1911</f>
        <v>0.0253937097041328</v>
      </c>
      <c r="O1921" s="25" t="n">
        <f aca="false">IF(AND(B1921&gt;=DATE(2026,1,1),B1921&lt;=Resumen!$C$5),1,0)</f>
        <v>0</v>
      </c>
      <c r="P1921" s="25" t="n">
        <f aca="false">IF(AND(B1921&gt;Resumen!$C$5,B1921&lt;=DATE(2027,7,31)),1,0)</f>
        <v>0</v>
      </c>
    </row>
    <row r="1922" customFormat="false" ht="15" hidden="false" customHeight="false" outlineLevel="0" collapsed="false">
      <c r="A1922" s="22" t="n">
        <v>6</v>
      </c>
      <c r="B1922" s="23" t="n">
        <v>45317</v>
      </c>
      <c r="C1922" s="28" t="n">
        <v>915429932</v>
      </c>
      <c r="D1922" s="28" t="n">
        <v>23246161.947682</v>
      </c>
      <c r="E1922" s="28" t="n">
        <v>0</v>
      </c>
      <c r="F1922" s="28" t="n">
        <v>23246161.947682</v>
      </c>
      <c r="G1922" s="28" t="n">
        <v>915429932</v>
      </c>
      <c r="H1922" s="25" t="n">
        <f aca="false">J1921</f>
        <v>915429932</v>
      </c>
      <c r="I1922" s="25" t="n">
        <f aca="false">H1922*N1922</f>
        <v>23246161.947682</v>
      </c>
      <c r="J1922" s="25" t="n">
        <f aca="false">H1922+I1922-F1922</f>
        <v>915429932</v>
      </c>
      <c r="K1922" s="25" t="n">
        <f aca="false">D1922-I1922</f>
        <v>0</v>
      </c>
      <c r="L1922" s="25" t="n">
        <f aca="false">G1922-J1922</f>
        <v>0</v>
      </c>
      <c r="M1922" s="25" t="n">
        <f aca="false">F1922</f>
        <v>23246161.947682</v>
      </c>
      <c r="N1922" s="49" t="n">
        <f aca="false">$C$1911</f>
        <v>0.0253937097041328</v>
      </c>
      <c r="O1922" s="25" t="n">
        <f aca="false">IF(AND(B1922&gt;=DATE(2026,1,1),B1922&lt;=Resumen!$C$5),1,0)</f>
        <v>0</v>
      </c>
      <c r="P1922" s="25" t="n">
        <f aca="false">IF(AND(B1922&gt;Resumen!$C$5,B1922&lt;=DATE(2027,7,31)),1,0)</f>
        <v>0</v>
      </c>
    </row>
    <row r="1923" customFormat="false" ht="15" hidden="false" customHeight="false" outlineLevel="0" collapsed="false">
      <c r="A1923" s="22" t="n">
        <v>7</v>
      </c>
      <c r="B1923" s="23" t="n">
        <v>45348</v>
      </c>
      <c r="C1923" s="28" t="n">
        <v>915429932</v>
      </c>
      <c r="D1923" s="28" t="n">
        <v>23246161.947682</v>
      </c>
      <c r="E1923" s="28" t="n">
        <v>12431797</v>
      </c>
      <c r="F1923" s="28" t="n">
        <v>35677958.947682</v>
      </c>
      <c r="G1923" s="28" t="n">
        <v>902998135</v>
      </c>
      <c r="H1923" s="25" t="n">
        <f aca="false">J1922</f>
        <v>915429932</v>
      </c>
      <c r="I1923" s="25" t="n">
        <f aca="false">H1923*N1923</f>
        <v>23246161.947682</v>
      </c>
      <c r="J1923" s="25" t="n">
        <f aca="false">H1923+I1923-F1923</f>
        <v>902998135</v>
      </c>
      <c r="K1923" s="25" t="n">
        <f aca="false">D1923-I1923</f>
        <v>0</v>
      </c>
      <c r="L1923" s="25" t="n">
        <f aca="false">G1923-J1923</f>
        <v>0</v>
      </c>
      <c r="M1923" s="25" t="n">
        <f aca="false">F1923</f>
        <v>35677958.947682</v>
      </c>
      <c r="N1923" s="49" t="n">
        <f aca="false">$C$1911</f>
        <v>0.0253937097041328</v>
      </c>
      <c r="O1923" s="25" t="n">
        <f aca="false">IF(AND(B1923&gt;=DATE(2026,1,1),B1923&lt;=Resumen!$C$5),1,0)</f>
        <v>0</v>
      </c>
      <c r="P1923" s="25" t="n">
        <f aca="false">IF(AND(B1923&gt;Resumen!$C$5,B1923&lt;=DATE(2027,7,31)),1,0)</f>
        <v>0</v>
      </c>
    </row>
    <row r="1924" customFormat="false" ht="15" hidden="false" customHeight="false" outlineLevel="0" collapsed="false">
      <c r="A1924" s="22" t="n">
        <v>8</v>
      </c>
      <c r="B1924" s="23" t="n">
        <v>45377</v>
      </c>
      <c r="C1924" s="28" t="n">
        <v>902998135</v>
      </c>
      <c r="D1924" s="28" t="n">
        <v>22930472.5035633</v>
      </c>
      <c r="E1924" s="28" t="n">
        <v>12431797</v>
      </c>
      <c r="F1924" s="28" t="n">
        <v>35362269.5035633</v>
      </c>
      <c r="G1924" s="28" t="n">
        <v>890566338</v>
      </c>
      <c r="H1924" s="25" t="n">
        <f aca="false">J1923</f>
        <v>902998135</v>
      </c>
      <c r="I1924" s="25" t="n">
        <f aca="false">H1924*N1924</f>
        <v>22930472.5035633</v>
      </c>
      <c r="J1924" s="25" t="n">
        <f aca="false">H1924+I1924-F1924</f>
        <v>890566338</v>
      </c>
      <c r="K1924" s="25" t="n">
        <f aca="false">D1924-I1924</f>
        <v>0</v>
      </c>
      <c r="L1924" s="25" t="n">
        <f aca="false">G1924-J1924</f>
        <v>0</v>
      </c>
      <c r="M1924" s="25" t="n">
        <f aca="false">F1924</f>
        <v>35362269.5035633</v>
      </c>
      <c r="N1924" s="49" t="n">
        <f aca="false">$C$1911</f>
        <v>0.0253937097041328</v>
      </c>
      <c r="O1924" s="25" t="n">
        <f aca="false">IF(AND(B1924&gt;=DATE(2026,1,1),B1924&lt;=Resumen!$C$5),1,0)</f>
        <v>0</v>
      </c>
      <c r="P1924" s="25" t="n">
        <f aca="false">IF(AND(B1924&gt;Resumen!$C$5,B1924&lt;=DATE(2027,7,31)),1,0)</f>
        <v>0</v>
      </c>
    </row>
    <row r="1925" customFormat="false" ht="15" hidden="false" customHeight="false" outlineLevel="0" collapsed="false">
      <c r="A1925" s="22" t="n">
        <v>9</v>
      </c>
      <c r="B1925" s="23" t="n">
        <v>45408</v>
      </c>
      <c r="C1925" s="28" t="n">
        <v>890566338</v>
      </c>
      <c r="D1925" s="28" t="n">
        <v>22614783.0594446</v>
      </c>
      <c r="E1925" s="28" t="n">
        <v>12431797</v>
      </c>
      <c r="F1925" s="28" t="n">
        <v>35046580.0594446</v>
      </c>
      <c r="G1925" s="28" t="n">
        <v>878134541</v>
      </c>
      <c r="H1925" s="25" t="n">
        <f aca="false">J1924</f>
        <v>890566338</v>
      </c>
      <c r="I1925" s="25" t="n">
        <f aca="false">H1925*N1925</f>
        <v>22614783.0594446</v>
      </c>
      <c r="J1925" s="25" t="n">
        <f aca="false">H1925+I1925-F1925</f>
        <v>878134541</v>
      </c>
      <c r="K1925" s="25" t="n">
        <f aca="false">D1925-I1925</f>
        <v>0</v>
      </c>
      <c r="L1925" s="25" t="n">
        <f aca="false">G1925-J1925</f>
        <v>0</v>
      </c>
      <c r="M1925" s="25" t="n">
        <f aca="false">F1925</f>
        <v>35046580.0594446</v>
      </c>
      <c r="N1925" s="49" t="n">
        <f aca="false">$C$1911</f>
        <v>0.0253937097041328</v>
      </c>
      <c r="O1925" s="25" t="n">
        <f aca="false">IF(AND(B1925&gt;=DATE(2026,1,1),B1925&lt;=Resumen!$C$5),1,0)</f>
        <v>0</v>
      </c>
      <c r="P1925" s="25" t="n">
        <f aca="false">IF(AND(B1925&gt;Resumen!$C$5,B1925&lt;=DATE(2027,7,31)),1,0)</f>
        <v>0</v>
      </c>
    </row>
    <row r="1926" customFormat="false" ht="15" hidden="false" customHeight="false" outlineLevel="0" collapsed="false">
      <c r="A1926" s="22" t="n">
        <v>10</v>
      </c>
      <c r="B1926" s="23" t="n">
        <v>45438</v>
      </c>
      <c r="C1926" s="28" t="n">
        <v>878134541</v>
      </c>
      <c r="D1926" s="28" t="n">
        <v>22299093.6153259</v>
      </c>
      <c r="E1926" s="28" t="n">
        <v>12431797</v>
      </c>
      <c r="F1926" s="28" t="n">
        <v>34730890.6153259</v>
      </c>
      <c r="G1926" s="28" t="n">
        <v>865702744</v>
      </c>
      <c r="H1926" s="25" t="n">
        <f aca="false">J1925</f>
        <v>878134541</v>
      </c>
      <c r="I1926" s="25" t="n">
        <f aca="false">H1926*N1926</f>
        <v>22299093.6153259</v>
      </c>
      <c r="J1926" s="25" t="n">
        <f aca="false">H1926+I1926-F1926</f>
        <v>865702744</v>
      </c>
      <c r="K1926" s="25" t="n">
        <f aca="false">D1926-I1926</f>
        <v>0</v>
      </c>
      <c r="L1926" s="25" t="n">
        <f aca="false">G1926-J1926</f>
        <v>0</v>
      </c>
      <c r="M1926" s="25" t="n">
        <f aca="false">F1926</f>
        <v>34730890.6153259</v>
      </c>
      <c r="N1926" s="49" t="n">
        <f aca="false">$C$1911</f>
        <v>0.0253937097041328</v>
      </c>
      <c r="O1926" s="25" t="n">
        <f aca="false">IF(AND(B1926&gt;=DATE(2026,1,1),B1926&lt;=Resumen!$C$5),1,0)</f>
        <v>0</v>
      </c>
      <c r="P1926" s="25" t="n">
        <f aca="false">IF(AND(B1926&gt;Resumen!$C$5,B1926&lt;=DATE(2027,7,31)),1,0)</f>
        <v>0</v>
      </c>
    </row>
    <row r="1927" customFormat="false" ht="15" hidden="false" customHeight="false" outlineLevel="0" collapsed="false">
      <c r="A1927" s="22" t="n">
        <v>11</v>
      </c>
      <c r="B1927" s="23" t="n">
        <v>45469</v>
      </c>
      <c r="C1927" s="28" t="n">
        <v>865702744</v>
      </c>
      <c r="D1927" s="28" t="n">
        <v>21983404.1712072</v>
      </c>
      <c r="E1927" s="28" t="n">
        <v>12431797</v>
      </c>
      <c r="F1927" s="28" t="n">
        <v>34415201.1712072</v>
      </c>
      <c r="G1927" s="28" t="n">
        <v>853270947</v>
      </c>
      <c r="H1927" s="25" t="n">
        <f aca="false">J1926</f>
        <v>865702744</v>
      </c>
      <c r="I1927" s="25" t="n">
        <f aca="false">H1927*N1927</f>
        <v>21983404.1712072</v>
      </c>
      <c r="J1927" s="25" t="n">
        <f aca="false">H1927+I1927-F1927</f>
        <v>853270947</v>
      </c>
      <c r="K1927" s="25" t="n">
        <f aca="false">D1927-I1927</f>
        <v>0</v>
      </c>
      <c r="L1927" s="25" t="n">
        <f aca="false">G1927-J1927</f>
        <v>0</v>
      </c>
      <c r="M1927" s="25" t="n">
        <f aca="false">F1927</f>
        <v>34415201.1712072</v>
      </c>
      <c r="N1927" s="49" t="n">
        <f aca="false">$C$1911</f>
        <v>0.0253937097041328</v>
      </c>
      <c r="O1927" s="25" t="n">
        <f aca="false">IF(AND(B1927&gt;=DATE(2026,1,1),B1927&lt;=Resumen!$C$5),1,0)</f>
        <v>0</v>
      </c>
      <c r="P1927" s="25" t="n">
        <f aca="false">IF(AND(B1927&gt;Resumen!$C$5,B1927&lt;=DATE(2027,7,31)),1,0)</f>
        <v>0</v>
      </c>
    </row>
    <row r="1928" customFormat="false" ht="15" hidden="false" customHeight="false" outlineLevel="0" collapsed="false">
      <c r="A1928" s="22" t="n">
        <v>12</v>
      </c>
      <c r="B1928" s="23" t="n">
        <v>45499</v>
      </c>
      <c r="C1928" s="28" t="n">
        <v>853270947</v>
      </c>
      <c r="D1928" s="28" t="n">
        <v>21667714.7270885</v>
      </c>
      <c r="E1928" s="28" t="n">
        <v>12431797</v>
      </c>
      <c r="F1928" s="28" t="n">
        <v>34099511.7270885</v>
      </c>
      <c r="G1928" s="28" t="n">
        <v>840839150</v>
      </c>
      <c r="H1928" s="25" t="n">
        <f aca="false">J1927</f>
        <v>853270947</v>
      </c>
      <c r="I1928" s="25" t="n">
        <f aca="false">H1928*N1928</f>
        <v>21667714.7270885</v>
      </c>
      <c r="J1928" s="25" t="n">
        <f aca="false">H1928+I1928-F1928</f>
        <v>840839150</v>
      </c>
      <c r="K1928" s="25" t="n">
        <f aca="false">D1928-I1928</f>
        <v>0</v>
      </c>
      <c r="L1928" s="25" t="n">
        <f aca="false">G1928-J1928</f>
        <v>0</v>
      </c>
      <c r="M1928" s="25" t="n">
        <f aca="false">F1928</f>
        <v>34099511.7270885</v>
      </c>
      <c r="N1928" s="49" t="n">
        <f aca="false">$C$1911</f>
        <v>0.0253937097041328</v>
      </c>
      <c r="O1928" s="25" t="n">
        <f aca="false">IF(AND(B1928&gt;=DATE(2026,1,1),B1928&lt;=Resumen!$C$5),1,0)</f>
        <v>0</v>
      </c>
      <c r="P1928" s="25" t="n">
        <f aca="false">IF(AND(B1928&gt;Resumen!$C$5,B1928&lt;=DATE(2027,7,31)),1,0)</f>
        <v>0</v>
      </c>
    </row>
    <row r="1929" customFormat="false" ht="15" hidden="false" customHeight="false" outlineLevel="0" collapsed="false">
      <c r="A1929" s="22" t="n">
        <v>13</v>
      </c>
      <c r="B1929" s="23" t="n">
        <v>45530</v>
      </c>
      <c r="C1929" s="28" t="n">
        <v>840839150</v>
      </c>
      <c r="D1929" s="28" t="n">
        <v>21352025.2829698</v>
      </c>
      <c r="E1929" s="28" t="n">
        <v>12431797</v>
      </c>
      <c r="F1929" s="28" t="n">
        <v>33783822.2829698</v>
      </c>
      <c r="G1929" s="28" t="n">
        <v>828407353</v>
      </c>
      <c r="H1929" s="25" t="n">
        <f aca="false">J1928</f>
        <v>840839150</v>
      </c>
      <c r="I1929" s="25" t="n">
        <f aca="false">H1929*N1929</f>
        <v>21352025.2829698</v>
      </c>
      <c r="J1929" s="25" t="n">
        <f aca="false">H1929+I1929-F1929</f>
        <v>828407353</v>
      </c>
      <c r="K1929" s="25" t="n">
        <f aca="false">D1929-I1929</f>
        <v>0</v>
      </c>
      <c r="L1929" s="25" t="n">
        <f aca="false">G1929-J1929</f>
        <v>0</v>
      </c>
      <c r="M1929" s="25" t="n">
        <f aca="false">F1929</f>
        <v>33783822.2829698</v>
      </c>
      <c r="N1929" s="49" t="n">
        <f aca="false">$C$1911</f>
        <v>0.0253937097041328</v>
      </c>
      <c r="O1929" s="25" t="n">
        <f aca="false">IF(AND(B1929&gt;=DATE(2026,1,1),B1929&lt;=Resumen!$C$5),1,0)</f>
        <v>0</v>
      </c>
      <c r="P1929" s="25" t="n">
        <f aca="false">IF(AND(B1929&gt;Resumen!$C$5,B1929&lt;=DATE(2027,7,31)),1,0)</f>
        <v>0</v>
      </c>
    </row>
    <row r="1930" customFormat="false" ht="15" hidden="false" customHeight="false" outlineLevel="0" collapsed="false">
      <c r="A1930" s="22" t="n">
        <v>14</v>
      </c>
      <c r="B1930" s="23" t="n">
        <v>45561</v>
      </c>
      <c r="C1930" s="28" t="n">
        <v>828407353</v>
      </c>
      <c r="D1930" s="28" t="n">
        <v>21036335.8388511</v>
      </c>
      <c r="E1930" s="28" t="n">
        <v>12431797</v>
      </c>
      <c r="F1930" s="28" t="n">
        <v>33468132.8388511</v>
      </c>
      <c r="G1930" s="28" t="n">
        <v>815975556</v>
      </c>
      <c r="H1930" s="25" t="n">
        <f aca="false">J1929</f>
        <v>828407353</v>
      </c>
      <c r="I1930" s="25" t="n">
        <f aca="false">H1930*N1930</f>
        <v>21036335.8388511</v>
      </c>
      <c r="J1930" s="25" t="n">
        <f aca="false">H1930+I1930-F1930</f>
        <v>815975556</v>
      </c>
      <c r="K1930" s="25" t="n">
        <f aca="false">D1930-I1930</f>
        <v>0</v>
      </c>
      <c r="L1930" s="25" t="n">
        <f aca="false">G1930-J1930</f>
        <v>0</v>
      </c>
      <c r="M1930" s="25" t="n">
        <f aca="false">F1930</f>
        <v>33468132.8388511</v>
      </c>
      <c r="N1930" s="49" t="n">
        <f aca="false">$C$1911</f>
        <v>0.0253937097041328</v>
      </c>
      <c r="O1930" s="25" t="n">
        <f aca="false">IF(AND(B1930&gt;=DATE(2026,1,1),B1930&lt;=Resumen!$C$5),1,0)</f>
        <v>0</v>
      </c>
      <c r="P1930" s="25" t="n">
        <f aca="false">IF(AND(B1930&gt;Resumen!$C$5,B1930&lt;=DATE(2027,7,31)),1,0)</f>
        <v>0</v>
      </c>
    </row>
    <row r="1931" customFormat="false" ht="15" hidden="false" customHeight="false" outlineLevel="0" collapsed="false">
      <c r="A1931" s="22" t="n">
        <v>15</v>
      </c>
      <c r="B1931" s="23" t="n">
        <v>45591</v>
      </c>
      <c r="C1931" s="28" t="n">
        <v>815975556</v>
      </c>
      <c r="D1931" s="28" t="n">
        <v>20720646.3947324</v>
      </c>
      <c r="E1931" s="28" t="n">
        <v>12431797</v>
      </c>
      <c r="F1931" s="28" t="n">
        <v>33152443.3947324</v>
      </c>
      <c r="G1931" s="28" t="n">
        <v>803543759</v>
      </c>
      <c r="H1931" s="25" t="n">
        <f aca="false">J1930</f>
        <v>815975556</v>
      </c>
      <c r="I1931" s="25" t="n">
        <f aca="false">H1931*N1931</f>
        <v>20720646.3947324</v>
      </c>
      <c r="J1931" s="25" t="n">
        <f aca="false">H1931+I1931-F1931</f>
        <v>803543759</v>
      </c>
      <c r="K1931" s="25" t="n">
        <f aca="false">D1931-I1931</f>
        <v>0</v>
      </c>
      <c r="L1931" s="25" t="n">
        <f aca="false">G1931-J1931</f>
        <v>0</v>
      </c>
      <c r="M1931" s="25" t="n">
        <f aca="false">F1931</f>
        <v>33152443.3947324</v>
      </c>
      <c r="N1931" s="49" t="n">
        <f aca="false">$C$1911</f>
        <v>0.0253937097041328</v>
      </c>
      <c r="O1931" s="25" t="n">
        <f aca="false">IF(AND(B1931&gt;=DATE(2026,1,1),B1931&lt;=Resumen!$C$5),1,0)</f>
        <v>0</v>
      </c>
      <c r="P1931" s="25" t="n">
        <f aca="false">IF(AND(B1931&gt;Resumen!$C$5,B1931&lt;=DATE(2027,7,31)),1,0)</f>
        <v>0</v>
      </c>
    </row>
    <row r="1932" customFormat="false" ht="15" hidden="false" customHeight="false" outlineLevel="0" collapsed="false">
      <c r="A1932" s="22" t="n">
        <v>16</v>
      </c>
      <c r="B1932" s="23" t="n">
        <v>45622</v>
      </c>
      <c r="C1932" s="28" t="n">
        <v>803543759</v>
      </c>
      <c r="D1932" s="28" t="n">
        <v>20404956.9506136</v>
      </c>
      <c r="E1932" s="28" t="n">
        <v>12431797</v>
      </c>
      <c r="F1932" s="28" t="n">
        <v>32836753.9506136</v>
      </c>
      <c r="G1932" s="28" t="n">
        <v>791111962</v>
      </c>
      <c r="H1932" s="25" t="n">
        <f aca="false">J1931</f>
        <v>803543759</v>
      </c>
      <c r="I1932" s="25" t="n">
        <f aca="false">H1932*N1932</f>
        <v>20404956.9506136</v>
      </c>
      <c r="J1932" s="25" t="n">
        <f aca="false">H1932+I1932-F1932</f>
        <v>791111962</v>
      </c>
      <c r="K1932" s="25" t="n">
        <f aca="false">D1932-I1932</f>
        <v>0</v>
      </c>
      <c r="L1932" s="25" t="n">
        <f aca="false">G1932-J1932</f>
        <v>0</v>
      </c>
      <c r="M1932" s="25" t="n">
        <f aca="false">F1932</f>
        <v>32836753.9506136</v>
      </c>
      <c r="N1932" s="49" t="n">
        <f aca="false">$C$1911</f>
        <v>0.0253937097041328</v>
      </c>
      <c r="O1932" s="25" t="n">
        <f aca="false">IF(AND(B1932&gt;=DATE(2026,1,1),B1932&lt;=Resumen!$C$5),1,0)</f>
        <v>0</v>
      </c>
      <c r="P1932" s="25" t="n">
        <f aca="false">IF(AND(B1932&gt;Resumen!$C$5,B1932&lt;=DATE(2027,7,31)),1,0)</f>
        <v>0</v>
      </c>
    </row>
    <row r="1933" customFormat="false" ht="15" hidden="false" customHeight="false" outlineLevel="0" collapsed="false">
      <c r="A1933" s="22" t="n">
        <v>17</v>
      </c>
      <c r="B1933" s="23" t="n">
        <v>45652</v>
      </c>
      <c r="C1933" s="28" t="n">
        <v>791111962</v>
      </c>
      <c r="D1933" s="28" t="n">
        <v>20089267.5064949</v>
      </c>
      <c r="E1933" s="28" t="n">
        <v>12431797</v>
      </c>
      <c r="F1933" s="28" t="n">
        <v>32521064.5064949</v>
      </c>
      <c r="G1933" s="28" t="n">
        <v>778680165</v>
      </c>
      <c r="H1933" s="25" t="n">
        <f aca="false">J1932</f>
        <v>791111962</v>
      </c>
      <c r="I1933" s="25" t="n">
        <f aca="false">H1933*N1933</f>
        <v>20089267.5064949</v>
      </c>
      <c r="J1933" s="25" t="n">
        <f aca="false">H1933+I1933-F1933</f>
        <v>778680165</v>
      </c>
      <c r="K1933" s="25" t="n">
        <f aca="false">D1933-I1933</f>
        <v>0</v>
      </c>
      <c r="L1933" s="25" t="n">
        <f aca="false">G1933-J1933</f>
        <v>0</v>
      </c>
      <c r="M1933" s="25" t="n">
        <f aca="false">F1933</f>
        <v>32521064.5064949</v>
      </c>
      <c r="N1933" s="49" t="n">
        <f aca="false">$C$1911</f>
        <v>0.0253937097041328</v>
      </c>
      <c r="O1933" s="25" t="n">
        <f aca="false">IF(AND(B1933&gt;=DATE(2026,1,1),B1933&lt;=Resumen!$C$5),1,0)</f>
        <v>0</v>
      </c>
      <c r="P1933" s="25" t="n">
        <f aca="false">IF(AND(B1933&gt;Resumen!$C$5,B1933&lt;=DATE(2027,7,31)),1,0)</f>
        <v>0</v>
      </c>
    </row>
    <row r="1934" customFormat="false" ht="15" hidden="false" customHeight="false" outlineLevel="0" collapsed="false">
      <c r="A1934" s="22" t="n">
        <v>18</v>
      </c>
      <c r="B1934" s="23" t="n">
        <v>45683</v>
      </c>
      <c r="C1934" s="28" t="n">
        <v>778680165</v>
      </c>
      <c r="D1934" s="28" t="n">
        <v>19773578.0623762</v>
      </c>
      <c r="E1934" s="28" t="n">
        <v>12431797</v>
      </c>
      <c r="F1934" s="28" t="n">
        <v>32205375.0623762</v>
      </c>
      <c r="G1934" s="28" t="n">
        <v>766248368</v>
      </c>
      <c r="H1934" s="25" t="n">
        <f aca="false">J1933</f>
        <v>778680165</v>
      </c>
      <c r="I1934" s="25" t="n">
        <f aca="false">H1934*N1934</f>
        <v>19773578.0623762</v>
      </c>
      <c r="J1934" s="25" t="n">
        <f aca="false">H1934+I1934-F1934</f>
        <v>766248368</v>
      </c>
      <c r="K1934" s="25" t="n">
        <f aca="false">D1934-I1934</f>
        <v>0</v>
      </c>
      <c r="L1934" s="25" t="n">
        <f aca="false">G1934-J1934</f>
        <v>0</v>
      </c>
      <c r="M1934" s="25" t="n">
        <f aca="false">F1934</f>
        <v>32205375.0623762</v>
      </c>
      <c r="N1934" s="49" t="n">
        <f aca="false">$C$1911</f>
        <v>0.0253937097041328</v>
      </c>
      <c r="O1934" s="25" t="n">
        <f aca="false">IF(AND(B1934&gt;=DATE(2026,1,1),B1934&lt;=Resumen!$C$5),1,0)</f>
        <v>0</v>
      </c>
      <c r="P1934" s="25" t="n">
        <f aca="false">IF(AND(B1934&gt;Resumen!$C$5,B1934&lt;=DATE(2027,7,31)),1,0)</f>
        <v>0</v>
      </c>
    </row>
    <row r="1935" customFormat="false" ht="15" hidden="false" customHeight="false" outlineLevel="0" collapsed="false">
      <c r="A1935" s="22" t="n">
        <v>19</v>
      </c>
      <c r="B1935" s="23" t="n">
        <v>45714</v>
      </c>
      <c r="C1935" s="28" t="n">
        <v>766248368</v>
      </c>
      <c r="D1935" s="28" t="n">
        <v>19457888.6182575</v>
      </c>
      <c r="E1935" s="28" t="n">
        <v>14586381</v>
      </c>
      <c r="F1935" s="28" t="n">
        <v>34044269.6182575</v>
      </c>
      <c r="G1935" s="28" t="n">
        <v>751661987</v>
      </c>
      <c r="H1935" s="25" t="n">
        <f aca="false">J1934</f>
        <v>766248368</v>
      </c>
      <c r="I1935" s="25" t="n">
        <f aca="false">H1935*N1935</f>
        <v>19457888.6182575</v>
      </c>
      <c r="J1935" s="25" t="n">
        <f aca="false">H1935+I1935-F1935</f>
        <v>751661987</v>
      </c>
      <c r="K1935" s="25" t="n">
        <f aca="false">D1935-I1935</f>
        <v>0</v>
      </c>
      <c r="L1935" s="25" t="n">
        <f aca="false">G1935-J1935</f>
        <v>0</v>
      </c>
      <c r="M1935" s="25" t="n">
        <f aca="false">F1935</f>
        <v>34044269.6182575</v>
      </c>
      <c r="N1935" s="49" t="n">
        <f aca="false">$C$1911</f>
        <v>0.0253937097041328</v>
      </c>
      <c r="O1935" s="25" t="n">
        <f aca="false">IF(AND(B1935&gt;=DATE(2026,1,1),B1935&lt;=Resumen!$C$5),1,0)</f>
        <v>0</v>
      </c>
      <c r="P1935" s="25" t="n">
        <f aca="false">IF(AND(B1935&gt;Resumen!$C$5,B1935&lt;=DATE(2027,7,31)),1,0)</f>
        <v>0</v>
      </c>
    </row>
    <row r="1936" customFormat="false" ht="15" hidden="false" customHeight="false" outlineLevel="0" collapsed="false">
      <c r="A1936" s="22" t="n">
        <v>20</v>
      </c>
      <c r="B1936" s="23" t="n">
        <v>45742</v>
      </c>
      <c r="C1936" s="28" t="n">
        <v>751661987</v>
      </c>
      <c r="D1936" s="28" t="n">
        <v>19087486.2935096</v>
      </c>
      <c r="E1936" s="28" t="n">
        <v>14586381</v>
      </c>
      <c r="F1936" s="28" t="n">
        <v>33673867.2935096</v>
      </c>
      <c r="G1936" s="28" t="n">
        <v>737075606</v>
      </c>
      <c r="H1936" s="25" t="n">
        <f aca="false">J1935</f>
        <v>751661987</v>
      </c>
      <c r="I1936" s="25" t="n">
        <f aca="false">H1936*N1936</f>
        <v>19087486.2935096</v>
      </c>
      <c r="J1936" s="25" t="n">
        <f aca="false">H1936+I1936-F1936</f>
        <v>737075606</v>
      </c>
      <c r="K1936" s="25" t="n">
        <f aca="false">D1936-I1936</f>
        <v>0</v>
      </c>
      <c r="L1936" s="25" t="n">
        <f aca="false">G1936-J1936</f>
        <v>0</v>
      </c>
      <c r="M1936" s="25" t="n">
        <f aca="false">F1936</f>
        <v>33673867.2935096</v>
      </c>
      <c r="N1936" s="49" t="n">
        <f aca="false">$C$1911</f>
        <v>0.0253937097041328</v>
      </c>
      <c r="O1936" s="25" t="n">
        <f aca="false">IF(AND(B1936&gt;=DATE(2026,1,1),B1936&lt;=Resumen!$C$5),1,0)</f>
        <v>0</v>
      </c>
      <c r="P1936" s="25" t="n">
        <f aca="false">IF(AND(B1936&gt;Resumen!$C$5,B1936&lt;=DATE(2027,7,31)),1,0)</f>
        <v>0</v>
      </c>
    </row>
    <row r="1937" customFormat="false" ht="15" hidden="false" customHeight="false" outlineLevel="0" collapsed="false">
      <c r="A1937" s="22" t="n">
        <v>21</v>
      </c>
      <c r="B1937" s="23" t="n">
        <v>45773</v>
      </c>
      <c r="C1937" s="28" t="n">
        <v>737075606</v>
      </c>
      <c r="D1937" s="28" t="n">
        <v>18717083.9687618</v>
      </c>
      <c r="E1937" s="28" t="n">
        <v>14586381</v>
      </c>
      <c r="F1937" s="28" t="n">
        <v>33303464.9687618</v>
      </c>
      <c r="G1937" s="28" t="n">
        <v>722489225</v>
      </c>
      <c r="H1937" s="25" t="n">
        <f aca="false">J1936</f>
        <v>737075606</v>
      </c>
      <c r="I1937" s="25" t="n">
        <f aca="false">H1937*N1937</f>
        <v>18717083.9687618</v>
      </c>
      <c r="J1937" s="25" t="n">
        <f aca="false">H1937+I1937-F1937</f>
        <v>722489225</v>
      </c>
      <c r="K1937" s="25" t="n">
        <f aca="false">D1937-I1937</f>
        <v>0</v>
      </c>
      <c r="L1937" s="25" t="n">
        <f aca="false">G1937-J1937</f>
        <v>0</v>
      </c>
      <c r="M1937" s="25" t="n">
        <f aca="false">F1937</f>
        <v>33303464.9687618</v>
      </c>
      <c r="N1937" s="49" t="n">
        <f aca="false">$C$1911</f>
        <v>0.0253937097041328</v>
      </c>
      <c r="O1937" s="25" t="n">
        <f aca="false">IF(AND(B1937&gt;=DATE(2026,1,1),B1937&lt;=Resumen!$C$5),1,0)</f>
        <v>0</v>
      </c>
      <c r="P1937" s="25" t="n">
        <f aca="false">IF(AND(B1937&gt;Resumen!$C$5,B1937&lt;=DATE(2027,7,31)),1,0)</f>
        <v>0</v>
      </c>
    </row>
    <row r="1938" customFormat="false" ht="15" hidden="false" customHeight="false" outlineLevel="0" collapsed="false">
      <c r="A1938" s="22" t="n">
        <v>22</v>
      </c>
      <c r="B1938" s="23" t="n">
        <v>45803</v>
      </c>
      <c r="C1938" s="28" t="n">
        <v>722489225</v>
      </c>
      <c r="D1938" s="28" t="n">
        <v>18346681.6440139</v>
      </c>
      <c r="E1938" s="28" t="n">
        <v>14586381</v>
      </c>
      <c r="F1938" s="28" t="n">
        <v>32933062.6440139</v>
      </c>
      <c r="G1938" s="28" t="n">
        <v>707902844</v>
      </c>
      <c r="H1938" s="25" t="n">
        <f aca="false">J1937</f>
        <v>722489225</v>
      </c>
      <c r="I1938" s="25" t="n">
        <f aca="false">H1938*N1938</f>
        <v>18346681.6440139</v>
      </c>
      <c r="J1938" s="25" t="n">
        <f aca="false">H1938+I1938-F1938</f>
        <v>707902844</v>
      </c>
      <c r="K1938" s="25" t="n">
        <f aca="false">D1938-I1938</f>
        <v>0</v>
      </c>
      <c r="L1938" s="25" t="n">
        <f aca="false">G1938-J1938</f>
        <v>0</v>
      </c>
      <c r="M1938" s="25" t="n">
        <f aca="false">F1938</f>
        <v>32933062.6440139</v>
      </c>
      <c r="N1938" s="49" t="n">
        <f aca="false">$C$1911</f>
        <v>0.0253937097041328</v>
      </c>
      <c r="O1938" s="25" t="n">
        <f aca="false">IF(AND(B1938&gt;=DATE(2026,1,1),B1938&lt;=Resumen!$C$5),1,0)</f>
        <v>0</v>
      </c>
      <c r="P1938" s="25" t="n">
        <f aca="false">IF(AND(B1938&gt;Resumen!$C$5,B1938&lt;=DATE(2027,7,31)),1,0)</f>
        <v>0</v>
      </c>
    </row>
    <row r="1939" customFormat="false" ht="15" hidden="false" customHeight="false" outlineLevel="0" collapsed="false">
      <c r="A1939" s="22" t="n">
        <v>23</v>
      </c>
      <c r="B1939" s="23" t="n">
        <v>45834</v>
      </c>
      <c r="C1939" s="28" t="n">
        <v>707902844</v>
      </c>
      <c r="D1939" s="28" t="n">
        <v>17976279.319266</v>
      </c>
      <c r="E1939" s="28" t="n">
        <v>14586381</v>
      </c>
      <c r="F1939" s="28" t="n">
        <v>32562660.319266</v>
      </c>
      <c r="G1939" s="28" t="n">
        <v>693316463</v>
      </c>
      <c r="H1939" s="25" t="n">
        <f aca="false">J1938</f>
        <v>707902844</v>
      </c>
      <c r="I1939" s="25" t="n">
        <f aca="false">H1939*N1939</f>
        <v>17976279.319266</v>
      </c>
      <c r="J1939" s="25" t="n">
        <f aca="false">H1939+I1939-F1939</f>
        <v>693316463</v>
      </c>
      <c r="K1939" s="25" t="n">
        <f aca="false">D1939-I1939</f>
        <v>0</v>
      </c>
      <c r="L1939" s="25" t="n">
        <f aca="false">G1939-J1939</f>
        <v>0</v>
      </c>
      <c r="M1939" s="25" t="n">
        <f aca="false">F1939</f>
        <v>32562660.319266</v>
      </c>
      <c r="N1939" s="49" t="n">
        <f aca="false">$C$1911</f>
        <v>0.0253937097041328</v>
      </c>
      <c r="O1939" s="25" t="n">
        <f aca="false">IF(AND(B1939&gt;=DATE(2026,1,1),B1939&lt;=Resumen!$C$5),1,0)</f>
        <v>0</v>
      </c>
      <c r="P1939" s="25" t="n">
        <f aca="false">IF(AND(B1939&gt;Resumen!$C$5,B1939&lt;=DATE(2027,7,31)),1,0)</f>
        <v>0</v>
      </c>
    </row>
    <row r="1940" customFormat="false" ht="15" hidden="false" customHeight="false" outlineLevel="0" collapsed="false">
      <c r="A1940" s="22" t="n">
        <v>24</v>
      </c>
      <c r="B1940" s="23" t="n">
        <v>45864</v>
      </c>
      <c r="C1940" s="28" t="n">
        <v>693316463</v>
      </c>
      <c r="D1940" s="28" t="n">
        <v>17605876.9945181</v>
      </c>
      <c r="E1940" s="28" t="n">
        <v>14586381</v>
      </c>
      <c r="F1940" s="28" t="n">
        <v>32192257.9945181</v>
      </c>
      <c r="G1940" s="28" t="n">
        <v>678730082</v>
      </c>
      <c r="H1940" s="25" t="n">
        <f aca="false">J1939</f>
        <v>693316463</v>
      </c>
      <c r="I1940" s="25" t="n">
        <f aca="false">H1940*N1940</f>
        <v>17605876.9945181</v>
      </c>
      <c r="J1940" s="25" t="n">
        <f aca="false">H1940+I1940-F1940</f>
        <v>678730082</v>
      </c>
      <c r="K1940" s="25" t="n">
        <f aca="false">D1940-I1940</f>
        <v>0</v>
      </c>
      <c r="L1940" s="25" t="n">
        <f aca="false">G1940-J1940</f>
        <v>0</v>
      </c>
      <c r="M1940" s="25" t="n">
        <f aca="false">F1940</f>
        <v>32192257.9945181</v>
      </c>
      <c r="N1940" s="49" t="n">
        <f aca="false">$C$1911</f>
        <v>0.0253937097041328</v>
      </c>
      <c r="O1940" s="25" t="n">
        <f aca="false">IF(AND(B1940&gt;=DATE(2026,1,1),B1940&lt;=Resumen!$C$5),1,0)</f>
        <v>0</v>
      </c>
      <c r="P1940" s="25" t="n">
        <f aca="false">IF(AND(B1940&gt;Resumen!$C$5,B1940&lt;=DATE(2027,7,31)),1,0)</f>
        <v>0</v>
      </c>
    </row>
    <row r="1941" customFormat="false" ht="15" hidden="false" customHeight="false" outlineLevel="0" collapsed="false">
      <c r="A1941" s="22" t="n">
        <v>25</v>
      </c>
      <c r="B1941" s="23" t="n">
        <v>45895</v>
      </c>
      <c r="C1941" s="28" t="n">
        <v>678730082</v>
      </c>
      <c r="D1941" s="28" t="n">
        <v>17235474.6697703</v>
      </c>
      <c r="E1941" s="28" t="n">
        <v>14586381</v>
      </c>
      <c r="F1941" s="28" t="n">
        <v>31821855.6697703</v>
      </c>
      <c r="G1941" s="28" t="n">
        <v>664143701</v>
      </c>
      <c r="H1941" s="25" t="n">
        <f aca="false">J1940</f>
        <v>678730082</v>
      </c>
      <c r="I1941" s="25" t="n">
        <f aca="false">H1941*N1941</f>
        <v>17235474.6697702</v>
      </c>
      <c r="J1941" s="25" t="n">
        <f aca="false">H1941+I1941-F1941</f>
        <v>664143701</v>
      </c>
      <c r="K1941" s="25" t="n">
        <f aca="false">D1941-I1941</f>
        <v>0</v>
      </c>
      <c r="L1941" s="25" t="n">
        <f aca="false">G1941-J1941</f>
        <v>0</v>
      </c>
      <c r="M1941" s="25" t="n">
        <f aca="false">F1941</f>
        <v>31821855.6697703</v>
      </c>
      <c r="N1941" s="49" t="n">
        <f aca="false">$C$1911</f>
        <v>0.0253937097041328</v>
      </c>
      <c r="O1941" s="25" t="n">
        <f aca="false">IF(AND(B1941&gt;=DATE(2026,1,1),B1941&lt;=Resumen!$C$5),1,0)</f>
        <v>0</v>
      </c>
      <c r="P1941" s="25" t="n">
        <f aca="false">IF(AND(B1941&gt;Resumen!$C$5,B1941&lt;=DATE(2027,7,31)),1,0)</f>
        <v>0</v>
      </c>
    </row>
    <row r="1942" customFormat="false" ht="15" hidden="false" customHeight="false" outlineLevel="0" collapsed="false">
      <c r="A1942" s="22" t="n">
        <v>26</v>
      </c>
      <c r="B1942" s="23" t="n">
        <v>45926</v>
      </c>
      <c r="C1942" s="28" t="n">
        <v>664143701</v>
      </c>
      <c r="D1942" s="28" t="n">
        <v>16865072.3450224</v>
      </c>
      <c r="E1942" s="28" t="n">
        <v>14586381</v>
      </c>
      <c r="F1942" s="28" t="n">
        <v>31451453.3450224</v>
      </c>
      <c r="G1942" s="28" t="n">
        <v>649557320</v>
      </c>
      <c r="H1942" s="25" t="n">
        <f aca="false">J1941</f>
        <v>664143701</v>
      </c>
      <c r="I1942" s="25" t="n">
        <f aca="false">H1942*N1942</f>
        <v>16865072.3450224</v>
      </c>
      <c r="J1942" s="25" t="n">
        <f aca="false">H1942+I1942-F1942</f>
        <v>649557320</v>
      </c>
      <c r="K1942" s="25" t="n">
        <f aca="false">D1942-I1942</f>
        <v>0</v>
      </c>
      <c r="L1942" s="25" t="n">
        <f aca="false">G1942-J1942</f>
        <v>0</v>
      </c>
      <c r="M1942" s="25" t="n">
        <f aca="false">F1942</f>
        <v>31451453.3450224</v>
      </c>
      <c r="N1942" s="49" t="n">
        <f aca="false">$C$1911</f>
        <v>0.0253937097041328</v>
      </c>
      <c r="O1942" s="25" t="n">
        <f aca="false">IF(AND(B1942&gt;=DATE(2026,1,1),B1942&lt;=Resumen!$C$5),1,0)</f>
        <v>0</v>
      </c>
      <c r="P1942" s="25" t="n">
        <f aca="false">IF(AND(B1942&gt;Resumen!$C$5,B1942&lt;=DATE(2027,7,31)),1,0)</f>
        <v>0</v>
      </c>
    </row>
    <row r="1943" customFormat="false" ht="15" hidden="false" customHeight="false" outlineLevel="0" collapsed="false">
      <c r="A1943" s="22" t="n">
        <v>27</v>
      </c>
      <c r="B1943" s="23" t="n">
        <v>45956</v>
      </c>
      <c r="C1943" s="28" t="n">
        <v>649557320</v>
      </c>
      <c r="D1943" s="28" t="n">
        <v>16494670.0202745</v>
      </c>
      <c r="E1943" s="28" t="n">
        <v>14586381</v>
      </c>
      <c r="F1943" s="28" t="n">
        <v>31081051.0202745</v>
      </c>
      <c r="G1943" s="28" t="n">
        <v>634970939</v>
      </c>
      <c r="H1943" s="25" t="n">
        <f aca="false">J1942</f>
        <v>649557320</v>
      </c>
      <c r="I1943" s="25" t="n">
        <f aca="false">H1943*N1943</f>
        <v>16494670.0202745</v>
      </c>
      <c r="J1943" s="25" t="n">
        <f aca="false">H1943+I1943-F1943</f>
        <v>634970939</v>
      </c>
      <c r="K1943" s="25" t="n">
        <f aca="false">D1943-I1943</f>
        <v>0</v>
      </c>
      <c r="L1943" s="25" t="n">
        <f aca="false">G1943-J1943</f>
        <v>0</v>
      </c>
      <c r="M1943" s="25" t="n">
        <f aca="false">F1943</f>
        <v>31081051.0202745</v>
      </c>
      <c r="N1943" s="49" t="n">
        <f aca="false">$C$1911</f>
        <v>0.0253937097041328</v>
      </c>
      <c r="O1943" s="25" t="n">
        <f aca="false">IF(AND(B1943&gt;=DATE(2026,1,1),B1943&lt;=Resumen!$C$5),1,0)</f>
        <v>0</v>
      </c>
      <c r="P1943" s="25" t="n">
        <f aca="false">IF(AND(B1943&gt;Resumen!$C$5,B1943&lt;=DATE(2027,7,31)),1,0)</f>
        <v>0</v>
      </c>
    </row>
    <row r="1944" customFormat="false" ht="15" hidden="false" customHeight="false" outlineLevel="0" collapsed="false">
      <c r="A1944" s="22" t="n">
        <v>28</v>
      </c>
      <c r="B1944" s="23" t="n">
        <v>45987</v>
      </c>
      <c r="C1944" s="28" t="n">
        <v>634970939</v>
      </c>
      <c r="D1944" s="28" t="n">
        <v>16124267.6955266</v>
      </c>
      <c r="E1944" s="28" t="n">
        <v>14586381</v>
      </c>
      <c r="F1944" s="28" t="n">
        <v>30710648.6955266</v>
      </c>
      <c r="G1944" s="28" t="n">
        <v>620384558</v>
      </c>
      <c r="H1944" s="25" t="n">
        <f aca="false">J1943</f>
        <v>634970939</v>
      </c>
      <c r="I1944" s="25" t="n">
        <f aca="false">H1944*N1944</f>
        <v>16124267.6955266</v>
      </c>
      <c r="J1944" s="25" t="n">
        <f aca="false">H1944+I1944-F1944</f>
        <v>620384558</v>
      </c>
      <c r="K1944" s="25" t="n">
        <f aca="false">D1944-I1944</f>
        <v>0</v>
      </c>
      <c r="L1944" s="25" t="n">
        <f aca="false">G1944-J1944</f>
        <v>0</v>
      </c>
      <c r="M1944" s="25" t="n">
        <f aca="false">F1944</f>
        <v>30710648.6955266</v>
      </c>
      <c r="N1944" s="49" t="n">
        <f aca="false">$C$1911</f>
        <v>0.0253937097041328</v>
      </c>
      <c r="O1944" s="25" t="n">
        <f aca="false">IF(AND(B1944&gt;=DATE(2026,1,1),B1944&lt;=Resumen!$C$5),1,0)</f>
        <v>0</v>
      </c>
      <c r="P1944" s="25" t="n">
        <f aca="false">IF(AND(B1944&gt;Resumen!$C$5,B1944&lt;=DATE(2027,7,31)),1,0)</f>
        <v>0</v>
      </c>
    </row>
    <row r="1945" customFormat="false" ht="15" hidden="false" customHeight="false" outlineLevel="0" collapsed="false">
      <c r="A1945" s="22" t="n">
        <v>29</v>
      </c>
      <c r="B1945" s="23" t="n">
        <v>46017</v>
      </c>
      <c r="C1945" s="28" t="n">
        <v>620384558</v>
      </c>
      <c r="D1945" s="28" t="n">
        <v>15753865.3707787</v>
      </c>
      <c r="E1945" s="28" t="n">
        <v>14586381</v>
      </c>
      <c r="F1945" s="28" t="n">
        <v>30340246.3707787</v>
      </c>
      <c r="G1945" s="28" t="n">
        <v>605798177</v>
      </c>
      <c r="H1945" s="25" t="n">
        <f aca="false">J1944</f>
        <v>620384558</v>
      </c>
      <c r="I1945" s="25" t="n">
        <f aca="false">H1945*N1945</f>
        <v>15753865.3707787</v>
      </c>
      <c r="J1945" s="25" t="n">
        <f aca="false">H1945+I1945-F1945</f>
        <v>605798177</v>
      </c>
      <c r="K1945" s="25" t="n">
        <f aca="false">D1945-I1945</f>
        <v>0</v>
      </c>
      <c r="L1945" s="25" t="n">
        <f aca="false">G1945-J1945</f>
        <v>0</v>
      </c>
      <c r="M1945" s="25" t="n">
        <f aca="false">F1945</f>
        <v>30340246.3707787</v>
      </c>
      <c r="N1945" s="49" t="n">
        <f aca="false">$C$1911</f>
        <v>0.0253937097041328</v>
      </c>
      <c r="O1945" s="25" t="n">
        <f aca="false">IF(AND(B1945&gt;=DATE(2026,1,1),B1945&lt;=Resumen!$C$5),1,0)</f>
        <v>0</v>
      </c>
      <c r="P1945" s="25" t="n">
        <f aca="false">IF(AND(B1945&gt;Resumen!$C$5,B1945&lt;=DATE(2027,7,31)),1,0)</f>
        <v>0</v>
      </c>
    </row>
    <row r="1946" customFormat="false" ht="15" hidden="false" customHeight="false" outlineLevel="0" collapsed="false">
      <c r="A1946" s="22" t="n">
        <v>30</v>
      </c>
      <c r="B1946" s="23" t="n">
        <v>46048</v>
      </c>
      <c r="C1946" s="28" t="n">
        <v>605798177</v>
      </c>
      <c r="D1946" s="28" t="n">
        <v>15383463.0460309</v>
      </c>
      <c r="E1946" s="28" t="n">
        <v>14586381</v>
      </c>
      <c r="F1946" s="28" t="n">
        <v>29969844.0460309</v>
      </c>
      <c r="G1946" s="28" t="n">
        <v>591211796</v>
      </c>
      <c r="H1946" s="25" t="n">
        <f aca="false">J1945</f>
        <v>605798177</v>
      </c>
      <c r="I1946" s="25" t="n">
        <f aca="false">H1946*N1946</f>
        <v>15383463.0460309</v>
      </c>
      <c r="J1946" s="25" t="n">
        <f aca="false">H1946+I1946-F1946</f>
        <v>591211796</v>
      </c>
      <c r="K1946" s="25" t="n">
        <f aca="false">D1946-I1946</f>
        <v>0</v>
      </c>
      <c r="L1946" s="25" t="n">
        <f aca="false">G1946-J1946</f>
        <v>0</v>
      </c>
      <c r="M1946" s="25" t="n">
        <f aca="false">F1946</f>
        <v>29969844.0460309</v>
      </c>
      <c r="N1946" s="49" t="n">
        <f aca="false">$C$1911</f>
        <v>0.0253937097041328</v>
      </c>
      <c r="O1946" s="25" t="n">
        <f aca="false">IF(AND(B1946&gt;=DATE(2026,1,1),B1946&lt;=Resumen!$C$5),1,0)</f>
        <v>1</v>
      </c>
      <c r="P1946" s="25" t="n">
        <f aca="false">IF(AND(B1946&gt;Resumen!$C$5,B1946&lt;=DATE(2027,7,31)),1,0)</f>
        <v>0</v>
      </c>
    </row>
    <row r="1947" customFormat="false" ht="15" hidden="false" customHeight="false" outlineLevel="0" collapsed="false">
      <c r="A1947" s="22" t="n">
        <v>31</v>
      </c>
      <c r="B1947" s="23" t="n">
        <v>46079</v>
      </c>
      <c r="C1947" s="28" t="n">
        <v>591211796</v>
      </c>
      <c r="D1947" s="28" t="n">
        <v>15013060.721283</v>
      </c>
      <c r="E1947" s="28" t="n">
        <v>14586381</v>
      </c>
      <c r="F1947" s="28" t="n">
        <v>29599441.721283</v>
      </c>
      <c r="G1947" s="28" t="n">
        <v>576625415</v>
      </c>
      <c r="H1947" s="25" t="n">
        <f aca="false">J1946</f>
        <v>591211796</v>
      </c>
      <c r="I1947" s="25" t="n">
        <f aca="false">H1947*N1947</f>
        <v>15013060.721283</v>
      </c>
      <c r="J1947" s="25" t="n">
        <f aca="false">H1947+I1947-F1947</f>
        <v>576625415</v>
      </c>
      <c r="K1947" s="25" t="n">
        <f aca="false">D1947-I1947</f>
        <v>0</v>
      </c>
      <c r="L1947" s="25" t="n">
        <f aca="false">G1947-J1947</f>
        <v>0</v>
      </c>
      <c r="M1947" s="25" t="n">
        <f aca="false">F1947</f>
        <v>29599441.721283</v>
      </c>
      <c r="N1947" s="49" t="n">
        <f aca="false">$C$1911</f>
        <v>0.0253937097041328</v>
      </c>
      <c r="O1947" s="25" t="n">
        <f aca="false">IF(AND(B1947&gt;=DATE(2026,1,1),B1947&lt;=Resumen!$C$5),1,0)</f>
        <v>1</v>
      </c>
      <c r="P1947" s="25" t="n">
        <f aca="false">IF(AND(B1947&gt;Resumen!$C$5,B1947&lt;=DATE(2027,7,31)),1,0)</f>
        <v>0</v>
      </c>
    </row>
    <row r="1948" customFormat="false" ht="15" hidden="false" customHeight="false" outlineLevel="0" collapsed="false">
      <c r="A1948" s="22" t="n">
        <v>32</v>
      </c>
      <c r="B1948" s="23" t="n">
        <v>46107</v>
      </c>
      <c r="C1948" s="28" t="n">
        <v>576625415</v>
      </c>
      <c r="D1948" s="28" t="n">
        <v>14642658.3965351</v>
      </c>
      <c r="E1948" s="28" t="n">
        <v>14586381</v>
      </c>
      <c r="F1948" s="28" t="n">
        <v>29229039.3965351</v>
      </c>
      <c r="G1948" s="28" t="n">
        <v>562039034</v>
      </c>
      <c r="H1948" s="25" t="n">
        <f aca="false">J1947</f>
        <v>576625415</v>
      </c>
      <c r="I1948" s="25" t="n">
        <f aca="false">H1948*N1948</f>
        <v>14642658.3965351</v>
      </c>
      <c r="J1948" s="25" t="n">
        <f aca="false">H1948+I1948-F1948</f>
        <v>562039034</v>
      </c>
      <c r="K1948" s="25" t="n">
        <f aca="false">D1948-I1948</f>
        <v>0</v>
      </c>
      <c r="L1948" s="25" t="n">
        <f aca="false">G1948-J1948</f>
        <v>0</v>
      </c>
      <c r="M1948" s="25" t="n">
        <f aca="false">F1948</f>
        <v>29229039.3965351</v>
      </c>
      <c r="N1948" s="49" t="n">
        <f aca="false">$C$1911</f>
        <v>0.0253937097041328</v>
      </c>
      <c r="O1948" s="25" t="n">
        <f aca="false">IF(AND(B1948&gt;=DATE(2026,1,1),B1948&lt;=Resumen!$C$5),1,0)</f>
        <v>1</v>
      </c>
      <c r="P1948" s="25" t="n">
        <f aca="false">IF(AND(B1948&gt;Resumen!$C$5,B1948&lt;=DATE(2027,7,31)),1,0)</f>
        <v>0</v>
      </c>
    </row>
    <row r="1949" customFormat="false" ht="15" hidden="false" customHeight="false" outlineLevel="0" collapsed="false">
      <c r="A1949" s="22" t="n">
        <v>33</v>
      </c>
      <c r="B1949" s="23" t="n">
        <v>46138</v>
      </c>
      <c r="C1949" s="28" t="n">
        <v>562039034</v>
      </c>
      <c r="D1949" s="28" t="n">
        <v>14272256.0717872</v>
      </c>
      <c r="E1949" s="28" t="n">
        <v>14586381</v>
      </c>
      <c r="F1949" s="28" t="n">
        <v>28858637.0717872</v>
      </c>
      <c r="G1949" s="28" t="n">
        <v>547452653</v>
      </c>
      <c r="H1949" s="25" t="n">
        <f aca="false">J1948</f>
        <v>562039034</v>
      </c>
      <c r="I1949" s="25" t="n">
        <f aca="false">H1949*N1949</f>
        <v>14272256.0717872</v>
      </c>
      <c r="J1949" s="25" t="n">
        <f aca="false">H1949+I1949-F1949</f>
        <v>547452653</v>
      </c>
      <c r="K1949" s="25" t="n">
        <f aca="false">D1949-I1949</f>
        <v>0</v>
      </c>
      <c r="L1949" s="25" t="n">
        <f aca="false">G1949-J1949</f>
        <v>0</v>
      </c>
      <c r="M1949" s="25" t="n">
        <f aca="false">F1949</f>
        <v>28858637.0717872</v>
      </c>
      <c r="N1949" s="49" t="n">
        <f aca="false">$C$1911</f>
        <v>0.0253937097041328</v>
      </c>
      <c r="O1949" s="25" t="n">
        <f aca="false">IF(AND(B1949&gt;=DATE(2026,1,1),B1949&lt;=Resumen!$C$5),1,0)</f>
        <v>1</v>
      </c>
      <c r="P1949" s="25" t="n">
        <f aca="false">IF(AND(B1949&gt;Resumen!$C$5,B1949&lt;=DATE(2027,7,31)),1,0)</f>
        <v>0</v>
      </c>
    </row>
    <row r="1950" customFormat="false" ht="15" hidden="false" customHeight="false" outlineLevel="0" collapsed="false">
      <c r="A1950" s="22" t="n">
        <v>34</v>
      </c>
      <c r="B1950" s="23" t="n">
        <v>46168</v>
      </c>
      <c r="C1950" s="28" t="n">
        <v>547452653</v>
      </c>
      <c r="D1950" s="28" t="n">
        <v>13901853.7470393</v>
      </c>
      <c r="E1950" s="28" t="n">
        <v>14586381</v>
      </c>
      <c r="F1950" s="28" t="n">
        <v>28488234.7470393</v>
      </c>
      <c r="G1950" s="28" t="n">
        <v>532866272</v>
      </c>
      <c r="H1950" s="25" t="n">
        <f aca="false">J1949</f>
        <v>547452653</v>
      </c>
      <c r="I1950" s="25" t="n">
        <f aca="false">H1950*N1950</f>
        <v>13901853.7470393</v>
      </c>
      <c r="J1950" s="25" t="n">
        <f aca="false">H1950+I1950-F1950</f>
        <v>532866272</v>
      </c>
      <c r="K1950" s="25" t="n">
        <f aca="false">D1950-I1950</f>
        <v>0</v>
      </c>
      <c r="L1950" s="25" t="n">
        <f aca="false">G1950-J1950</f>
        <v>0</v>
      </c>
      <c r="M1950" s="25" t="n">
        <f aca="false">F1950</f>
        <v>28488234.7470393</v>
      </c>
      <c r="N1950" s="49" t="n">
        <f aca="false">$C$1911</f>
        <v>0.0253937097041328</v>
      </c>
      <c r="O1950" s="25" t="n">
        <f aca="false">IF(AND(B1950&gt;=DATE(2026,1,1),B1950&lt;=Resumen!$C$5),1,0)</f>
        <v>1</v>
      </c>
      <c r="P1950" s="25" t="n">
        <f aca="false">IF(AND(B1950&gt;Resumen!$C$5,B1950&lt;=DATE(2027,7,31)),1,0)</f>
        <v>0</v>
      </c>
    </row>
    <row r="1951" customFormat="false" ht="15" hidden="false" customHeight="false" outlineLevel="0" collapsed="false">
      <c r="A1951" s="22" t="n">
        <v>35</v>
      </c>
      <c r="B1951" s="23" t="n">
        <v>46199</v>
      </c>
      <c r="C1951" s="28" t="n">
        <v>532866272</v>
      </c>
      <c r="D1951" s="28" t="n">
        <v>13531451.4222915</v>
      </c>
      <c r="E1951" s="28" t="n">
        <v>14586381</v>
      </c>
      <c r="F1951" s="28" t="n">
        <v>28117832.4222915</v>
      </c>
      <c r="G1951" s="28" t="n">
        <v>518279891</v>
      </c>
      <c r="H1951" s="25" t="n">
        <f aca="false">J1950</f>
        <v>532866272</v>
      </c>
      <c r="I1951" s="25" t="n">
        <f aca="false">H1951*N1951</f>
        <v>13531451.4222915</v>
      </c>
      <c r="J1951" s="25" t="n">
        <f aca="false">H1951+I1951-F1951</f>
        <v>518279891</v>
      </c>
      <c r="K1951" s="25" t="n">
        <f aca="false">D1951-I1951</f>
        <v>0</v>
      </c>
      <c r="L1951" s="25" t="n">
        <f aca="false">G1951-J1951</f>
        <v>0</v>
      </c>
      <c r="M1951" s="25" t="n">
        <f aca="false">F1951</f>
        <v>28117832.4222915</v>
      </c>
      <c r="N1951" s="49" t="n">
        <f aca="false">$C$1911</f>
        <v>0.0253937097041328</v>
      </c>
      <c r="O1951" s="25" t="n">
        <f aca="false">IF(AND(B1951&gt;=DATE(2026,1,1),B1951&lt;=Resumen!$C$5),1,0)</f>
        <v>1</v>
      </c>
      <c r="P1951" s="25" t="n">
        <f aca="false">IF(AND(B1951&gt;Resumen!$C$5,B1951&lt;=DATE(2027,7,31)),1,0)</f>
        <v>0</v>
      </c>
    </row>
    <row r="1952" customFormat="false" ht="15" hidden="false" customHeight="false" outlineLevel="0" collapsed="false">
      <c r="A1952" s="22" t="n">
        <v>36</v>
      </c>
      <c r="B1952" s="23" t="n">
        <v>46229</v>
      </c>
      <c r="C1952" s="28" t="n">
        <v>518279891</v>
      </c>
      <c r="D1952" s="28" t="n">
        <v>13161049.0975436</v>
      </c>
      <c r="E1952" s="28" t="n">
        <v>14586381</v>
      </c>
      <c r="F1952" s="28" t="n">
        <v>27747430.0975436</v>
      </c>
      <c r="G1952" s="28" t="n">
        <v>503693510</v>
      </c>
      <c r="H1952" s="25" t="n">
        <f aca="false">J1951</f>
        <v>518279891</v>
      </c>
      <c r="I1952" s="25" t="n">
        <f aca="false">H1952*N1952</f>
        <v>13161049.0975436</v>
      </c>
      <c r="J1952" s="25" t="n">
        <f aca="false">H1952+I1952-F1952</f>
        <v>503693510</v>
      </c>
      <c r="K1952" s="25" t="n">
        <f aca="false">D1952-I1952</f>
        <v>0</v>
      </c>
      <c r="L1952" s="25" t="n">
        <f aca="false">G1952-J1952</f>
        <v>0</v>
      </c>
      <c r="M1952" s="25" t="n">
        <f aca="false">F1952</f>
        <v>27747430.0975436</v>
      </c>
      <c r="N1952" s="49" t="n">
        <f aca="false">$C$1911</f>
        <v>0.0253937097041328</v>
      </c>
      <c r="O1952" s="25" t="n">
        <f aca="false">IF(AND(B1952&gt;=DATE(2026,1,1),B1952&lt;=Resumen!$C$5),1,0)</f>
        <v>1</v>
      </c>
      <c r="P1952" s="25" t="n">
        <f aca="false">IF(AND(B1952&gt;Resumen!$C$5,B1952&lt;=DATE(2027,7,31)),1,0)</f>
        <v>0</v>
      </c>
    </row>
    <row r="1953" customFormat="false" ht="15" hidden="false" customHeight="false" outlineLevel="0" collapsed="false">
      <c r="A1953" s="22" t="n">
        <v>37</v>
      </c>
      <c r="B1953" s="23" t="n">
        <v>46260</v>
      </c>
      <c r="C1953" s="28" t="n">
        <v>503693510</v>
      </c>
      <c r="D1953" s="28" t="n">
        <v>12790646.7727957</v>
      </c>
      <c r="E1953" s="28" t="n">
        <v>14586381</v>
      </c>
      <c r="F1953" s="28" t="n">
        <v>27377027.7727957</v>
      </c>
      <c r="G1953" s="28" t="n">
        <v>489107129</v>
      </c>
      <c r="H1953" s="25" t="n">
        <f aca="false">J1952</f>
        <v>503693510</v>
      </c>
      <c r="I1953" s="25" t="n">
        <f aca="false">H1953*N1953</f>
        <v>12790646.7727957</v>
      </c>
      <c r="J1953" s="25" t="n">
        <f aca="false">H1953+I1953-F1953</f>
        <v>489107129</v>
      </c>
      <c r="K1953" s="25" t="n">
        <f aca="false">D1953-I1953</f>
        <v>0</v>
      </c>
      <c r="L1953" s="25" t="n">
        <f aca="false">G1953-J1953</f>
        <v>0</v>
      </c>
      <c r="M1953" s="25" t="n">
        <f aca="false">F1953</f>
        <v>27377027.7727957</v>
      </c>
      <c r="N1953" s="49" t="n">
        <f aca="false">$C$1911</f>
        <v>0.0253937097041328</v>
      </c>
      <c r="O1953" s="25" t="n">
        <f aca="false">IF(AND(B1953&gt;=DATE(2026,1,1),B1953&lt;=Resumen!$C$5),1,0)</f>
        <v>0</v>
      </c>
      <c r="P1953" s="25" t="n">
        <f aca="false">IF(AND(B1953&gt;Resumen!$C$5,B1953&lt;=DATE(2027,7,31)),1,0)</f>
        <v>1</v>
      </c>
    </row>
    <row r="1954" customFormat="false" ht="15" hidden="false" customHeight="false" outlineLevel="0" collapsed="false">
      <c r="A1954" s="22" t="n">
        <v>38</v>
      </c>
      <c r="B1954" s="23" t="n">
        <v>46291</v>
      </c>
      <c r="C1954" s="28" t="n">
        <v>489107129</v>
      </c>
      <c r="D1954" s="28" t="n">
        <v>12420244.4480478</v>
      </c>
      <c r="E1954" s="28" t="n">
        <v>14586381</v>
      </c>
      <c r="F1954" s="28" t="n">
        <v>27006625.4480478</v>
      </c>
      <c r="G1954" s="28" t="n">
        <v>474520748</v>
      </c>
      <c r="H1954" s="25" t="n">
        <f aca="false">J1953</f>
        <v>489107129</v>
      </c>
      <c r="I1954" s="25" t="n">
        <f aca="false">H1954*N1954</f>
        <v>12420244.4480478</v>
      </c>
      <c r="J1954" s="25" t="n">
        <f aca="false">H1954+I1954-F1954</f>
        <v>474520748</v>
      </c>
      <c r="K1954" s="25" t="n">
        <f aca="false">D1954-I1954</f>
        <v>0</v>
      </c>
      <c r="L1954" s="25" t="n">
        <f aca="false">G1954-J1954</f>
        <v>0</v>
      </c>
      <c r="M1954" s="25" t="n">
        <f aca="false">F1954</f>
        <v>27006625.4480478</v>
      </c>
      <c r="N1954" s="49" t="n">
        <f aca="false">$C$1911</f>
        <v>0.0253937097041328</v>
      </c>
      <c r="O1954" s="25" t="n">
        <f aca="false">IF(AND(B1954&gt;=DATE(2026,1,1),B1954&lt;=Resumen!$C$5),1,0)</f>
        <v>0</v>
      </c>
      <c r="P1954" s="25" t="n">
        <f aca="false">IF(AND(B1954&gt;Resumen!$C$5,B1954&lt;=DATE(2027,7,31)),1,0)</f>
        <v>1</v>
      </c>
    </row>
    <row r="1955" customFormat="false" ht="15" hidden="false" customHeight="false" outlineLevel="0" collapsed="false">
      <c r="A1955" s="22" t="n">
        <v>39</v>
      </c>
      <c r="B1955" s="23" t="n">
        <v>46321</v>
      </c>
      <c r="C1955" s="28" t="n">
        <v>474520748</v>
      </c>
      <c r="D1955" s="28" t="n">
        <v>12049842.1233</v>
      </c>
      <c r="E1955" s="28" t="n">
        <v>14586381</v>
      </c>
      <c r="F1955" s="28" t="n">
        <v>26636223.1233</v>
      </c>
      <c r="G1955" s="28" t="n">
        <v>459934367</v>
      </c>
      <c r="H1955" s="25" t="n">
        <f aca="false">J1954</f>
        <v>474520748</v>
      </c>
      <c r="I1955" s="25" t="n">
        <f aca="false">H1955*N1955</f>
        <v>12049842.1233</v>
      </c>
      <c r="J1955" s="25" t="n">
        <f aca="false">H1955+I1955-F1955</f>
        <v>459934367</v>
      </c>
      <c r="K1955" s="25" t="n">
        <f aca="false">D1955-I1955</f>
        <v>0</v>
      </c>
      <c r="L1955" s="25" t="n">
        <f aca="false">G1955-J1955</f>
        <v>0</v>
      </c>
      <c r="M1955" s="25" t="n">
        <f aca="false">F1955</f>
        <v>26636223.1233</v>
      </c>
      <c r="N1955" s="49" t="n">
        <f aca="false">$C$1911</f>
        <v>0.0253937097041328</v>
      </c>
      <c r="O1955" s="25" t="n">
        <f aca="false">IF(AND(B1955&gt;=DATE(2026,1,1),B1955&lt;=Resumen!$C$5),1,0)</f>
        <v>0</v>
      </c>
      <c r="P1955" s="25" t="n">
        <f aca="false">IF(AND(B1955&gt;Resumen!$C$5,B1955&lt;=DATE(2027,7,31)),1,0)</f>
        <v>1</v>
      </c>
    </row>
    <row r="1956" customFormat="false" ht="15" hidden="false" customHeight="false" outlineLevel="0" collapsed="false">
      <c r="A1956" s="22" t="n">
        <v>40</v>
      </c>
      <c r="B1956" s="23" t="n">
        <v>46352</v>
      </c>
      <c r="C1956" s="28" t="n">
        <v>459934367</v>
      </c>
      <c r="D1956" s="28" t="n">
        <v>11679439.7985521</v>
      </c>
      <c r="E1956" s="28" t="n">
        <v>14586381</v>
      </c>
      <c r="F1956" s="28" t="n">
        <v>26265820.7985521</v>
      </c>
      <c r="G1956" s="28" t="n">
        <v>445347986</v>
      </c>
      <c r="H1956" s="25" t="n">
        <f aca="false">J1955</f>
        <v>459934367</v>
      </c>
      <c r="I1956" s="25" t="n">
        <f aca="false">H1956*N1956</f>
        <v>11679439.7985521</v>
      </c>
      <c r="J1956" s="25" t="n">
        <f aca="false">H1956+I1956-F1956</f>
        <v>445347986</v>
      </c>
      <c r="K1956" s="25" t="n">
        <f aca="false">D1956-I1956</f>
        <v>0</v>
      </c>
      <c r="L1956" s="25" t="n">
        <f aca="false">G1956-J1956</f>
        <v>0</v>
      </c>
      <c r="M1956" s="25" t="n">
        <f aca="false">F1956</f>
        <v>26265820.7985521</v>
      </c>
      <c r="N1956" s="49" t="n">
        <f aca="false">$C$1911</f>
        <v>0.0253937097041328</v>
      </c>
      <c r="O1956" s="25" t="n">
        <f aca="false">IF(AND(B1956&gt;=DATE(2026,1,1),B1956&lt;=Resumen!$C$5),1,0)</f>
        <v>0</v>
      </c>
      <c r="P1956" s="25" t="n">
        <f aca="false">IF(AND(B1956&gt;Resumen!$C$5,B1956&lt;=DATE(2027,7,31)),1,0)</f>
        <v>1</v>
      </c>
    </row>
    <row r="1957" customFormat="false" ht="15" hidden="false" customHeight="false" outlineLevel="0" collapsed="false">
      <c r="A1957" s="22" t="n">
        <v>41</v>
      </c>
      <c r="B1957" s="23" t="n">
        <v>46382</v>
      </c>
      <c r="C1957" s="28" t="n">
        <v>445347986</v>
      </c>
      <c r="D1957" s="28" t="n">
        <v>11309037.4738042</v>
      </c>
      <c r="E1957" s="28" t="n">
        <v>14586381</v>
      </c>
      <c r="F1957" s="28" t="n">
        <v>25895418.4738042</v>
      </c>
      <c r="G1957" s="28" t="n">
        <v>430761605</v>
      </c>
      <c r="H1957" s="25" t="n">
        <f aca="false">J1956</f>
        <v>445347986</v>
      </c>
      <c r="I1957" s="25" t="n">
        <f aca="false">H1957*N1957</f>
        <v>11309037.4738042</v>
      </c>
      <c r="J1957" s="25" t="n">
        <f aca="false">H1957+I1957-F1957</f>
        <v>430761605</v>
      </c>
      <c r="K1957" s="25" t="n">
        <f aca="false">D1957-I1957</f>
        <v>0</v>
      </c>
      <c r="L1957" s="25" t="n">
        <f aca="false">G1957-J1957</f>
        <v>0</v>
      </c>
      <c r="M1957" s="25" t="n">
        <f aca="false">F1957</f>
        <v>25895418.4738042</v>
      </c>
      <c r="N1957" s="49" t="n">
        <f aca="false">$C$1911</f>
        <v>0.0253937097041328</v>
      </c>
      <c r="O1957" s="25" t="n">
        <f aca="false">IF(AND(B1957&gt;=DATE(2026,1,1),B1957&lt;=Resumen!$C$5),1,0)</f>
        <v>0</v>
      </c>
      <c r="P1957" s="25" t="n">
        <f aca="false">IF(AND(B1957&gt;Resumen!$C$5,B1957&lt;=DATE(2027,7,31)),1,0)</f>
        <v>1</v>
      </c>
    </row>
    <row r="1958" customFormat="false" ht="15" hidden="false" customHeight="false" outlineLevel="0" collapsed="false">
      <c r="A1958" s="22" t="n">
        <v>42</v>
      </c>
      <c r="B1958" s="23" t="n">
        <v>46413</v>
      </c>
      <c r="C1958" s="28" t="n">
        <v>430761605</v>
      </c>
      <c r="D1958" s="28" t="n">
        <v>10938635.1490563</v>
      </c>
      <c r="E1958" s="28" t="n">
        <v>14586381</v>
      </c>
      <c r="F1958" s="28" t="n">
        <v>25525016.1490563</v>
      </c>
      <c r="G1958" s="28" t="n">
        <v>416175224</v>
      </c>
      <c r="H1958" s="25" t="n">
        <f aca="false">J1957</f>
        <v>430761605</v>
      </c>
      <c r="I1958" s="25" t="n">
        <f aca="false">H1958*N1958</f>
        <v>10938635.1490563</v>
      </c>
      <c r="J1958" s="25" t="n">
        <f aca="false">H1958+I1958-F1958</f>
        <v>416175224</v>
      </c>
      <c r="K1958" s="25" t="n">
        <f aca="false">D1958-I1958</f>
        <v>0</v>
      </c>
      <c r="L1958" s="25" t="n">
        <f aca="false">G1958-J1958</f>
        <v>0</v>
      </c>
      <c r="M1958" s="25" t="n">
        <f aca="false">F1958</f>
        <v>25525016.1490563</v>
      </c>
      <c r="N1958" s="49" t="n">
        <f aca="false">$C$1911</f>
        <v>0.0253937097041328</v>
      </c>
      <c r="O1958" s="25" t="n">
        <f aca="false">IF(AND(B1958&gt;=DATE(2026,1,1),B1958&lt;=Resumen!$C$5),1,0)</f>
        <v>0</v>
      </c>
      <c r="P1958" s="25" t="n">
        <f aca="false">IF(AND(B1958&gt;Resumen!$C$5,B1958&lt;=DATE(2027,7,31)),1,0)</f>
        <v>1</v>
      </c>
    </row>
    <row r="1959" customFormat="false" ht="15" hidden="false" customHeight="false" outlineLevel="0" collapsed="false">
      <c r="A1959" s="22" t="n">
        <v>43</v>
      </c>
      <c r="B1959" s="23" t="n">
        <v>46444</v>
      </c>
      <c r="C1959" s="28" t="n">
        <v>416175224</v>
      </c>
      <c r="D1959" s="28" t="n">
        <v>10568232.8243084</v>
      </c>
      <c r="E1959" s="28" t="n">
        <v>14586381</v>
      </c>
      <c r="F1959" s="28" t="n">
        <v>25154613.8243084</v>
      </c>
      <c r="G1959" s="28" t="n">
        <v>401588843</v>
      </c>
      <c r="H1959" s="25" t="n">
        <f aca="false">J1958</f>
        <v>416175224</v>
      </c>
      <c r="I1959" s="25" t="n">
        <f aca="false">H1959*N1959</f>
        <v>10568232.8243084</v>
      </c>
      <c r="J1959" s="25" t="n">
        <f aca="false">H1959+I1959-F1959</f>
        <v>401588843</v>
      </c>
      <c r="K1959" s="25" t="n">
        <f aca="false">D1959-I1959</f>
        <v>0</v>
      </c>
      <c r="L1959" s="25" t="n">
        <f aca="false">G1959-J1959</f>
        <v>0</v>
      </c>
      <c r="M1959" s="25" t="n">
        <f aca="false">F1959</f>
        <v>25154613.8243084</v>
      </c>
      <c r="N1959" s="49" t="n">
        <f aca="false">$C$1911</f>
        <v>0.0253937097041328</v>
      </c>
      <c r="O1959" s="25" t="n">
        <f aca="false">IF(AND(B1959&gt;=DATE(2026,1,1),B1959&lt;=Resumen!$C$5),1,0)</f>
        <v>0</v>
      </c>
      <c r="P1959" s="25" t="n">
        <f aca="false">IF(AND(B1959&gt;Resumen!$C$5,B1959&lt;=DATE(2027,7,31)),1,0)</f>
        <v>1</v>
      </c>
    </row>
    <row r="1960" customFormat="false" ht="15" hidden="false" customHeight="false" outlineLevel="0" collapsed="false">
      <c r="A1960" s="22" t="n">
        <v>44</v>
      </c>
      <c r="B1960" s="23" t="n">
        <v>46472</v>
      </c>
      <c r="C1960" s="28" t="n">
        <v>401588843</v>
      </c>
      <c r="D1960" s="28" t="n">
        <v>10197830.4995606</v>
      </c>
      <c r="E1960" s="28" t="n">
        <v>14586381</v>
      </c>
      <c r="F1960" s="28" t="n">
        <v>24784211.4995606</v>
      </c>
      <c r="G1960" s="28" t="n">
        <v>387002462</v>
      </c>
      <c r="H1960" s="25" t="n">
        <f aca="false">J1959</f>
        <v>401588843</v>
      </c>
      <c r="I1960" s="25" t="n">
        <f aca="false">H1960*N1960</f>
        <v>10197830.4995606</v>
      </c>
      <c r="J1960" s="25" t="n">
        <f aca="false">H1960+I1960-F1960</f>
        <v>387002462</v>
      </c>
      <c r="K1960" s="25" t="n">
        <f aca="false">D1960-I1960</f>
        <v>0</v>
      </c>
      <c r="L1960" s="25" t="n">
        <f aca="false">G1960-J1960</f>
        <v>0</v>
      </c>
      <c r="M1960" s="25" t="n">
        <f aca="false">F1960</f>
        <v>24784211.4995606</v>
      </c>
      <c r="N1960" s="49" t="n">
        <f aca="false">$C$1911</f>
        <v>0.0253937097041328</v>
      </c>
      <c r="O1960" s="25" t="n">
        <f aca="false">IF(AND(B1960&gt;=DATE(2026,1,1),B1960&lt;=Resumen!$C$5),1,0)</f>
        <v>0</v>
      </c>
      <c r="P1960" s="25" t="n">
        <f aca="false">IF(AND(B1960&gt;Resumen!$C$5,B1960&lt;=DATE(2027,7,31)),1,0)</f>
        <v>1</v>
      </c>
    </row>
    <row r="1961" customFormat="false" ht="15" hidden="false" customHeight="false" outlineLevel="0" collapsed="false">
      <c r="A1961" s="22" t="n">
        <v>45</v>
      </c>
      <c r="B1961" s="23" t="n">
        <v>46503</v>
      </c>
      <c r="C1961" s="28" t="n">
        <v>387002462</v>
      </c>
      <c r="D1961" s="28" t="n">
        <v>9827428.17481268</v>
      </c>
      <c r="E1961" s="28" t="n">
        <v>14586381</v>
      </c>
      <c r="F1961" s="28" t="n">
        <v>24413809.1748127</v>
      </c>
      <c r="G1961" s="28" t="n">
        <v>372416081</v>
      </c>
      <c r="H1961" s="25" t="n">
        <f aca="false">J1960</f>
        <v>387002462</v>
      </c>
      <c r="I1961" s="25" t="n">
        <f aca="false">H1961*N1961</f>
        <v>9827428.17481268</v>
      </c>
      <c r="J1961" s="25" t="n">
        <f aca="false">H1961+I1961-F1961</f>
        <v>372416081</v>
      </c>
      <c r="K1961" s="25" t="n">
        <f aca="false">D1961-I1961</f>
        <v>0</v>
      </c>
      <c r="L1961" s="25" t="n">
        <f aca="false">G1961-J1961</f>
        <v>0</v>
      </c>
      <c r="M1961" s="25" t="n">
        <f aca="false">F1961</f>
        <v>24413809.1748127</v>
      </c>
      <c r="N1961" s="49" t="n">
        <f aca="false">$C$1911</f>
        <v>0.0253937097041328</v>
      </c>
      <c r="O1961" s="25" t="n">
        <f aca="false">IF(AND(B1961&gt;=DATE(2026,1,1),B1961&lt;=Resumen!$C$5),1,0)</f>
        <v>0</v>
      </c>
      <c r="P1961" s="25" t="n">
        <f aca="false">IF(AND(B1961&gt;Resumen!$C$5,B1961&lt;=DATE(2027,7,31)),1,0)</f>
        <v>1</v>
      </c>
    </row>
    <row r="1962" customFormat="false" ht="15" hidden="false" customHeight="false" outlineLevel="0" collapsed="false">
      <c r="A1962" s="22" t="n">
        <v>46</v>
      </c>
      <c r="B1962" s="23" t="n">
        <v>46533</v>
      </c>
      <c r="C1962" s="28" t="n">
        <v>372416081</v>
      </c>
      <c r="D1962" s="28" t="n">
        <v>9457025.85006481</v>
      </c>
      <c r="E1962" s="28" t="n">
        <v>14586381</v>
      </c>
      <c r="F1962" s="28" t="n">
        <v>24043406.8500648</v>
      </c>
      <c r="G1962" s="28" t="n">
        <v>357829700</v>
      </c>
      <c r="H1962" s="25" t="n">
        <f aca="false">J1961</f>
        <v>372416081</v>
      </c>
      <c r="I1962" s="25" t="n">
        <f aca="false">H1962*N1962</f>
        <v>9457025.85006481</v>
      </c>
      <c r="J1962" s="25" t="n">
        <f aca="false">H1962+I1962-F1962</f>
        <v>357829700</v>
      </c>
      <c r="K1962" s="25" t="n">
        <f aca="false">D1962-I1962</f>
        <v>0</v>
      </c>
      <c r="L1962" s="25" t="n">
        <f aca="false">G1962-J1962</f>
        <v>0</v>
      </c>
      <c r="M1962" s="25" t="n">
        <f aca="false">F1962</f>
        <v>24043406.8500648</v>
      </c>
      <c r="N1962" s="49" t="n">
        <f aca="false">$C$1911</f>
        <v>0.0253937097041328</v>
      </c>
      <c r="O1962" s="25" t="n">
        <f aca="false">IF(AND(B1962&gt;=DATE(2026,1,1),B1962&lt;=Resumen!$C$5),1,0)</f>
        <v>0</v>
      </c>
      <c r="P1962" s="25" t="n">
        <f aca="false">IF(AND(B1962&gt;Resumen!$C$5,B1962&lt;=DATE(2027,7,31)),1,0)</f>
        <v>1</v>
      </c>
    </row>
    <row r="1963" customFormat="false" ht="15" hidden="false" customHeight="false" outlineLevel="0" collapsed="false">
      <c r="A1963" s="22" t="n">
        <v>47</v>
      </c>
      <c r="B1963" s="23" t="n">
        <v>46564</v>
      </c>
      <c r="C1963" s="28" t="n">
        <v>357829700</v>
      </c>
      <c r="D1963" s="28" t="n">
        <v>9086623.52531693</v>
      </c>
      <c r="E1963" s="28" t="n">
        <v>14586381</v>
      </c>
      <c r="F1963" s="28" t="n">
        <v>23673004.5253169</v>
      </c>
      <c r="G1963" s="28" t="n">
        <v>343243319</v>
      </c>
      <c r="H1963" s="25" t="n">
        <f aca="false">J1962</f>
        <v>357829700</v>
      </c>
      <c r="I1963" s="25" t="n">
        <f aca="false">H1963*N1963</f>
        <v>9086623.52531693</v>
      </c>
      <c r="J1963" s="25" t="n">
        <f aca="false">H1963+I1963-F1963</f>
        <v>343243319</v>
      </c>
      <c r="K1963" s="25" t="n">
        <f aca="false">D1963-I1963</f>
        <v>0</v>
      </c>
      <c r="L1963" s="25" t="n">
        <f aca="false">G1963-J1963</f>
        <v>0</v>
      </c>
      <c r="M1963" s="25" t="n">
        <f aca="false">F1963</f>
        <v>23673004.5253169</v>
      </c>
      <c r="N1963" s="49" t="n">
        <f aca="false">$C$1911</f>
        <v>0.0253937097041328</v>
      </c>
      <c r="O1963" s="25" t="n">
        <f aca="false">IF(AND(B1963&gt;=DATE(2026,1,1),B1963&lt;=Resumen!$C$5),1,0)</f>
        <v>0</v>
      </c>
      <c r="P1963" s="25" t="n">
        <f aca="false">IF(AND(B1963&gt;Resumen!$C$5,B1963&lt;=DATE(2027,7,31)),1,0)</f>
        <v>1</v>
      </c>
    </row>
    <row r="1964" customFormat="false" ht="15" hidden="false" customHeight="false" outlineLevel="0" collapsed="false">
      <c r="A1964" s="22" t="n">
        <v>48</v>
      </c>
      <c r="B1964" s="23" t="n">
        <v>46594</v>
      </c>
      <c r="C1964" s="28" t="n">
        <v>343243319</v>
      </c>
      <c r="D1964" s="28" t="n">
        <v>8716221.20056905</v>
      </c>
      <c r="E1964" s="28" t="n">
        <v>14586381</v>
      </c>
      <c r="F1964" s="28" t="n">
        <v>23302602.2005691</v>
      </c>
      <c r="G1964" s="28" t="n">
        <v>328656938</v>
      </c>
      <c r="H1964" s="25" t="n">
        <f aca="false">J1963</f>
        <v>343243319</v>
      </c>
      <c r="I1964" s="25" t="n">
        <f aca="false">H1964*N1964</f>
        <v>8716221.20056905</v>
      </c>
      <c r="J1964" s="25" t="n">
        <f aca="false">H1964+I1964-F1964</f>
        <v>328656938</v>
      </c>
      <c r="K1964" s="25" t="n">
        <f aca="false">D1964-I1964</f>
        <v>0</v>
      </c>
      <c r="L1964" s="25" t="n">
        <f aca="false">G1964-J1964</f>
        <v>0</v>
      </c>
      <c r="M1964" s="25" t="n">
        <f aca="false">F1964</f>
        <v>23302602.2005691</v>
      </c>
      <c r="N1964" s="49" t="n">
        <f aca="false">$C$1911</f>
        <v>0.0253937097041328</v>
      </c>
      <c r="O1964" s="25" t="n">
        <f aca="false">IF(AND(B1964&gt;=DATE(2026,1,1),B1964&lt;=Resumen!$C$5),1,0)</f>
        <v>0</v>
      </c>
      <c r="P1964" s="25" t="n">
        <f aca="false">IF(AND(B1964&gt;Resumen!$C$5,B1964&lt;=DATE(2027,7,31)),1,0)</f>
        <v>1</v>
      </c>
    </row>
    <row r="1965" customFormat="false" ht="15" hidden="false" customHeight="false" outlineLevel="0" collapsed="false">
      <c r="A1965" s="22" t="n">
        <v>49</v>
      </c>
      <c r="B1965" s="23" t="n">
        <v>46625</v>
      </c>
      <c r="C1965" s="28" t="n">
        <v>328656938</v>
      </c>
      <c r="D1965" s="28" t="n">
        <v>8345818.87582117</v>
      </c>
      <c r="E1965" s="28" t="n">
        <v>14586381</v>
      </c>
      <c r="F1965" s="28" t="n">
        <v>22932199.8758212</v>
      </c>
      <c r="G1965" s="28" t="n">
        <v>314070557</v>
      </c>
      <c r="H1965" s="25" t="n">
        <f aca="false">J1964</f>
        <v>328656938</v>
      </c>
      <c r="I1965" s="25" t="n">
        <f aca="false">H1965*N1965</f>
        <v>8345818.87582117</v>
      </c>
      <c r="J1965" s="25" t="n">
        <f aca="false">H1965+I1965-F1965</f>
        <v>314070557</v>
      </c>
      <c r="K1965" s="25" t="n">
        <f aca="false">D1965-I1965</f>
        <v>0</v>
      </c>
      <c r="L1965" s="25" t="n">
        <f aca="false">G1965-J1965</f>
        <v>0</v>
      </c>
      <c r="M1965" s="25" t="n">
        <f aca="false">F1965</f>
        <v>22932199.8758212</v>
      </c>
      <c r="N1965" s="49" t="n">
        <f aca="false">$C$1911</f>
        <v>0.0253937097041328</v>
      </c>
      <c r="O1965" s="25" t="n">
        <f aca="false">IF(AND(B1965&gt;=DATE(2026,1,1),B1965&lt;=Resumen!$C$5),1,0)</f>
        <v>0</v>
      </c>
      <c r="P1965" s="25" t="n">
        <f aca="false">IF(AND(B1965&gt;Resumen!$C$5,B1965&lt;=DATE(2027,7,31)),1,0)</f>
        <v>0</v>
      </c>
    </row>
    <row r="1966" customFormat="false" ht="15" hidden="false" customHeight="false" outlineLevel="0" collapsed="false">
      <c r="A1966" s="22" t="n">
        <v>50</v>
      </c>
      <c r="B1966" s="23" t="n">
        <v>46656</v>
      </c>
      <c r="C1966" s="28" t="n">
        <v>314070557</v>
      </c>
      <c r="D1966" s="28" t="n">
        <v>7975416.55107329</v>
      </c>
      <c r="E1966" s="28" t="n">
        <v>14586381</v>
      </c>
      <c r="F1966" s="28" t="n">
        <v>22561797.5510733</v>
      </c>
      <c r="G1966" s="28" t="n">
        <v>299484176</v>
      </c>
      <c r="H1966" s="25" t="n">
        <f aca="false">J1965</f>
        <v>314070557</v>
      </c>
      <c r="I1966" s="25" t="n">
        <f aca="false">H1966*N1966</f>
        <v>7975416.55107329</v>
      </c>
      <c r="J1966" s="25" t="n">
        <f aca="false">H1966+I1966-F1966</f>
        <v>299484176</v>
      </c>
      <c r="K1966" s="25" t="n">
        <f aca="false">D1966-I1966</f>
        <v>0</v>
      </c>
      <c r="L1966" s="25" t="n">
        <f aca="false">G1966-J1966</f>
        <v>0</v>
      </c>
      <c r="M1966" s="25" t="n">
        <f aca="false">F1966</f>
        <v>22561797.5510733</v>
      </c>
      <c r="N1966" s="49" t="n">
        <f aca="false">$C$1911</f>
        <v>0.0253937097041328</v>
      </c>
      <c r="O1966" s="25" t="n">
        <f aca="false">IF(AND(B1966&gt;=DATE(2026,1,1),B1966&lt;=Resumen!$C$5),1,0)</f>
        <v>0</v>
      </c>
      <c r="P1966" s="25" t="n">
        <f aca="false">IF(AND(B1966&gt;Resumen!$C$5,B1966&lt;=DATE(2027,7,31)),1,0)</f>
        <v>0</v>
      </c>
    </row>
    <row r="1967" customFormat="false" ht="15" hidden="false" customHeight="false" outlineLevel="0" collapsed="false">
      <c r="A1967" s="22" t="n">
        <v>51</v>
      </c>
      <c r="B1967" s="23" t="n">
        <v>46686</v>
      </c>
      <c r="C1967" s="28" t="n">
        <v>299484176</v>
      </c>
      <c r="D1967" s="28" t="n">
        <v>7605014.22632541</v>
      </c>
      <c r="E1967" s="28" t="n">
        <v>14586381</v>
      </c>
      <c r="F1967" s="28" t="n">
        <v>22191395.2263254</v>
      </c>
      <c r="G1967" s="28" t="n">
        <v>284897795</v>
      </c>
      <c r="H1967" s="25" t="n">
        <f aca="false">J1966</f>
        <v>299484176</v>
      </c>
      <c r="I1967" s="25" t="n">
        <f aca="false">H1967*N1967</f>
        <v>7605014.22632542</v>
      </c>
      <c r="J1967" s="25" t="n">
        <f aca="false">H1967+I1967-F1967</f>
        <v>284897795</v>
      </c>
      <c r="K1967" s="25" t="n">
        <f aca="false">D1967-I1967</f>
        <v>0</v>
      </c>
      <c r="L1967" s="25" t="n">
        <f aca="false">G1967-J1967</f>
        <v>0</v>
      </c>
      <c r="M1967" s="25" t="n">
        <f aca="false">F1967</f>
        <v>22191395.2263254</v>
      </c>
      <c r="N1967" s="49" t="n">
        <f aca="false">$C$1911</f>
        <v>0.0253937097041328</v>
      </c>
      <c r="O1967" s="25" t="n">
        <f aca="false">IF(AND(B1967&gt;=DATE(2026,1,1),B1967&lt;=Resumen!$C$5),1,0)</f>
        <v>0</v>
      </c>
      <c r="P1967" s="25" t="n">
        <f aca="false">IF(AND(B1967&gt;Resumen!$C$5,B1967&lt;=DATE(2027,7,31)),1,0)</f>
        <v>0</v>
      </c>
    </row>
    <row r="1968" customFormat="false" ht="15" hidden="false" customHeight="false" outlineLevel="0" collapsed="false">
      <c r="A1968" s="22" t="n">
        <v>52</v>
      </c>
      <c r="B1968" s="23" t="n">
        <v>46717</v>
      </c>
      <c r="C1968" s="28" t="n">
        <v>284897795</v>
      </c>
      <c r="D1968" s="28" t="n">
        <v>7234611.90157754</v>
      </c>
      <c r="E1968" s="28" t="n">
        <v>14586381</v>
      </c>
      <c r="F1968" s="28" t="n">
        <v>21820992.9015775</v>
      </c>
      <c r="G1968" s="28" t="n">
        <v>270311414</v>
      </c>
      <c r="H1968" s="25" t="n">
        <f aca="false">J1967</f>
        <v>284897795</v>
      </c>
      <c r="I1968" s="25" t="n">
        <f aca="false">H1968*N1968</f>
        <v>7234611.90157754</v>
      </c>
      <c r="J1968" s="25" t="n">
        <f aca="false">H1968+I1968-F1968</f>
        <v>270311414</v>
      </c>
      <c r="K1968" s="25" t="n">
        <f aca="false">D1968-I1968</f>
        <v>0</v>
      </c>
      <c r="L1968" s="25" t="n">
        <f aca="false">G1968-J1968</f>
        <v>0</v>
      </c>
      <c r="M1968" s="25" t="n">
        <f aca="false">F1968</f>
        <v>21820992.9015775</v>
      </c>
      <c r="N1968" s="49" t="n">
        <f aca="false">$C$1911</f>
        <v>0.0253937097041328</v>
      </c>
      <c r="O1968" s="25" t="n">
        <f aca="false">IF(AND(B1968&gt;=DATE(2026,1,1),B1968&lt;=Resumen!$C$5),1,0)</f>
        <v>0</v>
      </c>
      <c r="P1968" s="25" t="n">
        <f aca="false">IF(AND(B1968&gt;Resumen!$C$5,B1968&lt;=DATE(2027,7,31)),1,0)</f>
        <v>0</v>
      </c>
    </row>
    <row r="1969" customFormat="false" ht="15" hidden="false" customHeight="false" outlineLevel="0" collapsed="false">
      <c r="A1969" s="22" t="n">
        <v>53</v>
      </c>
      <c r="B1969" s="23" t="n">
        <v>46747</v>
      </c>
      <c r="C1969" s="28" t="n">
        <v>270311414</v>
      </c>
      <c r="D1969" s="28" t="n">
        <v>6864209.57682966</v>
      </c>
      <c r="E1969" s="28" t="n">
        <v>14586381</v>
      </c>
      <c r="F1969" s="28" t="n">
        <v>21450590.5768297</v>
      </c>
      <c r="G1969" s="28" t="n">
        <v>255725033</v>
      </c>
      <c r="H1969" s="25" t="n">
        <f aca="false">J1968</f>
        <v>270311414</v>
      </c>
      <c r="I1969" s="25" t="n">
        <f aca="false">H1969*N1969</f>
        <v>6864209.57682966</v>
      </c>
      <c r="J1969" s="25" t="n">
        <f aca="false">H1969+I1969-F1969</f>
        <v>255725033</v>
      </c>
      <c r="K1969" s="25" t="n">
        <f aca="false">D1969-I1969</f>
        <v>0</v>
      </c>
      <c r="L1969" s="25" t="n">
        <f aca="false">G1969-J1969</f>
        <v>0</v>
      </c>
      <c r="M1969" s="25" t="n">
        <f aca="false">F1969</f>
        <v>21450590.5768297</v>
      </c>
      <c r="N1969" s="49" t="n">
        <f aca="false">$C$1911</f>
        <v>0.0253937097041328</v>
      </c>
      <c r="O1969" s="25" t="n">
        <f aca="false">IF(AND(B1969&gt;=DATE(2026,1,1),B1969&lt;=Resumen!$C$5),1,0)</f>
        <v>0</v>
      </c>
      <c r="P1969" s="25" t="n">
        <f aca="false">IF(AND(B1969&gt;Resumen!$C$5,B1969&lt;=DATE(2027,7,31)),1,0)</f>
        <v>0</v>
      </c>
    </row>
    <row r="1970" customFormat="false" ht="15" hidden="false" customHeight="false" outlineLevel="0" collapsed="false">
      <c r="A1970" s="22" t="n">
        <v>54</v>
      </c>
      <c r="B1970" s="23" t="n">
        <v>46778</v>
      </c>
      <c r="C1970" s="28" t="n">
        <v>255725033</v>
      </c>
      <c r="D1970" s="28" t="n">
        <v>6493807.25208178</v>
      </c>
      <c r="E1970" s="28" t="n">
        <v>14586381</v>
      </c>
      <c r="F1970" s="28" t="n">
        <v>21080188.2520818</v>
      </c>
      <c r="G1970" s="28" t="n">
        <v>241138652</v>
      </c>
      <c r="H1970" s="25" t="n">
        <f aca="false">J1969</f>
        <v>255725033</v>
      </c>
      <c r="I1970" s="25" t="n">
        <f aca="false">H1970*N1970</f>
        <v>6493807.25208178</v>
      </c>
      <c r="J1970" s="25" t="n">
        <f aca="false">H1970+I1970-F1970</f>
        <v>241138652</v>
      </c>
      <c r="K1970" s="25" t="n">
        <f aca="false">D1970-I1970</f>
        <v>0</v>
      </c>
      <c r="L1970" s="25" t="n">
        <f aca="false">G1970-J1970</f>
        <v>0</v>
      </c>
      <c r="M1970" s="25" t="n">
        <f aca="false">F1970</f>
        <v>21080188.2520818</v>
      </c>
      <c r="N1970" s="49" t="n">
        <f aca="false">$C$1911</f>
        <v>0.0253937097041328</v>
      </c>
      <c r="O1970" s="25" t="n">
        <f aca="false">IF(AND(B1970&gt;=DATE(2026,1,1),B1970&lt;=Resumen!$C$5),1,0)</f>
        <v>0</v>
      </c>
      <c r="P1970" s="25" t="n">
        <f aca="false">IF(AND(B1970&gt;Resumen!$C$5,B1970&lt;=DATE(2027,7,31)),1,0)</f>
        <v>0</v>
      </c>
    </row>
    <row r="1971" customFormat="false" ht="15" hidden="false" customHeight="false" outlineLevel="0" collapsed="false">
      <c r="A1971" s="22" t="n">
        <v>55</v>
      </c>
      <c r="B1971" s="23" t="n">
        <v>46809</v>
      </c>
      <c r="C1971" s="28" t="n">
        <v>241138652</v>
      </c>
      <c r="D1971" s="28" t="n">
        <v>6123404.9273339</v>
      </c>
      <c r="E1971" s="28" t="n">
        <v>14586381</v>
      </c>
      <c r="F1971" s="28" t="n">
        <v>20709785.9273339</v>
      </c>
      <c r="G1971" s="28" t="n">
        <v>226552271</v>
      </c>
      <c r="H1971" s="25" t="n">
        <f aca="false">J1970</f>
        <v>241138652</v>
      </c>
      <c r="I1971" s="25" t="n">
        <f aca="false">H1971*N1971</f>
        <v>6123404.9273339</v>
      </c>
      <c r="J1971" s="25" t="n">
        <f aca="false">H1971+I1971-F1971</f>
        <v>226552271</v>
      </c>
      <c r="K1971" s="25" t="n">
        <f aca="false">D1971-I1971</f>
        <v>0</v>
      </c>
      <c r="L1971" s="25" t="n">
        <f aca="false">G1971-J1971</f>
        <v>0</v>
      </c>
      <c r="M1971" s="25" t="n">
        <f aca="false">F1971</f>
        <v>20709785.9273339</v>
      </c>
      <c r="N1971" s="49" t="n">
        <f aca="false">$C$1911</f>
        <v>0.0253937097041328</v>
      </c>
      <c r="O1971" s="25" t="n">
        <f aca="false">IF(AND(B1971&gt;=DATE(2026,1,1),B1971&lt;=Resumen!$C$5),1,0)</f>
        <v>0</v>
      </c>
      <c r="P1971" s="25" t="n">
        <f aca="false">IF(AND(B1971&gt;Resumen!$C$5,B1971&lt;=DATE(2027,7,31)),1,0)</f>
        <v>0</v>
      </c>
    </row>
    <row r="1972" customFormat="false" ht="15" hidden="false" customHeight="false" outlineLevel="0" collapsed="false">
      <c r="A1972" s="22" t="n">
        <v>56</v>
      </c>
      <c r="B1972" s="23" t="n">
        <v>46838</v>
      </c>
      <c r="C1972" s="28" t="n">
        <v>226552271</v>
      </c>
      <c r="D1972" s="28" t="n">
        <v>5753002.60258602</v>
      </c>
      <c r="E1972" s="28" t="n">
        <v>14586381</v>
      </c>
      <c r="F1972" s="28" t="n">
        <v>20339383.602586</v>
      </c>
      <c r="G1972" s="28" t="n">
        <v>211965890</v>
      </c>
      <c r="H1972" s="25" t="n">
        <f aca="false">J1971</f>
        <v>226552271</v>
      </c>
      <c r="I1972" s="25" t="n">
        <f aca="false">H1972*N1972</f>
        <v>5753002.60258602</v>
      </c>
      <c r="J1972" s="25" t="n">
        <f aca="false">H1972+I1972-F1972</f>
        <v>211965890</v>
      </c>
      <c r="K1972" s="25" t="n">
        <f aca="false">D1972-I1972</f>
        <v>0</v>
      </c>
      <c r="L1972" s="25" t="n">
        <f aca="false">G1972-J1972</f>
        <v>0</v>
      </c>
      <c r="M1972" s="25" t="n">
        <f aca="false">F1972</f>
        <v>20339383.602586</v>
      </c>
      <c r="N1972" s="49" t="n">
        <f aca="false">$C$1911</f>
        <v>0.0253937097041328</v>
      </c>
      <c r="O1972" s="25" t="n">
        <f aca="false">IF(AND(B1972&gt;=DATE(2026,1,1),B1972&lt;=Resumen!$C$5),1,0)</f>
        <v>0</v>
      </c>
      <c r="P1972" s="25" t="n">
        <f aca="false">IF(AND(B1972&gt;Resumen!$C$5,B1972&lt;=DATE(2027,7,31)),1,0)</f>
        <v>0</v>
      </c>
    </row>
    <row r="1973" customFormat="false" ht="15" hidden="false" customHeight="false" outlineLevel="0" collapsed="false">
      <c r="A1973" s="22" t="n">
        <v>57</v>
      </c>
      <c r="B1973" s="23" t="n">
        <v>46869</v>
      </c>
      <c r="C1973" s="28" t="n">
        <v>211965890</v>
      </c>
      <c r="D1973" s="28" t="n">
        <v>5382600.27783814</v>
      </c>
      <c r="E1973" s="28" t="n">
        <v>14586381</v>
      </c>
      <c r="F1973" s="28" t="n">
        <v>19968981.2778381</v>
      </c>
      <c r="G1973" s="28" t="n">
        <v>197379509</v>
      </c>
      <c r="H1973" s="25" t="n">
        <f aca="false">J1972</f>
        <v>211965890</v>
      </c>
      <c r="I1973" s="25" t="n">
        <f aca="false">H1973*N1973</f>
        <v>5382600.27783815</v>
      </c>
      <c r="J1973" s="25" t="n">
        <f aca="false">H1973+I1973-F1973</f>
        <v>197379509</v>
      </c>
      <c r="K1973" s="25" t="n">
        <f aca="false">D1973-I1973</f>
        <v>0</v>
      </c>
      <c r="L1973" s="25" t="n">
        <f aca="false">G1973-J1973</f>
        <v>0</v>
      </c>
      <c r="M1973" s="25" t="n">
        <f aca="false">F1973</f>
        <v>19968981.2778381</v>
      </c>
      <c r="N1973" s="49" t="n">
        <f aca="false">$C$1911</f>
        <v>0.0253937097041328</v>
      </c>
      <c r="O1973" s="25" t="n">
        <f aca="false">IF(AND(B1973&gt;=DATE(2026,1,1),B1973&lt;=Resumen!$C$5),1,0)</f>
        <v>0</v>
      </c>
      <c r="P1973" s="25" t="n">
        <f aca="false">IF(AND(B1973&gt;Resumen!$C$5,B1973&lt;=DATE(2027,7,31)),1,0)</f>
        <v>0</v>
      </c>
    </row>
    <row r="1974" customFormat="false" ht="15" hidden="false" customHeight="false" outlineLevel="0" collapsed="false">
      <c r="A1974" s="22" t="n">
        <v>58</v>
      </c>
      <c r="B1974" s="23" t="n">
        <v>46899</v>
      </c>
      <c r="C1974" s="28" t="n">
        <v>197379509</v>
      </c>
      <c r="D1974" s="28" t="n">
        <v>5012197.95309027</v>
      </c>
      <c r="E1974" s="28" t="n">
        <v>14586381</v>
      </c>
      <c r="F1974" s="28" t="n">
        <v>19598578.9530903</v>
      </c>
      <c r="G1974" s="28" t="n">
        <v>182793128</v>
      </c>
      <c r="H1974" s="25" t="n">
        <f aca="false">J1973</f>
        <v>197379509</v>
      </c>
      <c r="I1974" s="25" t="n">
        <f aca="false">H1974*N1974</f>
        <v>5012197.95309027</v>
      </c>
      <c r="J1974" s="25" t="n">
        <f aca="false">H1974+I1974-F1974</f>
        <v>182793128</v>
      </c>
      <c r="K1974" s="25" t="n">
        <f aca="false">D1974-I1974</f>
        <v>0</v>
      </c>
      <c r="L1974" s="25" t="n">
        <f aca="false">G1974-J1974</f>
        <v>0</v>
      </c>
      <c r="M1974" s="25" t="n">
        <f aca="false">F1974</f>
        <v>19598578.9530903</v>
      </c>
      <c r="N1974" s="49" t="n">
        <f aca="false">$C$1911</f>
        <v>0.0253937097041328</v>
      </c>
      <c r="O1974" s="25" t="n">
        <f aca="false">IF(AND(B1974&gt;=DATE(2026,1,1),B1974&lt;=Resumen!$C$5),1,0)</f>
        <v>0</v>
      </c>
      <c r="P1974" s="25" t="n">
        <f aca="false">IF(AND(B1974&gt;Resumen!$C$5,B1974&lt;=DATE(2027,7,31)),1,0)</f>
        <v>0</v>
      </c>
    </row>
    <row r="1975" customFormat="false" ht="15" hidden="false" customHeight="false" outlineLevel="0" collapsed="false">
      <c r="A1975" s="22" t="n">
        <v>59</v>
      </c>
      <c r="B1975" s="23" t="n">
        <v>46930</v>
      </c>
      <c r="C1975" s="28" t="n">
        <v>182793128</v>
      </c>
      <c r="D1975" s="28" t="n">
        <v>4641795.62834239</v>
      </c>
      <c r="E1975" s="28" t="n">
        <v>14586381</v>
      </c>
      <c r="F1975" s="28" t="n">
        <v>19228176.6283424</v>
      </c>
      <c r="G1975" s="28" t="n">
        <v>168206747</v>
      </c>
      <c r="H1975" s="25" t="n">
        <f aca="false">J1974</f>
        <v>182793128</v>
      </c>
      <c r="I1975" s="25" t="n">
        <f aca="false">H1975*N1975</f>
        <v>4641795.62834239</v>
      </c>
      <c r="J1975" s="25" t="n">
        <f aca="false">H1975+I1975-F1975</f>
        <v>168206747</v>
      </c>
      <c r="K1975" s="25" t="n">
        <f aca="false">D1975-I1975</f>
        <v>0</v>
      </c>
      <c r="L1975" s="25" t="n">
        <f aca="false">G1975-J1975</f>
        <v>0</v>
      </c>
      <c r="M1975" s="25" t="n">
        <f aca="false">F1975</f>
        <v>19228176.6283424</v>
      </c>
      <c r="N1975" s="49" t="n">
        <f aca="false">$C$1911</f>
        <v>0.0253937097041328</v>
      </c>
      <c r="O1975" s="25" t="n">
        <f aca="false">IF(AND(B1975&gt;=DATE(2026,1,1),B1975&lt;=Resumen!$C$5),1,0)</f>
        <v>0</v>
      </c>
      <c r="P1975" s="25" t="n">
        <f aca="false">IF(AND(B1975&gt;Resumen!$C$5,B1975&lt;=DATE(2027,7,31)),1,0)</f>
        <v>0</v>
      </c>
    </row>
    <row r="1976" customFormat="false" ht="15" hidden="false" customHeight="false" outlineLevel="0" collapsed="false">
      <c r="A1976" s="22" t="n">
        <v>60</v>
      </c>
      <c r="B1976" s="23" t="n">
        <v>46960</v>
      </c>
      <c r="C1976" s="28" t="n">
        <v>168206747</v>
      </c>
      <c r="D1976" s="28" t="n">
        <v>4271393.30359451</v>
      </c>
      <c r="E1976" s="28" t="n">
        <v>-45497636.8318246</v>
      </c>
      <c r="F1976" s="28" t="n">
        <v>-41226243.5282301</v>
      </c>
      <c r="G1976" s="28" t="n">
        <v>213704383.831825</v>
      </c>
      <c r="H1976" s="25" t="n">
        <f aca="false">J1975</f>
        <v>168206747</v>
      </c>
      <c r="I1976" s="25" t="n">
        <f aca="false">H1976*N1976</f>
        <v>4271393.30359451</v>
      </c>
      <c r="J1976" s="25" t="n">
        <f aca="false">H1976+I1976-F1976</f>
        <v>213704383.831825</v>
      </c>
      <c r="K1976" s="25" t="n">
        <f aca="false">D1976-I1976</f>
        <v>0</v>
      </c>
      <c r="L1976" s="25" t="n">
        <f aca="false">G1976-J1976</f>
        <v>0</v>
      </c>
      <c r="M1976" s="25" t="n">
        <f aca="false">F1976</f>
        <v>-41226243.5282301</v>
      </c>
      <c r="N1976" s="49" t="n">
        <f aca="false">$C$1911</f>
        <v>0.0253937097041328</v>
      </c>
      <c r="O1976" s="25" t="n">
        <f aca="false">IF(AND(B1976&gt;=DATE(2026,1,1),B1976&lt;=Resumen!$C$5),1,0)</f>
        <v>0</v>
      </c>
      <c r="P1976" s="25" t="n">
        <f aca="false">IF(AND(B1976&gt;Resumen!$C$5,B1976&lt;=DATE(2027,7,31)),1,0)</f>
        <v>0</v>
      </c>
    </row>
    <row r="1979" customFormat="false" ht="15" hidden="false" customHeight="false" outlineLevel="0" collapsed="false">
      <c r="A1979" s="33" t="s">
        <v>924</v>
      </c>
    </row>
    <row r="1980" customFormat="false" ht="15" hidden="false" customHeight="false" outlineLevel="0" collapsed="false">
      <c r="A1980" s="34" t="s">
        <v>925</v>
      </c>
    </row>
    <row r="1981" customFormat="false" ht="15" hidden="false" customHeight="false" outlineLevel="0" collapsed="false">
      <c r="A1981" s="19" t="s">
        <v>926</v>
      </c>
    </row>
    <row r="1982" customFormat="false" ht="15" hidden="false" customHeight="false" outlineLevel="0" collapsed="false">
      <c r="A1982" s="20" t="s">
        <v>927</v>
      </c>
    </row>
    <row r="1983" customFormat="false" ht="15" hidden="false" customHeight="false" outlineLevel="0" collapsed="false">
      <c r="A1983" s="29" t="s">
        <v>773</v>
      </c>
      <c r="C1983" s="22" t="s">
        <v>928</v>
      </c>
      <c r="F1983" s="47" t="s">
        <v>775</v>
      </c>
    </row>
    <row r="1984" customFormat="false" ht="15" hidden="false" customHeight="false" outlineLevel="0" collapsed="false">
      <c r="A1984" s="29" t="s">
        <v>640</v>
      </c>
      <c r="C1984" s="28" t="n">
        <v>72300000000</v>
      </c>
      <c r="F1984" s="22" t="s">
        <v>776</v>
      </c>
      <c r="I1984" s="41" t="n">
        <f aca="false">_xlfn.MAXIFS($B$1992:$B$2016,$B$1992:$B$2016,"&lt;="&amp;Resumen!$C$5)</f>
        <v>46233</v>
      </c>
    </row>
    <row r="1985" customFormat="false" ht="15" hidden="false" customHeight="false" outlineLevel="0" collapsed="false">
      <c r="A1985" s="29" t="s">
        <v>641</v>
      </c>
      <c r="C1985" s="23" t="n">
        <v>45807</v>
      </c>
      <c r="F1985" s="22" t="s">
        <v>777</v>
      </c>
      <c r="I1985" s="25" t="n">
        <f aca="false">SUMIFS($G$1992:$G$2016,$B$1992:$B$2016,I1984)</f>
        <v>72300000000</v>
      </c>
    </row>
    <row r="1986" customFormat="false" ht="15" hidden="false" customHeight="false" outlineLevel="0" collapsed="false">
      <c r="A1986" s="29" t="s">
        <v>778</v>
      </c>
      <c r="C1986" s="22" t="s">
        <v>929</v>
      </c>
      <c r="F1986" s="22" t="s">
        <v>780</v>
      </c>
      <c r="I1986" s="25" t="n">
        <f aca="false">SUMIFS($J$1992:$J$2016,$B$1992:$B$2016,I1984)</f>
        <v>72300000000</v>
      </c>
    </row>
    <row r="1987" customFormat="false" ht="15" hidden="false" customHeight="false" outlineLevel="0" collapsed="false">
      <c r="A1987" s="29" t="s">
        <v>781</v>
      </c>
      <c r="C1987" s="48" t="s">
        <v>818</v>
      </c>
      <c r="F1987" s="22" t="s">
        <v>650</v>
      </c>
      <c r="I1987" s="25" t="n">
        <f aca="false">SUMIFS($D$1992:$D$2016,$O$1992:$O$2016,1)</f>
        <v>5585235250</v>
      </c>
    </row>
    <row r="1988" customFormat="false" ht="15" hidden="false" customHeight="false" outlineLevel="0" collapsed="false">
      <c r="A1988" s="29" t="s">
        <v>782</v>
      </c>
      <c r="C1988" s="49" t="n">
        <f aca="false">IFERROR(IRR($M$1992:$M$2016),"N/A")</f>
        <v>0.0106889552420913</v>
      </c>
      <c r="F1988" s="22" t="s">
        <v>783</v>
      </c>
      <c r="I1988" s="25" t="n">
        <f aca="false">SUMIFS($E$1992:$E$2016,$P$1992:$P$2016,1)</f>
        <v>72300000000</v>
      </c>
    </row>
    <row r="1989" customFormat="false" ht="15" hidden="false" customHeight="false" outlineLevel="0" collapsed="false">
      <c r="A1989" s="29" t="s">
        <v>784</v>
      </c>
      <c r="C1989" s="50" t="n">
        <f aca="false">IF(ISNUMBER(C1988),(1+C1988)^12-1,"N/A")</f>
        <v>0.136083460674352</v>
      </c>
      <c r="F1989" s="22" t="s">
        <v>785</v>
      </c>
      <c r="I1989" s="25" t="n">
        <f aca="false">SUMPRODUCT(MAX(ABS($L$1992:$L$2016)))</f>
        <v>0</v>
      </c>
    </row>
    <row r="1991" customFormat="false" ht="36" hidden="false" customHeight="true" outlineLevel="0" collapsed="false">
      <c r="A1991" s="27" t="s">
        <v>786</v>
      </c>
      <c r="B1991" s="27" t="s">
        <v>396</v>
      </c>
      <c r="C1991" s="27" t="s">
        <v>787</v>
      </c>
      <c r="D1991" s="27" t="s">
        <v>788</v>
      </c>
      <c r="E1991" s="27" t="s">
        <v>789</v>
      </c>
      <c r="F1991" s="27" t="s">
        <v>790</v>
      </c>
      <c r="G1991" s="27" t="s">
        <v>791</v>
      </c>
      <c r="H1991" s="27" t="s">
        <v>792</v>
      </c>
      <c r="I1991" s="27" t="s">
        <v>793</v>
      </c>
      <c r="J1991" s="27" t="s">
        <v>794</v>
      </c>
      <c r="K1991" s="27" t="s">
        <v>795</v>
      </c>
      <c r="L1991" s="27" t="s">
        <v>796</v>
      </c>
      <c r="M1991" s="27" t="s">
        <v>797</v>
      </c>
      <c r="N1991" s="27" t="s">
        <v>798</v>
      </c>
      <c r="O1991" s="27" t="s">
        <v>799</v>
      </c>
      <c r="P1991" s="27" t="s">
        <v>800</v>
      </c>
    </row>
    <row r="1992" customFormat="false" ht="15" hidden="false" customHeight="false" outlineLevel="0" collapsed="false">
      <c r="A1992" s="22" t="n">
        <v>0</v>
      </c>
      <c r="B1992" s="23" t="n">
        <v>45807</v>
      </c>
      <c r="C1992" s="28" t="n">
        <v>72300000000</v>
      </c>
      <c r="D1992" s="28" t="n">
        <v>0</v>
      </c>
      <c r="E1992" s="28" t="n">
        <v>0</v>
      </c>
      <c r="F1992" s="28" t="n">
        <v>0</v>
      </c>
      <c r="G1992" s="28" t="n">
        <v>72300000000</v>
      </c>
      <c r="H1992" s="25" t="n">
        <f aca="false">C1992</f>
        <v>72300000000</v>
      </c>
      <c r="I1992" s="25" t="n">
        <f aca="false">H1992*N1992</f>
        <v>657749250</v>
      </c>
      <c r="J1992" s="25" t="n">
        <f aca="false">H1992-E1992</f>
        <v>72300000000</v>
      </c>
      <c r="K1992" s="25" t="n">
        <f aca="false">D1992-I1992</f>
        <v>-657749250</v>
      </c>
      <c r="L1992" s="25" t="n">
        <f aca="false">G1992-J1992</f>
        <v>0</v>
      </c>
      <c r="M1992" s="25" t="n">
        <f aca="false">-$C$1984</f>
        <v>-72300000000</v>
      </c>
      <c r="N1992" s="48" t="n">
        <v>0.0090975</v>
      </c>
      <c r="O1992" s="25" t="n">
        <f aca="false">IF(AND(B1992&gt;=DATE(2026,1,1),B1992&lt;=Resumen!$C$5),1,0)</f>
        <v>0</v>
      </c>
      <c r="P1992" s="25" t="n">
        <f aca="false">IF(AND(B1992&gt;Resumen!$C$5,B1992&lt;=DATE(2027,7,31)),1,0)</f>
        <v>0</v>
      </c>
    </row>
    <row r="1993" customFormat="false" ht="15" hidden="false" customHeight="false" outlineLevel="0" collapsed="false">
      <c r="A1993" s="22" t="n">
        <v>1</v>
      </c>
      <c r="B1993" s="23" t="n">
        <v>45838</v>
      </c>
      <c r="C1993" s="28" t="n">
        <v>72300000000</v>
      </c>
      <c r="D1993" s="28" t="n">
        <v>656363500</v>
      </c>
      <c r="E1993" s="28" t="n">
        <v>0</v>
      </c>
      <c r="F1993" s="28" t="n">
        <v>656363500</v>
      </c>
      <c r="G1993" s="28" t="n">
        <v>72300000000</v>
      </c>
      <c r="H1993" s="25" t="n">
        <f aca="false">J1992</f>
        <v>72300000000</v>
      </c>
      <c r="I1993" s="25" t="n">
        <f aca="false">H1993*N1993</f>
        <v>656363500</v>
      </c>
      <c r="J1993" s="25" t="n">
        <f aca="false">H1993-E1993</f>
        <v>72300000000</v>
      </c>
      <c r="K1993" s="25" t="n">
        <f aca="false">D1993-I1993</f>
        <v>0</v>
      </c>
      <c r="L1993" s="25" t="n">
        <f aca="false">G1993-J1993</f>
        <v>0</v>
      </c>
      <c r="M1993" s="25" t="n">
        <f aca="false">F1993</f>
        <v>656363500</v>
      </c>
      <c r="N1993" s="48" t="n">
        <v>0.00907833333333333</v>
      </c>
      <c r="O1993" s="25" t="n">
        <f aca="false">IF(AND(B1993&gt;=DATE(2026,1,1),B1993&lt;=Resumen!$C$5),1,0)</f>
        <v>0</v>
      </c>
      <c r="P1993" s="25" t="n">
        <f aca="false">IF(AND(B1993&gt;Resumen!$C$5,B1993&lt;=DATE(2027,7,31)),1,0)</f>
        <v>0</v>
      </c>
    </row>
    <row r="1994" customFormat="false" ht="15" hidden="false" customHeight="false" outlineLevel="0" collapsed="false">
      <c r="A1994" s="22" t="n">
        <v>2</v>
      </c>
      <c r="B1994" s="23" t="n">
        <v>45868</v>
      </c>
      <c r="C1994" s="28" t="n">
        <v>72300000000</v>
      </c>
      <c r="D1994" s="28" t="n">
        <v>651543500</v>
      </c>
      <c r="E1994" s="28" t="n">
        <v>0</v>
      </c>
      <c r="F1994" s="28" t="n">
        <v>651543500</v>
      </c>
      <c r="G1994" s="28" t="n">
        <v>72300000000</v>
      </c>
      <c r="H1994" s="25" t="n">
        <f aca="false">J1993</f>
        <v>72300000000</v>
      </c>
      <c r="I1994" s="25" t="n">
        <f aca="false">H1994*N1994</f>
        <v>651543500</v>
      </c>
      <c r="J1994" s="25" t="n">
        <f aca="false">H1994-E1994</f>
        <v>72300000000</v>
      </c>
      <c r="K1994" s="25" t="n">
        <f aca="false">D1994-I1994</f>
        <v>0</v>
      </c>
      <c r="L1994" s="25" t="n">
        <f aca="false">G1994-J1994</f>
        <v>0</v>
      </c>
      <c r="M1994" s="25" t="n">
        <f aca="false">F1994</f>
        <v>651543500</v>
      </c>
      <c r="N1994" s="48" t="n">
        <v>0.00901166666666667</v>
      </c>
      <c r="O1994" s="25" t="n">
        <f aca="false">IF(AND(B1994&gt;=DATE(2026,1,1),B1994&lt;=Resumen!$C$5),1,0)</f>
        <v>0</v>
      </c>
      <c r="P1994" s="25" t="n">
        <f aca="false">IF(AND(B1994&gt;Resumen!$C$5,B1994&lt;=DATE(2027,7,31)),1,0)</f>
        <v>0</v>
      </c>
    </row>
    <row r="1995" customFormat="false" ht="15" hidden="false" customHeight="false" outlineLevel="0" collapsed="false">
      <c r="A1995" s="22" t="n">
        <v>3</v>
      </c>
      <c r="B1995" s="23" t="n">
        <v>45899</v>
      </c>
      <c r="C1995" s="28" t="n">
        <v>72300000000</v>
      </c>
      <c r="D1995" s="28" t="n">
        <v>660279750</v>
      </c>
      <c r="E1995" s="28" t="n">
        <v>0</v>
      </c>
      <c r="F1995" s="28" t="n">
        <v>660279750</v>
      </c>
      <c r="G1995" s="28" t="n">
        <v>72300000000</v>
      </c>
      <c r="H1995" s="25" t="n">
        <f aca="false">J1994</f>
        <v>72300000000</v>
      </c>
      <c r="I1995" s="25" t="n">
        <f aca="false">H1995*N1995</f>
        <v>660279750</v>
      </c>
      <c r="J1995" s="25" t="n">
        <f aca="false">H1995-E1995</f>
        <v>72300000000</v>
      </c>
      <c r="K1995" s="25" t="n">
        <f aca="false">D1995-I1995</f>
        <v>0</v>
      </c>
      <c r="L1995" s="25" t="n">
        <f aca="false">G1995-J1995</f>
        <v>0</v>
      </c>
      <c r="M1995" s="25" t="n">
        <f aca="false">F1995</f>
        <v>660279750</v>
      </c>
      <c r="N1995" s="48" t="n">
        <v>0.0091325</v>
      </c>
      <c r="O1995" s="25" t="n">
        <f aca="false">IF(AND(B1995&gt;=DATE(2026,1,1),B1995&lt;=Resumen!$C$5),1,0)</f>
        <v>0</v>
      </c>
      <c r="P1995" s="25" t="n">
        <f aca="false">IF(AND(B1995&gt;Resumen!$C$5,B1995&lt;=DATE(2027,7,31)),1,0)</f>
        <v>0</v>
      </c>
    </row>
    <row r="1996" customFormat="false" ht="15" hidden="false" customHeight="false" outlineLevel="0" collapsed="false">
      <c r="A1996" s="22" t="n">
        <v>4</v>
      </c>
      <c r="B1996" s="23" t="n">
        <v>45930</v>
      </c>
      <c r="C1996" s="28" t="n">
        <v>72300000000</v>
      </c>
      <c r="D1996" s="28" t="n">
        <v>661725750</v>
      </c>
      <c r="E1996" s="28" t="n">
        <v>0</v>
      </c>
      <c r="F1996" s="28" t="n">
        <v>661725750</v>
      </c>
      <c r="G1996" s="28" t="n">
        <v>72300000000</v>
      </c>
      <c r="H1996" s="25" t="n">
        <f aca="false">J1995</f>
        <v>72300000000</v>
      </c>
      <c r="I1996" s="25" t="n">
        <f aca="false">H1996*N1996</f>
        <v>661725750</v>
      </c>
      <c r="J1996" s="25" t="n">
        <f aca="false">H1996-E1996</f>
        <v>72300000000</v>
      </c>
      <c r="K1996" s="25" t="n">
        <f aca="false">D1996-I1996</f>
        <v>0</v>
      </c>
      <c r="L1996" s="25" t="n">
        <f aca="false">G1996-J1996</f>
        <v>0</v>
      </c>
      <c r="M1996" s="25" t="n">
        <f aca="false">F1996</f>
        <v>661725750</v>
      </c>
      <c r="N1996" s="48" t="n">
        <v>0.0091525</v>
      </c>
      <c r="O1996" s="25" t="n">
        <f aca="false">IF(AND(B1996&gt;=DATE(2026,1,1),B1996&lt;=Resumen!$C$5),1,0)</f>
        <v>0</v>
      </c>
      <c r="P1996" s="25" t="n">
        <f aca="false">IF(AND(B1996&gt;Resumen!$C$5,B1996&lt;=DATE(2027,7,31)),1,0)</f>
        <v>0</v>
      </c>
    </row>
    <row r="1997" customFormat="false" ht="15" hidden="false" customHeight="false" outlineLevel="0" collapsed="false">
      <c r="A1997" s="22" t="n">
        <v>5</v>
      </c>
      <c r="B1997" s="23" t="n">
        <v>45960</v>
      </c>
      <c r="C1997" s="28" t="n">
        <v>72300000000</v>
      </c>
      <c r="D1997" s="28" t="n">
        <v>665581750</v>
      </c>
      <c r="E1997" s="28" t="n">
        <v>0</v>
      </c>
      <c r="F1997" s="28" t="n">
        <v>665581750</v>
      </c>
      <c r="G1997" s="28" t="n">
        <v>72300000000</v>
      </c>
      <c r="H1997" s="25" t="n">
        <f aca="false">J1996</f>
        <v>72300000000</v>
      </c>
      <c r="I1997" s="25" t="n">
        <f aca="false">H1997*N1997</f>
        <v>665581750</v>
      </c>
      <c r="J1997" s="25" t="n">
        <f aca="false">H1997-E1997</f>
        <v>72300000000</v>
      </c>
      <c r="K1997" s="25" t="n">
        <f aca="false">D1997-I1997</f>
        <v>0</v>
      </c>
      <c r="L1997" s="25" t="n">
        <f aca="false">G1997-J1997</f>
        <v>0</v>
      </c>
      <c r="M1997" s="25" t="n">
        <f aca="false">F1997</f>
        <v>665581750</v>
      </c>
      <c r="N1997" s="48" t="n">
        <v>0.00920583333333333</v>
      </c>
      <c r="O1997" s="25" t="n">
        <f aca="false">IF(AND(B1997&gt;=DATE(2026,1,1),B1997&lt;=Resumen!$C$5),1,0)</f>
        <v>0</v>
      </c>
      <c r="P1997" s="25" t="n">
        <f aca="false">IF(AND(B1997&gt;Resumen!$C$5,B1997&lt;=DATE(2027,7,31)),1,0)</f>
        <v>0</v>
      </c>
    </row>
    <row r="1998" customFormat="false" ht="15" hidden="false" customHeight="false" outlineLevel="0" collapsed="false">
      <c r="A1998" s="22" t="n">
        <v>6</v>
      </c>
      <c r="B1998" s="23" t="n">
        <v>45991</v>
      </c>
      <c r="C1998" s="28" t="n">
        <v>72300000000</v>
      </c>
      <c r="D1998" s="28" t="n">
        <v>676185750</v>
      </c>
      <c r="E1998" s="28" t="n">
        <v>0</v>
      </c>
      <c r="F1998" s="28" t="n">
        <v>676185750</v>
      </c>
      <c r="G1998" s="28" t="n">
        <v>72300000000</v>
      </c>
      <c r="H1998" s="25" t="n">
        <f aca="false">J1997</f>
        <v>72300000000</v>
      </c>
      <c r="I1998" s="25" t="n">
        <f aca="false">H1998*N1998</f>
        <v>676185750</v>
      </c>
      <c r="J1998" s="25" t="n">
        <f aca="false">H1998-E1998</f>
        <v>72300000000</v>
      </c>
      <c r="K1998" s="25" t="n">
        <f aca="false">D1998-I1998</f>
        <v>0</v>
      </c>
      <c r="L1998" s="25" t="n">
        <f aca="false">G1998-J1998</f>
        <v>0</v>
      </c>
      <c r="M1998" s="25" t="n">
        <f aca="false">F1998</f>
        <v>676185750</v>
      </c>
      <c r="N1998" s="48" t="n">
        <v>0.0093525</v>
      </c>
      <c r="O1998" s="25" t="n">
        <f aca="false">IF(AND(B1998&gt;=DATE(2026,1,1),B1998&lt;=Resumen!$C$5),1,0)</f>
        <v>0</v>
      </c>
      <c r="P1998" s="25" t="n">
        <f aca="false">IF(AND(B1998&gt;Resumen!$C$5,B1998&lt;=DATE(2027,7,31)),1,0)</f>
        <v>0</v>
      </c>
    </row>
    <row r="1999" customFormat="false" ht="15" hidden="false" customHeight="false" outlineLevel="0" collapsed="false">
      <c r="A1999" s="22" t="n">
        <v>7</v>
      </c>
      <c r="B1999" s="23" t="n">
        <v>46021</v>
      </c>
      <c r="C1999" s="28" t="n">
        <v>72300000000</v>
      </c>
      <c r="D1999" s="28" t="n">
        <v>698960250</v>
      </c>
      <c r="E1999" s="28" t="n">
        <v>0</v>
      </c>
      <c r="F1999" s="28" t="n">
        <v>698960250</v>
      </c>
      <c r="G1999" s="28" t="n">
        <v>72300000000</v>
      </c>
      <c r="H1999" s="25" t="n">
        <f aca="false">J1998</f>
        <v>72300000000</v>
      </c>
      <c r="I1999" s="25" t="n">
        <f aca="false">H1999*N1999</f>
        <v>698960250</v>
      </c>
      <c r="J1999" s="25" t="n">
        <f aca="false">H1999-E1999</f>
        <v>72300000000</v>
      </c>
      <c r="K1999" s="25" t="n">
        <f aca="false">D1999-I1999</f>
        <v>0</v>
      </c>
      <c r="L1999" s="25" t="n">
        <f aca="false">G1999-J1999</f>
        <v>0</v>
      </c>
      <c r="M1999" s="25" t="n">
        <f aca="false">F1999</f>
        <v>698960250</v>
      </c>
      <c r="N1999" s="48" t="n">
        <v>0.0096675</v>
      </c>
      <c r="O1999" s="25" t="n">
        <f aca="false">IF(AND(B1999&gt;=DATE(2026,1,1),B1999&lt;=Resumen!$C$5),1,0)</f>
        <v>0</v>
      </c>
      <c r="P1999" s="25" t="n">
        <f aca="false">IF(AND(B1999&gt;Resumen!$C$5,B1999&lt;=DATE(2027,7,31)),1,0)</f>
        <v>0</v>
      </c>
    </row>
    <row r="2000" customFormat="false" ht="15" hidden="false" customHeight="false" outlineLevel="0" collapsed="false">
      <c r="A2000" s="22" t="n">
        <v>8</v>
      </c>
      <c r="B2000" s="23" t="n">
        <v>46052</v>
      </c>
      <c r="C2000" s="28" t="n">
        <v>72300000000</v>
      </c>
      <c r="D2000" s="28" t="n">
        <v>710046250</v>
      </c>
      <c r="E2000" s="28" t="n">
        <v>0</v>
      </c>
      <c r="F2000" s="28" t="n">
        <v>710046250</v>
      </c>
      <c r="G2000" s="28" t="n">
        <v>72300000000</v>
      </c>
      <c r="H2000" s="25" t="n">
        <f aca="false">J1999</f>
        <v>72300000000</v>
      </c>
      <c r="I2000" s="25" t="n">
        <f aca="false">H2000*N2000</f>
        <v>710046250</v>
      </c>
      <c r="J2000" s="25" t="n">
        <f aca="false">H2000-E2000</f>
        <v>72300000000</v>
      </c>
      <c r="K2000" s="25" t="n">
        <f aca="false">D2000-I2000</f>
        <v>0</v>
      </c>
      <c r="L2000" s="25" t="n">
        <f aca="false">G2000-J2000</f>
        <v>0</v>
      </c>
      <c r="M2000" s="25" t="n">
        <f aca="false">F2000</f>
        <v>710046250</v>
      </c>
      <c r="N2000" s="48" t="n">
        <v>0.00982083333333333</v>
      </c>
      <c r="O2000" s="25" t="n">
        <f aca="false">IF(AND(B2000&gt;=DATE(2026,1,1),B2000&lt;=Resumen!$C$5),1,0)</f>
        <v>1</v>
      </c>
      <c r="P2000" s="25" t="n">
        <f aca="false">IF(AND(B2000&gt;Resumen!$C$5,B2000&lt;=DATE(2027,7,31)),1,0)</f>
        <v>0</v>
      </c>
    </row>
    <row r="2001" customFormat="false" ht="15" hidden="false" customHeight="false" outlineLevel="0" collapsed="false">
      <c r="A2001" s="22" t="n">
        <v>9</v>
      </c>
      <c r="B2001" s="23" t="n">
        <v>46081</v>
      </c>
      <c r="C2001" s="28" t="n">
        <v>72300000000</v>
      </c>
      <c r="D2001" s="28" t="n">
        <v>768368250</v>
      </c>
      <c r="E2001" s="28" t="n">
        <v>0</v>
      </c>
      <c r="F2001" s="28" t="n">
        <v>768368250</v>
      </c>
      <c r="G2001" s="28" t="n">
        <v>72300000000</v>
      </c>
      <c r="H2001" s="25" t="n">
        <f aca="false">J2000</f>
        <v>72300000000</v>
      </c>
      <c r="I2001" s="25" t="n">
        <f aca="false">H2001*N2001</f>
        <v>768368250</v>
      </c>
      <c r="J2001" s="25" t="n">
        <f aca="false">H2001-E2001</f>
        <v>72300000000</v>
      </c>
      <c r="K2001" s="25" t="n">
        <f aca="false">D2001-I2001</f>
        <v>0</v>
      </c>
      <c r="L2001" s="25" t="n">
        <f aca="false">G2001-J2001</f>
        <v>0</v>
      </c>
      <c r="M2001" s="25" t="n">
        <f aca="false">F2001</f>
        <v>768368250</v>
      </c>
      <c r="N2001" s="48" t="n">
        <v>0.0106275</v>
      </c>
      <c r="O2001" s="25" t="n">
        <f aca="false">IF(AND(B2001&gt;=DATE(2026,1,1),B2001&lt;=Resumen!$C$5),1,0)</f>
        <v>1</v>
      </c>
      <c r="P2001" s="25" t="n">
        <f aca="false">IF(AND(B2001&gt;Resumen!$C$5,B2001&lt;=DATE(2027,7,31)),1,0)</f>
        <v>0</v>
      </c>
    </row>
    <row r="2002" customFormat="false" ht="15" hidden="false" customHeight="false" outlineLevel="0" collapsed="false">
      <c r="A2002" s="22" t="n">
        <v>10</v>
      </c>
      <c r="B2002" s="23" t="n">
        <v>46111</v>
      </c>
      <c r="C2002" s="28" t="n">
        <v>72300000000</v>
      </c>
      <c r="D2002" s="28" t="n">
        <v>796685750</v>
      </c>
      <c r="E2002" s="28" t="n">
        <v>0</v>
      </c>
      <c r="F2002" s="28" t="n">
        <v>796685750</v>
      </c>
      <c r="G2002" s="28" t="n">
        <v>72300000000</v>
      </c>
      <c r="H2002" s="25" t="n">
        <f aca="false">J2001</f>
        <v>72300000000</v>
      </c>
      <c r="I2002" s="25" t="n">
        <f aca="false">H2002*N2002</f>
        <v>796685750</v>
      </c>
      <c r="J2002" s="25" t="n">
        <f aca="false">H2002-E2002</f>
        <v>72300000000</v>
      </c>
      <c r="K2002" s="25" t="n">
        <f aca="false">D2002-I2002</f>
        <v>0</v>
      </c>
      <c r="L2002" s="25" t="n">
        <f aca="false">G2002-J2002</f>
        <v>0</v>
      </c>
      <c r="M2002" s="25" t="n">
        <f aca="false">F2002</f>
        <v>796685750</v>
      </c>
      <c r="N2002" s="48" t="n">
        <v>0.0110191666666667</v>
      </c>
      <c r="O2002" s="25" t="n">
        <f aca="false">IF(AND(B2002&gt;=DATE(2026,1,1),B2002&lt;=Resumen!$C$5),1,0)</f>
        <v>1</v>
      </c>
      <c r="P2002" s="25" t="n">
        <f aca="false">IF(AND(B2002&gt;Resumen!$C$5,B2002&lt;=DATE(2027,7,31)),1,0)</f>
        <v>0</v>
      </c>
    </row>
    <row r="2003" customFormat="false" ht="15" hidden="false" customHeight="false" outlineLevel="0" collapsed="false">
      <c r="A2003" s="22" t="n">
        <v>11</v>
      </c>
      <c r="B2003" s="23" t="n">
        <v>46142</v>
      </c>
      <c r="C2003" s="28" t="n">
        <v>72300000000</v>
      </c>
      <c r="D2003" s="28" t="n">
        <v>822231750</v>
      </c>
      <c r="E2003" s="28" t="n">
        <v>0</v>
      </c>
      <c r="F2003" s="28" t="n">
        <v>822231750</v>
      </c>
      <c r="G2003" s="28" t="n">
        <v>72300000000</v>
      </c>
      <c r="H2003" s="25" t="n">
        <f aca="false">J2002</f>
        <v>72300000000</v>
      </c>
      <c r="I2003" s="25" t="n">
        <f aca="false">H2003*N2003</f>
        <v>822231750</v>
      </c>
      <c r="J2003" s="25" t="n">
        <f aca="false">H2003-E2003</f>
        <v>72300000000</v>
      </c>
      <c r="K2003" s="25" t="n">
        <f aca="false">D2003-I2003</f>
        <v>0</v>
      </c>
      <c r="L2003" s="25" t="n">
        <f aca="false">G2003-J2003</f>
        <v>0</v>
      </c>
      <c r="M2003" s="25" t="n">
        <f aca="false">F2003</f>
        <v>822231750</v>
      </c>
      <c r="N2003" s="48" t="n">
        <v>0.0113725</v>
      </c>
      <c r="O2003" s="25" t="n">
        <f aca="false">IF(AND(B2003&gt;=DATE(2026,1,1),B2003&lt;=Resumen!$C$5),1,0)</f>
        <v>1</v>
      </c>
      <c r="P2003" s="25" t="n">
        <f aca="false">IF(AND(B2003&gt;Resumen!$C$5,B2003&lt;=DATE(2027,7,31)),1,0)</f>
        <v>0</v>
      </c>
    </row>
    <row r="2004" customFormat="false" ht="15" hidden="false" customHeight="false" outlineLevel="0" collapsed="false">
      <c r="A2004" s="22" t="n">
        <v>12</v>
      </c>
      <c r="B2004" s="23" t="n">
        <v>46172</v>
      </c>
      <c r="C2004" s="28" t="n">
        <v>72300000000</v>
      </c>
      <c r="D2004" s="28" t="n">
        <v>822231750</v>
      </c>
      <c r="E2004" s="28" t="n">
        <v>0</v>
      </c>
      <c r="F2004" s="28" t="n">
        <v>822231750</v>
      </c>
      <c r="G2004" s="28" t="n">
        <v>72300000000</v>
      </c>
      <c r="H2004" s="25" t="n">
        <f aca="false">J2003</f>
        <v>72300000000</v>
      </c>
      <c r="I2004" s="25" t="n">
        <f aca="false">H2004*N2004</f>
        <v>822231750</v>
      </c>
      <c r="J2004" s="25" t="n">
        <f aca="false">H2004-E2004</f>
        <v>72300000000</v>
      </c>
      <c r="K2004" s="25" t="n">
        <f aca="false">D2004-I2004</f>
        <v>0</v>
      </c>
      <c r="L2004" s="25" t="n">
        <f aca="false">G2004-J2004</f>
        <v>0</v>
      </c>
      <c r="M2004" s="25" t="n">
        <f aca="false">F2004</f>
        <v>822231750</v>
      </c>
      <c r="N2004" s="48" t="n">
        <v>0.0113725</v>
      </c>
      <c r="O2004" s="25" t="n">
        <f aca="false">IF(AND(B2004&gt;=DATE(2026,1,1),B2004&lt;=Resumen!$C$5),1,0)</f>
        <v>1</v>
      </c>
      <c r="P2004" s="25" t="n">
        <f aca="false">IF(AND(B2004&gt;Resumen!$C$5,B2004&lt;=DATE(2027,7,31)),1,0)</f>
        <v>0</v>
      </c>
    </row>
    <row r="2005" customFormat="false" ht="15" hidden="false" customHeight="false" outlineLevel="0" collapsed="false">
      <c r="A2005" s="22" t="n">
        <v>13</v>
      </c>
      <c r="B2005" s="23" t="n">
        <v>46203</v>
      </c>
      <c r="C2005" s="28" t="n">
        <v>72300000000</v>
      </c>
      <c r="D2005" s="28" t="n">
        <v>824099500</v>
      </c>
      <c r="E2005" s="28" t="n">
        <v>0</v>
      </c>
      <c r="F2005" s="28" t="n">
        <v>824099500</v>
      </c>
      <c r="G2005" s="28" t="n">
        <v>72300000000</v>
      </c>
      <c r="H2005" s="25" t="n">
        <f aca="false">J2004</f>
        <v>72300000000</v>
      </c>
      <c r="I2005" s="25" t="n">
        <f aca="false">H2005*N2005</f>
        <v>824099500</v>
      </c>
      <c r="J2005" s="25" t="n">
        <f aca="false">H2005-E2005</f>
        <v>72300000000</v>
      </c>
      <c r="K2005" s="25" t="n">
        <f aca="false">D2005-I2005</f>
        <v>0</v>
      </c>
      <c r="L2005" s="25" t="n">
        <f aca="false">G2005-J2005</f>
        <v>0</v>
      </c>
      <c r="M2005" s="25" t="n">
        <f aca="false">F2005</f>
        <v>824099500</v>
      </c>
      <c r="N2005" s="48" t="n">
        <v>0.0113983333333333</v>
      </c>
      <c r="O2005" s="25" t="n">
        <f aca="false">IF(AND(B2005&gt;=DATE(2026,1,1),B2005&lt;=Resumen!$C$5),1,0)</f>
        <v>1</v>
      </c>
      <c r="P2005" s="25" t="n">
        <f aca="false">IF(AND(B2005&gt;Resumen!$C$5,B2005&lt;=DATE(2027,7,31)),1,0)</f>
        <v>0</v>
      </c>
    </row>
    <row r="2006" customFormat="false" ht="15" hidden="false" customHeight="false" outlineLevel="0" collapsed="false">
      <c r="A2006" s="22" t="n">
        <v>14</v>
      </c>
      <c r="B2006" s="23" t="n">
        <v>46233</v>
      </c>
      <c r="C2006" s="28" t="n">
        <v>72300000000</v>
      </c>
      <c r="D2006" s="28" t="n">
        <v>841572000</v>
      </c>
      <c r="E2006" s="28" t="n">
        <v>0</v>
      </c>
      <c r="F2006" s="28" t="n">
        <v>841572000</v>
      </c>
      <c r="G2006" s="28" t="n">
        <v>72300000000</v>
      </c>
      <c r="H2006" s="25" t="n">
        <f aca="false">J2005</f>
        <v>72300000000</v>
      </c>
      <c r="I2006" s="25" t="n">
        <f aca="false">H2006*N2006</f>
        <v>841572000</v>
      </c>
      <c r="J2006" s="25" t="n">
        <f aca="false">H2006-E2006</f>
        <v>72300000000</v>
      </c>
      <c r="K2006" s="25" t="n">
        <f aca="false">D2006-I2006</f>
        <v>0</v>
      </c>
      <c r="L2006" s="25" t="n">
        <f aca="false">G2006-J2006</f>
        <v>0</v>
      </c>
      <c r="M2006" s="25" t="n">
        <f aca="false">F2006</f>
        <v>841572000</v>
      </c>
      <c r="N2006" s="48" t="n">
        <v>0.01164</v>
      </c>
      <c r="O2006" s="25" t="n">
        <f aca="false">IF(AND(B2006&gt;=DATE(2026,1,1),B2006&lt;=Resumen!$C$5),1,0)</f>
        <v>1</v>
      </c>
      <c r="P2006" s="25" t="n">
        <f aca="false">IF(AND(B2006&gt;Resumen!$C$5,B2006&lt;=DATE(2027,7,31)),1,0)</f>
        <v>0</v>
      </c>
    </row>
    <row r="2007" customFormat="false" ht="15" hidden="false" customHeight="false" outlineLevel="0" collapsed="false">
      <c r="A2007" s="22" t="n">
        <v>15</v>
      </c>
      <c r="B2007" s="23" t="n">
        <v>46264</v>
      </c>
      <c r="C2007" s="28" t="n">
        <v>72300000000</v>
      </c>
      <c r="D2007" s="28" t="n">
        <v>841572000</v>
      </c>
      <c r="E2007" s="28" t="n">
        <v>0</v>
      </c>
      <c r="F2007" s="28" t="n">
        <v>841572000</v>
      </c>
      <c r="G2007" s="28" t="n">
        <v>72300000000</v>
      </c>
      <c r="H2007" s="25" t="n">
        <f aca="false">J2006</f>
        <v>72300000000</v>
      </c>
      <c r="I2007" s="25" t="n">
        <f aca="false">H2007*N2007</f>
        <v>841572000</v>
      </c>
      <c r="J2007" s="25" t="n">
        <f aca="false">H2007-E2007</f>
        <v>72300000000</v>
      </c>
      <c r="K2007" s="25" t="n">
        <f aca="false">D2007-I2007</f>
        <v>0</v>
      </c>
      <c r="L2007" s="25" t="n">
        <f aca="false">G2007-J2007</f>
        <v>0</v>
      </c>
      <c r="M2007" s="25" t="n">
        <f aca="false">F2007</f>
        <v>841572000</v>
      </c>
      <c r="N2007" s="48" t="n">
        <v>0.01164</v>
      </c>
      <c r="O2007" s="25" t="n">
        <f aca="false">IF(AND(B2007&gt;=DATE(2026,1,1),B2007&lt;=Resumen!$C$5),1,0)</f>
        <v>0</v>
      </c>
      <c r="P2007" s="25" t="n">
        <f aca="false">IF(AND(B2007&gt;Resumen!$C$5,B2007&lt;=DATE(2027,7,31)),1,0)</f>
        <v>1</v>
      </c>
    </row>
    <row r="2008" customFormat="false" ht="15" hidden="false" customHeight="false" outlineLevel="0" collapsed="false">
      <c r="A2008" s="22" t="n">
        <v>16</v>
      </c>
      <c r="B2008" s="23" t="n">
        <v>46295</v>
      </c>
      <c r="C2008" s="28" t="n">
        <v>72300000000</v>
      </c>
      <c r="D2008" s="28" t="n">
        <v>841572000</v>
      </c>
      <c r="E2008" s="28" t="n">
        <v>0</v>
      </c>
      <c r="F2008" s="28" t="n">
        <v>841572000</v>
      </c>
      <c r="G2008" s="28" t="n">
        <v>72300000000</v>
      </c>
      <c r="H2008" s="25" t="n">
        <f aca="false">J2007</f>
        <v>72300000000</v>
      </c>
      <c r="I2008" s="25" t="n">
        <f aca="false">H2008*N2008</f>
        <v>841572000</v>
      </c>
      <c r="J2008" s="25" t="n">
        <f aca="false">H2008-E2008</f>
        <v>72300000000</v>
      </c>
      <c r="K2008" s="25" t="n">
        <f aca="false">D2008-I2008</f>
        <v>0</v>
      </c>
      <c r="L2008" s="25" t="n">
        <f aca="false">G2008-J2008</f>
        <v>0</v>
      </c>
      <c r="M2008" s="25" t="n">
        <f aca="false">F2008</f>
        <v>841572000</v>
      </c>
      <c r="N2008" s="48" t="n">
        <v>0.01164</v>
      </c>
      <c r="O2008" s="25" t="n">
        <f aca="false">IF(AND(B2008&gt;=DATE(2026,1,1),B2008&lt;=Resumen!$C$5),1,0)</f>
        <v>0</v>
      </c>
      <c r="P2008" s="25" t="n">
        <f aca="false">IF(AND(B2008&gt;Resumen!$C$5,B2008&lt;=DATE(2027,7,31)),1,0)</f>
        <v>1</v>
      </c>
    </row>
    <row r="2009" customFormat="false" ht="15" hidden="false" customHeight="false" outlineLevel="0" collapsed="false">
      <c r="A2009" s="22" t="n">
        <v>17</v>
      </c>
      <c r="B2009" s="23" t="n">
        <v>46325</v>
      </c>
      <c r="C2009" s="28" t="n">
        <v>72300000000</v>
      </c>
      <c r="D2009" s="28" t="n">
        <v>841572000</v>
      </c>
      <c r="E2009" s="28" t="n">
        <v>0</v>
      </c>
      <c r="F2009" s="28" t="n">
        <v>841572000</v>
      </c>
      <c r="G2009" s="28" t="n">
        <v>72300000000</v>
      </c>
      <c r="H2009" s="25" t="n">
        <f aca="false">J2008</f>
        <v>72300000000</v>
      </c>
      <c r="I2009" s="25" t="n">
        <f aca="false">H2009*N2009</f>
        <v>841572000</v>
      </c>
      <c r="J2009" s="25" t="n">
        <f aca="false">H2009-E2009</f>
        <v>72300000000</v>
      </c>
      <c r="K2009" s="25" t="n">
        <f aca="false">D2009-I2009</f>
        <v>0</v>
      </c>
      <c r="L2009" s="25" t="n">
        <f aca="false">G2009-J2009</f>
        <v>0</v>
      </c>
      <c r="M2009" s="25" t="n">
        <f aca="false">F2009</f>
        <v>841572000</v>
      </c>
      <c r="N2009" s="48" t="n">
        <v>0.01164</v>
      </c>
      <c r="O2009" s="25" t="n">
        <f aca="false">IF(AND(B2009&gt;=DATE(2026,1,1),B2009&lt;=Resumen!$C$5),1,0)</f>
        <v>0</v>
      </c>
      <c r="P2009" s="25" t="n">
        <f aca="false">IF(AND(B2009&gt;Resumen!$C$5,B2009&lt;=DATE(2027,7,31)),1,0)</f>
        <v>1</v>
      </c>
    </row>
    <row r="2010" customFormat="false" ht="15" hidden="false" customHeight="false" outlineLevel="0" collapsed="false">
      <c r="A2010" s="22" t="n">
        <v>18</v>
      </c>
      <c r="B2010" s="23" t="n">
        <v>46356</v>
      </c>
      <c r="C2010" s="28" t="n">
        <v>72300000000</v>
      </c>
      <c r="D2010" s="28" t="n">
        <v>841572000</v>
      </c>
      <c r="E2010" s="28" t="n">
        <v>0</v>
      </c>
      <c r="F2010" s="28" t="n">
        <v>841572000</v>
      </c>
      <c r="G2010" s="28" t="n">
        <v>72300000000</v>
      </c>
      <c r="H2010" s="25" t="n">
        <f aca="false">J2009</f>
        <v>72300000000</v>
      </c>
      <c r="I2010" s="25" t="n">
        <f aca="false">H2010*N2010</f>
        <v>841572000</v>
      </c>
      <c r="J2010" s="25" t="n">
        <f aca="false">H2010-E2010</f>
        <v>72300000000</v>
      </c>
      <c r="K2010" s="25" t="n">
        <f aca="false">D2010-I2010</f>
        <v>0</v>
      </c>
      <c r="L2010" s="25" t="n">
        <f aca="false">G2010-J2010</f>
        <v>0</v>
      </c>
      <c r="M2010" s="25" t="n">
        <f aca="false">F2010</f>
        <v>841572000</v>
      </c>
      <c r="N2010" s="48" t="n">
        <v>0.01164</v>
      </c>
      <c r="O2010" s="25" t="n">
        <f aca="false">IF(AND(B2010&gt;=DATE(2026,1,1),B2010&lt;=Resumen!$C$5),1,0)</f>
        <v>0</v>
      </c>
      <c r="P2010" s="25" t="n">
        <f aca="false">IF(AND(B2010&gt;Resumen!$C$5,B2010&lt;=DATE(2027,7,31)),1,0)</f>
        <v>1</v>
      </c>
    </row>
    <row r="2011" customFormat="false" ht="15" hidden="false" customHeight="false" outlineLevel="0" collapsed="false">
      <c r="A2011" s="22" t="n">
        <v>19</v>
      </c>
      <c r="B2011" s="23" t="n">
        <v>46386</v>
      </c>
      <c r="C2011" s="28" t="n">
        <v>72300000000</v>
      </c>
      <c r="D2011" s="28" t="n">
        <v>841572000</v>
      </c>
      <c r="E2011" s="28" t="n">
        <v>0</v>
      </c>
      <c r="F2011" s="28" t="n">
        <v>841572000</v>
      </c>
      <c r="G2011" s="28" t="n">
        <v>72300000000</v>
      </c>
      <c r="H2011" s="25" t="n">
        <f aca="false">J2010</f>
        <v>72300000000</v>
      </c>
      <c r="I2011" s="25" t="n">
        <f aca="false">H2011*N2011</f>
        <v>841572000</v>
      </c>
      <c r="J2011" s="25" t="n">
        <f aca="false">H2011-E2011</f>
        <v>72300000000</v>
      </c>
      <c r="K2011" s="25" t="n">
        <f aca="false">D2011-I2011</f>
        <v>0</v>
      </c>
      <c r="L2011" s="25" t="n">
        <f aca="false">G2011-J2011</f>
        <v>0</v>
      </c>
      <c r="M2011" s="25" t="n">
        <f aca="false">F2011</f>
        <v>841572000</v>
      </c>
      <c r="N2011" s="48" t="n">
        <v>0.01164</v>
      </c>
      <c r="O2011" s="25" t="n">
        <f aca="false">IF(AND(B2011&gt;=DATE(2026,1,1),B2011&lt;=Resumen!$C$5),1,0)</f>
        <v>0</v>
      </c>
      <c r="P2011" s="25" t="n">
        <f aca="false">IF(AND(B2011&gt;Resumen!$C$5,B2011&lt;=DATE(2027,7,31)),1,0)</f>
        <v>1</v>
      </c>
    </row>
    <row r="2012" customFormat="false" ht="15" hidden="false" customHeight="false" outlineLevel="0" collapsed="false">
      <c r="A2012" s="22" t="n">
        <v>20</v>
      </c>
      <c r="B2012" s="23" t="n">
        <v>46417</v>
      </c>
      <c r="C2012" s="28" t="n">
        <v>72300000000</v>
      </c>
      <c r="D2012" s="28" t="n">
        <v>841572000</v>
      </c>
      <c r="E2012" s="28" t="n">
        <v>0</v>
      </c>
      <c r="F2012" s="28" t="n">
        <v>841572000</v>
      </c>
      <c r="G2012" s="28" t="n">
        <v>72300000000</v>
      </c>
      <c r="H2012" s="25" t="n">
        <f aca="false">J2011</f>
        <v>72300000000</v>
      </c>
      <c r="I2012" s="25" t="n">
        <f aca="false">H2012*N2012</f>
        <v>841572000</v>
      </c>
      <c r="J2012" s="25" t="n">
        <f aca="false">H2012-E2012</f>
        <v>72300000000</v>
      </c>
      <c r="K2012" s="25" t="n">
        <f aca="false">D2012-I2012</f>
        <v>0</v>
      </c>
      <c r="L2012" s="25" t="n">
        <f aca="false">G2012-J2012</f>
        <v>0</v>
      </c>
      <c r="M2012" s="25" t="n">
        <f aca="false">F2012</f>
        <v>841572000</v>
      </c>
      <c r="N2012" s="48" t="n">
        <v>0.01164</v>
      </c>
      <c r="O2012" s="25" t="n">
        <f aca="false">IF(AND(B2012&gt;=DATE(2026,1,1),B2012&lt;=Resumen!$C$5),1,0)</f>
        <v>0</v>
      </c>
      <c r="P2012" s="25" t="n">
        <f aca="false">IF(AND(B2012&gt;Resumen!$C$5,B2012&lt;=DATE(2027,7,31)),1,0)</f>
        <v>1</v>
      </c>
    </row>
    <row r="2013" customFormat="false" ht="15" hidden="false" customHeight="false" outlineLevel="0" collapsed="false">
      <c r="A2013" s="22" t="n">
        <v>21</v>
      </c>
      <c r="B2013" s="23" t="n">
        <v>46446</v>
      </c>
      <c r="C2013" s="28" t="n">
        <v>72300000000</v>
      </c>
      <c r="D2013" s="28" t="n">
        <v>841572000</v>
      </c>
      <c r="E2013" s="28" t="n">
        <v>0</v>
      </c>
      <c r="F2013" s="28" t="n">
        <v>841572000</v>
      </c>
      <c r="G2013" s="28" t="n">
        <v>72300000000</v>
      </c>
      <c r="H2013" s="25" t="n">
        <f aca="false">J2012</f>
        <v>72300000000</v>
      </c>
      <c r="I2013" s="25" t="n">
        <f aca="false">H2013*N2013</f>
        <v>841572000</v>
      </c>
      <c r="J2013" s="25" t="n">
        <f aca="false">H2013-E2013</f>
        <v>72300000000</v>
      </c>
      <c r="K2013" s="25" t="n">
        <f aca="false">D2013-I2013</f>
        <v>0</v>
      </c>
      <c r="L2013" s="25" t="n">
        <f aca="false">G2013-J2013</f>
        <v>0</v>
      </c>
      <c r="M2013" s="25" t="n">
        <f aca="false">F2013</f>
        <v>841572000</v>
      </c>
      <c r="N2013" s="48" t="n">
        <v>0.01164</v>
      </c>
      <c r="O2013" s="25" t="n">
        <f aca="false">IF(AND(B2013&gt;=DATE(2026,1,1),B2013&lt;=Resumen!$C$5),1,0)</f>
        <v>0</v>
      </c>
      <c r="P2013" s="25" t="n">
        <f aca="false">IF(AND(B2013&gt;Resumen!$C$5,B2013&lt;=DATE(2027,7,31)),1,0)</f>
        <v>1</v>
      </c>
    </row>
    <row r="2014" customFormat="false" ht="15" hidden="false" customHeight="false" outlineLevel="0" collapsed="false">
      <c r="A2014" s="22" t="n">
        <v>22</v>
      </c>
      <c r="B2014" s="23" t="n">
        <v>46476</v>
      </c>
      <c r="C2014" s="28" t="n">
        <v>72300000000</v>
      </c>
      <c r="D2014" s="28" t="n">
        <v>841572000</v>
      </c>
      <c r="E2014" s="28" t="n">
        <v>0</v>
      </c>
      <c r="F2014" s="28" t="n">
        <v>841572000</v>
      </c>
      <c r="G2014" s="28" t="n">
        <v>72300000000</v>
      </c>
      <c r="H2014" s="25" t="n">
        <f aca="false">J2013</f>
        <v>72300000000</v>
      </c>
      <c r="I2014" s="25" t="n">
        <f aca="false">H2014*N2014</f>
        <v>841572000</v>
      </c>
      <c r="J2014" s="25" t="n">
        <f aca="false">H2014-E2014</f>
        <v>72300000000</v>
      </c>
      <c r="K2014" s="25" t="n">
        <f aca="false">D2014-I2014</f>
        <v>0</v>
      </c>
      <c r="L2014" s="25" t="n">
        <f aca="false">G2014-J2014</f>
        <v>0</v>
      </c>
      <c r="M2014" s="25" t="n">
        <f aca="false">F2014</f>
        <v>841572000</v>
      </c>
      <c r="N2014" s="48" t="n">
        <v>0.01164</v>
      </c>
      <c r="O2014" s="25" t="n">
        <f aca="false">IF(AND(B2014&gt;=DATE(2026,1,1),B2014&lt;=Resumen!$C$5),1,0)</f>
        <v>0</v>
      </c>
      <c r="P2014" s="25" t="n">
        <f aca="false">IF(AND(B2014&gt;Resumen!$C$5,B2014&lt;=DATE(2027,7,31)),1,0)</f>
        <v>1</v>
      </c>
    </row>
    <row r="2015" customFormat="false" ht="15" hidden="false" customHeight="false" outlineLevel="0" collapsed="false">
      <c r="A2015" s="22" t="n">
        <v>23</v>
      </c>
      <c r="B2015" s="23" t="n">
        <v>46507</v>
      </c>
      <c r="C2015" s="28" t="n">
        <v>72300000000</v>
      </c>
      <c r="D2015" s="28" t="n">
        <v>841572000</v>
      </c>
      <c r="E2015" s="28" t="n">
        <v>0</v>
      </c>
      <c r="F2015" s="28" t="n">
        <v>841572000</v>
      </c>
      <c r="G2015" s="28" t="n">
        <v>72300000000</v>
      </c>
      <c r="H2015" s="25" t="n">
        <f aca="false">J2014</f>
        <v>72300000000</v>
      </c>
      <c r="I2015" s="25" t="n">
        <f aca="false">H2015*N2015</f>
        <v>841572000</v>
      </c>
      <c r="J2015" s="25" t="n">
        <f aca="false">H2015-E2015</f>
        <v>72300000000</v>
      </c>
      <c r="K2015" s="25" t="n">
        <f aca="false">D2015-I2015</f>
        <v>0</v>
      </c>
      <c r="L2015" s="25" t="n">
        <f aca="false">G2015-J2015</f>
        <v>0</v>
      </c>
      <c r="M2015" s="25" t="n">
        <f aca="false">F2015</f>
        <v>841572000</v>
      </c>
      <c r="N2015" s="48" t="n">
        <v>0.01164</v>
      </c>
      <c r="O2015" s="25" t="n">
        <f aca="false">IF(AND(B2015&gt;=DATE(2026,1,1),B2015&lt;=Resumen!$C$5),1,0)</f>
        <v>0</v>
      </c>
      <c r="P2015" s="25" t="n">
        <f aca="false">IF(AND(B2015&gt;Resumen!$C$5,B2015&lt;=DATE(2027,7,31)),1,0)</f>
        <v>1</v>
      </c>
    </row>
    <row r="2016" customFormat="false" ht="15" hidden="false" customHeight="false" outlineLevel="0" collapsed="false">
      <c r="A2016" s="22" t="n">
        <v>24</v>
      </c>
      <c r="B2016" s="23" t="n">
        <v>46537</v>
      </c>
      <c r="C2016" s="28" t="n">
        <v>72300000000</v>
      </c>
      <c r="D2016" s="28" t="n">
        <v>841572000</v>
      </c>
      <c r="E2016" s="28" t="n">
        <v>72300000000</v>
      </c>
      <c r="F2016" s="28" t="n">
        <v>73141572000</v>
      </c>
      <c r="G2016" s="28" t="n">
        <v>0</v>
      </c>
      <c r="H2016" s="25" t="n">
        <f aca="false">J2015</f>
        <v>72300000000</v>
      </c>
      <c r="I2016" s="25" t="n">
        <f aca="false">H2016*N2016</f>
        <v>841572000</v>
      </c>
      <c r="J2016" s="25" t="n">
        <f aca="false">H2016-E2016</f>
        <v>0</v>
      </c>
      <c r="K2016" s="25" t="n">
        <f aca="false">D2016-I2016</f>
        <v>0</v>
      </c>
      <c r="L2016" s="25" t="n">
        <f aca="false">G2016-J2016</f>
        <v>0</v>
      </c>
      <c r="M2016" s="25" t="n">
        <f aca="false">F2016</f>
        <v>73141572000</v>
      </c>
      <c r="N2016" s="48" t="n">
        <v>0.01164</v>
      </c>
      <c r="O2016" s="25" t="n">
        <f aca="false">IF(AND(B2016&gt;=DATE(2026,1,1),B2016&lt;=Resumen!$C$5),1,0)</f>
        <v>0</v>
      </c>
      <c r="P2016" s="25" t="n">
        <f aca="false">IF(AND(B2016&gt;Resumen!$C$5,B2016&lt;=DATE(2027,7,31)),1,0)</f>
        <v>1</v>
      </c>
    </row>
    <row r="2019" customFormat="false" ht="15" hidden="false" customHeight="false" outlineLevel="0" collapsed="false">
      <c r="A2019" s="33" t="s">
        <v>930</v>
      </c>
    </row>
    <row r="2020" customFormat="false" ht="15" hidden="false" customHeight="false" outlineLevel="0" collapsed="false">
      <c r="A2020" s="34" t="s">
        <v>931</v>
      </c>
    </row>
    <row r="2021" customFormat="false" ht="15" hidden="false" customHeight="false" outlineLevel="0" collapsed="false">
      <c r="A2021" s="19" t="s">
        <v>932</v>
      </c>
    </row>
    <row r="2022" customFormat="false" ht="15" hidden="false" customHeight="false" outlineLevel="0" collapsed="false">
      <c r="A2022" s="20" t="s">
        <v>933</v>
      </c>
    </row>
    <row r="2023" customFormat="false" ht="15" hidden="false" customHeight="false" outlineLevel="0" collapsed="false">
      <c r="A2023" s="29" t="s">
        <v>773</v>
      </c>
      <c r="C2023" s="22" t="s">
        <v>934</v>
      </c>
      <c r="F2023" s="47" t="s">
        <v>775</v>
      </c>
    </row>
    <row r="2024" customFormat="false" ht="15" hidden="false" customHeight="false" outlineLevel="0" collapsed="false">
      <c r="A2024" s="29" t="s">
        <v>640</v>
      </c>
      <c r="C2024" s="28" t="n">
        <v>142000000</v>
      </c>
      <c r="F2024" s="22" t="s">
        <v>776</v>
      </c>
      <c r="I2024" s="41" t="n">
        <f aca="false">_xlfn.MAXIFS($B$2032:$B$2060,$B$2032:$B$2060,"&lt;="&amp;Resumen!$C$5)</f>
        <v>45133</v>
      </c>
    </row>
    <row r="2025" customFormat="false" ht="15" hidden="false" customHeight="false" outlineLevel="0" collapsed="false">
      <c r="A2025" s="29" t="s">
        <v>641</v>
      </c>
      <c r="C2025" s="23" t="n">
        <v>44281</v>
      </c>
      <c r="F2025" s="22" t="s">
        <v>777</v>
      </c>
      <c r="I2025" s="25" t="n">
        <f aca="false">SUMIFS($G$2032:$G$2060,$B$2032:$B$2060,I2024)</f>
        <v>6.05359673500061E-008</v>
      </c>
    </row>
    <row r="2026" customFormat="false" ht="15" hidden="false" customHeight="false" outlineLevel="0" collapsed="false">
      <c r="A2026" s="29" t="s">
        <v>778</v>
      </c>
      <c r="C2026" s="22" t="s">
        <v>935</v>
      </c>
      <c r="F2026" s="22" t="s">
        <v>780</v>
      </c>
      <c r="I2026" s="25" t="n">
        <f aca="false">SUMIFS($J$2032:$J$2060,$B$2032:$B$2060,I2024)</f>
        <v>6.4261257648468E-008</v>
      </c>
    </row>
    <row r="2027" customFormat="false" ht="15" hidden="false" customHeight="false" outlineLevel="0" collapsed="false">
      <c r="A2027" s="29" t="s">
        <v>781</v>
      </c>
      <c r="C2027" s="48" t="n">
        <v>-0.0458764589719203</v>
      </c>
      <c r="F2027" s="22" t="s">
        <v>650</v>
      </c>
      <c r="I2027" s="25" t="n">
        <f aca="false">SUMIFS($D$2032:$D$2060,$O$2032:$O$2060,1)</f>
        <v>0</v>
      </c>
    </row>
    <row r="2028" customFormat="false" ht="15" hidden="false" customHeight="false" outlineLevel="0" collapsed="false">
      <c r="A2028" s="29" t="s">
        <v>782</v>
      </c>
      <c r="C2028" s="49" t="str">
        <f aca="false">IFERROR(IRR($M$2032:$M$2060),"N/A")</f>
        <v>N/A</v>
      </c>
      <c r="F2028" s="22" t="s">
        <v>783</v>
      </c>
      <c r="I2028" s="25" t="n">
        <f aca="false">SUMIFS($E$2032:$E$2060,$P$2032:$P$2060,1)</f>
        <v>0</v>
      </c>
    </row>
    <row r="2029" customFormat="false" ht="15" hidden="false" customHeight="false" outlineLevel="0" collapsed="false">
      <c r="A2029" s="29" t="s">
        <v>784</v>
      </c>
      <c r="C2029" s="50" t="str">
        <f aca="false">IF(ISNUMBER(C2028),(1+C2028)^12-1,"N/A")</f>
        <v>N/A</v>
      </c>
      <c r="F2029" s="22" t="s">
        <v>785</v>
      </c>
      <c r="I2029" s="25" t="n">
        <f aca="false">SUMPRODUCT(MAX(ABS($L$2032:$L$2060)))</f>
        <v>3.72529029846191E-009</v>
      </c>
    </row>
    <row r="2031" customFormat="false" ht="36" hidden="false" customHeight="true" outlineLevel="0" collapsed="false">
      <c r="A2031" s="27" t="s">
        <v>786</v>
      </c>
      <c r="B2031" s="27" t="s">
        <v>396</v>
      </c>
      <c r="C2031" s="27" t="s">
        <v>787</v>
      </c>
      <c r="D2031" s="27" t="s">
        <v>788</v>
      </c>
      <c r="E2031" s="27" t="s">
        <v>789</v>
      </c>
      <c r="F2031" s="27" t="s">
        <v>790</v>
      </c>
      <c r="G2031" s="27" t="s">
        <v>791</v>
      </c>
      <c r="H2031" s="27" t="s">
        <v>792</v>
      </c>
      <c r="I2031" s="27" t="s">
        <v>793</v>
      </c>
      <c r="J2031" s="27" t="s">
        <v>794</v>
      </c>
      <c r="K2031" s="27" t="s">
        <v>795</v>
      </c>
      <c r="L2031" s="27" t="s">
        <v>796</v>
      </c>
      <c r="M2031" s="27" t="s">
        <v>797</v>
      </c>
      <c r="N2031" s="27" t="s">
        <v>798</v>
      </c>
      <c r="O2031" s="27" t="s">
        <v>799</v>
      </c>
      <c r="P2031" s="27" t="s">
        <v>800</v>
      </c>
    </row>
    <row r="2032" customFormat="false" ht="15" hidden="false" customHeight="false" outlineLevel="0" collapsed="false">
      <c r="A2032" s="22" t="n">
        <v>0</v>
      </c>
      <c r="B2032" s="23" t="n">
        <v>44281</v>
      </c>
      <c r="C2032" s="28"/>
      <c r="D2032" s="28" t="n">
        <v>0</v>
      </c>
      <c r="E2032" s="28" t="n">
        <v>0</v>
      </c>
      <c r="F2032" s="28" t="n">
        <v>0</v>
      </c>
      <c r="G2032" s="28" t="n">
        <v>142000000</v>
      </c>
      <c r="H2032" s="25" t="n">
        <f aca="false">G2032</f>
        <v>142000000</v>
      </c>
      <c r="I2032" s="28" t="n">
        <v>0</v>
      </c>
      <c r="J2032" s="25" t="n">
        <f aca="false">H2032</f>
        <v>142000000</v>
      </c>
      <c r="K2032" s="25" t="n">
        <f aca="false">D2032-I2032</f>
        <v>0</v>
      </c>
      <c r="L2032" s="25" t="n">
        <f aca="false">G2032-J2032</f>
        <v>0</v>
      </c>
      <c r="M2032" s="25" t="n">
        <f aca="false">-$C$2024</f>
        <v>-142000000</v>
      </c>
      <c r="N2032" s="49" t="n">
        <f aca="false">$C$2027</f>
        <v>-0.0458764589719203</v>
      </c>
      <c r="O2032" s="25" t="n">
        <f aca="false">IF(AND(B2032&gt;=DATE(2026,1,1),B2032&lt;=Resumen!$C$5),1,0)</f>
        <v>0</v>
      </c>
      <c r="P2032" s="25" t="n">
        <f aca="false">IF(AND(B2032&gt;Resumen!$C$5,B2032&lt;=DATE(2027,7,31)),1,0)</f>
        <v>0</v>
      </c>
    </row>
    <row r="2033" customFormat="false" ht="15" hidden="false" customHeight="false" outlineLevel="0" collapsed="false">
      <c r="A2033" s="22" t="n">
        <v>1</v>
      </c>
      <c r="B2033" s="23" t="n">
        <v>44312</v>
      </c>
      <c r="C2033" s="28" t="n">
        <v>142000000</v>
      </c>
      <c r="D2033" s="28" t="n">
        <v>-6514457.17401268</v>
      </c>
      <c r="E2033" s="28" t="n">
        <v>7402701.90099549</v>
      </c>
      <c r="F2033" s="28" t="n">
        <v>888244.726982814</v>
      </c>
      <c r="G2033" s="28" t="n">
        <v>134597298.099005</v>
      </c>
      <c r="H2033" s="25" t="n">
        <f aca="false">J2032</f>
        <v>142000000</v>
      </c>
      <c r="I2033" s="25" t="n">
        <f aca="false">H2033*N2033</f>
        <v>-6514457.17401268</v>
      </c>
      <c r="J2033" s="25" t="n">
        <f aca="false">H2033+I2033-F2033</f>
        <v>134597298.099005</v>
      </c>
      <c r="K2033" s="25" t="n">
        <f aca="false">D2033-I2033</f>
        <v>0</v>
      </c>
      <c r="L2033" s="25" t="n">
        <f aca="false">G2033-J2033</f>
        <v>0</v>
      </c>
      <c r="M2033" s="25" t="n">
        <f aca="false">F2033</f>
        <v>888244.726982814</v>
      </c>
      <c r="N2033" s="49" t="n">
        <f aca="false">$C$2027</f>
        <v>-0.0458764589719203</v>
      </c>
      <c r="O2033" s="25" t="n">
        <f aca="false">IF(AND(B2033&gt;=DATE(2026,1,1),B2033&lt;=Resumen!$C$5),1,0)</f>
        <v>0</v>
      </c>
      <c r="P2033" s="25" t="n">
        <f aca="false">IF(AND(B2033&gt;Resumen!$C$5,B2033&lt;=DATE(2027,7,31)),1,0)</f>
        <v>0</v>
      </c>
    </row>
    <row r="2034" customFormat="false" ht="15" hidden="false" customHeight="false" outlineLevel="0" collapsed="false">
      <c r="A2034" s="22" t="n">
        <v>2</v>
      </c>
      <c r="B2034" s="23" t="n">
        <v>44342</v>
      </c>
      <c r="C2034" s="28" t="n">
        <v>134597298.099005</v>
      </c>
      <c r="D2034" s="28" t="n">
        <v>-6174847.4239703</v>
      </c>
      <c r="E2034" s="28" t="n">
        <v>7063092.1509531</v>
      </c>
      <c r="F2034" s="28" t="n">
        <v>888244.726982796</v>
      </c>
      <c r="G2034" s="28" t="n">
        <v>127534205.948051</v>
      </c>
      <c r="H2034" s="25" t="n">
        <f aca="false">J2033</f>
        <v>134597298.099005</v>
      </c>
      <c r="I2034" s="25" t="n">
        <f aca="false">H2034*N2034</f>
        <v>-6174847.4239703</v>
      </c>
      <c r="J2034" s="25" t="n">
        <f aca="false">H2034+I2034-F2034</f>
        <v>127534205.948051</v>
      </c>
      <c r="K2034" s="25" t="n">
        <f aca="false">D2034-I2034</f>
        <v>0</v>
      </c>
      <c r="L2034" s="25" t="n">
        <f aca="false">G2034-J2034</f>
        <v>0</v>
      </c>
      <c r="M2034" s="25" t="n">
        <f aca="false">F2034</f>
        <v>888244.726982796</v>
      </c>
      <c r="N2034" s="49" t="n">
        <f aca="false">$C$2027</f>
        <v>-0.0458764589719203</v>
      </c>
      <c r="O2034" s="25" t="n">
        <f aca="false">IF(AND(B2034&gt;=DATE(2026,1,1),B2034&lt;=Resumen!$C$5),1,0)</f>
        <v>0</v>
      </c>
      <c r="P2034" s="25" t="n">
        <f aca="false">IF(AND(B2034&gt;Resumen!$C$5,B2034&lt;=DATE(2027,7,31)),1,0)</f>
        <v>0</v>
      </c>
    </row>
    <row r="2035" customFormat="false" ht="15" hidden="false" customHeight="false" outlineLevel="0" collapsed="false">
      <c r="A2035" s="22" t="n">
        <v>3</v>
      </c>
      <c r="B2035" s="23" t="n">
        <v>44373</v>
      </c>
      <c r="C2035" s="28" t="n">
        <v>127534205.948051</v>
      </c>
      <c r="D2035" s="28" t="n">
        <v>-5850817.76669221</v>
      </c>
      <c r="E2035" s="28" t="n">
        <v>6739062.49367501</v>
      </c>
      <c r="F2035" s="28" t="n">
        <v>888244.726982798</v>
      </c>
      <c r="G2035" s="28" t="n">
        <v>120795143.454376</v>
      </c>
      <c r="H2035" s="25" t="n">
        <f aca="false">J2034</f>
        <v>127534205.948051</v>
      </c>
      <c r="I2035" s="25" t="n">
        <f aca="false">H2035*N2035</f>
        <v>-5850817.76669221</v>
      </c>
      <c r="J2035" s="25" t="n">
        <f aca="false">H2035+I2035-F2035</f>
        <v>120795143.454376</v>
      </c>
      <c r="K2035" s="25" t="n">
        <f aca="false">D2035-I2035</f>
        <v>0</v>
      </c>
      <c r="L2035" s="25" t="n">
        <f aca="false">G2035-J2035</f>
        <v>0</v>
      </c>
      <c r="M2035" s="25" t="n">
        <f aca="false">F2035</f>
        <v>888244.726982798</v>
      </c>
      <c r="N2035" s="49" t="n">
        <f aca="false">$C$2027</f>
        <v>-0.0458764589719203</v>
      </c>
      <c r="O2035" s="25" t="n">
        <f aca="false">IF(AND(B2035&gt;=DATE(2026,1,1),B2035&lt;=Resumen!$C$5),1,0)</f>
        <v>0</v>
      </c>
      <c r="P2035" s="25" t="n">
        <f aca="false">IF(AND(B2035&gt;Resumen!$C$5,B2035&lt;=DATE(2027,7,31)),1,0)</f>
        <v>0</v>
      </c>
    </row>
    <row r="2036" customFormat="false" ht="15" hidden="false" customHeight="false" outlineLevel="0" collapsed="false">
      <c r="A2036" s="22" t="n">
        <v>4</v>
      </c>
      <c r="B2036" s="23" t="n">
        <v>44403</v>
      </c>
      <c r="C2036" s="28" t="n">
        <v>120795143.454376</v>
      </c>
      <c r="D2036" s="28" t="n">
        <v>-5541653.44269192</v>
      </c>
      <c r="E2036" s="28" t="n">
        <v>6429898.16967472</v>
      </c>
      <c r="F2036" s="28" t="n">
        <v>888244.726982801</v>
      </c>
      <c r="G2036" s="28" t="n">
        <v>114365245.284702</v>
      </c>
      <c r="H2036" s="25" t="n">
        <f aca="false">J2035</f>
        <v>120795143.454376</v>
      </c>
      <c r="I2036" s="25" t="n">
        <f aca="false">H2036*N2036</f>
        <v>-5541653.44269192</v>
      </c>
      <c r="J2036" s="25" t="n">
        <f aca="false">H2036+I2036-F2036</f>
        <v>114365245.284702</v>
      </c>
      <c r="K2036" s="25" t="n">
        <f aca="false">D2036-I2036</f>
        <v>0</v>
      </c>
      <c r="L2036" s="25" t="n">
        <f aca="false">G2036-J2036</f>
        <v>0</v>
      </c>
      <c r="M2036" s="25" t="n">
        <f aca="false">F2036</f>
        <v>888244.726982801</v>
      </c>
      <c r="N2036" s="49" t="n">
        <f aca="false">$C$2027</f>
        <v>-0.0458764589719203</v>
      </c>
      <c r="O2036" s="25" t="n">
        <f aca="false">IF(AND(B2036&gt;=DATE(2026,1,1),B2036&lt;=Resumen!$C$5),1,0)</f>
        <v>0</v>
      </c>
      <c r="P2036" s="25" t="n">
        <f aca="false">IF(AND(B2036&gt;Resumen!$C$5,B2036&lt;=DATE(2027,7,31)),1,0)</f>
        <v>0</v>
      </c>
    </row>
    <row r="2037" customFormat="false" ht="15" hidden="false" customHeight="false" outlineLevel="0" collapsed="false">
      <c r="A2037" s="22" t="n">
        <v>5</v>
      </c>
      <c r="B2037" s="23" t="n">
        <v>44434</v>
      </c>
      <c r="C2037" s="28" t="n">
        <v>114365245.284702</v>
      </c>
      <c r="D2037" s="28" t="n">
        <v>-5246672.48311722</v>
      </c>
      <c r="E2037" s="28" t="n">
        <v>6134917.21010003</v>
      </c>
      <c r="F2037" s="28" t="n">
        <v>888244.72698281</v>
      </c>
      <c r="G2037" s="28" t="n">
        <v>108230328.074602</v>
      </c>
      <c r="H2037" s="25" t="n">
        <f aca="false">J2036</f>
        <v>114365245.284702</v>
      </c>
      <c r="I2037" s="25" t="n">
        <f aca="false">H2037*N2037</f>
        <v>-5246672.48311722</v>
      </c>
      <c r="J2037" s="25" t="n">
        <f aca="false">H2037+I2037-F2037</f>
        <v>108230328.074602</v>
      </c>
      <c r="K2037" s="25" t="n">
        <f aca="false">D2037-I2037</f>
        <v>0</v>
      </c>
      <c r="L2037" s="25" t="n">
        <f aca="false">G2037-J2037</f>
        <v>0</v>
      </c>
      <c r="M2037" s="25" t="n">
        <f aca="false">F2037</f>
        <v>888244.72698281</v>
      </c>
      <c r="N2037" s="49" t="n">
        <f aca="false">$C$2027</f>
        <v>-0.0458764589719203</v>
      </c>
      <c r="O2037" s="25" t="n">
        <f aca="false">IF(AND(B2037&gt;=DATE(2026,1,1),B2037&lt;=Resumen!$C$5),1,0)</f>
        <v>0</v>
      </c>
      <c r="P2037" s="25" t="n">
        <f aca="false">IF(AND(B2037&gt;Resumen!$C$5,B2037&lt;=DATE(2027,7,31)),1,0)</f>
        <v>0</v>
      </c>
    </row>
    <row r="2038" customFormat="false" ht="15" hidden="false" customHeight="false" outlineLevel="0" collapsed="false">
      <c r="A2038" s="22" t="n">
        <v>6</v>
      </c>
      <c r="B2038" s="23" t="n">
        <v>44465</v>
      </c>
      <c r="C2038" s="28" t="n">
        <v>108230328.074602</v>
      </c>
      <c r="D2038" s="28" t="n">
        <v>-4965224.20543193</v>
      </c>
      <c r="E2038" s="28" t="n">
        <v>5853468.93241474</v>
      </c>
      <c r="F2038" s="28" t="n">
        <v>888244.726982807</v>
      </c>
      <c r="G2038" s="28" t="n">
        <v>102376859.142187</v>
      </c>
      <c r="H2038" s="25" t="n">
        <f aca="false">J2037</f>
        <v>108230328.074602</v>
      </c>
      <c r="I2038" s="25" t="n">
        <f aca="false">H2038*N2038</f>
        <v>-4965224.20543193</v>
      </c>
      <c r="J2038" s="25" t="n">
        <f aca="false">H2038+I2038-F2038</f>
        <v>102376859.142187</v>
      </c>
      <c r="K2038" s="25" t="n">
        <f aca="false">D2038-I2038</f>
        <v>0</v>
      </c>
      <c r="L2038" s="25" t="n">
        <f aca="false">G2038-J2038</f>
        <v>0</v>
      </c>
      <c r="M2038" s="25" t="n">
        <f aca="false">F2038</f>
        <v>888244.726982807</v>
      </c>
      <c r="N2038" s="49" t="n">
        <f aca="false">$C$2027</f>
        <v>-0.0458764589719203</v>
      </c>
      <c r="O2038" s="25" t="n">
        <f aca="false">IF(AND(B2038&gt;=DATE(2026,1,1),B2038&lt;=Resumen!$C$5),1,0)</f>
        <v>0</v>
      </c>
      <c r="P2038" s="25" t="n">
        <f aca="false">IF(AND(B2038&gt;Resumen!$C$5,B2038&lt;=DATE(2027,7,31)),1,0)</f>
        <v>0</v>
      </c>
    </row>
    <row r="2039" customFormat="false" ht="15" hidden="false" customHeight="false" outlineLevel="0" collapsed="false">
      <c r="A2039" s="22" t="n">
        <v>7</v>
      </c>
      <c r="B2039" s="23" t="n">
        <v>44495</v>
      </c>
      <c r="C2039" s="28" t="n">
        <v>102376859.142187</v>
      </c>
      <c r="D2039" s="28" t="n">
        <v>-4696687.7781106</v>
      </c>
      <c r="E2039" s="28" t="n">
        <v>5584932.5050934</v>
      </c>
      <c r="F2039" s="28" t="n">
        <v>888244.726982797</v>
      </c>
      <c r="G2039" s="28" t="n">
        <v>96791926.6370935</v>
      </c>
      <c r="H2039" s="25" t="n">
        <f aca="false">J2038</f>
        <v>102376859.142187</v>
      </c>
      <c r="I2039" s="25" t="n">
        <f aca="false">H2039*N2039</f>
        <v>-4696687.7781106</v>
      </c>
      <c r="J2039" s="25" t="n">
        <f aca="false">H2039+I2039-F2039</f>
        <v>96791926.6370935</v>
      </c>
      <c r="K2039" s="25" t="n">
        <f aca="false">D2039-I2039</f>
        <v>0</v>
      </c>
      <c r="L2039" s="25" t="n">
        <f aca="false">G2039-J2039</f>
        <v>0</v>
      </c>
      <c r="M2039" s="25" t="n">
        <f aca="false">F2039</f>
        <v>888244.726982797</v>
      </c>
      <c r="N2039" s="49" t="n">
        <f aca="false">$C$2027</f>
        <v>-0.0458764589719203</v>
      </c>
      <c r="O2039" s="25" t="n">
        <f aca="false">IF(AND(B2039&gt;=DATE(2026,1,1),B2039&lt;=Resumen!$C$5),1,0)</f>
        <v>0</v>
      </c>
      <c r="P2039" s="25" t="n">
        <f aca="false">IF(AND(B2039&gt;Resumen!$C$5,B2039&lt;=DATE(2027,7,31)),1,0)</f>
        <v>0</v>
      </c>
    </row>
    <row r="2040" customFormat="false" ht="15" hidden="false" customHeight="false" outlineLevel="0" collapsed="false">
      <c r="A2040" s="22" t="n">
        <v>8</v>
      </c>
      <c r="B2040" s="23" t="n">
        <v>44526</v>
      </c>
      <c r="C2040" s="28" t="n">
        <v>96791926.6370935</v>
      </c>
      <c r="D2040" s="28" t="n">
        <v>-4440470.85117974</v>
      </c>
      <c r="E2040" s="28" t="n">
        <v>5328715.57816254</v>
      </c>
      <c r="F2040" s="28" t="n">
        <v>888244.726982798</v>
      </c>
      <c r="G2040" s="28" t="n">
        <v>91463211.058931</v>
      </c>
      <c r="H2040" s="25" t="n">
        <f aca="false">J2039</f>
        <v>96791926.6370935</v>
      </c>
      <c r="I2040" s="25" t="n">
        <f aca="false">H2040*N2040</f>
        <v>-4440470.85117974</v>
      </c>
      <c r="J2040" s="25" t="n">
        <f aca="false">H2040+I2040-F2040</f>
        <v>91463211.058931</v>
      </c>
      <c r="K2040" s="25" t="n">
        <f aca="false">D2040-I2040</f>
        <v>0</v>
      </c>
      <c r="L2040" s="25" t="n">
        <f aca="false">G2040-J2040</f>
        <v>0</v>
      </c>
      <c r="M2040" s="25" t="n">
        <f aca="false">F2040</f>
        <v>888244.726982798</v>
      </c>
      <c r="N2040" s="49" t="n">
        <f aca="false">$C$2027</f>
        <v>-0.0458764589719203</v>
      </c>
      <c r="O2040" s="25" t="n">
        <f aca="false">IF(AND(B2040&gt;=DATE(2026,1,1),B2040&lt;=Resumen!$C$5),1,0)</f>
        <v>0</v>
      </c>
      <c r="P2040" s="25" t="n">
        <f aca="false">IF(AND(B2040&gt;Resumen!$C$5,B2040&lt;=DATE(2027,7,31)),1,0)</f>
        <v>0</v>
      </c>
    </row>
    <row r="2041" customFormat="false" ht="15" hidden="false" customHeight="false" outlineLevel="0" collapsed="false">
      <c r="A2041" s="22" t="n">
        <v>9</v>
      </c>
      <c r="B2041" s="23" t="n">
        <v>44556</v>
      </c>
      <c r="C2041" s="28" t="n">
        <v>91463211.058931</v>
      </c>
      <c r="D2041" s="28" t="n">
        <v>-4196008.24958513</v>
      </c>
      <c r="E2041" s="28" t="n">
        <v>5084252.97656794</v>
      </c>
      <c r="F2041" s="28" t="n">
        <v>888244.726982807</v>
      </c>
      <c r="G2041" s="28" t="n">
        <v>86378958.082363</v>
      </c>
      <c r="H2041" s="25" t="n">
        <f aca="false">J2040</f>
        <v>91463211.058931</v>
      </c>
      <c r="I2041" s="25" t="n">
        <f aca="false">H2041*N2041</f>
        <v>-4196008.24958513</v>
      </c>
      <c r="J2041" s="25" t="n">
        <f aca="false">H2041+I2041-F2041</f>
        <v>86378958.082363</v>
      </c>
      <c r="K2041" s="25" t="n">
        <f aca="false">D2041-I2041</f>
        <v>0</v>
      </c>
      <c r="L2041" s="25" t="n">
        <f aca="false">G2041-J2041</f>
        <v>0</v>
      </c>
      <c r="M2041" s="25" t="n">
        <f aca="false">F2041</f>
        <v>888244.726982807</v>
      </c>
      <c r="N2041" s="49" t="n">
        <f aca="false">$C$2027</f>
        <v>-0.0458764589719203</v>
      </c>
      <c r="O2041" s="25" t="n">
        <f aca="false">IF(AND(B2041&gt;=DATE(2026,1,1),B2041&lt;=Resumen!$C$5),1,0)</f>
        <v>0</v>
      </c>
      <c r="P2041" s="25" t="n">
        <f aca="false">IF(AND(B2041&gt;Resumen!$C$5,B2041&lt;=DATE(2027,7,31)),1,0)</f>
        <v>0</v>
      </c>
    </row>
    <row r="2042" customFormat="false" ht="15" hidden="false" customHeight="false" outlineLevel="0" collapsed="false">
      <c r="A2042" s="22" t="n">
        <v>10</v>
      </c>
      <c r="B2042" s="23" t="n">
        <v>44587</v>
      </c>
      <c r="C2042" s="28" t="n">
        <v>86378958.082363</v>
      </c>
      <c r="D2042" s="28" t="n">
        <v>-3962760.72650275</v>
      </c>
      <c r="E2042" s="28" t="n">
        <v>4851005.45348555</v>
      </c>
      <c r="F2042" s="28" t="n">
        <v>888244.726982799</v>
      </c>
      <c r="G2042" s="28" t="n">
        <v>81527952.6288775</v>
      </c>
      <c r="H2042" s="25" t="n">
        <f aca="false">J2041</f>
        <v>86378958.082363</v>
      </c>
      <c r="I2042" s="25" t="n">
        <f aca="false">H2042*N2042</f>
        <v>-3962760.72650275</v>
      </c>
      <c r="J2042" s="25" t="n">
        <f aca="false">H2042+I2042-F2042</f>
        <v>81527952.6288775</v>
      </c>
      <c r="K2042" s="25" t="n">
        <f aca="false">D2042-I2042</f>
        <v>0</v>
      </c>
      <c r="L2042" s="25" t="n">
        <f aca="false">G2042-J2042</f>
        <v>0</v>
      </c>
      <c r="M2042" s="25" t="n">
        <f aca="false">F2042</f>
        <v>888244.726982799</v>
      </c>
      <c r="N2042" s="49" t="n">
        <f aca="false">$C$2027</f>
        <v>-0.0458764589719203</v>
      </c>
      <c r="O2042" s="25" t="n">
        <f aca="false">IF(AND(B2042&gt;=DATE(2026,1,1),B2042&lt;=Resumen!$C$5),1,0)</f>
        <v>0</v>
      </c>
      <c r="P2042" s="25" t="n">
        <f aca="false">IF(AND(B2042&gt;Resumen!$C$5,B2042&lt;=DATE(2027,7,31)),1,0)</f>
        <v>0</v>
      </c>
    </row>
    <row r="2043" customFormat="false" ht="15" hidden="false" customHeight="false" outlineLevel="0" collapsed="false">
      <c r="A2043" s="22" t="n">
        <v>11</v>
      </c>
      <c r="B2043" s="23" t="n">
        <v>44618</v>
      </c>
      <c r="C2043" s="28" t="n">
        <v>81527952.6288775</v>
      </c>
      <c r="D2043" s="28" t="n">
        <v>-3740213.77384336</v>
      </c>
      <c r="E2043" s="28" t="n">
        <v>4628458.50082617</v>
      </c>
      <c r="F2043" s="28" t="n">
        <v>888244.726982807</v>
      </c>
      <c r="G2043" s="28" t="n">
        <v>76899494.1280513</v>
      </c>
      <c r="H2043" s="25" t="n">
        <f aca="false">J2042</f>
        <v>81527952.6288775</v>
      </c>
      <c r="I2043" s="25" t="n">
        <f aca="false">H2043*N2043</f>
        <v>-3740213.77384336</v>
      </c>
      <c r="J2043" s="25" t="n">
        <f aca="false">H2043+I2043-F2043</f>
        <v>76899494.1280513</v>
      </c>
      <c r="K2043" s="25" t="n">
        <f aca="false">D2043-I2043</f>
        <v>0</v>
      </c>
      <c r="L2043" s="25" t="n">
        <f aca="false">G2043-J2043</f>
        <v>0</v>
      </c>
      <c r="M2043" s="25" t="n">
        <f aca="false">F2043</f>
        <v>888244.726982807</v>
      </c>
      <c r="N2043" s="49" t="n">
        <f aca="false">$C$2027</f>
        <v>-0.0458764589719203</v>
      </c>
      <c r="O2043" s="25" t="n">
        <f aca="false">IF(AND(B2043&gt;=DATE(2026,1,1),B2043&lt;=Resumen!$C$5),1,0)</f>
        <v>0</v>
      </c>
      <c r="P2043" s="25" t="n">
        <f aca="false">IF(AND(B2043&gt;Resumen!$C$5,B2043&lt;=DATE(2027,7,31)),1,0)</f>
        <v>0</v>
      </c>
    </row>
    <row r="2044" customFormat="false" ht="15" hidden="false" customHeight="false" outlineLevel="0" collapsed="false">
      <c r="A2044" s="22" t="n">
        <v>12</v>
      </c>
      <c r="B2044" s="23" t="n">
        <v>44646</v>
      </c>
      <c r="C2044" s="28" t="n">
        <v>76899494.1280513</v>
      </c>
      <c r="D2044" s="28" t="n">
        <v>-3527876.48732697</v>
      </c>
      <c r="E2044" s="28" t="n">
        <v>4416121.21430977</v>
      </c>
      <c r="F2044" s="28" t="n">
        <v>888244.726982796</v>
      </c>
      <c r="G2044" s="28" t="n">
        <v>72483372.9137416</v>
      </c>
      <c r="H2044" s="25" t="n">
        <f aca="false">J2043</f>
        <v>76899494.1280513</v>
      </c>
      <c r="I2044" s="25" t="n">
        <f aca="false">H2044*N2044</f>
        <v>-3527876.48732697</v>
      </c>
      <c r="J2044" s="25" t="n">
        <f aca="false">H2044+I2044-F2044</f>
        <v>72483372.9137416</v>
      </c>
      <c r="K2044" s="25" t="n">
        <f aca="false">D2044-I2044</f>
        <v>0</v>
      </c>
      <c r="L2044" s="25" t="n">
        <f aca="false">G2044-J2044</f>
        <v>0</v>
      </c>
      <c r="M2044" s="25" t="n">
        <f aca="false">F2044</f>
        <v>888244.726982796</v>
      </c>
      <c r="N2044" s="49" t="n">
        <f aca="false">$C$2027</f>
        <v>-0.0458764589719203</v>
      </c>
      <c r="O2044" s="25" t="n">
        <f aca="false">IF(AND(B2044&gt;=DATE(2026,1,1),B2044&lt;=Resumen!$C$5),1,0)</f>
        <v>0</v>
      </c>
      <c r="P2044" s="25" t="n">
        <f aca="false">IF(AND(B2044&gt;Resumen!$C$5,B2044&lt;=DATE(2027,7,31)),1,0)</f>
        <v>0</v>
      </c>
    </row>
    <row r="2045" customFormat="false" ht="15" hidden="false" customHeight="false" outlineLevel="0" collapsed="false">
      <c r="A2045" s="22" t="n">
        <v>13</v>
      </c>
      <c r="B2045" s="23" t="n">
        <v>44677</v>
      </c>
      <c r="C2045" s="28" t="n">
        <v>72483372.9137416</v>
      </c>
      <c r="D2045" s="28" t="n">
        <v>-3325280.48362366</v>
      </c>
      <c r="E2045" s="28" t="n">
        <v>6171093.87384005</v>
      </c>
      <c r="F2045" s="28" t="n">
        <v>2845813.39021639</v>
      </c>
      <c r="G2045" s="28" t="n">
        <v>66312279.0399015</v>
      </c>
      <c r="H2045" s="25" t="n">
        <f aca="false">J2044</f>
        <v>72483372.9137416</v>
      </c>
      <c r="I2045" s="25" t="n">
        <f aca="false">H2045*N2045</f>
        <v>-3325280.48362366</v>
      </c>
      <c r="J2045" s="25" t="n">
        <f aca="false">H2045+I2045-F2045</f>
        <v>66312279.0399015</v>
      </c>
      <c r="K2045" s="25" t="n">
        <f aca="false">D2045-I2045</f>
        <v>0</v>
      </c>
      <c r="L2045" s="25" t="n">
        <f aca="false">G2045-J2045</f>
        <v>0</v>
      </c>
      <c r="M2045" s="25" t="n">
        <f aca="false">F2045</f>
        <v>2845813.39021639</v>
      </c>
      <c r="N2045" s="49" t="n">
        <f aca="false">$C$2027</f>
        <v>-0.0458764589719203</v>
      </c>
      <c r="O2045" s="25" t="n">
        <f aca="false">IF(AND(B2045&gt;=DATE(2026,1,1),B2045&lt;=Resumen!$C$5),1,0)</f>
        <v>0</v>
      </c>
      <c r="P2045" s="25" t="n">
        <f aca="false">IF(AND(B2045&gt;Resumen!$C$5,B2045&lt;=DATE(2027,7,31)),1,0)</f>
        <v>0</v>
      </c>
    </row>
    <row r="2046" customFormat="false" ht="15" hidden="false" customHeight="false" outlineLevel="0" collapsed="false">
      <c r="A2046" s="22" t="n">
        <v>14</v>
      </c>
      <c r="B2046" s="23" t="n">
        <v>44707</v>
      </c>
      <c r="C2046" s="28" t="n">
        <v>66312279.0399015</v>
      </c>
      <c r="D2046" s="28" t="n">
        <v>-3042172.54870857</v>
      </c>
      <c r="E2046" s="28" t="n">
        <v>5887985.93892495</v>
      </c>
      <c r="F2046" s="28" t="n">
        <v>2845813.39021638</v>
      </c>
      <c r="G2046" s="28" t="n">
        <v>60424293.1009766</v>
      </c>
      <c r="H2046" s="25" t="n">
        <f aca="false">J2045</f>
        <v>66312279.0399015</v>
      </c>
      <c r="I2046" s="25" t="n">
        <f aca="false">H2046*N2046</f>
        <v>-3042172.54870857</v>
      </c>
      <c r="J2046" s="25" t="n">
        <f aca="false">H2046+I2046-F2046</f>
        <v>60424293.1009766</v>
      </c>
      <c r="K2046" s="25" t="n">
        <f aca="false">D2046-I2046</f>
        <v>0</v>
      </c>
      <c r="L2046" s="25" t="n">
        <f aca="false">G2046-J2046</f>
        <v>0</v>
      </c>
      <c r="M2046" s="25" t="n">
        <f aca="false">F2046</f>
        <v>2845813.39021638</v>
      </c>
      <c r="N2046" s="49" t="n">
        <f aca="false">$C$2027</f>
        <v>-0.0458764589719203</v>
      </c>
      <c r="O2046" s="25" t="n">
        <f aca="false">IF(AND(B2046&gt;=DATE(2026,1,1),B2046&lt;=Resumen!$C$5),1,0)</f>
        <v>0</v>
      </c>
      <c r="P2046" s="25" t="n">
        <f aca="false">IF(AND(B2046&gt;Resumen!$C$5,B2046&lt;=DATE(2027,7,31)),1,0)</f>
        <v>0</v>
      </c>
    </row>
    <row r="2047" customFormat="false" ht="15" hidden="false" customHeight="false" outlineLevel="0" collapsed="false">
      <c r="A2047" s="22" t="n">
        <v>15</v>
      </c>
      <c r="B2047" s="23" t="n">
        <v>44738</v>
      </c>
      <c r="C2047" s="28" t="n">
        <v>60424293.1009766</v>
      </c>
      <c r="D2047" s="28" t="n">
        <v>-2772052.60335424</v>
      </c>
      <c r="E2047" s="28" t="n">
        <v>5617865.99357062</v>
      </c>
      <c r="F2047" s="28" t="n">
        <v>2845813.39021638</v>
      </c>
      <c r="G2047" s="28" t="n">
        <v>54806427.1074059</v>
      </c>
      <c r="H2047" s="25" t="n">
        <f aca="false">J2046</f>
        <v>60424293.1009766</v>
      </c>
      <c r="I2047" s="25" t="n">
        <f aca="false">H2047*N2047</f>
        <v>-2772052.60335424</v>
      </c>
      <c r="J2047" s="25" t="n">
        <f aca="false">H2047+I2047-F2047</f>
        <v>54806427.1074059</v>
      </c>
      <c r="K2047" s="25" t="n">
        <f aca="false">D2047-I2047</f>
        <v>0</v>
      </c>
      <c r="L2047" s="25" t="n">
        <f aca="false">G2047-J2047</f>
        <v>0</v>
      </c>
      <c r="M2047" s="25" t="n">
        <f aca="false">F2047</f>
        <v>2845813.39021638</v>
      </c>
      <c r="N2047" s="49" t="n">
        <f aca="false">$C$2027</f>
        <v>-0.0458764589719203</v>
      </c>
      <c r="O2047" s="25" t="n">
        <f aca="false">IF(AND(B2047&gt;=DATE(2026,1,1),B2047&lt;=Resumen!$C$5),1,0)</f>
        <v>0</v>
      </c>
      <c r="P2047" s="25" t="n">
        <f aca="false">IF(AND(B2047&gt;Resumen!$C$5,B2047&lt;=DATE(2027,7,31)),1,0)</f>
        <v>0</v>
      </c>
    </row>
    <row r="2048" customFormat="false" ht="15" hidden="false" customHeight="false" outlineLevel="0" collapsed="false">
      <c r="A2048" s="22" t="n">
        <v>16</v>
      </c>
      <c r="B2048" s="23" t="n">
        <v>44768</v>
      </c>
      <c r="C2048" s="28" t="n">
        <v>54806427.1074059</v>
      </c>
      <c r="D2048" s="28" t="n">
        <v>-2514324.80459045</v>
      </c>
      <c r="E2048" s="28" t="n">
        <v>5360138.19480683</v>
      </c>
      <c r="F2048" s="28" t="n">
        <v>2845813.39021638</v>
      </c>
      <c r="G2048" s="28" t="n">
        <v>49446288.9125991</v>
      </c>
      <c r="H2048" s="25" t="n">
        <f aca="false">J2047</f>
        <v>54806427.1074059</v>
      </c>
      <c r="I2048" s="25" t="n">
        <f aca="false">H2048*N2048</f>
        <v>-2514324.80459045</v>
      </c>
      <c r="J2048" s="25" t="n">
        <f aca="false">H2048+I2048-F2048</f>
        <v>49446288.9125991</v>
      </c>
      <c r="K2048" s="25" t="n">
        <f aca="false">D2048-I2048</f>
        <v>0</v>
      </c>
      <c r="L2048" s="25" t="n">
        <f aca="false">G2048-J2048</f>
        <v>0</v>
      </c>
      <c r="M2048" s="25" t="n">
        <f aca="false">F2048</f>
        <v>2845813.39021638</v>
      </c>
      <c r="N2048" s="49" t="n">
        <f aca="false">$C$2027</f>
        <v>-0.0458764589719203</v>
      </c>
      <c r="O2048" s="25" t="n">
        <f aca="false">IF(AND(B2048&gt;=DATE(2026,1,1),B2048&lt;=Resumen!$C$5),1,0)</f>
        <v>0</v>
      </c>
      <c r="P2048" s="25" t="n">
        <f aca="false">IF(AND(B2048&gt;Resumen!$C$5,B2048&lt;=DATE(2027,7,31)),1,0)</f>
        <v>0</v>
      </c>
    </row>
    <row r="2049" customFormat="false" ht="15" hidden="false" customHeight="false" outlineLevel="0" collapsed="false">
      <c r="A2049" s="22" t="n">
        <v>17</v>
      </c>
      <c r="B2049" s="23" t="n">
        <v>44799</v>
      </c>
      <c r="C2049" s="28" t="n">
        <v>49446288.9125991</v>
      </c>
      <c r="D2049" s="28" t="n">
        <v>-2268420.64461257</v>
      </c>
      <c r="E2049" s="28" t="n">
        <v>5114234.03482895</v>
      </c>
      <c r="F2049" s="28" t="n">
        <v>2845813.39021638</v>
      </c>
      <c r="G2049" s="28" t="n">
        <v>44332054.8777702</v>
      </c>
      <c r="H2049" s="25" t="n">
        <f aca="false">J2048</f>
        <v>49446288.9125991</v>
      </c>
      <c r="I2049" s="25" t="n">
        <f aca="false">H2049*N2049</f>
        <v>-2268420.64461257</v>
      </c>
      <c r="J2049" s="25" t="n">
        <f aca="false">H2049+I2049-F2049</f>
        <v>44332054.8777702</v>
      </c>
      <c r="K2049" s="25" t="n">
        <f aca="false">D2049-I2049</f>
        <v>0</v>
      </c>
      <c r="L2049" s="25" t="n">
        <f aca="false">G2049-J2049</f>
        <v>0</v>
      </c>
      <c r="M2049" s="25" t="n">
        <f aca="false">F2049</f>
        <v>2845813.39021638</v>
      </c>
      <c r="N2049" s="49" t="n">
        <f aca="false">$C$2027</f>
        <v>-0.0458764589719203</v>
      </c>
      <c r="O2049" s="25" t="n">
        <f aca="false">IF(AND(B2049&gt;=DATE(2026,1,1),B2049&lt;=Resumen!$C$5),1,0)</f>
        <v>0</v>
      </c>
      <c r="P2049" s="25" t="n">
        <f aca="false">IF(AND(B2049&gt;Resumen!$C$5,B2049&lt;=DATE(2027,7,31)),1,0)</f>
        <v>0</v>
      </c>
    </row>
    <row r="2050" customFormat="false" ht="15" hidden="false" customHeight="false" outlineLevel="0" collapsed="false">
      <c r="A2050" s="22" t="n">
        <v>18</v>
      </c>
      <c r="B2050" s="23" t="n">
        <v>44830</v>
      </c>
      <c r="C2050" s="28" t="n">
        <v>44332054.8777702</v>
      </c>
      <c r="D2050" s="28" t="n">
        <v>-2033797.69674094</v>
      </c>
      <c r="E2050" s="28" t="n">
        <v>4879611.08695732</v>
      </c>
      <c r="F2050" s="28" t="n">
        <v>2845813.39021638</v>
      </c>
      <c r="G2050" s="28" t="n">
        <v>39452443.7908128</v>
      </c>
      <c r="H2050" s="25" t="n">
        <f aca="false">J2049</f>
        <v>44332054.8777702</v>
      </c>
      <c r="I2050" s="25" t="n">
        <f aca="false">H2050*N2050</f>
        <v>-2033797.69674094</v>
      </c>
      <c r="J2050" s="25" t="n">
        <f aca="false">H2050+I2050-F2050</f>
        <v>39452443.7908128</v>
      </c>
      <c r="K2050" s="25" t="n">
        <f aca="false">D2050-I2050</f>
        <v>0</v>
      </c>
      <c r="L2050" s="25" t="n">
        <f aca="false">G2050-J2050</f>
        <v>0</v>
      </c>
      <c r="M2050" s="25" t="n">
        <f aca="false">F2050</f>
        <v>2845813.39021638</v>
      </c>
      <c r="N2050" s="49" t="n">
        <f aca="false">$C$2027</f>
        <v>-0.0458764589719203</v>
      </c>
      <c r="O2050" s="25" t="n">
        <f aca="false">IF(AND(B2050&gt;=DATE(2026,1,1),B2050&lt;=Resumen!$C$5),1,0)</f>
        <v>0</v>
      </c>
      <c r="P2050" s="25" t="n">
        <f aca="false">IF(AND(B2050&gt;Resumen!$C$5,B2050&lt;=DATE(2027,7,31)),1,0)</f>
        <v>0</v>
      </c>
    </row>
    <row r="2051" customFormat="false" ht="15" hidden="false" customHeight="false" outlineLevel="0" collapsed="false">
      <c r="A2051" s="22" t="n">
        <v>19</v>
      </c>
      <c r="B2051" s="23" t="n">
        <v>44860</v>
      </c>
      <c r="C2051" s="28" t="n">
        <v>39452443.7908128</v>
      </c>
      <c r="D2051" s="28" t="n">
        <v>-1809938.41891122</v>
      </c>
      <c r="E2051" s="28" t="n">
        <v>4655751.8091276</v>
      </c>
      <c r="F2051" s="28" t="n">
        <v>2845813.39021638</v>
      </c>
      <c r="G2051" s="28" t="n">
        <v>34796691.9816852</v>
      </c>
      <c r="H2051" s="25" t="n">
        <f aca="false">J2050</f>
        <v>39452443.7908128</v>
      </c>
      <c r="I2051" s="25" t="n">
        <f aca="false">H2051*N2051</f>
        <v>-1809938.41891122</v>
      </c>
      <c r="J2051" s="25" t="n">
        <f aca="false">H2051+I2051-F2051</f>
        <v>34796691.9816852</v>
      </c>
      <c r="K2051" s="25" t="n">
        <f aca="false">D2051-I2051</f>
        <v>0</v>
      </c>
      <c r="L2051" s="25" t="n">
        <f aca="false">G2051-J2051</f>
        <v>0</v>
      </c>
      <c r="M2051" s="25" t="n">
        <f aca="false">F2051</f>
        <v>2845813.39021638</v>
      </c>
      <c r="N2051" s="49" t="n">
        <f aca="false">$C$2027</f>
        <v>-0.0458764589719203</v>
      </c>
      <c r="O2051" s="25" t="n">
        <f aca="false">IF(AND(B2051&gt;=DATE(2026,1,1),B2051&lt;=Resumen!$C$5),1,0)</f>
        <v>0</v>
      </c>
      <c r="P2051" s="25" t="n">
        <f aca="false">IF(AND(B2051&gt;Resumen!$C$5,B2051&lt;=DATE(2027,7,31)),1,0)</f>
        <v>0</v>
      </c>
    </row>
    <row r="2052" customFormat="false" ht="15" hidden="false" customHeight="false" outlineLevel="0" collapsed="false">
      <c r="A2052" s="22" t="n">
        <v>20</v>
      </c>
      <c r="B2052" s="23" t="n">
        <v>44891</v>
      </c>
      <c r="C2052" s="28" t="n">
        <v>34796691.9816852</v>
      </c>
      <c r="D2052" s="28" t="n">
        <v>-1596349.01205633</v>
      </c>
      <c r="E2052" s="28" t="n">
        <v>4442162.40227271</v>
      </c>
      <c r="F2052" s="28" t="n">
        <v>2845813.39021638</v>
      </c>
      <c r="G2052" s="28" t="n">
        <v>30354529.5794125</v>
      </c>
      <c r="H2052" s="25" t="n">
        <f aca="false">J2051</f>
        <v>34796691.9816852</v>
      </c>
      <c r="I2052" s="25" t="n">
        <f aca="false">H2052*N2052</f>
        <v>-1596349.01205633</v>
      </c>
      <c r="J2052" s="25" t="n">
        <f aca="false">H2052+I2052-F2052</f>
        <v>30354529.5794125</v>
      </c>
      <c r="K2052" s="25" t="n">
        <f aca="false">D2052-I2052</f>
        <v>0</v>
      </c>
      <c r="L2052" s="25" t="n">
        <f aca="false">G2052-J2052</f>
        <v>0</v>
      </c>
      <c r="M2052" s="25" t="n">
        <f aca="false">F2052</f>
        <v>2845813.39021638</v>
      </c>
      <c r="N2052" s="49" t="n">
        <f aca="false">$C$2027</f>
        <v>-0.0458764589719203</v>
      </c>
      <c r="O2052" s="25" t="n">
        <f aca="false">IF(AND(B2052&gt;=DATE(2026,1,1),B2052&lt;=Resumen!$C$5),1,0)</f>
        <v>0</v>
      </c>
      <c r="P2052" s="25" t="n">
        <f aca="false">IF(AND(B2052&gt;Resumen!$C$5,B2052&lt;=DATE(2027,7,31)),1,0)</f>
        <v>0</v>
      </c>
    </row>
    <row r="2053" customFormat="false" ht="15" hidden="false" customHeight="false" outlineLevel="0" collapsed="false">
      <c r="A2053" s="22" t="n">
        <v>21</v>
      </c>
      <c r="B2053" s="23" t="n">
        <v>44921</v>
      </c>
      <c r="C2053" s="28" t="n">
        <v>30354529.5794125</v>
      </c>
      <c r="D2053" s="28" t="n">
        <v>-1392558.33086186</v>
      </c>
      <c r="E2053" s="28" t="n">
        <v>4238371.72107824</v>
      </c>
      <c r="F2053" s="28" t="n">
        <v>2845813.39021638</v>
      </c>
      <c r="G2053" s="28" t="n">
        <v>26116157.8583343</v>
      </c>
      <c r="H2053" s="25" t="n">
        <f aca="false">J2052</f>
        <v>30354529.5794125</v>
      </c>
      <c r="I2053" s="25" t="n">
        <f aca="false">H2053*N2053</f>
        <v>-1392558.33086186</v>
      </c>
      <c r="J2053" s="25" t="n">
        <f aca="false">H2053+I2053-F2053</f>
        <v>26116157.8583343</v>
      </c>
      <c r="K2053" s="25" t="n">
        <f aca="false">D2053-I2053</f>
        <v>0</v>
      </c>
      <c r="L2053" s="25" t="n">
        <f aca="false">G2053-J2053</f>
        <v>0</v>
      </c>
      <c r="M2053" s="25" t="n">
        <f aca="false">F2053</f>
        <v>2845813.39021638</v>
      </c>
      <c r="N2053" s="49" t="n">
        <f aca="false">$C$2027</f>
        <v>-0.0458764589719203</v>
      </c>
      <c r="O2053" s="25" t="n">
        <f aca="false">IF(AND(B2053&gt;=DATE(2026,1,1),B2053&lt;=Resumen!$C$5),1,0)</f>
        <v>0</v>
      </c>
      <c r="P2053" s="25" t="n">
        <f aca="false">IF(AND(B2053&gt;Resumen!$C$5,B2053&lt;=DATE(2027,7,31)),1,0)</f>
        <v>0</v>
      </c>
    </row>
    <row r="2054" customFormat="false" ht="15" hidden="false" customHeight="false" outlineLevel="0" collapsed="false">
      <c r="A2054" s="22" t="n">
        <v>22</v>
      </c>
      <c r="B2054" s="23" t="n">
        <v>44952</v>
      </c>
      <c r="C2054" s="28" t="n">
        <v>26116157.8583343</v>
      </c>
      <c r="D2054" s="28" t="n">
        <v>-1198116.84449207</v>
      </c>
      <c r="E2054" s="28" t="n">
        <v>4043930.23470845</v>
      </c>
      <c r="F2054" s="28" t="n">
        <v>2845813.39021639</v>
      </c>
      <c r="G2054" s="28" t="n">
        <v>22072227.6236258</v>
      </c>
      <c r="H2054" s="25" t="n">
        <f aca="false">J2053</f>
        <v>26116157.8583343</v>
      </c>
      <c r="I2054" s="25" t="n">
        <f aca="false">H2054*N2054</f>
        <v>-1198116.84449207</v>
      </c>
      <c r="J2054" s="25" t="n">
        <f aca="false">H2054+I2054-F2054</f>
        <v>22072227.6236258</v>
      </c>
      <c r="K2054" s="25" t="n">
        <f aca="false">D2054-I2054</f>
        <v>0</v>
      </c>
      <c r="L2054" s="25" t="n">
        <f aca="false">G2054-J2054</f>
        <v>0</v>
      </c>
      <c r="M2054" s="25" t="n">
        <f aca="false">F2054</f>
        <v>2845813.39021639</v>
      </c>
      <c r="N2054" s="49" t="n">
        <f aca="false">$C$2027</f>
        <v>-0.0458764589719203</v>
      </c>
      <c r="O2054" s="25" t="n">
        <f aca="false">IF(AND(B2054&gt;=DATE(2026,1,1),B2054&lt;=Resumen!$C$5),1,0)</f>
        <v>0</v>
      </c>
      <c r="P2054" s="25" t="n">
        <f aca="false">IF(AND(B2054&gt;Resumen!$C$5,B2054&lt;=DATE(2027,7,31)),1,0)</f>
        <v>0</v>
      </c>
    </row>
    <row r="2055" customFormat="false" ht="15" hidden="false" customHeight="false" outlineLevel="0" collapsed="false">
      <c r="A2055" s="22" t="n">
        <v>23</v>
      </c>
      <c r="B2055" s="23" t="n">
        <v>44983</v>
      </c>
      <c r="C2055" s="28" t="n">
        <v>22072227.6236258</v>
      </c>
      <c r="D2055" s="28" t="n">
        <v>-1012595.64499416</v>
      </c>
      <c r="E2055" s="28" t="n">
        <v>3858409.03521054</v>
      </c>
      <c r="F2055" s="28" t="n">
        <v>2845813.39021638</v>
      </c>
      <c r="G2055" s="28" t="n">
        <v>18213818.5884153</v>
      </c>
      <c r="H2055" s="25" t="n">
        <f aca="false">J2054</f>
        <v>22072227.6236258</v>
      </c>
      <c r="I2055" s="25" t="n">
        <f aca="false">H2055*N2055</f>
        <v>-1012595.64499416</v>
      </c>
      <c r="J2055" s="25" t="n">
        <f aca="false">H2055+I2055-F2055</f>
        <v>18213818.5884153</v>
      </c>
      <c r="K2055" s="25" t="n">
        <f aca="false">D2055-I2055</f>
        <v>0</v>
      </c>
      <c r="L2055" s="25" t="n">
        <f aca="false">G2055-J2055</f>
        <v>0</v>
      </c>
      <c r="M2055" s="25" t="n">
        <f aca="false">F2055</f>
        <v>2845813.39021638</v>
      </c>
      <c r="N2055" s="49" t="n">
        <f aca="false">$C$2027</f>
        <v>-0.0458764589719203</v>
      </c>
      <c r="O2055" s="25" t="n">
        <f aca="false">IF(AND(B2055&gt;=DATE(2026,1,1),B2055&lt;=Resumen!$C$5),1,0)</f>
        <v>0</v>
      </c>
      <c r="P2055" s="25" t="n">
        <f aca="false">IF(AND(B2055&gt;Resumen!$C$5,B2055&lt;=DATE(2027,7,31)),1,0)</f>
        <v>0</v>
      </c>
    </row>
    <row r="2056" customFormat="false" ht="15" hidden="false" customHeight="false" outlineLevel="0" collapsed="false">
      <c r="A2056" s="22" t="n">
        <v>24</v>
      </c>
      <c r="B2056" s="23" t="n">
        <v>45011</v>
      </c>
      <c r="C2056" s="28" t="n">
        <v>18213818.5884153</v>
      </c>
      <c r="D2056" s="28" t="n">
        <v>-835585.501193433</v>
      </c>
      <c r="E2056" s="28" t="n">
        <v>3681398.89140982</v>
      </c>
      <c r="F2056" s="28" t="n">
        <v>2845813.39021639</v>
      </c>
      <c r="G2056" s="28" t="n">
        <v>14532419.6970055</v>
      </c>
      <c r="H2056" s="25" t="n">
        <f aca="false">J2055</f>
        <v>18213818.5884153</v>
      </c>
      <c r="I2056" s="25" t="n">
        <f aca="false">H2056*N2056</f>
        <v>-835585.501193433</v>
      </c>
      <c r="J2056" s="25" t="n">
        <f aca="false">H2056+I2056-F2056</f>
        <v>14532419.6970055</v>
      </c>
      <c r="K2056" s="25" t="n">
        <f aca="false">D2056-I2056</f>
        <v>0</v>
      </c>
      <c r="L2056" s="25" t="n">
        <f aca="false">G2056-J2056</f>
        <v>0</v>
      </c>
      <c r="M2056" s="25" t="n">
        <f aca="false">F2056</f>
        <v>2845813.39021639</v>
      </c>
      <c r="N2056" s="49" t="n">
        <f aca="false">$C$2027</f>
        <v>-0.0458764589719203</v>
      </c>
      <c r="O2056" s="25" t="n">
        <f aca="false">IF(AND(B2056&gt;=DATE(2026,1,1),B2056&lt;=Resumen!$C$5),1,0)</f>
        <v>0</v>
      </c>
      <c r="P2056" s="25" t="n">
        <f aca="false">IF(AND(B2056&gt;Resumen!$C$5,B2056&lt;=DATE(2027,7,31)),1,0)</f>
        <v>0</v>
      </c>
    </row>
    <row r="2057" customFormat="false" ht="15" hidden="false" customHeight="false" outlineLevel="0" collapsed="false">
      <c r="A2057" s="22" t="n">
        <v>25</v>
      </c>
      <c r="B2057" s="23" t="n">
        <v>45042</v>
      </c>
      <c r="C2057" s="28" t="n">
        <v>14532419.6970055</v>
      </c>
      <c r="D2057" s="28" t="n">
        <v>-666695.955992398</v>
      </c>
      <c r="E2057" s="28" t="n">
        <v>3512509.34620878</v>
      </c>
      <c r="F2057" s="28" t="n">
        <v>2845813.39021638</v>
      </c>
      <c r="G2057" s="28" t="n">
        <v>11019910.3507967</v>
      </c>
      <c r="H2057" s="25" t="n">
        <f aca="false">J2056</f>
        <v>14532419.6970055</v>
      </c>
      <c r="I2057" s="25" t="n">
        <f aca="false">H2057*N2057</f>
        <v>-666695.955992398</v>
      </c>
      <c r="J2057" s="25" t="n">
        <f aca="false">H2057+I2057-F2057</f>
        <v>11019910.3507967</v>
      </c>
      <c r="K2057" s="25" t="n">
        <f aca="false">D2057-I2057</f>
        <v>0</v>
      </c>
      <c r="L2057" s="25" t="n">
        <f aca="false">G2057-J2057</f>
        <v>0</v>
      </c>
      <c r="M2057" s="25" t="n">
        <f aca="false">F2057</f>
        <v>2845813.39021638</v>
      </c>
      <c r="N2057" s="49" t="n">
        <f aca="false">$C$2027</f>
        <v>-0.0458764589719203</v>
      </c>
      <c r="O2057" s="25" t="n">
        <f aca="false">IF(AND(B2057&gt;=DATE(2026,1,1),B2057&lt;=Resumen!$C$5),1,0)</f>
        <v>0</v>
      </c>
      <c r="P2057" s="25" t="n">
        <f aca="false">IF(AND(B2057&gt;Resumen!$C$5,B2057&lt;=DATE(2027,7,31)),1,0)</f>
        <v>0</v>
      </c>
    </row>
    <row r="2058" customFormat="false" ht="15" hidden="false" customHeight="false" outlineLevel="0" collapsed="false">
      <c r="A2058" s="22" t="n">
        <v>26</v>
      </c>
      <c r="B2058" s="23" t="n">
        <v>45072</v>
      </c>
      <c r="C2058" s="28" t="n">
        <v>11019910.3507967</v>
      </c>
      <c r="D2058" s="28" t="n">
        <v>-505554.465082564</v>
      </c>
      <c r="E2058" s="28" t="n">
        <v>3351367.85529895</v>
      </c>
      <c r="F2058" s="28" t="n">
        <v>2845813.39021638</v>
      </c>
      <c r="G2058" s="28" t="n">
        <v>7668542.49549775</v>
      </c>
      <c r="H2058" s="25" t="n">
        <f aca="false">J2057</f>
        <v>11019910.3507967</v>
      </c>
      <c r="I2058" s="25" t="n">
        <f aca="false">H2058*N2058</f>
        <v>-505554.465082564</v>
      </c>
      <c r="J2058" s="25" t="n">
        <f aca="false">H2058+I2058-F2058</f>
        <v>7668542.49549775</v>
      </c>
      <c r="K2058" s="25" t="n">
        <f aca="false">D2058-I2058</f>
        <v>0</v>
      </c>
      <c r="L2058" s="25" t="n">
        <f aca="false">G2058-J2058</f>
        <v>0</v>
      </c>
      <c r="M2058" s="25" t="n">
        <f aca="false">F2058</f>
        <v>2845813.39021638</v>
      </c>
      <c r="N2058" s="49" t="n">
        <f aca="false">$C$2027</f>
        <v>-0.0458764589719203</v>
      </c>
      <c r="O2058" s="25" t="n">
        <f aca="false">IF(AND(B2058&gt;=DATE(2026,1,1),B2058&lt;=Resumen!$C$5),1,0)</f>
        <v>0</v>
      </c>
      <c r="P2058" s="25" t="n">
        <f aca="false">IF(AND(B2058&gt;Resumen!$C$5,B2058&lt;=DATE(2027,7,31)),1,0)</f>
        <v>0</v>
      </c>
    </row>
    <row r="2059" customFormat="false" ht="15" hidden="false" customHeight="false" outlineLevel="0" collapsed="false">
      <c r="A2059" s="22" t="n">
        <v>27</v>
      </c>
      <c r="B2059" s="23" t="n">
        <v>45103</v>
      </c>
      <c r="C2059" s="28" t="n">
        <v>7668542.49549775</v>
      </c>
      <c r="D2059" s="28" t="n">
        <v>-351805.575169129</v>
      </c>
      <c r="E2059" s="28" t="n">
        <v>3197618.96538551</v>
      </c>
      <c r="F2059" s="28" t="n">
        <v>2845813.39021638</v>
      </c>
      <c r="G2059" s="28" t="n">
        <v>4470923.53011223</v>
      </c>
      <c r="H2059" s="25" t="n">
        <f aca="false">J2058</f>
        <v>7668542.49549775</v>
      </c>
      <c r="I2059" s="25" t="n">
        <f aca="false">H2059*N2059</f>
        <v>-351805.57516913</v>
      </c>
      <c r="J2059" s="25" t="n">
        <f aca="false">H2059+I2059-F2059</f>
        <v>4470923.53011224</v>
      </c>
      <c r="K2059" s="25" t="n">
        <f aca="false">D2059-I2059</f>
        <v>0</v>
      </c>
      <c r="L2059" s="25" t="n">
        <f aca="false">G2059-J2059</f>
        <v>0</v>
      </c>
      <c r="M2059" s="25" t="n">
        <f aca="false">F2059</f>
        <v>2845813.39021638</v>
      </c>
      <c r="N2059" s="49" t="n">
        <f aca="false">$C$2027</f>
        <v>-0.0458764589719203</v>
      </c>
      <c r="O2059" s="25" t="n">
        <f aca="false">IF(AND(B2059&gt;=DATE(2026,1,1),B2059&lt;=Resumen!$C$5),1,0)</f>
        <v>0</v>
      </c>
      <c r="P2059" s="25" t="n">
        <f aca="false">IF(AND(B2059&gt;Resumen!$C$5,B2059&lt;=DATE(2027,7,31)),1,0)</f>
        <v>0</v>
      </c>
    </row>
    <row r="2060" customFormat="false" ht="15" hidden="false" customHeight="false" outlineLevel="0" collapsed="false">
      <c r="A2060" s="22" t="n">
        <v>28</v>
      </c>
      <c r="B2060" s="23" t="n">
        <v>45133</v>
      </c>
      <c r="C2060" s="28" t="n">
        <v>4470923.53011223</v>
      </c>
      <c r="D2060" s="28" t="n">
        <v>-205110.139895787</v>
      </c>
      <c r="E2060" s="28" t="n">
        <v>4470923.53011217</v>
      </c>
      <c r="F2060" s="28" t="n">
        <v>4265813.39021638</v>
      </c>
      <c r="G2060" s="28" t="n">
        <v>6.05359673500061E-008</v>
      </c>
      <c r="H2060" s="25" t="n">
        <f aca="false">J2059</f>
        <v>4470923.53011224</v>
      </c>
      <c r="I2060" s="25" t="n">
        <f aca="false">H2060*N2060</f>
        <v>-205110.139895787</v>
      </c>
      <c r="J2060" s="25" t="n">
        <f aca="false">H2060+I2060-F2060</f>
        <v>6.4261257648468E-008</v>
      </c>
      <c r="K2060" s="25" t="n">
        <f aca="false">D2060-I2060</f>
        <v>0</v>
      </c>
      <c r="L2060" s="25" t="n">
        <f aca="false">G2060-J2060</f>
        <v>-3.72529029846191E-009</v>
      </c>
      <c r="M2060" s="25" t="n">
        <f aca="false">F2060</f>
        <v>4265813.39021638</v>
      </c>
      <c r="N2060" s="49" t="n">
        <f aca="false">$C$2027</f>
        <v>-0.0458764589719203</v>
      </c>
      <c r="O2060" s="25" t="n">
        <f aca="false">IF(AND(B2060&gt;=DATE(2026,1,1),B2060&lt;=Resumen!$C$5),1,0)</f>
        <v>0</v>
      </c>
      <c r="P2060" s="25" t="n">
        <f aca="false">IF(AND(B2060&gt;Resumen!$C$5,B2060&lt;=DATE(2027,7,31)),1,0)</f>
        <v>0</v>
      </c>
    </row>
  </sheetData>
  <mergeCells count="5">
    <mergeCell ref="A40:N40"/>
    <mergeCell ref="A41:N41"/>
    <mergeCell ref="A42:N42"/>
    <mergeCell ref="A43:N43"/>
    <mergeCell ref="A44:N44"/>
  </mergeCells>
  <hyperlinks>
    <hyperlink ref="C12" location="Tablas_Amortizacion!A49" display="A01-9441"/>
    <hyperlink ref="C13" location="Tablas_Amortizacion!A125" display="A02-9448"/>
    <hyperlink ref="C14" location="Tablas_Amortizacion!A201" display="A03-2753"/>
    <hyperlink ref="C15" location="Tablas_Amortizacion!A245" display="A04-D-0624"/>
    <hyperlink ref="C16" location="Tablas_Amortizacion!A501" display="A05-D-7691"/>
    <hyperlink ref="C17" location="Tablas_Amortizacion!A757" display="A06-D-9032"/>
    <hyperlink ref="C18" location="Tablas_Amortizacion!A1013" display="A07-B-6746"/>
    <hyperlink ref="C19" location="Tablas_Amortizacion!A1175" display="A08-B-0629"/>
    <hyperlink ref="C20" location="Tablas_Amortizacion!A1251" display="A09-B-7259"/>
    <hyperlink ref="C21" location="Tablas_Amortizacion!A1327" display="A10-B-7469"/>
    <hyperlink ref="C22" location="Tablas_Amortizacion!A1349" display="A11-Hoja2"/>
    <hyperlink ref="C23" location="Tablas_Amortizacion!A1371" display="A12-9224"/>
    <hyperlink ref="C24" location="Tablas_Amortizacion!A1415" display="A13-9180"/>
    <hyperlink ref="C25" location="Tablas_Amortizacion!A1459" display="A14-9117"/>
    <hyperlink ref="C26" location="Tablas_Amortizacion!A1503" display="A15-9064"/>
    <hyperlink ref="C27" location="Tablas_Amortizacion!A1547" display="A16-9299"/>
    <hyperlink ref="C28" location="Tablas_Amortizacion!A1591" display="A17-5005"/>
    <hyperlink ref="C29" location="Tablas_Amortizacion!A1631" display="A18-P-9940"/>
    <hyperlink ref="C30" location="Tablas_Amortizacion!A1707" display="A19-V-7262"/>
    <hyperlink ref="C31" location="Tablas_Amortizacion!A1729" display="A20-BC-5867"/>
    <hyperlink ref="C32" location="Tablas_Amortizacion!A1781" display="A21-362095"/>
    <hyperlink ref="C33" location="Tablas_Amortizacion!A1817" display="A22-336817"/>
    <hyperlink ref="C34" location="Tablas_Amortizacion!A1905" display="A23-331330"/>
    <hyperlink ref="C35" location="Tablas_Amortizacion!A1981" display="A24-DD-0709"/>
    <hyperlink ref="C36" location="Tablas_Amortizacion!A2021" display="A25-393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55"/>
    <col collapsed="false" customWidth="true" hidden="false" outlineLevel="0" max="7" min="7" style="0" width="24"/>
  </cols>
  <sheetData>
    <row r="1" customFormat="false" ht="15" hidden="false" customHeight="false" outlineLevel="0" collapsed="false">
      <c r="A1" s="19" t="s">
        <v>936</v>
      </c>
    </row>
    <row r="2" customFormat="false" ht="15" hidden="false" customHeight="false" outlineLevel="0" collapsed="false">
      <c r="A2" s="20" t="s">
        <v>937</v>
      </c>
    </row>
    <row r="4" customFormat="false" ht="30" hidden="false" customHeight="true" outlineLevel="0" collapsed="false">
      <c r="A4" s="27" t="s">
        <v>56</v>
      </c>
      <c r="B4" s="27" t="s">
        <v>938</v>
      </c>
      <c r="C4" s="27" t="s">
        <v>939</v>
      </c>
      <c r="D4" s="27" t="s">
        <v>940</v>
      </c>
      <c r="E4" s="27" t="s">
        <v>941</v>
      </c>
      <c r="F4" s="27" t="s">
        <v>942</v>
      </c>
      <c r="G4" s="27" t="s">
        <v>208</v>
      </c>
    </row>
    <row r="5" customFormat="false" ht="63.75" hidden="false" customHeight="true" outlineLevel="0" collapsed="false">
      <c r="A5" s="22" t="n">
        <v>1</v>
      </c>
      <c r="B5" s="11" t="s">
        <v>35</v>
      </c>
      <c r="C5" s="11" t="s">
        <v>943</v>
      </c>
      <c r="D5" s="28" t="n">
        <f aca="false">Cruce_Detalle_Mayor!F14</f>
        <v>675837500</v>
      </c>
      <c r="E5" s="11" t="s">
        <v>944</v>
      </c>
      <c r="F5" s="11" t="s">
        <v>945</v>
      </c>
      <c r="G5" s="10" t="s">
        <v>946</v>
      </c>
    </row>
    <row r="6" customFormat="false" ht="63.75" hidden="false" customHeight="true" outlineLevel="0" collapsed="false">
      <c r="A6" s="22" t="n">
        <v>2</v>
      </c>
      <c r="B6" s="11" t="s">
        <v>947</v>
      </c>
      <c r="C6" s="11" t="s">
        <v>948</v>
      </c>
      <c r="D6" s="28" t="n">
        <f aca="false">Cruce_Detalle_Mayor!F7</f>
        <v>1018266176.70086</v>
      </c>
      <c r="E6" s="11" t="s">
        <v>949</v>
      </c>
      <c r="F6" s="11" t="s">
        <v>950</v>
      </c>
      <c r="G6" s="51" t="s">
        <v>951</v>
      </c>
    </row>
    <row r="7" customFormat="false" ht="63.75" hidden="false" customHeight="true" outlineLevel="0" collapsed="false">
      <c r="A7" s="22" t="n">
        <v>3</v>
      </c>
      <c r="B7" s="11" t="s">
        <v>952</v>
      </c>
      <c r="C7" s="11" t="s">
        <v>953</v>
      </c>
      <c r="D7" s="28" t="n">
        <f aca="false">SUMIFS(Pruebas_Auditoria!$P$148:$P$174,Pruebas_Auditoria!$A$148:$A$174,"BCL-L3*")</f>
        <v>46287958.1583006</v>
      </c>
      <c r="E7" s="11" t="s">
        <v>954</v>
      </c>
      <c r="F7" s="11" t="s">
        <v>955</v>
      </c>
      <c r="G7" s="51" t="s">
        <v>956</v>
      </c>
    </row>
    <row r="8" customFormat="false" ht="63.75" hidden="false" customHeight="true" outlineLevel="0" collapsed="false">
      <c r="A8" s="22" t="n">
        <v>4</v>
      </c>
      <c r="B8" s="11" t="s">
        <v>952</v>
      </c>
      <c r="C8" s="11" t="s">
        <v>957</v>
      </c>
      <c r="D8" s="28" t="n">
        <f aca="false">-Pruebas_Auditoria!$L$75</f>
        <v>171608254.364557</v>
      </c>
      <c r="E8" s="11" t="s">
        <v>954</v>
      </c>
      <c r="F8" s="11" t="s">
        <v>958</v>
      </c>
      <c r="G8" s="10" t="s">
        <v>946</v>
      </c>
    </row>
    <row r="9" customFormat="false" ht="63.75" hidden="false" customHeight="true" outlineLevel="0" collapsed="false">
      <c r="A9" s="22" t="n">
        <v>5</v>
      </c>
      <c r="B9" s="11" t="s">
        <v>959</v>
      </c>
      <c r="C9" s="11" t="s">
        <v>960</v>
      </c>
      <c r="D9" s="28" t="n">
        <f aca="false">Pruebas_Auditoria!K236</f>
        <v>187705390.203176</v>
      </c>
      <c r="E9" s="11" t="s">
        <v>961</v>
      </c>
      <c r="F9" s="11" t="s">
        <v>962</v>
      </c>
      <c r="G9" s="51" t="s">
        <v>963</v>
      </c>
    </row>
    <row r="10" customFormat="false" ht="63.75" hidden="false" customHeight="true" outlineLevel="0" collapsed="false">
      <c r="A10" s="22" t="n">
        <v>6</v>
      </c>
      <c r="B10" s="11" t="s">
        <v>952</v>
      </c>
      <c r="C10" s="11" t="s">
        <v>964</v>
      </c>
      <c r="D10" s="28" t="n">
        <f aca="false">Pruebas_Auditoria!K196+Pruebas_Auditoria!K197</f>
        <v>-51336719.6488978</v>
      </c>
      <c r="E10" s="11" t="s">
        <v>965</v>
      </c>
      <c r="F10" s="11" t="s">
        <v>966</v>
      </c>
      <c r="G10" s="51" t="s">
        <v>967</v>
      </c>
    </row>
    <row r="11" customFormat="false" ht="63.75" hidden="false" customHeight="true" outlineLevel="0" collapsed="false">
      <c r="A11" s="22" t="n">
        <v>7</v>
      </c>
      <c r="B11" s="11" t="s">
        <v>968</v>
      </c>
      <c r="C11" s="11" t="s">
        <v>969</v>
      </c>
      <c r="D11" s="28" t="s">
        <v>970</v>
      </c>
      <c r="E11" s="11" t="s">
        <v>971</v>
      </c>
      <c r="F11" s="11" t="s">
        <v>972</v>
      </c>
      <c r="G11" s="10" t="s">
        <v>946</v>
      </c>
    </row>
    <row r="12" customFormat="false" ht="63.75" hidden="false" customHeight="true" outlineLevel="0" collapsed="false">
      <c r="A12" s="22" t="n">
        <v>8</v>
      </c>
      <c r="B12" s="11" t="s">
        <v>973</v>
      </c>
      <c r="C12" s="11" t="s">
        <v>974</v>
      </c>
      <c r="D12" s="28" t="n">
        <f aca="false">Clasif_CP_LP!B11+Clasif_CP_LP!B12</f>
        <v>1576635656.01412</v>
      </c>
      <c r="E12" s="11" t="s">
        <v>975</v>
      </c>
      <c r="F12" s="11" t="s">
        <v>976</v>
      </c>
      <c r="G12" s="51" t="s">
        <v>977</v>
      </c>
    </row>
    <row r="13" customFormat="false" ht="63.75" hidden="false" customHeight="true" outlineLevel="0" collapsed="false">
      <c r="A13" s="22" t="n">
        <v>9</v>
      </c>
      <c r="B13" s="11" t="s">
        <v>973</v>
      </c>
      <c r="C13" s="11" t="s">
        <v>978</v>
      </c>
      <c r="D13" s="28" t="n">
        <f aca="false">Clasif_CP_LP!B13</f>
        <v>31135731.73</v>
      </c>
      <c r="E13" s="11" t="s">
        <v>979</v>
      </c>
      <c r="F13" s="11" t="s">
        <v>980</v>
      </c>
      <c r="G13" s="10" t="s">
        <v>946</v>
      </c>
    </row>
    <row r="14" customFormat="false" ht="63.75" hidden="false" customHeight="true" outlineLevel="0" collapsed="false">
      <c r="A14" s="22" t="n">
        <v>10</v>
      </c>
      <c r="B14" s="11" t="s">
        <v>952</v>
      </c>
      <c r="C14" s="11" t="s">
        <v>981</v>
      </c>
      <c r="D14" s="28" t="n">
        <f aca="false">127.57+269.47+627.79+617.95+786.8</f>
        <v>2429.58</v>
      </c>
      <c r="E14" s="11" t="s">
        <v>982</v>
      </c>
      <c r="F14" s="11" t="s">
        <v>983</v>
      </c>
      <c r="G14" s="10" t="s">
        <v>946</v>
      </c>
    </row>
    <row r="15" customFormat="false" ht="63.75" hidden="false" customHeight="true" outlineLevel="0" collapsed="false">
      <c r="A15" s="22" t="n">
        <v>11</v>
      </c>
      <c r="B15" s="11" t="s">
        <v>984</v>
      </c>
      <c r="C15" s="11" t="s">
        <v>985</v>
      </c>
      <c r="D15" s="28" t="n">
        <v>11973677</v>
      </c>
      <c r="E15" s="11" t="s">
        <v>954</v>
      </c>
      <c r="F15" s="11" t="s">
        <v>986</v>
      </c>
      <c r="G15" s="51" t="s">
        <v>987</v>
      </c>
    </row>
    <row r="16" customFormat="false" ht="63.75" hidden="false" customHeight="true" outlineLevel="0" collapsed="false">
      <c r="A16" s="22" t="n">
        <v>12</v>
      </c>
      <c r="B16" s="11" t="s">
        <v>988</v>
      </c>
      <c r="C16" s="11" t="s">
        <v>989</v>
      </c>
      <c r="D16" s="28" t="n">
        <f aca="false">4068134+31360500+8261283</f>
        <v>43689917</v>
      </c>
      <c r="E16" s="11" t="s">
        <v>990</v>
      </c>
      <c r="F16" s="11" t="s">
        <v>991</v>
      </c>
      <c r="G16" s="10" t="s">
        <v>946</v>
      </c>
    </row>
    <row r="17" customFormat="false" ht="63.75" hidden="false" customHeight="true" outlineLevel="0" collapsed="false">
      <c r="A17" s="22" t="n">
        <v>13</v>
      </c>
      <c r="B17" s="11" t="s">
        <v>992</v>
      </c>
      <c r="C17" s="11" t="s">
        <v>993</v>
      </c>
      <c r="D17" s="28" t="n">
        <f aca="false">Pruebas_Auditoria!K86</f>
        <v>6758520534.1583</v>
      </c>
      <c r="E17" s="11" t="s">
        <v>994</v>
      </c>
      <c r="F17" s="11" t="s">
        <v>995</v>
      </c>
      <c r="G17" s="51" t="s">
        <v>996</v>
      </c>
    </row>
    <row r="18" customFormat="false" ht="63.75" hidden="false" customHeight="true" outlineLevel="0" collapsed="false">
      <c r="A18" s="22" t="n">
        <v>14</v>
      </c>
      <c r="B18" s="11" t="s">
        <v>968</v>
      </c>
      <c r="C18" s="11" t="s">
        <v>997</v>
      </c>
      <c r="D18" s="28" t="s">
        <v>970</v>
      </c>
      <c r="E18" s="11" t="s">
        <v>998</v>
      </c>
      <c r="F18" s="11" t="s">
        <v>999</v>
      </c>
      <c r="G18" s="10" t="s">
        <v>946</v>
      </c>
    </row>
    <row r="19" customFormat="false" ht="63.75" hidden="false" customHeight="true" outlineLevel="0" collapsed="false">
      <c r="A19" s="22" t="n">
        <v>15</v>
      </c>
      <c r="B19" s="11" t="s">
        <v>1000</v>
      </c>
      <c r="C19" s="11" t="s">
        <v>1001</v>
      </c>
      <c r="D19" s="28" t="s">
        <v>970</v>
      </c>
      <c r="E19" s="11" t="s">
        <v>1002</v>
      </c>
      <c r="F19" s="11" t="s">
        <v>1003</v>
      </c>
      <c r="G19" s="51" t="s">
        <v>1004</v>
      </c>
    </row>
    <row r="20" customFormat="false" ht="63.75" hidden="false" customHeight="true" outlineLevel="0" collapsed="false">
      <c r="A20" s="22" t="n">
        <v>16</v>
      </c>
      <c r="B20" s="11" t="s">
        <v>988</v>
      </c>
      <c r="C20" s="11" t="s">
        <v>1005</v>
      </c>
      <c r="D20" s="28" t="s">
        <v>970</v>
      </c>
      <c r="E20" s="11" t="s">
        <v>1006</v>
      </c>
      <c r="F20" s="11" t="s">
        <v>1007</v>
      </c>
      <c r="G20" s="10" t="s">
        <v>946</v>
      </c>
    </row>
    <row r="21" customFormat="false" ht="63.75" hidden="false" customHeight="true" outlineLevel="0" collapsed="false">
      <c r="A21" s="22" t="n">
        <v>17</v>
      </c>
      <c r="B21" s="11" t="s">
        <v>35</v>
      </c>
      <c r="C21" s="11" t="s">
        <v>1008</v>
      </c>
      <c r="D21" s="28" t="n">
        <f aca="false">Pruebas_Auditoria!H21</f>
        <v>-2.60770320892334E-008</v>
      </c>
      <c r="E21" s="11" t="s">
        <v>1009</v>
      </c>
      <c r="F21" s="11" t="s">
        <v>1010</v>
      </c>
      <c r="G21" s="10" t="s">
        <v>946</v>
      </c>
    </row>
    <row r="22" customFormat="false" ht="63.75" hidden="false" customHeight="true" outlineLevel="0" collapsed="false">
      <c r="A22" s="22" t="n">
        <v>18</v>
      </c>
      <c r="B22" s="11" t="s">
        <v>35</v>
      </c>
      <c r="C22" s="11" t="s">
        <v>1011</v>
      </c>
      <c r="D22" s="28" t="n">
        <f aca="false">SUMIFS(Pruebas_Auditoria!$H$148:$H$174,Pruebas_Auditoria!$A$148:$A$174,"DAV-LGECOLSA")</f>
        <v>213861900</v>
      </c>
      <c r="E22" s="11" t="s">
        <v>1012</v>
      </c>
      <c r="F22" s="11" t="s">
        <v>1013</v>
      </c>
      <c r="G22" s="51" t="s">
        <v>1014</v>
      </c>
    </row>
    <row r="23" customFormat="false" ht="63.75" hidden="false" customHeight="true" outlineLevel="0" collapsed="false">
      <c r="A23" s="22" t="n">
        <v>19</v>
      </c>
      <c r="B23" s="11" t="s">
        <v>1015</v>
      </c>
      <c r="C23" s="11" t="s">
        <v>1016</v>
      </c>
      <c r="D23" s="28" t="n">
        <f aca="false">SUMIFS(Tablas_Amortizacion!R12:R36,Tablas_Amortizacion!F12:F36,"Leasing")</f>
        <v>-101289083.236752</v>
      </c>
      <c r="E23" s="11" t="s">
        <v>1017</v>
      </c>
      <c r="F23" s="11" t="s">
        <v>1018</v>
      </c>
      <c r="G23" s="10" t="s">
        <v>946</v>
      </c>
    </row>
    <row r="24" customFormat="false" ht="63.75" hidden="false" customHeight="true" outlineLevel="0" collapsed="false">
      <c r="A24" s="22" t="n">
        <v>20</v>
      </c>
      <c r="B24" s="11" t="s">
        <v>1019</v>
      </c>
      <c r="C24" s="11" t="s">
        <v>1020</v>
      </c>
      <c r="D24" s="28" t="n">
        <f aca="false">ABS(Tablas_Amortizacion!E1797)</f>
        <v>48757159.1341134</v>
      </c>
      <c r="E24" s="11" t="s">
        <v>954</v>
      </c>
      <c r="F24" s="11" t="s">
        <v>1021</v>
      </c>
      <c r="G24" s="51" t="s">
        <v>1022</v>
      </c>
    </row>
    <row r="25" customFormat="false" ht="63.75" hidden="false" customHeight="true" outlineLevel="0" collapsed="false">
      <c r="A25" s="22" t="n">
        <v>21</v>
      </c>
      <c r="B25" s="11" t="s">
        <v>1019</v>
      </c>
      <c r="C25" s="11" t="s">
        <v>1023</v>
      </c>
      <c r="D25" s="28" t="s">
        <v>970</v>
      </c>
      <c r="E25" s="11" t="s">
        <v>1024</v>
      </c>
      <c r="F25" s="11" t="s">
        <v>1025</v>
      </c>
      <c r="G25" s="51" t="s">
        <v>1026</v>
      </c>
    </row>
    <row r="26" customFormat="false" ht="63.75" hidden="false" customHeight="true" outlineLevel="0" collapsed="false">
      <c r="A26" s="22" t="n">
        <v>22</v>
      </c>
      <c r="B26" s="11" t="s">
        <v>1027</v>
      </c>
      <c r="C26" s="11" t="s">
        <v>1028</v>
      </c>
      <c r="D26" s="28" t="n">
        <f aca="false">INDEX(Tablas_Amortizacion!AA$8:AA$44,MATCH("DAV-830624",Tablas_Amortizacion!A$8:A$44,0))</f>
        <v>-2240162500</v>
      </c>
      <c r="E26" s="11" t="s">
        <v>1029</v>
      </c>
      <c r="F26" s="11" t="s">
        <v>1030</v>
      </c>
      <c r="G26" s="51" t="s">
        <v>1022</v>
      </c>
    </row>
    <row r="27" customFormat="false" ht="63.75" hidden="false" customHeight="true" outlineLevel="0" collapsed="false">
      <c r="A27" s="22" t="n">
        <v>23</v>
      </c>
      <c r="B27" s="11" t="s">
        <v>44</v>
      </c>
      <c r="C27" s="11" t="s">
        <v>1031</v>
      </c>
      <c r="D27" s="28" t="n">
        <v>72300000000</v>
      </c>
      <c r="E27" s="11" t="s">
        <v>1032</v>
      </c>
      <c r="F27" s="11" t="s">
        <v>1033</v>
      </c>
      <c r="G27" s="51" t="s">
        <v>1034</v>
      </c>
    </row>
    <row r="28" customFormat="false" ht="63.75" hidden="false" customHeight="true" outlineLevel="0" collapsed="false">
      <c r="A28" s="22" t="n">
        <v>24</v>
      </c>
      <c r="B28" s="11" t="s">
        <v>1035</v>
      </c>
      <c r="C28" s="11" t="s">
        <v>1036</v>
      </c>
      <c r="D28" s="28" t="s">
        <v>970</v>
      </c>
      <c r="E28" s="11" t="s">
        <v>1037</v>
      </c>
      <c r="F28" s="11" t="s">
        <v>1038</v>
      </c>
      <c r="G28" s="51" t="s">
        <v>977</v>
      </c>
    </row>
    <row r="30" customFormat="false" ht="15" hidden="false" customHeight="false" outlineLevel="0" collapsed="false">
      <c r="A30" s="21" t="s">
        <v>1039</v>
      </c>
    </row>
    <row r="31" customFormat="false" ht="30" hidden="false" customHeight="true" outlineLevel="0" collapsed="false">
      <c r="A31" s="27" t="s">
        <v>167</v>
      </c>
      <c r="B31" s="27" t="s">
        <v>168</v>
      </c>
      <c r="C31" s="27" t="s">
        <v>105</v>
      </c>
      <c r="D31" s="27" t="s">
        <v>169</v>
      </c>
      <c r="E31" s="27" t="s">
        <v>170</v>
      </c>
      <c r="F31" s="27" t="s">
        <v>1040</v>
      </c>
    </row>
    <row r="32" customFormat="false" ht="15" hidden="false" customHeight="false" outlineLevel="0" collapsed="false">
      <c r="A32" s="22" t="s">
        <v>1041</v>
      </c>
      <c r="B32" s="22" t="s">
        <v>1042</v>
      </c>
      <c r="C32" s="22" t="s">
        <v>1043</v>
      </c>
      <c r="D32" s="28" t="n">
        <f aca="false">Pruebas_Auditoria!K237</f>
        <v>156729925.975577</v>
      </c>
      <c r="E32" s="28"/>
      <c r="F32" s="11" t="s">
        <v>1044</v>
      </c>
    </row>
    <row r="33" customFormat="false" ht="15" hidden="false" customHeight="false" outlineLevel="0" collapsed="false">
      <c r="A33" s="22" t="s">
        <v>1041</v>
      </c>
      <c r="B33" s="22" t="s">
        <v>277</v>
      </c>
      <c r="C33" s="22" t="s">
        <v>1045</v>
      </c>
      <c r="D33" s="28"/>
      <c r="E33" s="28" t="n">
        <f aca="false">Pruebas_Auditoria!K237</f>
        <v>156729925.975577</v>
      </c>
      <c r="F33" s="11"/>
    </row>
    <row r="34" customFormat="false" ht="15" hidden="false" customHeight="false" outlineLevel="0" collapsed="false">
      <c r="A34" s="22" t="s">
        <v>1041</v>
      </c>
      <c r="B34" s="22" t="s">
        <v>1046</v>
      </c>
      <c r="C34" s="22" t="s">
        <v>1047</v>
      </c>
      <c r="D34" s="28" t="n">
        <f aca="false">Pruebas_Auditoria!K238</f>
        <v>30975464.2275983</v>
      </c>
      <c r="E34" s="28"/>
      <c r="F34" s="11" t="s">
        <v>1048</v>
      </c>
    </row>
    <row r="35" customFormat="false" ht="15" hidden="false" customHeight="false" outlineLevel="0" collapsed="false">
      <c r="A35" s="22" t="s">
        <v>1041</v>
      </c>
      <c r="B35" s="22" t="s">
        <v>278</v>
      </c>
      <c r="C35" s="22" t="s">
        <v>1049</v>
      </c>
      <c r="D35" s="28"/>
      <c r="E35" s="28" t="n">
        <f aca="false">Pruebas_Auditoria!K238</f>
        <v>30975464.2275983</v>
      </c>
      <c r="F35" s="11"/>
    </row>
    <row r="36" customFormat="false" ht="15" hidden="false" customHeight="false" outlineLevel="0" collapsed="false">
      <c r="A36" s="22" t="s">
        <v>1050</v>
      </c>
      <c r="B36" s="22" t="s">
        <v>274</v>
      </c>
      <c r="C36" s="22" t="s">
        <v>1051</v>
      </c>
      <c r="D36" s="28" t="n">
        <f aca="false">Clasif_CP_LP!B11</f>
        <v>694500001.666668</v>
      </c>
      <c r="E36" s="28"/>
      <c r="F36" s="11" t="s">
        <v>1052</v>
      </c>
    </row>
    <row r="37" customFormat="false" ht="15" hidden="false" customHeight="false" outlineLevel="0" collapsed="false">
      <c r="A37" s="22" t="s">
        <v>1050</v>
      </c>
      <c r="B37" s="22" t="s">
        <v>273</v>
      </c>
      <c r="C37" s="22" t="s">
        <v>1053</v>
      </c>
      <c r="D37" s="28"/>
      <c r="E37" s="28" t="n">
        <f aca="false">Clasif_CP_LP!B11</f>
        <v>694500001.666668</v>
      </c>
      <c r="F37" s="11"/>
    </row>
    <row r="38" customFormat="false" ht="15" hidden="false" customHeight="false" outlineLevel="0" collapsed="false">
      <c r="A38" s="22" t="s">
        <v>1050</v>
      </c>
      <c r="B38" s="22" t="s">
        <v>276</v>
      </c>
      <c r="C38" s="22" t="s">
        <v>1054</v>
      </c>
      <c r="D38" s="28" t="n">
        <f aca="false">Clasif_CP_LP!B12</f>
        <v>882135654.347453</v>
      </c>
      <c r="E38" s="28"/>
      <c r="F38" s="11"/>
    </row>
    <row r="39" customFormat="false" ht="15" hidden="false" customHeight="false" outlineLevel="0" collapsed="false">
      <c r="A39" s="22" t="s">
        <v>1050</v>
      </c>
      <c r="B39" s="22" t="s">
        <v>275</v>
      </c>
      <c r="C39" s="22" t="s">
        <v>1055</v>
      </c>
      <c r="D39" s="28"/>
      <c r="E39" s="28" t="n">
        <f aca="false">Clasif_CP_LP!B12</f>
        <v>882135654.347453</v>
      </c>
      <c r="F39" s="11"/>
    </row>
    <row r="40" customFormat="false" ht="15" hidden="false" customHeight="false" outlineLevel="0" collapsed="false">
      <c r="C40" s="36" t="s">
        <v>1056</v>
      </c>
      <c r="D40" s="52" t="n">
        <f aca="false">SUM(D32:D39)</f>
        <v>1764341046.2173</v>
      </c>
      <c r="E40" s="52" t="n">
        <f aca="false">SUM(E32:E39)</f>
        <v>1764341046.2173</v>
      </c>
    </row>
    <row r="41" customFormat="false" ht="15" hidden="false" customHeight="false" outlineLevel="0" collapsed="false">
      <c r="C41" s="20" t="s">
        <v>1057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19" t="s">
        <v>1058</v>
      </c>
    </row>
    <row r="2" customFormat="false" ht="15" hidden="false" customHeight="false" outlineLevel="0" collapsed="false">
      <c r="A2" s="20" t="s">
        <v>1059</v>
      </c>
    </row>
    <row r="4" customFormat="false" ht="36" hidden="false" customHeight="true" outlineLevel="0" collapsed="false">
      <c r="A4" s="27" t="s">
        <v>1060</v>
      </c>
      <c r="B4" s="27" t="s">
        <v>1061</v>
      </c>
      <c r="C4" s="27" t="s">
        <v>1062</v>
      </c>
      <c r="D4" s="27" t="s">
        <v>1063</v>
      </c>
      <c r="E4" s="27" t="s">
        <v>1064</v>
      </c>
      <c r="F4" s="27" t="s">
        <v>1065</v>
      </c>
      <c r="G4" s="27" t="s">
        <v>208</v>
      </c>
      <c r="H4" s="27" t="s">
        <v>1066</v>
      </c>
    </row>
    <row r="5" customFormat="false" ht="51.75" hidden="false" customHeight="true" outlineLevel="0" collapsed="false">
      <c r="A5" s="29" t="s">
        <v>1067</v>
      </c>
      <c r="B5" s="11" t="s">
        <v>1068</v>
      </c>
      <c r="C5" s="11" t="s">
        <v>1069</v>
      </c>
      <c r="D5" s="28" t="n">
        <f aca="false">Pruebas_Auditoria!K247</f>
        <v>2605824073.83539</v>
      </c>
      <c r="E5" s="22" t="s">
        <v>1070</v>
      </c>
      <c r="F5" s="11" t="s">
        <v>352</v>
      </c>
      <c r="G5" s="51" t="s">
        <v>1071</v>
      </c>
      <c r="H5" s="11" t="s">
        <v>1072</v>
      </c>
    </row>
    <row r="6" customFormat="false" ht="51.75" hidden="false" customHeight="true" outlineLevel="0" collapsed="false">
      <c r="A6" s="29" t="s">
        <v>1073</v>
      </c>
      <c r="B6" s="11" t="s">
        <v>1074</v>
      </c>
      <c r="C6" s="11" t="s">
        <v>1075</v>
      </c>
      <c r="D6" s="28" t="n">
        <f aca="false">Cruce_Detalle_Mayor!F16</f>
        <v>171608255.694557</v>
      </c>
      <c r="E6" s="22" t="s">
        <v>1076</v>
      </c>
      <c r="F6" s="11" t="s">
        <v>336</v>
      </c>
      <c r="G6" s="51" t="s">
        <v>1071</v>
      </c>
      <c r="H6" s="11" t="s">
        <v>1077</v>
      </c>
    </row>
    <row r="7" customFormat="false" ht="51.75" hidden="false" customHeight="true" outlineLevel="0" collapsed="false">
      <c r="A7" s="29" t="s">
        <v>1078</v>
      </c>
      <c r="B7" s="11" t="s">
        <v>1079</v>
      </c>
      <c r="C7" s="11" t="s">
        <v>142</v>
      </c>
      <c r="D7" s="28" t="n">
        <f aca="false">SUMIFS(Pruebas_Auditoria!K213:K235,Pruebas_Auditoria!A213:A235,"BBVA-0141")</f>
        <v>50972239.5760856</v>
      </c>
      <c r="E7" s="22" t="s">
        <v>1080</v>
      </c>
      <c r="F7" s="11" t="s">
        <v>1081</v>
      </c>
      <c r="G7" s="51" t="s">
        <v>1082</v>
      </c>
      <c r="H7" s="11" t="s">
        <v>1083</v>
      </c>
    </row>
    <row r="8" customFormat="false" ht="51.75" hidden="false" customHeight="true" outlineLevel="0" collapsed="false">
      <c r="A8" s="29" t="s">
        <v>1084</v>
      </c>
      <c r="B8" s="11" t="s">
        <v>1085</v>
      </c>
      <c r="C8" s="11" t="s">
        <v>140</v>
      </c>
      <c r="D8" s="28" t="n">
        <f aca="false">SUMIFS(Detalle_62!$F$14:$F$35,Detalle_62!$C$14:$C$35,"POP-631309940")</f>
        <v>287500000</v>
      </c>
      <c r="E8" s="22" t="s">
        <v>1086</v>
      </c>
      <c r="F8" s="11" t="s">
        <v>139</v>
      </c>
      <c r="G8" s="51" t="s">
        <v>1082</v>
      </c>
      <c r="H8" s="11" t="s">
        <v>1087</v>
      </c>
    </row>
    <row r="9" customFormat="false" ht="51.75" hidden="false" customHeight="true" outlineLevel="0" collapsed="false">
      <c r="A9" s="29" t="s">
        <v>1088</v>
      </c>
      <c r="B9" s="11" t="s">
        <v>1089</v>
      </c>
      <c r="C9" s="11" t="s">
        <v>132</v>
      </c>
      <c r="D9" s="28" t="n">
        <f aca="false">SUMIFS(Pruebas_Auditoria!K213:K235,Pruebas_Auditoria!A213:A235,"BOG-1159383796")</f>
        <v>30518760.5171553</v>
      </c>
      <c r="E9" s="22" t="s">
        <v>1080</v>
      </c>
      <c r="F9" s="11" t="s">
        <v>332</v>
      </c>
      <c r="G9" s="51" t="s">
        <v>1082</v>
      </c>
      <c r="H9" s="11" t="s">
        <v>1090</v>
      </c>
    </row>
    <row r="10" customFormat="false" ht="51.75" hidden="false" customHeight="true" outlineLevel="0" collapsed="false">
      <c r="A10" s="29" t="s">
        <v>1091</v>
      </c>
      <c r="B10" s="11" t="s">
        <v>1092</v>
      </c>
      <c r="C10" s="11" t="s">
        <v>1093</v>
      </c>
      <c r="D10" s="28" t="n">
        <f aca="false">Pruebas_Auditoria!K196+Pruebas_Auditoria!K197</f>
        <v>-51336719.6488978</v>
      </c>
      <c r="E10" s="22" t="s">
        <v>1094</v>
      </c>
      <c r="F10" s="11" t="s">
        <v>328</v>
      </c>
      <c r="G10" s="51" t="s">
        <v>1082</v>
      </c>
      <c r="H10" s="11" t="s">
        <v>1095</v>
      </c>
    </row>
    <row r="11" customFormat="false" ht="51.75" hidden="false" customHeight="true" outlineLevel="0" collapsed="false">
      <c r="A11" s="29" t="s">
        <v>1096</v>
      </c>
      <c r="B11" s="11" t="s">
        <v>1097</v>
      </c>
      <c r="C11" s="11" t="s">
        <v>123</v>
      </c>
      <c r="D11" s="28" t="n">
        <v>11973677</v>
      </c>
      <c r="E11" s="22" t="s">
        <v>1098</v>
      </c>
      <c r="F11" s="11" t="s">
        <v>1099</v>
      </c>
      <c r="G11" s="51" t="s">
        <v>1100</v>
      </c>
      <c r="H11" s="11" t="s">
        <v>1101</v>
      </c>
    </row>
    <row r="12" customFormat="false" ht="51.75" hidden="false" customHeight="true" outlineLevel="0" collapsed="false">
      <c r="A12" s="29" t="s">
        <v>1102</v>
      </c>
      <c r="B12" s="11" t="s">
        <v>1103</v>
      </c>
      <c r="C12" s="11" t="s">
        <v>1104</v>
      </c>
      <c r="D12" s="28" t="n">
        <f aca="false">Clasif_CP_LP!B11+Clasif_CP_LP!B12</f>
        <v>1576635656.01412</v>
      </c>
      <c r="E12" s="22" t="s">
        <v>1105</v>
      </c>
      <c r="F12" s="11" t="s">
        <v>1099</v>
      </c>
      <c r="G12" s="51" t="s">
        <v>1106</v>
      </c>
      <c r="H12" s="11" t="s">
        <v>1107</v>
      </c>
    </row>
    <row r="13" customFormat="false" ht="51.75" hidden="false" customHeight="true" outlineLevel="0" collapsed="false">
      <c r="A13" s="29" t="s">
        <v>1108</v>
      </c>
      <c r="B13" s="11" t="s">
        <v>1109</v>
      </c>
      <c r="C13" s="11" t="s">
        <v>1009</v>
      </c>
      <c r="D13" s="28" t="s">
        <v>970</v>
      </c>
      <c r="E13" s="22" t="s">
        <v>1110</v>
      </c>
      <c r="F13" s="11" t="s">
        <v>1111</v>
      </c>
      <c r="G13" s="51" t="s">
        <v>1082</v>
      </c>
      <c r="H13" s="11" t="s">
        <v>1112</v>
      </c>
    </row>
    <row r="14" customFormat="false" ht="51.75" hidden="false" customHeight="true" outlineLevel="0" collapsed="false">
      <c r="A14" s="29" t="s">
        <v>1113</v>
      </c>
      <c r="B14" s="11" t="s">
        <v>1114</v>
      </c>
      <c r="C14" s="11" t="s">
        <v>1115</v>
      </c>
      <c r="D14" s="28" t="n">
        <f aca="false">SUMIFS(Pruebas_Auditoria!K213:K235,Pruebas_Auditoria!A213:A235,"BCL-L*")+SUMIFS(Pruebas_Auditoria!K213:K235,Pruebas_Auditoria!A213:A235,"POP-*")</f>
        <v>12382575.0284055</v>
      </c>
      <c r="E14" s="22" t="s">
        <v>1116</v>
      </c>
      <c r="F14" s="11" t="s">
        <v>1117</v>
      </c>
      <c r="G14" s="51" t="s">
        <v>1082</v>
      </c>
      <c r="H14" s="11" t="s">
        <v>1118</v>
      </c>
    </row>
    <row r="15" customFormat="false" ht="51.75" hidden="false" customHeight="true" outlineLevel="0" collapsed="false">
      <c r="A15" s="29" t="s">
        <v>1119</v>
      </c>
      <c r="B15" s="11" t="s">
        <v>1120</v>
      </c>
      <c r="C15" s="11" t="s">
        <v>1121</v>
      </c>
      <c r="D15" s="28" t="s">
        <v>970</v>
      </c>
      <c r="E15" s="22" t="s">
        <v>1122</v>
      </c>
      <c r="F15" s="11" t="s">
        <v>1099</v>
      </c>
      <c r="G15" s="51" t="s">
        <v>1082</v>
      </c>
      <c r="H15" s="11" t="s">
        <v>1123</v>
      </c>
    </row>
    <row r="16" customFormat="false" ht="51.75" hidden="false" customHeight="true" outlineLevel="0" collapsed="false">
      <c r="A16" s="29" t="s">
        <v>1124</v>
      </c>
      <c r="B16" s="11" t="s">
        <v>1125</v>
      </c>
      <c r="C16" s="11" t="s">
        <v>126</v>
      </c>
      <c r="D16" s="28" t="n">
        <f aca="false">SUMIFS(Pruebas_Auditoria!$H$148:$H$174,Pruebas_Auditoria!$A$148:$A$174,"DAV-LGECOLSA")</f>
        <v>213861900</v>
      </c>
      <c r="E16" s="22" t="s">
        <v>1126</v>
      </c>
      <c r="F16" s="11" t="s">
        <v>1127</v>
      </c>
      <c r="G16" s="51" t="s">
        <v>1082</v>
      </c>
      <c r="H16" s="11" t="s">
        <v>1128</v>
      </c>
    </row>
    <row r="17" customFormat="false" ht="51.75" hidden="false" customHeight="true" outlineLevel="0" collapsed="false">
      <c r="A17" s="29" t="s">
        <v>1129</v>
      </c>
      <c r="B17" s="11" t="s">
        <v>1130</v>
      </c>
      <c r="C17" s="11" t="s">
        <v>750</v>
      </c>
      <c r="D17" s="28" t="n">
        <v>72300000000</v>
      </c>
      <c r="E17" s="22" t="s">
        <v>1131</v>
      </c>
      <c r="F17" s="11" t="s">
        <v>1132</v>
      </c>
      <c r="G17" s="51" t="s">
        <v>1082</v>
      </c>
      <c r="H17" s="11" t="s">
        <v>1133</v>
      </c>
    </row>
    <row r="18" customFormat="false" ht="51.75" hidden="false" customHeight="true" outlineLevel="0" collapsed="false">
      <c r="A18" s="29" t="s">
        <v>1134</v>
      </c>
      <c r="B18" s="11" t="s">
        <v>1135</v>
      </c>
      <c r="C18" s="11" t="s">
        <v>1136</v>
      </c>
      <c r="D18" s="28" t="s">
        <v>970</v>
      </c>
      <c r="E18" s="22" t="s">
        <v>1137</v>
      </c>
      <c r="F18" s="11" t="s">
        <v>1099</v>
      </c>
      <c r="G18" s="51" t="s">
        <v>1082</v>
      </c>
      <c r="H18" s="11" t="s">
        <v>1138</v>
      </c>
    </row>
    <row r="20" customFormat="false" ht="15" hidden="false" customHeight="false" outlineLevel="0" collapsed="false">
      <c r="B20" s="36" t="s">
        <v>1139</v>
      </c>
      <c r="D20" s="52" t="n">
        <f aca="false">COUNTIF(G5:G18,"&lt;&gt;Recibido")</f>
        <v>14</v>
      </c>
    </row>
    <row r="21" customFormat="false" ht="15" hidden="false" customHeight="false" outlineLevel="0" collapsed="false">
      <c r="B21" s="20" t="s">
        <v>1140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3" topLeftCell="B24" activePane="bottomRight" state="frozen"/>
      <selection pane="topLeft" activeCell="A1" activeCellId="0" sqref="A1"/>
      <selection pane="topRight" activeCell="B1" activeCellId="0" sqref="B1"/>
      <selection pane="bottomLeft" activeCell="A24" activeCellId="0" sqref="A2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8" min="4" style="0" width="18"/>
    <col collapsed="false" customWidth="true" hidden="false" outlineLevel="0" max="9" min="9" style="0" width="60"/>
  </cols>
  <sheetData>
    <row r="1" customFormat="false" ht="15" hidden="false" customHeight="false" outlineLevel="0" collapsed="false">
      <c r="A1" s="19" t="s">
        <v>1141</v>
      </c>
    </row>
    <row r="2" customFormat="false" ht="15" hidden="false" customHeight="false" outlineLevel="0" collapsed="false">
      <c r="A2" s="20" t="s">
        <v>1142</v>
      </c>
    </row>
    <row r="4" customFormat="false" ht="15" hidden="false" customHeight="false" outlineLevel="0" collapsed="false">
      <c r="A4" s="21" t="s">
        <v>1143</v>
      </c>
    </row>
    <row r="5" customFormat="false" ht="30" hidden="false" customHeight="true" outlineLevel="0" collapsed="false">
      <c r="A5" s="27" t="s">
        <v>159</v>
      </c>
      <c r="B5" s="27" t="s">
        <v>1144</v>
      </c>
      <c r="C5" s="27"/>
      <c r="D5" s="27" t="s">
        <v>107</v>
      </c>
      <c r="E5" s="27" t="s">
        <v>106</v>
      </c>
      <c r="F5" s="27" t="s">
        <v>1145</v>
      </c>
      <c r="G5" s="27" t="s">
        <v>208</v>
      </c>
    </row>
    <row r="6" customFormat="false" ht="15" hidden="false" customHeight="false" outlineLevel="0" collapsed="false">
      <c r="A6" s="22" t="s">
        <v>1146</v>
      </c>
      <c r="B6" s="22" t="s">
        <v>1147</v>
      </c>
      <c r="D6" s="28" t="n">
        <f aca="false">SUMIFS(Detalle_62!$F$14:$F$35,Detalle_62!$D$14:$D$35,"Crédito")</f>
        <v>38300666665.3333</v>
      </c>
      <c r="E6" s="28" t="n">
        <f aca="false">-(Balance_21!$F$16+Balance_21!$F$18)</f>
        <v>38300666666</v>
      </c>
      <c r="F6" s="28" t="n">
        <f aca="false">E6-D6</f>
        <v>0.666664123535156</v>
      </c>
      <c r="G6" s="22" t="str">
        <f aca="false">IF(ABS(F6)&lt;=Resumen!$C$6,"OK","DIFERENCIA")</f>
        <v>OK</v>
      </c>
    </row>
    <row r="7" customFormat="false" ht="15" hidden="false" customHeight="false" outlineLevel="0" collapsed="false">
      <c r="A7" s="22" t="s">
        <v>1148</v>
      </c>
      <c r="B7" s="22" t="s">
        <v>1149</v>
      </c>
      <c r="D7" s="28" t="n">
        <f aca="false">SUMIFS(Detalle_62!$F$14:$F$35,Detalle_62!$D$14:$D$35,"Leasing")</f>
        <v>6885245451.62914</v>
      </c>
      <c r="E7" s="28" t="n">
        <f aca="false">-(Balance_21!$F$22+Balance_21!$F$24)</f>
        <v>7903511628.33</v>
      </c>
      <c r="F7" s="25" t="n">
        <f aca="false">E7-D7</f>
        <v>1018266176.70086</v>
      </c>
      <c r="G7" s="22" t="str">
        <f aca="false">IF(ABS(F7)&lt;=Resumen!$C$6,"OK","DIFERENCIA")</f>
        <v>DIFERENCIA</v>
      </c>
    </row>
    <row r="8" customFormat="false" ht="15" hidden="false" customHeight="false" outlineLevel="0" collapsed="false">
      <c r="A8" s="36" t="s">
        <v>101</v>
      </c>
      <c r="D8" s="52" t="n">
        <f aca="false">D6+D7</f>
        <v>45185912116.9625</v>
      </c>
      <c r="E8" s="52" t="n">
        <f aca="false">E6+E7</f>
        <v>46204178294.33</v>
      </c>
      <c r="F8" s="28" t="n">
        <f aca="false">E8-D8</f>
        <v>1018266177.36753</v>
      </c>
      <c r="G8" s="22" t="str">
        <f aca="false">IF(ABS(F8)&lt;=Resumen!$C$6,"OK","DIFERENCIA")</f>
        <v>DIFERENCIA</v>
      </c>
    </row>
    <row r="9" customFormat="false" ht="15" hidden="false" customHeight="false" outlineLevel="0" collapsed="false">
      <c r="A9" s="22" t="s">
        <v>1150</v>
      </c>
      <c r="D9" s="28" t="n">
        <f aca="false">Detalle_62!F36-D8</f>
        <v>0</v>
      </c>
    </row>
    <row r="10" customFormat="false" ht="15" hidden="false" customHeight="false" outlineLevel="0" collapsed="false">
      <c r="A10" s="20" t="s">
        <v>1151</v>
      </c>
    </row>
    <row r="12" customFormat="false" ht="15" hidden="false" customHeight="false" outlineLevel="0" collapsed="false">
      <c r="A12" s="21" t="s">
        <v>1152</v>
      </c>
    </row>
    <row r="13" customFormat="false" ht="30" hidden="false" customHeight="true" outlineLevel="0" collapsed="false">
      <c r="A13" s="27" t="s">
        <v>1153</v>
      </c>
      <c r="B13" s="27"/>
      <c r="C13" s="27"/>
      <c r="D13" s="27"/>
      <c r="E13" s="27"/>
      <c r="F13" s="27" t="s">
        <v>1154</v>
      </c>
      <c r="G13" s="27"/>
      <c r="H13" s="27"/>
      <c r="I13" s="27" t="s">
        <v>1040</v>
      </c>
    </row>
    <row r="14" customFormat="false" ht="30" hidden="false" customHeight="true" outlineLevel="0" collapsed="false">
      <c r="A14" s="11" t="s">
        <v>1155</v>
      </c>
      <c r="B14" s="11"/>
      <c r="C14" s="11"/>
      <c r="D14" s="11"/>
      <c r="E14" s="11"/>
      <c r="F14" s="28" t="n">
        <f aca="false">SUMIFS(Pruebas_Auditoria!$N$148:$N$174,Pruebas_Auditoria!$A$148:$A$174,"BCL-L386735")</f>
        <v>675837500</v>
      </c>
      <c r="I14" s="11" t="s">
        <v>1156</v>
      </c>
    </row>
    <row r="15" customFormat="false" ht="30" hidden="false" customHeight="true" outlineLevel="0" collapsed="false">
      <c r="A15" s="11" t="s">
        <v>1157</v>
      </c>
      <c r="B15" s="11"/>
      <c r="C15" s="11"/>
      <c r="D15" s="11"/>
      <c r="E15" s="11"/>
      <c r="F15" s="28" t="n">
        <f aca="false">SUMIFS(Pruebas_Auditoria!$N$148:$N$174,Pruebas_Auditoria!$A$148:$A$174,"DAV-LGECOLSA")</f>
        <v>213861900</v>
      </c>
      <c r="I15" s="11" t="s">
        <v>1158</v>
      </c>
    </row>
    <row r="16" customFormat="false" ht="30" hidden="false" customHeight="true" outlineLevel="0" collapsed="false">
      <c r="A16" s="11" t="s">
        <v>1159</v>
      </c>
      <c r="B16" s="11"/>
      <c r="C16" s="11"/>
      <c r="D16" s="11"/>
      <c r="E16" s="11"/>
      <c r="F16" s="28" t="n">
        <f aca="false">SUMIFS(Pruebas_Auditoria!$N$148:$N$174,Pruebas_Auditoria!$A$148:$A$174,"BOG-L*")</f>
        <v>171608255.694557</v>
      </c>
      <c r="I16" s="11" t="s">
        <v>1160</v>
      </c>
    </row>
    <row r="17" customFormat="false" ht="30" hidden="false" customHeight="true" outlineLevel="0" collapsed="false">
      <c r="A17" s="11" t="s">
        <v>1161</v>
      </c>
      <c r="B17" s="11"/>
      <c r="C17" s="11"/>
      <c r="D17" s="11"/>
      <c r="E17" s="11"/>
      <c r="F17" s="28" t="n">
        <f aca="false">SUMIFS(Pruebas_Auditoria!$N$148:$N$174,Pruebas_Auditoria!$A$148:$A$174,"DAV-L1*")</f>
        <v>3246479.16460848</v>
      </c>
      <c r="I17" s="11" t="s">
        <v>1162</v>
      </c>
    </row>
    <row r="18" customFormat="false" ht="30" hidden="false" customHeight="true" outlineLevel="0" collapsed="false">
      <c r="A18" s="11" t="s">
        <v>1163</v>
      </c>
      <c r="B18" s="11"/>
      <c r="C18" s="11"/>
      <c r="D18" s="11"/>
      <c r="E18" s="11"/>
      <c r="F18" s="28" t="n">
        <f aca="false">SUMIFS(Pruebas_Auditoria!$N$148:$N$174,Pruebas_Auditoria!$A$148:$A$174,"BCL-L362095")+SUMIFS(Pruebas_Auditoria!$N$148:$N$174,Pruebas_Auditoria!$A$148:$A$174,"BCL-L336817")+SUMIFS(Pruebas_Auditoria!$N$148:$N$174,Pruebas_Auditoria!$A$148:$A$174,"BCL-L331330")</f>
        <v>-46287958.1583006</v>
      </c>
      <c r="I18" s="11" t="s">
        <v>1164</v>
      </c>
    </row>
    <row r="19" customFormat="false" ht="15" hidden="false" customHeight="true" outlineLevel="0" collapsed="false">
      <c r="A19" s="11" t="s">
        <v>1165</v>
      </c>
      <c r="B19" s="11"/>
      <c r="C19" s="11"/>
      <c r="D19" s="11"/>
      <c r="E19" s="11"/>
      <c r="F19" s="25" t="n">
        <f aca="false">F7-SUM(F14:F18)</f>
        <v>0</v>
      </c>
    </row>
    <row r="20" customFormat="false" ht="15" hidden="false" customHeight="false" outlineLevel="0" collapsed="false">
      <c r="A20" s="36" t="s">
        <v>1166</v>
      </c>
      <c r="F20" s="52" t="n">
        <f aca="false">SUM(F14:F19)</f>
        <v>1018266176.70087</v>
      </c>
      <c r="G20" s="22" t="str">
        <f aca="false">IF(ABS(F20-F7)&lt;0.01,"Cuadra","Revisar")</f>
        <v>Cuadra</v>
      </c>
    </row>
    <row r="22" customFormat="false" ht="15" hidden="false" customHeight="false" outlineLevel="0" collapsed="false">
      <c r="A22" s="21" t="s">
        <v>1167</v>
      </c>
    </row>
    <row r="23" customFormat="false" ht="30" hidden="false" customHeight="true" outlineLevel="0" collapsed="false">
      <c r="A23" s="27" t="s">
        <v>314</v>
      </c>
      <c r="B23" s="27" t="s">
        <v>162</v>
      </c>
      <c r="C23" s="27" t="s">
        <v>381</v>
      </c>
      <c r="D23" s="27" t="s">
        <v>1168</v>
      </c>
      <c r="E23" s="27" t="s">
        <v>1169</v>
      </c>
      <c r="F23" s="27" t="s">
        <v>1170</v>
      </c>
      <c r="G23" s="27" t="s">
        <v>1171</v>
      </c>
      <c r="H23" s="27" t="s">
        <v>1172</v>
      </c>
      <c r="I23" s="27" t="s">
        <v>290</v>
      </c>
    </row>
    <row r="24" customFormat="false" ht="15" hidden="false" customHeight="false" outlineLevel="0" collapsed="false">
      <c r="A24" s="29" t="s">
        <v>123</v>
      </c>
      <c r="B24" s="22" t="s">
        <v>512</v>
      </c>
      <c r="C24" s="22" t="s">
        <v>388</v>
      </c>
      <c r="D24" s="28" t="n">
        <f aca="false">SUMIFS(Detalle_62!$F$14:$F$35,Detalle_62!$C$14:$C$35,A24)</f>
        <v>398582167.21439</v>
      </c>
      <c r="E24" s="28" t="n">
        <f aca="false">SUMIFS(Mayor_Mov!$E$5:$E$445,Mayor_Mov!$N$5:$N$445,$A24,Mayor_Mov!$B$5:$B$445,"21050100")+SUMIFS(Mayor_Mov!$E$5:$E$445,Mayor_Mov!$N$5:$N$445,$A24,Mayor_Mov!$B$5:$B$445,"21050201")+SUMIFS(Mayor_Mov!$E$5:$E$445,Mayor_Mov!$N$5:$N$445,$A24,Mayor_Mov!$B$5:$B$445,"21202040")+SUMIFS(Mayor_Mov!$E$5:$E$445,Mayor_Mov!$N$5:$N$445,$A24,Mayor_Mov!$B$5:$B$445,"21202140")</f>
        <v>82483752</v>
      </c>
      <c r="F24" s="28" t="n">
        <f aca="false">SUMIFS(Mayor_Mov!$F$5:$F$445,Mayor_Mov!$N$5:$N$445,$A24,Mayor_Mov!$B$5:$B$445,"21050100")+SUMIFS(Mayor_Mov!$F$5:$F$445,Mayor_Mov!$N$5:$N$445,$A24,Mayor_Mov!$B$5:$B$445,"21050201")+SUMIFS(Mayor_Mov!$F$5:$F$445,Mayor_Mov!$N$5:$N$445,$A24,Mayor_Mov!$B$5:$B$445,"21202040")+SUMIFS(Mayor_Mov!$F$5:$F$445,Mayor_Mov!$N$5:$N$445,$A24,Mayor_Mov!$B$5:$B$445,"21202140")</f>
        <v>0</v>
      </c>
      <c r="G24" s="28" t="n">
        <f aca="false">D24+E24-F24</f>
        <v>481065919.21439</v>
      </c>
      <c r="H24" s="22" t="str">
        <f aca="false">IF(COUNTIF(Detalle_62!$C$14:$C$35,A24)&gt;0,"Sí","NO")</f>
        <v>Sí</v>
      </c>
      <c r="I24" s="11"/>
    </row>
    <row r="25" customFormat="false" ht="15" hidden="false" customHeight="false" outlineLevel="0" collapsed="false">
      <c r="A25" s="29" t="s">
        <v>124</v>
      </c>
      <c r="B25" s="22" t="s">
        <v>512</v>
      </c>
      <c r="C25" s="22" t="s">
        <v>388</v>
      </c>
      <c r="D25" s="28" t="n">
        <f aca="false">SUMIFS(Detalle_62!$F$14:$F$35,Detalle_62!$C$14:$C$35,A25)</f>
        <v>323529688.533944</v>
      </c>
      <c r="E25" s="28" t="n">
        <f aca="false">SUMIFS(Mayor_Mov!$E$5:$E$445,Mayor_Mov!$N$5:$N$445,$A25,Mayor_Mov!$B$5:$B$445,"21050100")+SUMIFS(Mayor_Mov!$E$5:$E$445,Mayor_Mov!$N$5:$N$445,$A25,Mayor_Mov!$B$5:$B$445,"21050201")+SUMIFS(Mayor_Mov!$E$5:$E$445,Mayor_Mov!$N$5:$N$445,$A25,Mayor_Mov!$B$5:$B$445,"21202040")+SUMIFS(Mayor_Mov!$E$5:$E$445,Mayor_Mov!$N$5:$N$445,$A25,Mayor_Mov!$B$5:$B$445,"21202140")</f>
        <v>60352563</v>
      </c>
      <c r="F25" s="28" t="n">
        <f aca="false">SUMIFS(Mayor_Mov!$F$5:$F$445,Mayor_Mov!$N$5:$N$445,$A25,Mayor_Mov!$B$5:$B$445,"21050100")+SUMIFS(Mayor_Mov!$F$5:$F$445,Mayor_Mov!$N$5:$N$445,$A25,Mayor_Mov!$B$5:$B$445,"21050201")+SUMIFS(Mayor_Mov!$F$5:$F$445,Mayor_Mov!$N$5:$N$445,$A25,Mayor_Mov!$B$5:$B$445,"21202040")+SUMIFS(Mayor_Mov!$F$5:$F$445,Mayor_Mov!$N$5:$N$445,$A25,Mayor_Mov!$B$5:$B$445,"21202140")</f>
        <v>0</v>
      </c>
      <c r="G25" s="28" t="n">
        <f aca="false">D25+E25-F25</f>
        <v>383882251.533944</v>
      </c>
      <c r="H25" s="22" t="str">
        <f aca="false">IF(COUNTIF(Detalle_62!$C$14:$C$35,A25)&gt;0,"Sí","NO")</f>
        <v>Sí</v>
      </c>
      <c r="I25" s="11"/>
    </row>
    <row r="26" customFormat="false" ht="15" hidden="false" customHeight="false" outlineLevel="0" collapsed="false">
      <c r="A26" s="29" t="s">
        <v>125</v>
      </c>
      <c r="B26" s="22" t="s">
        <v>512</v>
      </c>
      <c r="C26" s="22" t="s">
        <v>388</v>
      </c>
      <c r="D26" s="28" t="n">
        <f aca="false">SUMIFS(Detalle_62!$F$14:$F$35,Detalle_62!$C$14:$C$35,A26)</f>
        <v>1883712218.08706</v>
      </c>
      <c r="E26" s="28" t="n">
        <f aca="false">SUMIFS(Mayor_Mov!$E$5:$E$445,Mayor_Mov!$N$5:$N$445,$A26,Mayor_Mov!$B$5:$B$445,"21050100")+SUMIFS(Mayor_Mov!$E$5:$E$445,Mayor_Mov!$N$5:$N$445,$A26,Mayor_Mov!$B$5:$B$445,"21050201")+SUMIFS(Mayor_Mov!$E$5:$E$445,Mayor_Mov!$N$5:$N$445,$A26,Mayor_Mov!$B$5:$B$445,"21202040")+SUMIFS(Mayor_Mov!$E$5:$E$445,Mayor_Mov!$N$5:$N$445,$A26,Mayor_Mov!$B$5:$B$445,"21202140")</f>
        <v>0</v>
      </c>
      <c r="F26" s="28" t="n">
        <f aca="false">SUMIFS(Mayor_Mov!$F$5:$F$445,Mayor_Mov!$N$5:$N$445,$A26,Mayor_Mov!$B$5:$B$445,"21050100")+SUMIFS(Mayor_Mov!$F$5:$F$445,Mayor_Mov!$N$5:$N$445,$A26,Mayor_Mov!$B$5:$B$445,"21050201")+SUMIFS(Mayor_Mov!$F$5:$F$445,Mayor_Mov!$N$5:$N$445,$A26,Mayor_Mov!$B$5:$B$445,"21202040")+SUMIFS(Mayor_Mov!$F$5:$F$445,Mayor_Mov!$N$5:$N$445,$A26,Mayor_Mov!$B$5:$B$445,"21202140")</f>
        <v>0</v>
      </c>
      <c r="G26" s="28" t="n">
        <f aca="false">D26+E26-F26</f>
        <v>1883712218.08706</v>
      </c>
      <c r="H26" s="22" t="str">
        <f aca="false">IF(COUNTIF(Detalle_62!$C$14:$C$35,A26)&gt;0,"Sí","NO")</f>
        <v>Sí</v>
      </c>
      <c r="I26" s="11"/>
    </row>
    <row r="27" customFormat="false" ht="15" hidden="false" customHeight="false" outlineLevel="0" collapsed="false">
      <c r="A27" s="29" t="s">
        <v>120</v>
      </c>
      <c r="B27" s="22" t="s">
        <v>512</v>
      </c>
      <c r="C27" s="22" t="s">
        <v>170</v>
      </c>
      <c r="D27" s="28" t="n">
        <f aca="false">SUMIFS(Detalle_62!$F$14:$F$35,Detalle_62!$C$14:$C$35,A27)</f>
        <v>3000000000</v>
      </c>
      <c r="E27" s="28" t="n">
        <f aca="false">SUMIFS(Mayor_Mov!$E$5:$E$445,Mayor_Mov!$N$5:$N$445,$A27,Mayor_Mov!$B$5:$B$445,"21050100")+SUMIFS(Mayor_Mov!$E$5:$E$445,Mayor_Mov!$N$5:$N$445,$A27,Mayor_Mov!$B$5:$B$445,"21050201")+SUMIFS(Mayor_Mov!$E$5:$E$445,Mayor_Mov!$N$5:$N$445,$A27,Mayor_Mov!$B$5:$B$445,"21202040")+SUMIFS(Mayor_Mov!$E$5:$E$445,Mayor_Mov!$N$5:$N$445,$A27,Mayor_Mov!$B$5:$B$445,"21202140")</f>
        <v>0</v>
      </c>
      <c r="F27" s="28" t="n">
        <f aca="false">SUMIFS(Mayor_Mov!$F$5:$F$445,Mayor_Mov!$N$5:$N$445,$A27,Mayor_Mov!$B$5:$B$445,"21050100")+SUMIFS(Mayor_Mov!$F$5:$F$445,Mayor_Mov!$N$5:$N$445,$A27,Mayor_Mov!$B$5:$B$445,"21050201")+SUMIFS(Mayor_Mov!$F$5:$F$445,Mayor_Mov!$N$5:$N$445,$A27,Mayor_Mov!$B$5:$B$445,"21202040")+SUMIFS(Mayor_Mov!$F$5:$F$445,Mayor_Mov!$N$5:$N$445,$A27,Mayor_Mov!$B$5:$B$445,"21202140")</f>
        <v>0</v>
      </c>
      <c r="G27" s="28" t="n">
        <f aca="false">D27+E27-F27</f>
        <v>3000000000</v>
      </c>
      <c r="H27" s="22" t="str">
        <f aca="false">IF(COUNTIF(Detalle_62!$C$14:$C$35,A27)&gt;0,"Sí","NO")</f>
        <v>Sí</v>
      </c>
      <c r="I27" s="11"/>
    </row>
    <row r="28" customFormat="false" ht="15" hidden="false" customHeight="false" outlineLevel="0" collapsed="false">
      <c r="A28" s="29" t="s">
        <v>121</v>
      </c>
      <c r="B28" s="22" t="s">
        <v>512</v>
      </c>
      <c r="C28" s="22" t="s">
        <v>170</v>
      </c>
      <c r="D28" s="28" t="n">
        <f aca="false">SUMIFS(Detalle_62!$F$14:$F$35,Detalle_62!$C$14:$C$35,A28)</f>
        <v>7500000000</v>
      </c>
      <c r="E28" s="28" t="n">
        <f aca="false">SUMIFS(Mayor_Mov!$E$5:$E$445,Mayor_Mov!$N$5:$N$445,$A28,Mayor_Mov!$B$5:$B$445,"21050100")+SUMIFS(Mayor_Mov!$E$5:$E$445,Mayor_Mov!$N$5:$N$445,$A28,Mayor_Mov!$B$5:$B$445,"21050201")+SUMIFS(Mayor_Mov!$E$5:$E$445,Mayor_Mov!$N$5:$N$445,$A28,Mayor_Mov!$B$5:$B$445,"21202040")+SUMIFS(Mayor_Mov!$E$5:$E$445,Mayor_Mov!$N$5:$N$445,$A28,Mayor_Mov!$B$5:$B$445,"21202140")</f>
        <v>0</v>
      </c>
      <c r="F28" s="28" t="n">
        <f aca="false">SUMIFS(Mayor_Mov!$F$5:$F$445,Mayor_Mov!$N$5:$N$445,$A28,Mayor_Mov!$B$5:$B$445,"21050100")+SUMIFS(Mayor_Mov!$F$5:$F$445,Mayor_Mov!$N$5:$N$445,$A28,Mayor_Mov!$B$5:$B$445,"21050201")+SUMIFS(Mayor_Mov!$F$5:$F$445,Mayor_Mov!$N$5:$N$445,$A28,Mayor_Mov!$B$5:$B$445,"21202040")+SUMIFS(Mayor_Mov!$F$5:$F$445,Mayor_Mov!$N$5:$N$445,$A28,Mayor_Mov!$B$5:$B$445,"21202140")</f>
        <v>0</v>
      </c>
      <c r="G28" s="28" t="n">
        <f aca="false">D28+E28-F28</f>
        <v>7500000000</v>
      </c>
      <c r="H28" s="22" t="str">
        <f aca="false">IF(COUNTIF(Detalle_62!$C$14:$C$35,A28)&gt;0,"Sí","NO")</f>
        <v>Sí</v>
      </c>
      <c r="I28" s="11"/>
    </row>
    <row r="29" customFormat="false" ht="15" hidden="false" customHeight="false" outlineLevel="0" collapsed="false">
      <c r="A29" s="29" t="s">
        <v>122</v>
      </c>
      <c r="B29" s="22" t="s">
        <v>512</v>
      </c>
      <c r="C29" s="22" t="s">
        <v>170</v>
      </c>
      <c r="D29" s="28" t="n">
        <f aca="false">SUMIFS(Detalle_62!$F$14:$F$35,Detalle_62!$C$14:$C$35,A29)</f>
        <v>3960000000</v>
      </c>
      <c r="E29" s="28" t="n">
        <f aca="false">SUMIFS(Mayor_Mov!$E$5:$E$445,Mayor_Mov!$N$5:$N$445,$A29,Mayor_Mov!$B$5:$B$445,"21050100")+SUMIFS(Mayor_Mov!$E$5:$E$445,Mayor_Mov!$N$5:$N$445,$A29,Mayor_Mov!$B$5:$B$445,"21050201")+SUMIFS(Mayor_Mov!$E$5:$E$445,Mayor_Mov!$N$5:$N$445,$A29,Mayor_Mov!$B$5:$B$445,"21202040")+SUMIFS(Mayor_Mov!$E$5:$E$445,Mayor_Mov!$N$5:$N$445,$A29,Mayor_Mov!$B$5:$B$445,"21202140")</f>
        <v>0</v>
      </c>
      <c r="F29" s="28" t="n">
        <f aca="false">SUMIFS(Mayor_Mov!$F$5:$F$445,Mayor_Mov!$N$5:$N$445,$A29,Mayor_Mov!$B$5:$B$445,"21050100")+SUMIFS(Mayor_Mov!$F$5:$F$445,Mayor_Mov!$N$5:$N$445,$A29,Mayor_Mov!$B$5:$B$445,"21050201")+SUMIFS(Mayor_Mov!$F$5:$F$445,Mayor_Mov!$N$5:$N$445,$A29,Mayor_Mov!$B$5:$B$445,"21202040")+SUMIFS(Mayor_Mov!$F$5:$F$445,Mayor_Mov!$N$5:$N$445,$A29,Mayor_Mov!$B$5:$B$445,"21202140")</f>
        <v>0</v>
      </c>
      <c r="G29" s="28" t="n">
        <f aca="false">D29+E29-F29</f>
        <v>3960000000</v>
      </c>
      <c r="H29" s="22" t="str">
        <f aca="false">IF(COUNTIF(Detalle_62!$C$14:$C$35,A29)&gt;0,"Sí","NO")</f>
        <v>Sí</v>
      </c>
      <c r="I29" s="11"/>
    </row>
    <row r="30" customFormat="false" ht="15" hidden="false" customHeight="false" outlineLevel="0" collapsed="false">
      <c r="A30" s="29" t="s">
        <v>129</v>
      </c>
      <c r="B30" s="22" t="s">
        <v>523</v>
      </c>
      <c r="C30" s="22" t="s">
        <v>170</v>
      </c>
      <c r="D30" s="28" t="n">
        <f aca="false">SUMIFS(Detalle_62!$F$14:$F$35,Detalle_62!$C$14:$C$35,A30)</f>
        <v>2937500000</v>
      </c>
      <c r="E30" s="28" t="n">
        <f aca="false">SUMIFS(Mayor_Mov!$E$5:$E$445,Mayor_Mov!$N$5:$N$445,$A30,Mayor_Mov!$B$5:$B$445,"21050100")+SUMIFS(Mayor_Mov!$E$5:$E$445,Mayor_Mov!$N$5:$N$445,$A30,Mayor_Mov!$B$5:$B$445,"21050201")+SUMIFS(Mayor_Mov!$E$5:$E$445,Mayor_Mov!$N$5:$N$445,$A30,Mayor_Mov!$B$5:$B$445,"21202040")+SUMIFS(Mayor_Mov!$E$5:$E$445,Mayor_Mov!$N$5:$N$445,$A30,Mayor_Mov!$B$5:$B$445,"21202140")</f>
        <v>437500000</v>
      </c>
      <c r="F30" s="28" t="n">
        <f aca="false">SUMIFS(Mayor_Mov!$F$5:$F$445,Mayor_Mov!$N$5:$N$445,$A30,Mayor_Mov!$B$5:$B$445,"21050100")+SUMIFS(Mayor_Mov!$F$5:$F$445,Mayor_Mov!$N$5:$N$445,$A30,Mayor_Mov!$B$5:$B$445,"21050201")+SUMIFS(Mayor_Mov!$F$5:$F$445,Mayor_Mov!$N$5:$N$445,$A30,Mayor_Mov!$B$5:$B$445,"21202040")+SUMIFS(Mayor_Mov!$F$5:$F$445,Mayor_Mov!$N$5:$N$445,$A30,Mayor_Mov!$B$5:$B$445,"21202140")</f>
        <v>0</v>
      </c>
      <c r="G30" s="28" t="n">
        <f aca="false">D30+E30-F30</f>
        <v>3375000000</v>
      </c>
      <c r="H30" s="22" t="str">
        <f aca="false">IF(COUNTIF(Detalle_62!$C$14:$C$35,A30)&gt;0,"Sí","NO")</f>
        <v>Sí</v>
      </c>
      <c r="I30" s="11"/>
    </row>
    <row r="31" customFormat="false" ht="15" hidden="false" customHeight="false" outlineLevel="0" collapsed="false">
      <c r="A31" s="29" t="s">
        <v>130</v>
      </c>
      <c r="B31" s="22" t="s">
        <v>523</v>
      </c>
      <c r="C31" s="22" t="s">
        <v>170</v>
      </c>
      <c r="D31" s="28" t="n">
        <f aca="false">SUMIFS(Detalle_62!$F$14:$F$35,Detalle_62!$C$14:$C$35,A31)</f>
        <v>1457333332</v>
      </c>
      <c r="E31" s="28" t="n">
        <f aca="false">SUMIFS(Mayor_Mov!$E$5:$E$445,Mayor_Mov!$N$5:$N$445,$A31,Mayor_Mov!$B$5:$B$445,"21050100")+SUMIFS(Mayor_Mov!$E$5:$E$445,Mayor_Mov!$N$5:$N$445,$A31,Mayor_Mov!$B$5:$B$445,"21050201")+SUMIFS(Mayor_Mov!$E$5:$E$445,Mayor_Mov!$N$5:$N$445,$A31,Mayor_Mov!$B$5:$B$445,"21202040")+SUMIFS(Mayor_Mov!$E$5:$E$445,Mayor_Mov!$N$5:$N$445,$A31,Mayor_Mov!$B$5:$B$445,"21202140")</f>
        <v>364333334</v>
      </c>
      <c r="F31" s="28" t="n">
        <f aca="false">SUMIFS(Mayor_Mov!$F$5:$F$445,Mayor_Mov!$N$5:$N$445,$A31,Mayor_Mov!$B$5:$B$445,"21050100")+SUMIFS(Mayor_Mov!$F$5:$F$445,Mayor_Mov!$N$5:$N$445,$A31,Mayor_Mov!$B$5:$B$445,"21050201")+SUMIFS(Mayor_Mov!$F$5:$F$445,Mayor_Mov!$N$5:$N$445,$A31,Mayor_Mov!$B$5:$B$445,"21202040")+SUMIFS(Mayor_Mov!$F$5:$F$445,Mayor_Mov!$N$5:$N$445,$A31,Mayor_Mov!$B$5:$B$445,"21202140")</f>
        <v>0</v>
      </c>
      <c r="G31" s="28" t="n">
        <f aca="false">D31+E31-F31</f>
        <v>1821666666</v>
      </c>
      <c r="H31" s="22" t="str">
        <f aca="false">IF(COUNTIF(Detalle_62!$C$14:$C$35,A31)&gt;0,"Sí","NO")</f>
        <v>Sí</v>
      </c>
      <c r="I31" s="11"/>
    </row>
    <row r="32" customFormat="false" ht="15" hidden="false" customHeight="false" outlineLevel="0" collapsed="false">
      <c r="A32" s="29" t="s">
        <v>131</v>
      </c>
      <c r="B32" s="22" t="s">
        <v>523</v>
      </c>
      <c r="C32" s="22" t="s">
        <v>170</v>
      </c>
      <c r="D32" s="28" t="n">
        <f aca="false">SUMIFS(Detalle_62!$F$14:$F$35,Detalle_62!$C$14:$C$35,A32)</f>
        <v>1125000000</v>
      </c>
      <c r="E32" s="28" t="n">
        <f aca="false">SUMIFS(Mayor_Mov!$E$5:$E$445,Mayor_Mov!$N$5:$N$445,$A32,Mayor_Mov!$B$5:$B$445,"21050100")+SUMIFS(Mayor_Mov!$E$5:$E$445,Mayor_Mov!$N$5:$N$445,$A32,Mayor_Mov!$B$5:$B$445,"21050201")+SUMIFS(Mayor_Mov!$E$5:$E$445,Mayor_Mov!$N$5:$N$445,$A32,Mayor_Mov!$B$5:$B$445,"21202040")+SUMIFS(Mayor_Mov!$E$5:$E$445,Mayor_Mov!$N$5:$N$445,$A32,Mayor_Mov!$B$5:$B$445,"21202140")</f>
        <v>250000000</v>
      </c>
      <c r="F32" s="28" t="n">
        <f aca="false">SUMIFS(Mayor_Mov!$F$5:$F$445,Mayor_Mov!$N$5:$N$445,$A32,Mayor_Mov!$B$5:$B$445,"21050100")+SUMIFS(Mayor_Mov!$F$5:$F$445,Mayor_Mov!$N$5:$N$445,$A32,Mayor_Mov!$B$5:$B$445,"21050201")+SUMIFS(Mayor_Mov!$F$5:$F$445,Mayor_Mov!$N$5:$N$445,$A32,Mayor_Mov!$B$5:$B$445,"21202040")+SUMIFS(Mayor_Mov!$F$5:$F$445,Mayor_Mov!$N$5:$N$445,$A32,Mayor_Mov!$B$5:$B$445,"21202140")</f>
        <v>0</v>
      </c>
      <c r="G32" s="28" t="n">
        <f aca="false">D32+E32-F32</f>
        <v>1375000000</v>
      </c>
      <c r="H32" s="22" t="str">
        <f aca="false">IF(COUNTIF(Detalle_62!$C$14:$C$35,A32)&gt;0,"Sí","NO")</f>
        <v>Sí</v>
      </c>
      <c r="I32" s="11"/>
    </row>
    <row r="33" customFormat="false" ht="15" hidden="false" customHeight="false" outlineLevel="0" collapsed="false">
      <c r="A33" s="29" t="s">
        <v>132</v>
      </c>
      <c r="B33" s="22" t="s">
        <v>523</v>
      </c>
      <c r="C33" s="22" t="s">
        <v>170</v>
      </c>
      <c r="D33" s="28" t="n">
        <f aca="false">SUMIFS(Detalle_62!$F$14:$F$35,Detalle_62!$C$14:$C$35,A33)</f>
        <v>10000000000</v>
      </c>
      <c r="E33" s="28" t="n">
        <f aca="false">SUMIFS(Mayor_Mov!$E$5:$E$445,Mayor_Mov!$N$5:$N$445,$A33,Mayor_Mov!$B$5:$B$445,"21050100")+SUMIFS(Mayor_Mov!$E$5:$E$445,Mayor_Mov!$N$5:$N$445,$A33,Mayor_Mov!$B$5:$B$445,"21050201")+SUMIFS(Mayor_Mov!$E$5:$E$445,Mayor_Mov!$N$5:$N$445,$A33,Mayor_Mov!$B$5:$B$445,"21202040")+SUMIFS(Mayor_Mov!$E$5:$E$445,Mayor_Mov!$N$5:$N$445,$A33,Mayor_Mov!$B$5:$B$445,"21202140")</f>
        <v>10000000000</v>
      </c>
      <c r="F33" s="28" t="n">
        <f aca="false">SUMIFS(Mayor_Mov!$F$5:$F$445,Mayor_Mov!$N$5:$N$445,$A33,Mayor_Mov!$B$5:$B$445,"21050100")+SUMIFS(Mayor_Mov!$F$5:$F$445,Mayor_Mov!$N$5:$N$445,$A33,Mayor_Mov!$B$5:$B$445,"21050201")+SUMIFS(Mayor_Mov!$F$5:$F$445,Mayor_Mov!$N$5:$N$445,$A33,Mayor_Mov!$B$5:$B$445,"21202040")+SUMIFS(Mayor_Mov!$F$5:$F$445,Mayor_Mov!$N$5:$N$445,$A33,Mayor_Mov!$B$5:$B$445,"21202140")</f>
        <v>20000000000</v>
      </c>
      <c r="G33" s="28" t="n">
        <f aca="false">D33+E33-F33</f>
        <v>0</v>
      </c>
      <c r="H33" s="22" t="str">
        <f aca="false">IF(COUNTIF(Detalle_62!$C$14:$C$35,A33)&gt;0,"Sí","NO")</f>
        <v>Sí</v>
      </c>
      <c r="I33" s="11" t="s">
        <v>1173</v>
      </c>
    </row>
    <row r="34" customFormat="false" ht="15" hidden="false" customHeight="false" outlineLevel="0" collapsed="false">
      <c r="A34" s="29" t="s">
        <v>133</v>
      </c>
      <c r="B34" s="22" t="s">
        <v>523</v>
      </c>
      <c r="C34" s="22" t="s">
        <v>388</v>
      </c>
      <c r="D34" s="28" t="n">
        <f aca="false">SUMIFS(Detalle_62!$F$14:$F$35,Detalle_62!$C$14:$C$35,A34)</f>
        <v>381845387.419314</v>
      </c>
      <c r="E34" s="28" t="n">
        <f aca="false">SUMIFS(Mayor_Mov!$E$5:$E$445,Mayor_Mov!$N$5:$N$445,$A34,Mayor_Mov!$B$5:$B$445,"21050100")+SUMIFS(Mayor_Mov!$E$5:$E$445,Mayor_Mov!$N$5:$N$445,$A34,Mayor_Mov!$B$5:$B$445,"21050201")+SUMIFS(Mayor_Mov!$E$5:$E$445,Mayor_Mov!$N$5:$N$445,$A34,Mayor_Mov!$B$5:$B$445,"21202040")+SUMIFS(Mayor_Mov!$E$5:$E$445,Mayor_Mov!$N$5:$N$445,$A34,Mayor_Mov!$B$5:$B$445,"21202140")</f>
        <v>63658993.88</v>
      </c>
      <c r="F34" s="28" t="n">
        <f aca="false">SUMIFS(Mayor_Mov!$F$5:$F$445,Mayor_Mov!$N$5:$N$445,$A34,Mayor_Mov!$B$5:$B$445,"21050100")+SUMIFS(Mayor_Mov!$F$5:$F$445,Mayor_Mov!$N$5:$N$445,$A34,Mayor_Mov!$B$5:$B$445,"21050201")+SUMIFS(Mayor_Mov!$F$5:$F$445,Mayor_Mov!$N$5:$N$445,$A34,Mayor_Mov!$B$5:$B$445,"21202040")+SUMIFS(Mayor_Mov!$F$5:$F$445,Mayor_Mov!$N$5:$N$445,$A34,Mayor_Mov!$B$5:$B$445,"21202140")</f>
        <v>0</v>
      </c>
      <c r="G34" s="28" t="n">
        <f aca="false">D34+E34-F34</f>
        <v>445504381.299314</v>
      </c>
      <c r="H34" s="22" t="str">
        <f aca="false">IF(COUNTIF(Detalle_62!$C$14:$C$35,A34)&gt;0,"Sí","NO")</f>
        <v>Sí</v>
      </c>
      <c r="I34" s="11"/>
    </row>
    <row r="35" customFormat="false" ht="15" hidden="false" customHeight="false" outlineLevel="0" collapsed="false">
      <c r="A35" s="29" t="s">
        <v>134</v>
      </c>
      <c r="B35" s="22" t="s">
        <v>523</v>
      </c>
      <c r="C35" s="22" t="s">
        <v>388</v>
      </c>
      <c r="D35" s="28" t="n">
        <f aca="false">SUMIFS(Detalle_62!$F$14:$F$35,Detalle_62!$C$14:$C$35,A35)</f>
        <v>381845387.419314</v>
      </c>
      <c r="E35" s="28" t="n">
        <f aca="false">SUMIFS(Mayor_Mov!$E$5:$E$445,Mayor_Mov!$N$5:$N$445,$A35,Mayor_Mov!$B$5:$B$445,"21050100")+SUMIFS(Mayor_Mov!$E$5:$E$445,Mayor_Mov!$N$5:$N$445,$A35,Mayor_Mov!$B$5:$B$445,"21050201")+SUMIFS(Mayor_Mov!$E$5:$E$445,Mayor_Mov!$N$5:$N$445,$A35,Mayor_Mov!$B$5:$B$445,"21202040")+SUMIFS(Mayor_Mov!$E$5:$E$445,Mayor_Mov!$N$5:$N$445,$A35,Mayor_Mov!$B$5:$B$445,"21202140")</f>
        <v>63658993.86</v>
      </c>
      <c r="F35" s="28" t="n">
        <f aca="false">SUMIFS(Mayor_Mov!$F$5:$F$445,Mayor_Mov!$N$5:$N$445,$A35,Mayor_Mov!$B$5:$B$445,"21050100")+SUMIFS(Mayor_Mov!$F$5:$F$445,Mayor_Mov!$N$5:$N$445,$A35,Mayor_Mov!$B$5:$B$445,"21050201")+SUMIFS(Mayor_Mov!$F$5:$F$445,Mayor_Mov!$N$5:$N$445,$A35,Mayor_Mov!$B$5:$B$445,"21202040")+SUMIFS(Mayor_Mov!$F$5:$F$445,Mayor_Mov!$N$5:$N$445,$A35,Mayor_Mov!$B$5:$B$445,"21202140")</f>
        <v>0</v>
      </c>
      <c r="G35" s="28" t="n">
        <f aca="false">D35+E35-F35</f>
        <v>445504381.279314</v>
      </c>
      <c r="H35" s="22" t="str">
        <f aca="false">IF(COUNTIF(Detalle_62!$C$14:$C$35,A35)&gt;0,"Sí","NO")</f>
        <v>Sí</v>
      </c>
      <c r="I35" s="11"/>
    </row>
    <row r="36" customFormat="false" ht="15" hidden="false" customHeight="false" outlineLevel="0" collapsed="false">
      <c r="A36" s="29" t="s">
        <v>135</v>
      </c>
      <c r="B36" s="22" t="s">
        <v>523</v>
      </c>
      <c r="C36" s="22" t="s">
        <v>388</v>
      </c>
      <c r="D36" s="28" t="n">
        <f aca="false">SUMIFS(Detalle_62!$F$14:$F$35,Detalle_62!$C$14:$C$35,A36)</f>
        <v>196720178.445431</v>
      </c>
      <c r="E36" s="28" t="n">
        <f aca="false">SUMIFS(Mayor_Mov!$E$5:$E$445,Mayor_Mov!$N$5:$N$445,$A36,Mayor_Mov!$B$5:$B$445,"21050100")+SUMIFS(Mayor_Mov!$E$5:$E$445,Mayor_Mov!$N$5:$N$445,$A36,Mayor_Mov!$B$5:$B$445,"21050201")+SUMIFS(Mayor_Mov!$E$5:$E$445,Mayor_Mov!$N$5:$N$445,$A36,Mayor_Mov!$B$5:$B$445,"21202040")+SUMIFS(Mayor_Mov!$E$5:$E$445,Mayor_Mov!$N$5:$N$445,$A36,Mayor_Mov!$B$5:$B$445,"21202140")</f>
        <v>78102953.86</v>
      </c>
      <c r="F36" s="28" t="n">
        <f aca="false">SUMIFS(Mayor_Mov!$F$5:$F$445,Mayor_Mov!$N$5:$N$445,$A36,Mayor_Mov!$B$5:$B$445,"21050100")+SUMIFS(Mayor_Mov!$F$5:$F$445,Mayor_Mov!$N$5:$N$445,$A36,Mayor_Mov!$B$5:$B$445,"21050201")+SUMIFS(Mayor_Mov!$F$5:$F$445,Mayor_Mov!$N$5:$N$445,$A36,Mayor_Mov!$B$5:$B$445,"21202040")+SUMIFS(Mayor_Mov!$F$5:$F$445,Mayor_Mov!$N$5:$N$445,$A36,Mayor_Mov!$B$5:$B$445,"21202140")</f>
        <v>0</v>
      </c>
      <c r="G36" s="28" t="n">
        <f aca="false">D36+E36-F36</f>
        <v>274823132.305431</v>
      </c>
      <c r="H36" s="22" t="str">
        <f aca="false">IF(COUNTIF(Detalle_62!$C$14:$C$35,A36)&gt;0,"Sí","NO")</f>
        <v>Sí</v>
      </c>
      <c r="I36" s="11"/>
    </row>
    <row r="37" customFormat="false" ht="15" hidden="false" customHeight="false" outlineLevel="0" collapsed="false">
      <c r="A37" s="29" t="s">
        <v>136</v>
      </c>
      <c r="B37" s="22" t="s">
        <v>523</v>
      </c>
      <c r="C37" s="22" t="s">
        <v>388</v>
      </c>
      <c r="D37" s="28" t="n">
        <f aca="false">SUMIFS(Detalle_62!$F$14:$F$35,Detalle_62!$C$14:$C$35,A37)</f>
        <v>196720178.445431</v>
      </c>
      <c r="E37" s="28" t="n">
        <f aca="false">SUMIFS(Mayor_Mov!$E$5:$E$445,Mayor_Mov!$N$5:$N$445,$A37,Mayor_Mov!$B$5:$B$445,"21050100")+SUMIFS(Mayor_Mov!$E$5:$E$445,Mayor_Mov!$N$5:$N$445,$A37,Mayor_Mov!$B$5:$B$445,"21050201")+SUMIFS(Mayor_Mov!$E$5:$E$445,Mayor_Mov!$N$5:$N$445,$A37,Mayor_Mov!$B$5:$B$445,"21202040")+SUMIFS(Mayor_Mov!$E$5:$E$445,Mayor_Mov!$N$5:$N$445,$A37,Mayor_Mov!$B$5:$B$445,"21202140")</f>
        <v>78102953.86</v>
      </c>
      <c r="F37" s="28" t="n">
        <f aca="false">SUMIFS(Mayor_Mov!$F$5:$F$445,Mayor_Mov!$N$5:$N$445,$A37,Mayor_Mov!$B$5:$B$445,"21050100")+SUMIFS(Mayor_Mov!$F$5:$F$445,Mayor_Mov!$N$5:$N$445,$A37,Mayor_Mov!$B$5:$B$445,"21050201")+SUMIFS(Mayor_Mov!$F$5:$F$445,Mayor_Mov!$N$5:$N$445,$A37,Mayor_Mov!$B$5:$B$445,"21202040")+SUMIFS(Mayor_Mov!$F$5:$F$445,Mayor_Mov!$N$5:$N$445,$A37,Mayor_Mov!$B$5:$B$445,"21202140")</f>
        <v>0</v>
      </c>
      <c r="G37" s="28" t="n">
        <f aca="false">D37+E37-F37</f>
        <v>274823132.305431</v>
      </c>
      <c r="H37" s="22" t="str">
        <f aca="false">IF(COUNTIF(Detalle_62!$C$14:$C$35,A37)&gt;0,"Sí","NO")</f>
        <v>Sí</v>
      </c>
      <c r="I37" s="11"/>
    </row>
    <row r="38" customFormat="false" ht="15" hidden="false" customHeight="false" outlineLevel="0" collapsed="false">
      <c r="A38" s="29" t="s">
        <v>137</v>
      </c>
      <c r="B38" s="22" t="s">
        <v>523</v>
      </c>
      <c r="C38" s="22" t="s">
        <v>388</v>
      </c>
      <c r="D38" s="28" t="n">
        <f aca="false">SUMIFS(Detalle_62!$F$14:$F$35,Detalle_62!$C$14:$C$35,A38)</f>
        <v>382649239.487494</v>
      </c>
      <c r="E38" s="28" t="n">
        <f aca="false">SUMIFS(Mayor_Mov!$E$5:$E$445,Mayor_Mov!$N$5:$N$445,$A38,Mayor_Mov!$B$5:$B$445,"21050100")+SUMIFS(Mayor_Mov!$E$5:$E$445,Mayor_Mov!$N$5:$N$445,$A38,Mayor_Mov!$B$5:$B$445,"21050201")+SUMIFS(Mayor_Mov!$E$5:$E$445,Mayor_Mov!$N$5:$N$445,$A38,Mayor_Mov!$B$5:$B$445,"21202040")+SUMIFS(Mayor_Mov!$E$5:$E$445,Mayor_Mov!$N$5:$N$445,$A38,Mayor_Mov!$B$5:$B$445,"21202140")</f>
        <v>63672349.73</v>
      </c>
      <c r="F38" s="28" t="n">
        <f aca="false">SUMIFS(Mayor_Mov!$F$5:$F$445,Mayor_Mov!$N$5:$N$445,$A38,Mayor_Mov!$B$5:$B$445,"21050100")+SUMIFS(Mayor_Mov!$F$5:$F$445,Mayor_Mov!$N$5:$N$445,$A38,Mayor_Mov!$B$5:$B$445,"21050201")+SUMIFS(Mayor_Mov!$F$5:$F$445,Mayor_Mov!$N$5:$N$445,$A38,Mayor_Mov!$B$5:$B$445,"21202040")+SUMIFS(Mayor_Mov!$F$5:$F$445,Mayor_Mov!$N$5:$N$445,$A38,Mayor_Mov!$B$5:$B$445,"21202140")</f>
        <v>0</v>
      </c>
      <c r="G38" s="28" t="n">
        <f aca="false">D38+E38-F38</f>
        <v>446321589.217494</v>
      </c>
      <c r="H38" s="22" t="str">
        <f aca="false">IF(COUNTIF(Detalle_62!$C$14:$C$35,A38)&gt;0,"Sí","NO")</f>
        <v>Sí</v>
      </c>
      <c r="I38" s="11"/>
    </row>
    <row r="39" customFormat="false" ht="15" hidden="false" customHeight="false" outlineLevel="0" collapsed="false">
      <c r="A39" s="29" t="s">
        <v>138</v>
      </c>
      <c r="B39" s="22" t="s">
        <v>523</v>
      </c>
      <c r="C39" s="22" t="s">
        <v>388</v>
      </c>
      <c r="D39" s="28" t="n">
        <f aca="false">SUMIFS(Detalle_62!$F$14:$F$35,Detalle_62!$C$14:$C$35,A39)</f>
        <v>968620472.418459</v>
      </c>
      <c r="E39" s="28" t="n">
        <f aca="false">SUMIFS(Mayor_Mov!$E$5:$E$445,Mayor_Mov!$N$5:$N$445,$A39,Mayor_Mov!$B$5:$B$445,"21050100")+SUMIFS(Mayor_Mov!$E$5:$E$445,Mayor_Mov!$N$5:$N$445,$A39,Mayor_Mov!$B$5:$B$445,"21050201")+SUMIFS(Mayor_Mov!$E$5:$E$445,Mayor_Mov!$N$5:$N$445,$A39,Mayor_Mov!$B$5:$B$445,"21202040")+SUMIFS(Mayor_Mov!$E$5:$E$445,Mayor_Mov!$N$5:$N$445,$A39,Mayor_Mov!$B$5:$B$445,"21202140")</f>
        <v>186592222.82</v>
      </c>
      <c r="F39" s="28" t="n">
        <f aca="false">SUMIFS(Mayor_Mov!$F$5:$F$445,Mayor_Mov!$N$5:$N$445,$A39,Mayor_Mov!$B$5:$B$445,"21050100")+SUMIFS(Mayor_Mov!$F$5:$F$445,Mayor_Mov!$N$5:$N$445,$A39,Mayor_Mov!$B$5:$B$445,"21050201")+SUMIFS(Mayor_Mov!$F$5:$F$445,Mayor_Mov!$N$5:$N$445,$A39,Mayor_Mov!$B$5:$B$445,"21202040")+SUMIFS(Mayor_Mov!$F$5:$F$445,Mayor_Mov!$N$5:$N$445,$A39,Mayor_Mov!$B$5:$B$445,"21202140")</f>
        <v>0</v>
      </c>
      <c r="G39" s="28" t="n">
        <f aca="false">D39+E39-F39</f>
        <v>1155212695.23846</v>
      </c>
      <c r="H39" s="22" t="str">
        <f aca="false">IF(COUNTIF(Detalle_62!$C$14:$C$35,A39)&gt;0,"Sí","NO")</f>
        <v>Sí</v>
      </c>
      <c r="I39" s="11"/>
    </row>
    <row r="40" customFormat="false" ht="15" hidden="false" customHeight="false" outlineLevel="0" collapsed="false">
      <c r="A40" s="29" t="s">
        <v>140</v>
      </c>
      <c r="B40" s="22" t="s">
        <v>382</v>
      </c>
      <c r="C40" s="22" t="s">
        <v>170</v>
      </c>
      <c r="D40" s="28" t="n">
        <f aca="false">SUMIFS(Detalle_62!$F$14:$F$35,Detalle_62!$C$14:$C$35,A40)</f>
        <v>287500000</v>
      </c>
      <c r="E40" s="28" t="n">
        <f aca="false">SUMIFS(Mayor_Mov!$E$5:$E$445,Mayor_Mov!$N$5:$N$445,$A40,Mayor_Mov!$B$5:$B$445,"21050100")+SUMIFS(Mayor_Mov!$E$5:$E$445,Mayor_Mov!$N$5:$N$445,$A40,Mayor_Mov!$B$5:$B$445,"21050201")+SUMIFS(Mayor_Mov!$E$5:$E$445,Mayor_Mov!$N$5:$N$445,$A40,Mayor_Mov!$B$5:$B$445,"21202040")+SUMIFS(Mayor_Mov!$E$5:$E$445,Mayor_Mov!$N$5:$N$445,$A40,Mayor_Mov!$B$5:$B$445,"21202140")</f>
        <v>287500000</v>
      </c>
      <c r="F40" s="28" t="n">
        <f aca="false">SUMIFS(Mayor_Mov!$F$5:$F$445,Mayor_Mov!$N$5:$N$445,$A40,Mayor_Mov!$B$5:$B$445,"21050100")+SUMIFS(Mayor_Mov!$F$5:$F$445,Mayor_Mov!$N$5:$N$445,$A40,Mayor_Mov!$B$5:$B$445,"21050201")+SUMIFS(Mayor_Mov!$F$5:$F$445,Mayor_Mov!$N$5:$N$445,$A40,Mayor_Mov!$B$5:$B$445,"21202040")+SUMIFS(Mayor_Mov!$F$5:$F$445,Mayor_Mov!$N$5:$N$445,$A40,Mayor_Mov!$B$5:$B$445,"21202140")</f>
        <v>0</v>
      </c>
      <c r="G40" s="28" t="n">
        <f aca="false">D40+E40-F40</f>
        <v>575000000</v>
      </c>
      <c r="H40" s="22" t="str">
        <f aca="false">IF(COUNTIF(Detalle_62!$C$14:$C$35,A40)&gt;0,"Sí","NO")</f>
        <v>Sí</v>
      </c>
      <c r="I40" s="11"/>
    </row>
    <row r="41" customFormat="false" ht="20.85" hidden="false" customHeight="false" outlineLevel="0" collapsed="false">
      <c r="A41" s="29" t="s">
        <v>142</v>
      </c>
      <c r="B41" s="22" t="s">
        <v>384</v>
      </c>
      <c r="C41" s="22" t="s">
        <v>170</v>
      </c>
      <c r="D41" s="28" t="n">
        <f aca="false">SUMIFS(Detalle_62!$F$14:$F$35,Detalle_62!$C$14:$C$35,A41)</f>
        <v>4700000000</v>
      </c>
      <c r="E41" s="28" t="n">
        <f aca="false">SUMIFS(Mayor_Mov!$E$5:$E$445,Mayor_Mov!$N$5:$N$445,$A41,Mayor_Mov!$B$5:$B$445,"21050100")+SUMIFS(Mayor_Mov!$E$5:$E$445,Mayor_Mov!$N$5:$N$445,$A41,Mayor_Mov!$B$5:$B$445,"21050201")+SUMIFS(Mayor_Mov!$E$5:$E$445,Mayor_Mov!$N$5:$N$445,$A41,Mayor_Mov!$B$5:$B$445,"21202040")+SUMIFS(Mayor_Mov!$E$5:$E$445,Mayor_Mov!$N$5:$N$445,$A41,Mayor_Mov!$B$5:$B$445,"21202140")</f>
        <v>4700000000</v>
      </c>
      <c r="F41" s="28" t="n">
        <f aca="false">SUMIFS(Mayor_Mov!$F$5:$F$445,Mayor_Mov!$N$5:$N$445,$A41,Mayor_Mov!$B$5:$B$445,"21050100")+SUMIFS(Mayor_Mov!$F$5:$F$445,Mayor_Mov!$N$5:$N$445,$A41,Mayor_Mov!$B$5:$B$445,"21050201")+SUMIFS(Mayor_Mov!$F$5:$F$445,Mayor_Mov!$N$5:$N$445,$A41,Mayor_Mov!$B$5:$B$445,"21202040")+SUMIFS(Mayor_Mov!$F$5:$F$445,Mayor_Mov!$N$5:$N$445,$A41,Mayor_Mov!$B$5:$B$445,"21202140")</f>
        <v>4700000000</v>
      </c>
      <c r="G41" s="28" t="n">
        <f aca="false">D41+E41-F41</f>
        <v>4700000000</v>
      </c>
      <c r="H41" s="22" t="str">
        <f aca="false">IF(COUNTIF(Detalle_62!$C$14:$C$35,A41)&gt;0,"Sí","NO")</f>
        <v>Sí</v>
      </c>
      <c r="I41" s="11" t="s">
        <v>1174</v>
      </c>
    </row>
    <row r="42" customFormat="false" ht="15" hidden="false" customHeight="false" outlineLevel="0" collapsed="false">
      <c r="A42" s="29" t="s">
        <v>144</v>
      </c>
      <c r="B42" s="22" t="s">
        <v>386</v>
      </c>
      <c r="C42" s="22" t="s">
        <v>170</v>
      </c>
      <c r="D42" s="28" t="n">
        <f aca="false">SUMIFS(Detalle_62!$F$14:$F$35,Detalle_62!$C$14:$C$35,A42)</f>
        <v>3333333333.33333</v>
      </c>
      <c r="E42" s="28" t="n">
        <f aca="false">SUMIFS(Mayor_Mov!$E$5:$E$445,Mayor_Mov!$N$5:$N$445,$A42,Mayor_Mov!$B$5:$B$445,"21050100")+SUMIFS(Mayor_Mov!$E$5:$E$445,Mayor_Mov!$N$5:$N$445,$A42,Mayor_Mov!$B$5:$B$445,"21050201")+SUMIFS(Mayor_Mov!$E$5:$E$445,Mayor_Mov!$N$5:$N$445,$A42,Mayor_Mov!$B$5:$B$445,"21202040")+SUMIFS(Mayor_Mov!$E$5:$E$445,Mayor_Mov!$N$5:$N$445,$A42,Mayor_Mov!$B$5:$B$445,"21202140")</f>
        <v>1666666666</v>
      </c>
      <c r="F42" s="28" t="n">
        <f aca="false">SUMIFS(Mayor_Mov!$F$5:$F$445,Mayor_Mov!$N$5:$N$445,$A42,Mayor_Mov!$B$5:$B$445,"21050100")+SUMIFS(Mayor_Mov!$F$5:$F$445,Mayor_Mov!$N$5:$N$445,$A42,Mayor_Mov!$B$5:$B$445,"21050201")+SUMIFS(Mayor_Mov!$F$5:$F$445,Mayor_Mov!$N$5:$N$445,$A42,Mayor_Mov!$B$5:$B$445,"21202040")+SUMIFS(Mayor_Mov!$F$5:$F$445,Mayor_Mov!$N$5:$N$445,$A42,Mayor_Mov!$B$5:$B$445,"21202140")</f>
        <v>0</v>
      </c>
      <c r="G42" s="28" t="n">
        <f aca="false">D42+E42-F42</f>
        <v>4999999999.33333</v>
      </c>
      <c r="H42" s="22" t="str">
        <f aca="false">IF(COUNTIF(Detalle_62!$C$14:$C$35,A42)&gt;0,"Sí","NO")</f>
        <v>Sí</v>
      </c>
      <c r="I42" s="11" t="s">
        <v>1175</v>
      </c>
    </row>
    <row r="43" customFormat="false" ht="15" hidden="false" customHeight="false" outlineLevel="0" collapsed="false">
      <c r="A43" s="29" t="s">
        <v>145</v>
      </c>
      <c r="B43" s="22" t="s">
        <v>386</v>
      </c>
      <c r="C43" s="22" t="s">
        <v>388</v>
      </c>
      <c r="D43" s="28" t="n">
        <f aca="false">SUMIFS(Detalle_62!$F$14:$F$35,Detalle_62!$C$14:$C$35,A43)</f>
        <v>497241599</v>
      </c>
      <c r="E43" s="28" t="n">
        <f aca="false">SUMIFS(Mayor_Mov!$E$5:$E$445,Mayor_Mov!$N$5:$N$445,$A43,Mayor_Mov!$B$5:$B$445,"21050100")+SUMIFS(Mayor_Mov!$E$5:$E$445,Mayor_Mov!$N$5:$N$445,$A43,Mayor_Mov!$B$5:$B$445,"21050201")+SUMIFS(Mayor_Mov!$E$5:$E$445,Mayor_Mov!$N$5:$N$445,$A43,Mayor_Mov!$B$5:$B$445,"21202040")+SUMIFS(Mayor_Mov!$E$5:$E$445,Mayor_Mov!$N$5:$N$445,$A43,Mayor_Mov!$B$5:$B$445,"21202140")</f>
        <v>47053001</v>
      </c>
      <c r="F43" s="28" t="n">
        <f aca="false">SUMIFS(Mayor_Mov!$F$5:$F$445,Mayor_Mov!$N$5:$N$445,$A43,Mayor_Mov!$B$5:$B$445,"21050100")+SUMIFS(Mayor_Mov!$F$5:$F$445,Mayor_Mov!$N$5:$N$445,$A43,Mayor_Mov!$B$5:$B$445,"21050201")+SUMIFS(Mayor_Mov!$F$5:$F$445,Mayor_Mov!$N$5:$N$445,$A43,Mayor_Mov!$B$5:$B$445,"21202040")+SUMIFS(Mayor_Mov!$F$5:$F$445,Mayor_Mov!$N$5:$N$445,$A43,Mayor_Mov!$B$5:$B$445,"21202140")</f>
        <v>0</v>
      </c>
      <c r="G43" s="28" t="n">
        <f aca="false">D43+E43-F43</f>
        <v>544294600</v>
      </c>
      <c r="H43" s="22" t="str">
        <f aca="false">IF(COUNTIF(Detalle_62!$C$14:$C$35,A43)&gt;0,"Sí","NO")</f>
        <v>Sí</v>
      </c>
      <c r="I43" s="11"/>
    </row>
    <row r="44" customFormat="false" ht="15" hidden="false" customHeight="false" outlineLevel="0" collapsed="false">
      <c r="A44" s="29" t="s">
        <v>146</v>
      </c>
      <c r="B44" s="22" t="s">
        <v>386</v>
      </c>
      <c r="C44" s="22" t="s">
        <v>388</v>
      </c>
      <c r="D44" s="28" t="n">
        <f aca="false">SUMIFS(Detalle_62!$F$14:$F$35,Detalle_62!$C$14:$C$35,A44)</f>
        <v>770085425.158301</v>
      </c>
      <c r="E44" s="28" t="n">
        <f aca="false">SUMIFS(Mayor_Mov!$E$5:$E$445,Mayor_Mov!$N$5:$N$445,$A44,Mayor_Mov!$B$5:$B$445,"21050100")+SUMIFS(Mayor_Mov!$E$5:$E$445,Mayor_Mov!$N$5:$N$445,$A44,Mayor_Mov!$B$5:$B$445,"21050201")+SUMIFS(Mayor_Mov!$E$5:$E$445,Mayor_Mov!$N$5:$N$445,$A44,Mayor_Mov!$B$5:$B$445,"21202040")+SUMIFS(Mayor_Mov!$E$5:$E$445,Mayor_Mov!$N$5:$N$445,$A44,Mayor_Mov!$B$5:$B$445,"21202140")</f>
        <v>61870158</v>
      </c>
      <c r="F44" s="28" t="n">
        <f aca="false">SUMIFS(Mayor_Mov!$F$5:$F$445,Mayor_Mov!$N$5:$N$445,$A44,Mayor_Mov!$B$5:$B$445,"21050100")+SUMIFS(Mayor_Mov!$F$5:$F$445,Mayor_Mov!$N$5:$N$445,$A44,Mayor_Mov!$B$5:$B$445,"21050201")+SUMIFS(Mayor_Mov!$F$5:$F$445,Mayor_Mov!$N$5:$N$445,$A44,Mayor_Mov!$B$5:$B$445,"21202040")+SUMIFS(Mayor_Mov!$F$5:$F$445,Mayor_Mov!$N$5:$N$445,$A44,Mayor_Mov!$B$5:$B$445,"21202140")</f>
        <v>0</v>
      </c>
      <c r="G44" s="28" t="n">
        <f aca="false">D44+E44-F44</f>
        <v>831955583.158301</v>
      </c>
      <c r="H44" s="22" t="str">
        <f aca="false">IF(COUNTIF(Detalle_62!$C$14:$C$35,A44)&gt;0,"Sí","NO")</f>
        <v>Sí</v>
      </c>
      <c r="I44" s="11"/>
    </row>
    <row r="45" customFormat="false" ht="15" hidden="false" customHeight="false" outlineLevel="0" collapsed="false">
      <c r="A45" s="29" t="s">
        <v>147</v>
      </c>
      <c r="B45" s="22" t="s">
        <v>386</v>
      </c>
      <c r="C45" s="22" t="s">
        <v>388</v>
      </c>
      <c r="D45" s="28" t="n">
        <f aca="false">SUMIFS(Detalle_62!$F$14:$F$35,Detalle_62!$C$14:$C$35,A45)</f>
        <v>503693510</v>
      </c>
      <c r="E45" s="28" t="n">
        <f aca="false">SUMIFS(Mayor_Mov!$E$5:$E$445,Mayor_Mov!$N$5:$N$445,$A45,Mayor_Mov!$B$5:$B$445,"21050100")+SUMIFS(Mayor_Mov!$E$5:$E$445,Mayor_Mov!$N$5:$N$445,$A45,Mayor_Mov!$B$5:$B$445,"21050201")+SUMIFS(Mayor_Mov!$E$5:$E$445,Mayor_Mov!$N$5:$N$445,$A45,Mayor_Mov!$B$5:$B$445,"21202040")+SUMIFS(Mayor_Mov!$E$5:$E$445,Mayor_Mov!$N$5:$N$445,$A45,Mayor_Mov!$B$5:$B$445,"21202140")</f>
        <v>117272673</v>
      </c>
      <c r="F45" s="28" t="n">
        <f aca="false">SUMIFS(Mayor_Mov!$F$5:$F$445,Mayor_Mov!$N$5:$N$445,$A45,Mayor_Mov!$B$5:$B$445,"21050100")+SUMIFS(Mayor_Mov!$F$5:$F$445,Mayor_Mov!$N$5:$N$445,$A45,Mayor_Mov!$B$5:$B$445,"21050201")+SUMIFS(Mayor_Mov!$F$5:$F$445,Mayor_Mov!$N$5:$N$445,$A45,Mayor_Mov!$B$5:$B$445,"21202040")+SUMIFS(Mayor_Mov!$F$5:$F$445,Mayor_Mov!$N$5:$N$445,$A45,Mayor_Mov!$B$5:$B$445,"21202140")</f>
        <v>0</v>
      </c>
      <c r="G45" s="28" t="n">
        <f aca="false">D45+E45-F45</f>
        <v>620966183</v>
      </c>
      <c r="H45" s="22" t="str">
        <f aca="false">IF(COUNTIF(Detalle_62!$C$14:$C$35,A45)&gt;0,"Sí","NO")</f>
        <v>Sí</v>
      </c>
      <c r="I45" s="11"/>
    </row>
    <row r="46" customFormat="false" ht="20.85" hidden="false" customHeight="false" outlineLevel="0" collapsed="false">
      <c r="A46" s="29" t="s">
        <v>119</v>
      </c>
      <c r="B46" s="22" t="s">
        <v>512</v>
      </c>
      <c r="C46" s="22" t="s">
        <v>170</v>
      </c>
      <c r="D46" s="28" t="n">
        <f aca="false">SUMIFS(Detalle_62!$F$14:$F$35,Detalle_62!$C$14:$C$35,A46)</f>
        <v>0</v>
      </c>
      <c r="E46" s="28" t="n">
        <f aca="false">SUMIFS(Mayor_Mov!$E$5:$E$445,Mayor_Mov!$N$5:$N$445,$A46,Mayor_Mov!$B$5:$B$445,"21050100")+SUMIFS(Mayor_Mov!$E$5:$E$445,Mayor_Mov!$N$5:$N$445,$A46,Mayor_Mov!$B$5:$B$445,"21050201")+SUMIFS(Mayor_Mov!$E$5:$E$445,Mayor_Mov!$N$5:$N$445,$A46,Mayor_Mov!$B$5:$B$445,"21202040")+SUMIFS(Mayor_Mov!$E$5:$E$445,Mayor_Mov!$N$5:$N$445,$A46,Mayor_Mov!$B$5:$B$445,"21202140")</f>
        <v>10000000000</v>
      </c>
      <c r="F46" s="28" t="n">
        <f aca="false">SUMIFS(Mayor_Mov!$F$5:$F$445,Mayor_Mov!$N$5:$N$445,$A46,Mayor_Mov!$B$5:$B$445,"21050100")+SUMIFS(Mayor_Mov!$F$5:$F$445,Mayor_Mov!$N$5:$N$445,$A46,Mayor_Mov!$B$5:$B$445,"21050201")+SUMIFS(Mayor_Mov!$F$5:$F$445,Mayor_Mov!$N$5:$N$445,$A46,Mayor_Mov!$B$5:$B$445,"21202040")+SUMIFS(Mayor_Mov!$F$5:$F$445,Mayor_Mov!$N$5:$N$445,$A46,Mayor_Mov!$B$5:$B$445,"21202140")</f>
        <v>0</v>
      </c>
      <c r="G46" s="28" t="n">
        <f aca="false">D46+E46-F46</f>
        <v>10000000000</v>
      </c>
      <c r="H46" s="22" t="str">
        <f aca="false">IF(COUNTIF(Detalle_62!$C$14:$C$35,A46)&gt;0,"Sí","NO")</f>
        <v>NO</v>
      </c>
      <c r="I46" s="11" t="s">
        <v>1176</v>
      </c>
    </row>
    <row r="47" customFormat="false" ht="15" hidden="false" customHeight="false" outlineLevel="0" collapsed="false">
      <c r="A47" s="29" t="s">
        <v>148</v>
      </c>
      <c r="B47" s="22" t="s">
        <v>386</v>
      </c>
      <c r="C47" s="22" t="s">
        <v>388</v>
      </c>
      <c r="D47" s="28" t="n">
        <f aca="false">SUMIFS(Detalle_62!$F$14:$F$35,Detalle_62!$C$14:$C$35,A47)</f>
        <v>0</v>
      </c>
      <c r="E47" s="28" t="n">
        <f aca="false">SUMIFS(Mayor_Mov!$E$5:$E$445,Mayor_Mov!$N$5:$N$445,$A47,Mayor_Mov!$B$5:$B$445,"21050100")+SUMIFS(Mayor_Mov!$E$5:$E$445,Mayor_Mov!$N$5:$N$445,$A47,Mayor_Mov!$B$5:$B$445,"21050201")+SUMIFS(Mayor_Mov!$E$5:$E$445,Mayor_Mov!$N$5:$N$445,$A47,Mayor_Mov!$B$5:$B$445,"21202040")+SUMIFS(Mayor_Mov!$E$5:$E$445,Mayor_Mov!$N$5:$N$445,$A47,Mayor_Mov!$B$5:$B$445,"21202140")</f>
        <v>0</v>
      </c>
      <c r="F47" s="28" t="n">
        <f aca="false">SUMIFS(Mayor_Mov!$F$5:$F$445,Mayor_Mov!$N$5:$N$445,$A47,Mayor_Mov!$B$5:$B$445,"21050100")+SUMIFS(Mayor_Mov!$F$5:$F$445,Mayor_Mov!$N$5:$N$445,$A47,Mayor_Mov!$B$5:$B$445,"21050201")+SUMIFS(Mayor_Mov!$F$5:$F$445,Mayor_Mov!$N$5:$N$445,$A47,Mayor_Mov!$B$5:$B$445,"21202040")+SUMIFS(Mayor_Mov!$F$5:$F$445,Mayor_Mov!$N$5:$N$445,$A47,Mayor_Mov!$B$5:$B$445,"21202140")</f>
        <v>675837500</v>
      </c>
      <c r="G47" s="28" t="n">
        <f aca="false">D47+E47-F47</f>
        <v>-675837500</v>
      </c>
      <c r="H47" s="22" t="str">
        <f aca="false">IF(COUNTIF(Detalle_62!$C$14:$C$35,A47)&gt;0,"Sí","NO")</f>
        <v>NO</v>
      </c>
      <c r="I47" s="11" t="s">
        <v>1177</v>
      </c>
    </row>
    <row r="48" customFormat="false" ht="20.85" hidden="false" customHeight="false" outlineLevel="0" collapsed="false">
      <c r="A48" s="29" t="s">
        <v>126</v>
      </c>
      <c r="B48" s="22" t="s">
        <v>512</v>
      </c>
      <c r="C48" s="22" t="s">
        <v>388</v>
      </c>
      <c r="D48" s="28" t="n">
        <f aca="false">SUMIFS(Detalle_62!$F$14:$F$35,Detalle_62!$C$14:$C$35,A48)</f>
        <v>0</v>
      </c>
      <c r="E48" s="28" t="n">
        <f aca="false">SUMIFS(Mayor_Mov!$E$5:$E$445,Mayor_Mov!$N$5:$N$445,$A48,Mayor_Mov!$B$5:$B$445,"21050100")+SUMIFS(Mayor_Mov!$E$5:$E$445,Mayor_Mov!$N$5:$N$445,$A48,Mayor_Mov!$B$5:$B$445,"21050201")+SUMIFS(Mayor_Mov!$E$5:$E$445,Mayor_Mov!$N$5:$N$445,$A48,Mayor_Mov!$B$5:$B$445,"21202040")+SUMIFS(Mayor_Mov!$E$5:$E$445,Mayor_Mov!$N$5:$N$445,$A48,Mayor_Mov!$B$5:$B$445,"21202140")</f>
        <v>0</v>
      </c>
      <c r="F48" s="28" t="n">
        <f aca="false">SUMIFS(Mayor_Mov!$F$5:$F$445,Mayor_Mov!$N$5:$N$445,$A48,Mayor_Mov!$B$5:$B$445,"21050100")+SUMIFS(Mayor_Mov!$F$5:$F$445,Mayor_Mov!$N$5:$N$445,$A48,Mayor_Mov!$B$5:$B$445,"21050201")+SUMIFS(Mayor_Mov!$F$5:$F$445,Mayor_Mov!$N$5:$N$445,$A48,Mayor_Mov!$B$5:$B$445,"21202040")+SUMIFS(Mayor_Mov!$F$5:$F$445,Mayor_Mov!$N$5:$N$445,$A48,Mayor_Mov!$B$5:$B$445,"21202140")</f>
        <v>0</v>
      </c>
      <c r="G48" s="28" t="n">
        <f aca="false">D48+E48-F48</f>
        <v>0</v>
      </c>
      <c r="H48" s="22" t="str">
        <f aca="false">IF(COUNTIF(Detalle_62!$C$14:$C$35,A48)&gt;0,"Sí","NO")</f>
        <v>NO</v>
      </c>
      <c r="I48" s="11" t="s">
        <v>1178</v>
      </c>
    </row>
    <row r="49" customFormat="false" ht="20.85" hidden="false" customHeight="false" outlineLevel="0" collapsed="false">
      <c r="A49" s="29" t="s">
        <v>150</v>
      </c>
      <c r="B49" s="22" t="s">
        <v>100</v>
      </c>
      <c r="C49" s="22" t="s">
        <v>388</v>
      </c>
      <c r="D49" s="28" t="n">
        <f aca="false">SUMIFS(Detalle_62!$F$14:$F$35,Detalle_62!$C$14:$C$35,A49)</f>
        <v>0</v>
      </c>
      <c r="E49" s="28" t="n">
        <f aca="false">SUMIFS(Mayor_Mov!$E$5:$E$445,Mayor_Mov!$N$5:$N$445,$A49,Mayor_Mov!$B$5:$B$445,"21050100")+SUMIFS(Mayor_Mov!$E$5:$E$445,Mayor_Mov!$N$5:$N$445,$A49,Mayor_Mov!$B$5:$B$445,"21050201")+SUMIFS(Mayor_Mov!$E$5:$E$445,Mayor_Mov!$N$5:$N$445,$A49,Mayor_Mov!$B$5:$B$445,"21202040")+SUMIFS(Mayor_Mov!$E$5:$E$445,Mayor_Mov!$N$5:$N$445,$A49,Mayor_Mov!$B$5:$B$445,"21202140")</f>
        <v>35428634</v>
      </c>
      <c r="F49" s="28" t="n">
        <f aca="false">SUMIFS(Mayor_Mov!$F$5:$F$445,Mayor_Mov!$N$5:$N$445,$A49,Mayor_Mov!$B$5:$B$445,"21050100")+SUMIFS(Mayor_Mov!$F$5:$F$445,Mayor_Mov!$N$5:$N$445,$A49,Mayor_Mov!$B$5:$B$445,"21050201")+SUMIFS(Mayor_Mov!$F$5:$F$445,Mayor_Mov!$N$5:$N$445,$A49,Mayor_Mov!$B$5:$B$445,"21202040")+SUMIFS(Mayor_Mov!$F$5:$F$445,Mayor_Mov!$N$5:$N$445,$A49,Mayor_Mov!$B$5:$B$445,"21202140")</f>
        <v>35428634</v>
      </c>
      <c r="G49" s="28" t="n">
        <f aca="false">D49+E49-F49</f>
        <v>0</v>
      </c>
      <c r="H49" s="22" t="str">
        <f aca="false">IF(COUNTIF(Detalle_62!$C$14:$C$35,A49)&gt;0,"Sí","NO")</f>
        <v>NO</v>
      </c>
      <c r="I49" s="11" t="s">
        <v>1179</v>
      </c>
    </row>
    <row r="50" customFormat="false" ht="15" hidden="false" customHeight="false" outlineLevel="0" collapsed="false">
      <c r="A50" s="29" t="s">
        <v>151</v>
      </c>
      <c r="B50" s="22" t="s">
        <v>100</v>
      </c>
      <c r="C50" s="22" t="s">
        <v>388</v>
      </c>
      <c r="D50" s="28" t="n">
        <f aca="false">SUMIFS(Detalle_62!$F$14:$F$35,Detalle_62!$C$14:$C$35,A50)</f>
        <v>0</v>
      </c>
      <c r="E50" s="28" t="n">
        <f aca="false">SUMIFS(Mayor_Mov!$E$5:$E$445,Mayor_Mov!$N$5:$N$445,$A50,Mayor_Mov!$B$5:$B$445,"21050100")+SUMIFS(Mayor_Mov!$E$5:$E$445,Mayor_Mov!$N$5:$N$445,$A50,Mayor_Mov!$B$5:$B$445,"21050201")+SUMIFS(Mayor_Mov!$E$5:$E$445,Mayor_Mov!$N$5:$N$445,$A50,Mayor_Mov!$B$5:$B$445,"21202040")+SUMIFS(Mayor_Mov!$E$5:$E$445,Mayor_Mov!$N$5:$N$445,$A50,Mayor_Mov!$B$5:$B$445,"21202140")</f>
        <v>8261283</v>
      </c>
      <c r="F50" s="28" t="n">
        <f aca="false">SUMIFS(Mayor_Mov!$F$5:$F$445,Mayor_Mov!$N$5:$N$445,$A50,Mayor_Mov!$B$5:$B$445,"21050100")+SUMIFS(Mayor_Mov!$F$5:$F$445,Mayor_Mov!$N$5:$N$445,$A50,Mayor_Mov!$B$5:$B$445,"21050201")+SUMIFS(Mayor_Mov!$F$5:$F$445,Mayor_Mov!$N$5:$N$445,$A50,Mayor_Mov!$B$5:$B$445,"21202040")+SUMIFS(Mayor_Mov!$F$5:$F$445,Mayor_Mov!$N$5:$N$445,$A50,Mayor_Mov!$B$5:$B$445,"21202140")</f>
        <v>8261283</v>
      </c>
      <c r="G50" s="28" t="n">
        <f aca="false">D50+E50-F50</f>
        <v>0</v>
      </c>
      <c r="H50" s="22" t="str">
        <f aca="false">IF(COUNTIF(Detalle_62!$C$14:$C$35,A50)&gt;0,"Sí","NO")</f>
        <v>NO</v>
      </c>
      <c r="I50" s="11" t="s">
        <v>1180</v>
      </c>
    </row>
    <row r="51" customFormat="false" ht="15" hidden="false" customHeight="false" outlineLevel="0" collapsed="false">
      <c r="A51" s="36" t="s">
        <v>1181</v>
      </c>
      <c r="D51" s="52" t="n">
        <f aca="false">SUMIFS(D24:D50,$C$24:$C$50,"Crédito")</f>
        <v>38300666665.3333</v>
      </c>
      <c r="E51" s="52" t="n">
        <f aca="false">SUMIFS(E24:E50,$C$24:$C$50,"Crédito")</f>
        <v>27706000000</v>
      </c>
      <c r="F51" s="52" t="n">
        <f aca="false">SUMIFS(F24:F50,$C$24:$C$50,"Crédito")</f>
        <v>24700000000</v>
      </c>
      <c r="G51" s="52" t="n">
        <f aca="false">SUMIFS(G24:G50,$C$24:$C$50,"Crédito")</f>
        <v>41306666665.3333</v>
      </c>
    </row>
    <row r="52" customFormat="false" ht="15" hidden="false" customHeight="false" outlineLevel="0" collapsed="false">
      <c r="A52" s="22" t="s">
        <v>1182</v>
      </c>
      <c r="E52" s="28" t="n">
        <f aca="false">Balance_21!$D$16+Balance_21!$D$18</f>
        <v>27706000000</v>
      </c>
      <c r="F52" s="28" t="n">
        <f aca="false">Balance_21!$E$16+Balance_21!$E$18</f>
        <v>24700000000</v>
      </c>
      <c r="G52" s="28" t="n">
        <f aca="false">-(Balance_21!$C$16+Balance_21!$C$18)</f>
        <v>41306666666</v>
      </c>
    </row>
    <row r="53" customFormat="false" ht="15" hidden="false" customHeight="false" outlineLevel="0" collapsed="false">
      <c r="A53" s="22" t="s">
        <v>1183</v>
      </c>
      <c r="E53" s="28" t="n">
        <f aca="false">E51-E52</f>
        <v>0</v>
      </c>
      <c r="F53" s="28" t="n">
        <f aca="false">F51-F52</f>
        <v>0</v>
      </c>
      <c r="G53" s="25" t="n">
        <f aca="false">G51-G52</f>
        <v>-0.666664123535156</v>
      </c>
    </row>
    <row r="55" customFormat="false" ht="15" hidden="false" customHeight="false" outlineLevel="0" collapsed="false">
      <c r="A55" s="36" t="s">
        <v>1184</v>
      </c>
      <c r="D55" s="52" t="n">
        <f aca="false">SUMIFS(D24:D50,$C$24:$C$50,"Leasing")</f>
        <v>6885245451.62914</v>
      </c>
      <c r="E55" s="52" t="n">
        <f aca="false">SUMIFS(E24:E50,$C$24:$C$50,"Leasing")</f>
        <v>946510532.01</v>
      </c>
      <c r="F55" s="52" t="n">
        <f aca="false">SUMIFS(F24:F50,$C$24:$C$50,"Leasing")</f>
        <v>719527417</v>
      </c>
      <c r="G55" s="52" t="n">
        <f aca="false">SUMIFS(G24:G50,$C$24:$C$50,"Leasing")</f>
        <v>7112228566.63914</v>
      </c>
    </row>
    <row r="56" customFormat="false" ht="15" hidden="false" customHeight="false" outlineLevel="0" collapsed="false">
      <c r="A56" s="22" t="s">
        <v>1185</v>
      </c>
      <c r="E56" s="28" t="n">
        <f aca="false">Balance_21!$D$22+Balance_21!$D$24</f>
        <v>946510532.01</v>
      </c>
      <c r="F56" s="28" t="n">
        <f aca="false">Balance_21!$E$22+Balance_21!$E$24</f>
        <v>719527417</v>
      </c>
      <c r="G56" s="28" t="n">
        <f aca="false">-(Balance_21!$C$22+Balance_21!$C$24)</f>
        <v>8130494743.34</v>
      </c>
    </row>
    <row r="57" customFormat="false" ht="15" hidden="false" customHeight="false" outlineLevel="0" collapsed="false">
      <c r="A57" s="22" t="s">
        <v>1186</v>
      </c>
      <c r="E57" s="28" t="n">
        <f aca="false">E55-E56</f>
        <v>0</v>
      </c>
      <c r="F57" s="28" t="n">
        <f aca="false">F55-F56</f>
        <v>0</v>
      </c>
      <c r="G57" s="25" t="n">
        <f aca="false">G55-G56</f>
        <v>-1018266176.70086</v>
      </c>
    </row>
  </sheetData>
  <mergeCells count="6">
    <mergeCell ref="A14:E14"/>
    <mergeCell ref="A15:E15"/>
    <mergeCell ref="A16:E16"/>
    <mergeCell ref="A17:E17"/>
    <mergeCell ref="A18:E18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5"/>
    <col collapsed="false" customWidth="true" hidden="false" outlineLevel="0" max="7" min="3" style="0" width="16"/>
    <col collapsed="false" customWidth="true" hidden="false" outlineLevel="0" max="8" min="8" style="0" width="9"/>
    <col collapsed="false" customWidth="true" hidden="false" outlineLevel="0" max="10" min="9" style="0" width="17"/>
    <col collapsed="false" customWidth="true" hidden="false" outlineLevel="0" max="11" min="11" style="0" width="16"/>
    <col collapsed="false" customWidth="true" hidden="false" outlineLevel="0" max="12" min="12" style="0" width="17"/>
    <col collapsed="false" customWidth="true" hidden="false" outlineLevel="0" max="13" min="13" style="0" width="16"/>
    <col collapsed="false" customWidth="true" hidden="false" outlineLevel="0" max="14" min="14" style="0" width="45"/>
  </cols>
  <sheetData>
    <row r="1" customFormat="false" ht="15" hidden="false" customHeight="false" outlineLevel="0" collapsed="false">
      <c r="A1" s="19" t="s">
        <v>1187</v>
      </c>
    </row>
    <row r="2" customFormat="false" ht="15" hidden="false" customHeight="false" outlineLevel="0" collapsed="false">
      <c r="A2" s="20" t="s">
        <v>1188</v>
      </c>
    </row>
    <row r="4" customFormat="false" ht="48" hidden="false" customHeight="true" outlineLevel="0" collapsed="false">
      <c r="A4" s="27" t="s">
        <v>314</v>
      </c>
      <c r="B4" s="27" t="s">
        <v>162</v>
      </c>
      <c r="C4" s="27" t="s">
        <v>1189</v>
      </c>
      <c r="D4" s="27" t="s">
        <v>1190</v>
      </c>
      <c r="E4" s="27" t="s">
        <v>1191</v>
      </c>
      <c r="F4" s="27" t="s">
        <v>1192</v>
      </c>
      <c r="G4" s="27" t="s">
        <v>1193</v>
      </c>
      <c r="H4" s="27" t="s">
        <v>1194</v>
      </c>
      <c r="I4" s="27" t="s">
        <v>1195</v>
      </c>
      <c r="J4" s="27" t="s">
        <v>1196</v>
      </c>
      <c r="K4" s="27" t="s">
        <v>652</v>
      </c>
      <c r="L4" s="27" t="s">
        <v>1197</v>
      </c>
      <c r="M4" s="27" t="s">
        <v>1198</v>
      </c>
      <c r="N4" s="27" t="s">
        <v>290</v>
      </c>
    </row>
    <row r="5" customFormat="false" ht="15" hidden="false" customHeight="false" outlineLevel="0" collapsed="false">
      <c r="A5" s="29" t="s">
        <v>119</v>
      </c>
      <c r="B5" s="22" t="s">
        <v>512</v>
      </c>
      <c r="C5" s="28" t="n">
        <f aca="false">SUMIFS(Mayor_Dic25!$G$5:$G$200,Mayor_Dic25!$J$5:$J$200,A5,Mayor_Dic25!$C$5:$C$200,"2130*")</f>
        <v>409183333</v>
      </c>
      <c r="D5" s="28" t="n">
        <f aca="false">SUMIFS(Mayor_Mov!$F$5:$F$445,Mayor_Mov!$N$5:$N$445,A5,Mayor_Mov!$B$5:$B$445,"2130*")</f>
        <v>66026667</v>
      </c>
      <c r="E5" s="28" t="n">
        <f aca="false">SUMIFS(Mayor_Mov!$E$5:$E$445,Mayor_Mov!$N$5:$N$445,A5,Mayor_Mov!$B$5:$B$445,"2130*")</f>
        <v>475210000</v>
      </c>
      <c r="F5" s="28" t="n">
        <f aca="false">C5+D5-E5</f>
        <v>0</v>
      </c>
      <c r="G5" s="28" t="n">
        <f aca="false">SUMIFS(Int_Glosas!$E$5:$E$39,Int_Glosas!$A$5:$A$39,A5)</f>
        <v>0</v>
      </c>
      <c r="H5" s="28" t="n">
        <f aca="false">COUNTIFS(Int_Glosas!$A$5:$A$39,A5,Int_Glosas!$F$5:$F$39,"Sin dato")</f>
        <v>0</v>
      </c>
      <c r="I5" s="28" t="n">
        <f aca="false">D5+G5</f>
        <v>66026667</v>
      </c>
      <c r="J5" s="28" t="str">
        <f aca="false">IFERROR(INDEX(Tablas_Amortizacion!$S$8:$S$44,MATCH(A5,Tablas_Amortizacion!$A$8:$A$44,0)),"Sin tabla")</f>
        <v>Sin tabla</v>
      </c>
      <c r="K5" s="28" t="str">
        <f aca="false">IF(ISNUMBER(J5),I5-J5,"N/A")</f>
        <v>N/A</v>
      </c>
      <c r="L5" s="28" t="n">
        <f aca="false">SUMIFS(Pruebas_Auditoria!$I$213:$I$235,Pruebas_Auditoria!$A$213:$A$235,A5)</f>
        <v>0</v>
      </c>
      <c r="M5" s="53" t="n">
        <f aca="false">L5-F5</f>
        <v>0</v>
      </c>
      <c r="N5" s="11" t="s">
        <v>1199</v>
      </c>
    </row>
    <row r="6" customFormat="false" ht="15" hidden="false" customHeight="false" outlineLevel="0" collapsed="false">
      <c r="A6" s="29" t="s">
        <v>120</v>
      </c>
      <c r="B6" s="22" t="s">
        <v>512</v>
      </c>
      <c r="C6" s="28" t="n">
        <f aca="false">SUMIFS(Mayor_Dic25!$G$5:$G$200,Mayor_Dic25!$J$5:$J$200,A6,Mayor_Dic25!$C$5:$C$200,"2130*")</f>
        <v>156505000</v>
      </c>
      <c r="D6" s="28" t="n">
        <f aca="false">SUMIFS(Mayor_Mov!$F$5:$F$445,Mayor_Mov!$N$5:$N$445,A6,Mayor_Mov!$B$5:$B$445,"2130*")</f>
        <v>234581000</v>
      </c>
      <c r="E6" s="28" t="n">
        <f aca="false">SUMIFS(Mayor_Mov!$E$5:$E$445,Mayor_Mov!$N$5:$N$445,A6,Mayor_Mov!$B$5:$B$445,"2130*")</f>
        <v>391086000</v>
      </c>
      <c r="F6" s="28" t="n">
        <f aca="false">C6+D6-E6</f>
        <v>0</v>
      </c>
      <c r="G6" s="28" t="n">
        <f aca="false">SUMIFS(Int_Glosas!$E$5:$E$39,Int_Glosas!$A$5:$A$39,A6)</f>
        <v>0</v>
      </c>
      <c r="H6" s="28" t="n">
        <f aca="false">COUNTIFS(Int_Glosas!$A$5:$A$39,A6,Int_Glosas!$F$5:$F$39,"Sin dato")</f>
        <v>0</v>
      </c>
      <c r="I6" s="28" t="n">
        <f aca="false">D6+G6</f>
        <v>234581000</v>
      </c>
      <c r="J6" s="28" t="n">
        <f aca="false">IFERROR(INDEX(Tablas_Amortizacion!$S$8:$S$44,MATCH(A6,Tablas_Amortizacion!$A$8:$A$44,0)),"Sin tabla")</f>
        <v>262697500</v>
      </c>
      <c r="K6" s="28" t="n">
        <f aca="false">IF(ISNUMBER(J6),I6-J6,"N/A")</f>
        <v>-28116500</v>
      </c>
      <c r="L6" s="28" t="n">
        <f aca="false">SUMIFS(Pruebas_Auditoria!$I$213:$I$235,Pruebas_Auditoria!$A$213:$A$235,A6)</f>
        <v>3666117.76672668</v>
      </c>
      <c r="M6" s="53" t="n">
        <f aca="false">L6-F6</f>
        <v>3666117.76672668</v>
      </c>
      <c r="N6" s="11"/>
    </row>
    <row r="7" customFormat="false" ht="15" hidden="false" customHeight="false" outlineLevel="0" collapsed="false">
      <c r="A7" s="29" t="s">
        <v>121</v>
      </c>
      <c r="B7" s="22" t="s">
        <v>512</v>
      </c>
      <c r="C7" s="28" t="n">
        <f aca="false">SUMIFS(Mayor_Dic25!$G$5:$G$200,Mayor_Dic25!$J$5:$J$200,A7,Mayor_Dic25!$C$5:$C$200,"2130*")</f>
        <v>231356250</v>
      </c>
      <c r="D7" s="28" t="n">
        <f aca="false">SUMIFS(Mayor_Mov!$F$5:$F$445,Mayor_Mov!$N$5:$N$445,A7,Mayor_Mov!$B$5:$B$445,"2130*")</f>
        <v>586251750</v>
      </c>
      <c r="E7" s="28" t="n">
        <f aca="false">SUMIFS(Mayor_Mov!$E$5:$E$445,Mayor_Mov!$N$5:$N$445,A7,Mayor_Mov!$B$5:$B$445,"2130*")</f>
        <v>445208000</v>
      </c>
      <c r="F7" s="28" t="n">
        <f aca="false">C7+D7-E7</f>
        <v>372400000</v>
      </c>
      <c r="G7" s="28" t="n">
        <f aca="false">SUMIFS(Int_Glosas!$E$5:$E$39,Int_Glosas!$A$5:$A$39,A7)</f>
        <v>0</v>
      </c>
      <c r="H7" s="28" t="n">
        <f aca="false">COUNTIFS(Int_Glosas!$A$5:$A$39,A7,Int_Glosas!$F$5:$F$39,"Sin dato")</f>
        <v>0</v>
      </c>
      <c r="I7" s="28" t="n">
        <f aca="false">D7+G7</f>
        <v>586251750</v>
      </c>
      <c r="J7" s="28" t="n">
        <f aca="false">IFERROR(INDEX(Tablas_Amortizacion!$S$8:$S$44,MATCH(A7,Tablas_Amortizacion!$A$8:$A$44,0)),"Sin tabla")</f>
        <v>639243750</v>
      </c>
      <c r="K7" s="28" t="n">
        <f aca="false">IF(ISNUMBER(J7),I7-J7,"N/A")</f>
        <v>-52992000</v>
      </c>
      <c r="L7" s="28" t="n">
        <f aca="false">SUMIFS(Pruebas_Auditoria!$I$213:$I$235,Pruebas_Auditoria!$A$213:$A$235,A7)</f>
        <v>401458173.071409</v>
      </c>
      <c r="M7" s="53" t="n">
        <f aca="false">L7-F7</f>
        <v>29058173.0714088</v>
      </c>
      <c r="N7" s="11"/>
    </row>
    <row r="8" customFormat="false" ht="15" hidden="false" customHeight="false" outlineLevel="0" collapsed="false">
      <c r="A8" s="29" t="s">
        <v>122</v>
      </c>
      <c r="B8" s="22" t="s">
        <v>512</v>
      </c>
      <c r="C8" s="28" t="n">
        <f aca="false">SUMIFS(Mayor_Dic25!$G$5:$G$200,Mayor_Dic25!$J$5:$J$200,A8,Mayor_Dic25!$C$5:$C$200,"2130*")</f>
        <v>206586600</v>
      </c>
      <c r="D8" s="28" t="n">
        <f aca="false">SUMIFS(Mayor_Mov!$F$5:$F$445,Mayor_Mov!$N$5:$N$445,A8,Mayor_Mov!$B$5:$B$445,"2130*")</f>
        <v>309646400</v>
      </c>
      <c r="E8" s="28" t="n">
        <f aca="false">SUMIFS(Mayor_Mov!$E$5:$E$445,Mayor_Mov!$N$5:$N$445,A8,Mayor_Mov!$B$5:$B$445,"2130*")</f>
        <v>516233000</v>
      </c>
      <c r="F8" s="28" t="n">
        <f aca="false">C8+D8-E8</f>
        <v>0</v>
      </c>
      <c r="G8" s="28" t="n">
        <f aca="false">SUMIFS(Int_Glosas!$E$5:$E$39,Int_Glosas!$A$5:$A$39,A8)</f>
        <v>0</v>
      </c>
      <c r="H8" s="28" t="n">
        <f aca="false">COUNTIFS(Int_Glosas!$A$5:$A$39,A8,Int_Glosas!$F$5:$F$39,"Sin dato")</f>
        <v>0</v>
      </c>
      <c r="I8" s="28" t="n">
        <f aca="false">D8+G8</f>
        <v>309646400</v>
      </c>
      <c r="J8" s="28" t="n">
        <f aca="false">IFERROR(INDEX(Tablas_Amortizacion!$S$8:$S$44,MATCH(A8,Tablas_Amortizacion!$A$8:$A$44,0)),"Sin tabla")</f>
        <v>346760700</v>
      </c>
      <c r="K8" s="28" t="n">
        <f aca="false">IF(ISNUMBER(J8),I8-J8,"N/A")</f>
        <v>-37114300</v>
      </c>
      <c r="L8" s="28" t="n">
        <f aca="false">SUMIFS(Pruebas_Auditoria!$I$213:$I$235,Pruebas_Auditoria!$A$213:$A$235,A8)</f>
        <v>4839280.59774044</v>
      </c>
      <c r="M8" s="53" t="n">
        <f aca="false">L8-F8</f>
        <v>4839280.59774044</v>
      </c>
      <c r="N8" s="11"/>
    </row>
    <row r="9" customFormat="false" ht="15" hidden="false" customHeight="false" outlineLevel="0" collapsed="false">
      <c r="A9" s="29" t="s">
        <v>123</v>
      </c>
      <c r="B9" s="22" t="s">
        <v>512</v>
      </c>
      <c r="C9" s="28" t="n">
        <f aca="false">SUMIFS(Mayor_Dic25!$G$5:$G$200,Mayor_Dic25!$J$5:$J$200,A9,Mayor_Dic25!$C$5:$C$200,"2130*")</f>
        <v>0</v>
      </c>
      <c r="D9" s="28" t="n">
        <f aca="false">SUMIFS(Mayor_Mov!$F$5:$F$445,Mayor_Mov!$N$5:$N$445,A9,Mayor_Mov!$B$5:$B$445,"2130*")</f>
        <v>0</v>
      </c>
      <c r="E9" s="28" t="n">
        <f aca="false">SUMIFS(Mayor_Mov!$E$5:$E$445,Mayor_Mov!$N$5:$N$445,A9,Mayor_Mov!$B$5:$B$445,"2130*")</f>
        <v>0</v>
      </c>
      <c r="F9" s="28" t="n">
        <f aca="false">C9+D9-E9</f>
        <v>0</v>
      </c>
      <c r="G9" s="28" t="n">
        <f aca="false">SUMIFS(Int_Glosas!$E$5:$E$39,Int_Glosas!$A$5:$A$39,A9)</f>
        <v>31222019</v>
      </c>
      <c r="H9" s="28" t="n">
        <f aca="false">COUNTIFS(Int_Glosas!$A$5:$A$39,A9,Int_Glosas!$F$5:$F$39,"Sin dato")</f>
        <v>1</v>
      </c>
      <c r="I9" s="28" t="n">
        <f aca="false">D9+G9</f>
        <v>31222019</v>
      </c>
      <c r="J9" s="28" t="n">
        <f aca="false">IFERROR(INDEX(Tablas_Amortizacion!$S$8:$S$44,MATCH(A9,Tablas_Amortizacion!$A$8:$A$44,0)),"Sin tabla")</f>
        <v>41709581.6713573</v>
      </c>
      <c r="K9" s="28" t="n">
        <f aca="false">IF(ISNUMBER(J9),I9-J9,"N/A")</f>
        <v>-10487562.6713573</v>
      </c>
      <c r="L9" s="28" t="n">
        <f aca="false">SUMIFS(Pruebas_Auditoria!$I$213:$I$235,Pruebas_Auditoria!$A$213:$A$235,A9)</f>
        <v>2939106.2775128</v>
      </c>
      <c r="M9" s="53" t="n">
        <f aca="false">L9-F9</f>
        <v>2939106.2775128</v>
      </c>
      <c r="N9" s="11"/>
    </row>
    <row r="10" customFormat="false" ht="15" hidden="false" customHeight="false" outlineLevel="0" collapsed="false">
      <c r="A10" s="29" t="s">
        <v>124</v>
      </c>
      <c r="B10" s="22" t="s">
        <v>512</v>
      </c>
      <c r="C10" s="28" t="n">
        <f aca="false">SUMIFS(Mayor_Dic25!$G$5:$G$200,Mayor_Dic25!$J$5:$J$200,A10,Mayor_Dic25!$C$5:$C$200,"2130*")</f>
        <v>0</v>
      </c>
      <c r="D10" s="28" t="n">
        <f aca="false">SUMIFS(Mayor_Mov!$F$5:$F$445,Mayor_Mov!$N$5:$N$445,A10,Mayor_Mov!$B$5:$B$445,"2130*")</f>
        <v>0</v>
      </c>
      <c r="E10" s="28" t="n">
        <f aca="false">SUMIFS(Mayor_Mov!$E$5:$E$445,Mayor_Mov!$N$5:$N$445,A10,Mayor_Mov!$B$5:$B$445,"2130*")</f>
        <v>0</v>
      </c>
      <c r="F10" s="28" t="n">
        <f aca="false">C10+D10-E10</f>
        <v>0</v>
      </c>
      <c r="G10" s="28" t="n">
        <f aca="false">SUMIFS(Int_Glosas!$E$5:$E$39,Int_Glosas!$A$5:$A$39,A10)</f>
        <v>25643813</v>
      </c>
      <c r="H10" s="28" t="n">
        <f aca="false">COUNTIFS(Int_Glosas!$A$5:$A$39,A10,Int_Glosas!$F$5:$F$39,"Sin dato")</f>
        <v>1</v>
      </c>
      <c r="I10" s="28" t="n">
        <f aca="false">D10+G10</f>
        <v>25643813</v>
      </c>
      <c r="J10" s="28" t="n">
        <f aca="false">IFERROR(INDEX(Tablas_Amortizacion!$S$8:$S$44,MATCH(A10,Tablas_Amortizacion!$A$8:$A$44,0)),"Sin tabla")</f>
        <v>31864025.6207989</v>
      </c>
      <c r="K10" s="28" t="n">
        <f aca="false">IF(ISNUMBER(J10),I10-J10,"N/A")</f>
        <v>-6220212.62079893</v>
      </c>
      <c r="L10" s="28" t="n">
        <f aca="false">SUMIFS(Pruebas_Auditoria!$I$213:$I$235,Pruebas_Auditoria!$A$213:$A$235,A10)</f>
        <v>3388544.07316055</v>
      </c>
      <c r="M10" s="53" t="n">
        <f aca="false">L10-F10</f>
        <v>3388544.07316055</v>
      </c>
      <c r="N10" s="11"/>
    </row>
    <row r="11" customFormat="false" ht="15" hidden="false" customHeight="false" outlineLevel="0" collapsed="false">
      <c r="A11" s="29" t="s">
        <v>125</v>
      </c>
      <c r="B11" s="22" t="s">
        <v>512</v>
      </c>
      <c r="C11" s="28" t="n">
        <f aca="false">SUMIFS(Mayor_Dic25!$G$5:$G$200,Mayor_Dic25!$J$5:$J$200,A11,Mayor_Dic25!$C$5:$C$200,"2130*")</f>
        <v>34295624</v>
      </c>
      <c r="D11" s="28" t="n">
        <f aca="false">SUMIFS(Mayor_Mov!$F$5:$F$445,Mayor_Mov!$N$5:$N$445,A11,Mayor_Mov!$B$5:$B$445,"2130*")</f>
        <v>138538864</v>
      </c>
      <c r="E11" s="28" t="n">
        <f aca="false">SUMIFS(Mayor_Mov!$E$5:$E$445,Mayor_Mov!$N$5:$N$445,A11,Mayor_Mov!$B$5:$B$445,"2130*")</f>
        <v>172834488</v>
      </c>
      <c r="F11" s="28" t="n">
        <f aca="false">C11+D11-E11</f>
        <v>0</v>
      </c>
      <c r="G11" s="28" t="n">
        <f aca="false">SUMIFS(Int_Glosas!$E$5:$E$39,Int_Glosas!$A$5:$A$39,A11)</f>
        <v>0</v>
      </c>
      <c r="H11" s="28" t="n">
        <f aca="false">COUNTIFS(Int_Glosas!$A$5:$A$39,A11,Int_Glosas!$F$5:$F$39,"Sin dato")</f>
        <v>0</v>
      </c>
      <c r="I11" s="28" t="n">
        <f aca="false">D11+G11</f>
        <v>138538864</v>
      </c>
      <c r="J11" s="28" t="n">
        <f aca="false">IFERROR(INDEX(Tablas_Amortizacion!$S$8:$S$44,MATCH(A11,Tablas_Amortizacion!$A$8:$A$44,0)),"Sin tabla")</f>
        <v>154428550.826659</v>
      </c>
      <c r="K11" s="28" t="n">
        <f aca="false">IF(ISNUMBER(J11),I11-J11,"N/A")</f>
        <v>-15889686.8266591</v>
      </c>
      <c r="L11" s="28" t="n">
        <f aca="false">SUMIFS(Pruebas_Auditoria!$I$213:$I$235,Pruebas_Auditoria!$A$213:$A$235,A11)</f>
        <v>5545405.40210023</v>
      </c>
      <c r="M11" s="53" t="n">
        <f aca="false">L11-F11</f>
        <v>5545405.40210023</v>
      </c>
      <c r="N11" s="11"/>
    </row>
    <row r="12" customFormat="false" ht="15" hidden="false" customHeight="false" outlineLevel="0" collapsed="false">
      <c r="A12" s="29" t="s">
        <v>126</v>
      </c>
      <c r="B12" s="22" t="s">
        <v>512</v>
      </c>
      <c r="C12" s="28" t="n">
        <f aca="false">SUMIFS(Mayor_Dic25!$G$5:$G$200,Mayor_Dic25!$J$5:$J$200,A12,Mayor_Dic25!$C$5:$C$200,"2130*")</f>
        <v>0</v>
      </c>
      <c r="D12" s="28" t="n">
        <f aca="false">SUMIFS(Mayor_Mov!$F$5:$F$445,Mayor_Mov!$N$5:$N$445,A12,Mayor_Mov!$B$5:$B$445,"2130*")</f>
        <v>0</v>
      </c>
      <c r="E12" s="28" t="n">
        <f aca="false">SUMIFS(Mayor_Mov!$E$5:$E$445,Mayor_Mov!$N$5:$N$445,A12,Mayor_Mov!$B$5:$B$445,"2130*")</f>
        <v>0</v>
      </c>
      <c r="F12" s="28" t="n">
        <f aca="false">C12+D12-E12</f>
        <v>0</v>
      </c>
      <c r="G12" s="28" t="n">
        <f aca="false">SUMIFS(Int_Glosas!$E$5:$E$39,Int_Glosas!$A$5:$A$39,A12)</f>
        <v>0</v>
      </c>
      <c r="H12" s="28" t="n">
        <f aca="false">COUNTIFS(Int_Glosas!$A$5:$A$39,A12,Int_Glosas!$F$5:$F$39,"Sin dato")</f>
        <v>0</v>
      </c>
      <c r="I12" s="28" t="n">
        <f aca="false">D12+G12</f>
        <v>0</v>
      </c>
      <c r="J12" s="28" t="str">
        <f aca="false">IFERROR(INDEX(Tablas_Amortizacion!$S$8:$S$44,MATCH(A12,Tablas_Amortizacion!$A$8:$A$44,0)),"Sin tabla")</f>
        <v>Sin tabla</v>
      </c>
      <c r="K12" s="28" t="str">
        <f aca="false">IF(ISNUMBER(J12),I12-J12,"N/A")</f>
        <v>N/A</v>
      </c>
      <c r="L12" s="28" t="n">
        <f aca="false">SUMIFS(Pruebas_Auditoria!$I$213:$I$235,Pruebas_Auditoria!$A$213:$A$235,A12)</f>
        <v>0</v>
      </c>
      <c r="M12" s="53" t="n">
        <f aca="false">L12-F12</f>
        <v>0</v>
      </c>
      <c r="N12" s="11" t="s">
        <v>1200</v>
      </c>
    </row>
    <row r="13" customFormat="false" ht="15" hidden="false" customHeight="false" outlineLevel="0" collapsed="false">
      <c r="A13" s="29" t="s">
        <v>129</v>
      </c>
      <c r="B13" s="22" t="s">
        <v>523</v>
      </c>
      <c r="C13" s="28" t="n">
        <f aca="false">SUMIFS(Mayor_Dic25!$G$5:$G$200,Mayor_Dic25!$J$5:$J$200,A13,Mayor_Dic25!$C$5:$C$200,"2130*")</f>
        <v>0</v>
      </c>
      <c r="D13" s="28" t="n">
        <f aca="false">SUMIFS(Mayor_Mov!$F$5:$F$445,Mayor_Mov!$N$5:$N$445,A13,Mayor_Mov!$B$5:$B$445,"2130*")</f>
        <v>0</v>
      </c>
      <c r="E13" s="28" t="n">
        <f aca="false">SUMIFS(Mayor_Mov!$E$5:$E$445,Mayor_Mov!$N$5:$N$445,A13,Mayor_Mov!$B$5:$B$445,"2130*")</f>
        <v>0</v>
      </c>
      <c r="F13" s="28" t="n">
        <f aca="false">C13+D13-E13</f>
        <v>0</v>
      </c>
      <c r="G13" s="28" t="n">
        <f aca="false">SUMIFS(Int_Glosas!$E$5:$E$39,Int_Glosas!$A$5:$A$39,A13)</f>
        <v>232297663.36</v>
      </c>
      <c r="H13" s="28" t="n">
        <f aca="false">COUNTIFS(Int_Glosas!$A$5:$A$39,A13,Int_Glosas!$F$5:$F$39,"Sin dato")</f>
        <v>1</v>
      </c>
      <c r="I13" s="28" t="n">
        <f aca="false">D13+G13</f>
        <v>232297663.36</v>
      </c>
      <c r="J13" s="28" t="n">
        <f aca="false">IFERROR(INDEX(Tablas_Amortizacion!$S$8:$S$44,MATCH(A13,Tablas_Amortizacion!$A$8:$A$44,0)),"Sin tabla")</f>
        <v>284219218.75</v>
      </c>
      <c r="K13" s="28" t="n">
        <f aca="false">IF(ISNUMBER(J13),I13-J13,"N/A")</f>
        <v>-51921555.39</v>
      </c>
      <c r="L13" s="28" t="n">
        <f aca="false">SUMIFS(Pruebas_Auditoria!$I$213:$I$235,Pruebas_Auditoria!$A$213:$A$235,A13)</f>
        <v>17704418.3193534</v>
      </c>
      <c r="M13" s="53" t="n">
        <f aca="false">L13-F13</f>
        <v>17704418.3193534</v>
      </c>
      <c r="N13" s="11" t="s">
        <v>1201</v>
      </c>
    </row>
    <row r="14" customFormat="false" ht="15" hidden="false" customHeight="false" outlineLevel="0" collapsed="false">
      <c r="A14" s="29" t="s">
        <v>130</v>
      </c>
      <c r="B14" s="22" t="s">
        <v>523</v>
      </c>
      <c r="C14" s="28" t="n">
        <f aca="false">SUMIFS(Mayor_Dic25!$G$5:$G$200,Mayor_Dic25!$J$5:$J$200,A14,Mayor_Dic25!$C$5:$C$200,"2130*")</f>
        <v>0</v>
      </c>
      <c r="D14" s="28" t="n">
        <f aca="false">SUMIFS(Mayor_Mov!$F$5:$F$445,Mayor_Mov!$N$5:$N$445,A14,Mayor_Mov!$B$5:$B$445,"2130*")</f>
        <v>133305619</v>
      </c>
      <c r="E14" s="28" t="n">
        <f aca="false">SUMIFS(Mayor_Mov!$E$5:$E$445,Mayor_Mov!$N$5:$N$445,A14,Mayor_Mov!$B$5:$B$445,"2130*")</f>
        <v>115480003</v>
      </c>
      <c r="F14" s="28" t="n">
        <f aca="false">C14+D14-E14</f>
        <v>17825616</v>
      </c>
      <c r="G14" s="28" t="n">
        <f aca="false">SUMIFS(Int_Glosas!$E$5:$E$39,Int_Glosas!$A$5:$A$39,A14)</f>
        <v>0</v>
      </c>
      <c r="H14" s="28" t="n">
        <f aca="false">COUNTIFS(Int_Glosas!$A$5:$A$39,A14,Int_Glosas!$F$5:$F$39,"Sin dato")</f>
        <v>0</v>
      </c>
      <c r="I14" s="28" t="n">
        <f aca="false">D14+G14</f>
        <v>133305619</v>
      </c>
      <c r="J14" s="28" t="n">
        <f aca="false">IFERROR(INDEX(Tablas_Amortizacion!$S$8:$S$44,MATCH(A14,Tablas_Amortizacion!$A$8:$A$44,0)),"Sin tabla")</f>
        <v>140132012.200862</v>
      </c>
      <c r="K14" s="28" t="n">
        <f aca="false">IF(ISNUMBER(J14),I14-J14,"N/A")</f>
        <v>-6826393.20086166</v>
      </c>
      <c r="L14" s="28" t="n">
        <f aca="false">SUMIFS(Pruebas_Auditoria!$I$213:$I$235,Pruebas_Auditoria!$A$213:$A$235,A14)</f>
        <v>22721889.9812955</v>
      </c>
      <c r="M14" s="53" t="n">
        <f aca="false">L14-F14</f>
        <v>4896273.98129553</v>
      </c>
      <c r="N14" s="11"/>
    </row>
    <row r="15" customFormat="false" ht="15" hidden="false" customHeight="false" outlineLevel="0" collapsed="false">
      <c r="A15" s="29" t="s">
        <v>131</v>
      </c>
      <c r="B15" s="22" t="s">
        <v>523</v>
      </c>
      <c r="C15" s="28" t="n">
        <f aca="false">SUMIFS(Mayor_Dic25!$G$5:$G$200,Mayor_Dic25!$J$5:$J$200,A15,Mayor_Dic25!$C$5:$C$200,"2130*")</f>
        <v>15408021</v>
      </c>
      <c r="D15" s="28" t="n">
        <f aca="false">SUMIFS(Mayor_Mov!$F$5:$F$445,Mayor_Mov!$N$5:$N$445,A15,Mayor_Mov!$B$5:$B$445,"2130*")</f>
        <v>108941341</v>
      </c>
      <c r="E15" s="28" t="n">
        <f aca="false">SUMIFS(Mayor_Mov!$E$5:$E$445,Mayor_Mov!$N$5:$N$445,A15,Mayor_Mov!$B$5:$B$445,"2130*")</f>
        <v>94261236</v>
      </c>
      <c r="F15" s="28" t="n">
        <f aca="false">C15+D15-E15</f>
        <v>30088126</v>
      </c>
      <c r="G15" s="28" t="n">
        <f aca="false">SUMIFS(Int_Glosas!$E$5:$E$39,Int_Glosas!$A$5:$A$39,A15)</f>
        <v>0</v>
      </c>
      <c r="H15" s="28" t="n">
        <f aca="false">COUNTIFS(Int_Glosas!$A$5:$A$39,A15,Int_Glosas!$F$5:$F$39,"Sin dato")</f>
        <v>0</v>
      </c>
      <c r="I15" s="28" t="n">
        <f aca="false">D15+G15</f>
        <v>108941341</v>
      </c>
      <c r="J15" s="28" t="n">
        <f aca="false">IFERROR(INDEX(Tablas_Amortizacion!$S$8:$S$44,MATCH(A15,Tablas_Amortizacion!$A$8:$A$44,0)),"Sin tabla")</f>
        <v>108575000</v>
      </c>
      <c r="K15" s="28" t="n">
        <f aca="false">IF(ISNUMBER(J15),I15-J15,"N/A")</f>
        <v>366341</v>
      </c>
      <c r="L15" s="28" t="n">
        <f aca="false">SUMIFS(Pruebas_Auditoria!$I$213:$I$235,Pruebas_Auditoria!$A$213:$A$235,A15)</f>
        <v>32711950.3469859</v>
      </c>
      <c r="M15" s="53" t="n">
        <f aca="false">L15-F15</f>
        <v>2623824.34698591</v>
      </c>
      <c r="N15" s="11"/>
    </row>
    <row r="16" customFormat="false" ht="15" hidden="false" customHeight="false" outlineLevel="0" collapsed="false">
      <c r="A16" s="29" t="s">
        <v>132</v>
      </c>
      <c r="B16" s="22" t="s">
        <v>523</v>
      </c>
      <c r="C16" s="28" t="n">
        <f aca="false">SUMIFS(Mayor_Dic25!$G$5:$G$200,Mayor_Dic25!$J$5:$J$200,A16,Mayor_Dic25!$C$5:$C$200,"2130*")</f>
        <v>0</v>
      </c>
      <c r="D16" s="28" t="n">
        <f aca="false">SUMIFS(Mayor_Mov!$F$5:$F$445,Mayor_Mov!$N$5:$N$445,A16,Mayor_Mov!$B$5:$B$445,"2130*")</f>
        <v>554228055</v>
      </c>
      <c r="E16" s="28" t="n">
        <f aca="false">SUMIFS(Mayor_Mov!$E$5:$E$445,Mayor_Mov!$N$5:$N$445,A16,Mayor_Mov!$B$5:$B$445,"2130*")</f>
        <v>554228055</v>
      </c>
      <c r="F16" s="28" t="n">
        <f aca="false">C16+D16-E16</f>
        <v>0</v>
      </c>
      <c r="G16" s="28" t="n">
        <f aca="false">SUMIFS(Int_Glosas!$E$5:$E$39,Int_Glosas!$A$5:$A$39,A16)</f>
        <v>0</v>
      </c>
      <c r="H16" s="28" t="n">
        <f aca="false">COUNTIFS(Int_Glosas!$A$5:$A$39,A16,Int_Glosas!$F$5:$F$39,"Sin dato")</f>
        <v>0</v>
      </c>
      <c r="I16" s="28" t="n">
        <f aca="false">D16+G16</f>
        <v>554228055</v>
      </c>
      <c r="J16" s="28" t="n">
        <f aca="false">IFERROR(INDEX(Tablas_Amortizacion!$S$8:$S$44,MATCH(A16,Tablas_Amortizacion!$A$8:$A$44,0)),"Sin tabla")</f>
        <v>604300000</v>
      </c>
      <c r="K16" s="28" t="n">
        <f aca="false">IF(ISNUMBER(J16),I16-J16,"N/A")</f>
        <v>-50071944.9999999</v>
      </c>
      <c r="L16" s="28" t="n">
        <f aca="false">SUMIFS(Pruebas_Auditoria!$I$213:$I$235,Pruebas_Auditoria!$A$213:$A$235,A16)</f>
        <v>30518760.5171553</v>
      </c>
      <c r="M16" s="53" t="n">
        <f aca="false">L16-F16</f>
        <v>30518760.5171553</v>
      </c>
      <c r="N16" s="11"/>
    </row>
    <row r="17" customFormat="false" ht="15" hidden="false" customHeight="false" outlineLevel="0" collapsed="false">
      <c r="A17" s="29" t="s">
        <v>133</v>
      </c>
      <c r="B17" s="22" t="s">
        <v>523</v>
      </c>
      <c r="C17" s="28" t="n">
        <f aca="false">SUMIFS(Mayor_Dic25!$G$5:$G$200,Mayor_Dic25!$J$5:$J$200,A17,Mayor_Dic25!$C$5:$C$200,"2130*")</f>
        <v>10635890</v>
      </c>
      <c r="D17" s="28" t="n">
        <f aca="false">SUMIFS(Mayor_Mov!$F$5:$F$445,Mayor_Mov!$N$5:$N$445,A17,Mayor_Mov!$B$5:$B$445,"2130*")</f>
        <v>31068671</v>
      </c>
      <c r="E17" s="28" t="n">
        <f aca="false">SUMIFS(Mayor_Mov!$E$5:$E$445,Mayor_Mov!$N$5:$N$445,A17,Mayor_Mov!$B$5:$B$445,"2130*")</f>
        <v>41704561</v>
      </c>
      <c r="F17" s="28" t="n">
        <f aca="false">C17+D17-E17</f>
        <v>0</v>
      </c>
      <c r="G17" s="28" t="n">
        <f aca="false">SUMIFS(Int_Glosas!$E$5:$E$39,Int_Glosas!$A$5:$A$39,A17)</f>
        <v>0</v>
      </c>
      <c r="H17" s="28" t="n">
        <f aca="false">COUNTIFS(Int_Glosas!$A$5:$A$39,A17,Int_Glosas!$F$5:$F$39,"Sin dato")</f>
        <v>0</v>
      </c>
      <c r="I17" s="28" t="n">
        <f aca="false">D17+G17</f>
        <v>31068671</v>
      </c>
      <c r="J17" s="28" t="n">
        <f aca="false">IFERROR(INDEX(Tablas_Amortizacion!$S$8:$S$44,MATCH(A17,Tablas_Amortizacion!$A$8:$A$44,0)),"Sin tabla")</f>
        <v>45776937.4665054</v>
      </c>
      <c r="K17" s="28" t="n">
        <f aca="false">IF(ISNUMBER(J17),I17-J17,"N/A")</f>
        <v>-14708266.4665054</v>
      </c>
      <c r="L17" s="28" t="n">
        <f aca="false">SUMIFS(Pruebas_Auditoria!$I$213:$I$235,Pruebas_Auditoria!$A$213:$A$235,A17)</f>
        <v>1155997.19932213</v>
      </c>
      <c r="M17" s="53" t="n">
        <f aca="false">L17-F17</f>
        <v>1155997.19932213</v>
      </c>
      <c r="N17" s="11"/>
    </row>
    <row r="18" customFormat="false" ht="15" hidden="false" customHeight="false" outlineLevel="0" collapsed="false">
      <c r="A18" s="29" t="s">
        <v>134</v>
      </c>
      <c r="B18" s="22" t="s">
        <v>523</v>
      </c>
      <c r="C18" s="28" t="n">
        <f aca="false">SUMIFS(Mayor_Dic25!$G$5:$G$200,Mayor_Dic25!$J$5:$J$200,A18,Mayor_Dic25!$C$5:$C$200,"2130*")</f>
        <v>10635890</v>
      </c>
      <c r="D18" s="28" t="n">
        <f aca="false">SUMIFS(Mayor_Mov!$F$5:$F$445,Mayor_Mov!$N$5:$N$445,A18,Mayor_Mov!$B$5:$B$445,"2130*")</f>
        <v>31068672</v>
      </c>
      <c r="E18" s="28" t="n">
        <f aca="false">SUMIFS(Mayor_Mov!$E$5:$E$445,Mayor_Mov!$N$5:$N$445,A18,Mayor_Mov!$B$5:$B$445,"2130*")</f>
        <v>41704562</v>
      </c>
      <c r="F18" s="28" t="n">
        <f aca="false">C18+D18-E18</f>
        <v>0</v>
      </c>
      <c r="G18" s="28" t="n">
        <f aca="false">SUMIFS(Int_Glosas!$E$5:$E$39,Int_Glosas!$A$5:$A$39,A18)</f>
        <v>0</v>
      </c>
      <c r="H18" s="28" t="n">
        <f aca="false">COUNTIFS(Int_Glosas!$A$5:$A$39,A18,Int_Glosas!$F$5:$F$39,"Sin dato")</f>
        <v>0</v>
      </c>
      <c r="I18" s="28" t="n">
        <f aca="false">D18+G18</f>
        <v>31068672</v>
      </c>
      <c r="J18" s="28" t="n">
        <f aca="false">IFERROR(INDEX(Tablas_Amortizacion!$S$8:$S$44,MATCH(A18,Tablas_Amortizacion!$A$8:$A$44,0)),"Sin tabla")</f>
        <v>45776937.4665054</v>
      </c>
      <c r="K18" s="28" t="n">
        <f aca="false">IF(ISNUMBER(J18),I18-J18,"N/A")</f>
        <v>-14708265.4665054</v>
      </c>
      <c r="L18" s="28" t="n">
        <f aca="false">SUMIFS(Pruebas_Auditoria!$I$213:$I$235,Pruebas_Auditoria!$A$213:$A$235,A18)</f>
        <v>1155997.19975989</v>
      </c>
      <c r="M18" s="53" t="n">
        <f aca="false">L18-F18</f>
        <v>1155997.19975989</v>
      </c>
      <c r="N18" s="11"/>
    </row>
    <row r="19" customFormat="false" ht="15" hidden="false" customHeight="false" outlineLevel="0" collapsed="false">
      <c r="A19" s="29" t="s">
        <v>135</v>
      </c>
      <c r="B19" s="22" t="s">
        <v>523</v>
      </c>
      <c r="C19" s="28" t="n">
        <f aca="false">SUMIFS(Mayor_Dic25!$G$5:$G$200,Mayor_Dic25!$J$5:$J$200,A19,Mayor_Dic25!$C$5:$C$200,"2130*")</f>
        <v>1052798</v>
      </c>
      <c r="D19" s="28" t="n">
        <f aca="false">SUMIFS(Mayor_Mov!$F$5:$F$445,Mayor_Mov!$N$5:$N$445,A19,Mayor_Mov!$B$5:$B$445,"2130*")</f>
        <v>28058555</v>
      </c>
      <c r="E19" s="28" t="n">
        <f aca="false">SUMIFS(Mayor_Mov!$E$5:$E$445,Mayor_Mov!$N$5:$N$445,A19,Mayor_Mov!$B$5:$B$445,"2130*")</f>
        <v>29111353</v>
      </c>
      <c r="F19" s="28" t="n">
        <f aca="false">C19+D19-E19</f>
        <v>0</v>
      </c>
      <c r="G19" s="28" t="n">
        <f aca="false">SUMIFS(Int_Glosas!$E$5:$E$39,Int_Glosas!$A$5:$A$39,A19)</f>
        <v>0</v>
      </c>
      <c r="H19" s="28" t="n">
        <f aca="false">COUNTIFS(Int_Glosas!$A$5:$A$39,A19,Int_Glosas!$F$5:$F$39,"Sin dato")</f>
        <v>0</v>
      </c>
      <c r="I19" s="28" t="n">
        <f aca="false">D19+G19</f>
        <v>28058555</v>
      </c>
      <c r="J19" s="28" t="n">
        <f aca="false">IFERROR(INDEX(Tablas_Amortizacion!$S$8:$S$44,MATCH(A19,Tablas_Amortizacion!$A$8:$A$44,0)),"Sin tabla")</f>
        <v>4327677.93876348</v>
      </c>
      <c r="K19" s="28" t="n">
        <f aca="false">IF(ISNUMBER(J19),I19-J19,"N/A")</f>
        <v>23730877.0612365</v>
      </c>
      <c r="L19" s="28" t="n">
        <f aca="false">SUMIFS(Pruebas_Auditoria!$I$213:$I$235,Pruebas_Auditoria!$A$213:$A$235,A19)</f>
        <v>370614.629600578</v>
      </c>
      <c r="M19" s="53" t="n">
        <f aca="false">L19-F19</f>
        <v>370614.629600578</v>
      </c>
      <c r="N19" s="11"/>
    </row>
    <row r="20" customFormat="false" ht="15" hidden="false" customHeight="false" outlineLevel="0" collapsed="false">
      <c r="A20" s="29" t="s">
        <v>136</v>
      </c>
      <c r="B20" s="22" t="s">
        <v>523</v>
      </c>
      <c r="C20" s="28" t="n">
        <f aca="false">SUMIFS(Mayor_Dic25!$G$5:$G$200,Mayor_Dic25!$J$5:$J$200,A20,Mayor_Dic25!$C$5:$C$200,"2130*")</f>
        <v>1052798</v>
      </c>
      <c r="D20" s="28" t="n">
        <f aca="false">SUMIFS(Mayor_Mov!$F$5:$F$445,Mayor_Mov!$N$5:$N$445,A20,Mayor_Mov!$B$5:$B$445,"2130*")</f>
        <v>28058555</v>
      </c>
      <c r="E20" s="28" t="n">
        <f aca="false">SUMIFS(Mayor_Mov!$E$5:$E$445,Mayor_Mov!$N$5:$N$445,A20,Mayor_Mov!$B$5:$B$445,"2130*")</f>
        <v>29111353</v>
      </c>
      <c r="F20" s="28" t="n">
        <f aca="false">C20+D20-E20</f>
        <v>0</v>
      </c>
      <c r="G20" s="28" t="n">
        <f aca="false">SUMIFS(Int_Glosas!$E$5:$E$39,Int_Glosas!$A$5:$A$39,A20)</f>
        <v>0</v>
      </c>
      <c r="H20" s="28" t="n">
        <f aca="false">COUNTIFS(Int_Glosas!$A$5:$A$39,A20,Int_Glosas!$F$5:$F$39,"Sin dato")</f>
        <v>0</v>
      </c>
      <c r="I20" s="28" t="n">
        <f aca="false">D20+G20</f>
        <v>28058555</v>
      </c>
      <c r="J20" s="28" t="n">
        <f aca="false">IFERROR(INDEX(Tablas_Amortizacion!$S$8:$S$44,MATCH(A20,Tablas_Amortizacion!$A$8:$A$44,0)),"Sin tabla")</f>
        <v>4327677.93876348</v>
      </c>
      <c r="K20" s="28" t="n">
        <f aca="false">IF(ISNUMBER(J20),I20-J20,"N/A")</f>
        <v>23730877.0612365</v>
      </c>
      <c r="L20" s="28" t="n">
        <f aca="false">SUMIFS(Pruebas_Auditoria!$I$213:$I$235,Pruebas_Auditoria!$A$213:$A$235,A20)</f>
        <v>370614.629483698</v>
      </c>
      <c r="M20" s="53" t="n">
        <f aca="false">L20-F20</f>
        <v>370614.629483698</v>
      </c>
      <c r="N20" s="11"/>
    </row>
    <row r="21" customFormat="false" ht="15" hidden="false" customHeight="false" outlineLevel="0" collapsed="false">
      <c r="A21" s="29" t="s">
        <v>137</v>
      </c>
      <c r="B21" s="22" t="s">
        <v>523</v>
      </c>
      <c r="C21" s="28" t="n">
        <f aca="false">SUMIFS(Mayor_Dic25!$G$5:$G$200,Mayor_Dic25!$J$5:$J$200,A21,Mayor_Dic25!$C$5:$C$200,"2130*")</f>
        <v>10810250</v>
      </c>
      <c r="D21" s="28" t="n">
        <f aca="false">SUMIFS(Mayor_Mov!$F$5:$F$445,Mayor_Mov!$N$5:$N$445,A21,Mayor_Mov!$B$5:$B$445,"2130*")</f>
        <v>30902950</v>
      </c>
      <c r="E21" s="28" t="n">
        <f aca="false">SUMIFS(Mayor_Mov!$E$5:$E$445,Mayor_Mov!$N$5:$N$445,A21,Mayor_Mov!$B$5:$B$445,"2130*")</f>
        <v>41713199.84</v>
      </c>
      <c r="F21" s="28" t="n">
        <f aca="false">C21+D21-E21</f>
        <v>0.159999996423721</v>
      </c>
      <c r="G21" s="28" t="n">
        <f aca="false">SUMIFS(Int_Glosas!$E$5:$E$39,Int_Glosas!$A$5:$A$39,A21)</f>
        <v>0</v>
      </c>
      <c r="H21" s="28" t="n">
        <f aca="false">COUNTIFS(Int_Glosas!$A$5:$A$39,A21,Int_Glosas!$F$5:$F$39,"Sin dato")</f>
        <v>0</v>
      </c>
      <c r="I21" s="28" t="n">
        <f aca="false">D21+G21</f>
        <v>30902950</v>
      </c>
      <c r="J21" s="28" t="n">
        <f aca="false">IFERROR(INDEX(Tablas_Amortizacion!$S$8:$S$44,MATCH(A21,Tablas_Amortizacion!$A$8:$A$44,0)),"Sin tabla")</f>
        <v>46536704.8980723</v>
      </c>
      <c r="K21" s="28" t="n">
        <f aca="false">IF(ISNUMBER(J21),I21-J21,"N/A")</f>
        <v>-15633754.8980723</v>
      </c>
      <c r="L21" s="28" t="n">
        <f aca="false">SUMIFS(Pruebas_Auditoria!$I$213:$I$235,Pruebas_Auditoria!$A$213:$A$235,A21)</f>
        <v>1590694.25438737</v>
      </c>
      <c r="M21" s="53" t="n">
        <f aca="false">L21-F21</f>
        <v>1590694.09438737</v>
      </c>
      <c r="N21" s="11"/>
    </row>
    <row r="22" customFormat="false" ht="15" hidden="false" customHeight="false" outlineLevel="0" collapsed="false">
      <c r="A22" s="29" t="s">
        <v>138</v>
      </c>
      <c r="B22" s="22" t="s">
        <v>523</v>
      </c>
      <c r="C22" s="28" t="n">
        <f aca="false">SUMIFS(Mayor_Dic25!$G$5:$G$200,Mayor_Dic25!$J$5:$J$200,A22,Mayor_Dic25!$C$5:$C$200,"2130*")</f>
        <v>24571264</v>
      </c>
      <c r="D22" s="28" t="n">
        <f aca="false">SUMIFS(Mayor_Mov!$F$5:$F$445,Mayor_Mov!$N$5:$N$445,A22,Mayor_Mov!$B$5:$B$445,"2130*")</f>
        <v>89512386</v>
      </c>
      <c r="E22" s="28" t="n">
        <f aca="false">SUMIFS(Mayor_Mov!$E$5:$E$445,Mayor_Mov!$N$5:$N$445,A22,Mayor_Mov!$B$5:$B$445,"2130*")</f>
        <v>114083650</v>
      </c>
      <c r="F22" s="28" t="n">
        <f aca="false">C22+D22-E22</f>
        <v>0</v>
      </c>
      <c r="G22" s="28" t="n">
        <f aca="false">SUMIFS(Int_Glosas!$E$5:$E$39,Int_Glosas!$A$5:$A$39,A22)</f>
        <v>0</v>
      </c>
      <c r="H22" s="28" t="n">
        <f aca="false">COUNTIFS(Int_Glosas!$A$5:$A$39,A22,Int_Glosas!$F$5:$F$39,"Sin dato")</f>
        <v>0</v>
      </c>
      <c r="I22" s="28" t="n">
        <f aca="false">D22+G22</f>
        <v>89512386</v>
      </c>
      <c r="J22" s="28" t="n">
        <f aca="false">IFERROR(INDEX(Tablas_Amortizacion!$S$8:$S$44,MATCH(A22,Tablas_Amortizacion!$A$8:$A$44,0)),"Sin tabla")</f>
        <v>104728442.4778</v>
      </c>
      <c r="K22" s="28" t="n">
        <f aca="false">IF(ISNUMBER(J22),I22-J22,"N/A")</f>
        <v>-15216056.4777996</v>
      </c>
      <c r="L22" s="28" t="n">
        <f aca="false">SUMIFS(Pruebas_Auditoria!$I$213:$I$235,Pruebas_Auditoria!$A$213:$A$235,A22)</f>
        <v>3617017.21971566</v>
      </c>
      <c r="M22" s="53" t="n">
        <f aca="false">L22-F22</f>
        <v>3617017.21971566</v>
      </c>
      <c r="N22" s="11"/>
    </row>
    <row r="23" customFormat="false" ht="15" hidden="false" customHeight="false" outlineLevel="0" collapsed="false">
      <c r="A23" s="29" t="s">
        <v>140</v>
      </c>
      <c r="B23" s="22" t="s">
        <v>382</v>
      </c>
      <c r="C23" s="28" t="n">
        <f aca="false">SUMIFS(Mayor_Dic25!$G$5:$G$200,Mayor_Dic25!$J$5:$J$200,A23,Mayor_Dic25!$C$5:$C$200,"2130*")</f>
        <v>0</v>
      </c>
      <c r="D23" s="28" t="n">
        <f aca="false">SUMIFS(Mayor_Mov!$F$5:$F$445,Mayor_Mov!$N$5:$N$445,A23,Mayor_Mov!$B$5:$B$445,"2130*")</f>
        <v>34304862</v>
      </c>
      <c r="E23" s="28" t="n">
        <f aca="false">SUMIFS(Mayor_Mov!$E$5:$E$445,Mayor_Mov!$N$5:$N$445,A23,Mayor_Mov!$B$5:$B$445,"2130*")</f>
        <v>30979923</v>
      </c>
      <c r="F23" s="28" t="n">
        <f aca="false">C23+D23-E23</f>
        <v>3324939</v>
      </c>
      <c r="G23" s="28" t="n">
        <f aca="false">SUMIFS(Int_Glosas!$E$5:$E$39,Int_Glosas!$A$5:$A$39,A23)</f>
        <v>0</v>
      </c>
      <c r="H23" s="28" t="n">
        <f aca="false">COUNTIFS(Int_Glosas!$A$5:$A$39,A23,Int_Glosas!$F$5:$F$39,"Sin dato")</f>
        <v>0</v>
      </c>
      <c r="I23" s="28" t="n">
        <f aca="false">D23+G23</f>
        <v>34304862</v>
      </c>
      <c r="J23" s="28" t="n">
        <f aca="false">IFERROR(INDEX(Tablas_Amortizacion!$S$8:$S$44,MATCH(A23,Tablas_Amortizacion!$A$8:$A$44,0)),"Sin tabla")</f>
        <v>36715666.6666667</v>
      </c>
      <c r="K23" s="28" t="n">
        <f aca="false">IF(ISNUMBER(J23),I23-J23,"N/A")</f>
        <v>-2410804.66666667</v>
      </c>
      <c r="L23" s="28" t="n">
        <f aca="false">SUMIFS(Pruebas_Auditoria!$I$213:$I$235,Pruebas_Auditoria!$A$213:$A$235,A23)</f>
        <v>4866039.68585017</v>
      </c>
      <c r="M23" s="53" t="n">
        <f aca="false">L23-F23</f>
        <v>1541100.68585017</v>
      </c>
      <c r="N23" s="11"/>
    </row>
    <row r="24" customFormat="false" ht="15" hidden="false" customHeight="false" outlineLevel="0" collapsed="false">
      <c r="A24" s="29" t="s">
        <v>142</v>
      </c>
      <c r="B24" s="22" t="s">
        <v>384</v>
      </c>
      <c r="C24" s="28" t="n">
        <f aca="false">SUMIFS(Mayor_Dic25!$G$5:$G$200,Mayor_Dic25!$J$5:$J$200,A24,Mayor_Dic25!$C$5:$C$200,"2130*")</f>
        <v>0</v>
      </c>
      <c r="D24" s="28" t="n">
        <f aca="false">SUMIFS(Mayor_Mov!$F$5:$F$445,Mayor_Mov!$N$5:$N$445,A24,Mayor_Mov!$B$5:$B$445,"2130*")</f>
        <v>258396078</v>
      </c>
      <c r="E24" s="28" t="n">
        <f aca="false">SUMIFS(Mayor_Mov!$E$5:$E$445,Mayor_Mov!$N$5:$N$445,A24,Mayor_Mov!$B$5:$B$445,"2130*")</f>
        <v>258396077.78</v>
      </c>
      <c r="F24" s="28" t="n">
        <f aca="false">C24+D24-E24</f>
        <v>0.219999998807907</v>
      </c>
      <c r="G24" s="28" t="n">
        <f aca="false">SUMIFS(Int_Glosas!$E$5:$E$39,Int_Glosas!$A$5:$A$39,A24)</f>
        <v>0</v>
      </c>
      <c r="H24" s="28" t="n">
        <f aca="false">COUNTIFS(Int_Glosas!$A$5:$A$39,A24,Int_Glosas!$F$5:$F$39,"Sin dato")</f>
        <v>0</v>
      </c>
      <c r="I24" s="28" t="n">
        <f aca="false">D24+G24</f>
        <v>258396078</v>
      </c>
      <c r="J24" s="28" t="str">
        <f aca="false">IFERROR(INDEX(Tablas_Amortizacion!$S$8:$S$44,MATCH(A24,Tablas_Amortizacion!$A$8:$A$44,0)),"Sin tabla")</f>
        <v>Sin tabla</v>
      </c>
      <c r="K24" s="28" t="str">
        <f aca="false">IF(ISNUMBER(J24),I24-J24,"N/A")</f>
        <v>N/A</v>
      </c>
      <c r="L24" s="28" t="n">
        <f aca="false">SUMIFS(Pruebas_Auditoria!$I$213:$I$235,Pruebas_Auditoria!$A$213:$A$235,A24)</f>
        <v>50972239.5760856</v>
      </c>
      <c r="M24" s="53" t="n">
        <f aca="false">L24-F24</f>
        <v>50972239.3560856</v>
      </c>
      <c r="N24" s="11" t="s">
        <v>1202</v>
      </c>
    </row>
    <row r="25" customFormat="false" ht="15" hidden="false" customHeight="false" outlineLevel="0" collapsed="false">
      <c r="A25" s="29" t="s">
        <v>144</v>
      </c>
      <c r="B25" s="22" t="s">
        <v>386</v>
      </c>
      <c r="C25" s="28" t="n">
        <f aca="false">SUMIFS(Mayor_Dic25!$G$5:$G$200,Mayor_Dic25!$J$5:$J$200,A25,Mayor_Dic25!$C$5:$C$200,"2130*")</f>
        <v>88129166</v>
      </c>
      <c r="D25" s="28" t="n">
        <f aca="false">SUMIFS(Mayor_Mov!$F$5:$F$445,Mayor_Mov!$N$5:$N$445,A25,Mayor_Mov!$B$5:$B$445,"2130*")</f>
        <v>287833704</v>
      </c>
      <c r="E25" s="28" t="n">
        <f aca="false">SUMIFS(Mayor_Mov!$E$5:$E$445,Mayor_Mov!$N$5:$N$445,A25,Mayor_Mov!$B$5:$B$445,"2130*")</f>
        <v>375962870</v>
      </c>
      <c r="F25" s="28" t="n">
        <f aca="false">C25+D25-E25</f>
        <v>0</v>
      </c>
      <c r="G25" s="28" t="n">
        <f aca="false">SUMIFS(Int_Glosas!$E$5:$E$39,Int_Glosas!$A$5:$A$39,A25)</f>
        <v>0</v>
      </c>
      <c r="H25" s="28" t="n">
        <f aca="false">COUNTIFS(Int_Glosas!$A$5:$A$39,A25,Int_Glosas!$F$5:$F$39,"Sin dato")</f>
        <v>0</v>
      </c>
      <c r="I25" s="28" t="n">
        <f aca="false">D25+G25</f>
        <v>287833704</v>
      </c>
      <c r="J25" s="28" t="n">
        <f aca="false">IFERROR(INDEX(Tablas_Amortizacion!$S$8:$S$44,MATCH(A25,Tablas_Amortizacion!$A$8:$A$44,0)),"Sin tabla")</f>
        <v>311402777.777778</v>
      </c>
      <c r="K25" s="28" t="n">
        <f aca="false">IF(ISNUMBER(J25),I25-J25,"N/A")</f>
        <v>-23569073.7777778</v>
      </c>
      <c r="L25" s="28" t="n">
        <f aca="false">SUMIFS(Pruebas_Auditoria!$I$213:$I$235,Pruebas_Auditoria!$A$213:$A$235,A25)</f>
        <v>10909736.1129754</v>
      </c>
      <c r="M25" s="53" t="n">
        <f aca="false">L25-F25</f>
        <v>10909736.1129754</v>
      </c>
      <c r="N25" s="11"/>
    </row>
    <row r="26" customFormat="false" ht="15" hidden="false" customHeight="false" outlineLevel="0" collapsed="false">
      <c r="A26" s="29" t="s">
        <v>145</v>
      </c>
      <c r="B26" s="22" t="s">
        <v>386</v>
      </c>
      <c r="C26" s="28" t="n">
        <f aca="false">SUMIFS(Mayor_Dic25!$G$5:$G$200,Mayor_Dic25!$J$5:$J$200,A26,Mayor_Dic25!$C$5:$C$200,"2130*")</f>
        <v>0</v>
      </c>
      <c r="D26" s="28" t="n">
        <f aca="false">SUMIFS(Mayor_Mov!$F$5:$F$445,Mayor_Mov!$N$5:$N$445,A26,Mayor_Mov!$B$5:$B$445,"2130*")</f>
        <v>32199918</v>
      </c>
      <c r="E26" s="28" t="n">
        <f aca="false">SUMIFS(Mayor_Mov!$E$5:$E$445,Mayor_Mov!$N$5:$N$445,A26,Mayor_Mov!$B$5:$B$445,"2130*")</f>
        <v>28449581</v>
      </c>
      <c r="F26" s="28" t="n">
        <f aca="false">C26+D26-E26</f>
        <v>3750337</v>
      </c>
      <c r="G26" s="28" t="n">
        <f aca="false">SUMIFS(Int_Glosas!$E$5:$E$39,Int_Glosas!$A$5:$A$39,A26)</f>
        <v>0</v>
      </c>
      <c r="H26" s="28" t="n">
        <f aca="false">COUNTIFS(Int_Glosas!$A$5:$A$39,A26,Int_Glosas!$F$5:$F$39,"Sin dato")</f>
        <v>0</v>
      </c>
      <c r="I26" s="28" t="n">
        <f aca="false">D26+G26</f>
        <v>32199918</v>
      </c>
      <c r="J26" s="28" t="n">
        <f aca="false">IFERROR(INDEX(Tablas_Amortizacion!$S$8:$S$44,MATCH(A26,Tablas_Amortizacion!$A$8:$A$44,0)),"Sin tabla")</f>
        <v>20871066.3030259</v>
      </c>
      <c r="K26" s="28" t="n">
        <f aca="false">IF(ISNUMBER(J26),I26-J26,"N/A")</f>
        <v>11328851.6969741</v>
      </c>
      <c r="L26" s="28" t="n">
        <f aca="false">SUMIFS(Pruebas_Auditoria!$I$213:$I$235,Pruebas_Auditoria!$A$213:$A$235,A26)</f>
        <v>5568623.41062859</v>
      </c>
      <c r="M26" s="53" t="n">
        <f aca="false">L26-F26</f>
        <v>1818286.41062859</v>
      </c>
      <c r="N26" s="11"/>
    </row>
    <row r="27" customFormat="false" ht="15" hidden="false" customHeight="false" outlineLevel="0" collapsed="false">
      <c r="A27" s="29" t="s">
        <v>146</v>
      </c>
      <c r="B27" s="22" t="s">
        <v>386</v>
      </c>
      <c r="C27" s="28" t="n">
        <f aca="false">SUMIFS(Mayor_Dic25!$G$5:$G$200,Mayor_Dic25!$J$5:$J$200,A27,Mayor_Dic25!$C$5:$C$200,"2130*")</f>
        <v>0</v>
      </c>
      <c r="D27" s="28" t="n">
        <f aca="false">SUMIFS(Mayor_Mov!$F$5:$F$445,Mayor_Mov!$N$5:$N$445,A27,Mayor_Mov!$B$5:$B$445,"2130*")</f>
        <v>0</v>
      </c>
      <c r="E27" s="28" t="n">
        <f aca="false">SUMIFS(Mayor_Mov!$E$5:$E$445,Mayor_Mov!$N$5:$N$445,A27,Mayor_Mov!$B$5:$B$445,"2130*")</f>
        <v>0</v>
      </c>
      <c r="F27" s="28" t="n">
        <f aca="false">C27+D27-E27</f>
        <v>0</v>
      </c>
      <c r="G27" s="28" t="n">
        <f aca="false">SUMIFS(Int_Glosas!$E$5:$E$39,Int_Glosas!$A$5:$A$39,A27)</f>
        <v>28583500</v>
      </c>
      <c r="H27" s="28" t="n">
        <f aca="false">COUNTIFS(Int_Glosas!$A$5:$A$39,A27,Int_Glosas!$F$5:$F$39,"Sin dato")</f>
        <v>4</v>
      </c>
      <c r="I27" s="28" t="n">
        <f aca="false">D27+G27</f>
        <v>28583500</v>
      </c>
      <c r="J27" s="28" t="n">
        <f aca="false">IFERROR(INDEX(Tablas_Amortizacion!$S$8:$S$44,MATCH(A27,Tablas_Amortizacion!$A$8:$A$44,0)),"Sin tabla")</f>
        <v>44946958.2921088</v>
      </c>
      <c r="K27" s="28" t="n">
        <f aca="false">IF(ISNUMBER(J27),I27-J27,"N/A")</f>
        <v>-16363458.2921088</v>
      </c>
      <c r="L27" s="28" t="n">
        <f aca="false">SUMIFS(Pruebas_Auditoria!$I$213:$I$235,Pruebas_Auditoria!$A$213:$A$235,A27)</f>
        <v>3807112.91633949</v>
      </c>
      <c r="M27" s="53" t="n">
        <f aca="false">L27-F27</f>
        <v>3807112.91633949</v>
      </c>
      <c r="N27" s="11"/>
    </row>
    <row r="28" customFormat="false" ht="15" hidden="false" customHeight="false" outlineLevel="0" collapsed="false">
      <c r="A28" s="29" t="s">
        <v>147</v>
      </c>
      <c r="B28" s="22" t="s">
        <v>386</v>
      </c>
      <c r="C28" s="28" t="n">
        <f aca="false">SUMIFS(Mayor_Dic25!$G$5:$G$200,Mayor_Dic25!$J$5:$J$200,A28,Mayor_Dic25!$C$5:$C$200,"2130*")</f>
        <v>0</v>
      </c>
      <c r="D28" s="28" t="n">
        <f aca="false">SUMIFS(Mayor_Mov!$F$5:$F$445,Mayor_Mov!$N$5:$N$445,A28,Mayor_Mov!$B$5:$B$445,"2130*")</f>
        <v>0</v>
      </c>
      <c r="E28" s="28" t="n">
        <f aca="false">SUMIFS(Mayor_Mov!$E$5:$E$445,Mayor_Mov!$N$5:$N$445,A28,Mayor_Mov!$B$5:$B$445,"2130*")</f>
        <v>0</v>
      </c>
      <c r="F28" s="28" t="n">
        <f aca="false">C28+D28-E28</f>
        <v>0</v>
      </c>
      <c r="G28" s="28" t="n">
        <f aca="false">SUMIFS(Int_Glosas!$E$5:$E$39,Int_Glosas!$A$5:$A$39,A28)</f>
        <v>26060708</v>
      </c>
      <c r="H28" s="28" t="n">
        <f aca="false">COUNTIFS(Int_Glosas!$A$5:$A$39,A28,Int_Glosas!$F$5:$F$39,"Sin dato")</f>
        <v>3</v>
      </c>
      <c r="I28" s="28" t="n">
        <f aca="false">D28+G28</f>
        <v>26060708</v>
      </c>
      <c r="J28" s="28" t="n">
        <f aca="false">IFERROR(INDEX(Tablas_Amortizacion!$S$8:$S$44,MATCH(A28,Tablas_Amortizacion!$A$8:$A$44,0)),"Sin tabla")</f>
        <v>99905792.5025106</v>
      </c>
      <c r="K28" s="28" t="n">
        <f aca="false">IF(ISNUMBER(J28),I28-J28,"N/A")</f>
        <v>-73845084.5025106</v>
      </c>
      <c r="L28" s="28" t="n">
        <f aca="false">SUMIFS(Pruebas_Auditoria!$I$213:$I$235,Pruebas_Auditoria!$A$213:$A$235,A28)</f>
        <v>4498704.71647143</v>
      </c>
      <c r="M28" s="53" t="n">
        <f aca="false">L28-F28</f>
        <v>4498704.71647143</v>
      </c>
      <c r="N28" s="11"/>
    </row>
    <row r="29" customFormat="false" ht="15" hidden="false" customHeight="false" outlineLevel="0" collapsed="false">
      <c r="A29" s="29" t="s">
        <v>148</v>
      </c>
      <c r="B29" s="22" t="s">
        <v>386</v>
      </c>
      <c r="C29" s="28" t="n">
        <f aca="false">SUMIFS(Mayor_Dic25!$G$5:$G$200,Mayor_Dic25!$J$5:$J$200,A29,Mayor_Dic25!$C$5:$C$200,"2130*")</f>
        <v>0</v>
      </c>
      <c r="D29" s="28" t="n">
        <f aca="false">SUMIFS(Mayor_Mov!$F$5:$F$445,Mayor_Mov!$N$5:$N$445,A29,Mayor_Mov!$B$5:$B$445,"2130*")</f>
        <v>0</v>
      </c>
      <c r="E29" s="28" t="n">
        <f aca="false">SUMIFS(Mayor_Mov!$E$5:$E$445,Mayor_Mov!$N$5:$N$445,A29,Mayor_Mov!$B$5:$B$445,"2130*")</f>
        <v>0</v>
      </c>
      <c r="F29" s="28" t="n">
        <f aca="false">C29+D29-E29</f>
        <v>0</v>
      </c>
      <c r="G29" s="28" t="n">
        <f aca="false">SUMIFS(Int_Glosas!$E$5:$E$39,Int_Glosas!$A$5:$A$39,A29)</f>
        <v>0</v>
      </c>
      <c r="H29" s="28" t="n">
        <f aca="false">COUNTIFS(Int_Glosas!$A$5:$A$39,A29,Int_Glosas!$F$5:$F$39,"Sin dato")</f>
        <v>0</v>
      </c>
      <c r="I29" s="28" t="n">
        <f aca="false">D29+G29</f>
        <v>0</v>
      </c>
      <c r="J29" s="28" t="str">
        <f aca="false">IFERROR(INDEX(Tablas_Amortizacion!$S$8:$S$44,MATCH(A29,Tablas_Amortizacion!$A$8:$A$44,0)),"Sin tabla")</f>
        <v>Sin tabla</v>
      </c>
      <c r="K29" s="28" t="str">
        <f aca="false">IF(ISNUMBER(J29),I29-J29,"N/A")</f>
        <v>N/A</v>
      </c>
      <c r="L29" s="28" t="n">
        <f aca="false">SUMIFS(Pruebas_Auditoria!$I$213:$I$235,Pruebas_Auditoria!$A$213:$A$235,A29)</f>
        <v>717369.299115863</v>
      </c>
      <c r="M29" s="53" t="n">
        <f aca="false">L29-F29</f>
        <v>717369.299115863</v>
      </c>
      <c r="N29" s="11"/>
    </row>
    <row r="30" customFormat="false" ht="15" hidden="false" customHeight="false" outlineLevel="0" collapsed="false">
      <c r="A30" s="29" t="s">
        <v>150</v>
      </c>
      <c r="B30" s="22" t="s">
        <v>541</v>
      </c>
      <c r="C30" s="28" t="n">
        <f aca="false">SUMIFS(Mayor_Dic25!$G$5:$G$200,Mayor_Dic25!$J$5:$J$200,A30,Mayor_Dic25!$C$5:$C$200,"2130*")</f>
        <v>0</v>
      </c>
      <c r="D30" s="28" t="n">
        <f aca="false">SUMIFS(Mayor_Mov!$F$5:$F$445,Mayor_Mov!$N$5:$N$445,A30,Mayor_Mov!$B$5:$B$445,"2130*")</f>
        <v>0</v>
      </c>
      <c r="E30" s="28" t="n">
        <f aca="false">SUMIFS(Mayor_Mov!$E$5:$E$445,Mayor_Mov!$N$5:$N$445,A30,Mayor_Mov!$B$5:$B$445,"2130*")</f>
        <v>0</v>
      </c>
      <c r="F30" s="28" t="n">
        <f aca="false">C30+D30-E30</f>
        <v>0</v>
      </c>
      <c r="G30" s="28" t="n">
        <f aca="false">SUMIFS(Int_Glosas!$E$5:$E$39,Int_Glosas!$A$5:$A$39,A30)</f>
        <v>0</v>
      </c>
      <c r="H30" s="28" t="n">
        <f aca="false">COUNTIFS(Int_Glosas!$A$5:$A$39,A30,Int_Glosas!$F$5:$F$39,"Sin dato")</f>
        <v>0</v>
      </c>
      <c r="I30" s="28" t="n">
        <f aca="false">D30+G30</f>
        <v>0</v>
      </c>
      <c r="J30" s="28" t="str">
        <f aca="false">IFERROR(INDEX(Tablas_Amortizacion!$S$8:$S$44,MATCH(A30,Tablas_Amortizacion!$A$8:$A$44,0)),"Sin tabla")</f>
        <v>Sin tabla</v>
      </c>
      <c r="K30" s="28" t="str">
        <f aca="false">IF(ISNUMBER(J30),I30-J30,"N/A")</f>
        <v>N/A</v>
      </c>
      <c r="L30" s="28" t="n">
        <f aca="false">SUMIFS(Pruebas_Auditoria!$I$213:$I$235,Pruebas_Auditoria!$A$213:$A$235,A30)</f>
        <v>0</v>
      </c>
      <c r="M30" s="53" t="n">
        <f aca="false">L30-F30</f>
        <v>0</v>
      </c>
      <c r="N30" s="11"/>
    </row>
    <row r="31" customFormat="false" ht="15" hidden="false" customHeight="false" outlineLevel="0" collapsed="false">
      <c r="A31" s="29" t="s">
        <v>151</v>
      </c>
      <c r="B31" s="22" t="s">
        <v>541</v>
      </c>
      <c r="C31" s="28" t="n">
        <f aca="false">SUMIFS(Mayor_Dic25!$G$5:$G$200,Mayor_Dic25!$J$5:$J$200,A31,Mayor_Dic25!$C$5:$C$200,"2130*")</f>
        <v>0</v>
      </c>
      <c r="D31" s="28" t="n">
        <f aca="false">SUMIFS(Mayor_Mov!$F$5:$F$445,Mayor_Mov!$N$5:$N$445,A31,Mayor_Mov!$B$5:$B$445,"2130*")</f>
        <v>0</v>
      </c>
      <c r="E31" s="28" t="n">
        <f aca="false">SUMIFS(Mayor_Mov!$E$5:$E$445,Mayor_Mov!$N$5:$N$445,A31,Mayor_Mov!$B$5:$B$445,"2130*")</f>
        <v>0</v>
      </c>
      <c r="F31" s="28" t="n">
        <f aca="false">C31+D31-E31</f>
        <v>0</v>
      </c>
      <c r="G31" s="28" t="n">
        <f aca="false">SUMIFS(Int_Glosas!$E$5:$E$39,Int_Glosas!$A$5:$A$39,A31)</f>
        <v>0</v>
      </c>
      <c r="H31" s="28" t="n">
        <f aca="false">COUNTIFS(Int_Glosas!$A$5:$A$39,A31,Int_Glosas!$F$5:$F$39,"Sin dato")</f>
        <v>0</v>
      </c>
      <c r="I31" s="28" t="n">
        <f aca="false">D31+G31</f>
        <v>0</v>
      </c>
      <c r="J31" s="28" t="str">
        <f aca="false">IFERROR(INDEX(Tablas_Amortizacion!$S$8:$S$44,MATCH(A31,Tablas_Amortizacion!$A$8:$A$44,0)),"Sin tabla")</f>
        <v>Sin tabla</v>
      </c>
      <c r="K31" s="28" t="str">
        <f aca="false">IF(ISNUMBER(J31),I31-J31,"N/A")</f>
        <v>N/A</v>
      </c>
      <c r="L31" s="28" t="n">
        <f aca="false">SUMIFS(Pruebas_Auditoria!$I$213:$I$235,Pruebas_Auditoria!$A$213:$A$235,A31)</f>
        <v>0</v>
      </c>
      <c r="M31" s="53" t="n">
        <f aca="false">L31-F31</f>
        <v>0</v>
      </c>
      <c r="N31" s="11"/>
    </row>
    <row r="32" customFormat="false" ht="15" hidden="false" customHeight="false" outlineLevel="0" collapsed="false">
      <c r="A32" s="36" t="s">
        <v>101</v>
      </c>
      <c r="C32" s="52" t="n">
        <f aca="false">SUM(C5:C31)</f>
        <v>1200222884</v>
      </c>
      <c r="D32" s="52" t="n">
        <f aca="false">SUM(D5:D31)</f>
        <v>2982924047</v>
      </c>
      <c r="E32" s="52" t="n">
        <f aca="false">SUM(E5:E31)</f>
        <v>3755757912.62</v>
      </c>
      <c r="F32" s="52" t="n">
        <f aca="false">SUM(F5:F31)</f>
        <v>427389018.38</v>
      </c>
      <c r="G32" s="52" t="n">
        <f aca="false">SUM(G5:G31)</f>
        <v>343807703.36</v>
      </c>
      <c r="H32" s="52" t="n">
        <f aca="false">SUM(H5:H31)</f>
        <v>10</v>
      </c>
      <c r="I32" s="52" t="n">
        <f aca="false">SUM(I5:I31)</f>
        <v>3326731750.36</v>
      </c>
      <c r="L32" s="52" t="n">
        <f aca="false">SUM(L5:L31)</f>
        <v>615094407.203176</v>
      </c>
      <c r="M32" s="52" t="n">
        <f aca="false">SUM(M5:M31)</f>
        <v>187705388.823176</v>
      </c>
    </row>
    <row r="33" customFormat="false" ht="15" hidden="false" customHeight="false" outlineLevel="0" collapsed="false">
      <c r="A33" s="22" t="s">
        <v>1203</v>
      </c>
      <c r="C33" s="28" t="n">
        <f aca="false">-Balance_21!$C$25</f>
        <v>1200222884</v>
      </c>
      <c r="D33" s="28" t="n">
        <f aca="false">Balance_21!$E$25</f>
        <v>2982924047</v>
      </c>
      <c r="E33" s="28" t="n">
        <f aca="false">Balance_21!$D$25</f>
        <v>3755757913.84</v>
      </c>
      <c r="F33" s="28" t="n">
        <f aca="false">-Balance_21!$F$25</f>
        <v>427389017.16</v>
      </c>
    </row>
    <row r="34" customFormat="false" ht="15" hidden="false" customHeight="false" outlineLevel="0" collapsed="false">
      <c r="A34" s="22" t="s">
        <v>157</v>
      </c>
      <c r="C34" s="25" t="n">
        <f aca="false">C32-C33</f>
        <v>0</v>
      </c>
      <c r="D34" s="25" t="n">
        <f aca="false">D32-D33</f>
        <v>0</v>
      </c>
      <c r="E34" s="25" t="n">
        <f aca="false">E32-E33</f>
        <v>-1.22000026702881</v>
      </c>
      <c r="F34" s="25" t="n">
        <f aca="false">F32-F33</f>
        <v>1.21999996900558</v>
      </c>
    </row>
    <row r="36" customFormat="false" ht="15" hidden="false" customHeight="false" outlineLevel="0" collapsed="false">
      <c r="A36" s="21" t="s">
        <v>1204</v>
      </c>
    </row>
    <row r="37" customFormat="false" ht="30" hidden="false" customHeight="true" outlineLevel="0" collapsed="false">
      <c r="A37" s="27" t="s">
        <v>153</v>
      </c>
      <c r="B37" s="27" t="s">
        <v>154</v>
      </c>
      <c r="C37" s="27" t="s">
        <v>1205</v>
      </c>
      <c r="D37" s="27" t="s">
        <v>156</v>
      </c>
      <c r="E37" s="27" t="s">
        <v>157</v>
      </c>
      <c r="F37" s="27"/>
      <c r="G37" s="27" t="s">
        <v>290</v>
      </c>
    </row>
    <row r="38" customFormat="false" ht="25.5" hidden="false" customHeight="true" outlineLevel="0" collapsed="false">
      <c r="A38" s="22" t="s">
        <v>277</v>
      </c>
      <c r="B38" s="22" t="s">
        <v>1206</v>
      </c>
      <c r="C38" s="28" t="n">
        <f aca="false">-Balance_21!$F$27</f>
        <v>423638680</v>
      </c>
      <c r="D38" s="28" t="n">
        <f aca="false">(SUM(F5:F31)-SUMIFS(F5:F31,$A$5:$A$31,"*-L*"))</f>
        <v>423638681.22</v>
      </c>
      <c r="E38" s="28" t="n">
        <f aca="false">C38-D38</f>
        <v>-1.22000002861023</v>
      </c>
      <c r="G38" s="11"/>
      <c r="H38" s="11"/>
      <c r="I38" s="11"/>
      <c r="J38" s="11"/>
      <c r="K38" s="11"/>
      <c r="L38" s="11"/>
      <c r="M38" s="11"/>
      <c r="N38" s="11"/>
    </row>
    <row r="39" customFormat="false" ht="25.5" hidden="false" customHeight="true" outlineLevel="0" collapsed="false">
      <c r="A39" s="22" t="s">
        <v>278</v>
      </c>
      <c r="B39" s="22" t="s">
        <v>1207</v>
      </c>
      <c r="C39" s="28" t="n">
        <f aca="false">-Balance_21!$F$28</f>
        <v>3750337.16</v>
      </c>
      <c r="D39" s="28" t="n">
        <f aca="false">SUMIFS(F5:F31,$A$5:$A$31,"*-L*")</f>
        <v>3750337.16</v>
      </c>
      <c r="E39" s="28" t="n">
        <f aca="false">C39-D39</f>
        <v>0</v>
      </c>
      <c r="G39" s="11"/>
      <c r="H39" s="11"/>
      <c r="I39" s="11"/>
      <c r="J39" s="11"/>
      <c r="K39" s="11"/>
      <c r="L39" s="11"/>
      <c r="M39" s="11"/>
      <c r="N39" s="11"/>
    </row>
    <row r="40" customFormat="false" ht="25.5" hidden="false" customHeight="true" outlineLevel="0" collapsed="false">
      <c r="A40" s="22" t="s">
        <v>1042</v>
      </c>
      <c r="B40" s="22" t="s">
        <v>1208</v>
      </c>
      <c r="C40" s="28" t="n">
        <f aca="false">Balance_21!$F$35</f>
        <v>423638680</v>
      </c>
      <c r="D40" s="28" t="n">
        <f aca="false">(SUM(F5:F31)-SUMIFS(F5:F31,$A$5:$A$31,"*-L*"))</f>
        <v>423638681.22</v>
      </c>
      <c r="E40" s="28" t="n">
        <f aca="false">C40-D40</f>
        <v>-1.22000002861023</v>
      </c>
      <c r="G40" s="11" t="s">
        <v>1209</v>
      </c>
      <c r="H40" s="11"/>
      <c r="I40" s="11"/>
      <c r="J40" s="11"/>
      <c r="K40" s="11"/>
      <c r="L40" s="11"/>
      <c r="M40" s="11"/>
      <c r="N40" s="11"/>
    </row>
    <row r="41" customFormat="false" ht="25.5" hidden="false" customHeight="true" outlineLevel="0" collapsed="false">
      <c r="A41" s="22" t="s">
        <v>1046</v>
      </c>
      <c r="B41" s="22" t="s">
        <v>1210</v>
      </c>
      <c r="C41" s="28" t="n">
        <f aca="false">Balance_21!$F$36</f>
        <v>3750337.32</v>
      </c>
      <c r="D41" s="28" t="n">
        <f aca="false">SUMIFS(F5:F31,$A$5:$A$31,"*-L*")</f>
        <v>3750337.16</v>
      </c>
      <c r="E41" s="28" t="n">
        <f aca="false">C41-D41</f>
        <v>0.160000003408641</v>
      </c>
      <c r="G41" s="11"/>
      <c r="H41" s="11"/>
      <c r="I41" s="11"/>
      <c r="J41" s="11"/>
      <c r="K41" s="11"/>
      <c r="L41" s="11"/>
      <c r="M41" s="11"/>
      <c r="N41" s="11"/>
    </row>
    <row r="42" customFormat="false" ht="25.5" hidden="false" customHeight="true" outlineLevel="0" collapsed="false">
      <c r="A42" s="22" t="s">
        <v>1211</v>
      </c>
      <c r="B42" s="22" t="s">
        <v>1212</v>
      </c>
      <c r="C42" s="28" t="n">
        <f aca="false">Balance_21!$D$34</f>
        <v>3610639745.89</v>
      </c>
      <c r="D42" s="28" t="n">
        <f aca="false">(SUM(E5:E31)-SUMIFS(E5:E31,$A$5:$A$31,"*-L*"))+(SUM(G5:G31)-SUMIFS(G5:G31,$A$5:$A$31,"*-L*"))</f>
        <v>3489342828.14</v>
      </c>
      <c r="E42" s="28" t="n">
        <f aca="false">C42-D42</f>
        <v>121296917.75</v>
      </c>
      <c r="G42" s="11" t="s">
        <v>1213</v>
      </c>
      <c r="H42" s="11"/>
      <c r="I42" s="11"/>
      <c r="J42" s="11"/>
      <c r="K42" s="11"/>
      <c r="L42" s="11"/>
      <c r="M42" s="11"/>
      <c r="N42" s="11"/>
    </row>
    <row r="43" customFormat="false" ht="25.5" hidden="false" customHeight="true" outlineLevel="0" collapsed="false">
      <c r="A43" s="22" t="s">
        <v>1214</v>
      </c>
      <c r="B43" s="22" t="s">
        <v>1215</v>
      </c>
      <c r="C43" s="28" t="n">
        <f aca="false">Balance_21!$D$33</f>
        <v>708087053.99</v>
      </c>
      <c r="D43" s="28" t="n">
        <f aca="false">SUMIFS(E5:E31,$A$5:$A$31,"*-L*")+SUMIFS(G5:G31,$A$5:$A$31,"*-L*")</f>
        <v>610222787.84</v>
      </c>
      <c r="E43" s="28" t="n">
        <f aca="false">C43-D43</f>
        <v>97864266.15</v>
      </c>
      <c r="G43" s="11" t="s">
        <v>1216</v>
      </c>
      <c r="H43" s="11"/>
      <c r="I43" s="11"/>
      <c r="J43" s="11"/>
      <c r="K43" s="11"/>
      <c r="L43" s="11"/>
      <c r="M43" s="11"/>
      <c r="N43" s="11"/>
    </row>
    <row r="44" customFormat="false" ht="25.5" hidden="false" customHeight="true" outlineLevel="0" collapsed="false">
      <c r="A44" s="22" t="s">
        <v>1217</v>
      </c>
      <c r="B44" s="22" t="s">
        <v>1218</v>
      </c>
      <c r="C44" s="28" t="n">
        <f aca="false">Gasto_Intereses!B14</f>
        <v>3545892933.2</v>
      </c>
      <c r="D44" s="28" t="n">
        <f aca="false">I32</f>
        <v>3326731750.36</v>
      </c>
      <c r="E44" s="28" t="n">
        <f aca="false">C44-D44</f>
        <v>219161182.84</v>
      </c>
      <c r="G44" s="11" t="s">
        <v>1219</v>
      </c>
      <c r="H44" s="11"/>
      <c r="I44" s="11"/>
      <c r="J44" s="11"/>
      <c r="K44" s="11"/>
      <c r="L44" s="11"/>
      <c r="M44" s="11"/>
      <c r="N44" s="11"/>
    </row>
  </sheetData>
  <mergeCells count="7">
    <mergeCell ref="G38:N38"/>
    <mergeCell ref="G39:N39"/>
    <mergeCell ref="G40:N40"/>
    <mergeCell ref="G41:N41"/>
    <mergeCell ref="G42:N42"/>
    <mergeCell ref="G43:N43"/>
    <mergeCell ref="G44:N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9" min="2" style="0" width="1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19" t="s">
        <v>1220</v>
      </c>
    </row>
    <row r="2" customFormat="false" ht="15" hidden="false" customHeight="false" outlineLevel="0" collapsed="false">
      <c r="A2" s="20" t="s">
        <v>1221</v>
      </c>
    </row>
    <row r="4" customFormat="false" ht="30" hidden="false" customHeight="true" outlineLevel="0" collapsed="false">
      <c r="A4" s="27" t="s">
        <v>159</v>
      </c>
      <c r="B4" s="27" t="s">
        <v>1222</v>
      </c>
      <c r="C4" s="27" t="s">
        <v>1223</v>
      </c>
      <c r="D4" s="27" t="s">
        <v>1224</v>
      </c>
      <c r="E4" s="27" t="s">
        <v>1225</v>
      </c>
      <c r="F4" s="27" t="s">
        <v>1226</v>
      </c>
      <c r="G4" s="27"/>
      <c r="H4" s="27"/>
      <c r="I4" s="27"/>
      <c r="J4" s="27" t="s">
        <v>290</v>
      </c>
    </row>
    <row r="5" customFormat="false" ht="20.85" hidden="false" customHeight="false" outlineLevel="0" collapsed="false">
      <c r="A5" s="22" t="s">
        <v>286</v>
      </c>
      <c r="B5" s="28" t="n">
        <f aca="false">SUMIFS($G$18:$G$44,$B$18:$B$44,"Crédito")</f>
        <v>18632833334.6667</v>
      </c>
      <c r="C5" s="28" t="n">
        <f aca="false">SUMIFS($H$18:$H$44,$B$18:$B$44,"Crédito")</f>
        <v>18654166666.67</v>
      </c>
      <c r="D5" s="28" t="n">
        <f aca="false">-Balance_21!$F$16</f>
        <v>17938333333</v>
      </c>
      <c r="E5" s="28" t="n">
        <f aca="false">-Balance_21!$F$18</f>
        <v>20362333333</v>
      </c>
      <c r="F5" s="28" t="n">
        <f aca="false">D5+E5</f>
        <v>38300666666</v>
      </c>
      <c r="J5" s="11" t="s">
        <v>1227</v>
      </c>
    </row>
    <row r="6" customFormat="false" ht="15" hidden="false" customHeight="false" outlineLevel="0" collapsed="false">
      <c r="A6" s="22" t="s">
        <v>1228</v>
      </c>
      <c r="B6" s="28" t="n">
        <f aca="false">SUMIFS($G$18:$G$44,$B$18:$B$44,"Leasing")</f>
        <v>2040379041.74745</v>
      </c>
      <c r="C6" s="28" t="n">
        <f aca="false">SUMIFS($H$18:$H$44,$B$18:$B$44,"Leasing")</f>
        <v>2687331952.87034</v>
      </c>
      <c r="D6" s="28" t="n">
        <f aca="false">-Balance_21!$F$22</f>
        <v>1158243387.4</v>
      </c>
      <c r="E6" s="28" t="n">
        <f aca="false">-Balance_21!$F$24</f>
        <v>6745268240.93</v>
      </c>
      <c r="F6" s="28" t="n">
        <f aca="false">D6+E6</f>
        <v>7903511628.33</v>
      </c>
      <c r="J6" s="11" t="s">
        <v>1229</v>
      </c>
    </row>
    <row r="7" customFormat="false" ht="15" hidden="false" customHeight="false" outlineLevel="0" collapsed="false">
      <c r="A7" s="36" t="s">
        <v>101</v>
      </c>
      <c r="B7" s="52" t="n">
        <f aca="false">B5+B6</f>
        <v>20673212376.4141</v>
      </c>
      <c r="C7" s="52" t="n">
        <f aca="false">C5+C6</f>
        <v>21341498619.5403</v>
      </c>
      <c r="D7" s="52" t="n">
        <f aca="false">D5+D6</f>
        <v>19096576720.4</v>
      </c>
      <c r="E7" s="52" t="n">
        <f aca="false">E5+E6</f>
        <v>27107601573.93</v>
      </c>
      <c r="F7" s="52" t="n">
        <f aca="false">F5+F6</f>
        <v>46204178294.33</v>
      </c>
    </row>
    <row r="9" customFormat="false" ht="15" hidden="false" customHeight="false" outlineLevel="0" collapsed="false">
      <c r="A9" s="21" t="s">
        <v>1230</v>
      </c>
    </row>
    <row r="10" customFormat="false" ht="30" hidden="false" customHeight="true" outlineLevel="0" collapsed="false">
      <c r="A10" s="27" t="s">
        <v>159</v>
      </c>
      <c r="B10" s="27" t="s">
        <v>1231</v>
      </c>
      <c r="C10" s="27"/>
      <c r="D10" s="27"/>
      <c r="E10" s="27"/>
      <c r="F10" s="27"/>
      <c r="G10" s="27"/>
      <c r="H10" s="27"/>
      <c r="I10" s="27"/>
      <c r="J10" s="27" t="s">
        <v>290</v>
      </c>
    </row>
    <row r="11" customFormat="false" ht="15" hidden="false" customHeight="false" outlineLevel="0" collapsed="false">
      <c r="A11" s="22" t="s">
        <v>1232</v>
      </c>
      <c r="B11" s="25" t="n">
        <f aca="false">B5-D5</f>
        <v>694500001.666668</v>
      </c>
    </row>
    <row r="12" customFormat="false" ht="20.85" hidden="false" customHeight="false" outlineLevel="0" collapsed="false">
      <c r="A12" s="22" t="s">
        <v>1233</v>
      </c>
      <c r="B12" s="25" t="n">
        <f aca="false">B6-D6</f>
        <v>882135654.347453</v>
      </c>
      <c r="J12" s="11" t="s">
        <v>1234</v>
      </c>
    </row>
    <row r="13" customFormat="false" ht="15" hidden="false" customHeight="false" outlineLevel="0" collapsed="false">
      <c r="A13" s="22" t="s">
        <v>1235</v>
      </c>
      <c r="B13" s="25" t="n">
        <f aca="false">-Balance_21!$F$19</f>
        <v>31135731.73</v>
      </c>
    </row>
    <row r="16" customFormat="false" ht="15" hidden="false" customHeight="false" outlineLevel="0" collapsed="false">
      <c r="A16" s="21" t="s">
        <v>1236</v>
      </c>
    </row>
    <row r="17" customFormat="false" ht="36" hidden="false" customHeight="true" outlineLevel="0" collapsed="false">
      <c r="A17" s="27" t="s">
        <v>314</v>
      </c>
      <c r="B17" s="27" t="s">
        <v>381</v>
      </c>
      <c r="C17" s="27" t="s">
        <v>503</v>
      </c>
      <c r="D17" s="27" t="s">
        <v>1237</v>
      </c>
      <c r="E17" s="27" t="s">
        <v>653</v>
      </c>
      <c r="F17" s="27" t="s">
        <v>1238</v>
      </c>
      <c r="G17" s="27" t="s">
        <v>1239</v>
      </c>
      <c r="H17" s="27" t="s">
        <v>1223</v>
      </c>
      <c r="I17" s="27" t="s">
        <v>1240</v>
      </c>
      <c r="J17" s="27" t="s">
        <v>1241</v>
      </c>
    </row>
    <row r="18" customFormat="false" ht="15" hidden="false" customHeight="false" outlineLevel="0" collapsed="false">
      <c r="A18" s="29" t="s">
        <v>119</v>
      </c>
      <c r="B18" s="22" t="s">
        <v>170</v>
      </c>
      <c r="C18" s="28" t="n">
        <f aca="false">Pruebas_Auditoria!H148</f>
        <v>0</v>
      </c>
      <c r="D18" s="23" t="str">
        <f aca="false">IFERROR(INDEX(Detalle_62!$P$14:$P$35,MATCH(A18,Detalle_62!$C$14:$C$35,0)),"N/D")</f>
        <v>N/D</v>
      </c>
      <c r="E18" s="28" t="str">
        <f aca="false">IFERROR(INDEX(Tablas_Amortizacion!$V$8:$V$44,MATCH(A18,Tablas_Amortizacion!$A$8:$A$44,0)),"Sin tabla")</f>
        <v>Sin tabla</v>
      </c>
      <c r="F18" s="28" t="n">
        <f aca="false">SUMIFS(Mayor_Dic25!$G$5:$G$200,Mayor_Dic25!$J$5:$J$200,A18,Mayor_Dic25!$C$5:$C$200,"21050100")+SUMIFS(Mayor_Mov!$F$5:$F$445,Mayor_Mov!$N$5:$N$445,A18,Mayor_Mov!$B$5:$B$445,"21050100")-SUMIFS(Mayor_Mov!$E$5:$E$445,Mayor_Mov!$N$5:$N$445,A18,Mayor_Mov!$B$5:$B$445,"21050100")</f>
        <v>0</v>
      </c>
      <c r="G18" s="28" t="n">
        <f aca="false">IF(C18&lt;=0,0,IF(AND(ISNUMBER(D18),D18&lt;=DATE(2027,7,31)),C18,IF(ISNUMBER(E18),MIN(MAX(E18,0),C18),MIN(MAX(F18,0),C18))))</f>
        <v>0</v>
      </c>
      <c r="H18" s="28" t="n">
        <f aca="false">SUMIFS(Detalle_62!$W$14:$W$35,Detalle_62!$C$14:$C$35,A18)</f>
        <v>0</v>
      </c>
      <c r="I18" s="28" t="n">
        <f aca="false">G18-H18</f>
        <v>0</v>
      </c>
      <c r="J18" s="11" t="str">
        <f aca="false">IF(C18&lt;=0,"Sin saldo",IF(AND(ISNUMBER(D18),D18&lt;=DATE(2027,7,31)),"Vence en 12 meses: todo corriente",IF(ISNUMBER(E18),"Capital próximos 12 meses según tabla","Sin tabla: se mantiene CP contable [P]")))</f>
        <v>Sin saldo</v>
      </c>
    </row>
    <row r="19" customFormat="false" ht="15" hidden="false" customHeight="false" outlineLevel="0" collapsed="false">
      <c r="A19" s="29" t="s">
        <v>120</v>
      </c>
      <c r="B19" s="22" t="s">
        <v>170</v>
      </c>
      <c r="C19" s="28" t="n">
        <f aca="false">Pruebas_Auditoria!H149</f>
        <v>3000000000</v>
      </c>
      <c r="D19" s="23" t="n">
        <f aca="false">IFERROR(INDEX(Detalle_62!$P$14:$P$35,MATCH(A19,Detalle_62!$C$14:$C$35,0)),"N/D")</f>
        <v>51710</v>
      </c>
      <c r="E19" s="28" t="n">
        <f aca="false">IFERROR(INDEX(Tablas_Amortizacion!$V$8:$V$44,MATCH(A19,Tablas_Amortizacion!$A$8:$A$44,0)),"Sin tabla")</f>
        <v>0</v>
      </c>
      <c r="F19" s="28" t="n">
        <f aca="false">SUMIFS(Mayor_Dic25!$G$5:$G$200,Mayor_Dic25!$J$5:$J$200,A19,Mayor_Dic25!$C$5:$C$200,"21050100")+SUMIFS(Mayor_Mov!$F$5:$F$445,Mayor_Mov!$N$5:$N$445,A19,Mayor_Mov!$B$5:$B$445,"21050100")-SUMIFS(Mayor_Mov!$E$5:$E$445,Mayor_Mov!$N$5:$N$445,A19,Mayor_Mov!$B$5:$B$445,"21050100")</f>
        <v>0</v>
      </c>
      <c r="G19" s="28" t="n">
        <f aca="false">IF(C19&lt;=0,0,IF(AND(ISNUMBER(D19),D19&lt;=DATE(2027,7,31)),C19,IF(ISNUMBER(E19),MIN(MAX(E19,0),C19),MIN(MAX(F19,0),C19))))</f>
        <v>0</v>
      </c>
      <c r="H19" s="28" t="n">
        <f aca="false">SUMIFS(Detalle_62!$W$14:$W$35,Detalle_62!$C$14:$C$35,A19)</f>
        <v>0</v>
      </c>
      <c r="I19" s="28" t="n">
        <f aca="false">G19-H19</f>
        <v>0</v>
      </c>
      <c r="J19" s="11" t="str">
        <f aca="false">IF(C19&lt;=0,"Sin saldo",IF(AND(ISNUMBER(D19),D19&lt;=DATE(2027,7,31)),"Vence en 12 meses: todo corriente",IF(ISNUMBER(E19),"Capital próximos 12 meses según tabla","Sin tabla: se mantiene CP contable [P]")))</f>
        <v>Capital próximos 12 meses según tabla</v>
      </c>
    </row>
    <row r="20" customFormat="false" ht="15" hidden="false" customHeight="false" outlineLevel="0" collapsed="false">
      <c r="A20" s="29" t="s">
        <v>121</v>
      </c>
      <c r="B20" s="22" t="s">
        <v>170</v>
      </c>
      <c r="C20" s="28" t="n">
        <f aca="false">Pruebas_Auditoria!H150</f>
        <v>7500000000</v>
      </c>
      <c r="D20" s="23" t="n">
        <f aca="false">IFERROR(INDEX(Detalle_62!$P$14:$P$35,MATCH(A20,Detalle_62!$C$14:$C$35,0)),"N/D")</f>
        <v>52677</v>
      </c>
      <c r="E20" s="28" t="n">
        <f aca="false">IFERROR(INDEX(Tablas_Amortizacion!$V$8:$V$44,MATCH(A20,Tablas_Amortizacion!$A$8:$A$44,0)),"Sin tabla")</f>
        <v>0</v>
      </c>
      <c r="F20" s="28" t="n">
        <f aca="false">SUMIFS(Mayor_Dic25!$G$5:$G$200,Mayor_Dic25!$J$5:$J$200,A20,Mayor_Dic25!$C$5:$C$200,"21050100")+SUMIFS(Mayor_Mov!$F$5:$F$445,Mayor_Mov!$N$5:$N$445,A20,Mayor_Mov!$B$5:$B$445,"21050100")-SUMIFS(Mayor_Mov!$E$5:$E$445,Mayor_Mov!$N$5:$N$445,A20,Mayor_Mov!$B$5:$B$445,"21050100")</f>
        <v>0</v>
      </c>
      <c r="G20" s="28" t="n">
        <f aca="false">IF(C20&lt;=0,0,IF(AND(ISNUMBER(D20),D20&lt;=DATE(2027,7,31)),C20,IF(ISNUMBER(E20),MIN(MAX(E20,0),C20),MIN(MAX(F20,0),C20))))</f>
        <v>0</v>
      </c>
      <c r="H20" s="28" t="n">
        <f aca="false">SUMIFS(Detalle_62!$W$14:$W$35,Detalle_62!$C$14:$C$35,A20)</f>
        <v>0</v>
      </c>
      <c r="I20" s="28" t="n">
        <f aca="false">G20-H20</f>
        <v>0</v>
      </c>
      <c r="J20" s="11" t="str">
        <f aca="false">IF(C20&lt;=0,"Sin saldo",IF(AND(ISNUMBER(D20),D20&lt;=DATE(2027,7,31)),"Vence en 12 meses: todo corriente",IF(ISNUMBER(E20),"Capital próximos 12 meses según tabla","Sin tabla: se mantiene CP contable [P]")))</f>
        <v>Capital próximos 12 meses según tabla</v>
      </c>
    </row>
    <row r="21" customFormat="false" ht="15" hidden="false" customHeight="false" outlineLevel="0" collapsed="false">
      <c r="A21" s="29" t="s">
        <v>122</v>
      </c>
      <c r="B21" s="22" t="s">
        <v>170</v>
      </c>
      <c r="C21" s="28" t="n">
        <f aca="false">Pruebas_Auditoria!H151</f>
        <v>3960000000</v>
      </c>
      <c r="D21" s="23" t="n">
        <f aca="false">IFERROR(INDEX(Detalle_62!$P$14:$P$35,MATCH(A21,Detalle_62!$C$14:$C$35,0)),"N/D")</f>
        <v>51710</v>
      </c>
      <c r="E21" s="28" t="n">
        <f aca="false">IFERROR(INDEX(Tablas_Amortizacion!$V$8:$V$44,MATCH(A21,Tablas_Amortizacion!$A$8:$A$44,0)),"Sin tabla")</f>
        <v>0</v>
      </c>
      <c r="F21" s="28" t="n">
        <f aca="false">SUMIFS(Mayor_Dic25!$G$5:$G$200,Mayor_Dic25!$J$5:$J$200,A21,Mayor_Dic25!$C$5:$C$200,"21050100")+SUMIFS(Mayor_Mov!$F$5:$F$445,Mayor_Mov!$N$5:$N$445,A21,Mayor_Mov!$B$5:$B$445,"21050100")-SUMIFS(Mayor_Mov!$E$5:$E$445,Mayor_Mov!$N$5:$N$445,A21,Mayor_Mov!$B$5:$B$445,"21050100")</f>
        <v>0</v>
      </c>
      <c r="G21" s="28" t="n">
        <f aca="false">IF(C21&lt;=0,0,IF(AND(ISNUMBER(D21),D21&lt;=DATE(2027,7,31)),C21,IF(ISNUMBER(E21),MIN(MAX(E21,0),C21),MIN(MAX(F21,0),C21))))</f>
        <v>0</v>
      </c>
      <c r="H21" s="28" t="n">
        <f aca="false">SUMIFS(Detalle_62!$W$14:$W$35,Detalle_62!$C$14:$C$35,A21)</f>
        <v>0</v>
      </c>
      <c r="I21" s="28" t="n">
        <f aca="false">G21-H21</f>
        <v>0</v>
      </c>
      <c r="J21" s="11" t="str">
        <f aca="false">IF(C21&lt;=0,"Sin saldo",IF(AND(ISNUMBER(D21),D21&lt;=DATE(2027,7,31)),"Vence en 12 meses: todo corriente",IF(ISNUMBER(E21),"Capital próximos 12 meses según tabla","Sin tabla: se mantiene CP contable [P]")))</f>
        <v>Capital próximos 12 meses según tabla</v>
      </c>
    </row>
    <row r="22" customFormat="false" ht="15" hidden="false" customHeight="false" outlineLevel="0" collapsed="false">
      <c r="A22" s="29" t="s">
        <v>123</v>
      </c>
      <c r="B22" s="22" t="s">
        <v>388</v>
      </c>
      <c r="C22" s="28" t="n">
        <f aca="false">Pruebas_Auditoria!H152</f>
        <v>399387154</v>
      </c>
      <c r="D22" s="23" t="n">
        <f aca="false">IFERROR(INDEX(Detalle_62!$P$14:$P$35,MATCH(A22,Detalle_62!$C$14:$C$35,0)),"N/D")</f>
        <v>47037</v>
      </c>
      <c r="E22" s="28" t="n">
        <f aca="false">IFERROR(INDEX(Tablas_Amortizacion!$V$8:$V$44,MATCH(A22,Tablas_Amortizacion!$A$8:$A$44,0)),"Sin tabla")</f>
        <v>159681765.768447</v>
      </c>
      <c r="F22" s="28" t="n">
        <f aca="false">SUMIFS(Mayor_Dic25!$G$5:$G$200,Mayor_Dic25!$J$5:$J$200,A22,Mayor_Dic25!$C$5:$C$200,"21202040")+SUMIFS(Mayor_Mov!$F$5:$F$445,Mayor_Mov!$N$5:$N$445,A22,Mayor_Mov!$B$5:$B$445,"21202040")-SUMIFS(Mayor_Mov!$E$5:$E$445,Mayor_Mov!$N$5:$N$445,A22,Mayor_Mov!$B$5:$B$445,"21202040")</f>
        <v>113964073</v>
      </c>
      <c r="G22" s="28" t="n">
        <f aca="false">IF(C22&lt;=0,0,IF(AND(ISNUMBER(D22),D22&lt;=DATE(2027,7,31)),C22,IF(ISNUMBER(E22),MIN(MAX(E22,0),C22),MIN(MAX(F22,0),C22))))</f>
        <v>159681765.768447</v>
      </c>
      <c r="H22" s="28" t="n">
        <f aca="false">SUMIFS(Detalle_62!$W$14:$W$35,Detalle_62!$C$14:$C$35,A22)</f>
        <v>194846536</v>
      </c>
      <c r="I22" s="28" t="n">
        <f aca="false">G22-H22</f>
        <v>-35164770.2315533</v>
      </c>
      <c r="J22" s="11" t="str">
        <f aca="false">IF(C22&lt;=0,"Sin saldo",IF(AND(ISNUMBER(D22),D22&lt;=DATE(2027,7,31)),"Vence en 12 meses: todo corriente",IF(ISNUMBER(E22),"Capital próximos 12 meses según tabla","Sin tabla: se mantiene CP contable [P]")))</f>
        <v>Capital próximos 12 meses según tabla</v>
      </c>
    </row>
    <row r="23" customFormat="false" ht="15" hidden="false" customHeight="false" outlineLevel="0" collapsed="false">
      <c r="A23" s="29" t="s">
        <v>124</v>
      </c>
      <c r="B23" s="22" t="s">
        <v>388</v>
      </c>
      <c r="C23" s="28" t="n">
        <f aca="false">Pruebas_Auditoria!H153</f>
        <v>332999135</v>
      </c>
      <c r="D23" s="23" t="n">
        <f aca="false">IFERROR(INDEX(Detalle_62!$P$14:$P$35,MATCH(A23,Detalle_62!$C$14:$C$35,0)),"N/D")</f>
        <v>47098</v>
      </c>
      <c r="E23" s="28" t="n">
        <f aca="false">IFERROR(INDEX(Tablas_Amortizacion!$V$8:$V$44,MATCH(A23,Tablas_Amortizacion!$A$8:$A$44,0)),"Sin tabla")</f>
        <v>119739145.958007</v>
      </c>
      <c r="F23" s="28" t="n">
        <f aca="false">SUMIFS(Mayor_Dic25!$G$5:$G$200,Mayor_Dic25!$J$5:$J$200,A23,Mayor_Dic25!$C$5:$C$200,"21202040")+SUMIFS(Mayor_Mov!$F$5:$F$445,Mayor_Mov!$N$5:$N$445,A23,Mayor_Mov!$B$5:$B$445,"21202040")-SUMIFS(Mayor_Mov!$E$5:$E$445,Mayor_Mov!$N$5:$N$445,A23,Mayor_Mov!$B$5:$B$445,"21202040")</f>
        <v>123832017.4</v>
      </c>
      <c r="G23" s="28" t="n">
        <f aca="false">IF(C23&lt;=0,0,IF(AND(ISNUMBER(D23),D23&lt;=DATE(2027,7,31)),C23,IF(ISNUMBER(E23),MIN(MAX(E23,0),C23),MIN(MAX(F23,0),C23))))</f>
        <v>119739145.958007</v>
      </c>
      <c r="H23" s="28" t="n">
        <f aca="false">SUMIFS(Detalle_62!$W$14:$W$35,Detalle_62!$C$14:$C$35,A23)</f>
        <v>142014647.455294</v>
      </c>
      <c r="I23" s="28" t="n">
        <f aca="false">G23-H23</f>
        <v>-22275501.4972866</v>
      </c>
      <c r="J23" s="11" t="str">
        <f aca="false">IF(C23&lt;=0,"Sin saldo",IF(AND(ISNUMBER(D23),D23&lt;=DATE(2027,7,31)),"Vence en 12 meses: todo corriente",IF(ISNUMBER(E23),"Capital próximos 12 meses según tabla","Sin tabla: se mantiene CP contable [P]")))</f>
        <v>Capital próximos 12 meses según tabla</v>
      </c>
    </row>
    <row r="24" customFormat="false" ht="15" hidden="false" customHeight="false" outlineLevel="0" collapsed="false">
      <c r="A24" s="29" t="s">
        <v>125</v>
      </c>
      <c r="B24" s="22" t="s">
        <v>388</v>
      </c>
      <c r="C24" s="28" t="n">
        <f aca="false">Pruebas_Auditoria!H154</f>
        <v>1876684264</v>
      </c>
      <c r="D24" s="23" t="n">
        <f aca="false">IFERROR(INDEX(Detalle_62!$P$14:$P$35,MATCH(A24,Detalle_62!$C$14:$C$35,0)),"N/D")</f>
        <v>48235</v>
      </c>
      <c r="E24" s="28" t="n">
        <f aca="false">IFERROR(INDEX(Tablas_Amortizacion!$V$8:$V$44,MATCH(A24,Tablas_Amortizacion!$A$8:$A$44,0)),"Sin tabla")</f>
        <v>0</v>
      </c>
      <c r="F24" s="28" t="n">
        <f aca="false">SUMIFS(Mayor_Dic25!$G$5:$G$200,Mayor_Dic25!$J$5:$J$200,A24,Mayor_Dic25!$C$5:$C$200,"21202040")+SUMIFS(Mayor_Mov!$F$5:$F$445,Mayor_Mov!$N$5:$N$445,A24,Mayor_Mov!$B$5:$B$445,"21202040")-SUMIFS(Mayor_Mov!$E$5:$E$445,Mayor_Mov!$N$5:$N$445,A24,Mayor_Mov!$B$5:$B$445,"21202040")</f>
        <v>0</v>
      </c>
      <c r="G24" s="28" t="n">
        <f aca="false">IF(C24&lt;=0,0,IF(AND(ISNUMBER(D24),D24&lt;=DATE(2027,7,31)),C24,IF(ISNUMBER(E24),MIN(MAX(E24,0),C24),MIN(MAX(F24,0),C24))))</f>
        <v>0</v>
      </c>
      <c r="H24" s="28" t="n">
        <f aca="false">SUMIFS(Detalle_62!$W$14:$W$35,Detalle_62!$C$14:$C$35,A24)</f>
        <v>0</v>
      </c>
      <c r="I24" s="28" t="n">
        <f aca="false">G24-H24</f>
        <v>0</v>
      </c>
      <c r="J24" s="11" t="str">
        <f aca="false">IF(C24&lt;=0,"Sin saldo",IF(AND(ISNUMBER(D24),D24&lt;=DATE(2027,7,31)),"Vence en 12 meses: todo corriente",IF(ISNUMBER(E24),"Capital próximos 12 meses según tabla","Sin tabla: se mantiene CP contable [P]")))</f>
        <v>Capital próximos 12 meses según tabla</v>
      </c>
    </row>
    <row r="25" customFormat="false" ht="15" hidden="false" customHeight="false" outlineLevel="0" collapsed="false">
      <c r="A25" s="29" t="s">
        <v>126</v>
      </c>
      <c r="B25" s="22" t="s">
        <v>388</v>
      </c>
      <c r="C25" s="28" t="n">
        <f aca="false">Pruebas_Auditoria!H155</f>
        <v>213861900</v>
      </c>
      <c r="D25" s="23" t="str">
        <f aca="false">IFERROR(INDEX(Detalle_62!$P$14:$P$35,MATCH(A25,Detalle_62!$C$14:$C$35,0)),"N/D")</f>
        <v>N/D</v>
      </c>
      <c r="E25" s="28" t="str">
        <f aca="false">IFERROR(INDEX(Tablas_Amortizacion!$V$8:$V$44,MATCH(A25,Tablas_Amortizacion!$A$8:$A$44,0)),"Sin tabla")</f>
        <v>Sin tabla</v>
      </c>
      <c r="F25" s="28" t="n">
        <f aca="false">SUMIFS(Mayor_Dic25!$G$5:$G$200,Mayor_Dic25!$J$5:$J$200,A25,Mayor_Dic25!$C$5:$C$200,"21202040")+SUMIFS(Mayor_Mov!$F$5:$F$445,Mayor_Mov!$N$5:$N$445,A25,Mayor_Mov!$B$5:$B$445,"21202040")-SUMIFS(Mayor_Mov!$E$5:$E$445,Mayor_Mov!$N$5:$N$445,A25,Mayor_Mov!$B$5:$B$445,"21202040")</f>
        <v>0</v>
      </c>
      <c r="G25" s="28" t="n">
        <f aca="false">IF(C25&lt;=0,0,IF(AND(ISNUMBER(D25),D25&lt;=DATE(2027,7,31)),C25,IF(ISNUMBER(E25),MIN(MAX(E25,0),C25),MIN(MAX(F25,0),C25))))</f>
        <v>0</v>
      </c>
      <c r="H25" s="28" t="n">
        <f aca="false">SUMIFS(Detalle_62!$W$14:$W$35,Detalle_62!$C$14:$C$35,A25)</f>
        <v>0</v>
      </c>
      <c r="I25" s="28" t="n">
        <f aca="false">G25-H25</f>
        <v>0</v>
      </c>
      <c r="J25" s="11" t="str">
        <f aca="false">IF(C25&lt;=0,"Sin saldo",IF(AND(ISNUMBER(D25),D25&lt;=DATE(2027,7,31)),"Vence en 12 meses: todo corriente",IF(ISNUMBER(E25),"Capital próximos 12 meses según tabla","Sin tabla: se mantiene CP contable [P]")))</f>
        <v>Sin tabla: se mantiene CP contable [P]</v>
      </c>
    </row>
    <row r="26" customFormat="false" ht="15" hidden="false" customHeight="false" outlineLevel="0" collapsed="false">
      <c r="A26" s="29" t="s">
        <v>129</v>
      </c>
      <c r="B26" s="22" t="s">
        <v>170</v>
      </c>
      <c r="C26" s="28" t="n">
        <f aca="false">Pruebas_Auditoria!H156</f>
        <v>2937500000</v>
      </c>
      <c r="D26" s="23" t="n">
        <f aca="false">IFERROR(INDEX(Detalle_62!$P$14:$P$35,MATCH(A26,Detalle_62!$C$14:$C$35,0)),"N/D")</f>
        <v>47651</v>
      </c>
      <c r="E26" s="28" t="n">
        <f aca="false">IFERROR(INDEX(Tablas_Amortizacion!$V$8:$V$44,MATCH(A26,Tablas_Amortizacion!$A$8:$A$44,0)),"Sin tabla")</f>
        <v>750000000</v>
      </c>
      <c r="F26" s="28" t="n">
        <f aca="false">SUMIFS(Mayor_Dic25!$G$5:$G$200,Mayor_Dic25!$J$5:$J$200,A26,Mayor_Dic25!$C$5:$C$200,"21050100")+SUMIFS(Mayor_Mov!$F$5:$F$445,Mayor_Mov!$N$5:$N$445,A26,Mayor_Mov!$B$5:$B$445,"21050100")-SUMIFS(Mayor_Mov!$E$5:$E$445,Mayor_Mov!$N$5:$N$445,A26,Mayor_Mov!$B$5:$B$445,"21050100")</f>
        <v>750000000</v>
      </c>
      <c r="G26" s="28" t="n">
        <f aca="false">IF(C26&lt;=0,0,IF(AND(ISNUMBER(D26),D26&lt;=DATE(2027,7,31)),C26,IF(ISNUMBER(E26),MIN(MAX(E26,0),C26),MIN(MAX(F26,0),C26))))</f>
        <v>750000000</v>
      </c>
      <c r="H26" s="28" t="n">
        <f aca="false">SUMIFS(Detalle_62!$W$14:$W$35,Detalle_62!$C$14:$C$35,A26)</f>
        <v>750000000</v>
      </c>
      <c r="I26" s="28" t="n">
        <f aca="false">G26-H26</f>
        <v>0</v>
      </c>
      <c r="J26" s="11" t="str">
        <f aca="false">IF(C26&lt;=0,"Sin saldo",IF(AND(ISNUMBER(D26),D26&lt;=DATE(2027,7,31)),"Vence en 12 meses: todo corriente",IF(ISNUMBER(E26),"Capital próximos 12 meses según tabla","Sin tabla: se mantiene CP contable [P]")))</f>
        <v>Capital próximos 12 meses según tabla</v>
      </c>
    </row>
    <row r="27" customFormat="false" ht="15" hidden="false" customHeight="false" outlineLevel="0" collapsed="false">
      <c r="A27" s="29" t="s">
        <v>130</v>
      </c>
      <c r="B27" s="22" t="s">
        <v>170</v>
      </c>
      <c r="C27" s="28" t="n">
        <f aca="false">Pruebas_Auditoria!H157</f>
        <v>1457333332</v>
      </c>
      <c r="D27" s="23" t="n">
        <f aca="false">IFERROR(INDEX(Detalle_62!$P$14:$P$35,MATCH(A27,Detalle_62!$C$14:$C$35,0)),"N/D")</f>
        <v>46925</v>
      </c>
      <c r="E27" s="28" t="n">
        <f aca="false">IFERROR(INDEX(Tablas_Amortizacion!$V$8:$V$44,MATCH(A27,Tablas_Amortizacion!$A$8:$A$44,0)),"Sin tabla")</f>
        <v>728666668</v>
      </c>
      <c r="F27" s="28" t="n">
        <f aca="false">SUMIFS(Mayor_Dic25!$G$5:$G$200,Mayor_Dic25!$J$5:$J$200,A27,Mayor_Dic25!$C$5:$C$200,"21050100")+SUMIFS(Mayor_Mov!$F$5:$F$445,Mayor_Mov!$N$5:$N$445,A27,Mayor_Mov!$B$5:$B$445,"21050100")-SUMIFS(Mayor_Mov!$E$5:$E$445,Mayor_Mov!$N$5:$N$445,A27,Mayor_Mov!$B$5:$B$445,"21050100")</f>
        <v>446666666</v>
      </c>
      <c r="G27" s="28" t="n">
        <f aca="false">IF(C27&lt;=0,0,IF(AND(ISNUMBER(D27),D27&lt;=DATE(2027,7,31)),C27,IF(ISNUMBER(E27),MIN(MAX(E27,0),C27),MIN(MAX(F27,0),C27))))</f>
        <v>728666668</v>
      </c>
      <c r="H27" s="28" t="n">
        <f aca="false">SUMIFS(Detalle_62!$W$14:$W$35,Detalle_62!$C$14:$C$35,A27)</f>
        <v>750000000</v>
      </c>
      <c r="I27" s="28" t="n">
        <f aca="false">G27-H27</f>
        <v>-21333332</v>
      </c>
      <c r="J27" s="11" t="str">
        <f aca="false">IF(C27&lt;=0,"Sin saldo",IF(AND(ISNUMBER(D27),D27&lt;=DATE(2027,7,31)),"Vence en 12 meses: todo corriente",IF(ISNUMBER(E27),"Capital próximos 12 meses según tabla","Sin tabla: se mantiene CP contable [P]")))</f>
        <v>Capital próximos 12 meses según tabla</v>
      </c>
    </row>
    <row r="28" customFormat="false" ht="15" hidden="false" customHeight="false" outlineLevel="0" collapsed="false">
      <c r="A28" s="29" t="s">
        <v>131</v>
      </c>
      <c r="B28" s="22" t="s">
        <v>170</v>
      </c>
      <c r="C28" s="28" t="n">
        <f aca="false">Pruebas_Auditoria!H158</f>
        <v>1125000000</v>
      </c>
      <c r="D28" s="23" t="n">
        <f aca="false">IFERROR(INDEX(Detalle_62!$P$14:$P$35,MATCH(A28,Detalle_62!$C$14:$C$35,0)),"N/D")</f>
        <v>46990</v>
      </c>
      <c r="E28" s="28" t="n">
        <f aca="false">IFERROR(INDEX(Tablas_Amortizacion!$V$8:$V$44,MATCH(A28,Tablas_Amortizacion!$A$8:$A$44,0)),"Sin tabla")</f>
        <v>500000000</v>
      </c>
      <c r="F28" s="28" t="n">
        <f aca="false">SUMIFS(Mayor_Dic25!$G$5:$G$200,Mayor_Dic25!$J$5:$J$200,A28,Mayor_Dic25!$C$5:$C$200,"21050100")+SUMIFS(Mayor_Mov!$F$5:$F$445,Mayor_Mov!$N$5:$N$445,A28,Mayor_Mov!$B$5:$B$445,"21050100")-SUMIFS(Mayor_Mov!$E$5:$E$445,Mayor_Mov!$N$5:$N$445,A28,Mayor_Mov!$B$5:$B$445,"21050100")</f>
        <v>375000000</v>
      </c>
      <c r="G28" s="28" t="n">
        <f aca="false">IF(C28&lt;=0,0,IF(AND(ISNUMBER(D28),D28&lt;=DATE(2027,7,31)),C28,IF(ISNUMBER(E28),MIN(MAX(E28,0),C28),MIN(MAX(F28,0),C28))))</f>
        <v>500000000</v>
      </c>
      <c r="H28" s="28" t="n">
        <f aca="false">SUMIFS(Detalle_62!$W$14:$W$35,Detalle_62!$C$14:$C$35,A28)</f>
        <v>500000000</v>
      </c>
      <c r="I28" s="28" t="n">
        <f aca="false">G28-H28</f>
        <v>0</v>
      </c>
      <c r="J28" s="11" t="str">
        <f aca="false">IF(C28&lt;=0,"Sin saldo",IF(AND(ISNUMBER(D28),D28&lt;=DATE(2027,7,31)),"Vence en 12 meses: todo corriente",IF(ISNUMBER(E28),"Capital próximos 12 meses según tabla","Sin tabla: se mantiene CP contable [P]")))</f>
        <v>Capital próximos 12 meses según tabla</v>
      </c>
    </row>
    <row r="29" customFormat="false" ht="15" hidden="false" customHeight="false" outlineLevel="0" collapsed="false">
      <c r="A29" s="29" t="s">
        <v>132</v>
      </c>
      <c r="B29" s="22" t="s">
        <v>170</v>
      </c>
      <c r="C29" s="28" t="n">
        <f aca="false">Pruebas_Auditoria!H159</f>
        <v>10000000000</v>
      </c>
      <c r="D29" s="23" t="n">
        <v>46409</v>
      </c>
      <c r="E29" s="28" t="n">
        <f aca="false">IFERROR(INDEX(Tablas_Amortizacion!$V$8:$V$44,MATCH(A29,Tablas_Amortizacion!$A$8:$A$44,0)),"Sin tabla")</f>
        <v>0</v>
      </c>
      <c r="F29" s="28" t="n">
        <f aca="false">SUMIFS(Mayor_Dic25!$G$5:$G$200,Mayor_Dic25!$J$5:$J$200,A29,Mayor_Dic25!$C$5:$C$200,"21050100")+SUMIFS(Mayor_Mov!$F$5:$F$445,Mayor_Mov!$N$5:$N$445,A29,Mayor_Mov!$B$5:$B$445,"21050100")-SUMIFS(Mayor_Mov!$E$5:$E$445,Mayor_Mov!$N$5:$N$445,A29,Mayor_Mov!$B$5:$B$445,"21050100")</f>
        <v>10000000000</v>
      </c>
      <c r="G29" s="28" t="n">
        <f aca="false">IF(C29&lt;=0,0,IF(AND(ISNUMBER(D29),D29&lt;=DATE(2027,7,31)),C29,IF(ISNUMBER(E29),MIN(MAX(E29,0),C29),MIN(MAX(F29,0),C29))))</f>
        <v>10000000000</v>
      </c>
      <c r="H29" s="28" t="n">
        <f aca="false">SUMIFS(Detalle_62!$W$14:$W$35,Detalle_62!$C$14:$C$35,A29)</f>
        <v>10000000000</v>
      </c>
      <c r="I29" s="28" t="n">
        <f aca="false">G29-H29</f>
        <v>0</v>
      </c>
      <c r="J29" s="11" t="str">
        <f aca="false">IF(C29&lt;=0,"Sin saldo",IF(AND(ISNUMBER(D29),D29&lt;=DATE(2027,7,31)),"Vence en 12 meses: todo corriente",IF(ISNUMBER(E29),"Capital próximos 12 meses según tabla","Sin tabla: se mantiene CP contable [P]")))</f>
        <v>Vence en 12 meses: todo corriente</v>
      </c>
    </row>
    <row r="30" customFormat="false" ht="15" hidden="false" customHeight="false" outlineLevel="0" collapsed="false">
      <c r="A30" s="29" t="s">
        <v>133</v>
      </c>
      <c r="B30" s="22" t="s">
        <v>388</v>
      </c>
      <c r="C30" s="28" t="n">
        <f aca="false">Pruebas_Auditoria!H160</f>
        <v>396112029.98</v>
      </c>
      <c r="D30" s="23" t="n">
        <f aca="false">IFERROR(INDEX(Detalle_62!$P$14:$P$35,MATCH(A30,Detalle_62!$C$14:$C$35,0)),"N/D")</f>
        <v>47503</v>
      </c>
      <c r="E30" s="28" t="n">
        <f aca="false">IFERROR(INDEX(Tablas_Amortizacion!$V$8:$V$44,MATCH(A30,Tablas_Amortizacion!$A$8:$A$44,0)),"Sin tabla")</f>
        <v>89122277.0882225</v>
      </c>
      <c r="F30" s="28" t="n">
        <f aca="false">SUMIFS(Mayor_Dic25!$G$5:$G$200,Mayor_Dic25!$J$5:$J$200,A30,Mayor_Dic25!$C$5:$C$200,"21202040")+SUMIFS(Mayor_Mov!$F$5:$F$445,Mayor_Mov!$N$5:$N$445,A30,Mayor_Mov!$B$5:$B$445,"21202040")-SUMIFS(Mayor_Mov!$E$5:$E$445,Mayor_Mov!$N$5:$N$445,A30,Mayor_Mov!$B$5:$B$445,"21202040")</f>
        <v>0</v>
      </c>
      <c r="G30" s="28" t="n">
        <f aca="false">IF(C30&lt;=0,0,IF(AND(ISNUMBER(D30),D30&lt;=DATE(2027,7,31)),C30,IF(ISNUMBER(E30),MIN(MAX(E30,0),C30),MIN(MAX(F30,0),C30))))</f>
        <v>89122277.0882225</v>
      </c>
      <c r="H30" s="28" t="n">
        <f aca="false">SUMIFS(Detalle_62!$W$14:$W$35,Detalle_62!$C$14:$C$35,A30)</f>
        <v>175631569.283009</v>
      </c>
      <c r="I30" s="28" t="n">
        <f aca="false">G30-H30</f>
        <v>-86509292.1947861</v>
      </c>
      <c r="J30" s="11" t="str">
        <f aca="false">IF(C30&lt;=0,"Sin saldo",IF(AND(ISNUMBER(D30),D30&lt;=DATE(2027,7,31)),"Vence en 12 meses: todo corriente",IF(ISNUMBER(E30),"Capital próximos 12 meses según tabla","Sin tabla: se mantiene CP contable [P]")))</f>
        <v>Capital próximos 12 meses según tabla</v>
      </c>
    </row>
    <row r="31" customFormat="false" ht="15" hidden="false" customHeight="false" outlineLevel="0" collapsed="false">
      <c r="A31" s="29" t="s">
        <v>134</v>
      </c>
      <c r="B31" s="22" t="s">
        <v>388</v>
      </c>
      <c r="C31" s="28" t="n">
        <f aca="false">Pruebas_Auditoria!H161</f>
        <v>396112030.02</v>
      </c>
      <c r="D31" s="23" t="n">
        <f aca="false">IFERROR(INDEX(Detalle_62!$P$14:$P$35,MATCH(A31,Detalle_62!$C$14:$C$35,0)),"N/D")</f>
        <v>47503</v>
      </c>
      <c r="E31" s="28" t="n">
        <f aca="false">IFERROR(INDEX(Tablas_Amortizacion!$V$8:$V$44,MATCH(A31,Tablas_Amortizacion!$A$8:$A$44,0)),"Sin tabla")</f>
        <v>89122277.0882225</v>
      </c>
      <c r="F31" s="28" t="n">
        <f aca="false">SUMIFS(Mayor_Dic25!$G$5:$G$200,Mayor_Dic25!$J$5:$J$200,A31,Mayor_Dic25!$C$5:$C$200,"21202040")+SUMIFS(Mayor_Mov!$F$5:$F$445,Mayor_Mov!$N$5:$N$445,A31,Mayor_Mov!$B$5:$B$445,"21202040")-SUMIFS(Mayor_Mov!$E$5:$E$445,Mayor_Mov!$N$5:$N$445,A31,Mayor_Mov!$B$5:$B$445,"21202040")</f>
        <v>0</v>
      </c>
      <c r="G31" s="28" t="n">
        <f aca="false">IF(C31&lt;=0,0,IF(AND(ISNUMBER(D31),D31&lt;=DATE(2027,7,31)),C31,IF(ISNUMBER(E31),MIN(MAX(E31,0),C31),MIN(MAX(F31,0),C31))))</f>
        <v>89122277.0882225</v>
      </c>
      <c r="H31" s="28" t="n">
        <f aca="false">SUMIFS(Detalle_62!$W$14:$W$35,Detalle_62!$C$14:$C$35,A31)</f>
        <v>175631569.283009</v>
      </c>
      <c r="I31" s="28" t="n">
        <f aca="false">G31-H31</f>
        <v>-86509292.1947861</v>
      </c>
      <c r="J31" s="11" t="str">
        <f aca="false">IF(C31&lt;=0,"Sin saldo",IF(AND(ISNUMBER(D31),D31&lt;=DATE(2027,7,31)),"Vence en 12 meses: todo corriente",IF(ISNUMBER(E31),"Capital próximos 12 meses según tabla","Sin tabla: se mantiene CP contable [P]")))</f>
        <v>Capital próximos 12 meses según tabla</v>
      </c>
    </row>
    <row r="32" customFormat="false" ht="15" hidden="false" customHeight="false" outlineLevel="0" collapsed="false">
      <c r="A32" s="29" t="s">
        <v>135</v>
      </c>
      <c r="B32" s="22" t="s">
        <v>388</v>
      </c>
      <c r="C32" s="28" t="n">
        <f aca="false">Pruebas_Auditoria!H162</f>
        <v>253672104.96</v>
      </c>
      <c r="D32" s="23" t="n">
        <f aca="false">IFERROR(INDEX(Detalle_62!$P$14:$P$35,MATCH(A32,Detalle_62!$C$14:$C$35,0)),"N/D")</f>
        <v>46870</v>
      </c>
      <c r="E32" s="28" t="n">
        <f aca="false">IFERROR(INDEX(Tablas_Amortizacion!$V$8:$V$44,MATCH(A32,Tablas_Amortizacion!$A$8:$A$44,0)),"Sin tabla")</f>
        <v>94380151.2290461</v>
      </c>
      <c r="F32" s="28" t="n">
        <f aca="false">SUMIFS(Mayor_Dic25!$G$5:$G$200,Mayor_Dic25!$J$5:$J$200,A32,Mayor_Dic25!$C$5:$C$200,"21202040")+SUMIFS(Mayor_Mov!$F$5:$F$445,Mayor_Mov!$N$5:$N$445,A32,Mayor_Mov!$B$5:$B$445,"21202040")-SUMIFS(Mayor_Mov!$E$5:$E$445,Mayor_Mov!$N$5:$N$445,A32,Mayor_Mov!$B$5:$B$445,"21202040")</f>
        <v>0</v>
      </c>
      <c r="G32" s="28" t="n">
        <f aca="false">IF(C32&lt;=0,0,IF(AND(ISNUMBER(D32),D32&lt;=DATE(2027,7,31)),C32,IF(ISNUMBER(E32),MIN(MAX(E32,0),C32),MIN(MAX(F32,0),C32))))</f>
        <v>94380151.2290461</v>
      </c>
      <c r="H32" s="28" t="n">
        <f aca="false">SUMIFS(Detalle_62!$W$14:$W$35,Detalle_62!$C$14:$C$35,A32)</f>
        <v>175631569.283009</v>
      </c>
      <c r="I32" s="28" t="n">
        <f aca="false">G32-H32</f>
        <v>-81251418.0539625</v>
      </c>
      <c r="J32" s="11" t="str">
        <f aca="false">IF(C32&lt;=0,"Sin saldo",IF(AND(ISNUMBER(D32),D32&lt;=DATE(2027,7,31)),"Vence en 12 meses: todo corriente",IF(ISNUMBER(E32),"Capital próximos 12 meses según tabla","Sin tabla: se mantiene CP contable [P]")))</f>
        <v>Capital próximos 12 meses según tabla</v>
      </c>
    </row>
    <row r="33" customFormat="false" ht="15" hidden="false" customHeight="false" outlineLevel="0" collapsed="false">
      <c r="A33" s="29" t="s">
        <v>136</v>
      </c>
      <c r="B33" s="22" t="s">
        <v>388</v>
      </c>
      <c r="C33" s="28" t="n">
        <f aca="false">Pruebas_Auditoria!H163</f>
        <v>253672104.16</v>
      </c>
      <c r="D33" s="23" t="n">
        <f aca="false">IFERROR(INDEX(Detalle_62!$P$14:$P$35,MATCH(A33,Detalle_62!$C$14:$C$35,0)),"N/D")</f>
        <v>46870</v>
      </c>
      <c r="E33" s="28" t="n">
        <f aca="false">IFERROR(INDEX(Tablas_Amortizacion!$V$8:$V$44,MATCH(A33,Tablas_Amortizacion!$A$8:$A$44,0)),"Sin tabla")</f>
        <v>94380151.2290461</v>
      </c>
      <c r="F33" s="28" t="n">
        <f aca="false">SUMIFS(Mayor_Dic25!$G$5:$G$200,Mayor_Dic25!$J$5:$J$200,A33,Mayor_Dic25!$C$5:$C$200,"21202040")+SUMIFS(Mayor_Mov!$F$5:$F$445,Mayor_Mov!$N$5:$N$445,A33,Mayor_Mov!$B$5:$B$445,"21202040")-SUMIFS(Mayor_Mov!$E$5:$E$445,Mayor_Mov!$N$5:$N$445,A33,Mayor_Mov!$B$5:$B$445,"21202040")</f>
        <v>0</v>
      </c>
      <c r="G33" s="28" t="n">
        <f aca="false">IF(C33&lt;=0,0,IF(AND(ISNUMBER(D33),D33&lt;=DATE(2027,7,31)),C33,IF(ISNUMBER(E33),MIN(MAX(E33,0),C33),MIN(MAX(F33,0),C33))))</f>
        <v>94380151.2290461</v>
      </c>
      <c r="H33" s="28" t="n">
        <f aca="false">SUMIFS(Detalle_62!$W$14:$W$35,Detalle_62!$C$14:$C$35,A33)</f>
        <v>175631569.283009</v>
      </c>
      <c r="I33" s="28" t="n">
        <f aca="false">G33-H33</f>
        <v>-81251418.0539625</v>
      </c>
      <c r="J33" s="11" t="str">
        <f aca="false">IF(C33&lt;=0,"Sin saldo",IF(AND(ISNUMBER(D33),D33&lt;=DATE(2027,7,31)),"Vence en 12 meses: todo corriente",IF(ISNUMBER(E33),"Capital próximos 12 meses según tabla","Sin tabla: se mantiene CP contable [P]")))</f>
        <v>Capital próximos 12 meses según tabla</v>
      </c>
    </row>
    <row r="34" customFormat="false" ht="15" hidden="false" customHeight="false" outlineLevel="0" collapsed="false">
      <c r="A34" s="29" t="s">
        <v>137</v>
      </c>
      <c r="B34" s="22" t="s">
        <v>388</v>
      </c>
      <c r="C34" s="28" t="n">
        <f aca="false">Pruebas_Auditoria!H164</f>
        <v>396193943.4</v>
      </c>
      <c r="D34" s="23" t="n">
        <f aca="false">IFERROR(INDEX(Detalle_62!$P$14:$P$35,MATCH(A34,Detalle_62!$C$14:$C$35,0)),"N/D")</f>
        <v>47503</v>
      </c>
      <c r="E34" s="28" t="n">
        <f aca="false">IFERROR(INDEX(Tablas_Amortizacion!$V$8:$V$44,MATCH(A34,Tablas_Amortizacion!$A$8:$A$44,0)),"Sin tabla")</f>
        <v>89056070.4283575</v>
      </c>
      <c r="F34" s="28" t="n">
        <f aca="false">SUMIFS(Mayor_Dic25!$G$5:$G$200,Mayor_Dic25!$J$5:$J$200,A34,Mayor_Dic25!$C$5:$C$200,"21202040")+SUMIFS(Mayor_Mov!$F$5:$F$445,Mayor_Mov!$N$5:$N$445,A34,Mayor_Mov!$B$5:$B$445,"21202040")-SUMIFS(Mayor_Mov!$E$5:$E$445,Mayor_Mov!$N$5:$N$445,A34,Mayor_Mov!$B$5:$B$445,"21202040")</f>
        <v>0</v>
      </c>
      <c r="G34" s="28" t="n">
        <f aca="false">IF(C34&lt;=0,0,IF(AND(ISNUMBER(D34),D34&lt;=DATE(2027,7,31)),C34,IF(ISNUMBER(E34),MIN(MAX(E34,0),C34),MIN(MAX(F34,0),C34))))</f>
        <v>89056070.4283575</v>
      </c>
      <c r="H34" s="28" t="n">
        <f aca="false">SUMIFS(Detalle_62!$W$14:$W$35,Detalle_62!$C$14:$C$35,A34)</f>
        <v>175631569.283009</v>
      </c>
      <c r="I34" s="28" t="n">
        <f aca="false">G34-H34</f>
        <v>-86575498.8546511</v>
      </c>
      <c r="J34" s="11" t="str">
        <f aca="false">IF(C34&lt;=0,"Sin saldo",IF(AND(ISNUMBER(D34),D34&lt;=DATE(2027,7,31)),"Vence en 12 meses: todo corriente",IF(ISNUMBER(E34),"Capital próximos 12 meses según tabla","Sin tabla: se mantiene CP contable [P]")))</f>
        <v>Capital próximos 12 meses según tabla</v>
      </c>
    </row>
    <row r="35" customFormat="false" ht="15" hidden="false" customHeight="false" outlineLevel="0" collapsed="false">
      <c r="A35" s="29" t="s">
        <v>138</v>
      </c>
      <c r="B35" s="22" t="s">
        <v>388</v>
      </c>
      <c r="C35" s="28" t="n">
        <f aca="false">Pruebas_Auditoria!H165</f>
        <v>984246886.81</v>
      </c>
      <c r="D35" s="23" t="n">
        <f aca="false">IFERROR(INDEX(Detalle_62!$P$14:$P$35,MATCH(A35,Detalle_62!$C$14:$C$35,0)),"N/D")</f>
        <v>47321</v>
      </c>
      <c r="E35" s="28" t="n">
        <f aca="false">IFERROR(INDEX(Tablas_Amortizacion!$V$8:$V$44,MATCH(A35,Tablas_Amortizacion!$A$8:$A$44,0)),"Sin tabla")</f>
        <v>278537651.756876</v>
      </c>
      <c r="F35" s="28" t="n">
        <f aca="false">SUMIFS(Mayor_Dic25!$G$5:$G$200,Mayor_Dic25!$J$5:$J$200,A35,Mayor_Dic25!$C$5:$C$200,"21202040")+SUMIFS(Mayor_Mov!$F$5:$F$445,Mayor_Mov!$N$5:$N$445,A35,Mayor_Mov!$B$5:$B$445,"21202040")-SUMIFS(Mayor_Mov!$E$5:$E$445,Mayor_Mov!$N$5:$N$445,A35,Mayor_Mov!$B$5:$B$445,"21202040")</f>
        <v>0</v>
      </c>
      <c r="G35" s="28" t="n">
        <f aca="false">IF(C35&lt;=0,0,IF(AND(ISNUMBER(D35),D35&lt;=DATE(2027,7,31)),C35,IF(ISNUMBER(E35),MIN(MAX(E35,0),C35),MIN(MAX(F35,0),C35))))</f>
        <v>278537651.756876</v>
      </c>
      <c r="H35" s="28" t="n">
        <f aca="false">SUMIFS(Detalle_62!$W$14:$W$35,Detalle_62!$C$14:$C$35,A35)</f>
        <v>722980190</v>
      </c>
      <c r="I35" s="28" t="n">
        <f aca="false">G35-H35</f>
        <v>-444442538.243124</v>
      </c>
      <c r="J35" s="11" t="str">
        <f aca="false">IF(C35&lt;=0,"Sin saldo",IF(AND(ISNUMBER(D35),D35&lt;=DATE(2027,7,31)),"Vence en 12 meses: todo corriente",IF(ISNUMBER(E35),"Capital próximos 12 meses según tabla","Sin tabla: se mantiene CP contable [P]")))</f>
        <v>Capital próximos 12 meses según tabla</v>
      </c>
    </row>
    <row r="36" customFormat="false" ht="15" hidden="false" customHeight="false" outlineLevel="0" collapsed="false">
      <c r="A36" s="29" t="s">
        <v>140</v>
      </c>
      <c r="B36" s="22" t="s">
        <v>170</v>
      </c>
      <c r="C36" s="28" t="n">
        <f aca="false">Pruebas_Auditoria!H166</f>
        <v>287500000</v>
      </c>
      <c r="D36" s="23" t="n">
        <f aca="false">IFERROR(INDEX(Detalle_62!$P$14:$P$35,MATCH(A36,Detalle_62!$C$14:$C$35,0)),"N/D")</f>
        <v>46373</v>
      </c>
      <c r="E36" s="28" t="n">
        <f aca="false">IFERROR(INDEX(Tablas_Amortizacion!$V$8:$V$44,MATCH(A36,Tablas_Amortizacion!$A$8:$A$44,0)),"Sin tabla")</f>
        <v>287500000</v>
      </c>
      <c r="F36" s="28" t="n">
        <f aca="false">SUMIFS(Mayor_Dic25!$G$5:$G$200,Mayor_Dic25!$J$5:$J$200,A36,Mayor_Dic25!$C$5:$C$200,"21050100")+SUMIFS(Mayor_Mov!$F$5:$F$445,Mayor_Mov!$N$5:$N$445,A36,Mayor_Mov!$B$5:$B$445,"21050100")-SUMIFS(Mayor_Mov!$E$5:$E$445,Mayor_Mov!$N$5:$N$445,A36,Mayor_Mov!$B$5:$B$445,"21050100")</f>
        <v>0</v>
      </c>
      <c r="G36" s="28" t="n">
        <f aca="false">IF(C36&lt;=0,0,IF(AND(ISNUMBER(D36),D36&lt;=DATE(2027,7,31)),C36,IF(ISNUMBER(E36),MIN(MAX(E36,0),C36),MIN(MAX(F36,0),C36))))</f>
        <v>287500000</v>
      </c>
      <c r="H36" s="28" t="n">
        <f aca="false">SUMIFS(Detalle_62!$W$14:$W$35,Detalle_62!$C$14:$C$35,A36)</f>
        <v>287500000</v>
      </c>
      <c r="I36" s="28" t="n">
        <f aca="false">G36-H36</f>
        <v>0</v>
      </c>
      <c r="J36" s="11" t="str">
        <f aca="false">IF(C36&lt;=0,"Sin saldo",IF(AND(ISNUMBER(D36),D36&lt;=DATE(2027,7,31)),"Vence en 12 meses: todo corriente",IF(ISNUMBER(E36),"Capital próximos 12 meses según tabla","Sin tabla: se mantiene CP contable [P]")))</f>
        <v>Vence en 12 meses: todo corriente</v>
      </c>
    </row>
    <row r="37" customFormat="false" ht="15" hidden="false" customHeight="false" outlineLevel="0" collapsed="false">
      <c r="A37" s="29" t="s">
        <v>142</v>
      </c>
      <c r="B37" s="22" t="s">
        <v>170</v>
      </c>
      <c r="C37" s="28" t="n">
        <f aca="false">Pruebas_Auditoria!H167</f>
        <v>4700000000</v>
      </c>
      <c r="D37" s="23" t="n">
        <v>46386</v>
      </c>
      <c r="E37" s="28" t="str">
        <f aca="false">IFERROR(INDEX(Tablas_Amortizacion!$V$8:$V$44,MATCH(A37,Tablas_Amortizacion!$A$8:$A$44,0)),"Sin tabla")</f>
        <v>Sin tabla</v>
      </c>
      <c r="F37" s="28" t="n">
        <f aca="false">SUMIFS(Mayor_Dic25!$G$5:$G$200,Mayor_Dic25!$J$5:$J$200,A37,Mayor_Dic25!$C$5:$C$200,"21050100")+SUMIFS(Mayor_Mov!$F$5:$F$445,Mayor_Mov!$N$5:$N$445,A37,Mayor_Mov!$B$5:$B$445,"21050100")-SUMIFS(Mayor_Mov!$E$5:$E$445,Mayor_Mov!$N$5:$N$445,A37,Mayor_Mov!$B$5:$B$445,"21050100")</f>
        <v>4700000000</v>
      </c>
      <c r="G37" s="28" t="n">
        <f aca="false">IF(C37&lt;=0,0,IF(AND(ISNUMBER(D37),D37&lt;=DATE(2027,7,31)),C37,IF(ISNUMBER(E37),MIN(MAX(E37,0),C37),MIN(MAX(F37,0),C37))))</f>
        <v>4700000000</v>
      </c>
      <c r="H37" s="28" t="n">
        <f aca="false">SUMIFS(Detalle_62!$W$14:$W$35,Detalle_62!$C$14:$C$35,A37)</f>
        <v>4700000000</v>
      </c>
      <c r="I37" s="28" t="n">
        <f aca="false">G37-H37</f>
        <v>0</v>
      </c>
      <c r="J37" s="11" t="str">
        <f aca="false">IF(C37&lt;=0,"Sin saldo",IF(AND(ISNUMBER(D37),D37&lt;=DATE(2027,7,31)),"Vence en 12 meses: todo corriente",IF(ISNUMBER(E37),"Capital próximos 12 meses según tabla","Sin tabla: se mantiene CP contable [P]")))</f>
        <v>Vence en 12 meses: todo corriente</v>
      </c>
    </row>
    <row r="38" customFormat="false" ht="15" hidden="false" customHeight="false" outlineLevel="0" collapsed="false">
      <c r="A38" s="29" t="s">
        <v>144</v>
      </c>
      <c r="B38" s="22" t="s">
        <v>170</v>
      </c>
      <c r="C38" s="28" t="n">
        <f aca="false">Pruebas_Auditoria!H168</f>
        <v>3333333334</v>
      </c>
      <c r="D38" s="23" t="n">
        <f aca="false">IFERROR(INDEX(Detalle_62!$P$14:$P$35,MATCH(A38,Detalle_62!$C$14:$C$35,0)),"N/D")</f>
        <v>46864</v>
      </c>
      <c r="E38" s="28" t="n">
        <f aca="false">IFERROR(INDEX(Tablas_Amortizacion!$V$8:$V$44,MATCH(A38,Tablas_Amortizacion!$A$8:$A$44,0)),"Sin tabla")</f>
        <v>1666666666.66667</v>
      </c>
      <c r="F38" s="28" t="n">
        <f aca="false">SUMIFS(Mayor_Dic25!$G$5:$G$200,Mayor_Dic25!$J$5:$J$200,A38,Mayor_Dic25!$C$5:$C$200,"21050100")+SUMIFS(Mayor_Mov!$F$5:$F$445,Mayor_Mov!$N$5:$N$445,A38,Mayor_Mov!$B$5:$B$445,"21050100")-SUMIFS(Mayor_Mov!$E$5:$E$445,Mayor_Mov!$N$5:$N$445,A38,Mayor_Mov!$B$5:$B$445,"21050100")</f>
        <v>1666666667</v>
      </c>
      <c r="G38" s="28" t="n">
        <f aca="false">IF(C38&lt;=0,0,IF(AND(ISNUMBER(D38),D38&lt;=DATE(2027,7,31)),C38,IF(ISNUMBER(E38),MIN(MAX(E38,0),C38),MIN(MAX(F38,0),C38))))</f>
        <v>1666666666.66667</v>
      </c>
      <c r="H38" s="28" t="n">
        <f aca="false">SUMIFS(Detalle_62!$W$14:$W$35,Detalle_62!$C$14:$C$35,A38)</f>
        <v>1666666666.67</v>
      </c>
      <c r="I38" s="28" t="n">
        <f aca="false">G38-H38</f>
        <v>-0.00333309173583984</v>
      </c>
      <c r="J38" s="11" t="str">
        <f aca="false">IF(C38&lt;=0,"Sin saldo",IF(AND(ISNUMBER(D38),D38&lt;=DATE(2027,7,31)),"Vence en 12 meses: todo corriente",IF(ISNUMBER(E38),"Capital próximos 12 meses según tabla","Sin tabla: se mantiene CP contable [P]")))</f>
        <v>Capital próximos 12 meses según tabla</v>
      </c>
    </row>
    <row r="39" customFormat="false" ht="15" hidden="false" customHeight="false" outlineLevel="0" collapsed="false">
      <c r="A39" s="29" t="s">
        <v>145</v>
      </c>
      <c r="B39" s="22" t="s">
        <v>388</v>
      </c>
      <c r="C39" s="28" t="n">
        <f aca="false">Pruebas_Auditoria!H169</f>
        <v>448477372</v>
      </c>
      <c r="D39" s="23" t="n">
        <f aca="false">IFERROR(INDEX(Detalle_62!$P$14:$P$35,MATCH(A39,Detalle_62!$C$14:$C$35,0)),"N/D")</f>
        <v>47528</v>
      </c>
      <c r="E39" s="28" t="n">
        <f aca="false">IFERROR(INDEX(Tablas_Amortizacion!$V$8:$V$44,MATCH(A39,Tablas_Amortizacion!$A$8:$A$44,0)),"Sin tabla")</f>
        <v>148642835.463547</v>
      </c>
      <c r="F39" s="28" t="n">
        <f aca="false">SUMIFS(Mayor_Dic25!$G$5:$G$200,Mayor_Dic25!$J$5:$J$200,A39,Mayor_Dic25!$C$5:$C$200,"21202040")+SUMIFS(Mayor_Mov!$F$5:$F$445,Mayor_Mov!$N$5:$N$445,A39,Mayor_Mov!$B$5:$B$445,"21202040")-SUMIFS(Mayor_Mov!$E$5:$E$445,Mayor_Mov!$N$5:$N$445,A39,Mayor_Mov!$B$5:$B$445,"21202040")</f>
        <v>0</v>
      </c>
      <c r="G39" s="28" t="n">
        <f aca="false">IF(C39&lt;=0,0,IF(AND(ISNUMBER(D39),D39&lt;=DATE(2027,7,31)),C39,IF(ISNUMBER(E39),MIN(MAX(E39,0),C39),MIN(MAX(F39,0),C39))))</f>
        <v>148642835.463547</v>
      </c>
      <c r="H39" s="28" t="n">
        <f aca="false">SUMIFS(Detalle_62!$W$14:$W$35,Detalle_62!$C$14:$C$35,A39)</f>
        <v>154259653</v>
      </c>
      <c r="I39" s="28" t="n">
        <f aca="false">G39-H39</f>
        <v>-5616817.53645349</v>
      </c>
      <c r="J39" s="11" t="str">
        <f aca="false">IF(C39&lt;=0,"Sin saldo",IF(AND(ISNUMBER(D39),D39&lt;=DATE(2027,7,31)),"Vence en 12 meses: todo corriente",IF(ISNUMBER(E39),"Capital próximos 12 meses según tabla","Sin tabla: se mantiene CP contable [P]")))</f>
        <v>Capital próximos 12 meses según tabla</v>
      </c>
    </row>
    <row r="40" customFormat="false" ht="15" hidden="false" customHeight="false" outlineLevel="0" collapsed="false">
      <c r="A40" s="29" t="s">
        <v>146</v>
      </c>
      <c r="B40" s="22" t="s">
        <v>388</v>
      </c>
      <c r="C40" s="28" t="n">
        <f aca="false">Pruebas_Auditoria!H170</f>
        <v>787729700</v>
      </c>
      <c r="D40" s="23" t="n">
        <f aca="false">IFERROR(INDEX(Detalle_62!$P$14:$P$35,MATCH(A40,Detalle_62!$C$14:$C$35,0)),"N/D")</f>
        <v>47995</v>
      </c>
      <c r="E40" s="28" t="n">
        <f aca="false">IFERROR(INDEX(Tablas_Amortizacion!$V$8:$V$44,MATCH(A40,Tablas_Amortizacion!$A$8:$A$44,0)),"Sin tabla")</f>
        <v>130316947.737682</v>
      </c>
      <c r="F40" s="28" t="n">
        <f aca="false">SUMIFS(Mayor_Dic25!$G$5:$G$200,Mayor_Dic25!$J$5:$J$200,A40,Mayor_Dic25!$C$5:$C$200,"21202040")+SUMIFS(Mayor_Mov!$F$5:$F$445,Mayor_Mov!$N$5:$N$445,A40,Mayor_Mov!$B$5:$B$445,"21202040")-SUMIFS(Mayor_Mov!$E$5:$E$445,Mayor_Mov!$N$5:$N$445,A40,Mayor_Mov!$B$5:$B$445,"21202040")</f>
        <v>180971729</v>
      </c>
      <c r="G40" s="28" t="n">
        <f aca="false">IF(C40&lt;=0,0,IF(AND(ISNUMBER(D40),D40&lt;=DATE(2027,7,31)),C40,IF(ISNUMBER(E40),MIN(MAX(E40,0),C40),MIN(MAX(F40,0),C40))))</f>
        <v>130316947.737682</v>
      </c>
      <c r="H40" s="28" t="n">
        <f aca="false">SUMIFS(Detalle_62!$W$14:$W$35,Detalle_62!$C$14:$C$35,A40)</f>
        <v>206513651</v>
      </c>
      <c r="I40" s="28" t="n">
        <f aca="false">G40-H40</f>
        <v>-76196703.2623185</v>
      </c>
      <c r="J40" s="11" t="str">
        <f aca="false">IF(C40&lt;=0,"Sin saldo",IF(AND(ISNUMBER(D40),D40&lt;=DATE(2027,7,31)),"Vence en 12 meses: todo corriente",IF(ISNUMBER(E40),"Capital próximos 12 meses según tabla","Sin tabla: se mantiene CP contable [P]")))</f>
        <v>Capital próximos 12 meses según tabla</v>
      </c>
    </row>
    <row r="41" customFormat="false" ht="15" hidden="false" customHeight="false" outlineLevel="0" collapsed="false">
      <c r="A41" s="29" t="s">
        <v>147</v>
      </c>
      <c r="B41" s="22" t="s">
        <v>388</v>
      </c>
      <c r="C41" s="28" t="n">
        <f aca="false">Pruebas_Auditoria!H171</f>
        <v>488525504</v>
      </c>
      <c r="D41" s="23" t="n">
        <f aca="false">IFERROR(INDEX(Detalle_62!$P$14:$P$35,MATCH(A41,Detalle_62!$C$14:$C$35,0)),"N/D")</f>
        <v>46960</v>
      </c>
      <c r="E41" s="28" t="n">
        <f aca="false">IFERROR(INDEX(Tablas_Amortizacion!$V$8:$V$44,MATCH(A41,Tablas_Amortizacion!$A$8:$A$44,0)),"Sin tabla")</f>
        <v>175036572</v>
      </c>
      <c r="F41" s="28" t="n">
        <f aca="false">SUMIFS(Mayor_Dic25!$G$5:$G$200,Mayor_Dic25!$J$5:$J$200,A41,Mayor_Dic25!$C$5:$C$200,"21202040")+SUMIFS(Mayor_Mov!$F$5:$F$445,Mayor_Mov!$N$5:$N$445,A41,Mayor_Mov!$B$5:$B$445,"21202040")-SUMIFS(Mayor_Mov!$E$5:$E$445,Mayor_Mov!$N$5:$N$445,A41,Mayor_Mov!$B$5:$B$445,"21202040")</f>
        <v>167112372</v>
      </c>
      <c r="G41" s="28" t="n">
        <f aca="false">IF(C41&lt;=0,0,IF(AND(ISNUMBER(D41),D41&lt;=DATE(2027,7,31)),C41,IF(ISNUMBER(E41),MIN(MAX(E41,0),C41),MIN(MAX(F41,0),C41))))</f>
        <v>175036572</v>
      </c>
      <c r="H41" s="28" t="n">
        <f aca="false">SUMIFS(Detalle_62!$W$14:$W$35,Detalle_62!$C$14:$C$35,A41)</f>
        <v>388559429</v>
      </c>
      <c r="I41" s="28" t="n">
        <f aca="false">G41-H41</f>
        <v>-213522857</v>
      </c>
      <c r="J41" s="11" t="str">
        <f aca="false">IF(C41&lt;=0,"Sin saldo",IF(AND(ISNUMBER(D41),D41&lt;=DATE(2027,7,31)),"Vence en 12 meses: todo corriente",IF(ISNUMBER(E41),"Capital próximos 12 meses según tabla","Sin tabla: se mantiene CP contable [P]")))</f>
        <v>Capital próximos 12 meses según tabla</v>
      </c>
    </row>
    <row r="42" customFormat="false" ht="15" hidden="false" customHeight="false" outlineLevel="0" collapsed="false">
      <c r="A42" s="29" t="s">
        <v>148</v>
      </c>
      <c r="B42" s="22" t="s">
        <v>388</v>
      </c>
      <c r="C42" s="28" t="n">
        <f aca="false">Pruebas_Auditoria!H172</f>
        <v>675837500</v>
      </c>
      <c r="D42" s="23" t="str">
        <f aca="false">IFERROR(INDEX(Detalle_62!$P$14:$P$35,MATCH(A42,Detalle_62!$C$14:$C$35,0)),"N/D")</f>
        <v>N/D</v>
      </c>
      <c r="E42" s="28" t="str">
        <f aca="false">IFERROR(INDEX(Tablas_Amortizacion!$V$8:$V$44,MATCH(A42,Tablas_Amortizacion!$A$8:$A$44,0)),"Sin tabla")</f>
        <v>Sin tabla</v>
      </c>
      <c r="F42" s="28" t="n">
        <f aca="false">SUMIFS(Mayor_Dic25!$G$5:$G$200,Mayor_Dic25!$J$5:$J$200,A42,Mayor_Dic25!$C$5:$C$200,"21202040")+SUMIFS(Mayor_Mov!$F$5:$F$445,Mayor_Mov!$N$5:$N$445,A42,Mayor_Mov!$B$5:$B$445,"21202040")-SUMIFS(Mayor_Mov!$E$5:$E$445,Mayor_Mov!$N$5:$N$445,A42,Mayor_Mov!$B$5:$B$445,"21202040")</f>
        <v>572363196</v>
      </c>
      <c r="G42" s="28" t="n">
        <f aca="false">IF(C42&lt;=0,0,IF(AND(ISNUMBER(D42),D42&lt;=DATE(2027,7,31)),C42,IF(ISNUMBER(E42),MIN(MAX(E42,0),C42),MIN(MAX(F42,0),C42))))</f>
        <v>572363196</v>
      </c>
      <c r="H42" s="28" t="n">
        <f aca="false">SUMIFS(Detalle_62!$W$14:$W$35,Detalle_62!$C$14:$C$35,A42)</f>
        <v>0</v>
      </c>
      <c r="I42" s="28" t="n">
        <f aca="false">G42-H42</f>
        <v>572363196</v>
      </c>
      <c r="J42" s="11" t="str">
        <f aca="false">IF(C42&lt;=0,"Sin saldo",IF(AND(ISNUMBER(D42),D42&lt;=DATE(2027,7,31)),"Vence en 12 meses: todo corriente",IF(ISNUMBER(E42),"Capital próximos 12 meses según tabla","Sin tabla: se mantiene CP contable [P]")))</f>
        <v>Sin tabla: se mantiene CP contable [P]</v>
      </c>
    </row>
    <row r="43" customFormat="false" ht="15" hidden="false" customHeight="false" outlineLevel="0" collapsed="false">
      <c r="A43" s="29" t="s">
        <v>150</v>
      </c>
      <c r="B43" s="22" t="s">
        <v>388</v>
      </c>
      <c r="C43" s="28" t="n">
        <f aca="false">Pruebas_Auditoria!H173</f>
        <v>0</v>
      </c>
      <c r="D43" s="23" t="str">
        <f aca="false">IFERROR(INDEX(Detalle_62!$P$14:$P$35,MATCH(A43,Detalle_62!$C$14:$C$35,0)),"N/D")</f>
        <v>N/D</v>
      </c>
      <c r="E43" s="28" t="str">
        <f aca="false">IFERROR(INDEX(Tablas_Amortizacion!$V$8:$V$44,MATCH(A43,Tablas_Amortizacion!$A$8:$A$44,0)),"Sin tabla")</f>
        <v>Sin tabla</v>
      </c>
      <c r="F43" s="28" t="n">
        <f aca="false">SUMIFS(Mayor_Dic25!$G$5:$G$200,Mayor_Dic25!$J$5:$J$200,A43,Mayor_Dic25!$C$5:$C$200,"21202040")+SUMIFS(Mayor_Mov!$F$5:$F$445,Mayor_Mov!$N$5:$N$445,A43,Mayor_Mov!$B$5:$B$445,"21202040")-SUMIFS(Mayor_Mov!$E$5:$E$445,Mayor_Mov!$N$5:$N$445,A43,Mayor_Mov!$B$5:$B$445,"21202040")</f>
        <v>0</v>
      </c>
      <c r="G43" s="28" t="n">
        <f aca="false">IF(C43&lt;=0,0,IF(AND(ISNUMBER(D43),D43&lt;=DATE(2027,7,31)),C43,IF(ISNUMBER(E43),MIN(MAX(E43,0),C43),MIN(MAX(F43,0),C43))))</f>
        <v>0</v>
      </c>
      <c r="H43" s="28" t="n">
        <f aca="false">SUMIFS(Detalle_62!$W$14:$W$35,Detalle_62!$C$14:$C$35,A43)</f>
        <v>0</v>
      </c>
      <c r="I43" s="28" t="n">
        <f aca="false">G43-H43</f>
        <v>0</v>
      </c>
      <c r="J43" s="11" t="str">
        <f aca="false">IF(C43&lt;=0,"Sin saldo",IF(AND(ISNUMBER(D43),D43&lt;=DATE(2027,7,31)),"Vence en 12 meses: todo corriente",IF(ISNUMBER(E43),"Capital próximos 12 meses según tabla","Sin tabla: se mantiene CP contable [P]")))</f>
        <v>Sin saldo</v>
      </c>
    </row>
    <row r="44" customFormat="false" ht="15" hidden="false" customHeight="false" outlineLevel="0" collapsed="false">
      <c r="A44" s="29" t="s">
        <v>151</v>
      </c>
      <c r="B44" s="22" t="s">
        <v>388</v>
      </c>
      <c r="C44" s="28" t="n">
        <f aca="false">Pruebas_Auditoria!H174</f>
        <v>0</v>
      </c>
      <c r="D44" s="23" t="str">
        <f aca="false">IFERROR(INDEX(Detalle_62!$P$14:$P$35,MATCH(A44,Detalle_62!$C$14:$C$35,0)),"N/D")</f>
        <v>N/D</v>
      </c>
      <c r="E44" s="28" t="str">
        <f aca="false">IFERROR(INDEX(Tablas_Amortizacion!$V$8:$V$44,MATCH(A44,Tablas_Amortizacion!$A$8:$A$44,0)),"Sin tabla")</f>
        <v>Sin tabla</v>
      </c>
      <c r="F44" s="28" t="n">
        <f aca="false">SUMIFS(Mayor_Dic25!$G$5:$G$200,Mayor_Dic25!$J$5:$J$200,A44,Mayor_Dic25!$C$5:$C$200,"21202040")+SUMIFS(Mayor_Mov!$F$5:$F$445,Mayor_Mov!$N$5:$N$445,A44,Mayor_Mov!$B$5:$B$445,"21202040")-SUMIFS(Mayor_Mov!$E$5:$E$445,Mayor_Mov!$N$5:$N$445,A44,Mayor_Mov!$B$5:$B$445,"21202040")</f>
        <v>0</v>
      </c>
      <c r="G44" s="28" t="n">
        <f aca="false">IF(C44&lt;=0,0,IF(AND(ISNUMBER(D44),D44&lt;=DATE(2027,7,31)),C44,IF(ISNUMBER(E44),MIN(MAX(E44,0),C44),MIN(MAX(F44,0),C44))))</f>
        <v>0</v>
      </c>
      <c r="H44" s="28" t="n">
        <f aca="false">SUMIFS(Detalle_62!$W$14:$W$35,Detalle_62!$C$14:$C$35,A44)</f>
        <v>0</v>
      </c>
      <c r="I44" s="28" t="n">
        <f aca="false">G44-H44</f>
        <v>0</v>
      </c>
      <c r="J44" s="11" t="str">
        <f aca="false">IF(C44&lt;=0,"Sin saldo",IF(AND(ISNUMBER(D44),D44&lt;=DATE(2027,7,31)),"Vence en 12 meses: todo corriente",IF(ISNUMBER(E44),"Capital próximos 12 meses según tabla","Sin tabla: se mantiene CP contable [P]")))</f>
        <v>Sin saldo</v>
      </c>
    </row>
    <row r="45" customFormat="false" ht="15" hidden="false" customHeight="false" outlineLevel="0" collapsed="false">
      <c r="A45" s="36" t="s">
        <v>101</v>
      </c>
      <c r="C45" s="52" t="n">
        <f aca="false">SUM(C18:C44)</f>
        <v>46204178294.33</v>
      </c>
      <c r="F45" s="52" t="n">
        <f aca="false">SUM(F18:F44)</f>
        <v>19096576720.4</v>
      </c>
      <c r="G45" s="52" t="n">
        <f aca="false">SUM(G18:G44)</f>
        <v>20673212376.4141</v>
      </c>
      <c r="H45" s="52" t="n">
        <f aca="false">SUM(H18:H44)</f>
        <v>21341498619.5403</v>
      </c>
      <c r="I45" s="52" t="n">
        <f aca="false">SUM(I18:I44)</f>
        <v>-668286243.126218</v>
      </c>
    </row>
    <row r="47" customFormat="false" ht="15" hidden="false" customHeight="false" outlineLevel="0" collapsed="false">
      <c r="A47" s="21" t="s">
        <v>1242</v>
      </c>
    </row>
    <row r="48" customFormat="false" ht="30" hidden="false" customHeight="true" outlineLevel="0" collapsed="false">
      <c r="A48" s="27" t="s">
        <v>314</v>
      </c>
      <c r="B48" s="27" t="s">
        <v>1243</v>
      </c>
      <c r="C48" s="27" t="s">
        <v>1244</v>
      </c>
      <c r="D48" s="27" t="s">
        <v>1245</v>
      </c>
      <c r="E48" s="27" t="s">
        <v>1246</v>
      </c>
      <c r="F48" s="27"/>
      <c r="G48" s="27"/>
      <c r="H48" s="27"/>
      <c r="I48" s="27"/>
      <c r="J48" s="27" t="s">
        <v>1247</v>
      </c>
    </row>
    <row r="49" customFormat="false" ht="15" hidden="false" customHeight="false" outlineLevel="0" collapsed="false">
      <c r="A49" s="29" t="s">
        <v>134</v>
      </c>
      <c r="B49" s="28" t="n">
        <f aca="false">Detalle_62!F25</f>
        <v>381845387.419314</v>
      </c>
      <c r="C49" s="28" t="n">
        <f aca="false">Detalle_62!M25</f>
        <v>175631569.283009</v>
      </c>
      <c r="D49" s="28" t="n">
        <f aca="false">Detalle_62!N25</f>
        <v>459154383.928047</v>
      </c>
      <c r="E49" s="28" t="n">
        <f aca="false">C49+D49-B49</f>
        <v>252940565.791742</v>
      </c>
      <c r="J49" s="11" t="s">
        <v>1248</v>
      </c>
    </row>
    <row r="50" customFormat="false" ht="15" hidden="false" customHeight="false" outlineLevel="0" collapsed="false">
      <c r="A50" s="29" t="s">
        <v>140</v>
      </c>
      <c r="B50" s="28" t="n">
        <f aca="false">Detalle_62!F30</f>
        <v>287500000</v>
      </c>
      <c r="C50" s="28" t="n">
        <f aca="false">Detalle_62!M30</f>
        <v>575000000</v>
      </c>
      <c r="D50" s="28" t="n">
        <f aca="false">Detalle_62!N30</f>
        <v>-287500000</v>
      </c>
      <c r="E50" s="28" t="n">
        <f aca="false">C50+D50-B50</f>
        <v>0</v>
      </c>
      <c r="J50" s="11" t="s">
        <v>1249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9" t="s">
        <v>1250</v>
      </c>
    </row>
    <row r="2" customFormat="false" ht="15" hidden="false" customHeight="false" outlineLevel="0" collapsed="false">
      <c r="A2" s="20" t="s">
        <v>1251</v>
      </c>
    </row>
    <row r="3" customFormat="false" ht="30" hidden="false" customHeight="true" outlineLevel="0" collapsed="false">
      <c r="A3" s="27" t="s">
        <v>159</v>
      </c>
      <c r="B3" s="27" t="s">
        <v>1154</v>
      </c>
      <c r="C3" s="27" t="s">
        <v>1252</v>
      </c>
    </row>
    <row r="4" customFormat="false" ht="15" hidden="false" customHeight="false" outlineLevel="0" collapsed="false">
      <c r="A4" s="22" t="s">
        <v>1253</v>
      </c>
      <c r="B4" s="28" t="n">
        <f aca="false">-(Balance_21!$C$16+Balance_21!$C$18+Balance_21!$C$20)</f>
        <v>49437161409.34</v>
      </c>
      <c r="C4" s="54" t="s">
        <v>1254</v>
      </c>
    </row>
    <row r="5" customFormat="false" ht="15" hidden="false" customHeight="false" outlineLevel="0" collapsed="false">
      <c r="A5" s="22" t="s">
        <v>1255</v>
      </c>
      <c r="B5" s="28" t="n">
        <f aca="false">-(Balance_21!$F$16+Balance_21!$F$18+Balance_21!$F$20)</f>
        <v>46204178294.33</v>
      </c>
      <c r="C5" s="54" t="s">
        <v>1254</v>
      </c>
    </row>
    <row r="6" customFormat="false" ht="15" hidden="false" customHeight="false" outlineLevel="0" collapsed="false">
      <c r="A6" s="22" t="s">
        <v>1256</v>
      </c>
      <c r="B6" s="28" t="n">
        <f aca="false">AVERAGE(B4:B5)</f>
        <v>47820669851.835</v>
      </c>
      <c r="C6" s="54"/>
    </row>
    <row r="7" customFormat="false" ht="15" hidden="false" customHeight="false" outlineLevel="0" collapsed="false">
      <c r="A7" s="22" t="s">
        <v>1257</v>
      </c>
      <c r="B7" s="39" t="n">
        <f aca="false">Detalle_62!$F$48</f>
        <v>0.149092952439153</v>
      </c>
      <c r="C7" s="54" t="s">
        <v>1258</v>
      </c>
    </row>
    <row r="8" customFormat="false" ht="15" hidden="false" customHeight="false" outlineLevel="0" collapsed="false">
      <c r="A8" s="22" t="s">
        <v>1259</v>
      </c>
      <c r="B8" s="28" t="n">
        <f aca="false">DATE(2026,7,31)-DATE(2025,12,31)</f>
        <v>212</v>
      </c>
      <c r="C8" s="54"/>
    </row>
    <row r="9" customFormat="false" ht="15" hidden="false" customHeight="false" outlineLevel="0" collapsed="false">
      <c r="A9" s="29" t="s">
        <v>1260</v>
      </c>
      <c r="B9" s="28" t="n">
        <f aca="false">B6*((1+B7)^(B8/365)-1)</f>
        <v>4020077715.73674</v>
      </c>
      <c r="C9" s="54"/>
    </row>
    <row r="10" customFormat="false" ht="15" hidden="false" customHeight="false" outlineLevel="0" collapsed="false">
      <c r="A10" s="22" t="s">
        <v>1261</v>
      </c>
      <c r="B10" s="28" t="n">
        <f aca="false">Balance_21!$F$33</f>
        <v>615032539.99</v>
      </c>
      <c r="C10" s="54"/>
    </row>
    <row r="11" customFormat="false" ht="15" hidden="false" customHeight="false" outlineLevel="0" collapsed="false">
      <c r="A11" s="22" t="s">
        <v>1262</v>
      </c>
      <c r="B11" s="28" t="n">
        <f aca="false">Balance_21!$F$34</f>
        <v>2503471375.89</v>
      </c>
      <c r="C11" s="54"/>
    </row>
    <row r="12" customFormat="false" ht="15" hidden="false" customHeight="false" outlineLevel="0" collapsed="false">
      <c r="A12" s="22" t="s">
        <v>1263</v>
      </c>
      <c r="B12" s="28" t="n">
        <f aca="false">Balance_21!$F$35</f>
        <v>423638680</v>
      </c>
      <c r="C12" s="54"/>
    </row>
    <row r="13" customFormat="false" ht="15" hidden="false" customHeight="false" outlineLevel="0" collapsed="false">
      <c r="A13" s="22" t="s">
        <v>1264</v>
      </c>
      <c r="B13" s="28" t="n">
        <f aca="false">Balance_21!$F$36</f>
        <v>3750337.32</v>
      </c>
      <c r="C13" s="54"/>
    </row>
    <row r="14" customFormat="false" ht="15" hidden="false" customHeight="false" outlineLevel="0" collapsed="false">
      <c r="A14" s="29" t="s">
        <v>1265</v>
      </c>
      <c r="B14" s="28" t="n">
        <f aca="false">SUM(B10:B13)</f>
        <v>3545892933.2</v>
      </c>
      <c r="C14" s="54" t="s">
        <v>1266</v>
      </c>
    </row>
    <row r="15" customFormat="false" ht="15" hidden="false" customHeight="false" outlineLevel="0" collapsed="false">
      <c r="A15" s="22" t="s">
        <v>1267</v>
      </c>
      <c r="B15" s="28" t="n">
        <f aca="false">Pruebas_Auditoria!K236</f>
        <v>187705390.203176</v>
      </c>
      <c r="C15" s="54"/>
    </row>
    <row r="16" customFormat="false" ht="15" hidden="false" customHeight="false" outlineLevel="0" collapsed="false">
      <c r="A16" s="29" t="s">
        <v>1268</v>
      </c>
      <c r="B16" s="28" t="n">
        <f aca="false">B14+B15</f>
        <v>3733598323.40318</v>
      </c>
      <c r="C16" s="54"/>
    </row>
    <row r="17" customFormat="false" ht="15" hidden="false" customHeight="false" outlineLevel="0" collapsed="false">
      <c r="A17" s="22" t="s">
        <v>1269</v>
      </c>
      <c r="B17" s="28" t="n">
        <f aca="false">B16-B9</f>
        <v>-286479392.333567</v>
      </c>
      <c r="C17" s="54"/>
    </row>
    <row r="18" customFormat="false" ht="15" hidden="false" customHeight="false" outlineLevel="0" collapsed="false">
      <c r="A18" s="22" t="s">
        <v>1270</v>
      </c>
      <c r="B18" s="39" t="n">
        <f aca="false">B17/B9</f>
        <v>-0.0712621527718563</v>
      </c>
      <c r="C18" s="54"/>
    </row>
    <row r="19" customFormat="false" ht="15" hidden="false" customHeight="false" outlineLevel="0" collapsed="false">
      <c r="A19" s="22" t="s">
        <v>1271</v>
      </c>
      <c r="B19" s="26" t="n">
        <v>0.1</v>
      </c>
      <c r="C19" s="54" t="s">
        <v>1272</v>
      </c>
    </row>
    <row r="20" customFormat="false" ht="15" hidden="false" customHeight="false" outlineLevel="0" collapsed="false">
      <c r="A20" s="29" t="s">
        <v>231</v>
      </c>
      <c r="B20" s="22" t="str">
        <f aca="false">IF(ABS(B18)&lt;=B19,"Gasto razonable dentro del umbral","Fuera de umbral – investigar")</f>
        <v>Gasto razonable dentro del umbral</v>
      </c>
      <c r="C20" s="54"/>
    </row>
    <row r="21" customFormat="false" ht="15" hidden="false" customHeight="false" outlineLevel="0" collapsed="false">
      <c r="A21" s="22" t="s">
        <v>1273</v>
      </c>
      <c r="B21" s="28" t="n">
        <f aca="false">Balance_21!$F$32</f>
        <v>14723000.39</v>
      </c>
      <c r="C21" s="54" t="s">
        <v>1274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9"/>
    <col collapsed="false" customWidth="true" hidden="false" outlineLevel="0" max="3" min="3" style="0" width="17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17"/>
    <col collapsed="false" customWidth="true" hidden="false" outlineLevel="0" max="7" min="7" style="0" width="9"/>
    <col collapsed="false" customWidth="true" hidden="false" outlineLevel="0" max="8" min="8" style="0" width="17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7"/>
    <col collapsed="false" customWidth="true" hidden="false" outlineLevel="0" max="12" min="12" style="0" width="11"/>
    <col collapsed="false" customWidth="true" hidden="false" outlineLevel="0" max="14" min="13" style="0" width="16"/>
    <col collapsed="false" customWidth="true" hidden="false" outlineLevel="0" max="15" min="15" style="0" width="8"/>
    <col collapsed="false" customWidth="true" hidden="false" outlineLevel="0" max="16" min="16" style="0" width="11"/>
    <col collapsed="false" customWidth="true" hidden="false" outlineLevel="0" max="17" min="17" style="0" width="9"/>
    <col collapsed="false" customWidth="true" hidden="false" outlineLevel="0" max="19" min="18" style="0" width="11"/>
    <col collapsed="false" customWidth="true" hidden="false" outlineLevel="0" max="20" min="20" style="0" width="10"/>
    <col collapsed="false" customWidth="true" hidden="false" outlineLevel="0" max="21" min="21" style="0" width="15"/>
    <col collapsed="false" customWidth="true" hidden="false" outlineLevel="0" max="22" min="22" style="0" width="11"/>
    <col collapsed="false" customWidth="true" hidden="false" outlineLevel="0" max="24" min="23" style="0" width="16"/>
    <col collapsed="false" customWidth="true" hidden="false" outlineLevel="0" max="25" min="25" style="0" width="10"/>
  </cols>
  <sheetData>
    <row r="1" customFormat="false" ht="15" hidden="false" customHeight="false" outlineLevel="0" collapsed="false">
      <c r="A1" s="19" t="s">
        <v>1275</v>
      </c>
    </row>
    <row r="2" customFormat="false" ht="15" hidden="false" customHeight="false" outlineLevel="0" collapsed="false">
      <c r="A2" s="20" t="s">
        <v>1276</v>
      </c>
    </row>
    <row r="4" customFormat="false" ht="15" hidden="false" customHeight="false" outlineLevel="0" collapsed="false">
      <c r="A4" s="47" t="s">
        <v>1277</v>
      </c>
    </row>
    <row r="5" customFormat="false" ht="15" hidden="false" customHeight="false" outlineLevel="0" collapsed="false">
      <c r="A5" s="22" t="s">
        <v>1278</v>
      </c>
      <c r="B5" s="55" t="n">
        <v>0.11555</v>
      </c>
    </row>
    <row r="6" customFormat="false" ht="15" hidden="false" customHeight="false" outlineLevel="0" collapsed="false">
      <c r="A6" s="22" t="s">
        <v>1279</v>
      </c>
      <c r="B6" s="55" t="n">
        <v>0.11768</v>
      </c>
    </row>
    <row r="7" customFormat="false" ht="15" hidden="false" customHeight="false" outlineLevel="0" collapsed="false">
      <c r="A7" s="22" t="s">
        <v>1280</v>
      </c>
      <c r="B7" s="55" t="n">
        <v>0.12025</v>
      </c>
    </row>
    <row r="8" customFormat="false" ht="15" hidden="false" customHeight="false" outlineLevel="0" collapsed="false">
      <c r="A8" s="22" t="s">
        <v>1281</v>
      </c>
      <c r="B8" s="55" t="n">
        <v>0.1024</v>
      </c>
    </row>
    <row r="9" customFormat="false" ht="15" hidden="false" customHeight="false" outlineLevel="0" collapsed="false">
      <c r="A9" s="22" t="s">
        <v>1282</v>
      </c>
      <c r="B9" s="55" t="n">
        <v>0.0362541</v>
      </c>
    </row>
    <row r="10" customFormat="false" ht="15" hidden="false" customHeight="false" outlineLevel="0" collapsed="false">
      <c r="A10" s="22" t="s">
        <v>1283</v>
      </c>
      <c r="B10" s="28" t="n">
        <v>3132.42</v>
      </c>
    </row>
    <row r="13" customFormat="false" ht="39.75" hidden="false" customHeight="true" outlineLevel="0" collapsed="false">
      <c r="A13" s="27" t="s">
        <v>162</v>
      </c>
      <c r="B13" s="27" t="s">
        <v>1284</v>
      </c>
      <c r="C13" s="27" t="s">
        <v>314</v>
      </c>
      <c r="D13" s="27" t="s">
        <v>381</v>
      </c>
      <c r="E13" s="27" t="s">
        <v>105</v>
      </c>
      <c r="F13" s="27" t="s">
        <v>1285</v>
      </c>
      <c r="G13" s="27" t="s">
        <v>1286</v>
      </c>
      <c r="H13" s="27" t="s">
        <v>111</v>
      </c>
      <c r="I13" s="27" t="s">
        <v>1287</v>
      </c>
      <c r="J13" s="27" t="s">
        <v>1288</v>
      </c>
      <c r="K13" s="27" t="s">
        <v>1289</v>
      </c>
      <c r="L13" s="27" t="s">
        <v>1290</v>
      </c>
      <c r="M13" s="27" t="s">
        <v>1291</v>
      </c>
      <c r="N13" s="27" t="s">
        <v>1292</v>
      </c>
      <c r="O13" s="27" t="s">
        <v>1293</v>
      </c>
      <c r="P13" s="27" t="s">
        <v>1294</v>
      </c>
      <c r="Q13" s="27" t="s">
        <v>1295</v>
      </c>
      <c r="R13" s="27" t="s">
        <v>1296</v>
      </c>
      <c r="S13" s="27" t="s">
        <v>1297</v>
      </c>
      <c r="T13" s="27" t="s">
        <v>1298</v>
      </c>
      <c r="U13" s="27" t="s">
        <v>1299</v>
      </c>
      <c r="V13" s="27" t="s">
        <v>1300</v>
      </c>
      <c r="W13" s="27" t="s">
        <v>1301</v>
      </c>
      <c r="X13" s="27" t="s">
        <v>1302</v>
      </c>
      <c r="Y13" s="27" t="s">
        <v>1303</v>
      </c>
    </row>
    <row r="14" customFormat="false" ht="15" hidden="false" customHeight="false" outlineLevel="0" collapsed="false">
      <c r="A14" s="22" t="s">
        <v>512</v>
      </c>
      <c r="B14" s="22" t="s">
        <v>1304</v>
      </c>
      <c r="C14" s="29" t="s">
        <v>123</v>
      </c>
      <c r="D14" s="22" t="s">
        <v>388</v>
      </c>
      <c r="E14" s="22" t="s">
        <v>1305</v>
      </c>
      <c r="F14" s="28" t="n">
        <v>398582167.21439</v>
      </c>
      <c r="G14" s="39" t="n">
        <v>0.0233555769407866</v>
      </c>
      <c r="H14" s="22" t="s">
        <v>1278</v>
      </c>
      <c r="I14" s="39" t="n">
        <v>0.04</v>
      </c>
      <c r="J14" s="39" t="n">
        <v>0.167133181668336</v>
      </c>
      <c r="K14" s="22" t="n">
        <v>12</v>
      </c>
      <c r="L14" s="22" t="s">
        <v>1306</v>
      </c>
      <c r="M14" s="28" t="n">
        <v>194846536</v>
      </c>
      <c r="N14" s="28" t="n">
        <v>203735631.21439</v>
      </c>
      <c r="O14" s="22" t="n">
        <v>27</v>
      </c>
      <c r="P14" s="23" t="n">
        <v>47037</v>
      </c>
      <c r="Q14" s="39" t="n">
        <v>0.00390349188381327</v>
      </c>
      <c r="R14" s="56" t="n">
        <f aca="false">IF(LEFT(H14,11)="IBR 6 MESES",Detalle_62!$B$7,IF(LEFT(H14,11)="IBR 3 MESES",Detalle_62!$B$6,IF(H14="DTF",Detalle_62!$B$8,Detalle_62!$B$5)))</f>
        <v>0.11555</v>
      </c>
      <c r="S14" s="56" t="n">
        <f aca="false">(1+(R14+I14)/K14)^K14-1</f>
        <v>0.167133181668335</v>
      </c>
      <c r="T14" s="57" t="n">
        <f aca="false">(J14-S14)*10000</f>
        <v>0</v>
      </c>
      <c r="U14" s="28" t="n">
        <f aca="false">M14+N14-F14</f>
        <v>0</v>
      </c>
      <c r="V14" s="22" t="str">
        <f aca="false">IF(ABS(U14)&gt;Resumen!$C$6,"ERROR",IF(OR(M14&lt;0,N14&lt;0),"ERROR","OK"))</f>
        <v>OK</v>
      </c>
      <c r="W14" s="28" t="n">
        <f aca="false">MIN(MAX(M14,0),F14)</f>
        <v>194846536</v>
      </c>
      <c r="X14" s="28" t="n">
        <f aca="false">F14-W14</f>
        <v>203735631.21439</v>
      </c>
      <c r="Y14" s="39" t="n">
        <f aca="false">F14/SUMIFS($F$14:$F$35,$A$14:$A$35,A14)</f>
        <v>0.0233555769407866</v>
      </c>
    </row>
    <row r="15" customFormat="false" ht="15" hidden="false" customHeight="false" outlineLevel="0" collapsed="false">
      <c r="A15" s="22" t="s">
        <v>512</v>
      </c>
      <c r="B15" s="22" t="s">
        <v>1307</v>
      </c>
      <c r="C15" s="29" t="s">
        <v>124</v>
      </c>
      <c r="D15" s="22" t="s">
        <v>388</v>
      </c>
      <c r="E15" s="22" t="s">
        <v>1308</v>
      </c>
      <c r="F15" s="28" t="n">
        <v>323529688.533944</v>
      </c>
      <c r="G15" s="39" t="n">
        <v>0.0189577536446052</v>
      </c>
      <c r="H15" s="22" t="s">
        <v>1278</v>
      </c>
      <c r="I15" s="39" t="n">
        <v>0.04</v>
      </c>
      <c r="J15" s="39" t="n">
        <v>0.167133181668336</v>
      </c>
      <c r="K15" s="22" t="n">
        <v>12</v>
      </c>
      <c r="L15" s="22" t="s">
        <v>1306</v>
      </c>
      <c r="M15" s="28" t="n">
        <v>142014647.455294</v>
      </c>
      <c r="N15" s="28" t="n">
        <v>181515041.07865</v>
      </c>
      <c r="O15" s="22" t="n">
        <v>29</v>
      </c>
      <c r="P15" s="23" t="n">
        <v>47098</v>
      </c>
      <c r="Q15" s="39" t="n">
        <v>0.00316846968390735</v>
      </c>
      <c r="R15" s="56" t="n">
        <f aca="false">IF(LEFT(H15,11)="IBR 6 MESES",Detalle_62!$B$7,IF(LEFT(H15,11)="IBR 3 MESES",Detalle_62!$B$6,IF(H15="DTF",Detalle_62!$B$8,Detalle_62!$B$5)))</f>
        <v>0.11555</v>
      </c>
      <c r="S15" s="56" t="n">
        <f aca="false">(1+(R15+I15)/K15)^K15-1</f>
        <v>0.167133181668335</v>
      </c>
      <c r="T15" s="57" t="n">
        <f aca="false">(J15-S15)*10000</f>
        <v>0</v>
      </c>
      <c r="U15" s="28" t="n">
        <f aca="false">M15+N15-F15</f>
        <v>0</v>
      </c>
      <c r="V15" s="22" t="str">
        <f aca="false">IF(ABS(U15)&gt;Resumen!$C$6,"ERROR",IF(OR(M15&lt;0,N15&lt;0),"ERROR","OK"))</f>
        <v>OK</v>
      </c>
      <c r="W15" s="28" t="n">
        <f aca="false">MIN(MAX(M15,0),F15)</f>
        <v>142014647.455294</v>
      </c>
      <c r="X15" s="28" t="n">
        <f aca="false">F15-W15</f>
        <v>181515041.07865</v>
      </c>
      <c r="Y15" s="39" t="n">
        <f aca="false">F15/SUMIFS($F$14:$F$35,$A$14:$A$35,A15)</f>
        <v>0.0189577536446052</v>
      </c>
    </row>
    <row r="16" customFormat="false" ht="15" hidden="false" customHeight="false" outlineLevel="0" collapsed="false">
      <c r="A16" s="22" t="s">
        <v>512</v>
      </c>
      <c r="B16" s="22" t="s">
        <v>1309</v>
      </c>
      <c r="C16" s="29" t="s">
        <v>125</v>
      </c>
      <c r="D16" s="22" t="s">
        <v>388</v>
      </c>
      <c r="E16" s="22" t="s">
        <v>1310</v>
      </c>
      <c r="F16" s="28" t="n">
        <v>1883712218.08706</v>
      </c>
      <c r="G16" s="39" t="n">
        <v>0.110379212274612</v>
      </c>
      <c r="H16" s="22" t="s">
        <v>1279</v>
      </c>
      <c r="I16" s="39" t="n">
        <v>0.023</v>
      </c>
      <c r="J16" s="39" t="n">
        <v>0.148277114550755</v>
      </c>
      <c r="K16" s="22" t="n">
        <v>4</v>
      </c>
      <c r="L16" s="22" t="s">
        <v>1311</v>
      </c>
      <c r="M16" s="28" t="n">
        <v>0</v>
      </c>
      <c r="N16" s="28" t="n">
        <v>1883712218.08706</v>
      </c>
      <c r="O16" s="22" t="n">
        <v>22</v>
      </c>
      <c r="P16" s="23" t="n">
        <v>48235</v>
      </c>
      <c r="Q16" s="39" t="n">
        <v>0.0163667111024648</v>
      </c>
      <c r="R16" s="56" t="n">
        <f aca="false">IF(LEFT(H16,11)="IBR 6 MESES",Detalle_62!$B$7,IF(LEFT(H16,11)="IBR 3 MESES",Detalle_62!$B$6,IF(H16="DTF",Detalle_62!$B$8,Detalle_62!$B$5)))</f>
        <v>0.11768</v>
      </c>
      <c r="S16" s="56" t="n">
        <f aca="false">(1+(R16+I16)/K16)^K16-1</f>
        <v>0.148277114550755</v>
      </c>
      <c r="T16" s="57" t="n">
        <f aca="false">(J16-S16)*10000</f>
        <v>0</v>
      </c>
      <c r="U16" s="28" t="n">
        <f aca="false">M16+N16-F16</f>
        <v>0</v>
      </c>
      <c r="V16" s="22" t="str">
        <f aca="false">IF(ABS(U16)&gt;Resumen!$C$6,"ERROR",IF(OR(M16&lt;0,N16&lt;0),"ERROR","OK"))</f>
        <v>OK</v>
      </c>
      <c r="W16" s="28" t="n">
        <f aca="false">MIN(MAX(M16,0),F16)</f>
        <v>0</v>
      </c>
      <c r="X16" s="28" t="n">
        <f aca="false">F16-W16</f>
        <v>1883712218.08706</v>
      </c>
      <c r="Y16" s="39" t="n">
        <f aca="false">F16/SUMIFS($F$14:$F$35,$A$14:$A$35,A16)</f>
        <v>0.110379212274612</v>
      </c>
    </row>
    <row r="17" customFormat="false" ht="15" hidden="false" customHeight="false" outlineLevel="0" collapsed="false">
      <c r="A17" s="22" t="s">
        <v>512</v>
      </c>
      <c r="B17" s="22" t="n">
        <v>457300569032</v>
      </c>
      <c r="C17" s="29" t="s">
        <v>120</v>
      </c>
      <c r="D17" s="22" t="s">
        <v>170</v>
      </c>
      <c r="E17" s="22" t="s">
        <v>1312</v>
      </c>
      <c r="F17" s="28" t="n">
        <v>3000000000</v>
      </c>
      <c r="G17" s="39" t="n">
        <v>0.175789928867219</v>
      </c>
      <c r="H17" s="22" t="s">
        <v>1280</v>
      </c>
      <c r="I17" s="39" t="n">
        <v>0.034</v>
      </c>
      <c r="J17" s="39" t="n">
        <v>0.160198265625</v>
      </c>
      <c r="K17" s="22" t="n">
        <v>2</v>
      </c>
      <c r="L17" s="22" t="s">
        <v>1313</v>
      </c>
      <c r="M17" s="28" t="n">
        <v>0</v>
      </c>
      <c r="N17" s="28" t="n">
        <v>3000000000</v>
      </c>
      <c r="O17" s="22" t="n">
        <v>30</v>
      </c>
      <c r="P17" s="23" t="n">
        <v>51710</v>
      </c>
      <c r="Q17" s="39" t="n">
        <v>0.0281612417188707</v>
      </c>
      <c r="R17" s="56" t="n">
        <f aca="false">IF(LEFT(H17,11)="IBR 6 MESES",Detalle_62!$B$7,IF(LEFT(H17,11)="IBR 3 MESES",Detalle_62!$B$6,IF(H17="DTF",Detalle_62!$B$8,Detalle_62!$B$5)))</f>
        <v>0.12025</v>
      </c>
      <c r="S17" s="56" t="n">
        <f aca="false">(1+(R17+I17)/K17)^K17-1</f>
        <v>0.160198265625</v>
      </c>
      <c r="T17" s="57" t="n">
        <f aca="false">(J17-S17)*10000</f>
        <v>0</v>
      </c>
      <c r="U17" s="28" t="n">
        <f aca="false">M17+N17-F17</f>
        <v>0</v>
      </c>
      <c r="V17" s="22" t="str">
        <f aca="false">IF(ABS(U17)&gt;Resumen!$C$6,"ERROR",IF(OR(M17&lt;0,N17&lt;0),"ERROR","OK"))</f>
        <v>OK</v>
      </c>
      <c r="W17" s="28" t="n">
        <f aca="false">MIN(MAX(M17,0),F17)</f>
        <v>0</v>
      </c>
      <c r="X17" s="28" t="n">
        <f aca="false">F17-W17</f>
        <v>3000000000</v>
      </c>
      <c r="Y17" s="39" t="n">
        <f aca="false">F17/SUMIFS($F$14:$F$35,$A$14:$A$35,A17)</f>
        <v>0.175789928867219</v>
      </c>
    </row>
    <row r="18" customFormat="false" ht="15" hidden="false" customHeight="false" outlineLevel="0" collapsed="false">
      <c r="A18" s="22" t="s">
        <v>512</v>
      </c>
      <c r="B18" s="22" t="s">
        <v>674</v>
      </c>
      <c r="C18" s="29" t="s">
        <v>121</v>
      </c>
      <c r="D18" s="22" t="s">
        <v>170</v>
      </c>
      <c r="E18" s="22" t="s">
        <v>1312</v>
      </c>
      <c r="F18" s="28" t="n">
        <v>7500000000</v>
      </c>
      <c r="G18" s="39" t="n">
        <v>0.439474822168048</v>
      </c>
      <c r="H18" s="22" t="s">
        <v>1280</v>
      </c>
      <c r="I18" s="39" t="n">
        <v>0.03</v>
      </c>
      <c r="J18" s="39" t="n">
        <v>0.155893765625</v>
      </c>
      <c r="K18" s="22" t="n">
        <v>2</v>
      </c>
      <c r="L18" s="22" t="s">
        <v>1313</v>
      </c>
      <c r="M18" s="28" t="n">
        <v>0</v>
      </c>
      <c r="N18" s="28" t="n">
        <v>7500000000</v>
      </c>
      <c r="O18" s="22" t="n">
        <v>36</v>
      </c>
      <c r="P18" s="23" t="n">
        <v>52677</v>
      </c>
      <c r="Q18" s="39" t="n">
        <v>0.0685113849251541</v>
      </c>
      <c r="R18" s="56" t="n">
        <f aca="false">IF(LEFT(H18,11)="IBR 6 MESES",Detalle_62!$B$7,IF(LEFT(H18,11)="IBR 3 MESES",Detalle_62!$B$6,IF(H18="DTF",Detalle_62!$B$8,Detalle_62!$B$5)))</f>
        <v>0.12025</v>
      </c>
      <c r="S18" s="56" t="n">
        <f aca="false">(1+(R18+I18)/K18)^K18-1</f>
        <v>0.155893765625</v>
      </c>
      <c r="T18" s="57" t="n">
        <f aca="false">(J18-S18)*10000</f>
        <v>0</v>
      </c>
      <c r="U18" s="28" t="n">
        <f aca="false">M18+N18-F18</f>
        <v>0</v>
      </c>
      <c r="V18" s="22" t="str">
        <f aca="false">IF(ABS(U18)&gt;Resumen!$C$6,"ERROR",IF(OR(M18&lt;0,N18&lt;0),"ERROR","OK"))</f>
        <v>OK</v>
      </c>
      <c r="W18" s="28" t="n">
        <f aca="false">MIN(MAX(M18,0),F18)</f>
        <v>0</v>
      </c>
      <c r="X18" s="28" t="n">
        <f aca="false">F18-W18</f>
        <v>7500000000</v>
      </c>
      <c r="Y18" s="39" t="n">
        <f aca="false">F18/SUMIFS($F$14:$F$35,$A$14:$A$35,A18)</f>
        <v>0.439474822168048</v>
      </c>
    </row>
    <row r="19" customFormat="false" ht="15" hidden="false" customHeight="false" outlineLevel="0" collapsed="false">
      <c r="A19" s="22" t="s">
        <v>512</v>
      </c>
      <c r="B19" s="22" t="s">
        <v>678</v>
      </c>
      <c r="C19" s="29" t="s">
        <v>122</v>
      </c>
      <c r="D19" s="22" t="s">
        <v>170</v>
      </c>
      <c r="E19" s="22" t="s">
        <v>1312</v>
      </c>
      <c r="F19" s="28" t="n">
        <v>3960000000</v>
      </c>
      <c r="G19" s="39" t="n">
        <v>0.232042706104729</v>
      </c>
      <c r="H19" s="22" t="s">
        <v>1280</v>
      </c>
      <c r="I19" s="39" t="n">
        <v>0.034</v>
      </c>
      <c r="J19" s="39" t="n">
        <v>0.160198265625</v>
      </c>
      <c r="K19" s="22" t="n">
        <v>2</v>
      </c>
      <c r="L19" s="22" t="s">
        <v>1313</v>
      </c>
      <c r="M19" s="28" t="n">
        <v>0</v>
      </c>
      <c r="N19" s="28" t="n">
        <v>3960000000</v>
      </c>
      <c r="O19" s="22" t="n">
        <v>30</v>
      </c>
      <c r="P19" s="23" t="n">
        <v>51710</v>
      </c>
      <c r="Q19" s="39" t="n">
        <v>0.0371728390689093</v>
      </c>
      <c r="R19" s="56" t="n">
        <f aca="false">IF(LEFT(H19,11)="IBR 6 MESES",Detalle_62!$B$7,IF(LEFT(H19,11)="IBR 3 MESES",Detalle_62!$B$6,IF(H19="DTF",Detalle_62!$B$8,Detalle_62!$B$5)))</f>
        <v>0.12025</v>
      </c>
      <c r="S19" s="56" t="n">
        <f aca="false">(1+(R19+I19)/K19)^K19-1</f>
        <v>0.160198265625</v>
      </c>
      <c r="T19" s="57" t="n">
        <f aca="false">(J19-S19)*10000</f>
        <v>0</v>
      </c>
      <c r="U19" s="28" t="n">
        <f aca="false">M19+N19-F19</f>
        <v>0</v>
      </c>
      <c r="V19" s="22" t="str">
        <f aca="false">IF(ABS(U19)&gt;Resumen!$C$6,"ERROR",IF(OR(M19&lt;0,N19&lt;0),"ERROR","OK"))</f>
        <v>OK</v>
      </c>
      <c r="W19" s="28" t="n">
        <f aca="false">MIN(MAX(M19,0),F19)</f>
        <v>0</v>
      </c>
      <c r="X19" s="28" t="n">
        <f aca="false">F19-W19</f>
        <v>3960000000</v>
      </c>
      <c r="Y19" s="39" t="n">
        <f aca="false">F19/SUMIFS($F$14:$F$35,$A$14:$A$35,A19)</f>
        <v>0.232042706104729</v>
      </c>
    </row>
    <row r="20" customFormat="false" ht="15" hidden="false" customHeight="false" outlineLevel="0" collapsed="false">
      <c r="A20" s="22" t="s">
        <v>523</v>
      </c>
      <c r="B20" s="22" t="s">
        <v>687</v>
      </c>
      <c r="C20" s="29" t="s">
        <v>129</v>
      </c>
      <c r="D20" s="22" t="s">
        <v>170</v>
      </c>
      <c r="E20" s="22" t="s">
        <v>1312</v>
      </c>
      <c r="F20" s="28" t="n">
        <v>2937500000</v>
      </c>
      <c r="G20" s="39" t="n">
        <v>0.162938864193917</v>
      </c>
      <c r="H20" s="22" t="s">
        <v>1278</v>
      </c>
      <c r="I20" s="39" t="n">
        <v>0.047</v>
      </c>
      <c r="J20" s="39" t="n">
        <v>0.175224160801509</v>
      </c>
      <c r="K20" s="22" t="n">
        <v>12</v>
      </c>
      <c r="L20" s="22" t="s">
        <v>1306</v>
      </c>
      <c r="M20" s="28" t="n">
        <v>750000000</v>
      </c>
      <c r="N20" s="28" t="n">
        <v>2187500000</v>
      </c>
      <c r="O20" s="22" t="n">
        <v>47</v>
      </c>
      <c r="P20" s="23" t="n">
        <v>47651</v>
      </c>
      <c r="Q20" s="39" t="n">
        <v>0.0285508257403301</v>
      </c>
      <c r="R20" s="56" t="n">
        <f aca="false">IF(LEFT(H20,11)="IBR 6 MESES",Detalle_62!$B$7,IF(LEFT(H20,11)="IBR 3 MESES",Detalle_62!$B$6,IF(H20="DTF",Detalle_62!$B$8,Detalle_62!$B$5)))</f>
        <v>0.11555</v>
      </c>
      <c r="S20" s="56" t="n">
        <f aca="false">(1+(R20+I20)/K20)^K20-1</f>
        <v>0.175224160801509</v>
      </c>
      <c r="T20" s="57" t="n">
        <f aca="false">(J20-S20)*10000</f>
        <v>0</v>
      </c>
      <c r="U20" s="28" t="n">
        <f aca="false">M20+N20-F20</f>
        <v>0</v>
      </c>
      <c r="V20" s="22" t="str">
        <f aca="false">IF(ABS(U20)&gt;Resumen!$C$6,"ERROR",IF(OR(M20&lt;0,N20&lt;0),"ERROR","OK"))</f>
        <v>OK</v>
      </c>
      <c r="W20" s="28" t="n">
        <f aca="false">MIN(MAX(M20,0),F20)</f>
        <v>750000000</v>
      </c>
      <c r="X20" s="28" t="n">
        <f aca="false">F20-W20</f>
        <v>2187500000</v>
      </c>
      <c r="Y20" s="39" t="n">
        <f aca="false">F20/SUMIFS($F$14:$F$35,$A$14:$A$35,A20)</f>
        <v>0.162938864193917</v>
      </c>
    </row>
    <row r="21" customFormat="false" ht="15" hidden="false" customHeight="false" outlineLevel="0" collapsed="false">
      <c r="A21" s="22" t="s">
        <v>523</v>
      </c>
      <c r="B21" s="22" t="s">
        <v>691</v>
      </c>
      <c r="C21" s="29" t="s">
        <v>130</v>
      </c>
      <c r="D21" s="22" t="s">
        <v>170</v>
      </c>
      <c r="E21" s="22" t="s">
        <v>1312</v>
      </c>
      <c r="F21" s="28" t="n">
        <v>1457333332</v>
      </c>
      <c r="G21" s="39" t="n">
        <v>0.0808361660827291</v>
      </c>
      <c r="H21" s="22" t="s">
        <v>1279</v>
      </c>
      <c r="I21" s="39" t="n">
        <v>0.032</v>
      </c>
      <c r="J21" s="39" t="n">
        <v>0.158293089495938</v>
      </c>
      <c r="K21" s="22" t="n">
        <v>4</v>
      </c>
      <c r="L21" s="22" t="s">
        <v>1311</v>
      </c>
      <c r="M21" s="28" t="n">
        <v>750000000</v>
      </c>
      <c r="N21" s="28" t="n">
        <v>707333332</v>
      </c>
      <c r="O21" s="22" t="n">
        <v>8</v>
      </c>
      <c r="P21" s="23" t="n">
        <v>46925</v>
      </c>
      <c r="Q21" s="39" t="n">
        <v>0.0127958064722419</v>
      </c>
      <c r="R21" s="56" t="n">
        <f aca="false">IF(LEFT(H21,11)="IBR 6 MESES",Detalle_62!$B$7,IF(LEFT(H21,11)="IBR 3 MESES",Detalle_62!$B$6,IF(H21="DTF",Detalle_62!$B$8,Detalle_62!$B$5)))</f>
        <v>0.11768</v>
      </c>
      <c r="S21" s="56" t="n">
        <f aca="false">(1+(R21+I21)/K21)^K21-1</f>
        <v>0.158293089495938</v>
      </c>
      <c r="T21" s="57" t="n">
        <f aca="false">(J21-S21)*10000</f>
        <v>0</v>
      </c>
      <c r="U21" s="28" t="n">
        <f aca="false">M21+N21-F21</f>
        <v>0</v>
      </c>
      <c r="V21" s="22" t="str">
        <f aca="false">IF(ABS(U21)&gt;Resumen!$C$6,"ERROR",IF(OR(M21&lt;0,N21&lt;0),"ERROR","OK"))</f>
        <v>OK</v>
      </c>
      <c r="W21" s="28" t="n">
        <f aca="false">MIN(MAX(M21,0),F21)</f>
        <v>750000000</v>
      </c>
      <c r="X21" s="28" t="n">
        <f aca="false">F21-W21</f>
        <v>707333332</v>
      </c>
      <c r="Y21" s="39" t="n">
        <f aca="false">F21/SUMIFS($F$14:$F$35,$A$14:$A$35,A21)</f>
        <v>0.0808361660827291</v>
      </c>
    </row>
    <row r="22" customFormat="false" ht="15" hidden="false" customHeight="false" outlineLevel="0" collapsed="false">
      <c r="A22" s="22" t="s">
        <v>523</v>
      </c>
      <c r="B22" s="22" t="s">
        <v>695</v>
      </c>
      <c r="C22" s="29" t="s">
        <v>131</v>
      </c>
      <c r="D22" s="22" t="s">
        <v>170</v>
      </c>
      <c r="E22" s="22" t="s">
        <v>1312</v>
      </c>
      <c r="F22" s="28" t="n">
        <v>1125000000</v>
      </c>
      <c r="G22" s="39" t="n">
        <v>0.0624021182019257</v>
      </c>
      <c r="H22" s="22" t="s">
        <v>1279</v>
      </c>
      <c r="I22" s="39" t="n">
        <v>0.046</v>
      </c>
      <c r="J22" s="39" t="n">
        <v>0.174003555557499</v>
      </c>
      <c r="K22" s="22" t="n">
        <v>4</v>
      </c>
      <c r="L22" s="22" t="s">
        <v>1311</v>
      </c>
      <c r="M22" s="28" t="n">
        <v>500000000</v>
      </c>
      <c r="N22" s="28" t="n">
        <v>625000000</v>
      </c>
      <c r="O22" s="22" t="n">
        <v>9</v>
      </c>
      <c r="P22" s="23" t="n">
        <v>46990</v>
      </c>
      <c r="Q22" s="39" t="n">
        <v>0.0108581904414544</v>
      </c>
      <c r="R22" s="56" t="n">
        <f aca="false">IF(LEFT(H22,11)="IBR 6 MESES",Detalle_62!$B$7,IF(LEFT(H22,11)="IBR 3 MESES",Detalle_62!$B$6,IF(H22="DTF",Detalle_62!$B$8,Detalle_62!$B$5)))</f>
        <v>0.11768</v>
      </c>
      <c r="S22" s="56" t="n">
        <f aca="false">(1+(R22+I22)/K22)^K22-1</f>
        <v>0.174003555557499</v>
      </c>
      <c r="T22" s="57" t="n">
        <f aca="false">(J22-S22)*10000</f>
        <v>0</v>
      </c>
      <c r="U22" s="28" t="n">
        <f aca="false">M22+N22-F22</f>
        <v>0</v>
      </c>
      <c r="V22" s="22" t="str">
        <f aca="false">IF(ABS(U22)&gt;Resumen!$C$6,"ERROR",IF(OR(M22&lt;0,N22&lt;0),"ERROR","OK"))</f>
        <v>OK</v>
      </c>
      <c r="W22" s="28" t="n">
        <f aca="false">MIN(MAX(M22,0),F22)</f>
        <v>500000000</v>
      </c>
      <c r="X22" s="28" t="n">
        <f aca="false">F22-W22</f>
        <v>625000000</v>
      </c>
      <c r="Y22" s="39" t="n">
        <f aca="false">F22/SUMIFS($F$14:$F$35,$A$14:$A$35,A22)</f>
        <v>0.0624021182019257</v>
      </c>
    </row>
    <row r="23" customFormat="false" ht="15" hidden="false" customHeight="false" outlineLevel="0" collapsed="false">
      <c r="A23" s="22" t="s">
        <v>523</v>
      </c>
      <c r="B23" s="22" t="n">
        <v>1159383796</v>
      </c>
      <c r="C23" s="29" t="s">
        <v>132</v>
      </c>
      <c r="D23" s="22" t="s">
        <v>170</v>
      </c>
      <c r="E23" s="22" t="s">
        <v>1312</v>
      </c>
      <c r="F23" s="28" t="n">
        <v>10000000000</v>
      </c>
      <c r="G23" s="39" t="n">
        <v>0.554685495128229</v>
      </c>
      <c r="H23" s="22" t="s">
        <v>1279</v>
      </c>
      <c r="I23" s="39" t="n">
        <v>0.008</v>
      </c>
      <c r="J23" s="39" t="n">
        <v>0.1296288656</v>
      </c>
      <c r="K23" s="22" t="n">
        <v>2</v>
      </c>
      <c r="L23" s="22" t="s">
        <v>1313</v>
      </c>
      <c r="M23" s="28" t="n">
        <v>10000000000</v>
      </c>
      <c r="N23" s="28" t="n">
        <v>0</v>
      </c>
      <c r="O23" s="22" t="n">
        <v>1</v>
      </c>
      <c r="P23" s="23" t="n">
        <v>46409</v>
      </c>
      <c r="Q23" s="39" t="n">
        <v>0.0719032514982466</v>
      </c>
      <c r="R23" s="56" t="n">
        <f aca="false">IF(LEFT(H23,11)="IBR 6 MESES",Detalle_62!$B$7,IF(LEFT(H23,11)="IBR 3 MESES",Detalle_62!$B$6,IF(H23="DTF",Detalle_62!$B$8,Detalle_62!$B$5)))</f>
        <v>0.11768</v>
      </c>
      <c r="S23" s="56" t="n">
        <f aca="false">(1+(R23+I23)/K23)^K23-1</f>
        <v>0.1296288656</v>
      </c>
      <c r="T23" s="57" t="n">
        <f aca="false">(J23-S23)*10000</f>
        <v>0</v>
      </c>
      <c r="U23" s="28" t="n">
        <f aca="false">M23+N23-F23</f>
        <v>0</v>
      </c>
      <c r="V23" s="22" t="str">
        <f aca="false">IF(ABS(U23)&gt;Resumen!$C$6,"ERROR",IF(OR(M23&lt;0,N23&lt;0),"ERROR","OK"))</f>
        <v>OK</v>
      </c>
      <c r="W23" s="28" t="n">
        <f aca="false">MIN(MAX(M23,0),F23)</f>
        <v>10000000000</v>
      </c>
      <c r="X23" s="28" t="n">
        <f aca="false">F23-W23</f>
        <v>0</v>
      </c>
      <c r="Y23" s="39" t="n">
        <f aca="false">F23/SUMIFS($F$14:$F$35,$A$14:$A$35,A23)</f>
        <v>0.554685495128229</v>
      </c>
    </row>
    <row r="24" customFormat="false" ht="15" hidden="false" customHeight="false" outlineLevel="0" collapsed="false">
      <c r="A24" s="22" t="s">
        <v>523</v>
      </c>
      <c r="B24" s="22" t="s">
        <v>1314</v>
      </c>
      <c r="C24" s="29" t="s">
        <v>133</v>
      </c>
      <c r="D24" s="22" t="s">
        <v>388</v>
      </c>
      <c r="E24" s="22" t="s">
        <v>1315</v>
      </c>
      <c r="F24" s="28" t="n">
        <v>381845387.419314</v>
      </c>
      <c r="G24" s="39" t="n">
        <v>0.0211804097783112</v>
      </c>
      <c r="H24" s="22" t="s">
        <v>1281</v>
      </c>
      <c r="I24" s="39" t="n">
        <v>0.0357</v>
      </c>
      <c r="J24" s="39" t="n">
        <v>0.145417886389703</v>
      </c>
      <c r="K24" s="22" t="n">
        <v>4</v>
      </c>
      <c r="L24" s="22" t="s">
        <v>1311</v>
      </c>
      <c r="M24" s="28" t="n">
        <v>175631569.283009</v>
      </c>
      <c r="N24" s="28" t="n">
        <v>206213818.136305</v>
      </c>
      <c r="O24" s="22" t="n">
        <v>14</v>
      </c>
      <c r="P24" s="23" t="n">
        <v>47503</v>
      </c>
      <c r="Q24" s="39" t="n">
        <v>0.00308001042282982</v>
      </c>
      <c r="R24" s="56" t="n">
        <f aca="false">IF(LEFT(H24,11)="IBR 6 MESES",Detalle_62!$B$7,IF(LEFT(H24,11)="IBR 3 MESES",Detalle_62!$B$6,IF(H24="DTF",Detalle_62!$B$8,Detalle_62!$B$5)))</f>
        <v>0.1024</v>
      </c>
      <c r="S24" s="56" t="n">
        <f aca="false">(1+(R24+I24)/K24)^K24-1</f>
        <v>0.145417886389703</v>
      </c>
      <c r="T24" s="57" t="n">
        <f aca="false">(J24-S24)*10000</f>
        <v>0</v>
      </c>
      <c r="U24" s="28" t="n">
        <f aca="false">M24+N24-F24</f>
        <v>0</v>
      </c>
      <c r="V24" s="22" t="str">
        <f aca="false">IF(ABS(U24)&gt;Resumen!$C$6,"ERROR",IF(OR(M24&lt;0,N24&lt;0),"ERROR","OK"))</f>
        <v>OK</v>
      </c>
      <c r="W24" s="28" t="n">
        <f aca="false">MIN(MAX(M24,0),F24)</f>
        <v>175631569.283009</v>
      </c>
      <c r="X24" s="28" t="n">
        <f aca="false">F24-W24</f>
        <v>206213818.136305</v>
      </c>
      <c r="Y24" s="39" t="n">
        <f aca="false">F24/SUMIFS($F$14:$F$35,$A$14:$A$35,A24)</f>
        <v>0.0211804097783112</v>
      </c>
    </row>
    <row r="25" customFormat="false" ht="15" hidden="false" customHeight="false" outlineLevel="0" collapsed="false">
      <c r="A25" s="22" t="s">
        <v>523</v>
      </c>
      <c r="B25" s="22" t="s">
        <v>1316</v>
      </c>
      <c r="C25" s="29" t="s">
        <v>134</v>
      </c>
      <c r="D25" s="22" t="s">
        <v>388</v>
      </c>
      <c r="E25" s="22" t="s">
        <v>1317</v>
      </c>
      <c r="F25" s="28" t="n">
        <v>381845387.419314</v>
      </c>
      <c r="G25" s="39" t="n">
        <v>0.0211804097783112</v>
      </c>
      <c r="H25" s="22" t="s">
        <v>1281</v>
      </c>
      <c r="I25" s="39" t="n">
        <v>0.0357</v>
      </c>
      <c r="J25" s="39" t="n">
        <v>0.145417886389703</v>
      </c>
      <c r="K25" s="22" t="n">
        <v>4</v>
      </c>
      <c r="L25" s="22" t="s">
        <v>1311</v>
      </c>
      <c r="M25" s="28" t="n">
        <v>175631569.283009</v>
      </c>
      <c r="N25" s="28" t="n">
        <v>459154383.928047</v>
      </c>
      <c r="O25" s="22" t="n">
        <v>14</v>
      </c>
      <c r="P25" s="23" t="n">
        <v>47503</v>
      </c>
      <c r="Q25" s="39" t="n">
        <v>0.00308001042282982</v>
      </c>
      <c r="R25" s="56" t="n">
        <f aca="false">IF(LEFT(H25,11)="IBR 6 MESES",Detalle_62!$B$7,IF(LEFT(H25,11)="IBR 3 MESES",Detalle_62!$B$6,IF(H25="DTF",Detalle_62!$B$8,Detalle_62!$B$5)))</f>
        <v>0.1024</v>
      </c>
      <c r="S25" s="56" t="n">
        <f aca="false">(1+(R25+I25)/K25)^K25-1</f>
        <v>0.145417886389703</v>
      </c>
      <c r="T25" s="57" t="n">
        <f aca="false">(J25-S25)*10000</f>
        <v>0</v>
      </c>
      <c r="U25" s="28" t="n">
        <f aca="false">M25+N25-F25</f>
        <v>252940565.791742</v>
      </c>
      <c r="V25" s="22" t="str">
        <f aca="false">IF(ABS(U25)&gt;Resumen!$C$6,"ERROR",IF(OR(M25&lt;0,N25&lt;0),"ERROR","OK"))</f>
        <v>ERROR</v>
      </c>
      <c r="W25" s="28" t="n">
        <f aca="false">MIN(MAX(M25,0),F25)</f>
        <v>175631569.283009</v>
      </c>
      <c r="X25" s="28" t="n">
        <f aca="false">F25-W25</f>
        <v>206213818.136305</v>
      </c>
      <c r="Y25" s="39" t="n">
        <f aca="false">F25/SUMIFS($F$14:$F$35,$A$14:$A$35,A25)</f>
        <v>0.0211804097783112</v>
      </c>
    </row>
    <row r="26" customFormat="false" ht="15" hidden="false" customHeight="false" outlineLevel="0" collapsed="false">
      <c r="A26" s="22" t="s">
        <v>523</v>
      </c>
      <c r="B26" s="22" t="s">
        <v>1318</v>
      </c>
      <c r="C26" s="29" t="s">
        <v>135</v>
      </c>
      <c r="D26" s="22" t="s">
        <v>388</v>
      </c>
      <c r="E26" s="22" t="s">
        <v>1319</v>
      </c>
      <c r="F26" s="28" t="n">
        <v>196720178.445431</v>
      </c>
      <c r="G26" s="39" t="n">
        <v>0.0109117829582718</v>
      </c>
      <c r="H26" s="22" t="s">
        <v>1281</v>
      </c>
      <c r="I26" s="39" t="n">
        <v>0.0357</v>
      </c>
      <c r="J26" s="39" t="n">
        <v>0.145417886389703</v>
      </c>
      <c r="K26" s="22" t="n">
        <v>4</v>
      </c>
      <c r="L26" s="22" t="s">
        <v>1311</v>
      </c>
      <c r="M26" s="28" t="n">
        <v>175631569.283009</v>
      </c>
      <c r="N26" s="28" t="n">
        <v>21088609.1624229</v>
      </c>
      <c r="O26" s="22" t="n">
        <v>8</v>
      </c>
      <c r="P26" s="23" t="n">
        <v>46870</v>
      </c>
      <c r="Q26" s="39" t="n">
        <v>0.00158676841453506</v>
      </c>
      <c r="R26" s="56" t="n">
        <f aca="false">IF(LEFT(H26,11)="IBR 6 MESES",Detalle_62!$B$7,IF(LEFT(H26,11)="IBR 3 MESES",Detalle_62!$B$6,IF(H26="DTF",Detalle_62!$B$8,Detalle_62!$B$5)))</f>
        <v>0.1024</v>
      </c>
      <c r="S26" s="56" t="n">
        <f aca="false">(1+(R26+I26)/K26)^K26-1</f>
        <v>0.145417886389703</v>
      </c>
      <c r="T26" s="57" t="n">
        <f aca="false">(J26-S26)*10000</f>
        <v>0</v>
      </c>
      <c r="U26" s="28" t="n">
        <f aca="false">M26+N26-F26</f>
        <v>0</v>
      </c>
      <c r="V26" s="22" t="str">
        <f aca="false">IF(ABS(U26)&gt;Resumen!$C$6,"ERROR",IF(OR(M26&lt;0,N26&lt;0),"ERROR","OK"))</f>
        <v>OK</v>
      </c>
      <c r="W26" s="28" t="n">
        <f aca="false">MIN(MAX(M26,0),F26)</f>
        <v>175631569.283009</v>
      </c>
      <c r="X26" s="28" t="n">
        <f aca="false">F26-W26</f>
        <v>21088609.1624228</v>
      </c>
      <c r="Y26" s="39" t="n">
        <f aca="false">F26/SUMIFS($F$14:$F$35,$A$14:$A$35,A26)</f>
        <v>0.0109117829582718</v>
      </c>
    </row>
    <row r="27" customFormat="false" ht="15" hidden="false" customHeight="false" outlineLevel="0" collapsed="false">
      <c r="A27" s="22" t="s">
        <v>523</v>
      </c>
      <c r="B27" s="22" t="s">
        <v>1320</v>
      </c>
      <c r="C27" s="29" t="s">
        <v>136</v>
      </c>
      <c r="D27" s="22" t="s">
        <v>388</v>
      </c>
      <c r="E27" s="22" t="s">
        <v>1321</v>
      </c>
      <c r="F27" s="28" t="n">
        <v>196720178.445431</v>
      </c>
      <c r="G27" s="39" t="n">
        <v>0.0109117829582718</v>
      </c>
      <c r="H27" s="22" t="s">
        <v>1281</v>
      </c>
      <c r="I27" s="39" t="n">
        <v>0.0357</v>
      </c>
      <c r="J27" s="39" t="n">
        <v>0.145417886389703</v>
      </c>
      <c r="K27" s="22" t="n">
        <v>4</v>
      </c>
      <c r="L27" s="22" t="s">
        <v>1311</v>
      </c>
      <c r="M27" s="28" t="n">
        <v>175631569.283009</v>
      </c>
      <c r="N27" s="28" t="n">
        <v>21088609.1624229</v>
      </c>
      <c r="O27" s="22" t="n">
        <v>8</v>
      </c>
      <c r="P27" s="23" t="n">
        <v>46870</v>
      </c>
      <c r="Q27" s="39" t="n">
        <v>0.00158676841453506</v>
      </c>
      <c r="R27" s="56" t="n">
        <f aca="false">IF(LEFT(H27,11)="IBR 6 MESES",Detalle_62!$B$7,IF(LEFT(H27,11)="IBR 3 MESES",Detalle_62!$B$6,IF(H27="DTF",Detalle_62!$B$8,Detalle_62!$B$5)))</f>
        <v>0.1024</v>
      </c>
      <c r="S27" s="56" t="n">
        <f aca="false">(1+(R27+I27)/K27)^K27-1</f>
        <v>0.145417886389703</v>
      </c>
      <c r="T27" s="57" t="n">
        <f aca="false">(J27-S27)*10000</f>
        <v>0</v>
      </c>
      <c r="U27" s="28" t="n">
        <f aca="false">M27+N27-F27</f>
        <v>0</v>
      </c>
      <c r="V27" s="22" t="str">
        <f aca="false">IF(ABS(U27)&gt;Resumen!$C$6,"ERROR",IF(OR(M27&lt;0,N27&lt;0),"ERROR","OK"))</f>
        <v>OK</v>
      </c>
      <c r="W27" s="28" t="n">
        <f aca="false">MIN(MAX(M27,0),F27)</f>
        <v>175631569.283009</v>
      </c>
      <c r="X27" s="28" t="n">
        <f aca="false">F27-W27</f>
        <v>21088609.1624228</v>
      </c>
      <c r="Y27" s="39" t="n">
        <f aca="false">F27/SUMIFS($F$14:$F$35,$A$14:$A$35,A27)</f>
        <v>0.0109117829582718</v>
      </c>
    </row>
    <row r="28" customFormat="false" ht="15" hidden="false" customHeight="false" outlineLevel="0" collapsed="false">
      <c r="A28" s="22" t="s">
        <v>523</v>
      </c>
      <c r="B28" s="22" t="s">
        <v>1322</v>
      </c>
      <c r="C28" s="29" t="s">
        <v>137</v>
      </c>
      <c r="D28" s="22" t="s">
        <v>388</v>
      </c>
      <c r="E28" s="22" t="s">
        <v>1323</v>
      </c>
      <c r="F28" s="28" t="n">
        <v>382649239.487494</v>
      </c>
      <c r="G28" s="39" t="n">
        <v>0.0212249982865561</v>
      </c>
      <c r="H28" s="22" t="s">
        <v>1281</v>
      </c>
      <c r="I28" s="39" t="n">
        <v>0.0357</v>
      </c>
      <c r="J28" s="39" t="n">
        <v>0.145417886389703</v>
      </c>
      <c r="K28" s="22" t="n">
        <v>4</v>
      </c>
      <c r="L28" s="22" t="s">
        <v>1311</v>
      </c>
      <c r="M28" s="28" t="n">
        <v>175631569.283009</v>
      </c>
      <c r="N28" s="28" t="n">
        <v>207017670.204485</v>
      </c>
      <c r="O28" s="22" t="n">
        <v>14</v>
      </c>
      <c r="P28" s="23" t="n">
        <v>47503</v>
      </c>
      <c r="Q28" s="39" t="n">
        <v>0.00308649438945605</v>
      </c>
      <c r="R28" s="56" t="n">
        <f aca="false">IF(LEFT(H28,11)="IBR 6 MESES",Detalle_62!$B$7,IF(LEFT(H28,11)="IBR 3 MESES",Detalle_62!$B$6,IF(H28="DTF",Detalle_62!$B$8,Detalle_62!$B$5)))</f>
        <v>0.1024</v>
      </c>
      <c r="S28" s="56" t="n">
        <f aca="false">(1+(R28+I28)/K28)^K28-1</f>
        <v>0.145417886389703</v>
      </c>
      <c r="T28" s="57" t="n">
        <f aca="false">(J28-S28)*10000</f>
        <v>0</v>
      </c>
      <c r="U28" s="28" t="n">
        <f aca="false">M28+N28-F28</f>
        <v>0</v>
      </c>
      <c r="V28" s="22" t="str">
        <f aca="false">IF(ABS(U28)&gt;Resumen!$C$6,"ERROR",IF(OR(M28&lt;0,N28&lt;0),"ERROR","OK"))</f>
        <v>OK</v>
      </c>
      <c r="W28" s="28" t="n">
        <f aca="false">MIN(MAX(M28,0),F28)</f>
        <v>175631569.283009</v>
      </c>
      <c r="X28" s="28" t="n">
        <f aca="false">F28-W28</f>
        <v>207017670.204485</v>
      </c>
      <c r="Y28" s="39" t="n">
        <f aca="false">F28/SUMIFS($F$14:$F$35,$A$14:$A$35,A28)</f>
        <v>0.0212249982865561</v>
      </c>
    </row>
    <row r="29" customFormat="false" ht="15" hidden="false" customHeight="false" outlineLevel="0" collapsed="false">
      <c r="A29" s="22" t="s">
        <v>523</v>
      </c>
      <c r="B29" s="22" t="s">
        <v>1324</v>
      </c>
      <c r="C29" s="29" t="s">
        <v>138</v>
      </c>
      <c r="D29" s="22" t="s">
        <v>388</v>
      </c>
      <c r="E29" s="22" t="s">
        <v>1325</v>
      </c>
      <c r="F29" s="28" t="n">
        <v>968620472.418459</v>
      </c>
      <c r="G29" s="39" t="n">
        <v>0.0537279726334772</v>
      </c>
      <c r="H29" s="22" t="s">
        <v>1279</v>
      </c>
      <c r="I29" s="39" t="n">
        <v>0.0378</v>
      </c>
      <c r="J29" s="39" t="n">
        <v>0.164782455289419</v>
      </c>
      <c r="K29" s="22" t="n">
        <v>4</v>
      </c>
      <c r="L29" s="22" t="s">
        <v>1311</v>
      </c>
      <c r="M29" s="28" t="n">
        <v>722980190</v>
      </c>
      <c r="N29" s="28" t="n">
        <v>245640282.418459</v>
      </c>
      <c r="O29" s="22" t="n">
        <v>12</v>
      </c>
      <c r="P29" s="23" t="n">
        <v>47321</v>
      </c>
      <c r="Q29" s="39" t="n">
        <v>0.00885342724826708</v>
      </c>
      <c r="R29" s="56" t="n">
        <f aca="false">IF(LEFT(H29,11)="IBR 6 MESES",Detalle_62!$B$7,IF(LEFT(H29,11)="IBR 3 MESES",Detalle_62!$B$6,IF(H29="DTF",Detalle_62!$B$8,Detalle_62!$B$5)))</f>
        <v>0.11768</v>
      </c>
      <c r="S29" s="56" t="n">
        <f aca="false">(1+(R29+I29)/K29)^K29-1</f>
        <v>0.164782455289419</v>
      </c>
      <c r="T29" s="57" t="n">
        <f aca="false">(J29-S29)*10000</f>
        <v>0</v>
      </c>
      <c r="U29" s="28" t="n">
        <f aca="false">M29+N29-F29</f>
        <v>0</v>
      </c>
      <c r="V29" s="22" t="str">
        <f aca="false">IF(ABS(U29)&gt;Resumen!$C$6,"ERROR",IF(OR(M29&lt;0,N29&lt;0),"ERROR","OK"))</f>
        <v>OK</v>
      </c>
      <c r="W29" s="28" t="n">
        <f aca="false">MIN(MAX(M29,0),F29)</f>
        <v>722980190</v>
      </c>
      <c r="X29" s="28" t="n">
        <f aca="false">F29-W29</f>
        <v>245640282.418459</v>
      </c>
      <c r="Y29" s="39" t="n">
        <f aca="false">F29/SUMIFS($F$14:$F$35,$A$14:$A$35,A29)</f>
        <v>0.0537279726334771</v>
      </c>
    </row>
    <row r="30" customFormat="false" ht="15" hidden="false" customHeight="false" outlineLevel="0" collapsed="false">
      <c r="A30" s="22" t="s">
        <v>382</v>
      </c>
      <c r="B30" s="22" t="s">
        <v>383</v>
      </c>
      <c r="C30" s="29" t="s">
        <v>140</v>
      </c>
      <c r="D30" s="22" t="s">
        <v>170</v>
      </c>
      <c r="E30" s="22" t="s">
        <v>1312</v>
      </c>
      <c r="F30" s="28" t="n">
        <v>287500000</v>
      </c>
      <c r="G30" s="39" t="n">
        <v>1</v>
      </c>
      <c r="H30" s="22" t="s">
        <v>1279</v>
      </c>
      <c r="I30" s="39" t="n">
        <v>0.024</v>
      </c>
      <c r="J30" s="39" t="n">
        <v>0.149386780746296</v>
      </c>
      <c r="K30" s="22" t="n">
        <v>4</v>
      </c>
      <c r="L30" s="22" t="s">
        <v>1311</v>
      </c>
      <c r="M30" s="28" t="n">
        <v>575000000</v>
      </c>
      <c r="N30" s="28" t="n">
        <v>-287500000</v>
      </c>
      <c r="O30" s="22" t="n">
        <v>2</v>
      </c>
      <c r="P30" s="23" t="n">
        <v>46373</v>
      </c>
      <c r="Q30" s="39" t="n">
        <v>0.149386780746296</v>
      </c>
      <c r="R30" s="56" t="n">
        <f aca="false">IF(LEFT(H30,11)="IBR 6 MESES",Detalle_62!$B$7,IF(LEFT(H30,11)="IBR 3 MESES",Detalle_62!$B$6,IF(H30="DTF",Detalle_62!$B$8,Detalle_62!$B$5)))</f>
        <v>0.11768</v>
      </c>
      <c r="S30" s="56" t="n">
        <f aca="false">(1+(R30+I30)/K30)^K30-1</f>
        <v>0.149386780746295</v>
      </c>
      <c r="T30" s="57" t="n">
        <f aca="false">(J30-S30)*10000</f>
        <v>0</v>
      </c>
      <c r="U30" s="28" t="n">
        <f aca="false">M30+N30-F30</f>
        <v>0</v>
      </c>
      <c r="V30" s="22" t="str">
        <f aca="false">IF(ABS(U30)&gt;Resumen!$C$6,"ERROR",IF(OR(M30&lt;0,N30&lt;0),"ERROR","OK"))</f>
        <v>ERROR</v>
      </c>
      <c r="W30" s="28" t="n">
        <f aca="false">MIN(MAX(M30,0),F30)</f>
        <v>287500000</v>
      </c>
      <c r="X30" s="28" t="n">
        <f aca="false">F30-W30</f>
        <v>0</v>
      </c>
      <c r="Y30" s="39" t="n">
        <f aca="false">F30/SUMIFS($F$14:$F$35,$A$14:$A$35,A30)</f>
        <v>1</v>
      </c>
    </row>
    <row r="31" customFormat="false" ht="15" hidden="false" customHeight="false" outlineLevel="0" collapsed="false">
      <c r="A31" s="22" t="s">
        <v>384</v>
      </c>
      <c r="B31" s="22" t="n">
        <v>252059</v>
      </c>
      <c r="C31" s="29" t="s">
        <v>142</v>
      </c>
      <c r="D31" s="22" t="s">
        <v>170</v>
      </c>
      <c r="E31" s="22" t="s">
        <v>1312</v>
      </c>
      <c r="F31" s="28" t="n">
        <v>4700000000</v>
      </c>
      <c r="G31" s="39" t="n">
        <v>1</v>
      </c>
      <c r="H31" s="22" t="s">
        <v>1326</v>
      </c>
      <c r="I31" s="39" t="n">
        <v>0.01</v>
      </c>
      <c r="J31" s="39" t="n">
        <v>0.135423288111736</v>
      </c>
      <c r="K31" s="22" t="n">
        <v>2</v>
      </c>
      <c r="L31" s="22" t="s">
        <v>1313</v>
      </c>
      <c r="M31" s="28" t="n">
        <v>4700000000</v>
      </c>
      <c r="N31" s="28" t="n">
        <v>0</v>
      </c>
      <c r="O31" s="22" t="n">
        <v>1</v>
      </c>
      <c r="P31" s="23" t="n">
        <v>46367</v>
      </c>
      <c r="Q31" s="39" t="n">
        <v>0.135423288111736</v>
      </c>
      <c r="R31" s="56" t="n">
        <f aca="false">IF(LEFT(H31,11)="IBR 6 MESES",Detalle_62!$B$7,IF(LEFT(H31,11)="IBR 3 MESES",Detalle_62!$B$6,IF(H31="DTF",Detalle_62!$B$8,Detalle_62!$B$5)))</f>
        <v>0.12025</v>
      </c>
      <c r="S31" s="56" t="n">
        <f aca="false">(1+(R31+I31)/K31)^K31-1</f>
        <v>0.134491265625</v>
      </c>
      <c r="T31" s="57" t="n">
        <f aca="false">(J31-S31)*10000</f>
        <v>9.32022486735573</v>
      </c>
      <c r="U31" s="28" t="n">
        <f aca="false">M31+N31-F31</f>
        <v>0</v>
      </c>
      <c r="V31" s="22" t="str">
        <f aca="false">IF(ABS(U31)&gt;Resumen!$C$6,"ERROR",IF(OR(M31&lt;0,N31&lt;0),"ERROR","OK"))</f>
        <v>OK</v>
      </c>
      <c r="W31" s="28" t="n">
        <f aca="false">MIN(MAX(M31,0),F31)</f>
        <v>4700000000</v>
      </c>
      <c r="X31" s="28" t="n">
        <f aca="false">F31-W31</f>
        <v>0</v>
      </c>
      <c r="Y31" s="39" t="n">
        <f aca="false">F31/SUMIFS($F$14:$F$35,$A$14:$A$35,A31)</f>
        <v>1</v>
      </c>
    </row>
    <row r="32" customFormat="false" ht="15" hidden="false" customHeight="false" outlineLevel="0" collapsed="false">
      <c r="A32" s="22" t="s">
        <v>386</v>
      </c>
      <c r="B32" s="22" t="n">
        <v>1260105867</v>
      </c>
      <c r="C32" s="29" t="s">
        <v>144</v>
      </c>
      <c r="D32" s="22" t="s">
        <v>170</v>
      </c>
      <c r="E32" s="22" t="s">
        <v>1327</v>
      </c>
      <c r="F32" s="28" t="n">
        <v>3333333333.33333</v>
      </c>
      <c r="G32" s="39" t="n">
        <v>0.653037273642509</v>
      </c>
      <c r="H32" s="22" t="s">
        <v>1279</v>
      </c>
      <c r="I32" s="39" t="n">
        <v>0.015</v>
      </c>
      <c r="J32" s="39" t="n">
        <v>0.141053391053319</v>
      </c>
      <c r="K32" s="22" t="n">
        <v>4</v>
      </c>
      <c r="L32" s="22" t="s">
        <v>1311</v>
      </c>
      <c r="M32" s="28" t="n">
        <v>1666666666.67</v>
      </c>
      <c r="N32" s="28" t="n">
        <v>1666666666.66333</v>
      </c>
      <c r="O32" s="22" t="n">
        <v>7</v>
      </c>
      <c r="P32" s="23" t="n">
        <v>46864</v>
      </c>
      <c r="Q32" s="39" t="n">
        <v>0.0921131219314904</v>
      </c>
      <c r="R32" s="56" t="n">
        <f aca="false">IF(LEFT(H32,11)="IBR 6 MESES",Detalle_62!$B$7,IF(LEFT(H32,11)="IBR 3 MESES",Detalle_62!$B$6,IF(H32="DTF",Detalle_62!$B$8,Detalle_62!$B$5)))</f>
        <v>0.11768</v>
      </c>
      <c r="S32" s="56" t="n">
        <f aca="false">(1+(R32+I32)/K32)^K32-1</f>
        <v>0.139428684971694</v>
      </c>
      <c r="T32" s="57" t="n">
        <f aca="false">(J32-S32)*10000</f>
        <v>16.2470608162571</v>
      </c>
      <c r="U32" s="28" t="n">
        <f aca="false">M32+N32-F32</f>
        <v>0</v>
      </c>
      <c r="V32" s="22" t="str">
        <f aca="false">IF(ABS(U32)&gt;Resumen!$C$6,"ERROR",IF(OR(M32&lt;0,N32&lt;0),"ERROR","OK"))</f>
        <v>OK</v>
      </c>
      <c r="W32" s="28" t="n">
        <f aca="false">MIN(MAX(M32,0),F32)</f>
        <v>1666666666.67</v>
      </c>
      <c r="X32" s="28" t="n">
        <f aca="false">F32-W32</f>
        <v>1666666666.66333</v>
      </c>
      <c r="Y32" s="39" t="n">
        <f aca="false">F32/SUMIFS($F$14:$F$35,$A$14:$A$35,A32)</f>
        <v>0.653037273642509</v>
      </c>
    </row>
    <row r="33" customFormat="false" ht="15" hidden="false" customHeight="false" outlineLevel="0" collapsed="false">
      <c r="A33" s="22" t="s">
        <v>386</v>
      </c>
      <c r="B33" s="22" t="s">
        <v>387</v>
      </c>
      <c r="C33" s="29" t="s">
        <v>145</v>
      </c>
      <c r="D33" s="22" t="s">
        <v>388</v>
      </c>
      <c r="E33" s="22" t="s">
        <v>1328</v>
      </c>
      <c r="F33" s="28" t="n">
        <v>497241599</v>
      </c>
      <c r="G33" s="39" t="n">
        <v>0.0974151894457805</v>
      </c>
      <c r="H33" s="22" t="s">
        <v>1279</v>
      </c>
      <c r="I33" s="39" t="n">
        <v>0.0285</v>
      </c>
      <c r="J33" s="39" t="n">
        <v>0.156382742125655</v>
      </c>
      <c r="K33" s="22" t="n">
        <v>4</v>
      </c>
      <c r="L33" s="22" t="s">
        <v>1311</v>
      </c>
      <c r="M33" s="28" t="n">
        <v>154259653</v>
      </c>
      <c r="N33" s="28" t="n">
        <v>342981946</v>
      </c>
      <c r="O33" s="22" t="n">
        <v>15</v>
      </c>
      <c r="P33" s="23" t="n">
        <v>47528</v>
      </c>
      <c r="Q33" s="39" t="n">
        <v>0.0152340544502213</v>
      </c>
      <c r="R33" s="56" t="n">
        <f aca="false">IF(LEFT(H33,11)="IBR 6 MESES",Detalle_62!$B$7,IF(LEFT(H33,11)="IBR 3 MESES",Detalle_62!$B$6,IF(H33="DTF",Detalle_62!$B$8,Detalle_62!$B$5)))</f>
        <v>0.11768</v>
      </c>
      <c r="S33" s="56" t="n">
        <f aca="false">(1+(R33+I33)/K33)^K33-1</f>
        <v>0.15439023461146</v>
      </c>
      <c r="T33" s="57" t="n">
        <f aca="false">(J33-S33)*10000</f>
        <v>19.9250751419505</v>
      </c>
      <c r="U33" s="28" t="n">
        <f aca="false">M33+N33-F33</f>
        <v>0</v>
      </c>
      <c r="V33" s="22" t="str">
        <f aca="false">IF(ABS(U33)&gt;Resumen!$C$6,"ERROR",IF(OR(M33&lt;0,N33&lt;0),"ERROR","OK"))</f>
        <v>OK</v>
      </c>
      <c r="W33" s="28" t="n">
        <f aca="false">MIN(MAX(M33,0),F33)</f>
        <v>154259653</v>
      </c>
      <c r="X33" s="28" t="n">
        <f aca="false">F33-W33</f>
        <v>342981946</v>
      </c>
      <c r="Y33" s="39" t="n">
        <f aca="false">F33/SUMIFS($F$14:$F$35,$A$14:$A$35,A33)</f>
        <v>0.0974151894457805</v>
      </c>
    </row>
    <row r="34" customFormat="false" ht="15" hidden="false" customHeight="false" outlineLevel="0" collapsed="false">
      <c r="A34" s="22" t="s">
        <v>386</v>
      </c>
      <c r="B34" s="22" t="s">
        <v>389</v>
      </c>
      <c r="C34" s="29" t="s">
        <v>146</v>
      </c>
      <c r="D34" s="22" t="s">
        <v>388</v>
      </c>
      <c r="E34" s="22" t="s">
        <v>1329</v>
      </c>
      <c r="F34" s="28" t="n">
        <v>770085425.158301</v>
      </c>
      <c r="G34" s="39" t="n">
        <v>0.150868345955163</v>
      </c>
      <c r="H34" s="22" t="s">
        <v>1278</v>
      </c>
      <c r="I34" s="39" t="n">
        <v>0.032</v>
      </c>
      <c r="J34" s="39" t="n">
        <v>0.157948891345503</v>
      </c>
      <c r="K34" s="22" t="n">
        <v>12</v>
      </c>
      <c r="L34" s="22" t="s">
        <v>1306</v>
      </c>
      <c r="M34" s="28" t="n">
        <v>206513651</v>
      </c>
      <c r="N34" s="28" t="n">
        <v>563571774.158301</v>
      </c>
      <c r="O34" s="22" t="n">
        <v>58</v>
      </c>
      <c r="P34" s="23" t="n">
        <v>47995</v>
      </c>
      <c r="Q34" s="39" t="n">
        <v>0.0238294879827477</v>
      </c>
      <c r="R34" s="56" t="n">
        <f aca="false">IF(LEFT(H34,11)="IBR 6 MESES",Detalle_62!$B$7,IF(LEFT(H34,11)="IBR 3 MESES",Detalle_62!$B$6,IF(H34="DTF",Detalle_62!$B$8,Detalle_62!$B$5)))</f>
        <v>0.11555</v>
      </c>
      <c r="S34" s="56" t="n">
        <f aca="false">(1+(R34+I34)/K34)^K34-1</f>
        <v>0.157948891345502</v>
      </c>
      <c r="T34" s="57" t="n">
        <f aca="false">(J34-S34)*10000</f>
        <v>8.88178419700125E-012</v>
      </c>
      <c r="U34" s="28" t="n">
        <f aca="false">M34+N34-F34</f>
        <v>0</v>
      </c>
      <c r="V34" s="22" t="str">
        <f aca="false">IF(ABS(U34)&gt;Resumen!$C$6,"ERROR",IF(OR(M34&lt;0,N34&lt;0),"ERROR","OK"))</f>
        <v>OK</v>
      </c>
      <c r="W34" s="28" t="n">
        <f aca="false">MIN(MAX(M34,0),F34)</f>
        <v>206513651</v>
      </c>
      <c r="X34" s="28" t="n">
        <f aca="false">F34-W34</f>
        <v>563571774.158301</v>
      </c>
      <c r="Y34" s="39" t="n">
        <f aca="false">F34/SUMIFS($F$14:$F$35,$A$14:$A$35,A34)</f>
        <v>0.150868345955163</v>
      </c>
    </row>
    <row r="35" customFormat="false" ht="15" hidden="false" customHeight="false" outlineLevel="0" collapsed="false">
      <c r="A35" s="22" t="s">
        <v>386</v>
      </c>
      <c r="B35" s="22" t="s">
        <v>390</v>
      </c>
      <c r="C35" s="29" t="s">
        <v>147</v>
      </c>
      <c r="D35" s="22" t="s">
        <v>388</v>
      </c>
      <c r="E35" s="22" t="s">
        <v>1330</v>
      </c>
      <c r="F35" s="28" t="n">
        <v>503693510</v>
      </c>
      <c r="G35" s="39" t="n">
        <v>0.0986791909565478</v>
      </c>
      <c r="H35" s="22" t="s">
        <v>1278</v>
      </c>
      <c r="I35" s="39" t="n">
        <v>0.0375</v>
      </c>
      <c r="J35" s="39" t="n">
        <v>0.164255943222499</v>
      </c>
      <c r="K35" s="22" t="n">
        <v>12</v>
      </c>
      <c r="L35" s="22" t="s">
        <v>1306</v>
      </c>
      <c r="M35" s="28" t="n">
        <v>388559429</v>
      </c>
      <c r="N35" s="28" t="n">
        <v>115134081</v>
      </c>
      <c r="O35" s="22" t="n">
        <v>24</v>
      </c>
      <c r="P35" s="23" t="n">
        <v>46960</v>
      </c>
      <c r="Q35" s="39" t="n">
        <v>0.0162086435870009</v>
      </c>
      <c r="R35" s="56" t="n">
        <f aca="false">IF(LEFT(H35,11)="IBR 6 MESES",Detalle_62!$B$7,IF(LEFT(H35,11)="IBR 3 MESES",Detalle_62!$B$6,IF(H35="DTF",Detalle_62!$B$8,Detalle_62!$B$5)))</f>
        <v>0.11555</v>
      </c>
      <c r="S35" s="56" t="n">
        <f aca="false">(1+(R35+I35)/K35)^K35-1</f>
        <v>0.1642559432225</v>
      </c>
      <c r="T35" s="57" t="n">
        <f aca="false">(J35-S35)*10000</f>
        <v>0</v>
      </c>
      <c r="U35" s="28" t="n">
        <f aca="false">M35+N35-F35</f>
        <v>0</v>
      </c>
      <c r="V35" s="22" t="str">
        <f aca="false">IF(ABS(U35)&gt;Resumen!$C$6,"ERROR",IF(OR(M35&lt;0,N35&lt;0),"ERROR","OK"))</f>
        <v>OK</v>
      </c>
      <c r="W35" s="28" t="n">
        <f aca="false">MIN(MAX(M35,0),F35)</f>
        <v>388559429</v>
      </c>
      <c r="X35" s="28" t="n">
        <f aca="false">F35-W35</f>
        <v>115134081</v>
      </c>
      <c r="Y35" s="39" t="n">
        <f aca="false">F35/SUMIFS($F$14:$F$35,$A$14:$A$35,A35)</f>
        <v>0.0986791909565478</v>
      </c>
    </row>
    <row r="36" customFormat="false" ht="15" hidden="false" customHeight="false" outlineLevel="0" collapsed="false">
      <c r="E36" s="36" t="s">
        <v>1331</v>
      </c>
      <c r="F36" s="52" t="n">
        <f aca="false">SUM(F14:F35)</f>
        <v>45185912116.9625</v>
      </c>
      <c r="M36" s="52" t="n">
        <f aca="false">SUM(M14:M35)</f>
        <v>21628998619.5403</v>
      </c>
      <c r="N36" s="52" t="n">
        <f aca="false">SUM(N14:N35)</f>
        <v>23809854063.2139</v>
      </c>
      <c r="U36" s="52" t="n">
        <f aca="false">SUM(U14:U35)</f>
        <v>252940565.791742</v>
      </c>
      <c r="W36" s="52" t="n">
        <f aca="false">SUM(W14:W35)</f>
        <v>21341498619.5403</v>
      </c>
      <c r="X36" s="52" t="n">
        <f aca="false">SUM(X14:X35)</f>
        <v>23844413497.4221</v>
      </c>
    </row>
    <row r="37" customFormat="false" ht="15" hidden="false" customHeight="false" outlineLevel="0" collapsed="false">
      <c r="E37" s="22" t="s">
        <v>1332</v>
      </c>
      <c r="F37" s="28" t="n">
        <v>45185912116.9625</v>
      </c>
    </row>
    <row r="38" customFormat="false" ht="15" hidden="false" customHeight="false" outlineLevel="0" collapsed="false">
      <c r="E38" s="22" t="s">
        <v>1333</v>
      </c>
      <c r="F38" s="28" t="n">
        <f aca="false">F36-F37</f>
        <v>0</v>
      </c>
    </row>
    <row r="40" customFormat="false" ht="15" hidden="false" customHeight="false" outlineLevel="0" collapsed="false">
      <c r="A40" s="21" t="s">
        <v>1334</v>
      </c>
    </row>
    <row r="41" customFormat="false" ht="30" hidden="false" customHeight="true" outlineLevel="0" collapsed="false">
      <c r="A41" s="27" t="s">
        <v>162</v>
      </c>
      <c r="B41" s="27"/>
      <c r="C41" s="27"/>
      <c r="D41" s="27"/>
      <c r="E41" s="27"/>
      <c r="F41" s="27" t="s">
        <v>1335</v>
      </c>
      <c r="G41" s="27"/>
      <c r="H41" s="27"/>
      <c r="I41" s="27"/>
      <c r="J41" s="27"/>
      <c r="K41" s="27"/>
      <c r="L41" s="27"/>
      <c r="M41" s="27" t="s">
        <v>1336</v>
      </c>
      <c r="N41" s="27" t="s">
        <v>157</v>
      </c>
      <c r="O41" s="27"/>
      <c r="P41" s="27"/>
      <c r="Q41" s="27" t="s">
        <v>1337</v>
      </c>
      <c r="R41" s="27" t="s">
        <v>1295</v>
      </c>
      <c r="S41" s="27" t="s">
        <v>323</v>
      </c>
    </row>
    <row r="42" customFormat="false" ht="15" hidden="false" customHeight="false" outlineLevel="0" collapsed="false">
      <c r="A42" s="22" t="s">
        <v>512</v>
      </c>
      <c r="F42" s="28" t="n">
        <f aca="false">SUMIFS($F$14:$F$35,$A$14:$A$35,A42)</f>
        <v>17065824073.8354</v>
      </c>
      <c r="M42" s="28" t="n">
        <v>17065824073.8354</v>
      </c>
      <c r="N42" s="28" t="n">
        <f aca="false">F42-M42</f>
        <v>0</v>
      </c>
      <c r="Q42" s="56" t="n">
        <f aca="false">SUMPRODUCT(($A$14:$A$35=A42)*$F$14:$F$35*$J$14:$J$35)/F42</f>
        <v>0.157284138383119</v>
      </c>
      <c r="R42" s="56" t="n">
        <v>0.157284138383119</v>
      </c>
      <c r="S42" s="57" t="n">
        <f aca="false">(R42-Q42)*10000</f>
        <v>0</v>
      </c>
    </row>
    <row r="43" customFormat="false" ht="15" hidden="false" customHeight="false" outlineLevel="0" collapsed="false">
      <c r="A43" s="22" t="s">
        <v>523</v>
      </c>
      <c r="F43" s="28" t="n">
        <f aca="false">SUMIFS($F$14:$F$35,$A$14:$A$35,A43)</f>
        <v>18028234175.6354</v>
      </c>
      <c r="M43" s="28" t="n">
        <v>18028234175.6354</v>
      </c>
      <c r="N43" s="28" t="n">
        <f aca="false">F43-M43</f>
        <v>0</v>
      </c>
      <c r="Q43" s="56" t="n">
        <f aca="false">SUMPRODUCT(($A$14:$A$35=A43)*$F$14:$F$35*$J$14:$J$35)/F43</f>
        <v>0.145381553464726</v>
      </c>
      <c r="R43" s="56" t="n">
        <v>0.145381553464726</v>
      </c>
      <c r="S43" s="57" t="n">
        <f aca="false">(R43-Q43)*10000</f>
        <v>0</v>
      </c>
    </row>
    <row r="44" customFormat="false" ht="15" hidden="false" customHeight="false" outlineLevel="0" collapsed="false">
      <c r="A44" s="22" t="s">
        <v>382</v>
      </c>
      <c r="F44" s="28" t="n">
        <f aca="false">SUMIFS($F$14:$F$35,$A$14:$A$35,A44)</f>
        <v>287500000</v>
      </c>
      <c r="M44" s="28" t="n">
        <v>287500000</v>
      </c>
      <c r="N44" s="28" t="n">
        <f aca="false">F44-M44</f>
        <v>0</v>
      </c>
      <c r="Q44" s="56" t="n">
        <f aca="false">SUMPRODUCT(($A$14:$A$35=A44)*$F$14:$F$35*$J$14:$J$35)/F44</f>
        <v>0.149386780746296</v>
      </c>
      <c r="R44" s="56" t="n">
        <v>0.149386780746296</v>
      </c>
      <c r="S44" s="57" t="n">
        <f aca="false">(R44-Q44)*10000</f>
        <v>0</v>
      </c>
    </row>
    <row r="45" customFormat="false" ht="15" hidden="false" customHeight="false" outlineLevel="0" collapsed="false">
      <c r="A45" s="22" t="s">
        <v>384</v>
      </c>
      <c r="F45" s="28" t="n">
        <f aca="false">SUMIFS($F$14:$F$35,$A$14:$A$35,A45)</f>
        <v>4700000000</v>
      </c>
      <c r="M45" s="28" t="n">
        <v>4700000000</v>
      </c>
      <c r="N45" s="28" t="n">
        <f aca="false">F45-M45</f>
        <v>0</v>
      </c>
      <c r="Q45" s="56" t="n">
        <f aca="false">SUMPRODUCT(($A$14:$A$35=A45)*$F$14:$F$35*$J$14:$J$35)/F45</f>
        <v>0.135423288111736</v>
      </c>
      <c r="R45" s="56" t="n">
        <v>0.135423288111736</v>
      </c>
      <c r="S45" s="57" t="n">
        <f aca="false">(R45-Q45)*10000</f>
        <v>0</v>
      </c>
    </row>
    <row r="46" customFormat="false" ht="15" hidden="false" customHeight="false" outlineLevel="0" collapsed="false">
      <c r="A46" s="22" t="s">
        <v>386</v>
      </c>
      <c r="F46" s="28" t="n">
        <f aca="false">SUMIFS($F$14:$F$35,$A$14:$A$35,A46)</f>
        <v>5104353867.49163</v>
      </c>
      <c r="M46" s="28" t="n">
        <v>5104353867.49163</v>
      </c>
      <c r="N46" s="28" t="n">
        <f aca="false">F46-M46</f>
        <v>0</v>
      </c>
      <c r="Q46" s="56" t="n">
        <f aca="false">SUMPRODUCT(($A$14:$A$35=A46)*$F$14:$F$35*$J$14:$J$35)/F46</f>
        <v>0.14738530795146</v>
      </c>
      <c r="R46" s="56" t="n">
        <v>0.14738530795146</v>
      </c>
      <c r="S46" s="57" t="n">
        <f aca="false">(R46-Q46)*10000</f>
        <v>0</v>
      </c>
    </row>
    <row r="48" customFormat="false" ht="15" hidden="false" customHeight="false" outlineLevel="0" collapsed="false">
      <c r="A48" s="29" t="s">
        <v>1338</v>
      </c>
      <c r="F48" s="56" t="n">
        <f aca="false">SUMPRODUCT(Detalle_62!$F$14:$F$35,Detalle_62!$J$14:$J$35)/F36</f>
        <v>0.149092952439153</v>
      </c>
    </row>
    <row r="49" customFormat="false" ht="15" hidden="false" customHeight="false" outlineLevel="0" collapsed="false">
      <c r="A49" s="29" t="s">
        <v>1339</v>
      </c>
      <c r="F49" s="56" t="n">
        <f aca="false">SUMPRODUCT(Detalle_62!$F$14:$F$35,Detalle_62!$S$14:$S$35)/F36</f>
        <v>0.148854228692228</v>
      </c>
    </row>
    <row r="50" customFormat="false" ht="15" hidden="false" customHeight="false" outlineLevel="0" collapsed="false">
      <c r="A50" s="20" t="s">
        <v>1340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1"/>
    <col collapsed="false" customWidth="true" hidden="false" outlineLevel="0" max="7" min="7" style="0" width="17"/>
    <col collapsed="false" customWidth="true" hidden="false" outlineLevel="0" max="8" min="8" style="0" width="62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22"/>
  </cols>
  <sheetData>
    <row r="1" customFormat="false" ht="15" hidden="false" customHeight="false" outlineLevel="0" collapsed="false">
      <c r="A1" s="19" t="s">
        <v>1341</v>
      </c>
    </row>
    <row r="2" customFormat="false" ht="15" hidden="false" customHeight="false" outlineLevel="0" collapsed="false">
      <c r="A2" s="20" t="s">
        <v>1342</v>
      </c>
    </row>
    <row r="4" customFormat="false" ht="30" hidden="false" customHeight="true" outlineLevel="0" collapsed="false">
      <c r="A4" s="27" t="s">
        <v>1343</v>
      </c>
      <c r="B4" s="27" t="s">
        <v>1344</v>
      </c>
      <c r="C4" s="27" t="s">
        <v>1345</v>
      </c>
      <c r="D4" s="27" t="s">
        <v>1346</v>
      </c>
      <c r="E4" s="27" t="s">
        <v>1347</v>
      </c>
      <c r="F4" s="27" t="s">
        <v>1348</v>
      </c>
      <c r="G4" s="27" t="s">
        <v>1349</v>
      </c>
      <c r="H4" s="27" t="s">
        <v>1350</v>
      </c>
      <c r="I4" s="27" t="s">
        <v>1351</v>
      </c>
      <c r="J4" s="27" t="s">
        <v>1352</v>
      </c>
      <c r="K4" s="27" t="s">
        <v>1353</v>
      </c>
    </row>
    <row r="5" customFormat="false" ht="15" hidden="false" customHeight="false" outlineLevel="0" collapsed="false">
      <c r="A5" s="22" t="n">
        <v>68</v>
      </c>
      <c r="B5" s="22" t="s">
        <v>273</v>
      </c>
      <c r="C5" s="22" t="s">
        <v>273</v>
      </c>
      <c r="D5" s="22" t="n">
        <v>860002964</v>
      </c>
      <c r="E5" s="22" t="s">
        <v>523</v>
      </c>
      <c r="F5" s="23" t="n">
        <v>45657</v>
      </c>
      <c r="G5" s="28" t="n">
        <v>187500000</v>
      </c>
      <c r="H5" s="22" t="s">
        <v>1354</v>
      </c>
      <c r="I5" s="22" t="s">
        <v>1355</v>
      </c>
      <c r="J5" s="29" t="s">
        <v>129</v>
      </c>
      <c r="K5" s="22" t="s">
        <v>1356</v>
      </c>
    </row>
    <row r="6" customFormat="false" ht="15" hidden="false" customHeight="false" outlineLevel="0" collapsed="false">
      <c r="A6" s="22" t="n">
        <v>69</v>
      </c>
      <c r="B6" s="22" t="s">
        <v>273</v>
      </c>
      <c r="C6" s="22" t="s">
        <v>273</v>
      </c>
      <c r="D6" s="22" t="n">
        <v>860002964</v>
      </c>
      <c r="E6" s="22" t="s">
        <v>523</v>
      </c>
      <c r="F6" s="23" t="n">
        <v>45657</v>
      </c>
      <c r="G6" s="28" t="n">
        <v>446666666</v>
      </c>
      <c r="H6" s="22" t="s">
        <v>1354</v>
      </c>
      <c r="I6" s="22" t="s">
        <v>1355</v>
      </c>
      <c r="J6" s="29" t="s">
        <v>130</v>
      </c>
      <c r="K6" s="22" t="s">
        <v>1356</v>
      </c>
    </row>
    <row r="7" customFormat="false" ht="15" hidden="false" customHeight="false" outlineLevel="0" collapsed="false">
      <c r="A7" s="22" t="n">
        <v>70</v>
      </c>
      <c r="B7" s="22" t="s">
        <v>273</v>
      </c>
      <c r="C7" s="22" t="s">
        <v>273</v>
      </c>
      <c r="D7" s="22" t="n">
        <v>890903938</v>
      </c>
      <c r="E7" s="22" t="s">
        <v>386</v>
      </c>
      <c r="F7" s="23" t="n">
        <v>45770</v>
      </c>
      <c r="G7" s="28" t="n">
        <v>1666666667</v>
      </c>
      <c r="H7" s="22" t="s">
        <v>1357</v>
      </c>
      <c r="I7" s="22" t="s">
        <v>1355</v>
      </c>
      <c r="J7" s="29" t="s">
        <v>144</v>
      </c>
      <c r="K7" s="22" t="s">
        <v>1356</v>
      </c>
    </row>
    <row r="8" customFormat="false" ht="15" hidden="false" customHeight="false" outlineLevel="0" collapsed="false">
      <c r="A8" s="22" t="n">
        <v>71</v>
      </c>
      <c r="B8" s="22" t="s">
        <v>273</v>
      </c>
      <c r="C8" s="22" t="s">
        <v>273</v>
      </c>
      <c r="D8" s="22" t="n">
        <v>860034313</v>
      </c>
      <c r="E8" s="22" t="s">
        <v>1358</v>
      </c>
      <c r="F8" s="23" t="n">
        <v>45869</v>
      </c>
      <c r="G8" s="28" t="n">
        <v>10000000000</v>
      </c>
      <c r="H8" s="22" t="s">
        <v>1359</v>
      </c>
      <c r="I8" s="22" t="s">
        <v>1360</v>
      </c>
      <c r="J8" s="29" t="s">
        <v>119</v>
      </c>
      <c r="K8" s="22" t="s">
        <v>1356</v>
      </c>
    </row>
    <row r="9" customFormat="false" ht="15" hidden="false" customHeight="false" outlineLevel="0" collapsed="false">
      <c r="A9" s="22" t="n">
        <v>72</v>
      </c>
      <c r="B9" s="22" t="s">
        <v>273</v>
      </c>
      <c r="C9" s="22" t="s">
        <v>273</v>
      </c>
      <c r="D9" s="22" t="n">
        <v>860003020</v>
      </c>
      <c r="E9" s="22" t="s">
        <v>1361</v>
      </c>
      <c r="F9" s="23" t="n">
        <v>46020</v>
      </c>
      <c r="G9" s="28" t="n">
        <v>4700000000</v>
      </c>
      <c r="H9" s="22" t="s">
        <v>1362</v>
      </c>
      <c r="I9" s="22" t="s">
        <v>1363</v>
      </c>
      <c r="J9" s="29" t="s">
        <v>142</v>
      </c>
      <c r="K9" s="22" t="s">
        <v>1356</v>
      </c>
    </row>
    <row r="10" customFormat="false" ht="15" hidden="false" customHeight="false" outlineLevel="0" collapsed="false">
      <c r="A10" s="22" t="n">
        <v>73</v>
      </c>
      <c r="B10" s="22" t="s">
        <v>273</v>
      </c>
      <c r="C10" s="22" t="s">
        <v>273</v>
      </c>
      <c r="D10" s="22" t="n">
        <v>860002964</v>
      </c>
      <c r="E10" s="22" t="s">
        <v>523</v>
      </c>
      <c r="F10" s="23" t="n">
        <v>44561</v>
      </c>
      <c r="G10" s="28" t="n">
        <v>62500000</v>
      </c>
      <c r="H10" s="22" t="s">
        <v>1364</v>
      </c>
      <c r="I10" s="22" t="s">
        <v>1365</v>
      </c>
      <c r="J10" s="29" t="s">
        <v>129</v>
      </c>
      <c r="K10" s="22" t="s">
        <v>1356</v>
      </c>
    </row>
    <row r="11" customFormat="false" ht="15" hidden="false" customHeight="false" outlineLevel="0" collapsed="false">
      <c r="A11" s="22" t="n">
        <v>74</v>
      </c>
      <c r="B11" s="22" t="s">
        <v>273</v>
      </c>
      <c r="C11" s="22" t="s">
        <v>273</v>
      </c>
      <c r="D11" s="22" t="n">
        <v>860002964</v>
      </c>
      <c r="E11" s="22" t="s">
        <v>523</v>
      </c>
      <c r="F11" s="23" t="n">
        <v>44561</v>
      </c>
      <c r="G11" s="28" t="n">
        <v>62500000</v>
      </c>
      <c r="H11" s="22" t="s">
        <v>1364</v>
      </c>
      <c r="I11" s="22" t="s">
        <v>1365</v>
      </c>
      <c r="J11" s="29" t="s">
        <v>129</v>
      </c>
      <c r="K11" s="22" t="s">
        <v>1356</v>
      </c>
    </row>
    <row r="12" customFormat="false" ht="15" hidden="false" customHeight="false" outlineLevel="0" collapsed="false">
      <c r="A12" s="22" t="n">
        <v>75</v>
      </c>
      <c r="B12" s="22" t="s">
        <v>273</v>
      </c>
      <c r="C12" s="22" t="s">
        <v>273</v>
      </c>
      <c r="D12" s="22" t="n">
        <v>860002964</v>
      </c>
      <c r="E12" s="22" t="s">
        <v>523</v>
      </c>
      <c r="F12" s="23" t="n">
        <v>44561</v>
      </c>
      <c r="G12" s="28" t="n">
        <v>62500000</v>
      </c>
      <c r="H12" s="22" t="s">
        <v>1364</v>
      </c>
      <c r="I12" s="22" t="s">
        <v>1365</v>
      </c>
      <c r="J12" s="29" t="s">
        <v>129</v>
      </c>
      <c r="K12" s="22" t="s">
        <v>1356</v>
      </c>
    </row>
    <row r="13" customFormat="false" ht="15" hidden="false" customHeight="false" outlineLevel="0" collapsed="false">
      <c r="A13" s="22" t="n">
        <v>76</v>
      </c>
      <c r="B13" s="22" t="s">
        <v>273</v>
      </c>
      <c r="C13" s="22" t="s">
        <v>273</v>
      </c>
      <c r="D13" s="22" t="n">
        <v>860002964</v>
      </c>
      <c r="E13" s="22" t="s">
        <v>523</v>
      </c>
      <c r="F13" s="23" t="n">
        <v>44561</v>
      </c>
      <c r="G13" s="28" t="n">
        <v>62500000</v>
      </c>
      <c r="H13" s="22" t="s">
        <v>1364</v>
      </c>
      <c r="I13" s="22" t="s">
        <v>1365</v>
      </c>
      <c r="J13" s="29" t="s">
        <v>129</v>
      </c>
      <c r="K13" s="22" t="s">
        <v>1356</v>
      </c>
    </row>
    <row r="14" customFormat="false" ht="15" hidden="false" customHeight="false" outlineLevel="0" collapsed="false">
      <c r="A14" s="22" t="n">
        <v>77</v>
      </c>
      <c r="B14" s="22" t="s">
        <v>273</v>
      </c>
      <c r="C14" s="22" t="s">
        <v>273</v>
      </c>
      <c r="D14" s="22" t="n">
        <v>860002964</v>
      </c>
      <c r="E14" s="22" t="s">
        <v>523</v>
      </c>
      <c r="F14" s="23" t="n">
        <v>44561</v>
      </c>
      <c r="G14" s="28" t="n">
        <v>62500000</v>
      </c>
      <c r="H14" s="22" t="s">
        <v>1364</v>
      </c>
      <c r="I14" s="22" t="s">
        <v>1365</v>
      </c>
      <c r="J14" s="29" t="s">
        <v>129</v>
      </c>
      <c r="K14" s="22" t="s">
        <v>1356</v>
      </c>
    </row>
    <row r="15" customFormat="false" ht="15" hidden="false" customHeight="false" outlineLevel="0" collapsed="false">
      <c r="A15" s="22" t="n">
        <v>78</v>
      </c>
      <c r="B15" s="22" t="s">
        <v>273</v>
      </c>
      <c r="C15" s="22" t="s">
        <v>273</v>
      </c>
      <c r="D15" s="22" t="n">
        <v>860002964</v>
      </c>
      <c r="E15" s="22" t="s">
        <v>523</v>
      </c>
      <c r="F15" s="23" t="n">
        <v>44561</v>
      </c>
      <c r="G15" s="28" t="n">
        <v>62500000</v>
      </c>
      <c r="H15" s="22" t="s">
        <v>1364</v>
      </c>
      <c r="I15" s="22" t="s">
        <v>1365</v>
      </c>
      <c r="J15" s="29" t="s">
        <v>129</v>
      </c>
      <c r="K15" s="22" t="s">
        <v>1356</v>
      </c>
    </row>
    <row r="16" customFormat="false" ht="15" hidden="false" customHeight="false" outlineLevel="0" collapsed="false">
      <c r="A16" s="22" t="n">
        <v>79</v>
      </c>
      <c r="B16" s="22" t="s">
        <v>273</v>
      </c>
      <c r="C16" s="22" t="s">
        <v>273</v>
      </c>
      <c r="D16" s="22" t="n">
        <v>860002964</v>
      </c>
      <c r="E16" s="22" t="s">
        <v>523</v>
      </c>
      <c r="F16" s="23" t="n">
        <v>44561</v>
      </c>
      <c r="G16" s="28" t="n">
        <v>62500000</v>
      </c>
      <c r="H16" s="22" t="s">
        <v>1364</v>
      </c>
      <c r="I16" s="22" t="s">
        <v>1365</v>
      </c>
      <c r="J16" s="29" t="s">
        <v>129</v>
      </c>
      <c r="K16" s="22" t="s">
        <v>1356</v>
      </c>
    </row>
    <row r="17" customFormat="false" ht="15" hidden="false" customHeight="false" outlineLevel="0" collapsed="false">
      <c r="A17" s="22" t="n">
        <v>80</v>
      </c>
      <c r="B17" s="22" t="s">
        <v>273</v>
      </c>
      <c r="C17" s="22" t="s">
        <v>273</v>
      </c>
      <c r="D17" s="22" t="n">
        <v>860002964</v>
      </c>
      <c r="E17" s="22" t="s">
        <v>523</v>
      </c>
      <c r="F17" s="23" t="n">
        <v>44561</v>
      </c>
      <c r="G17" s="28" t="n">
        <v>62500000</v>
      </c>
      <c r="H17" s="22" t="s">
        <v>1364</v>
      </c>
      <c r="I17" s="22" t="s">
        <v>1365</v>
      </c>
      <c r="J17" s="29" t="s">
        <v>129</v>
      </c>
      <c r="K17" s="22" t="s">
        <v>1356</v>
      </c>
    </row>
    <row r="18" customFormat="false" ht="15" hidden="false" customHeight="false" outlineLevel="0" collapsed="false">
      <c r="A18" s="22" t="n">
        <v>81</v>
      </c>
      <c r="B18" s="22" t="s">
        <v>273</v>
      </c>
      <c r="C18" s="22" t="s">
        <v>273</v>
      </c>
      <c r="D18" s="22" t="n">
        <v>860002964</v>
      </c>
      <c r="E18" s="22" t="s">
        <v>523</v>
      </c>
      <c r="F18" s="23" t="n">
        <v>44561</v>
      </c>
      <c r="G18" s="28" t="n">
        <v>62500000</v>
      </c>
      <c r="H18" s="22" t="s">
        <v>1364</v>
      </c>
      <c r="I18" s="22" t="s">
        <v>1365</v>
      </c>
      <c r="J18" s="29" t="s">
        <v>129</v>
      </c>
      <c r="K18" s="22" t="s">
        <v>1356</v>
      </c>
    </row>
    <row r="19" customFormat="false" ht="15" hidden="false" customHeight="false" outlineLevel="0" collapsed="false">
      <c r="A19" s="22" t="n">
        <v>82</v>
      </c>
      <c r="B19" s="22" t="s">
        <v>273</v>
      </c>
      <c r="C19" s="22" t="s">
        <v>273</v>
      </c>
      <c r="D19" s="22" t="n">
        <v>860002964</v>
      </c>
      <c r="E19" s="22" t="s">
        <v>523</v>
      </c>
      <c r="F19" s="23" t="n">
        <v>45163</v>
      </c>
      <c r="G19" s="28" t="n">
        <v>375000000</v>
      </c>
      <c r="H19" s="22" t="s">
        <v>1366</v>
      </c>
      <c r="I19" s="22" t="s">
        <v>1367</v>
      </c>
      <c r="J19" s="29" t="s">
        <v>131</v>
      </c>
      <c r="K19" s="22" t="s">
        <v>1356</v>
      </c>
    </row>
    <row r="20" customFormat="false" ht="15" hidden="false" customHeight="false" outlineLevel="0" collapsed="false">
      <c r="A20" s="22" t="n">
        <v>83</v>
      </c>
      <c r="B20" s="22" t="s">
        <v>274</v>
      </c>
      <c r="C20" s="22" t="s">
        <v>274</v>
      </c>
      <c r="D20" s="22" t="n">
        <v>860034313</v>
      </c>
      <c r="E20" s="22" t="s">
        <v>1358</v>
      </c>
      <c r="F20" s="23" t="n">
        <v>45398</v>
      </c>
      <c r="G20" s="28" t="n">
        <v>7500000000</v>
      </c>
      <c r="H20" s="22" t="s">
        <v>1368</v>
      </c>
      <c r="I20" s="22" t="s">
        <v>1355</v>
      </c>
      <c r="J20" s="29" t="s">
        <v>121</v>
      </c>
      <c r="K20" s="22" t="s">
        <v>1369</v>
      </c>
    </row>
    <row r="21" customFormat="false" ht="15" hidden="false" customHeight="false" outlineLevel="0" collapsed="false">
      <c r="A21" s="22" t="n">
        <v>84</v>
      </c>
      <c r="B21" s="22" t="s">
        <v>274</v>
      </c>
      <c r="C21" s="22" t="s">
        <v>274</v>
      </c>
      <c r="D21" s="22" t="n">
        <v>890903938</v>
      </c>
      <c r="E21" s="22" t="s">
        <v>386</v>
      </c>
      <c r="F21" s="23" t="n">
        <v>45770</v>
      </c>
      <c r="G21" s="28" t="n">
        <v>3333333333</v>
      </c>
      <c r="H21" s="22" t="s">
        <v>1357</v>
      </c>
      <c r="I21" s="22" t="s">
        <v>1355</v>
      </c>
      <c r="J21" s="29" t="s">
        <v>144</v>
      </c>
      <c r="K21" s="22" t="s">
        <v>1369</v>
      </c>
    </row>
    <row r="22" customFormat="false" ht="15" hidden="false" customHeight="false" outlineLevel="0" collapsed="false">
      <c r="A22" s="22" t="n">
        <v>85</v>
      </c>
      <c r="B22" s="22" t="s">
        <v>274</v>
      </c>
      <c r="C22" s="22" t="s">
        <v>274</v>
      </c>
      <c r="D22" s="22" t="n">
        <v>860002964</v>
      </c>
      <c r="E22" s="22" t="s">
        <v>523</v>
      </c>
      <c r="F22" s="23" t="n">
        <v>45103</v>
      </c>
      <c r="G22" s="28" t="n">
        <v>1375000000</v>
      </c>
      <c r="H22" s="22" t="s">
        <v>1370</v>
      </c>
      <c r="I22" s="22" t="s">
        <v>1371</v>
      </c>
      <c r="J22" s="29" t="s">
        <v>130</v>
      </c>
      <c r="K22" s="22" t="s">
        <v>1369</v>
      </c>
    </row>
    <row r="23" customFormat="false" ht="15" hidden="false" customHeight="false" outlineLevel="0" collapsed="false">
      <c r="A23" s="22" t="n">
        <v>86</v>
      </c>
      <c r="B23" s="22" t="s">
        <v>274</v>
      </c>
      <c r="C23" s="22" t="s">
        <v>274</v>
      </c>
      <c r="D23" s="22" t="n">
        <v>860034313</v>
      </c>
      <c r="E23" s="22" t="s">
        <v>1358</v>
      </c>
      <c r="F23" s="23" t="n">
        <v>44561</v>
      </c>
      <c r="G23" s="28" t="n">
        <v>115384625</v>
      </c>
      <c r="H23" s="22" t="s">
        <v>1372</v>
      </c>
      <c r="I23" s="22" t="s">
        <v>1373</v>
      </c>
      <c r="J23" s="29" t="s">
        <v>120</v>
      </c>
      <c r="K23" s="22" t="s">
        <v>1369</v>
      </c>
    </row>
    <row r="24" customFormat="false" ht="15" hidden="false" customHeight="false" outlineLevel="0" collapsed="false">
      <c r="A24" s="22" t="n">
        <v>87</v>
      </c>
      <c r="B24" s="22" t="s">
        <v>274</v>
      </c>
      <c r="C24" s="22" t="s">
        <v>274</v>
      </c>
      <c r="D24" s="22" t="n">
        <v>860034313</v>
      </c>
      <c r="E24" s="22" t="s">
        <v>1358</v>
      </c>
      <c r="F24" s="23" t="n">
        <v>44561</v>
      </c>
      <c r="G24" s="28" t="n">
        <v>115384615</v>
      </c>
      <c r="H24" s="22" t="s">
        <v>1372</v>
      </c>
      <c r="I24" s="22" t="s">
        <v>1373</v>
      </c>
      <c r="J24" s="29" t="s">
        <v>120</v>
      </c>
      <c r="K24" s="22" t="s">
        <v>1369</v>
      </c>
    </row>
    <row r="25" customFormat="false" ht="15" hidden="false" customHeight="false" outlineLevel="0" collapsed="false">
      <c r="A25" s="22" t="n">
        <v>88</v>
      </c>
      <c r="B25" s="22" t="s">
        <v>274</v>
      </c>
      <c r="C25" s="22" t="s">
        <v>274</v>
      </c>
      <c r="D25" s="22" t="n">
        <v>860034313</v>
      </c>
      <c r="E25" s="22" t="s">
        <v>1358</v>
      </c>
      <c r="F25" s="23" t="n">
        <v>44561</v>
      </c>
      <c r="G25" s="28" t="n">
        <v>115384615</v>
      </c>
      <c r="H25" s="22" t="s">
        <v>1372</v>
      </c>
      <c r="I25" s="22" t="s">
        <v>1373</v>
      </c>
      <c r="J25" s="29" t="s">
        <v>120</v>
      </c>
      <c r="K25" s="22" t="s">
        <v>1369</v>
      </c>
    </row>
    <row r="26" customFormat="false" ht="15" hidden="false" customHeight="false" outlineLevel="0" collapsed="false">
      <c r="A26" s="22" t="n">
        <v>89</v>
      </c>
      <c r="B26" s="22" t="s">
        <v>274</v>
      </c>
      <c r="C26" s="22" t="s">
        <v>274</v>
      </c>
      <c r="D26" s="22" t="n">
        <v>860034313</v>
      </c>
      <c r="E26" s="22" t="s">
        <v>1358</v>
      </c>
      <c r="F26" s="23" t="n">
        <v>44561</v>
      </c>
      <c r="G26" s="28" t="n">
        <v>115384615</v>
      </c>
      <c r="H26" s="22" t="s">
        <v>1372</v>
      </c>
      <c r="I26" s="22" t="s">
        <v>1373</v>
      </c>
      <c r="J26" s="29" t="s">
        <v>120</v>
      </c>
      <c r="K26" s="22" t="s">
        <v>1369</v>
      </c>
    </row>
    <row r="27" customFormat="false" ht="15" hidden="false" customHeight="false" outlineLevel="0" collapsed="false">
      <c r="A27" s="22" t="n">
        <v>90</v>
      </c>
      <c r="B27" s="22" t="s">
        <v>274</v>
      </c>
      <c r="C27" s="22" t="s">
        <v>274</v>
      </c>
      <c r="D27" s="22" t="n">
        <v>860034313</v>
      </c>
      <c r="E27" s="22" t="s">
        <v>1358</v>
      </c>
      <c r="F27" s="23" t="n">
        <v>44561</v>
      </c>
      <c r="G27" s="28" t="n">
        <v>115384615</v>
      </c>
      <c r="H27" s="22" t="s">
        <v>1372</v>
      </c>
      <c r="I27" s="22" t="s">
        <v>1373</v>
      </c>
      <c r="J27" s="29" t="s">
        <v>120</v>
      </c>
      <c r="K27" s="22" t="s">
        <v>1369</v>
      </c>
    </row>
    <row r="28" customFormat="false" ht="15" hidden="false" customHeight="false" outlineLevel="0" collapsed="false">
      <c r="A28" s="22" t="n">
        <v>91</v>
      </c>
      <c r="B28" s="22" t="s">
        <v>274</v>
      </c>
      <c r="C28" s="22" t="s">
        <v>274</v>
      </c>
      <c r="D28" s="22" t="n">
        <v>860034313</v>
      </c>
      <c r="E28" s="22" t="s">
        <v>1358</v>
      </c>
      <c r="F28" s="23" t="n">
        <v>44561</v>
      </c>
      <c r="G28" s="28" t="n">
        <v>115384615</v>
      </c>
      <c r="H28" s="22" t="s">
        <v>1372</v>
      </c>
      <c r="I28" s="22" t="s">
        <v>1373</v>
      </c>
      <c r="J28" s="29" t="s">
        <v>120</v>
      </c>
      <c r="K28" s="22" t="s">
        <v>1369</v>
      </c>
    </row>
    <row r="29" customFormat="false" ht="15" hidden="false" customHeight="false" outlineLevel="0" collapsed="false">
      <c r="A29" s="22" t="n">
        <v>92</v>
      </c>
      <c r="B29" s="22" t="s">
        <v>274</v>
      </c>
      <c r="C29" s="22" t="s">
        <v>274</v>
      </c>
      <c r="D29" s="22" t="n">
        <v>860034313</v>
      </c>
      <c r="E29" s="22" t="s">
        <v>1358</v>
      </c>
      <c r="F29" s="23" t="n">
        <v>44561</v>
      </c>
      <c r="G29" s="28" t="n">
        <v>115384615</v>
      </c>
      <c r="H29" s="22" t="s">
        <v>1372</v>
      </c>
      <c r="I29" s="22" t="s">
        <v>1373</v>
      </c>
      <c r="J29" s="29" t="s">
        <v>120</v>
      </c>
      <c r="K29" s="22" t="s">
        <v>1369</v>
      </c>
    </row>
    <row r="30" customFormat="false" ht="15" hidden="false" customHeight="false" outlineLevel="0" collapsed="false">
      <c r="A30" s="22" t="n">
        <v>93</v>
      </c>
      <c r="B30" s="22" t="s">
        <v>274</v>
      </c>
      <c r="C30" s="22" t="s">
        <v>274</v>
      </c>
      <c r="D30" s="22" t="n">
        <v>860034313</v>
      </c>
      <c r="E30" s="22" t="s">
        <v>1358</v>
      </c>
      <c r="F30" s="23" t="n">
        <v>44561</v>
      </c>
      <c r="G30" s="28" t="n">
        <v>115384615</v>
      </c>
      <c r="H30" s="22" t="s">
        <v>1372</v>
      </c>
      <c r="I30" s="22" t="s">
        <v>1373</v>
      </c>
      <c r="J30" s="29" t="s">
        <v>120</v>
      </c>
      <c r="K30" s="22" t="s">
        <v>1369</v>
      </c>
    </row>
    <row r="31" customFormat="false" ht="15" hidden="false" customHeight="false" outlineLevel="0" collapsed="false">
      <c r="A31" s="22" t="n">
        <v>94</v>
      </c>
      <c r="B31" s="22" t="s">
        <v>274</v>
      </c>
      <c r="C31" s="22" t="s">
        <v>274</v>
      </c>
      <c r="D31" s="22" t="n">
        <v>860034313</v>
      </c>
      <c r="E31" s="22" t="s">
        <v>1358</v>
      </c>
      <c r="F31" s="23" t="n">
        <v>44561</v>
      </c>
      <c r="G31" s="28" t="n">
        <v>115384615</v>
      </c>
      <c r="H31" s="22" t="s">
        <v>1372</v>
      </c>
      <c r="I31" s="22" t="s">
        <v>1373</v>
      </c>
      <c r="J31" s="29" t="s">
        <v>120</v>
      </c>
      <c r="K31" s="22" t="s">
        <v>1369</v>
      </c>
    </row>
    <row r="32" customFormat="false" ht="15" hidden="false" customHeight="false" outlineLevel="0" collapsed="false">
      <c r="A32" s="22" t="n">
        <v>95</v>
      </c>
      <c r="B32" s="22" t="s">
        <v>274</v>
      </c>
      <c r="C32" s="22" t="s">
        <v>274</v>
      </c>
      <c r="D32" s="22" t="n">
        <v>860034313</v>
      </c>
      <c r="E32" s="22" t="s">
        <v>1358</v>
      </c>
      <c r="F32" s="23" t="n">
        <v>44561</v>
      </c>
      <c r="G32" s="28" t="n">
        <v>115384615</v>
      </c>
      <c r="H32" s="22" t="s">
        <v>1372</v>
      </c>
      <c r="I32" s="22" t="s">
        <v>1373</v>
      </c>
      <c r="J32" s="29" t="s">
        <v>120</v>
      </c>
      <c r="K32" s="22" t="s">
        <v>1369</v>
      </c>
    </row>
    <row r="33" customFormat="false" ht="15" hidden="false" customHeight="false" outlineLevel="0" collapsed="false">
      <c r="A33" s="22" t="n">
        <v>96</v>
      </c>
      <c r="B33" s="22" t="s">
        <v>274</v>
      </c>
      <c r="C33" s="22" t="s">
        <v>274</v>
      </c>
      <c r="D33" s="22" t="n">
        <v>860034313</v>
      </c>
      <c r="E33" s="22" t="s">
        <v>1358</v>
      </c>
      <c r="F33" s="23" t="n">
        <v>44561</v>
      </c>
      <c r="G33" s="28" t="n">
        <v>115384615</v>
      </c>
      <c r="H33" s="22" t="s">
        <v>1372</v>
      </c>
      <c r="I33" s="22" t="s">
        <v>1373</v>
      </c>
      <c r="J33" s="29" t="s">
        <v>120</v>
      </c>
      <c r="K33" s="22" t="s">
        <v>1369</v>
      </c>
    </row>
    <row r="34" customFormat="false" ht="15" hidden="false" customHeight="false" outlineLevel="0" collapsed="false">
      <c r="A34" s="22" t="n">
        <v>97</v>
      </c>
      <c r="B34" s="22" t="s">
        <v>274</v>
      </c>
      <c r="C34" s="22" t="s">
        <v>274</v>
      </c>
      <c r="D34" s="22" t="n">
        <v>860034313</v>
      </c>
      <c r="E34" s="22" t="s">
        <v>1358</v>
      </c>
      <c r="F34" s="23" t="n">
        <v>44561</v>
      </c>
      <c r="G34" s="28" t="n">
        <v>115384615</v>
      </c>
      <c r="H34" s="22" t="s">
        <v>1372</v>
      </c>
      <c r="I34" s="22" t="s">
        <v>1373</v>
      </c>
      <c r="J34" s="29" t="s">
        <v>120</v>
      </c>
      <c r="K34" s="22" t="s">
        <v>1369</v>
      </c>
    </row>
    <row r="35" customFormat="false" ht="15" hidden="false" customHeight="false" outlineLevel="0" collapsed="false">
      <c r="A35" s="22" t="n">
        <v>98</v>
      </c>
      <c r="B35" s="22" t="s">
        <v>274</v>
      </c>
      <c r="C35" s="22" t="s">
        <v>274</v>
      </c>
      <c r="D35" s="22" t="n">
        <v>860034313</v>
      </c>
      <c r="E35" s="22" t="s">
        <v>1358</v>
      </c>
      <c r="F35" s="23" t="n">
        <v>44561</v>
      </c>
      <c r="G35" s="28" t="n">
        <v>115384615</v>
      </c>
      <c r="H35" s="22" t="s">
        <v>1372</v>
      </c>
      <c r="I35" s="22" t="s">
        <v>1373</v>
      </c>
      <c r="J35" s="29" t="s">
        <v>120</v>
      </c>
      <c r="K35" s="22" t="s">
        <v>1369</v>
      </c>
    </row>
    <row r="36" customFormat="false" ht="15" hidden="false" customHeight="false" outlineLevel="0" collapsed="false">
      <c r="A36" s="22" t="n">
        <v>99</v>
      </c>
      <c r="B36" s="22" t="s">
        <v>274</v>
      </c>
      <c r="C36" s="22" t="s">
        <v>274</v>
      </c>
      <c r="D36" s="22" t="n">
        <v>860034313</v>
      </c>
      <c r="E36" s="22" t="s">
        <v>1358</v>
      </c>
      <c r="F36" s="23" t="n">
        <v>44561</v>
      </c>
      <c r="G36" s="28" t="n">
        <v>115384615</v>
      </c>
      <c r="H36" s="22" t="s">
        <v>1372</v>
      </c>
      <c r="I36" s="22" t="s">
        <v>1373</v>
      </c>
      <c r="J36" s="29" t="s">
        <v>120</v>
      </c>
      <c r="K36" s="22" t="s">
        <v>1369</v>
      </c>
    </row>
    <row r="37" customFormat="false" ht="15" hidden="false" customHeight="false" outlineLevel="0" collapsed="false">
      <c r="A37" s="22" t="n">
        <v>100</v>
      </c>
      <c r="B37" s="22" t="s">
        <v>274</v>
      </c>
      <c r="C37" s="22" t="s">
        <v>274</v>
      </c>
      <c r="D37" s="22" t="n">
        <v>860034313</v>
      </c>
      <c r="E37" s="22" t="s">
        <v>1358</v>
      </c>
      <c r="F37" s="23" t="n">
        <v>44561</v>
      </c>
      <c r="G37" s="28" t="n">
        <v>115384615</v>
      </c>
      <c r="H37" s="22" t="s">
        <v>1372</v>
      </c>
      <c r="I37" s="22" t="s">
        <v>1373</v>
      </c>
      <c r="J37" s="29" t="s">
        <v>120</v>
      </c>
      <c r="K37" s="22" t="s">
        <v>1369</v>
      </c>
    </row>
    <row r="38" customFormat="false" ht="15" hidden="false" customHeight="false" outlineLevel="0" collapsed="false">
      <c r="A38" s="22" t="n">
        <v>101</v>
      </c>
      <c r="B38" s="22" t="s">
        <v>274</v>
      </c>
      <c r="C38" s="22" t="s">
        <v>274</v>
      </c>
      <c r="D38" s="22" t="n">
        <v>860034313</v>
      </c>
      <c r="E38" s="22" t="s">
        <v>1358</v>
      </c>
      <c r="F38" s="23" t="n">
        <v>44561</v>
      </c>
      <c r="G38" s="28" t="n">
        <v>115384615</v>
      </c>
      <c r="H38" s="22" t="s">
        <v>1372</v>
      </c>
      <c r="I38" s="22" t="s">
        <v>1373</v>
      </c>
      <c r="J38" s="29" t="s">
        <v>120</v>
      </c>
      <c r="K38" s="22" t="s">
        <v>1369</v>
      </c>
    </row>
    <row r="39" customFormat="false" ht="15" hidden="false" customHeight="false" outlineLevel="0" collapsed="false">
      <c r="A39" s="22" t="n">
        <v>102</v>
      </c>
      <c r="B39" s="22" t="s">
        <v>274</v>
      </c>
      <c r="C39" s="22" t="s">
        <v>274</v>
      </c>
      <c r="D39" s="22" t="n">
        <v>860034313</v>
      </c>
      <c r="E39" s="22" t="s">
        <v>1358</v>
      </c>
      <c r="F39" s="23" t="n">
        <v>44561</v>
      </c>
      <c r="G39" s="28" t="n">
        <v>115384615</v>
      </c>
      <c r="H39" s="22" t="s">
        <v>1372</v>
      </c>
      <c r="I39" s="22" t="s">
        <v>1373</v>
      </c>
      <c r="J39" s="29" t="s">
        <v>120</v>
      </c>
      <c r="K39" s="22" t="s">
        <v>1369</v>
      </c>
    </row>
    <row r="40" customFormat="false" ht="15" hidden="false" customHeight="false" outlineLevel="0" collapsed="false">
      <c r="A40" s="22" t="n">
        <v>103</v>
      </c>
      <c r="B40" s="22" t="s">
        <v>274</v>
      </c>
      <c r="C40" s="22" t="s">
        <v>274</v>
      </c>
      <c r="D40" s="22" t="n">
        <v>860034313</v>
      </c>
      <c r="E40" s="22" t="s">
        <v>1358</v>
      </c>
      <c r="F40" s="23" t="n">
        <v>44561</v>
      </c>
      <c r="G40" s="28" t="n">
        <v>115384615</v>
      </c>
      <c r="H40" s="22" t="s">
        <v>1372</v>
      </c>
      <c r="I40" s="22" t="s">
        <v>1373</v>
      </c>
      <c r="J40" s="29" t="s">
        <v>120</v>
      </c>
      <c r="K40" s="22" t="s">
        <v>1369</v>
      </c>
    </row>
    <row r="41" customFormat="false" ht="15" hidden="false" customHeight="false" outlineLevel="0" collapsed="false">
      <c r="A41" s="22" t="n">
        <v>104</v>
      </c>
      <c r="B41" s="22" t="s">
        <v>274</v>
      </c>
      <c r="C41" s="22" t="s">
        <v>274</v>
      </c>
      <c r="D41" s="22" t="n">
        <v>860034313</v>
      </c>
      <c r="E41" s="22" t="s">
        <v>1358</v>
      </c>
      <c r="F41" s="23" t="n">
        <v>44561</v>
      </c>
      <c r="G41" s="28" t="n">
        <v>115384615</v>
      </c>
      <c r="H41" s="22" t="s">
        <v>1372</v>
      </c>
      <c r="I41" s="22" t="s">
        <v>1373</v>
      </c>
      <c r="J41" s="29" t="s">
        <v>120</v>
      </c>
      <c r="K41" s="22" t="s">
        <v>1369</v>
      </c>
    </row>
    <row r="42" customFormat="false" ht="15" hidden="false" customHeight="false" outlineLevel="0" collapsed="false">
      <c r="A42" s="22" t="n">
        <v>105</v>
      </c>
      <c r="B42" s="22" t="s">
        <v>274</v>
      </c>
      <c r="C42" s="22" t="s">
        <v>274</v>
      </c>
      <c r="D42" s="22" t="n">
        <v>860034313</v>
      </c>
      <c r="E42" s="22" t="s">
        <v>1358</v>
      </c>
      <c r="F42" s="23" t="n">
        <v>44561</v>
      </c>
      <c r="G42" s="28" t="n">
        <v>115384615</v>
      </c>
      <c r="H42" s="22" t="s">
        <v>1372</v>
      </c>
      <c r="I42" s="22" t="s">
        <v>1373</v>
      </c>
      <c r="J42" s="29" t="s">
        <v>120</v>
      </c>
      <c r="K42" s="22" t="s">
        <v>1369</v>
      </c>
    </row>
    <row r="43" customFormat="false" ht="15" hidden="false" customHeight="false" outlineLevel="0" collapsed="false">
      <c r="A43" s="22" t="n">
        <v>106</v>
      </c>
      <c r="B43" s="22" t="s">
        <v>274</v>
      </c>
      <c r="C43" s="22" t="s">
        <v>274</v>
      </c>
      <c r="D43" s="22" t="n">
        <v>860034313</v>
      </c>
      <c r="E43" s="22" t="s">
        <v>1358</v>
      </c>
      <c r="F43" s="23" t="n">
        <v>44561</v>
      </c>
      <c r="G43" s="28" t="n">
        <v>115384615</v>
      </c>
      <c r="H43" s="22" t="s">
        <v>1372</v>
      </c>
      <c r="I43" s="22" t="s">
        <v>1373</v>
      </c>
      <c r="J43" s="29" t="s">
        <v>120</v>
      </c>
      <c r="K43" s="22" t="s">
        <v>1369</v>
      </c>
    </row>
    <row r="44" customFormat="false" ht="15" hidden="false" customHeight="false" outlineLevel="0" collapsed="false">
      <c r="A44" s="22" t="n">
        <v>107</v>
      </c>
      <c r="B44" s="22" t="s">
        <v>274</v>
      </c>
      <c r="C44" s="22" t="s">
        <v>274</v>
      </c>
      <c r="D44" s="22" t="n">
        <v>860034313</v>
      </c>
      <c r="E44" s="22" t="s">
        <v>1358</v>
      </c>
      <c r="F44" s="23" t="n">
        <v>44561</v>
      </c>
      <c r="G44" s="28" t="n">
        <v>115384615</v>
      </c>
      <c r="H44" s="22" t="s">
        <v>1372</v>
      </c>
      <c r="I44" s="22" t="s">
        <v>1373</v>
      </c>
      <c r="J44" s="29" t="s">
        <v>120</v>
      </c>
      <c r="K44" s="22" t="s">
        <v>1369</v>
      </c>
    </row>
    <row r="45" customFormat="false" ht="15" hidden="false" customHeight="false" outlineLevel="0" collapsed="false">
      <c r="A45" s="22" t="n">
        <v>108</v>
      </c>
      <c r="B45" s="22" t="s">
        <v>274</v>
      </c>
      <c r="C45" s="22" t="s">
        <v>274</v>
      </c>
      <c r="D45" s="22" t="n">
        <v>860034313</v>
      </c>
      <c r="E45" s="22" t="s">
        <v>1358</v>
      </c>
      <c r="F45" s="23" t="n">
        <v>44561</v>
      </c>
      <c r="G45" s="28" t="n">
        <v>115384615</v>
      </c>
      <c r="H45" s="22" t="s">
        <v>1372</v>
      </c>
      <c r="I45" s="22" t="s">
        <v>1373</v>
      </c>
      <c r="J45" s="29" t="s">
        <v>120</v>
      </c>
      <c r="K45" s="22" t="s">
        <v>1369</v>
      </c>
    </row>
    <row r="46" customFormat="false" ht="15" hidden="false" customHeight="false" outlineLevel="0" collapsed="false">
      <c r="A46" s="22" t="n">
        <v>109</v>
      </c>
      <c r="B46" s="22" t="s">
        <v>274</v>
      </c>
      <c r="C46" s="22" t="s">
        <v>274</v>
      </c>
      <c r="D46" s="22" t="n">
        <v>860034313</v>
      </c>
      <c r="E46" s="22" t="s">
        <v>1358</v>
      </c>
      <c r="F46" s="23" t="n">
        <v>44561</v>
      </c>
      <c r="G46" s="28" t="n">
        <v>115384615</v>
      </c>
      <c r="H46" s="22" t="s">
        <v>1372</v>
      </c>
      <c r="I46" s="22" t="s">
        <v>1373</v>
      </c>
      <c r="J46" s="29" t="s">
        <v>120</v>
      </c>
      <c r="K46" s="22" t="s">
        <v>1369</v>
      </c>
    </row>
    <row r="47" customFormat="false" ht="15" hidden="false" customHeight="false" outlineLevel="0" collapsed="false">
      <c r="A47" s="22" t="n">
        <v>110</v>
      </c>
      <c r="B47" s="22" t="s">
        <v>274</v>
      </c>
      <c r="C47" s="22" t="s">
        <v>274</v>
      </c>
      <c r="D47" s="22" t="n">
        <v>860034313</v>
      </c>
      <c r="E47" s="22" t="s">
        <v>1358</v>
      </c>
      <c r="F47" s="23" t="n">
        <v>44561</v>
      </c>
      <c r="G47" s="28" t="n">
        <v>115384615</v>
      </c>
      <c r="H47" s="22" t="s">
        <v>1372</v>
      </c>
      <c r="I47" s="22" t="s">
        <v>1373</v>
      </c>
      <c r="J47" s="29" t="s">
        <v>120</v>
      </c>
      <c r="K47" s="22" t="s">
        <v>1369</v>
      </c>
    </row>
    <row r="48" customFormat="false" ht="15" hidden="false" customHeight="false" outlineLevel="0" collapsed="false">
      <c r="A48" s="22" t="n">
        <v>111</v>
      </c>
      <c r="B48" s="22" t="s">
        <v>274</v>
      </c>
      <c r="C48" s="22" t="s">
        <v>274</v>
      </c>
      <c r="D48" s="22" t="n">
        <v>860034313</v>
      </c>
      <c r="E48" s="22" t="s">
        <v>1358</v>
      </c>
      <c r="F48" s="23" t="n">
        <v>44561</v>
      </c>
      <c r="G48" s="28" t="n">
        <v>115384615</v>
      </c>
      <c r="H48" s="22" t="s">
        <v>1372</v>
      </c>
      <c r="I48" s="22" t="s">
        <v>1373</v>
      </c>
      <c r="J48" s="29" t="s">
        <v>120</v>
      </c>
      <c r="K48" s="22" t="s">
        <v>1369</v>
      </c>
    </row>
    <row r="49" customFormat="false" ht="15" hidden="false" customHeight="false" outlineLevel="0" collapsed="false">
      <c r="A49" s="22" t="n">
        <v>112</v>
      </c>
      <c r="B49" s="22" t="s">
        <v>274</v>
      </c>
      <c r="C49" s="22" t="s">
        <v>274</v>
      </c>
      <c r="D49" s="22" t="n">
        <v>860034313</v>
      </c>
      <c r="E49" s="22" t="s">
        <v>1358</v>
      </c>
      <c r="F49" s="23" t="n">
        <v>44561</v>
      </c>
      <c r="G49" s="28" t="n">
        <v>152307700</v>
      </c>
      <c r="H49" s="22" t="s">
        <v>1374</v>
      </c>
      <c r="I49" s="22" t="s">
        <v>1375</v>
      </c>
      <c r="J49" s="29" t="s">
        <v>122</v>
      </c>
      <c r="K49" s="22" t="s">
        <v>1369</v>
      </c>
    </row>
    <row r="50" customFormat="false" ht="15" hidden="false" customHeight="false" outlineLevel="0" collapsed="false">
      <c r="A50" s="22" t="n">
        <v>113</v>
      </c>
      <c r="B50" s="22" t="s">
        <v>274</v>
      </c>
      <c r="C50" s="22" t="s">
        <v>274</v>
      </c>
      <c r="D50" s="22" t="n">
        <v>860034313</v>
      </c>
      <c r="E50" s="22" t="s">
        <v>1358</v>
      </c>
      <c r="F50" s="23" t="n">
        <v>44561</v>
      </c>
      <c r="G50" s="28" t="n">
        <v>152307692</v>
      </c>
      <c r="H50" s="22" t="s">
        <v>1374</v>
      </c>
      <c r="I50" s="22" t="s">
        <v>1375</v>
      </c>
      <c r="J50" s="29" t="s">
        <v>122</v>
      </c>
      <c r="K50" s="22" t="s">
        <v>1369</v>
      </c>
    </row>
    <row r="51" customFormat="false" ht="15" hidden="false" customHeight="false" outlineLevel="0" collapsed="false">
      <c r="A51" s="22" t="n">
        <v>114</v>
      </c>
      <c r="B51" s="22" t="s">
        <v>274</v>
      </c>
      <c r="C51" s="22" t="s">
        <v>274</v>
      </c>
      <c r="D51" s="22" t="n">
        <v>860034313</v>
      </c>
      <c r="E51" s="22" t="s">
        <v>1358</v>
      </c>
      <c r="F51" s="23" t="n">
        <v>44561</v>
      </c>
      <c r="G51" s="28" t="n">
        <v>152307692</v>
      </c>
      <c r="H51" s="22" t="s">
        <v>1374</v>
      </c>
      <c r="I51" s="22" t="s">
        <v>1375</v>
      </c>
      <c r="J51" s="29" t="s">
        <v>122</v>
      </c>
      <c r="K51" s="22" t="s">
        <v>1369</v>
      </c>
    </row>
    <row r="52" customFormat="false" ht="15" hidden="false" customHeight="false" outlineLevel="0" collapsed="false">
      <c r="A52" s="22" t="n">
        <v>115</v>
      </c>
      <c r="B52" s="22" t="s">
        <v>274</v>
      </c>
      <c r="C52" s="22" t="s">
        <v>274</v>
      </c>
      <c r="D52" s="22" t="n">
        <v>860034313</v>
      </c>
      <c r="E52" s="22" t="s">
        <v>1358</v>
      </c>
      <c r="F52" s="23" t="n">
        <v>44561</v>
      </c>
      <c r="G52" s="28" t="n">
        <v>152307692</v>
      </c>
      <c r="H52" s="22" t="s">
        <v>1374</v>
      </c>
      <c r="I52" s="22" t="s">
        <v>1375</v>
      </c>
      <c r="J52" s="29" t="s">
        <v>122</v>
      </c>
      <c r="K52" s="22" t="s">
        <v>1369</v>
      </c>
    </row>
    <row r="53" customFormat="false" ht="15" hidden="false" customHeight="false" outlineLevel="0" collapsed="false">
      <c r="A53" s="22" t="n">
        <v>116</v>
      </c>
      <c r="B53" s="22" t="s">
        <v>274</v>
      </c>
      <c r="C53" s="22" t="s">
        <v>274</v>
      </c>
      <c r="D53" s="22" t="n">
        <v>860034313</v>
      </c>
      <c r="E53" s="22" t="s">
        <v>1358</v>
      </c>
      <c r="F53" s="23" t="n">
        <v>44561</v>
      </c>
      <c r="G53" s="28" t="n">
        <v>152307692</v>
      </c>
      <c r="H53" s="22" t="s">
        <v>1374</v>
      </c>
      <c r="I53" s="22" t="s">
        <v>1375</v>
      </c>
      <c r="J53" s="29" t="s">
        <v>122</v>
      </c>
      <c r="K53" s="22" t="s">
        <v>1369</v>
      </c>
    </row>
    <row r="54" customFormat="false" ht="15" hidden="false" customHeight="false" outlineLevel="0" collapsed="false">
      <c r="A54" s="22" t="n">
        <v>117</v>
      </c>
      <c r="B54" s="22" t="s">
        <v>274</v>
      </c>
      <c r="C54" s="22" t="s">
        <v>274</v>
      </c>
      <c r="D54" s="22" t="n">
        <v>860034313</v>
      </c>
      <c r="E54" s="22" t="s">
        <v>1358</v>
      </c>
      <c r="F54" s="23" t="n">
        <v>44561</v>
      </c>
      <c r="G54" s="28" t="n">
        <v>152307692</v>
      </c>
      <c r="H54" s="22" t="s">
        <v>1374</v>
      </c>
      <c r="I54" s="22" t="s">
        <v>1375</v>
      </c>
      <c r="J54" s="29" t="s">
        <v>122</v>
      </c>
      <c r="K54" s="22" t="s">
        <v>1369</v>
      </c>
    </row>
    <row r="55" customFormat="false" ht="15" hidden="false" customHeight="false" outlineLevel="0" collapsed="false">
      <c r="A55" s="22" t="n">
        <v>118</v>
      </c>
      <c r="B55" s="22" t="s">
        <v>274</v>
      </c>
      <c r="C55" s="22" t="s">
        <v>274</v>
      </c>
      <c r="D55" s="22" t="n">
        <v>860034313</v>
      </c>
      <c r="E55" s="22" t="s">
        <v>1358</v>
      </c>
      <c r="F55" s="23" t="n">
        <v>44561</v>
      </c>
      <c r="G55" s="28" t="n">
        <v>152307692</v>
      </c>
      <c r="H55" s="22" t="s">
        <v>1374</v>
      </c>
      <c r="I55" s="22" t="s">
        <v>1375</v>
      </c>
      <c r="J55" s="29" t="s">
        <v>122</v>
      </c>
      <c r="K55" s="22" t="s">
        <v>1369</v>
      </c>
    </row>
    <row r="56" customFormat="false" ht="15" hidden="false" customHeight="false" outlineLevel="0" collapsed="false">
      <c r="A56" s="22" t="n">
        <v>119</v>
      </c>
      <c r="B56" s="22" t="s">
        <v>274</v>
      </c>
      <c r="C56" s="22" t="s">
        <v>274</v>
      </c>
      <c r="D56" s="22" t="n">
        <v>860034313</v>
      </c>
      <c r="E56" s="22" t="s">
        <v>1358</v>
      </c>
      <c r="F56" s="23" t="n">
        <v>44561</v>
      </c>
      <c r="G56" s="28" t="n">
        <v>152307692</v>
      </c>
      <c r="H56" s="22" t="s">
        <v>1374</v>
      </c>
      <c r="I56" s="22" t="s">
        <v>1375</v>
      </c>
      <c r="J56" s="29" t="s">
        <v>122</v>
      </c>
      <c r="K56" s="22" t="s">
        <v>1369</v>
      </c>
    </row>
    <row r="57" customFormat="false" ht="15" hidden="false" customHeight="false" outlineLevel="0" collapsed="false">
      <c r="A57" s="22" t="n">
        <v>120</v>
      </c>
      <c r="B57" s="22" t="s">
        <v>274</v>
      </c>
      <c r="C57" s="22" t="s">
        <v>274</v>
      </c>
      <c r="D57" s="22" t="n">
        <v>860034313</v>
      </c>
      <c r="E57" s="22" t="s">
        <v>1358</v>
      </c>
      <c r="F57" s="23" t="n">
        <v>44561</v>
      </c>
      <c r="G57" s="28" t="n">
        <v>152307692</v>
      </c>
      <c r="H57" s="22" t="s">
        <v>1374</v>
      </c>
      <c r="I57" s="22" t="s">
        <v>1375</v>
      </c>
      <c r="J57" s="29" t="s">
        <v>122</v>
      </c>
      <c r="K57" s="22" t="s">
        <v>1369</v>
      </c>
    </row>
    <row r="58" customFormat="false" ht="15" hidden="false" customHeight="false" outlineLevel="0" collapsed="false">
      <c r="A58" s="22" t="n">
        <v>121</v>
      </c>
      <c r="B58" s="22" t="s">
        <v>274</v>
      </c>
      <c r="C58" s="22" t="s">
        <v>274</v>
      </c>
      <c r="D58" s="22" t="n">
        <v>860034313</v>
      </c>
      <c r="E58" s="22" t="s">
        <v>1358</v>
      </c>
      <c r="F58" s="23" t="n">
        <v>44561</v>
      </c>
      <c r="G58" s="28" t="n">
        <v>152307692</v>
      </c>
      <c r="H58" s="22" t="s">
        <v>1374</v>
      </c>
      <c r="I58" s="22" t="s">
        <v>1375</v>
      </c>
      <c r="J58" s="29" t="s">
        <v>122</v>
      </c>
      <c r="K58" s="22" t="s">
        <v>1369</v>
      </c>
    </row>
    <row r="59" customFormat="false" ht="15" hidden="false" customHeight="false" outlineLevel="0" collapsed="false">
      <c r="A59" s="22" t="n">
        <v>122</v>
      </c>
      <c r="B59" s="22" t="s">
        <v>274</v>
      </c>
      <c r="C59" s="22" t="s">
        <v>274</v>
      </c>
      <c r="D59" s="22" t="n">
        <v>860034313</v>
      </c>
      <c r="E59" s="22" t="s">
        <v>1358</v>
      </c>
      <c r="F59" s="23" t="n">
        <v>44561</v>
      </c>
      <c r="G59" s="28" t="n">
        <v>152307692</v>
      </c>
      <c r="H59" s="22" t="s">
        <v>1374</v>
      </c>
      <c r="I59" s="22" t="s">
        <v>1375</v>
      </c>
      <c r="J59" s="29" t="s">
        <v>122</v>
      </c>
      <c r="K59" s="22" t="s">
        <v>1369</v>
      </c>
    </row>
    <row r="60" customFormat="false" ht="15" hidden="false" customHeight="false" outlineLevel="0" collapsed="false">
      <c r="A60" s="22" t="n">
        <v>123</v>
      </c>
      <c r="B60" s="22" t="s">
        <v>274</v>
      </c>
      <c r="C60" s="22" t="s">
        <v>274</v>
      </c>
      <c r="D60" s="22" t="n">
        <v>860034313</v>
      </c>
      <c r="E60" s="22" t="s">
        <v>1358</v>
      </c>
      <c r="F60" s="23" t="n">
        <v>44561</v>
      </c>
      <c r="G60" s="28" t="n">
        <v>152307692</v>
      </c>
      <c r="H60" s="22" t="s">
        <v>1374</v>
      </c>
      <c r="I60" s="22" t="s">
        <v>1375</v>
      </c>
      <c r="J60" s="29" t="s">
        <v>122</v>
      </c>
      <c r="K60" s="22" t="s">
        <v>1369</v>
      </c>
    </row>
    <row r="61" customFormat="false" ht="15" hidden="false" customHeight="false" outlineLevel="0" collapsed="false">
      <c r="A61" s="22" t="n">
        <v>124</v>
      </c>
      <c r="B61" s="22" t="s">
        <v>274</v>
      </c>
      <c r="C61" s="22" t="s">
        <v>274</v>
      </c>
      <c r="D61" s="22" t="n">
        <v>860034313</v>
      </c>
      <c r="E61" s="22" t="s">
        <v>1358</v>
      </c>
      <c r="F61" s="23" t="n">
        <v>44561</v>
      </c>
      <c r="G61" s="28" t="n">
        <v>152307692</v>
      </c>
      <c r="H61" s="22" t="s">
        <v>1374</v>
      </c>
      <c r="I61" s="22" t="s">
        <v>1375</v>
      </c>
      <c r="J61" s="29" t="s">
        <v>122</v>
      </c>
      <c r="K61" s="22" t="s">
        <v>1369</v>
      </c>
    </row>
    <row r="62" customFormat="false" ht="15" hidden="false" customHeight="false" outlineLevel="0" collapsed="false">
      <c r="A62" s="22" t="n">
        <v>125</v>
      </c>
      <c r="B62" s="22" t="s">
        <v>274</v>
      </c>
      <c r="C62" s="22" t="s">
        <v>274</v>
      </c>
      <c r="D62" s="22" t="n">
        <v>860034313</v>
      </c>
      <c r="E62" s="22" t="s">
        <v>1358</v>
      </c>
      <c r="F62" s="23" t="n">
        <v>44561</v>
      </c>
      <c r="G62" s="28" t="n">
        <v>152307692</v>
      </c>
      <c r="H62" s="22" t="s">
        <v>1374</v>
      </c>
      <c r="I62" s="22" t="s">
        <v>1375</v>
      </c>
      <c r="J62" s="29" t="s">
        <v>122</v>
      </c>
      <c r="K62" s="22" t="s">
        <v>1369</v>
      </c>
    </row>
    <row r="63" customFormat="false" ht="15" hidden="false" customHeight="false" outlineLevel="0" collapsed="false">
      <c r="A63" s="22" t="n">
        <v>126</v>
      </c>
      <c r="B63" s="22" t="s">
        <v>274</v>
      </c>
      <c r="C63" s="22" t="s">
        <v>274</v>
      </c>
      <c r="D63" s="22" t="n">
        <v>860034313</v>
      </c>
      <c r="E63" s="22" t="s">
        <v>1358</v>
      </c>
      <c r="F63" s="23" t="n">
        <v>44561</v>
      </c>
      <c r="G63" s="28" t="n">
        <v>152307692</v>
      </c>
      <c r="H63" s="22" t="s">
        <v>1374</v>
      </c>
      <c r="I63" s="22" t="s">
        <v>1375</v>
      </c>
      <c r="J63" s="29" t="s">
        <v>122</v>
      </c>
      <c r="K63" s="22" t="s">
        <v>1369</v>
      </c>
    </row>
    <row r="64" customFormat="false" ht="15" hidden="false" customHeight="false" outlineLevel="0" collapsed="false">
      <c r="A64" s="22" t="n">
        <v>127</v>
      </c>
      <c r="B64" s="22" t="s">
        <v>274</v>
      </c>
      <c r="C64" s="22" t="s">
        <v>274</v>
      </c>
      <c r="D64" s="22" t="n">
        <v>860034313</v>
      </c>
      <c r="E64" s="22" t="s">
        <v>1358</v>
      </c>
      <c r="F64" s="23" t="n">
        <v>44561</v>
      </c>
      <c r="G64" s="28" t="n">
        <v>152307692</v>
      </c>
      <c r="H64" s="22" t="s">
        <v>1374</v>
      </c>
      <c r="I64" s="22" t="s">
        <v>1375</v>
      </c>
      <c r="J64" s="29" t="s">
        <v>122</v>
      </c>
      <c r="K64" s="22" t="s">
        <v>1369</v>
      </c>
    </row>
    <row r="65" customFormat="false" ht="15" hidden="false" customHeight="false" outlineLevel="0" collapsed="false">
      <c r="A65" s="22" t="n">
        <v>128</v>
      </c>
      <c r="B65" s="22" t="s">
        <v>274</v>
      </c>
      <c r="C65" s="22" t="s">
        <v>274</v>
      </c>
      <c r="D65" s="22" t="n">
        <v>860034313</v>
      </c>
      <c r="E65" s="22" t="s">
        <v>1358</v>
      </c>
      <c r="F65" s="23" t="n">
        <v>44561</v>
      </c>
      <c r="G65" s="28" t="n">
        <v>152307692</v>
      </c>
      <c r="H65" s="22" t="s">
        <v>1374</v>
      </c>
      <c r="I65" s="22" t="s">
        <v>1375</v>
      </c>
      <c r="J65" s="29" t="s">
        <v>122</v>
      </c>
      <c r="K65" s="22" t="s">
        <v>1369</v>
      </c>
    </row>
    <row r="66" customFormat="false" ht="15" hidden="false" customHeight="false" outlineLevel="0" collapsed="false">
      <c r="A66" s="22" t="n">
        <v>129</v>
      </c>
      <c r="B66" s="22" t="s">
        <v>274</v>
      </c>
      <c r="C66" s="22" t="s">
        <v>274</v>
      </c>
      <c r="D66" s="22" t="n">
        <v>860034313</v>
      </c>
      <c r="E66" s="22" t="s">
        <v>1358</v>
      </c>
      <c r="F66" s="23" t="n">
        <v>44561</v>
      </c>
      <c r="G66" s="28" t="n">
        <v>152307692</v>
      </c>
      <c r="H66" s="22" t="s">
        <v>1374</v>
      </c>
      <c r="I66" s="22" t="s">
        <v>1375</v>
      </c>
      <c r="J66" s="29" t="s">
        <v>122</v>
      </c>
      <c r="K66" s="22" t="s">
        <v>1369</v>
      </c>
    </row>
    <row r="67" customFormat="false" ht="15" hidden="false" customHeight="false" outlineLevel="0" collapsed="false">
      <c r="A67" s="22" t="n">
        <v>130</v>
      </c>
      <c r="B67" s="22" t="s">
        <v>274</v>
      </c>
      <c r="C67" s="22" t="s">
        <v>274</v>
      </c>
      <c r="D67" s="22" t="n">
        <v>860034313</v>
      </c>
      <c r="E67" s="22" t="s">
        <v>1358</v>
      </c>
      <c r="F67" s="23" t="n">
        <v>44561</v>
      </c>
      <c r="G67" s="28" t="n">
        <v>152307692</v>
      </c>
      <c r="H67" s="22" t="s">
        <v>1374</v>
      </c>
      <c r="I67" s="22" t="s">
        <v>1375</v>
      </c>
      <c r="J67" s="29" t="s">
        <v>122</v>
      </c>
      <c r="K67" s="22" t="s">
        <v>1369</v>
      </c>
    </row>
    <row r="68" customFormat="false" ht="15" hidden="false" customHeight="false" outlineLevel="0" collapsed="false">
      <c r="A68" s="22" t="n">
        <v>131</v>
      </c>
      <c r="B68" s="22" t="s">
        <v>274</v>
      </c>
      <c r="C68" s="22" t="s">
        <v>274</v>
      </c>
      <c r="D68" s="22" t="n">
        <v>860034313</v>
      </c>
      <c r="E68" s="22" t="s">
        <v>1358</v>
      </c>
      <c r="F68" s="23" t="n">
        <v>44561</v>
      </c>
      <c r="G68" s="28" t="n">
        <v>152307692</v>
      </c>
      <c r="H68" s="22" t="s">
        <v>1374</v>
      </c>
      <c r="I68" s="22" t="s">
        <v>1375</v>
      </c>
      <c r="J68" s="29" t="s">
        <v>122</v>
      </c>
      <c r="K68" s="22" t="s">
        <v>1369</v>
      </c>
    </row>
    <row r="69" customFormat="false" ht="15" hidden="false" customHeight="false" outlineLevel="0" collapsed="false">
      <c r="A69" s="22" t="n">
        <v>132</v>
      </c>
      <c r="B69" s="22" t="s">
        <v>274</v>
      </c>
      <c r="C69" s="22" t="s">
        <v>274</v>
      </c>
      <c r="D69" s="22" t="n">
        <v>860034313</v>
      </c>
      <c r="E69" s="22" t="s">
        <v>1358</v>
      </c>
      <c r="F69" s="23" t="n">
        <v>44561</v>
      </c>
      <c r="G69" s="28" t="n">
        <v>152307692</v>
      </c>
      <c r="H69" s="22" t="s">
        <v>1374</v>
      </c>
      <c r="I69" s="22" t="s">
        <v>1375</v>
      </c>
      <c r="J69" s="29" t="s">
        <v>122</v>
      </c>
      <c r="K69" s="22" t="s">
        <v>1369</v>
      </c>
    </row>
    <row r="70" customFormat="false" ht="15" hidden="false" customHeight="false" outlineLevel="0" collapsed="false">
      <c r="A70" s="22" t="n">
        <v>133</v>
      </c>
      <c r="B70" s="22" t="s">
        <v>274</v>
      </c>
      <c r="C70" s="22" t="s">
        <v>274</v>
      </c>
      <c r="D70" s="22" t="n">
        <v>860034313</v>
      </c>
      <c r="E70" s="22" t="s">
        <v>1358</v>
      </c>
      <c r="F70" s="23" t="n">
        <v>44561</v>
      </c>
      <c r="G70" s="28" t="n">
        <v>152307692</v>
      </c>
      <c r="H70" s="22" t="s">
        <v>1374</v>
      </c>
      <c r="I70" s="22" t="s">
        <v>1375</v>
      </c>
      <c r="J70" s="29" t="s">
        <v>122</v>
      </c>
      <c r="K70" s="22" t="s">
        <v>1369</v>
      </c>
    </row>
    <row r="71" customFormat="false" ht="15" hidden="false" customHeight="false" outlineLevel="0" collapsed="false">
      <c r="A71" s="22" t="n">
        <v>134</v>
      </c>
      <c r="B71" s="22" t="s">
        <v>274</v>
      </c>
      <c r="C71" s="22" t="s">
        <v>274</v>
      </c>
      <c r="D71" s="22" t="n">
        <v>860034313</v>
      </c>
      <c r="E71" s="22" t="s">
        <v>1358</v>
      </c>
      <c r="F71" s="23" t="n">
        <v>44561</v>
      </c>
      <c r="G71" s="28" t="n">
        <v>152307692</v>
      </c>
      <c r="H71" s="22" t="s">
        <v>1374</v>
      </c>
      <c r="I71" s="22" t="s">
        <v>1375</v>
      </c>
      <c r="J71" s="29" t="s">
        <v>122</v>
      </c>
      <c r="K71" s="22" t="s">
        <v>1369</v>
      </c>
    </row>
    <row r="72" customFormat="false" ht="15" hidden="false" customHeight="false" outlineLevel="0" collapsed="false">
      <c r="A72" s="22" t="n">
        <v>135</v>
      </c>
      <c r="B72" s="22" t="s">
        <v>274</v>
      </c>
      <c r="C72" s="22" t="s">
        <v>274</v>
      </c>
      <c r="D72" s="22" t="n">
        <v>860034313</v>
      </c>
      <c r="E72" s="22" t="s">
        <v>1358</v>
      </c>
      <c r="F72" s="23" t="n">
        <v>44561</v>
      </c>
      <c r="G72" s="28" t="n">
        <v>152307692</v>
      </c>
      <c r="H72" s="22" t="s">
        <v>1374</v>
      </c>
      <c r="I72" s="22" t="s">
        <v>1375</v>
      </c>
      <c r="J72" s="29" t="s">
        <v>122</v>
      </c>
      <c r="K72" s="22" t="s">
        <v>1369</v>
      </c>
    </row>
    <row r="73" customFormat="false" ht="15" hidden="false" customHeight="false" outlineLevel="0" collapsed="false">
      <c r="A73" s="22" t="n">
        <v>136</v>
      </c>
      <c r="B73" s="22" t="s">
        <v>274</v>
      </c>
      <c r="C73" s="22" t="s">
        <v>274</v>
      </c>
      <c r="D73" s="22" t="n">
        <v>860034313</v>
      </c>
      <c r="E73" s="22" t="s">
        <v>1358</v>
      </c>
      <c r="F73" s="23" t="n">
        <v>44561</v>
      </c>
      <c r="G73" s="28" t="n">
        <v>152307692</v>
      </c>
      <c r="H73" s="22" t="s">
        <v>1374</v>
      </c>
      <c r="I73" s="22" t="s">
        <v>1375</v>
      </c>
      <c r="J73" s="29" t="s">
        <v>122</v>
      </c>
      <c r="K73" s="22" t="s">
        <v>1369</v>
      </c>
    </row>
    <row r="74" customFormat="false" ht="15" hidden="false" customHeight="false" outlineLevel="0" collapsed="false">
      <c r="A74" s="22" t="n">
        <v>137</v>
      </c>
      <c r="B74" s="22" t="s">
        <v>274</v>
      </c>
      <c r="C74" s="22" t="s">
        <v>274</v>
      </c>
      <c r="D74" s="22" t="n">
        <v>860034313</v>
      </c>
      <c r="E74" s="22" t="s">
        <v>1358</v>
      </c>
      <c r="F74" s="23" t="n">
        <v>44561</v>
      </c>
      <c r="G74" s="28" t="n">
        <v>152307692</v>
      </c>
      <c r="H74" s="22" t="s">
        <v>1374</v>
      </c>
      <c r="I74" s="22" t="s">
        <v>1375</v>
      </c>
      <c r="J74" s="29" t="s">
        <v>122</v>
      </c>
      <c r="K74" s="22" t="s">
        <v>1369</v>
      </c>
    </row>
    <row r="75" customFormat="false" ht="15" hidden="false" customHeight="false" outlineLevel="0" collapsed="false">
      <c r="A75" s="22" t="n">
        <v>138</v>
      </c>
      <c r="B75" s="22" t="s">
        <v>274</v>
      </c>
      <c r="C75" s="22" t="s">
        <v>274</v>
      </c>
      <c r="D75" s="22" t="n">
        <v>860007738</v>
      </c>
      <c r="E75" s="22" t="s">
        <v>1376</v>
      </c>
      <c r="F75" s="23" t="n">
        <v>44561</v>
      </c>
      <c r="G75" s="28" t="n">
        <v>575000000</v>
      </c>
      <c r="H75" s="22" t="s">
        <v>1377</v>
      </c>
      <c r="I75" s="22" t="s">
        <v>1378</v>
      </c>
      <c r="J75" s="29" t="s">
        <v>140</v>
      </c>
      <c r="K75" s="22" t="s">
        <v>1369</v>
      </c>
    </row>
    <row r="76" customFormat="false" ht="15" hidden="false" customHeight="false" outlineLevel="0" collapsed="false">
      <c r="A76" s="22" t="n">
        <v>139</v>
      </c>
      <c r="B76" s="22" t="s">
        <v>274</v>
      </c>
      <c r="C76" s="22" t="s">
        <v>274</v>
      </c>
      <c r="D76" s="22" t="n">
        <v>860002964</v>
      </c>
      <c r="E76" s="22" t="s">
        <v>523</v>
      </c>
      <c r="F76" s="23" t="n">
        <v>44561</v>
      </c>
      <c r="G76" s="28" t="n">
        <v>62500000</v>
      </c>
      <c r="H76" s="22" t="s">
        <v>1364</v>
      </c>
      <c r="I76" s="22" t="s">
        <v>1365</v>
      </c>
      <c r="J76" s="29" t="s">
        <v>129</v>
      </c>
      <c r="K76" s="22" t="s">
        <v>1369</v>
      </c>
    </row>
    <row r="77" customFormat="false" ht="15" hidden="false" customHeight="false" outlineLevel="0" collapsed="false">
      <c r="A77" s="22" t="n">
        <v>140</v>
      </c>
      <c r="B77" s="22" t="s">
        <v>274</v>
      </c>
      <c r="C77" s="22" t="s">
        <v>274</v>
      </c>
      <c r="D77" s="22" t="n">
        <v>860002964</v>
      </c>
      <c r="E77" s="22" t="s">
        <v>523</v>
      </c>
      <c r="F77" s="23" t="n">
        <v>44561</v>
      </c>
      <c r="G77" s="28" t="n">
        <v>62500000</v>
      </c>
      <c r="H77" s="22" t="s">
        <v>1364</v>
      </c>
      <c r="I77" s="22" t="s">
        <v>1365</v>
      </c>
      <c r="J77" s="29" t="s">
        <v>129</v>
      </c>
      <c r="K77" s="22" t="s">
        <v>1369</v>
      </c>
    </row>
    <row r="78" customFormat="false" ht="15" hidden="false" customHeight="false" outlineLevel="0" collapsed="false">
      <c r="A78" s="22" t="n">
        <v>141</v>
      </c>
      <c r="B78" s="22" t="s">
        <v>274</v>
      </c>
      <c r="C78" s="22" t="s">
        <v>274</v>
      </c>
      <c r="D78" s="22" t="n">
        <v>860002964</v>
      </c>
      <c r="E78" s="22" t="s">
        <v>523</v>
      </c>
      <c r="F78" s="23" t="n">
        <v>44561</v>
      </c>
      <c r="G78" s="28" t="n">
        <v>62500000</v>
      </c>
      <c r="H78" s="22" t="s">
        <v>1364</v>
      </c>
      <c r="I78" s="22" t="s">
        <v>1365</v>
      </c>
      <c r="J78" s="29" t="s">
        <v>129</v>
      </c>
      <c r="K78" s="22" t="s">
        <v>1369</v>
      </c>
    </row>
    <row r="79" customFormat="false" ht="15" hidden="false" customHeight="false" outlineLevel="0" collapsed="false">
      <c r="A79" s="22" t="n">
        <v>142</v>
      </c>
      <c r="B79" s="22" t="s">
        <v>274</v>
      </c>
      <c r="C79" s="22" t="s">
        <v>274</v>
      </c>
      <c r="D79" s="22" t="n">
        <v>860002964</v>
      </c>
      <c r="E79" s="22" t="s">
        <v>523</v>
      </c>
      <c r="F79" s="23" t="n">
        <v>44561</v>
      </c>
      <c r="G79" s="28" t="n">
        <v>62500000</v>
      </c>
      <c r="H79" s="22" t="s">
        <v>1364</v>
      </c>
      <c r="I79" s="22" t="s">
        <v>1365</v>
      </c>
      <c r="J79" s="29" t="s">
        <v>129</v>
      </c>
      <c r="K79" s="22" t="s">
        <v>1369</v>
      </c>
    </row>
    <row r="80" customFormat="false" ht="15" hidden="false" customHeight="false" outlineLevel="0" collapsed="false">
      <c r="A80" s="22" t="n">
        <v>143</v>
      </c>
      <c r="B80" s="22" t="s">
        <v>274</v>
      </c>
      <c r="C80" s="22" t="s">
        <v>274</v>
      </c>
      <c r="D80" s="22" t="n">
        <v>860002964</v>
      </c>
      <c r="E80" s="22" t="s">
        <v>523</v>
      </c>
      <c r="F80" s="23" t="n">
        <v>44561</v>
      </c>
      <c r="G80" s="28" t="n">
        <v>62500000</v>
      </c>
      <c r="H80" s="22" t="s">
        <v>1364</v>
      </c>
      <c r="I80" s="22" t="s">
        <v>1365</v>
      </c>
      <c r="J80" s="29" t="s">
        <v>129</v>
      </c>
      <c r="K80" s="22" t="s">
        <v>1369</v>
      </c>
    </row>
    <row r="81" customFormat="false" ht="15" hidden="false" customHeight="false" outlineLevel="0" collapsed="false">
      <c r="A81" s="22" t="n">
        <v>144</v>
      </c>
      <c r="B81" s="22" t="s">
        <v>274</v>
      </c>
      <c r="C81" s="22" t="s">
        <v>274</v>
      </c>
      <c r="D81" s="22" t="n">
        <v>860002964</v>
      </c>
      <c r="E81" s="22" t="s">
        <v>523</v>
      </c>
      <c r="F81" s="23" t="n">
        <v>44561</v>
      </c>
      <c r="G81" s="28" t="n">
        <v>62500000</v>
      </c>
      <c r="H81" s="22" t="s">
        <v>1364</v>
      </c>
      <c r="I81" s="22" t="s">
        <v>1365</v>
      </c>
      <c r="J81" s="29" t="s">
        <v>129</v>
      </c>
      <c r="K81" s="22" t="s">
        <v>1369</v>
      </c>
    </row>
    <row r="82" customFormat="false" ht="15" hidden="false" customHeight="false" outlineLevel="0" collapsed="false">
      <c r="A82" s="22" t="n">
        <v>145</v>
      </c>
      <c r="B82" s="22" t="s">
        <v>274</v>
      </c>
      <c r="C82" s="22" t="s">
        <v>274</v>
      </c>
      <c r="D82" s="22" t="n">
        <v>860002964</v>
      </c>
      <c r="E82" s="22" t="s">
        <v>523</v>
      </c>
      <c r="F82" s="23" t="n">
        <v>44561</v>
      </c>
      <c r="G82" s="28" t="n">
        <v>62500000</v>
      </c>
      <c r="H82" s="22" t="s">
        <v>1364</v>
      </c>
      <c r="I82" s="22" t="s">
        <v>1365</v>
      </c>
      <c r="J82" s="29" t="s">
        <v>129</v>
      </c>
      <c r="K82" s="22" t="s">
        <v>1369</v>
      </c>
    </row>
    <row r="83" customFormat="false" ht="15" hidden="false" customHeight="false" outlineLevel="0" collapsed="false">
      <c r="A83" s="22" t="n">
        <v>146</v>
      </c>
      <c r="B83" s="22" t="s">
        <v>274</v>
      </c>
      <c r="C83" s="22" t="s">
        <v>274</v>
      </c>
      <c r="D83" s="22" t="n">
        <v>860002964</v>
      </c>
      <c r="E83" s="22" t="s">
        <v>523</v>
      </c>
      <c r="F83" s="23" t="n">
        <v>44561</v>
      </c>
      <c r="G83" s="28" t="n">
        <v>62500000</v>
      </c>
      <c r="H83" s="22" t="s">
        <v>1364</v>
      </c>
      <c r="I83" s="22" t="s">
        <v>1365</v>
      </c>
      <c r="J83" s="29" t="s">
        <v>129</v>
      </c>
      <c r="K83" s="22" t="s">
        <v>1369</v>
      </c>
    </row>
    <row r="84" customFormat="false" ht="15" hidden="false" customHeight="false" outlineLevel="0" collapsed="false">
      <c r="A84" s="22" t="n">
        <v>147</v>
      </c>
      <c r="B84" s="22" t="s">
        <v>274</v>
      </c>
      <c r="C84" s="22" t="s">
        <v>274</v>
      </c>
      <c r="D84" s="22" t="n">
        <v>860002964</v>
      </c>
      <c r="E84" s="22" t="s">
        <v>523</v>
      </c>
      <c r="F84" s="23" t="n">
        <v>44561</v>
      </c>
      <c r="G84" s="28" t="n">
        <v>62500000</v>
      </c>
      <c r="H84" s="22" t="s">
        <v>1364</v>
      </c>
      <c r="I84" s="22" t="s">
        <v>1365</v>
      </c>
      <c r="J84" s="29" t="s">
        <v>129</v>
      </c>
      <c r="K84" s="22" t="s">
        <v>1369</v>
      </c>
    </row>
    <row r="85" customFormat="false" ht="15" hidden="false" customHeight="false" outlineLevel="0" collapsed="false">
      <c r="A85" s="22" t="n">
        <v>148</v>
      </c>
      <c r="B85" s="22" t="s">
        <v>274</v>
      </c>
      <c r="C85" s="22" t="s">
        <v>274</v>
      </c>
      <c r="D85" s="22" t="n">
        <v>860002964</v>
      </c>
      <c r="E85" s="22" t="s">
        <v>523</v>
      </c>
      <c r="F85" s="23" t="n">
        <v>44561</v>
      </c>
      <c r="G85" s="28" t="n">
        <v>62500000</v>
      </c>
      <c r="H85" s="22" t="s">
        <v>1364</v>
      </c>
      <c r="I85" s="22" t="s">
        <v>1365</v>
      </c>
      <c r="J85" s="29" t="s">
        <v>129</v>
      </c>
      <c r="K85" s="22" t="s">
        <v>1369</v>
      </c>
    </row>
    <row r="86" customFormat="false" ht="15" hidden="false" customHeight="false" outlineLevel="0" collapsed="false">
      <c r="A86" s="22" t="n">
        <v>149</v>
      </c>
      <c r="B86" s="22" t="s">
        <v>274</v>
      </c>
      <c r="C86" s="22" t="s">
        <v>274</v>
      </c>
      <c r="D86" s="22" t="n">
        <v>860002964</v>
      </c>
      <c r="E86" s="22" t="s">
        <v>523</v>
      </c>
      <c r="F86" s="23" t="n">
        <v>44561</v>
      </c>
      <c r="G86" s="28" t="n">
        <v>62500000</v>
      </c>
      <c r="H86" s="22" t="s">
        <v>1364</v>
      </c>
      <c r="I86" s="22" t="s">
        <v>1365</v>
      </c>
      <c r="J86" s="29" t="s">
        <v>129</v>
      </c>
      <c r="K86" s="22" t="s">
        <v>1369</v>
      </c>
    </row>
    <row r="87" customFormat="false" ht="15" hidden="false" customHeight="false" outlineLevel="0" collapsed="false">
      <c r="A87" s="22" t="n">
        <v>150</v>
      </c>
      <c r="B87" s="22" t="s">
        <v>274</v>
      </c>
      <c r="C87" s="22" t="s">
        <v>274</v>
      </c>
      <c r="D87" s="22" t="n">
        <v>860002964</v>
      </c>
      <c r="E87" s="22" t="s">
        <v>523</v>
      </c>
      <c r="F87" s="23" t="n">
        <v>44561</v>
      </c>
      <c r="G87" s="28" t="n">
        <v>62500000</v>
      </c>
      <c r="H87" s="22" t="s">
        <v>1364</v>
      </c>
      <c r="I87" s="22" t="s">
        <v>1365</v>
      </c>
      <c r="J87" s="29" t="s">
        <v>129</v>
      </c>
      <c r="K87" s="22" t="s">
        <v>1369</v>
      </c>
    </row>
    <row r="88" customFormat="false" ht="15" hidden="false" customHeight="false" outlineLevel="0" collapsed="false">
      <c r="A88" s="22" t="n">
        <v>151</v>
      </c>
      <c r="B88" s="22" t="s">
        <v>274</v>
      </c>
      <c r="C88" s="22" t="s">
        <v>274</v>
      </c>
      <c r="D88" s="22" t="n">
        <v>860002964</v>
      </c>
      <c r="E88" s="22" t="s">
        <v>523</v>
      </c>
      <c r="F88" s="23" t="n">
        <v>44561</v>
      </c>
      <c r="G88" s="28" t="n">
        <v>62500000</v>
      </c>
      <c r="H88" s="22" t="s">
        <v>1364</v>
      </c>
      <c r="I88" s="22" t="s">
        <v>1365</v>
      </c>
      <c r="J88" s="29" t="s">
        <v>129</v>
      </c>
      <c r="K88" s="22" t="s">
        <v>1369</v>
      </c>
    </row>
    <row r="89" customFormat="false" ht="15" hidden="false" customHeight="false" outlineLevel="0" collapsed="false">
      <c r="A89" s="22" t="n">
        <v>152</v>
      </c>
      <c r="B89" s="22" t="s">
        <v>274</v>
      </c>
      <c r="C89" s="22" t="s">
        <v>274</v>
      </c>
      <c r="D89" s="22" t="n">
        <v>860002964</v>
      </c>
      <c r="E89" s="22" t="s">
        <v>523</v>
      </c>
      <c r="F89" s="23" t="n">
        <v>44561</v>
      </c>
      <c r="G89" s="28" t="n">
        <v>62500000</v>
      </c>
      <c r="H89" s="22" t="s">
        <v>1364</v>
      </c>
      <c r="I89" s="22" t="s">
        <v>1365</v>
      </c>
      <c r="J89" s="29" t="s">
        <v>129</v>
      </c>
      <c r="K89" s="22" t="s">
        <v>1369</v>
      </c>
    </row>
    <row r="90" customFormat="false" ht="15" hidden="false" customHeight="false" outlineLevel="0" collapsed="false">
      <c r="A90" s="22" t="n">
        <v>153</v>
      </c>
      <c r="B90" s="22" t="s">
        <v>274</v>
      </c>
      <c r="C90" s="22" t="s">
        <v>274</v>
      </c>
      <c r="D90" s="22" t="n">
        <v>860002964</v>
      </c>
      <c r="E90" s="22" t="s">
        <v>523</v>
      </c>
      <c r="F90" s="23" t="n">
        <v>44561</v>
      </c>
      <c r="G90" s="28" t="n">
        <v>62500000</v>
      </c>
      <c r="H90" s="22" t="s">
        <v>1364</v>
      </c>
      <c r="I90" s="22" t="s">
        <v>1365</v>
      </c>
      <c r="J90" s="29" t="s">
        <v>129</v>
      </c>
      <c r="K90" s="22" t="s">
        <v>1369</v>
      </c>
    </row>
    <row r="91" customFormat="false" ht="15" hidden="false" customHeight="false" outlineLevel="0" collapsed="false">
      <c r="A91" s="22" t="n">
        <v>154</v>
      </c>
      <c r="B91" s="22" t="s">
        <v>274</v>
      </c>
      <c r="C91" s="22" t="s">
        <v>274</v>
      </c>
      <c r="D91" s="22" t="n">
        <v>860002964</v>
      </c>
      <c r="E91" s="22" t="s">
        <v>523</v>
      </c>
      <c r="F91" s="23" t="n">
        <v>44561</v>
      </c>
      <c r="G91" s="28" t="n">
        <v>62500000</v>
      </c>
      <c r="H91" s="22" t="s">
        <v>1364</v>
      </c>
      <c r="I91" s="22" t="s">
        <v>1365</v>
      </c>
      <c r="J91" s="29" t="s">
        <v>129</v>
      </c>
      <c r="K91" s="22" t="s">
        <v>1369</v>
      </c>
    </row>
    <row r="92" customFormat="false" ht="15" hidden="false" customHeight="false" outlineLevel="0" collapsed="false">
      <c r="A92" s="22" t="n">
        <v>155</v>
      </c>
      <c r="B92" s="22" t="s">
        <v>274</v>
      </c>
      <c r="C92" s="22" t="s">
        <v>274</v>
      </c>
      <c r="D92" s="22" t="n">
        <v>860002964</v>
      </c>
      <c r="E92" s="22" t="s">
        <v>523</v>
      </c>
      <c r="F92" s="23" t="n">
        <v>44561</v>
      </c>
      <c r="G92" s="28" t="n">
        <v>62500000</v>
      </c>
      <c r="H92" s="22" t="s">
        <v>1364</v>
      </c>
      <c r="I92" s="22" t="s">
        <v>1365</v>
      </c>
      <c r="J92" s="29" t="s">
        <v>129</v>
      </c>
      <c r="K92" s="22" t="s">
        <v>1369</v>
      </c>
    </row>
    <row r="93" customFormat="false" ht="15" hidden="false" customHeight="false" outlineLevel="0" collapsed="false">
      <c r="A93" s="22" t="n">
        <v>156</v>
      </c>
      <c r="B93" s="22" t="s">
        <v>274</v>
      </c>
      <c r="C93" s="22" t="s">
        <v>274</v>
      </c>
      <c r="D93" s="22" t="n">
        <v>860002964</v>
      </c>
      <c r="E93" s="22" t="s">
        <v>523</v>
      </c>
      <c r="F93" s="23" t="n">
        <v>44561</v>
      </c>
      <c r="G93" s="28" t="n">
        <v>62500000</v>
      </c>
      <c r="H93" s="22" t="s">
        <v>1364</v>
      </c>
      <c r="I93" s="22" t="s">
        <v>1365</v>
      </c>
      <c r="J93" s="29" t="s">
        <v>129</v>
      </c>
      <c r="K93" s="22" t="s">
        <v>1369</v>
      </c>
    </row>
    <row r="94" customFormat="false" ht="15" hidden="false" customHeight="false" outlineLevel="0" collapsed="false">
      <c r="A94" s="22" t="n">
        <v>157</v>
      </c>
      <c r="B94" s="22" t="s">
        <v>274</v>
      </c>
      <c r="C94" s="22" t="s">
        <v>274</v>
      </c>
      <c r="D94" s="22" t="n">
        <v>860002964</v>
      </c>
      <c r="E94" s="22" t="s">
        <v>523</v>
      </c>
      <c r="F94" s="23" t="n">
        <v>44561</v>
      </c>
      <c r="G94" s="28" t="n">
        <v>62500000</v>
      </c>
      <c r="H94" s="22" t="s">
        <v>1364</v>
      </c>
      <c r="I94" s="22" t="s">
        <v>1365</v>
      </c>
      <c r="J94" s="29" t="s">
        <v>129</v>
      </c>
      <c r="K94" s="22" t="s">
        <v>1369</v>
      </c>
    </row>
    <row r="95" customFormat="false" ht="15" hidden="false" customHeight="false" outlineLevel="0" collapsed="false">
      <c r="A95" s="22" t="n">
        <v>158</v>
      </c>
      <c r="B95" s="22" t="s">
        <v>274</v>
      </c>
      <c r="C95" s="22" t="s">
        <v>274</v>
      </c>
      <c r="D95" s="22" t="n">
        <v>860002964</v>
      </c>
      <c r="E95" s="22" t="s">
        <v>523</v>
      </c>
      <c r="F95" s="23" t="n">
        <v>44561</v>
      </c>
      <c r="G95" s="28" t="n">
        <v>62500000</v>
      </c>
      <c r="H95" s="22" t="s">
        <v>1364</v>
      </c>
      <c r="I95" s="22" t="s">
        <v>1365</v>
      </c>
      <c r="J95" s="29" t="s">
        <v>129</v>
      </c>
      <c r="K95" s="22" t="s">
        <v>1369</v>
      </c>
    </row>
    <row r="96" customFormat="false" ht="15" hidden="false" customHeight="false" outlineLevel="0" collapsed="false">
      <c r="A96" s="22" t="n">
        <v>159</v>
      </c>
      <c r="B96" s="22" t="s">
        <v>274</v>
      </c>
      <c r="C96" s="22" t="s">
        <v>274</v>
      </c>
      <c r="D96" s="22" t="n">
        <v>860002964</v>
      </c>
      <c r="E96" s="22" t="s">
        <v>523</v>
      </c>
      <c r="F96" s="23" t="n">
        <v>44561</v>
      </c>
      <c r="G96" s="28" t="n">
        <v>62500000</v>
      </c>
      <c r="H96" s="22" t="s">
        <v>1364</v>
      </c>
      <c r="I96" s="22" t="s">
        <v>1365</v>
      </c>
      <c r="J96" s="29" t="s">
        <v>129</v>
      </c>
      <c r="K96" s="22" t="s">
        <v>1369</v>
      </c>
    </row>
    <row r="97" customFormat="false" ht="15" hidden="false" customHeight="false" outlineLevel="0" collapsed="false">
      <c r="A97" s="22" t="n">
        <v>160</v>
      </c>
      <c r="B97" s="22" t="s">
        <v>274</v>
      </c>
      <c r="C97" s="22" t="s">
        <v>274</v>
      </c>
      <c r="D97" s="22" t="n">
        <v>860002964</v>
      </c>
      <c r="E97" s="22" t="s">
        <v>523</v>
      </c>
      <c r="F97" s="23" t="n">
        <v>44561</v>
      </c>
      <c r="G97" s="28" t="n">
        <v>62500000</v>
      </c>
      <c r="H97" s="22" t="s">
        <v>1364</v>
      </c>
      <c r="I97" s="22" t="s">
        <v>1365</v>
      </c>
      <c r="J97" s="29" t="s">
        <v>129</v>
      </c>
      <c r="K97" s="22" t="s">
        <v>1369</v>
      </c>
    </row>
    <row r="98" customFormat="false" ht="15" hidden="false" customHeight="false" outlineLevel="0" collapsed="false">
      <c r="A98" s="22" t="n">
        <v>161</v>
      </c>
      <c r="B98" s="22" t="s">
        <v>274</v>
      </c>
      <c r="C98" s="22" t="s">
        <v>274</v>
      </c>
      <c r="D98" s="22" t="n">
        <v>860002964</v>
      </c>
      <c r="E98" s="22" t="s">
        <v>523</v>
      </c>
      <c r="F98" s="23" t="n">
        <v>44561</v>
      </c>
      <c r="G98" s="28" t="n">
        <v>62500000</v>
      </c>
      <c r="H98" s="22" t="s">
        <v>1364</v>
      </c>
      <c r="I98" s="22" t="s">
        <v>1365</v>
      </c>
      <c r="J98" s="29" t="s">
        <v>129</v>
      </c>
      <c r="K98" s="22" t="s">
        <v>1369</v>
      </c>
    </row>
    <row r="99" customFormat="false" ht="15" hidden="false" customHeight="false" outlineLevel="0" collapsed="false">
      <c r="A99" s="22" t="n">
        <v>162</v>
      </c>
      <c r="B99" s="22" t="s">
        <v>274</v>
      </c>
      <c r="C99" s="22" t="s">
        <v>274</v>
      </c>
      <c r="D99" s="22" t="n">
        <v>860002964</v>
      </c>
      <c r="E99" s="22" t="s">
        <v>523</v>
      </c>
      <c r="F99" s="23" t="n">
        <v>44561</v>
      </c>
      <c r="G99" s="28" t="n">
        <v>62500000</v>
      </c>
      <c r="H99" s="22" t="s">
        <v>1364</v>
      </c>
      <c r="I99" s="22" t="s">
        <v>1365</v>
      </c>
      <c r="J99" s="29" t="s">
        <v>129</v>
      </c>
      <c r="K99" s="22" t="s">
        <v>1369</v>
      </c>
    </row>
    <row r="100" customFormat="false" ht="15" hidden="false" customHeight="false" outlineLevel="0" collapsed="false">
      <c r="A100" s="22" t="n">
        <v>163</v>
      </c>
      <c r="B100" s="22" t="s">
        <v>274</v>
      </c>
      <c r="C100" s="22" t="s">
        <v>274</v>
      </c>
      <c r="D100" s="22" t="n">
        <v>860002964</v>
      </c>
      <c r="E100" s="22" t="s">
        <v>523</v>
      </c>
      <c r="F100" s="23" t="n">
        <v>44561</v>
      </c>
      <c r="G100" s="28" t="n">
        <v>62500000</v>
      </c>
      <c r="H100" s="22" t="s">
        <v>1364</v>
      </c>
      <c r="I100" s="22" t="s">
        <v>1365</v>
      </c>
      <c r="J100" s="29" t="s">
        <v>129</v>
      </c>
      <c r="K100" s="22" t="s">
        <v>1369</v>
      </c>
    </row>
    <row r="101" customFormat="false" ht="15" hidden="false" customHeight="false" outlineLevel="0" collapsed="false">
      <c r="A101" s="22" t="n">
        <v>164</v>
      </c>
      <c r="B101" s="22" t="s">
        <v>274</v>
      </c>
      <c r="C101" s="22" t="s">
        <v>274</v>
      </c>
      <c r="D101" s="22" t="n">
        <v>860002964</v>
      </c>
      <c r="E101" s="22" t="s">
        <v>523</v>
      </c>
      <c r="F101" s="23" t="n">
        <v>44561</v>
      </c>
      <c r="G101" s="28" t="n">
        <v>62500000</v>
      </c>
      <c r="H101" s="22" t="s">
        <v>1364</v>
      </c>
      <c r="I101" s="22" t="s">
        <v>1365</v>
      </c>
      <c r="J101" s="29" t="s">
        <v>129</v>
      </c>
      <c r="K101" s="22" t="s">
        <v>1369</v>
      </c>
    </row>
    <row r="102" customFormat="false" ht="15" hidden="false" customHeight="false" outlineLevel="0" collapsed="false">
      <c r="A102" s="22" t="n">
        <v>165</v>
      </c>
      <c r="B102" s="22" t="s">
        <v>274</v>
      </c>
      <c r="C102" s="22" t="s">
        <v>274</v>
      </c>
      <c r="D102" s="22" t="n">
        <v>860002964</v>
      </c>
      <c r="E102" s="22" t="s">
        <v>523</v>
      </c>
      <c r="F102" s="23" t="n">
        <v>44561</v>
      </c>
      <c r="G102" s="28" t="n">
        <v>62500000</v>
      </c>
      <c r="H102" s="22" t="s">
        <v>1364</v>
      </c>
      <c r="I102" s="22" t="s">
        <v>1365</v>
      </c>
      <c r="J102" s="29" t="s">
        <v>129</v>
      </c>
      <c r="K102" s="22" t="s">
        <v>1369</v>
      </c>
    </row>
    <row r="103" customFormat="false" ht="15" hidden="false" customHeight="false" outlineLevel="0" collapsed="false">
      <c r="A103" s="22" t="n">
        <v>166</v>
      </c>
      <c r="B103" s="22" t="s">
        <v>274</v>
      </c>
      <c r="C103" s="22" t="s">
        <v>274</v>
      </c>
      <c r="D103" s="22" t="n">
        <v>860002964</v>
      </c>
      <c r="E103" s="22" t="s">
        <v>523</v>
      </c>
      <c r="F103" s="23" t="n">
        <v>44561</v>
      </c>
      <c r="G103" s="28" t="n">
        <v>62500000</v>
      </c>
      <c r="H103" s="22" t="s">
        <v>1364</v>
      </c>
      <c r="I103" s="22" t="s">
        <v>1365</v>
      </c>
      <c r="J103" s="29" t="s">
        <v>129</v>
      </c>
      <c r="K103" s="22" t="s">
        <v>1369</v>
      </c>
    </row>
    <row r="104" customFormat="false" ht="15" hidden="false" customHeight="false" outlineLevel="0" collapsed="false">
      <c r="A104" s="22" t="n">
        <v>167</v>
      </c>
      <c r="B104" s="22" t="s">
        <v>274</v>
      </c>
      <c r="C104" s="22" t="s">
        <v>274</v>
      </c>
      <c r="D104" s="22" t="n">
        <v>860002964</v>
      </c>
      <c r="E104" s="22" t="s">
        <v>523</v>
      </c>
      <c r="F104" s="23" t="n">
        <v>44561</v>
      </c>
      <c r="G104" s="28" t="n">
        <v>62500000</v>
      </c>
      <c r="H104" s="22" t="s">
        <v>1364</v>
      </c>
      <c r="I104" s="22" t="s">
        <v>1365</v>
      </c>
      <c r="J104" s="29" t="s">
        <v>129</v>
      </c>
      <c r="K104" s="22" t="s">
        <v>1369</v>
      </c>
    </row>
    <row r="105" customFormat="false" ht="15" hidden="false" customHeight="false" outlineLevel="0" collapsed="false">
      <c r="A105" s="22" t="n">
        <v>168</v>
      </c>
      <c r="B105" s="22" t="s">
        <v>274</v>
      </c>
      <c r="C105" s="22" t="s">
        <v>274</v>
      </c>
      <c r="D105" s="22" t="n">
        <v>860002964</v>
      </c>
      <c r="E105" s="22" t="s">
        <v>523</v>
      </c>
      <c r="F105" s="23" t="n">
        <v>44561</v>
      </c>
      <c r="G105" s="28" t="n">
        <v>62500000</v>
      </c>
      <c r="H105" s="22" t="s">
        <v>1364</v>
      </c>
      <c r="I105" s="22" t="s">
        <v>1365</v>
      </c>
      <c r="J105" s="29" t="s">
        <v>129</v>
      </c>
      <c r="K105" s="22" t="s">
        <v>1369</v>
      </c>
    </row>
    <row r="106" customFormat="false" ht="15" hidden="false" customHeight="false" outlineLevel="0" collapsed="false">
      <c r="A106" s="22" t="n">
        <v>169</v>
      </c>
      <c r="B106" s="22" t="s">
        <v>274</v>
      </c>
      <c r="C106" s="22" t="s">
        <v>274</v>
      </c>
      <c r="D106" s="22" t="n">
        <v>860002964</v>
      </c>
      <c r="E106" s="22" t="s">
        <v>523</v>
      </c>
      <c r="F106" s="23" t="n">
        <v>44561</v>
      </c>
      <c r="G106" s="28" t="n">
        <v>62500000</v>
      </c>
      <c r="H106" s="22" t="s">
        <v>1364</v>
      </c>
      <c r="I106" s="22" t="s">
        <v>1365</v>
      </c>
      <c r="J106" s="29" t="s">
        <v>129</v>
      </c>
      <c r="K106" s="22" t="s">
        <v>1369</v>
      </c>
    </row>
    <row r="107" customFormat="false" ht="15" hidden="false" customHeight="false" outlineLevel="0" collapsed="false">
      <c r="A107" s="22" t="n">
        <v>170</v>
      </c>
      <c r="B107" s="22" t="s">
        <v>274</v>
      </c>
      <c r="C107" s="22" t="s">
        <v>274</v>
      </c>
      <c r="D107" s="22" t="n">
        <v>860002964</v>
      </c>
      <c r="E107" s="22" t="s">
        <v>523</v>
      </c>
      <c r="F107" s="23" t="n">
        <v>44561</v>
      </c>
      <c r="G107" s="28" t="n">
        <v>62500000</v>
      </c>
      <c r="H107" s="22" t="s">
        <v>1364</v>
      </c>
      <c r="I107" s="22" t="s">
        <v>1365</v>
      </c>
      <c r="J107" s="29" t="s">
        <v>129</v>
      </c>
      <c r="K107" s="22" t="s">
        <v>1369</v>
      </c>
    </row>
    <row r="108" customFormat="false" ht="15" hidden="false" customHeight="false" outlineLevel="0" collapsed="false">
      <c r="A108" s="22" t="n">
        <v>171</v>
      </c>
      <c r="B108" s="22" t="s">
        <v>274</v>
      </c>
      <c r="C108" s="22" t="s">
        <v>274</v>
      </c>
      <c r="D108" s="22" t="n">
        <v>860002964</v>
      </c>
      <c r="E108" s="22" t="s">
        <v>523</v>
      </c>
      <c r="F108" s="23" t="n">
        <v>44561</v>
      </c>
      <c r="G108" s="28" t="n">
        <v>62500000</v>
      </c>
      <c r="H108" s="22" t="s">
        <v>1364</v>
      </c>
      <c r="I108" s="22" t="s">
        <v>1365</v>
      </c>
      <c r="J108" s="29" t="s">
        <v>129</v>
      </c>
      <c r="K108" s="22" t="s">
        <v>1369</v>
      </c>
    </row>
    <row r="109" customFormat="false" ht="15" hidden="false" customHeight="false" outlineLevel="0" collapsed="false">
      <c r="A109" s="22" t="n">
        <v>172</v>
      </c>
      <c r="B109" s="22" t="s">
        <v>274</v>
      </c>
      <c r="C109" s="22" t="s">
        <v>274</v>
      </c>
      <c r="D109" s="22" t="n">
        <v>860002964</v>
      </c>
      <c r="E109" s="22" t="s">
        <v>523</v>
      </c>
      <c r="F109" s="23" t="n">
        <v>44561</v>
      </c>
      <c r="G109" s="28" t="n">
        <v>62500000</v>
      </c>
      <c r="H109" s="22" t="s">
        <v>1364</v>
      </c>
      <c r="I109" s="22" t="s">
        <v>1365</v>
      </c>
      <c r="J109" s="29" t="s">
        <v>129</v>
      </c>
      <c r="K109" s="22" t="s">
        <v>1369</v>
      </c>
    </row>
    <row r="110" customFormat="false" ht="15" hidden="false" customHeight="false" outlineLevel="0" collapsed="false">
      <c r="A110" s="22" t="n">
        <v>173</v>
      </c>
      <c r="B110" s="22" t="s">
        <v>274</v>
      </c>
      <c r="C110" s="22" t="s">
        <v>274</v>
      </c>
      <c r="D110" s="22" t="n">
        <v>860002964</v>
      </c>
      <c r="E110" s="22" t="s">
        <v>523</v>
      </c>
      <c r="F110" s="23" t="n">
        <v>44561</v>
      </c>
      <c r="G110" s="28" t="n">
        <v>62500000</v>
      </c>
      <c r="H110" s="22" t="s">
        <v>1364</v>
      </c>
      <c r="I110" s="22" t="s">
        <v>1365</v>
      </c>
      <c r="J110" s="29" t="s">
        <v>129</v>
      </c>
      <c r="K110" s="22" t="s">
        <v>1369</v>
      </c>
    </row>
    <row r="111" customFormat="false" ht="15" hidden="false" customHeight="false" outlineLevel="0" collapsed="false">
      <c r="A111" s="22" t="n">
        <v>174</v>
      </c>
      <c r="B111" s="22" t="s">
        <v>274</v>
      </c>
      <c r="C111" s="22" t="s">
        <v>274</v>
      </c>
      <c r="D111" s="22" t="n">
        <v>860002964</v>
      </c>
      <c r="E111" s="22" t="s">
        <v>523</v>
      </c>
      <c r="F111" s="23" t="n">
        <v>44561</v>
      </c>
      <c r="G111" s="28" t="n">
        <v>62500000</v>
      </c>
      <c r="H111" s="22" t="s">
        <v>1364</v>
      </c>
      <c r="I111" s="22" t="s">
        <v>1365</v>
      </c>
      <c r="J111" s="29" t="s">
        <v>129</v>
      </c>
      <c r="K111" s="22" t="s">
        <v>1369</v>
      </c>
    </row>
    <row r="112" customFormat="false" ht="15" hidden="false" customHeight="false" outlineLevel="0" collapsed="false">
      <c r="A112" s="22" t="n">
        <v>175</v>
      </c>
      <c r="B112" s="22" t="s">
        <v>274</v>
      </c>
      <c r="C112" s="22" t="s">
        <v>274</v>
      </c>
      <c r="D112" s="22" t="n">
        <v>860002964</v>
      </c>
      <c r="E112" s="22" t="s">
        <v>523</v>
      </c>
      <c r="F112" s="23" t="n">
        <v>44561</v>
      </c>
      <c r="G112" s="28" t="n">
        <v>62500000</v>
      </c>
      <c r="H112" s="22" t="s">
        <v>1364</v>
      </c>
      <c r="I112" s="22" t="s">
        <v>1365</v>
      </c>
      <c r="J112" s="29" t="s">
        <v>129</v>
      </c>
      <c r="K112" s="22" t="s">
        <v>1369</v>
      </c>
    </row>
    <row r="113" customFormat="false" ht="15" hidden="false" customHeight="false" outlineLevel="0" collapsed="false">
      <c r="A113" s="22" t="n">
        <v>176</v>
      </c>
      <c r="B113" s="22" t="s">
        <v>274</v>
      </c>
      <c r="C113" s="22" t="s">
        <v>274</v>
      </c>
      <c r="D113" s="22" t="n">
        <v>860002964</v>
      </c>
      <c r="E113" s="22" t="s">
        <v>523</v>
      </c>
      <c r="F113" s="23" t="n">
        <v>44561</v>
      </c>
      <c r="G113" s="28" t="n">
        <v>62500000</v>
      </c>
      <c r="H113" s="22" t="s">
        <v>1364</v>
      </c>
      <c r="I113" s="22" t="s">
        <v>1365</v>
      </c>
      <c r="J113" s="29" t="s">
        <v>129</v>
      </c>
      <c r="K113" s="22" t="s">
        <v>1369</v>
      </c>
    </row>
    <row r="114" customFormat="false" ht="15" hidden="false" customHeight="false" outlineLevel="0" collapsed="false">
      <c r="A114" s="22" t="n">
        <v>177</v>
      </c>
      <c r="B114" s="22" t="s">
        <v>274</v>
      </c>
      <c r="C114" s="22" t="s">
        <v>274</v>
      </c>
      <c r="D114" s="22" t="n">
        <v>860002964</v>
      </c>
      <c r="E114" s="22" t="s">
        <v>523</v>
      </c>
      <c r="F114" s="23" t="n">
        <v>44561</v>
      </c>
      <c r="G114" s="28" t="n">
        <v>62500000</v>
      </c>
      <c r="H114" s="22" t="s">
        <v>1364</v>
      </c>
      <c r="I114" s="22" t="s">
        <v>1365</v>
      </c>
      <c r="J114" s="29" t="s">
        <v>129</v>
      </c>
      <c r="K114" s="22" t="s">
        <v>1369</v>
      </c>
    </row>
    <row r="115" customFormat="false" ht="15" hidden="false" customHeight="false" outlineLevel="0" collapsed="false">
      <c r="A115" s="22" t="n">
        <v>178</v>
      </c>
      <c r="B115" s="22" t="s">
        <v>274</v>
      </c>
      <c r="C115" s="22" t="s">
        <v>274</v>
      </c>
      <c r="D115" s="22" t="n">
        <v>860002964</v>
      </c>
      <c r="E115" s="22" t="s">
        <v>523</v>
      </c>
      <c r="F115" s="23" t="n">
        <v>44561</v>
      </c>
      <c r="G115" s="28" t="n">
        <v>62500000</v>
      </c>
      <c r="H115" s="22" t="s">
        <v>1364</v>
      </c>
      <c r="I115" s="22" t="s">
        <v>1365</v>
      </c>
      <c r="J115" s="29" t="s">
        <v>129</v>
      </c>
      <c r="K115" s="22" t="s">
        <v>1369</v>
      </c>
    </row>
    <row r="116" customFormat="false" ht="15" hidden="false" customHeight="false" outlineLevel="0" collapsed="false">
      <c r="A116" s="22" t="n">
        <v>179</v>
      </c>
      <c r="B116" s="22" t="s">
        <v>274</v>
      </c>
      <c r="C116" s="22" t="s">
        <v>274</v>
      </c>
      <c r="D116" s="22" t="n">
        <v>860002964</v>
      </c>
      <c r="E116" s="22" t="s">
        <v>523</v>
      </c>
      <c r="F116" s="23" t="n">
        <v>44561</v>
      </c>
      <c r="G116" s="28" t="n">
        <v>62500000</v>
      </c>
      <c r="H116" s="22" t="s">
        <v>1364</v>
      </c>
      <c r="I116" s="22" t="s">
        <v>1365</v>
      </c>
      <c r="J116" s="29" t="s">
        <v>129</v>
      </c>
      <c r="K116" s="22" t="s">
        <v>1369</v>
      </c>
    </row>
    <row r="117" customFormat="false" ht="15" hidden="false" customHeight="false" outlineLevel="0" collapsed="false">
      <c r="A117" s="22" t="n">
        <v>180</v>
      </c>
      <c r="B117" s="22" t="s">
        <v>274</v>
      </c>
      <c r="C117" s="22" t="s">
        <v>274</v>
      </c>
      <c r="D117" s="22" t="n">
        <v>860002964</v>
      </c>
      <c r="E117" s="22" t="s">
        <v>523</v>
      </c>
      <c r="F117" s="23" t="n">
        <v>44561</v>
      </c>
      <c r="G117" s="28" t="n">
        <v>62500000</v>
      </c>
      <c r="H117" s="22" t="s">
        <v>1364</v>
      </c>
      <c r="I117" s="22" t="s">
        <v>1365</v>
      </c>
      <c r="J117" s="29" t="s">
        <v>129</v>
      </c>
      <c r="K117" s="22" t="s">
        <v>1369</v>
      </c>
    </row>
    <row r="118" customFormat="false" ht="15" hidden="false" customHeight="false" outlineLevel="0" collapsed="false">
      <c r="A118" s="22" t="n">
        <v>181</v>
      </c>
      <c r="B118" s="22" t="s">
        <v>274</v>
      </c>
      <c r="C118" s="22" t="s">
        <v>274</v>
      </c>
      <c r="D118" s="22" t="n">
        <v>860002964</v>
      </c>
      <c r="E118" s="22" t="s">
        <v>523</v>
      </c>
      <c r="F118" s="23" t="n">
        <v>45163</v>
      </c>
      <c r="G118" s="28" t="n">
        <v>1000000000</v>
      </c>
      <c r="H118" s="22" t="s">
        <v>1366</v>
      </c>
      <c r="I118" s="22" t="s">
        <v>1367</v>
      </c>
      <c r="J118" s="29" t="s">
        <v>131</v>
      </c>
      <c r="K118" s="22" t="s">
        <v>1369</v>
      </c>
    </row>
    <row r="119" customFormat="false" ht="15" hidden="false" customHeight="false" outlineLevel="0" collapsed="false">
      <c r="A119" s="22" t="n">
        <v>182</v>
      </c>
      <c r="B119" s="22" t="s">
        <v>1379</v>
      </c>
      <c r="C119" s="22" t="s">
        <v>98</v>
      </c>
      <c r="D119" s="22" t="s">
        <v>1380</v>
      </c>
      <c r="E119" s="22" t="s">
        <v>1381</v>
      </c>
      <c r="F119" s="23" t="n">
        <v>45925</v>
      </c>
      <c r="G119" s="28" t="n">
        <v>170408.8</v>
      </c>
      <c r="H119" s="22" t="s">
        <v>1382</v>
      </c>
      <c r="I119" s="22" t="s">
        <v>1355</v>
      </c>
      <c r="J119" s="29" t="s">
        <v>1383</v>
      </c>
      <c r="K119" s="22" t="s">
        <v>1384</v>
      </c>
    </row>
    <row r="120" customFormat="false" ht="15" hidden="false" customHeight="false" outlineLevel="0" collapsed="false">
      <c r="A120" s="22" t="n">
        <v>183</v>
      </c>
      <c r="B120" s="22" t="s">
        <v>1379</v>
      </c>
      <c r="C120" s="22" t="s">
        <v>98</v>
      </c>
      <c r="D120" s="22" t="n">
        <v>900963507</v>
      </c>
      <c r="E120" s="22" t="s">
        <v>1385</v>
      </c>
      <c r="F120" s="23" t="n">
        <v>45322</v>
      </c>
      <c r="G120" s="28" t="n">
        <v>5510003.45</v>
      </c>
      <c r="H120" s="22" t="s">
        <v>1386</v>
      </c>
      <c r="I120" s="22" t="s">
        <v>1387</v>
      </c>
      <c r="J120" s="29" t="s">
        <v>1383</v>
      </c>
      <c r="K120" s="22" t="s">
        <v>1384</v>
      </c>
    </row>
    <row r="121" customFormat="false" ht="15" hidden="false" customHeight="false" outlineLevel="0" collapsed="false">
      <c r="A121" s="22" t="n">
        <v>184</v>
      </c>
      <c r="B121" s="22" t="s">
        <v>1379</v>
      </c>
      <c r="C121" s="22" t="s">
        <v>98</v>
      </c>
      <c r="D121" s="22" t="n">
        <v>901559685</v>
      </c>
      <c r="E121" s="22" t="s">
        <v>1388</v>
      </c>
      <c r="F121" s="23" t="n">
        <v>45808</v>
      </c>
      <c r="G121" s="28" t="n">
        <v>177500</v>
      </c>
      <c r="H121" s="22" t="s">
        <v>1389</v>
      </c>
      <c r="I121" s="22" t="s">
        <v>1390</v>
      </c>
      <c r="J121" s="29" t="s">
        <v>1383</v>
      </c>
      <c r="K121" s="22" t="s">
        <v>1384</v>
      </c>
    </row>
    <row r="122" customFormat="false" ht="15" hidden="false" customHeight="false" outlineLevel="0" collapsed="false">
      <c r="A122" s="22" t="n">
        <v>185</v>
      </c>
      <c r="B122" s="22" t="s">
        <v>1379</v>
      </c>
      <c r="C122" s="22" t="s">
        <v>98</v>
      </c>
      <c r="D122" s="22" t="n">
        <v>900714458</v>
      </c>
      <c r="E122" s="22" t="s">
        <v>1391</v>
      </c>
      <c r="F122" s="23" t="n">
        <v>45546</v>
      </c>
      <c r="G122" s="28" t="n">
        <v>1100000.3</v>
      </c>
      <c r="H122" s="22" t="s">
        <v>1392</v>
      </c>
      <c r="I122" s="22" t="s">
        <v>1393</v>
      </c>
      <c r="J122" s="29" t="s">
        <v>1383</v>
      </c>
      <c r="K122" s="22" t="s">
        <v>1384</v>
      </c>
    </row>
    <row r="123" customFormat="false" ht="15" hidden="false" customHeight="false" outlineLevel="0" collapsed="false">
      <c r="A123" s="22" t="n">
        <v>186</v>
      </c>
      <c r="B123" s="22" t="s">
        <v>1379</v>
      </c>
      <c r="C123" s="22" t="s">
        <v>98</v>
      </c>
      <c r="D123" s="22" t="n">
        <v>901757708</v>
      </c>
      <c r="E123" s="22" t="s">
        <v>1394</v>
      </c>
      <c r="F123" s="23" t="n">
        <v>45546</v>
      </c>
      <c r="G123" s="28" t="n">
        <v>521382.47</v>
      </c>
      <c r="H123" s="22" t="s">
        <v>1395</v>
      </c>
      <c r="I123" s="22" t="s">
        <v>1396</v>
      </c>
      <c r="J123" s="29" t="s">
        <v>1383</v>
      </c>
      <c r="K123" s="22" t="s">
        <v>1384</v>
      </c>
    </row>
    <row r="124" customFormat="false" ht="15" hidden="false" customHeight="false" outlineLevel="0" collapsed="false">
      <c r="A124" s="22" t="n">
        <v>187</v>
      </c>
      <c r="B124" s="22" t="s">
        <v>1379</v>
      </c>
      <c r="C124" s="22" t="s">
        <v>98</v>
      </c>
      <c r="D124" s="22" t="n">
        <v>900596089</v>
      </c>
      <c r="E124" s="22" t="s">
        <v>1397</v>
      </c>
      <c r="F124" s="23" t="n">
        <v>45288</v>
      </c>
      <c r="G124" s="28" t="n">
        <v>2480005.22</v>
      </c>
      <c r="H124" s="22" t="s">
        <v>1398</v>
      </c>
      <c r="I124" s="22" t="s">
        <v>1399</v>
      </c>
      <c r="J124" s="29" t="s">
        <v>1383</v>
      </c>
      <c r="K124" s="22" t="s">
        <v>1384</v>
      </c>
    </row>
    <row r="125" customFormat="false" ht="15" hidden="false" customHeight="false" outlineLevel="0" collapsed="false">
      <c r="A125" s="22" t="n">
        <v>188</v>
      </c>
      <c r="B125" s="22" t="s">
        <v>1379</v>
      </c>
      <c r="C125" s="22" t="s">
        <v>98</v>
      </c>
      <c r="D125" s="22" t="n">
        <v>444444463</v>
      </c>
      <c r="E125" s="22" t="s">
        <v>1400</v>
      </c>
      <c r="F125" s="23" t="n">
        <v>45657</v>
      </c>
      <c r="G125" s="28" t="n">
        <v>4349883.43</v>
      </c>
      <c r="H125" s="22" t="s">
        <v>1401</v>
      </c>
      <c r="I125" s="22" t="s">
        <v>1402</v>
      </c>
      <c r="J125" s="29" t="s">
        <v>1383</v>
      </c>
      <c r="K125" s="22" t="s">
        <v>1384</v>
      </c>
    </row>
    <row r="126" customFormat="false" ht="15" hidden="false" customHeight="false" outlineLevel="0" collapsed="false">
      <c r="A126" s="22" t="n">
        <v>189</v>
      </c>
      <c r="B126" s="22" t="s">
        <v>1379</v>
      </c>
      <c r="C126" s="22" t="s">
        <v>98</v>
      </c>
      <c r="D126" s="22" t="n">
        <v>900113654</v>
      </c>
      <c r="E126" s="22" t="s">
        <v>1403</v>
      </c>
      <c r="F126" s="23" t="n">
        <v>45657</v>
      </c>
      <c r="G126" s="28" t="n">
        <v>329935.88</v>
      </c>
      <c r="H126" s="22" t="s">
        <v>1401</v>
      </c>
      <c r="I126" s="22" t="s">
        <v>1404</v>
      </c>
      <c r="J126" s="29" t="s">
        <v>1383</v>
      </c>
      <c r="K126" s="22" t="s">
        <v>1384</v>
      </c>
    </row>
    <row r="127" customFormat="false" ht="15" hidden="false" customHeight="false" outlineLevel="0" collapsed="false">
      <c r="A127" s="22" t="n">
        <v>190</v>
      </c>
      <c r="B127" s="22" t="s">
        <v>1379</v>
      </c>
      <c r="C127" s="22" t="s">
        <v>98</v>
      </c>
      <c r="D127" s="22" t="n">
        <v>860006864</v>
      </c>
      <c r="E127" s="22" t="s">
        <v>1405</v>
      </c>
      <c r="F127" s="23" t="n">
        <v>45685</v>
      </c>
      <c r="G127" s="28" t="n">
        <v>0.65</v>
      </c>
      <c r="H127" s="22" t="s">
        <v>1406</v>
      </c>
      <c r="I127" s="22" t="s">
        <v>1407</v>
      </c>
      <c r="J127" s="29" t="s">
        <v>1383</v>
      </c>
      <c r="K127" s="22" t="s">
        <v>1384</v>
      </c>
    </row>
    <row r="128" customFormat="false" ht="15" hidden="false" customHeight="false" outlineLevel="0" collapsed="false">
      <c r="A128" s="22" t="n">
        <v>191</v>
      </c>
      <c r="B128" s="22" t="s">
        <v>1379</v>
      </c>
      <c r="C128" s="22" t="s">
        <v>98</v>
      </c>
      <c r="D128" s="22" t="n">
        <v>800215775</v>
      </c>
      <c r="E128" s="22" t="s">
        <v>1408</v>
      </c>
      <c r="F128" s="23" t="n">
        <v>45688</v>
      </c>
      <c r="G128" s="28" t="n">
        <v>290912.57</v>
      </c>
      <c r="H128" s="22" t="s">
        <v>1409</v>
      </c>
      <c r="I128" s="22" t="s">
        <v>1410</v>
      </c>
      <c r="J128" s="29" t="s">
        <v>1383</v>
      </c>
      <c r="K128" s="22" t="s">
        <v>1384</v>
      </c>
    </row>
    <row r="129" customFormat="false" ht="15" hidden="false" customHeight="false" outlineLevel="0" collapsed="false">
      <c r="A129" s="22" t="n">
        <v>192</v>
      </c>
      <c r="B129" s="22" t="s">
        <v>1379</v>
      </c>
      <c r="C129" s="22" t="s">
        <v>98</v>
      </c>
      <c r="D129" s="22" t="n">
        <v>860041021</v>
      </c>
      <c r="E129" s="22" t="s">
        <v>1411</v>
      </c>
      <c r="F129" s="23" t="n">
        <v>45656</v>
      </c>
      <c r="G129" s="28" t="n">
        <v>933400</v>
      </c>
      <c r="H129" s="22" t="s">
        <v>1412</v>
      </c>
      <c r="I129" s="22" t="s">
        <v>1413</v>
      </c>
      <c r="J129" s="29" t="s">
        <v>1383</v>
      </c>
      <c r="K129" s="22" t="s">
        <v>1384</v>
      </c>
    </row>
    <row r="130" customFormat="false" ht="15" hidden="false" customHeight="false" outlineLevel="0" collapsed="false">
      <c r="A130" s="22" t="n">
        <v>193</v>
      </c>
      <c r="B130" s="22" t="s">
        <v>1379</v>
      </c>
      <c r="C130" s="22" t="s">
        <v>98</v>
      </c>
      <c r="D130" s="22" t="n">
        <v>900134367</v>
      </c>
      <c r="E130" s="22" t="s">
        <v>1414</v>
      </c>
      <c r="F130" s="23" t="n">
        <v>45546</v>
      </c>
      <c r="G130" s="28" t="n">
        <v>389899.93</v>
      </c>
      <c r="H130" s="22" t="s">
        <v>1415</v>
      </c>
      <c r="I130" s="22" t="s">
        <v>1416</v>
      </c>
      <c r="J130" s="29" t="s">
        <v>1383</v>
      </c>
      <c r="K130" s="22" t="s">
        <v>1384</v>
      </c>
    </row>
    <row r="131" customFormat="false" ht="15" hidden="false" customHeight="false" outlineLevel="0" collapsed="false">
      <c r="A131" s="22" t="n">
        <v>194</v>
      </c>
      <c r="B131" s="22" t="s">
        <v>1379</v>
      </c>
      <c r="C131" s="22" t="s">
        <v>98</v>
      </c>
      <c r="D131" s="22" t="n">
        <v>900652574</v>
      </c>
      <c r="E131" s="22" t="s">
        <v>1417</v>
      </c>
      <c r="F131" s="23" t="n">
        <v>45546</v>
      </c>
      <c r="G131" s="28" t="n">
        <v>190500</v>
      </c>
      <c r="H131" s="22" t="s">
        <v>1418</v>
      </c>
      <c r="I131" s="22" t="s">
        <v>1419</v>
      </c>
      <c r="J131" s="29" t="s">
        <v>1383</v>
      </c>
      <c r="K131" s="22" t="s">
        <v>1384</v>
      </c>
    </row>
    <row r="132" customFormat="false" ht="15" hidden="false" customHeight="false" outlineLevel="0" collapsed="false">
      <c r="A132" s="22" t="n">
        <v>195</v>
      </c>
      <c r="B132" s="22" t="s">
        <v>1379</v>
      </c>
      <c r="C132" s="22" t="s">
        <v>98</v>
      </c>
      <c r="D132" s="22" t="n">
        <v>900395158</v>
      </c>
      <c r="E132" s="22" t="s">
        <v>1420</v>
      </c>
      <c r="F132" s="23" t="n">
        <v>45626</v>
      </c>
      <c r="G132" s="28" t="n">
        <v>190699.88</v>
      </c>
      <c r="H132" s="22" t="s">
        <v>1421</v>
      </c>
      <c r="I132" s="22" t="s">
        <v>1422</v>
      </c>
      <c r="J132" s="29" t="s">
        <v>1383</v>
      </c>
      <c r="K132" s="22" t="s">
        <v>1384</v>
      </c>
    </row>
    <row r="133" customFormat="false" ht="15" hidden="false" customHeight="false" outlineLevel="0" collapsed="false">
      <c r="A133" s="22" t="n">
        <v>196</v>
      </c>
      <c r="B133" s="22" t="s">
        <v>1379</v>
      </c>
      <c r="C133" s="22" t="s">
        <v>98</v>
      </c>
      <c r="D133" s="22" t="n">
        <v>860076919</v>
      </c>
      <c r="E133" s="22" t="s">
        <v>1423</v>
      </c>
      <c r="F133" s="23" t="n">
        <v>45535</v>
      </c>
      <c r="G133" s="28" t="n">
        <v>547100</v>
      </c>
      <c r="H133" s="22" t="s">
        <v>1424</v>
      </c>
      <c r="I133" s="22" t="s">
        <v>1425</v>
      </c>
      <c r="J133" s="29" t="s">
        <v>1383</v>
      </c>
      <c r="K133" s="22" t="s">
        <v>1384</v>
      </c>
    </row>
    <row r="134" customFormat="false" ht="15" hidden="false" customHeight="false" outlineLevel="0" collapsed="false">
      <c r="A134" s="22" t="n">
        <v>197</v>
      </c>
      <c r="B134" s="22" t="s">
        <v>1379</v>
      </c>
      <c r="C134" s="22" t="s">
        <v>98</v>
      </c>
      <c r="D134" s="22" t="n">
        <v>805006014</v>
      </c>
      <c r="E134" s="22" t="s">
        <v>1426</v>
      </c>
      <c r="F134" s="23" t="n">
        <v>45952</v>
      </c>
      <c r="G134" s="28" t="n">
        <v>304600</v>
      </c>
      <c r="H134" s="22" t="s">
        <v>1427</v>
      </c>
      <c r="I134" s="22" t="s">
        <v>1428</v>
      </c>
      <c r="J134" s="29" t="s">
        <v>1383</v>
      </c>
      <c r="K134" s="22" t="s">
        <v>1384</v>
      </c>
    </row>
    <row r="135" customFormat="false" ht="15" hidden="false" customHeight="false" outlineLevel="0" collapsed="false">
      <c r="A135" s="22" t="n">
        <v>198</v>
      </c>
      <c r="B135" s="22" t="s">
        <v>1379</v>
      </c>
      <c r="C135" s="22" t="s">
        <v>98</v>
      </c>
      <c r="D135" s="22" t="n">
        <v>805006014</v>
      </c>
      <c r="E135" s="22" t="s">
        <v>1426</v>
      </c>
      <c r="F135" s="23" t="n">
        <v>45952</v>
      </c>
      <c r="G135" s="28" t="n">
        <v>217000</v>
      </c>
      <c r="H135" s="22" t="s">
        <v>1429</v>
      </c>
      <c r="I135" s="22" t="s">
        <v>1430</v>
      </c>
      <c r="J135" s="29" t="s">
        <v>1383</v>
      </c>
      <c r="K135" s="22" t="s">
        <v>1384</v>
      </c>
    </row>
    <row r="136" customFormat="false" ht="15" hidden="false" customHeight="false" outlineLevel="0" collapsed="false">
      <c r="A136" s="22" t="n">
        <v>199</v>
      </c>
      <c r="B136" s="22" t="s">
        <v>1379</v>
      </c>
      <c r="C136" s="22" t="s">
        <v>98</v>
      </c>
      <c r="D136" s="22" t="n">
        <v>800200139</v>
      </c>
      <c r="E136" s="22" t="s">
        <v>1431</v>
      </c>
      <c r="F136" s="23" t="n">
        <v>45991</v>
      </c>
      <c r="G136" s="28" t="n">
        <v>1046849.43</v>
      </c>
      <c r="H136" s="22" t="s">
        <v>1432</v>
      </c>
      <c r="I136" s="22" t="s">
        <v>1433</v>
      </c>
      <c r="J136" s="29" t="s">
        <v>1383</v>
      </c>
      <c r="K136" s="22" t="s">
        <v>1384</v>
      </c>
    </row>
    <row r="137" customFormat="false" ht="15" hidden="false" customHeight="false" outlineLevel="0" collapsed="false">
      <c r="A137" s="22" t="n">
        <v>200</v>
      </c>
      <c r="B137" s="22" t="s">
        <v>1379</v>
      </c>
      <c r="C137" s="22" t="s">
        <v>98</v>
      </c>
      <c r="D137" s="22" t="n">
        <v>805006014</v>
      </c>
      <c r="E137" s="22" t="s">
        <v>1426</v>
      </c>
      <c r="F137" s="23" t="n">
        <v>45979</v>
      </c>
      <c r="G137" s="28" t="n">
        <v>415900</v>
      </c>
      <c r="H137" s="22" t="s">
        <v>1434</v>
      </c>
      <c r="I137" s="22" t="s">
        <v>1435</v>
      </c>
      <c r="J137" s="29" t="s">
        <v>1383</v>
      </c>
      <c r="K137" s="22" t="s">
        <v>1384</v>
      </c>
    </row>
    <row r="138" customFormat="false" ht="15" hidden="false" customHeight="false" outlineLevel="0" collapsed="false">
      <c r="A138" s="22" t="n">
        <v>201</v>
      </c>
      <c r="B138" s="22" t="s">
        <v>1379</v>
      </c>
      <c r="C138" s="22" t="s">
        <v>98</v>
      </c>
      <c r="D138" s="22" t="n">
        <v>805006014</v>
      </c>
      <c r="E138" s="22" t="s">
        <v>1426</v>
      </c>
      <c r="F138" s="23" t="n">
        <v>45989</v>
      </c>
      <c r="G138" s="28" t="n">
        <v>318500</v>
      </c>
      <c r="H138" s="22" t="s">
        <v>1436</v>
      </c>
      <c r="I138" s="22" t="s">
        <v>1437</v>
      </c>
      <c r="J138" s="29" t="s">
        <v>1383</v>
      </c>
      <c r="K138" s="22" t="s">
        <v>1384</v>
      </c>
    </row>
    <row r="139" customFormat="false" ht="15" hidden="false" customHeight="false" outlineLevel="0" collapsed="false">
      <c r="A139" s="22" t="n">
        <v>202</v>
      </c>
      <c r="B139" s="22" t="s">
        <v>1379</v>
      </c>
      <c r="C139" s="22" t="s">
        <v>98</v>
      </c>
      <c r="D139" s="22" t="n">
        <v>805006014</v>
      </c>
      <c r="E139" s="22" t="s">
        <v>1426</v>
      </c>
      <c r="F139" s="23" t="n">
        <v>46015</v>
      </c>
      <c r="G139" s="28" t="n">
        <v>217000</v>
      </c>
      <c r="H139" s="22" t="s">
        <v>1438</v>
      </c>
      <c r="I139" s="22" t="s">
        <v>1439</v>
      </c>
      <c r="J139" s="29" t="s">
        <v>1383</v>
      </c>
      <c r="K139" s="22" t="s">
        <v>1384</v>
      </c>
    </row>
    <row r="140" customFormat="false" ht="15" hidden="false" customHeight="false" outlineLevel="0" collapsed="false">
      <c r="A140" s="22" t="n">
        <v>203</v>
      </c>
      <c r="B140" s="22" t="s">
        <v>1379</v>
      </c>
      <c r="C140" s="22" t="s">
        <v>98</v>
      </c>
      <c r="D140" s="22" t="n">
        <v>805006014</v>
      </c>
      <c r="E140" s="22" t="s">
        <v>1426</v>
      </c>
      <c r="F140" s="23" t="n">
        <v>46010</v>
      </c>
      <c r="G140" s="28" t="n">
        <v>304600</v>
      </c>
      <c r="H140" s="22" t="s">
        <v>1440</v>
      </c>
      <c r="I140" s="22" t="s">
        <v>1441</v>
      </c>
      <c r="J140" s="29" t="s">
        <v>1383</v>
      </c>
      <c r="K140" s="22" t="s">
        <v>1384</v>
      </c>
    </row>
    <row r="141" customFormat="false" ht="15" hidden="false" customHeight="false" outlineLevel="0" collapsed="false">
      <c r="A141" s="22" t="n">
        <v>204</v>
      </c>
      <c r="B141" s="22" t="s">
        <v>1379</v>
      </c>
      <c r="C141" s="22" t="s">
        <v>98</v>
      </c>
      <c r="D141" s="22" t="n">
        <v>805006014</v>
      </c>
      <c r="E141" s="22" t="s">
        <v>1426</v>
      </c>
      <c r="F141" s="23" t="n">
        <v>46010</v>
      </c>
      <c r="G141" s="28" t="n">
        <v>415900</v>
      </c>
      <c r="H141" s="22" t="s">
        <v>1442</v>
      </c>
      <c r="I141" s="22" t="s">
        <v>1443</v>
      </c>
      <c r="J141" s="29" t="s">
        <v>1383</v>
      </c>
      <c r="K141" s="22" t="s">
        <v>1384</v>
      </c>
    </row>
    <row r="142" customFormat="false" ht="15" hidden="false" customHeight="false" outlineLevel="0" collapsed="false">
      <c r="A142" s="22" t="n">
        <v>205</v>
      </c>
      <c r="B142" s="22" t="s">
        <v>1379</v>
      </c>
      <c r="C142" s="22" t="s">
        <v>98</v>
      </c>
      <c r="D142" s="22" t="n">
        <v>805006014</v>
      </c>
      <c r="E142" s="22" t="s">
        <v>1426</v>
      </c>
      <c r="F142" s="23" t="n">
        <v>46015</v>
      </c>
      <c r="G142" s="28" t="n">
        <v>501700</v>
      </c>
      <c r="H142" s="22" t="s">
        <v>1444</v>
      </c>
      <c r="I142" s="22" t="s">
        <v>1445</v>
      </c>
      <c r="J142" s="29" t="s">
        <v>1383</v>
      </c>
      <c r="K142" s="22" t="s">
        <v>1384</v>
      </c>
    </row>
    <row r="143" customFormat="false" ht="15" hidden="false" customHeight="false" outlineLevel="0" collapsed="false">
      <c r="A143" s="22" t="n">
        <v>206</v>
      </c>
      <c r="B143" s="22" t="s">
        <v>1379</v>
      </c>
      <c r="C143" s="22" t="s">
        <v>98</v>
      </c>
      <c r="D143" s="22" t="n">
        <v>805006014</v>
      </c>
      <c r="E143" s="22" t="s">
        <v>1426</v>
      </c>
      <c r="F143" s="23" t="n">
        <v>46021</v>
      </c>
      <c r="G143" s="28" t="n">
        <v>318500</v>
      </c>
      <c r="H143" s="22" t="s">
        <v>1446</v>
      </c>
      <c r="I143" s="22" t="s">
        <v>1447</v>
      </c>
      <c r="J143" s="29" t="s">
        <v>1383</v>
      </c>
      <c r="K143" s="22" t="s">
        <v>1384</v>
      </c>
    </row>
    <row r="144" customFormat="false" ht="15" hidden="false" customHeight="false" outlineLevel="0" collapsed="false">
      <c r="A144" s="22" t="n">
        <v>207</v>
      </c>
      <c r="B144" s="22" t="s">
        <v>1379</v>
      </c>
      <c r="C144" s="22" t="s">
        <v>98</v>
      </c>
      <c r="D144" s="22" t="n">
        <v>805006014</v>
      </c>
      <c r="E144" s="22" t="s">
        <v>1426</v>
      </c>
      <c r="F144" s="23" t="n">
        <v>46021</v>
      </c>
      <c r="G144" s="28" t="n">
        <v>275600</v>
      </c>
      <c r="H144" s="22" t="s">
        <v>1448</v>
      </c>
      <c r="I144" s="22" t="s">
        <v>1449</v>
      </c>
      <c r="J144" s="29" t="s">
        <v>1383</v>
      </c>
      <c r="K144" s="22" t="s">
        <v>1384</v>
      </c>
    </row>
    <row r="145" customFormat="false" ht="15" hidden="false" customHeight="false" outlineLevel="0" collapsed="false">
      <c r="A145" s="22" t="n">
        <v>208</v>
      </c>
      <c r="B145" s="22" t="s">
        <v>1379</v>
      </c>
      <c r="C145" s="22" t="s">
        <v>98</v>
      </c>
      <c r="D145" s="22" t="n">
        <v>805006014</v>
      </c>
      <c r="E145" s="22" t="s">
        <v>1426</v>
      </c>
      <c r="F145" s="23" t="n">
        <v>45989</v>
      </c>
      <c r="G145" s="28" t="n">
        <v>275600</v>
      </c>
      <c r="H145" s="22" t="s">
        <v>1450</v>
      </c>
      <c r="I145" s="22" t="s">
        <v>1451</v>
      </c>
      <c r="J145" s="29" t="s">
        <v>1383</v>
      </c>
      <c r="K145" s="22" t="s">
        <v>1384</v>
      </c>
    </row>
    <row r="146" customFormat="false" ht="15" hidden="false" customHeight="false" outlineLevel="0" collapsed="false">
      <c r="A146" s="22" t="n">
        <v>209</v>
      </c>
      <c r="B146" s="22" t="s">
        <v>1379</v>
      </c>
      <c r="C146" s="22" t="s">
        <v>98</v>
      </c>
      <c r="D146" s="22" t="n">
        <v>800153993</v>
      </c>
      <c r="E146" s="22" t="s">
        <v>1452</v>
      </c>
      <c r="F146" s="23" t="n">
        <v>46021</v>
      </c>
      <c r="G146" s="28" t="n">
        <v>1388670.94</v>
      </c>
      <c r="H146" s="22" t="s">
        <v>1453</v>
      </c>
      <c r="I146" s="22" t="s">
        <v>1454</v>
      </c>
      <c r="J146" s="29" t="s">
        <v>1383</v>
      </c>
      <c r="K146" s="22" t="s">
        <v>1384</v>
      </c>
    </row>
    <row r="147" customFormat="false" ht="15" hidden="false" customHeight="false" outlineLevel="0" collapsed="false">
      <c r="A147" s="22" t="n">
        <v>210</v>
      </c>
      <c r="B147" s="22" t="s">
        <v>1379</v>
      </c>
      <c r="C147" s="22" t="s">
        <v>98</v>
      </c>
      <c r="D147" s="22" t="n">
        <v>830122566</v>
      </c>
      <c r="E147" s="22" t="s">
        <v>1455</v>
      </c>
      <c r="F147" s="23" t="n">
        <v>46009</v>
      </c>
      <c r="G147" s="28" t="n">
        <v>2182529.47</v>
      </c>
      <c r="H147" s="22" t="s">
        <v>1456</v>
      </c>
      <c r="I147" s="22" t="s">
        <v>1457</v>
      </c>
      <c r="J147" s="29" t="s">
        <v>1383</v>
      </c>
      <c r="K147" s="22" t="s">
        <v>1384</v>
      </c>
    </row>
    <row r="148" customFormat="false" ht="15" hidden="false" customHeight="false" outlineLevel="0" collapsed="false">
      <c r="A148" s="22" t="n">
        <v>211</v>
      </c>
      <c r="B148" s="22" t="s">
        <v>275</v>
      </c>
      <c r="C148" s="22" t="s">
        <v>275</v>
      </c>
      <c r="D148" s="22" t="n">
        <v>890903938</v>
      </c>
      <c r="E148" s="22" t="s">
        <v>386</v>
      </c>
      <c r="F148" s="23" t="n">
        <v>45838</v>
      </c>
      <c r="G148" s="28" t="n">
        <v>180971729</v>
      </c>
      <c r="H148" s="22" t="s">
        <v>1458</v>
      </c>
      <c r="I148" s="22" t="s">
        <v>1355</v>
      </c>
      <c r="J148" s="29" t="s">
        <v>146</v>
      </c>
      <c r="K148" s="22" t="s">
        <v>1459</v>
      </c>
    </row>
    <row r="149" customFormat="false" ht="15" hidden="false" customHeight="false" outlineLevel="0" collapsed="false">
      <c r="A149" s="22" t="n">
        <v>212</v>
      </c>
      <c r="B149" s="22" t="s">
        <v>275</v>
      </c>
      <c r="C149" s="22" t="s">
        <v>275</v>
      </c>
      <c r="D149" s="22" t="n">
        <v>890903938</v>
      </c>
      <c r="E149" s="22" t="s">
        <v>386</v>
      </c>
      <c r="F149" s="23" t="n">
        <v>45199</v>
      </c>
      <c r="G149" s="28" t="n">
        <v>167112372</v>
      </c>
      <c r="H149" s="22" t="s">
        <v>1460</v>
      </c>
      <c r="I149" s="22" t="s">
        <v>1461</v>
      </c>
      <c r="J149" s="29" t="s">
        <v>147</v>
      </c>
      <c r="K149" s="22" t="s">
        <v>1459</v>
      </c>
    </row>
    <row r="150" customFormat="false" ht="15" hidden="false" customHeight="false" outlineLevel="0" collapsed="false">
      <c r="A150" s="22" t="n">
        <v>213</v>
      </c>
      <c r="B150" s="22" t="s">
        <v>275</v>
      </c>
      <c r="C150" s="22" t="s">
        <v>275</v>
      </c>
      <c r="D150" s="22" t="n">
        <v>860034313</v>
      </c>
      <c r="E150" s="22" t="s">
        <v>1358</v>
      </c>
      <c r="F150" s="23" t="n">
        <v>45230</v>
      </c>
      <c r="G150" s="28" t="n">
        <v>113964073</v>
      </c>
      <c r="H150" s="22" t="s">
        <v>1462</v>
      </c>
      <c r="I150" s="22" t="s">
        <v>1463</v>
      </c>
      <c r="J150" s="29" t="s">
        <v>123</v>
      </c>
      <c r="K150" s="22" t="s">
        <v>1459</v>
      </c>
    </row>
    <row r="151" customFormat="false" ht="15" hidden="false" customHeight="false" outlineLevel="0" collapsed="false">
      <c r="A151" s="22" t="n">
        <v>214</v>
      </c>
      <c r="B151" s="22" t="s">
        <v>275</v>
      </c>
      <c r="C151" s="22" t="s">
        <v>275</v>
      </c>
      <c r="D151" s="22" t="n">
        <v>860034313</v>
      </c>
      <c r="E151" s="22" t="s">
        <v>1358</v>
      </c>
      <c r="F151" s="23" t="n">
        <v>45288</v>
      </c>
      <c r="G151" s="28" t="n">
        <v>123832017.4</v>
      </c>
      <c r="H151" s="22" t="s">
        <v>1464</v>
      </c>
      <c r="I151" s="22" t="s">
        <v>1465</v>
      </c>
      <c r="J151" s="29" t="s">
        <v>124</v>
      </c>
      <c r="K151" s="22" t="s">
        <v>1459</v>
      </c>
    </row>
    <row r="152" customFormat="false" ht="15" hidden="false" customHeight="false" outlineLevel="0" collapsed="false">
      <c r="A152" s="22" t="n">
        <v>215</v>
      </c>
      <c r="B152" s="22" t="s">
        <v>276</v>
      </c>
      <c r="C152" s="22" t="s">
        <v>276</v>
      </c>
      <c r="D152" s="22" t="n">
        <v>890903938</v>
      </c>
      <c r="E152" s="22" t="s">
        <v>386</v>
      </c>
      <c r="F152" s="23" t="n">
        <v>45593</v>
      </c>
      <c r="G152" s="28" t="n">
        <v>421722003</v>
      </c>
      <c r="H152" s="22" t="s">
        <v>1466</v>
      </c>
      <c r="I152" s="22" t="s">
        <v>1467</v>
      </c>
      <c r="J152" s="29" t="s">
        <v>146</v>
      </c>
      <c r="K152" s="22" t="s">
        <v>1468</v>
      </c>
    </row>
    <row r="153" customFormat="false" ht="15" hidden="false" customHeight="false" outlineLevel="0" collapsed="false">
      <c r="A153" s="22" t="n">
        <v>216</v>
      </c>
      <c r="B153" s="22" t="s">
        <v>276</v>
      </c>
      <c r="C153" s="22" t="s">
        <v>276</v>
      </c>
      <c r="D153" s="22" t="n">
        <v>890903938</v>
      </c>
      <c r="E153" s="22" t="s">
        <v>386</v>
      </c>
      <c r="F153" s="23" t="n">
        <v>45716</v>
      </c>
      <c r="G153" s="28" t="n">
        <v>495530373</v>
      </c>
      <c r="H153" s="22" t="s">
        <v>1469</v>
      </c>
      <c r="I153" s="22" t="s">
        <v>1470</v>
      </c>
      <c r="J153" s="29" t="s">
        <v>145</v>
      </c>
      <c r="K153" s="22" t="s">
        <v>1468</v>
      </c>
    </row>
    <row r="154" customFormat="false" ht="15" hidden="false" customHeight="false" outlineLevel="0" collapsed="false">
      <c r="A154" s="22" t="n">
        <v>217</v>
      </c>
      <c r="B154" s="22" t="s">
        <v>276</v>
      </c>
      <c r="C154" s="22" t="s">
        <v>276</v>
      </c>
      <c r="D154" s="22" t="n">
        <v>890903938</v>
      </c>
      <c r="E154" s="22" t="s">
        <v>386</v>
      </c>
      <c r="F154" s="23" t="n">
        <v>45258</v>
      </c>
      <c r="G154" s="28" t="n">
        <v>246906126</v>
      </c>
      <c r="H154" s="22" t="s">
        <v>1471</v>
      </c>
      <c r="I154" s="22" t="s">
        <v>1472</v>
      </c>
      <c r="J154" s="29" t="s">
        <v>146</v>
      </c>
      <c r="K154" s="22" t="s">
        <v>1468</v>
      </c>
    </row>
    <row r="155" customFormat="false" ht="15" hidden="false" customHeight="false" outlineLevel="0" collapsed="false">
      <c r="A155" s="22" t="n">
        <v>218</v>
      </c>
      <c r="B155" s="22" t="s">
        <v>276</v>
      </c>
      <c r="C155" s="22" t="s">
        <v>276</v>
      </c>
      <c r="D155" s="22" t="n">
        <v>860034313</v>
      </c>
      <c r="E155" s="22" t="s">
        <v>1358</v>
      </c>
      <c r="F155" s="23" t="n">
        <v>45688</v>
      </c>
      <c r="G155" s="28" t="n">
        <v>1876684264</v>
      </c>
      <c r="H155" s="22" t="s">
        <v>1473</v>
      </c>
      <c r="I155" s="22" t="s">
        <v>1474</v>
      </c>
      <c r="J155" s="29" t="s">
        <v>125</v>
      </c>
      <c r="K155" s="22" t="s">
        <v>1468</v>
      </c>
    </row>
    <row r="156" customFormat="false" ht="15" hidden="false" customHeight="false" outlineLevel="0" collapsed="false">
      <c r="A156" s="22" t="n">
        <v>219</v>
      </c>
      <c r="B156" s="22" t="s">
        <v>276</v>
      </c>
      <c r="C156" s="22" t="s">
        <v>276</v>
      </c>
      <c r="D156" s="22" t="n">
        <v>890903938</v>
      </c>
      <c r="E156" s="22" t="s">
        <v>386</v>
      </c>
      <c r="F156" s="23" t="n">
        <v>45199</v>
      </c>
      <c r="G156" s="28" t="n">
        <v>438685805</v>
      </c>
      <c r="H156" s="22" t="s">
        <v>1460</v>
      </c>
      <c r="I156" s="22" t="s">
        <v>1461</v>
      </c>
      <c r="J156" s="29" t="s">
        <v>147</v>
      </c>
      <c r="K156" s="22" t="s">
        <v>1468</v>
      </c>
    </row>
    <row r="157" customFormat="false" ht="15" hidden="false" customHeight="false" outlineLevel="0" collapsed="false">
      <c r="A157" s="22" t="n">
        <v>220</v>
      </c>
      <c r="B157" s="22" t="s">
        <v>276</v>
      </c>
      <c r="C157" s="22" t="s">
        <v>276</v>
      </c>
      <c r="D157" s="22" t="n">
        <v>860034313</v>
      </c>
      <c r="E157" s="22" t="s">
        <v>1358</v>
      </c>
      <c r="F157" s="23" t="n">
        <v>45230</v>
      </c>
      <c r="G157" s="28" t="n">
        <v>367906833</v>
      </c>
      <c r="H157" s="22" t="s">
        <v>1462</v>
      </c>
      <c r="I157" s="22" t="s">
        <v>1463</v>
      </c>
      <c r="J157" s="29" t="s">
        <v>123</v>
      </c>
      <c r="K157" s="22" t="s">
        <v>1468</v>
      </c>
    </row>
    <row r="158" customFormat="false" ht="15" hidden="false" customHeight="false" outlineLevel="0" collapsed="false">
      <c r="A158" s="22" t="n">
        <v>221</v>
      </c>
      <c r="B158" s="22" t="s">
        <v>276</v>
      </c>
      <c r="C158" s="22" t="s">
        <v>276</v>
      </c>
      <c r="D158" s="22" t="n">
        <v>860034313</v>
      </c>
      <c r="E158" s="22" t="s">
        <v>1358</v>
      </c>
      <c r="F158" s="23" t="n">
        <v>45869</v>
      </c>
      <c r="G158" s="28" t="n">
        <v>213861900</v>
      </c>
      <c r="H158" s="22" t="s">
        <v>1475</v>
      </c>
      <c r="I158" s="22" t="s">
        <v>1476</v>
      </c>
      <c r="J158" s="29" t="s">
        <v>126</v>
      </c>
      <c r="K158" s="22" t="s">
        <v>1468</v>
      </c>
    </row>
    <row r="159" customFormat="false" ht="15" hidden="false" customHeight="false" outlineLevel="0" collapsed="false">
      <c r="A159" s="22" t="n">
        <v>222</v>
      </c>
      <c r="B159" s="22" t="s">
        <v>276</v>
      </c>
      <c r="C159" s="22" t="s">
        <v>276</v>
      </c>
      <c r="D159" s="22" t="n">
        <v>860034313</v>
      </c>
      <c r="E159" s="22" t="s">
        <v>1358</v>
      </c>
      <c r="F159" s="23" t="n">
        <v>45288</v>
      </c>
      <c r="G159" s="28" t="n">
        <v>269519680.6</v>
      </c>
      <c r="H159" s="22" t="s">
        <v>1464</v>
      </c>
      <c r="I159" s="22" t="s">
        <v>1465</v>
      </c>
      <c r="J159" s="29" t="s">
        <v>124</v>
      </c>
      <c r="K159" s="22" t="s">
        <v>1468</v>
      </c>
    </row>
    <row r="160" customFormat="false" ht="15" hidden="false" customHeight="false" outlineLevel="0" collapsed="false">
      <c r="A160" s="22" t="n">
        <v>223</v>
      </c>
      <c r="B160" s="22" t="s">
        <v>276</v>
      </c>
      <c r="C160" s="22" t="s">
        <v>276</v>
      </c>
      <c r="D160" s="22" t="n">
        <v>860002964</v>
      </c>
      <c r="E160" s="22" t="s">
        <v>523</v>
      </c>
      <c r="F160" s="23" t="n">
        <v>44561</v>
      </c>
      <c r="G160" s="28" t="n">
        <v>331775058.02</v>
      </c>
      <c r="H160" s="22" t="s">
        <v>1477</v>
      </c>
      <c r="I160" s="22" t="s">
        <v>1478</v>
      </c>
      <c r="J160" s="29" t="s">
        <v>136</v>
      </c>
      <c r="K160" s="22" t="s">
        <v>1468</v>
      </c>
    </row>
    <row r="161" customFormat="false" ht="15" hidden="false" customHeight="false" outlineLevel="0" collapsed="false">
      <c r="A161" s="22" t="n">
        <v>224</v>
      </c>
      <c r="B161" s="22" t="s">
        <v>276</v>
      </c>
      <c r="C161" s="22" t="s">
        <v>276</v>
      </c>
      <c r="D161" s="22" t="n">
        <v>860002964</v>
      </c>
      <c r="E161" s="22" t="s">
        <v>523</v>
      </c>
      <c r="F161" s="23" t="n">
        <v>44561</v>
      </c>
      <c r="G161" s="28" t="n">
        <v>331775058.82</v>
      </c>
      <c r="H161" s="22" t="s">
        <v>1479</v>
      </c>
      <c r="I161" s="22" t="s">
        <v>1480</v>
      </c>
      <c r="J161" s="29" t="s">
        <v>135</v>
      </c>
      <c r="K161" s="22" t="s">
        <v>1468</v>
      </c>
    </row>
    <row r="162" customFormat="false" ht="15" hidden="false" customHeight="false" outlineLevel="0" collapsed="false">
      <c r="A162" s="22" t="n">
        <v>225</v>
      </c>
      <c r="B162" s="22" t="s">
        <v>276</v>
      </c>
      <c r="C162" s="22" t="s">
        <v>276</v>
      </c>
      <c r="D162" s="22" t="n">
        <v>860002964</v>
      </c>
      <c r="E162" s="22" t="s">
        <v>523</v>
      </c>
      <c r="F162" s="23" t="n">
        <v>45716</v>
      </c>
      <c r="G162" s="28" t="n">
        <v>459771023.88</v>
      </c>
      <c r="H162" s="22" t="s">
        <v>1481</v>
      </c>
      <c r="I162" s="22" t="s">
        <v>1482</v>
      </c>
      <c r="J162" s="29" t="s">
        <v>134</v>
      </c>
      <c r="K162" s="22" t="s">
        <v>1468</v>
      </c>
    </row>
    <row r="163" customFormat="false" ht="15" hidden="false" customHeight="false" outlineLevel="0" collapsed="false">
      <c r="A163" s="22" t="n">
        <v>226</v>
      </c>
      <c r="B163" s="22" t="s">
        <v>276</v>
      </c>
      <c r="C163" s="22" t="s">
        <v>276</v>
      </c>
      <c r="D163" s="22" t="n">
        <v>860002964</v>
      </c>
      <c r="E163" s="22" t="s">
        <v>523</v>
      </c>
      <c r="F163" s="23" t="n">
        <v>45716</v>
      </c>
      <c r="G163" s="28" t="n">
        <v>459771023.86</v>
      </c>
      <c r="H163" s="22" t="s">
        <v>1483</v>
      </c>
      <c r="I163" s="22" t="s">
        <v>1484</v>
      </c>
      <c r="J163" s="29" t="s">
        <v>133</v>
      </c>
      <c r="K163" s="22" t="s">
        <v>1468</v>
      </c>
    </row>
    <row r="164" customFormat="false" ht="15" hidden="false" customHeight="false" outlineLevel="0" collapsed="false">
      <c r="A164" s="22" t="n">
        <v>227</v>
      </c>
      <c r="B164" s="22" t="s">
        <v>276</v>
      </c>
      <c r="C164" s="22" t="s">
        <v>276</v>
      </c>
      <c r="D164" s="22" t="n">
        <v>860002964</v>
      </c>
      <c r="E164" s="22" t="s">
        <v>523</v>
      </c>
      <c r="F164" s="23" t="n">
        <v>45716</v>
      </c>
      <c r="G164" s="28" t="n">
        <v>459866293.13</v>
      </c>
      <c r="H164" s="22" t="s">
        <v>1485</v>
      </c>
      <c r="I164" s="22" t="s">
        <v>1486</v>
      </c>
      <c r="J164" s="29" t="s">
        <v>137</v>
      </c>
      <c r="K164" s="22" t="s">
        <v>1468</v>
      </c>
    </row>
    <row r="165" customFormat="false" ht="15" hidden="false" customHeight="false" outlineLevel="0" collapsed="false">
      <c r="A165" s="22" t="n">
        <v>228</v>
      </c>
      <c r="B165" s="22" t="s">
        <v>276</v>
      </c>
      <c r="C165" s="22" t="s">
        <v>276</v>
      </c>
      <c r="D165" s="22" t="n">
        <v>860002964</v>
      </c>
      <c r="E165" s="22" t="s">
        <v>523</v>
      </c>
      <c r="F165" s="23" t="n">
        <v>45716</v>
      </c>
      <c r="G165" s="28" t="n">
        <v>1170839109.63</v>
      </c>
      <c r="H165" s="22" t="s">
        <v>1487</v>
      </c>
      <c r="I165" s="22" t="s">
        <v>1488</v>
      </c>
      <c r="J165" s="29" t="s">
        <v>138</v>
      </c>
      <c r="K165" s="22" t="s">
        <v>1468</v>
      </c>
    </row>
    <row r="166" customFormat="false" ht="15" hidden="false" customHeight="false" outlineLevel="0" collapsed="false">
      <c r="A166" s="22" t="n">
        <v>229</v>
      </c>
      <c r="B166" s="22" t="s">
        <v>277</v>
      </c>
      <c r="C166" s="22" t="s">
        <v>277</v>
      </c>
      <c r="D166" s="22" t="n">
        <v>860034313</v>
      </c>
      <c r="E166" s="22" t="s">
        <v>1358</v>
      </c>
      <c r="F166" s="23" t="n">
        <v>45961</v>
      </c>
      <c r="G166" s="28" t="n">
        <v>75087500</v>
      </c>
      <c r="H166" s="22" t="s">
        <v>1489</v>
      </c>
      <c r="I166" s="22" t="s">
        <v>1490</v>
      </c>
      <c r="J166" s="29" t="s">
        <v>121</v>
      </c>
      <c r="K166" s="22" t="s">
        <v>1491</v>
      </c>
    </row>
    <row r="167" customFormat="false" ht="15" hidden="false" customHeight="false" outlineLevel="0" collapsed="false">
      <c r="A167" s="22" t="n">
        <v>230</v>
      </c>
      <c r="B167" s="22" t="s">
        <v>277</v>
      </c>
      <c r="C167" s="22" t="s">
        <v>277</v>
      </c>
      <c r="D167" s="22" t="n">
        <v>860034313</v>
      </c>
      <c r="E167" s="22" t="s">
        <v>1358</v>
      </c>
      <c r="F167" s="23" t="n">
        <v>45991</v>
      </c>
      <c r="G167" s="28" t="n">
        <v>77187500</v>
      </c>
      <c r="H167" s="22" t="s">
        <v>1492</v>
      </c>
      <c r="I167" s="22" t="s">
        <v>1490</v>
      </c>
      <c r="J167" s="29" t="s">
        <v>121</v>
      </c>
      <c r="K167" s="22" t="s">
        <v>1491</v>
      </c>
    </row>
    <row r="168" customFormat="false" ht="15" hidden="false" customHeight="false" outlineLevel="0" collapsed="false">
      <c r="A168" s="22" t="n">
        <v>231</v>
      </c>
      <c r="B168" s="22" t="s">
        <v>277</v>
      </c>
      <c r="C168" s="22" t="s">
        <v>277</v>
      </c>
      <c r="D168" s="22" t="n">
        <v>860034313</v>
      </c>
      <c r="E168" s="22" t="s">
        <v>1358</v>
      </c>
      <c r="F168" s="23" t="n">
        <v>46022</v>
      </c>
      <c r="G168" s="28" t="n">
        <v>79081250</v>
      </c>
      <c r="H168" s="22" t="s">
        <v>1493</v>
      </c>
      <c r="I168" s="22" t="s">
        <v>1490</v>
      </c>
      <c r="J168" s="29" t="s">
        <v>121</v>
      </c>
      <c r="K168" s="22" t="s">
        <v>1491</v>
      </c>
    </row>
    <row r="169" customFormat="false" ht="15" hidden="false" customHeight="false" outlineLevel="0" collapsed="false">
      <c r="A169" s="22" t="n">
        <v>232</v>
      </c>
      <c r="B169" s="22" t="s">
        <v>277</v>
      </c>
      <c r="C169" s="22" t="s">
        <v>277</v>
      </c>
      <c r="D169" s="22" t="n">
        <v>860034313</v>
      </c>
      <c r="E169" s="22" t="s">
        <v>1358</v>
      </c>
      <c r="F169" s="23" t="n">
        <v>45961</v>
      </c>
      <c r="G169" s="28" t="n">
        <v>40144500</v>
      </c>
      <c r="H169" s="22" t="s">
        <v>1494</v>
      </c>
      <c r="I169" s="22" t="s">
        <v>1495</v>
      </c>
      <c r="J169" s="29" t="s">
        <v>122</v>
      </c>
      <c r="K169" s="22" t="s">
        <v>1491</v>
      </c>
    </row>
    <row r="170" customFormat="false" ht="15" hidden="false" customHeight="false" outlineLevel="0" collapsed="false">
      <c r="A170" s="22" t="n">
        <v>233</v>
      </c>
      <c r="B170" s="22" t="s">
        <v>277</v>
      </c>
      <c r="C170" s="22" t="s">
        <v>277</v>
      </c>
      <c r="D170" s="22" t="n">
        <v>860034313</v>
      </c>
      <c r="E170" s="22" t="s">
        <v>1358</v>
      </c>
      <c r="F170" s="23" t="n">
        <v>45961</v>
      </c>
      <c r="G170" s="28" t="n">
        <v>78875000</v>
      </c>
      <c r="H170" s="22" t="s">
        <v>1496</v>
      </c>
      <c r="I170" s="22" t="s">
        <v>1495</v>
      </c>
      <c r="J170" s="29" t="s">
        <v>119</v>
      </c>
      <c r="K170" s="22" t="s">
        <v>1491</v>
      </c>
    </row>
    <row r="171" customFormat="false" ht="15" hidden="false" customHeight="false" outlineLevel="0" collapsed="false">
      <c r="A171" s="22" t="n">
        <v>234</v>
      </c>
      <c r="B171" s="22" t="s">
        <v>277</v>
      </c>
      <c r="C171" s="22" t="s">
        <v>277</v>
      </c>
      <c r="D171" s="22" t="n">
        <v>860034313</v>
      </c>
      <c r="E171" s="22" t="s">
        <v>1358</v>
      </c>
      <c r="F171" s="23" t="n">
        <v>45961</v>
      </c>
      <c r="G171" s="28" t="n">
        <v>30412500</v>
      </c>
      <c r="H171" s="22" t="s">
        <v>1497</v>
      </c>
      <c r="I171" s="22" t="s">
        <v>1495</v>
      </c>
      <c r="J171" s="29" t="s">
        <v>120</v>
      </c>
      <c r="K171" s="22" t="s">
        <v>1491</v>
      </c>
    </row>
    <row r="172" customFormat="false" ht="15" hidden="false" customHeight="false" outlineLevel="0" collapsed="false">
      <c r="A172" s="22" t="n">
        <v>235</v>
      </c>
      <c r="B172" s="22" t="s">
        <v>277</v>
      </c>
      <c r="C172" s="22" t="s">
        <v>277</v>
      </c>
      <c r="D172" s="22" t="n">
        <v>890903938</v>
      </c>
      <c r="E172" s="22" t="s">
        <v>386</v>
      </c>
      <c r="F172" s="23" t="n">
        <v>45930</v>
      </c>
      <c r="G172" s="28" t="n">
        <v>43845833</v>
      </c>
      <c r="H172" s="22" t="s">
        <v>1498</v>
      </c>
      <c r="I172" s="22" t="s">
        <v>1499</v>
      </c>
      <c r="J172" s="29" t="s">
        <v>144</v>
      </c>
      <c r="K172" s="22" t="s">
        <v>1491</v>
      </c>
    </row>
    <row r="173" customFormat="false" ht="15" hidden="false" customHeight="false" outlineLevel="0" collapsed="false">
      <c r="A173" s="22" t="n">
        <v>236</v>
      </c>
      <c r="B173" s="22" t="s">
        <v>277</v>
      </c>
      <c r="C173" s="22" t="s">
        <v>277</v>
      </c>
      <c r="D173" s="22" t="n">
        <v>890903938</v>
      </c>
      <c r="E173" s="22" t="s">
        <v>386</v>
      </c>
      <c r="F173" s="23" t="n">
        <v>46022</v>
      </c>
      <c r="G173" s="28" t="n">
        <v>44283333</v>
      </c>
      <c r="H173" s="22" t="s">
        <v>1500</v>
      </c>
      <c r="I173" s="22" t="s">
        <v>1499</v>
      </c>
      <c r="J173" s="29" t="s">
        <v>144</v>
      </c>
      <c r="K173" s="22" t="s">
        <v>1491</v>
      </c>
    </row>
    <row r="174" customFormat="false" ht="15" hidden="false" customHeight="false" outlineLevel="0" collapsed="false">
      <c r="A174" s="22" t="n">
        <v>237</v>
      </c>
      <c r="B174" s="22" t="s">
        <v>277</v>
      </c>
      <c r="C174" s="22" t="s">
        <v>277</v>
      </c>
      <c r="D174" s="22" t="n">
        <v>860002964</v>
      </c>
      <c r="E174" s="22" t="s">
        <v>523</v>
      </c>
      <c r="F174" s="23" t="n">
        <v>46022</v>
      </c>
      <c r="G174" s="28" t="n">
        <v>15408021</v>
      </c>
      <c r="H174" s="22" t="s">
        <v>1501</v>
      </c>
      <c r="I174" s="22" t="s">
        <v>1502</v>
      </c>
      <c r="J174" s="29" t="s">
        <v>131</v>
      </c>
      <c r="K174" s="22" t="s">
        <v>1491</v>
      </c>
    </row>
    <row r="175" customFormat="false" ht="15" hidden="false" customHeight="false" outlineLevel="0" collapsed="false">
      <c r="A175" s="22" t="n">
        <v>238</v>
      </c>
      <c r="B175" s="22" t="s">
        <v>277</v>
      </c>
      <c r="C175" s="22" t="s">
        <v>277</v>
      </c>
      <c r="D175" s="22" t="n">
        <v>860034313</v>
      </c>
      <c r="E175" s="22" t="s">
        <v>1358</v>
      </c>
      <c r="F175" s="23" t="n">
        <v>45930</v>
      </c>
      <c r="G175" s="28" t="n">
        <v>40326000</v>
      </c>
      <c r="H175" s="22" t="s">
        <v>1503</v>
      </c>
      <c r="I175" s="22" t="s">
        <v>1504</v>
      </c>
      <c r="J175" s="29" t="s">
        <v>122</v>
      </c>
      <c r="K175" s="22" t="s">
        <v>1491</v>
      </c>
    </row>
    <row r="176" customFormat="false" ht="15" hidden="false" customHeight="false" outlineLevel="0" collapsed="false">
      <c r="A176" s="22" t="n">
        <v>239</v>
      </c>
      <c r="B176" s="22" t="s">
        <v>277</v>
      </c>
      <c r="C176" s="22" t="s">
        <v>277</v>
      </c>
      <c r="D176" s="22" t="n">
        <v>860034313</v>
      </c>
      <c r="E176" s="22" t="s">
        <v>1358</v>
      </c>
      <c r="F176" s="23" t="n">
        <v>45961</v>
      </c>
      <c r="G176" s="28" t="n">
        <v>40966200</v>
      </c>
      <c r="H176" s="22" t="s">
        <v>1505</v>
      </c>
      <c r="I176" s="22" t="s">
        <v>1504</v>
      </c>
      <c r="J176" s="29" t="s">
        <v>122</v>
      </c>
      <c r="K176" s="22" t="s">
        <v>1491</v>
      </c>
    </row>
    <row r="177" customFormat="false" ht="15" hidden="false" customHeight="false" outlineLevel="0" collapsed="false">
      <c r="A177" s="22" t="n">
        <v>240</v>
      </c>
      <c r="B177" s="22" t="s">
        <v>277</v>
      </c>
      <c r="C177" s="22" t="s">
        <v>277</v>
      </c>
      <c r="D177" s="22" t="n">
        <v>860034313</v>
      </c>
      <c r="E177" s="22" t="s">
        <v>1358</v>
      </c>
      <c r="F177" s="23" t="n">
        <v>45991</v>
      </c>
      <c r="G177" s="28" t="n">
        <v>42075000</v>
      </c>
      <c r="H177" s="22" t="s">
        <v>1506</v>
      </c>
      <c r="I177" s="22" t="s">
        <v>1504</v>
      </c>
      <c r="J177" s="29" t="s">
        <v>122</v>
      </c>
      <c r="K177" s="22" t="s">
        <v>1491</v>
      </c>
    </row>
    <row r="178" customFormat="false" ht="15" hidden="false" customHeight="false" outlineLevel="0" collapsed="false">
      <c r="A178" s="22" t="n">
        <v>241</v>
      </c>
      <c r="B178" s="22" t="s">
        <v>277</v>
      </c>
      <c r="C178" s="22" t="s">
        <v>277</v>
      </c>
      <c r="D178" s="22" t="n">
        <v>860034313</v>
      </c>
      <c r="E178" s="22" t="s">
        <v>1358</v>
      </c>
      <c r="F178" s="23" t="n">
        <v>46022</v>
      </c>
      <c r="G178" s="28" t="n">
        <v>43074900</v>
      </c>
      <c r="H178" s="22" t="s">
        <v>1507</v>
      </c>
      <c r="I178" s="22" t="s">
        <v>1504</v>
      </c>
      <c r="J178" s="29" t="s">
        <v>122</v>
      </c>
      <c r="K178" s="22" t="s">
        <v>1491</v>
      </c>
    </row>
    <row r="179" customFormat="false" ht="15" hidden="false" customHeight="false" outlineLevel="0" collapsed="false">
      <c r="A179" s="22" t="n">
        <v>242</v>
      </c>
      <c r="B179" s="22" t="s">
        <v>277</v>
      </c>
      <c r="C179" s="22" t="s">
        <v>277</v>
      </c>
      <c r="D179" s="22" t="n">
        <v>860034313</v>
      </c>
      <c r="E179" s="22" t="s">
        <v>1358</v>
      </c>
      <c r="F179" s="23" t="n">
        <v>45930</v>
      </c>
      <c r="G179" s="28" t="n">
        <v>79333333</v>
      </c>
      <c r="H179" s="22" t="s">
        <v>1508</v>
      </c>
      <c r="I179" s="22" t="s">
        <v>1360</v>
      </c>
      <c r="J179" s="29" t="s">
        <v>119</v>
      </c>
      <c r="K179" s="22" t="s">
        <v>1491</v>
      </c>
    </row>
    <row r="180" customFormat="false" ht="15" hidden="false" customHeight="false" outlineLevel="0" collapsed="false">
      <c r="A180" s="22" t="n">
        <v>243</v>
      </c>
      <c r="B180" s="22" t="s">
        <v>277</v>
      </c>
      <c r="C180" s="22" t="s">
        <v>277</v>
      </c>
      <c r="D180" s="22" t="n">
        <v>860034313</v>
      </c>
      <c r="E180" s="22" t="s">
        <v>1358</v>
      </c>
      <c r="F180" s="23" t="n">
        <v>45961</v>
      </c>
      <c r="G180" s="28" t="n">
        <v>80950000</v>
      </c>
      <c r="H180" s="22" t="s">
        <v>1509</v>
      </c>
      <c r="I180" s="22" t="s">
        <v>1360</v>
      </c>
      <c r="J180" s="29" t="s">
        <v>119</v>
      </c>
      <c r="K180" s="22" t="s">
        <v>1491</v>
      </c>
    </row>
    <row r="181" customFormat="false" ht="15" hidden="false" customHeight="false" outlineLevel="0" collapsed="false">
      <c r="A181" s="22" t="n">
        <v>244</v>
      </c>
      <c r="B181" s="22" t="s">
        <v>277</v>
      </c>
      <c r="C181" s="22" t="s">
        <v>277</v>
      </c>
      <c r="D181" s="22" t="n">
        <v>860034313</v>
      </c>
      <c r="E181" s="22" t="s">
        <v>1358</v>
      </c>
      <c r="F181" s="23" t="n">
        <v>45991</v>
      </c>
      <c r="G181" s="28" t="n">
        <v>83750000</v>
      </c>
      <c r="H181" s="22" t="s">
        <v>1510</v>
      </c>
      <c r="I181" s="22" t="s">
        <v>1360</v>
      </c>
      <c r="J181" s="29" t="s">
        <v>119</v>
      </c>
      <c r="K181" s="22" t="s">
        <v>1491</v>
      </c>
    </row>
    <row r="182" customFormat="false" ht="15" hidden="false" customHeight="false" outlineLevel="0" collapsed="false">
      <c r="A182" s="22" t="n">
        <v>245</v>
      </c>
      <c r="B182" s="22" t="s">
        <v>277</v>
      </c>
      <c r="C182" s="22" t="s">
        <v>277</v>
      </c>
      <c r="D182" s="22" t="n">
        <v>860034313</v>
      </c>
      <c r="E182" s="22" t="s">
        <v>1358</v>
      </c>
      <c r="F182" s="23" t="n">
        <v>46022</v>
      </c>
      <c r="G182" s="28" t="n">
        <v>86275000</v>
      </c>
      <c r="H182" s="22" t="s">
        <v>1511</v>
      </c>
      <c r="I182" s="22" t="s">
        <v>1360</v>
      </c>
      <c r="J182" s="29" t="s">
        <v>119</v>
      </c>
      <c r="K182" s="22" t="s">
        <v>1491</v>
      </c>
    </row>
    <row r="183" customFormat="false" ht="15" hidden="false" customHeight="false" outlineLevel="0" collapsed="false">
      <c r="A183" s="22" t="n">
        <v>246</v>
      </c>
      <c r="B183" s="22" t="s">
        <v>277</v>
      </c>
      <c r="C183" s="22" t="s">
        <v>277</v>
      </c>
      <c r="D183" s="22" t="n">
        <v>860034313</v>
      </c>
      <c r="E183" s="22" t="s">
        <v>1358</v>
      </c>
      <c r="F183" s="23" t="n">
        <v>45930</v>
      </c>
      <c r="G183" s="28" t="n">
        <v>30550000</v>
      </c>
      <c r="H183" s="22" t="s">
        <v>1512</v>
      </c>
      <c r="I183" s="22" t="s">
        <v>1513</v>
      </c>
      <c r="J183" s="29" t="s">
        <v>120</v>
      </c>
      <c r="K183" s="22" t="s">
        <v>1491</v>
      </c>
    </row>
    <row r="184" customFormat="false" ht="15" hidden="false" customHeight="false" outlineLevel="0" collapsed="false">
      <c r="A184" s="22" t="n">
        <v>247</v>
      </c>
      <c r="B184" s="22" t="s">
        <v>277</v>
      </c>
      <c r="C184" s="22" t="s">
        <v>277</v>
      </c>
      <c r="D184" s="22" t="n">
        <v>860034313</v>
      </c>
      <c r="E184" s="22" t="s">
        <v>1358</v>
      </c>
      <c r="F184" s="23" t="n">
        <v>45961</v>
      </c>
      <c r="G184" s="28" t="n">
        <v>31035000</v>
      </c>
      <c r="H184" s="22" t="s">
        <v>1514</v>
      </c>
      <c r="I184" s="22" t="s">
        <v>1513</v>
      </c>
      <c r="J184" s="29" t="s">
        <v>120</v>
      </c>
      <c r="K184" s="22" t="s">
        <v>1491</v>
      </c>
    </row>
    <row r="185" customFormat="false" ht="15" hidden="false" customHeight="false" outlineLevel="0" collapsed="false">
      <c r="A185" s="22" t="n">
        <v>248</v>
      </c>
      <c r="B185" s="22" t="s">
        <v>277</v>
      </c>
      <c r="C185" s="22" t="s">
        <v>277</v>
      </c>
      <c r="D185" s="22" t="n">
        <v>860034313</v>
      </c>
      <c r="E185" s="22" t="s">
        <v>1358</v>
      </c>
      <c r="F185" s="23" t="n">
        <v>45991</v>
      </c>
      <c r="G185" s="28" t="n">
        <v>31875000</v>
      </c>
      <c r="H185" s="22" t="s">
        <v>1515</v>
      </c>
      <c r="I185" s="22" t="s">
        <v>1513</v>
      </c>
      <c r="J185" s="29" t="s">
        <v>120</v>
      </c>
      <c r="K185" s="22" t="s">
        <v>1491</v>
      </c>
    </row>
    <row r="186" customFormat="false" ht="15" hidden="false" customHeight="false" outlineLevel="0" collapsed="false">
      <c r="A186" s="22" t="n">
        <v>249</v>
      </c>
      <c r="B186" s="22" t="s">
        <v>277</v>
      </c>
      <c r="C186" s="22" t="s">
        <v>277</v>
      </c>
      <c r="D186" s="22" t="n">
        <v>860034313</v>
      </c>
      <c r="E186" s="22" t="s">
        <v>1358</v>
      </c>
      <c r="F186" s="23" t="n">
        <v>46022</v>
      </c>
      <c r="G186" s="28" t="n">
        <v>32632500</v>
      </c>
      <c r="H186" s="22" t="s">
        <v>1516</v>
      </c>
      <c r="I186" s="22" t="s">
        <v>1513</v>
      </c>
      <c r="J186" s="29" t="s">
        <v>120</v>
      </c>
      <c r="K186" s="22" t="s">
        <v>1491</v>
      </c>
    </row>
    <row r="187" customFormat="false" ht="15" hidden="false" customHeight="false" outlineLevel="0" collapsed="false">
      <c r="A187" s="22" t="n">
        <v>250</v>
      </c>
      <c r="B187" s="22" t="s">
        <v>278</v>
      </c>
      <c r="C187" s="22" t="s">
        <v>278</v>
      </c>
      <c r="D187" s="22" t="n">
        <v>860034313</v>
      </c>
      <c r="E187" s="22" t="s">
        <v>1358</v>
      </c>
      <c r="F187" s="23" t="n">
        <v>45991</v>
      </c>
      <c r="G187" s="28" t="n">
        <v>17147812</v>
      </c>
      <c r="H187" s="22" t="s">
        <v>1517</v>
      </c>
      <c r="I187" s="22" t="s">
        <v>1518</v>
      </c>
      <c r="J187" s="29" t="s">
        <v>125</v>
      </c>
      <c r="K187" s="22" t="s">
        <v>1519</v>
      </c>
    </row>
    <row r="188" customFormat="false" ht="15" hidden="false" customHeight="false" outlineLevel="0" collapsed="false">
      <c r="A188" s="22" t="n">
        <v>251</v>
      </c>
      <c r="B188" s="22" t="s">
        <v>278</v>
      </c>
      <c r="C188" s="22" t="s">
        <v>278</v>
      </c>
      <c r="D188" s="22" t="n">
        <v>860034313</v>
      </c>
      <c r="E188" s="22" t="s">
        <v>1358</v>
      </c>
      <c r="F188" s="23" t="n">
        <v>46022</v>
      </c>
      <c r="G188" s="28" t="n">
        <v>17147812</v>
      </c>
      <c r="H188" s="22" t="s">
        <v>1520</v>
      </c>
      <c r="I188" s="22" t="s">
        <v>1518</v>
      </c>
      <c r="J188" s="29" t="s">
        <v>125</v>
      </c>
      <c r="K188" s="22" t="s">
        <v>1519</v>
      </c>
    </row>
    <row r="189" customFormat="false" ht="15" hidden="false" customHeight="false" outlineLevel="0" collapsed="false">
      <c r="A189" s="22" t="n">
        <v>252</v>
      </c>
      <c r="B189" s="22" t="s">
        <v>278</v>
      </c>
      <c r="C189" s="22" t="s">
        <v>278</v>
      </c>
      <c r="D189" s="22" t="n">
        <v>860002964</v>
      </c>
      <c r="E189" s="22" t="s">
        <v>523</v>
      </c>
      <c r="F189" s="23" t="n">
        <v>45930</v>
      </c>
      <c r="G189" s="28" t="n">
        <v>12285632</v>
      </c>
      <c r="H189" s="22" t="s">
        <v>1521</v>
      </c>
      <c r="I189" s="22" t="s">
        <v>1522</v>
      </c>
      <c r="J189" s="29" t="s">
        <v>138</v>
      </c>
      <c r="K189" s="22" t="s">
        <v>1519</v>
      </c>
    </row>
    <row r="190" customFormat="false" ht="15" hidden="false" customHeight="false" outlineLevel="0" collapsed="false">
      <c r="A190" s="22" t="n">
        <v>253</v>
      </c>
      <c r="B190" s="22" t="s">
        <v>278</v>
      </c>
      <c r="C190" s="22" t="s">
        <v>278</v>
      </c>
      <c r="D190" s="22" t="n">
        <v>860002964</v>
      </c>
      <c r="E190" s="22" t="s">
        <v>523</v>
      </c>
      <c r="F190" s="23" t="n">
        <v>46022</v>
      </c>
      <c r="G190" s="28" t="n">
        <v>12285632</v>
      </c>
      <c r="H190" s="22" t="s">
        <v>1523</v>
      </c>
      <c r="I190" s="22" t="s">
        <v>1522</v>
      </c>
      <c r="J190" s="29" t="s">
        <v>138</v>
      </c>
      <c r="K190" s="22" t="s">
        <v>1519</v>
      </c>
    </row>
    <row r="191" customFormat="false" ht="15" hidden="false" customHeight="false" outlineLevel="0" collapsed="false">
      <c r="A191" s="22" t="n">
        <v>254</v>
      </c>
      <c r="B191" s="22" t="s">
        <v>278</v>
      </c>
      <c r="C191" s="22" t="s">
        <v>278</v>
      </c>
      <c r="D191" s="22" t="n">
        <v>860002964</v>
      </c>
      <c r="E191" s="22" t="s">
        <v>523</v>
      </c>
      <c r="F191" s="23" t="n">
        <v>45930</v>
      </c>
      <c r="G191" s="28" t="n">
        <v>526399</v>
      </c>
      <c r="H191" s="22" t="s">
        <v>1524</v>
      </c>
      <c r="I191" s="22" t="s">
        <v>1525</v>
      </c>
      <c r="J191" s="29" t="s">
        <v>136</v>
      </c>
      <c r="K191" s="22" t="s">
        <v>1519</v>
      </c>
    </row>
    <row r="192" customFormat="false" ht="15" hidden="false" customHeight="false" outlineLevel="0" collapsed="false">
      <c r="A192" s="22" t="n">
        <v>255</v>
      </c>
      <c r="B192" s="22" t="s">
        <v>278</v>
      </c>
      <c r="C192" s="22" t="s">
        <v>278</v>
      </c>
      <c r="D192" s="22" t="n">
        <v>860002964</v>
      </c>
      <c r="E192" s="22" t="s">
        <v>523</v>
      </c>
      <c r="F192" s="23" t="n">
        <v>46022</v>
      </c>
      <c r="G192" s="28" t="n">
        <v>526399</v>
      </c>
      <c r="H192" s="22" t="s">
        <v>1526</v>
      </c>
      <c r="I192" s="22" t="s">
        <v>1525</v>
      </c>
      <c r="J192" s="29" t="s">
        <v>136</v>
      </c>
      <c r="K192" s="22" t="s">
        <v>1519</v>
      </c>
    </row>
    <row r="193" customFormat="false" ht="15" hidden="false" customHeight="false" outlineLevel="0" collapsed="false">
      <c r="A193" s="22" t="n">
        <v>256</v>
      </c>
      <c r="B193" s="22" t="s">
        <v>278</v>
      </c>
      <c r="C193" s="22" t="s">
        <v>278</v>
      </c>
      <c r="D193" s="22" t="n">
        <v>860002964</v>
      </c>
      <c r="E193" s="22" t="s">
        <v>523</v>
      </c>
      <c r="F193" s="23" t="n">
        <v>45930</v>
      </c>
      <c r="G193" s="28" t="n">
        <v>526399</v>
      </c>
      <c r="H193" s="22" t="s">
        <v>1527</v>
      </c>
      <c r="I193" s="22" t="s">
        <v>1528</v>
      </c>
      <c r="J193" s="29" t="s">
        <v>135</v>
      </c>
      <c r="K193" s="22" t="s">
        <v>1519</v>
      </c>
    </row>
    <row r="194" customFormat="false" ht="15" hidden="false" customHeight="false" outlineLevel="0" collapsed="false">
      <c r="A194" s="22" t="n">
        <v>257</v>
      </c>
      <c r="B194" s="22" t="s">
        <v>278</v>
      </c>
      <c r="C194" s="22" t="s">
        <v>278</v>
      </c>
      <c r="D194" s="22" t="n">
        <v>860002964</v>
      </c>
      <c r="E194" s="22" t="s">
        <v>523</v>
      </c>
      <c r="F194" s="23" t="n">
        <v>46022</v>
      </c>
      <c r="G194" s="28" t="n">
        <v>526399</v>
      </c>
      <c r="H194" s="22" t="s">
        <v>1529</v>
      </c>
      <c r="I194" s="22" t="s">
        <v>1528</v>
      </c>
      <c r="J194" s="29" t="s">
        <v>135</v>
      </c>
      <c r="K194" s="22" t="s">
        <v>1519</v>
      </c>
    </row>
    <row r="195" customFormat="false" ht="15" hidden="false" customHeight="false" outlineLevel="0" collapsed="false">
      <c r="A195" s="22" t="n">
        <v>258</v>
      </c>
      <c r="B195" s="22" t="s">
        <v>278</v>
      </c>
      <c r="C195" s="22" t="s">
        <v>278</v>
      </c>
      <c r="D195" s="22" t="n">
        <v>860002964</v>
      </c>
      <c r="E195" s="22" t="s">
        <v>523</v>
      </c>
      <c r="F195" s="23" t="n">
        <v>45930</v>
      </c>
      <c r="G195" s="28" t="n">
        <v>5317945</v>
      </c>
      <c r="H195" s="22" t="s">
        <v>1530</v>
      </c>
      <c r="I195" s="22" t="s">
        <v>1531</v>
      </c>
      <c r="J195" s="29" t="s">
        <v>134</v>
      </c>
      <c r="K195" s="22" t="s">
        <v>1519</v>
      </c>
    </row>
    <row r="196" customFormat="false" ht="15" hidden="false" customHeight="false" outlineLevel="0" collapsed="false">
      <c r="A196" s="22" t="n">
        <v>259</v>
      </c>
      <c r="B196" s="22" t="s">
        <v>278</v>
      </c>
      <c r="C196" s="22" t="s">
        <v>278</v>
      </c>
      <c r="D196" s="22" t="n">
        <v>860002964</v>
      </c>
      <c r="E196" s="22" t="s">
        <v>523</v>
      </c>
      <c r="F196" s="23" t="n">
        <v>46022</v>
      </c>
      <c r="G196" s="28" t="n">
        <v>5317945</v>
      </c>
      <c r="H196" s="22" t="s">
        <v>1532</v>
      </c>
      <c r="I196" s="22" t="s">
        <v>1531</v>
      </c>
      <c r="J196" s="29" t="s">
        <v>134</v>
      </c>
      <c r="K196" s="22" t="s">
        <v>1519</v>
      </c>
    </row>
    <row r="197" customFormat="false" ht="15" hidden="false" customHeight="false" outlineLevel="0" collapsed="false">
      <c r="A197" s="22" t="n">
        <v>260</v>
      </c>
      <c r="B197" s="22" t="s">
        <v>278</v>
      </c>
      <c r="C197" s="22" t="s">
        <v>278</v>
      </c>
      <c r="D197" s="22" t="n">
        <v>860002964</v>
      </c>
      <c r="E197" s="22" t="s">
        <v>523</v>
      </c>
      <c r="F197" s="23" t="n">
        <v>45930</v>
      </c>
      <c r="G197" s="28" t="n">
        <v>5317945</v>
      </c>
      <c r="H197" s="22" t="s">
        <v>1533</v>
      </c>
      <c r="I197" s="22" t="s">
        <v>1534</v>
      </c>
      <c r="J197" s="29" t="s">
        <v>133</v>
      </c>
      <c r="K197" s="22" t="s">
        <v>1519</v>
      </c>
    </row>
    <row r="198" customFormat="false" ht="15" hidden="false" customHeight="false" outlineLevel="0" collapsed="false">
      <c r="A198" s="22" t="n">
        <v>261</v>
      </c>
      <c r="B198" s="22" t="s">
        <v>278</v>
      </c>
      <c r="C198" s="22" t="s">
        <v>278</v>
      </c>
      <c r="D198" s="22" t="n">
        <v>860002964</v>
      </c>
      <c r="E198" s="22" t="s">
        <v>523</v>
      </c>
      <c r="F198" s="23" t="n">
        <v>46022</v>
      </c>
      <c r="G198" s="28" t="n">
        <v>5317945</v>
      </c>
      <c r="H198" s="22" t="s">
        <v>1535</v>
      </c>
      <c r="I198" s="22" t="s">
        <v>1534</v>
      </c>
      <c r="J198" s="29" t="s">
        <v>133</v>
      </c>
      <c r="K198" s="22" t="s">
        <v>1519</v>
      </c>
    </row>
    <row r="199" customFormat="false" ht="15" hidden="false" customHeight="false" outlineLevel="0" collapsed="false">
      <c r="A199" s="22" t="n">
        <v>262</v>
      </c>
      <c r="B199" s="22" t="s">
        <v>278</v>
      </c>
      <c r="C199" s="22" t="s">
        <v>278</v>
      </c>
      <c r="D199" s="22" t="n">
        <v>860002964</v>
      </c>
      <c r="E199" s="22" t="s">
        <v>523</v>
      </c>
      <c r="F199" s="23" t="n">
        <v>45930</v>
      </c>
      <c r="G199" s="28" t="n">
        <v>5405125</v>
      </c>
      <c r="H199" s="22" t="s">
        <v>1536</v>
      </c>
      <c r="I199" s="22" t="s">
        <v>1537</v>
      </c>
      <c r="J199" s="29" t="s">
        <v>137</v>
      </c>
      <c r="K199" s="22" t="s">
        <v>1519</v>
      </c>
    </row>
    <row r="200" customFormat="false" ht="15" hidden="false" customHeight="false" outlineLevel="0" collapsed="false">
      <c r="A200" s="22" t="n">
        <v>263</v>
      </c>
      <c r="B200" s="22" t="s">
        <v>278</v>
      </c>
      <c r="C200" s="22" t="s">
        <v>278</v>
      </c>
      <c r="D200" s="22" t="n">
        <v>860002964</v>
      </c>
      <c r="E200" s="22" t="s">
        <v>523</v>
      </c>
      <c r="F200" s="23" t="n">
        <v>46022</v>
      </c>
      <c r="G200" s="28" t="n">
        <v>5405125</v>
      </c>
      <c r="H200" s="22" t="s">
        <v>1538</v>
      </c>
      <c r="I200" s="22" t="s">
        <v>1537</v>
      </c>
      <c r="J200" s="29" t="s">
        <v>137</v>
      </c>
      <c r="K200" s="22" t="s">
        <v>1519</v>
      </c>
    </row>
    <row r="201" customFormat="false" ht="15" hidden="false" customHeight="false" outlineLevel="0" collapsed="false">
      <c r="E201" s="36" t="s">
        <v>101</v>
      </c>
      <c r="G201" s="52" t="n">
        <f aca="false">SUM(G5:G200)</f>
        <v>50662748875.76</v>
      </c>
    </row>
    <row r="203" customFormat="false" ht="15" hidden="false" customHeight="false" outlineLevel="0" collapsed="false">
      <c r="A203" s="21" t="s">
        <v>1539</v>
      </c>
    </row>
    <row r="204" customFormat="false" ht="30" hidden="false" customHeight="true" outlineLevel="0" collapsed="false">
      <c r="A204" s="27"/>
      <c r="B204" s="27" t="s">
        <v>168</v>
      </c>
      <c r="C204" s="27"/>
      <c r="D204" s="27"/>
      <c r="E204" s="27" t="s">
        <v>105</v>
      </c>
      <c r="F204" s="27"/>
      <c r="G204" s="27" t="s">
        <v>1540</v>
      </c>
      <c r="H204" s="27" t="s">
        <v>1541</v>
      </c>
      <c r="I204" s="27" t="s">
        <v>157</v>
      </c>
    </row>
    <row r="205" customFormat="false" ht="15" hidden="false" customHeight="false" outlineLevel="0" collapsed="false">
      <c r="B205" s="22" t="s">
        <v>273</v>
      </c>
      <c r="E205" s="22" t="s">
        <v>1542</v>
      </c>
      <c r="G205" s="28" t="n">
        <f aca="false">SUMIFS($G$5:$G$200,$C$5:$C$200,B205)</f>
        <v>17938333333</v>
      </c>
      <c r="H205" s="28" t="n">
        <f aca="false">-Balance_21!$C$16</f>
        <v>17938333333</v>
      </c>
      <c r="I205" s="28" t="n">
        <f aca="false">G205-H205</f>
        <v>0</v>
      </c>
    </row>
    <row r="206" customFormat="false" ht="15" hidden="false" customHeight="false" outlineLevel="0" collapsed="false">
      <c r="B206" s="22" t="s">
        <v>274</v>
      </c>
      <c r="E206" s="22" t="s">
        <v>1543</v>
      </c>
      <c r="G206" s="28" t="n">
        <f aca="false">SUMIFS($G$5:$G$200,$C$5:$C$200,B206)</f>
        <v>23368333333</v>
      </c>
      <c r="H206" s="28" t="n">
        <f aca="false">-Balance_21!$C$18</f>
        <v>23368333333</v>
      </c>
      <c r="I206" s="28" t="n">
        <f aca="false">G206-H206</f>
        <v>0</v>
      </c>
    </row>
    <row r="207" customFormat="false" ht="15" hidden="false" customHeight="false" outlineLevel="0" collapsed="false">
      <c r="B207" s="22" t="s">
        <v>98</v>
      </c>
      <c r="E207" s="22" t="s">
        <v>1544</v>
      </c>
      <c r="G207" s="28" t="n">
        <f aca="false">SUMIFS($G$5:$G$200,$C$5:$C$200,B207)</f>
        <v>25364582.42</v>
      </c>
      <c r="H207" s="28" t="n">
        <f aca="false">-Balance_21!$C$19</f>
        <v>25364582.42</v>
      </c>
      <c r="I207" s="28" t="n">
        <f aca="false">G207-H207</f>
        <v>0</v>
      </c>
    </row>
    <row r="208" customFormat="false" ht="15" hidden="false" customHeight="false" outlineLevel="0" collapsed="false">
      <c r="B208" s="22" t="s">
        <v>275</v>
      </c>
      <c r="E208" s="22" t="s">
        <v>1545</v>
      </c>
      <c r="G208" s="28" t="n">
        <f aca="false">SUMIFS($G$5:$G$200,$C$5:$C$200,B208)</f>
        <v>585880191.4</v>
      </c>
      <c r="H208" s="28" t="n">
        <f aca="false">-Balance_21!$C$22</f>
        <v>585880191.4</v>
      </c>
      <c r="I208" s="28" t="n">
        <f aca="false">G208-H208</f>
        <v>0</v>
      </c>
    </row>
    <row r="209" customFormat="false" ht="15" hidden="false" customHeight="false" outlineLevel="0" collapsed="false">
      <c r="B209" s="22" t="s">
        <v>276</v>
      </c>
      <c r="E209" s="22" t="s">
        <v>1546</v>
      </c>
      <c r="G209" s="28" t="n">
        <f aca="false">SUMIFS($G$5:$G$200,$C$5:$C$200,B209)</f>
        <v>7544614551.94</v>
      </c>
      <c r="H209" s="28" t="n">
        <f aca="false">-Balance_21!$C$24</f>
        <v>7544614551.94</v>
      </c>
      <c r="I209" s="28" t="n">
        <f aca="false">G209-H209</f>
        <v>0</v>
      </c>
    </row>
    <row r="210" customFormat="false" ht="15" hidden="false" customHeight="false" outlineLevel="0" collapsed="false">
      <c r="B210" s="22" t="s">
        <v>277</v>
      </c>
      <c r="E210" s="22" t="s">
        <v>1547</v>
      </c>
      <c r="G210" s="28" t="n">
        <f aca="false">SUMIFS($G$5:$G$200,$C$5:$C$200,B210)</f>
        <v>1107168370</v>
      </c>
      <c r="H210" s="28" t="n">
        <f aca="false">-Balance_21!$C$27</f>
        <v>1107168370</v>
      </c>
      <c r="I210" s="28" t="n">
        <f aca="false">G210-H210</f>
        <v>0</v>
      </c>
    </row>
    <row r="211" customFormat="false" ht="15" hidden="false" customHeight="false" outlineLevel="0" collapsed="false">
      <c r="B211" s="22" t="s">
        <v>278</v>
      </c>
      <c r="E211" s="22" t="s">
        <v>1548</v>
      </c>
      <c r="G211" s="28" t="n">
        <f aca="false">SUMIFS($G$5:$G$200,$C$5:$C$200,B211)</f>
        <v>93054514</v>
      </c>
      <c r="H211" s="28" t="n">
        <f aca="false">-Balance_21!$C$28</f>
        <v>93054514</v>
      </c>
      <c r="I211" s="28" t="n">
        <f aca="false">G211-H211</f>
        <v>0</v>
      </c>
    </row>
    <row r="212" customFormat="false" ht="15" hidden="false" customHeight="false" outlineLevel="0" collapsed="false">
      <c r="E212" s="29" t="s">
        <v>1549</v>
      </c>
      <c r="G212" s="28" t="n">
        <f aca="false">COUNTIF($J$5:$J$200,"SIN-ID")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7" min="5" style="0" width="16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1" min="11" style="0" width="22"/>
    <col collapsed="false" customWidth="true" hidden="false" outlineLevel="0" max="12" min="12" style="0" width="60"/>
    <col collapsed="false" customWidth="true" hidden="false" outlineLevel="0" max="13" min="13" style="0" width="13"/>
    <col collapsed="false" customWidth="true" hidden="false" outlineLevel="0" max="14" min="14" style="0" width="17"/>
    <col collapsed="false" customWidth="true" hidden="false" outlineLevel="0" max="15" min="15" style="0" width="21"/>
    <col collapsed="false" customWidth="true" hidden="false" outlineLevel="0" max="16" min="16" style="0" width="20"/>
  </cols>
  <sheetData>
    <row r="1" customFormat="false" ht="15" hidden="false" customHeight="false" outlineLevel="0" collapsed="false">
      <c r="A1" s="19" t="s">
        <v>1550</v>
      </c>
    </row>
    <row r="2" customFormat="false" ht="15" hidden="false" customHeight="false" outlineLevel="0" collapsed="false">
      <c r="A2" s="20" t="s">
        <v>1551</v>
      </c>
    </row>
    <row r="4" customFormat="false" ht="30" hidden="false" customHeight="true" outlineLevel="0" collapsed="false">
      <c r="A4" s="27" t="s">
        <v>1552</v>
      </c>
      <c r="B4" s="27" t="s">
        <v>168</v>
      </c>
      <c r="C4" s="27" t="s">
        <v>1553</v>
      </c>
      <c r="D4" s="27" t="s">
        <v>1554</v>
      </c>
      <c r="E4" s="27" t="s">
        <v>169</v>
      </c>
      <c r="F4" s="27" t="s">
        <v>170</v>
      </c>
      <c r="G4" s="27" t="s">
        <v>1555</v>
      </c>
      <c r="H4" s="27" t="s">
        <v>396</v>
      </c>
      <c r="I4" s="27" t="s">
        <v>1346</v>
      </c>
      <c r="J4" s="27" t="s">
        <v>1556</v>
      </c>
      <c r="K4" s="27" t="s">
        <v>315</v>
      </c>
      <c r="L4" s="27" t="s">
        <v>105</v>
      </c>
      <c r="M4" s="27" t="s">
        <v>1557</v>
      </c>
      <c r="N4" s="27" t="s">
        <v>1558</v>
      </c>
      <c r="O4" s="27" t="s">
        <v>1353</v>
      </c>
      <c r="P4" s="27" t="s">
        <v>1559</v>
      </c>
    </row>
    <row r="5" customFormat="false" ht="15" hidden="false" customHeight="false" outlineLevel="0" collapsed="false">
      <c r="A5" s="22" t="n">
        <v>2</v>
      </c>
      <c r="B5" s="22" t="s">
        <v>273</v>
      </c>
      <c r="C5" s="22" t="s">
        <v>1542</v>
      </c>
      <c r="D5" s="22" t="s">
        <v>1361</v>
      </c>
      <c r="E5" s="28" t="n">
        <v>4700000000</v>
      </c>
      <c r="F5" s="28" t="n">
        <v>4700000000</v>
      </c>
      <c r="G5" s="28" t="n">
        <f aca="false">E5-F5</f>
        <v>0</v>
      </c>
      <c r="H5" s="23" t="n">
        <v>46203</v>
      </c>
      <c r="I5" s="22" t="s">
        <v>1560</v>
      </c>
      <c r="J5" s="22" t="s">
        <v>1561</v>
      </c>
      <c r="K5" s="22" t="s">
        <v>1562</v>
      </c>
      <c r="L5" s="22" t="s">
        <v>1563</v>
      </c>
      <c r="M5" s="22" t="s">
        <v>1564</v>
      </c>
      <c r="N5" s="29" t="s">
        <v>142</v>
      </c>
      <c r="O5" s="22" t="s">
        <v>1356</v>
      </c>
      <c r="P5" s="22" t="s">
        <v>1565</v>
      </c>
    </row>
    <row r="6" customFormat="false" ht="15" hidden="false" customHeight="false" outlineLevel="0" collapsed="false">
      <c r="A6" s="22" t="n">
        <v>3</v>
      </c>
      <c r="B6" s="22" t="s">
        <v>273</v>
      </c>
      <c r="C6" s="22" t="s">
        <v>1542</v>
      </c>
      <c r="D6" s="22" t="s">
        <v>1358</v>
      </c>
      <c r="E6" s="28" t="n">
        <v>10000000000</v>
      </c>
      <c r="F6" s="28" t="n">
        <v>0</v>
      </c>
      <c r="G6" s="28" t="n">
        <f aca="false">E6-F6</f>
        <v>10000000000</v>
      </c>
      <c r="H6" s="23" t="n">
        <v>46050</v>
      </c>
      <c r="I6" s="22" t="s">
        <v>1566</v>
      </c>
      <c r="J6" s="22" t="s">
        <v>1567</v>
      </c>
      <c r="K6" s="22" t="s">
        <v>1568</v>
      </c>
      <c r="L6" s="22" t="s">
        <v>1569</v>
      </c>
      <c r="M6" s="22" t="s">
        <v>1564</v>
      </c>
      <c r="N6" s="29" t="s">
        <v>119</v>
      </c>
      <c r="O6" s="22" t="s">
        <v>1356</v>
      </c>
      <c r="P6" s="22" t="s">
        <v>1570</v>
      </c>
    </row>
    <row r="7" customFormat="false" ht="15" hidden="false" customHeight="false" outlineLevel="0" collapsed="false">
      <c r="A7" s="22" t="n">
        <v>4</v>
      </c>
      <c r="B7" s="22" t="s">
        <v>273</v>
      </c>
      <c r="C7" s="22" t="s">
        <v>1542</v>
      </c>
      <c r="D7" s="22" t="s">
        <v>523</v>
      </c>
      <c r="E7" s="28" t="n">
        <v>0</v>
      </c>
      <c r="F7" s="28" t="n">
        <v>10000000000</v>
      </c>
      <c r="G7" s="28" t="n">
        <f aca="false">E7-F7</f>
        <v>-10000000000</v>
      </c>
      <c r="H7" s="23" t="n">
        <v>46050</v>
      </c>
      <c r="I7" s="22" t="s">
        <v>1566</v>
      </c>
      <c r="J7" s="22" t="s">
        <v>1567</v>
      </c>
      <c r="K7" s="22" t="s">
        <v>1568</v>
      </c>
      <c r="L7" s="22" t="s">
        <v>1569</v>
      </c>
      <c r="M7" s="22" t="s">
        <v>1564</v>
      </c>
      <c r="N7" s="29" t="s">
        <v>132</v>
      </c>
      <c r="O7" s="22" t="s">
        <v>1356</v>
      </c>
      <c r="P7" s="22" t="s">
        <v>1571</v>
      </c>
    </row>
    <row r="8" customFormat="false" ht="15" hidden="false" customHeight="false" outlineLevel="0" collapsed="false">
      <c r="A8" s="22" t="n">
        <v>5</v>
      </c>
      <c r="B8" s="22" t="s">
        <v>273</v>
      </c>
      <c r="C8" s="22" t="s">
        <v>1542</v>
      </c>
      <c r="D8" s="22" t="s">
        <v>523</v>
      </c>
      <c r="E8" s="28" t="n">
        <v>10000000000</v>
      </c>
      <c r="F8" s="28" t="n">
        <v>10000000000</v>
      </c>
      <c r="G8" s="28" t="n">
        <f aca="false">E8-F8</f>
        <v>0</v>
      </c>
      <c r="H8" s="23" t="n">
        <v>46232</v>
      </c>
      <c r="I8" s="22" t="s">
        <v>1566</v>
      </c>
      <c r="J8" s="22" t="s">
        <v>1572</v>
      </c>
      <c r="K8" s="22" t="s">
        <v>1568</v>
      </c>
      <c r="L8" s="22" t="s">
        <v>1573</v>
      </c>
      <c r="M8" s="22" t="s">
        <v>1564</v>
      </c>
      <c r="N8" s="29" t="s">
        <v>132</v>
      </c>
      <c r="O8" s="22" t="s">
        <v>1356</v>
      </c>
      <c r="P8" s="22" t="s">
        <v>1565</v>
      </c>
    </row>
    <row r="9" customFormat="false" ht="15" hidden="false" customHeight="false" outlineLevel="0" collapsed="false">
      <c r="A9" s="22" t="n">
        <v>6</v>
      </c>
      <c r="B9" s="22" t="s">
        <v>274</v>
      </c>
      <c r="C9" s="22" t="s">
        <v>1543</v>
      </c>
      <c r="D9" s="22" t="s">
        <v>523</v>
      </c>
      <c r="E9" s="28" t="n">
        <v>62500000</v>
      </c>
      <c r="F9" s="28" t="n">
        <v>0</v>
      </c>
      <c r="G9" s="28" t="n">
        <f aca="false">E9-F9</f>
        <v>62500000</v>
      </c>
      <c r="H9" s="23" t="n">
        <v>46050</v>
      </c>
      <c r="I9" s="22" t="s">
        <v>1566</v>
      </c>
      <c r="J9" s="22" t="s">
        <v>1574</v>
      </c>
      <c r="K9" s="22" t="s">
        <v>1575</v>
      </c>
      <c r="L9" s="22" t="s">
        <v>1576</v>
      </c>
      <c r="M9" s="22" t="s">
        <v>1577</v>
      </c>
      <c r="N9" s="29" t="s">
        <v>129</v>
      </c>
      <c r="O9" s="22" t="s">
        <v>1369</v>
      </c>
      <c r="P9" s="22" t="s">
        <v>1570</v>
      </c>
    </row>
    <row r="10" customFormat="false" ht="15" hidden="false" customHeight="false" outlineLevel="0" collapsed="false">
      <c r="A10" s="22" t="n">
        <v>7</v>
      </c>
      <c r="B10" s="22" t="s">
        <v>274</v>
      </c>
      <c r="C10" s="22" t="s">
        <v>1543</v>
      </c>
      <c r="D10" s="22" t="s">
        <v>523</v>
      </c>
      <c r="E10" s="28" t="n">
        <v>62500000</v>
      </c>
      <c r="F10" s="28" t="n">
        <v>0</v>
      </c>
      <c r="G10" s="28" t="n">
        <f aca="false">E10-F10</f>
        <v>62500000</v>
      </c>
      <c r="H10" s="23" t="n">
        <v>46071</v>
      </c>
      <c r="I10" s="22" t="s">
        <v>1566</v>
      </c>
      <c r="J10" s="22" t="s">
        <v>1578</v>
      </c>
      <c r="K10" s="22" t="s">
        <v>1575</v>
      </c>
      <c r="L10" s="22" t="s">
        <v>1579</v>
      </c>
      <c r="M10" s="22" t="s">
        <v>1577</v>
      </c>
      <c r="N10" s="29" t="s">
        <v>129</v>
      </c>
      <c r="O10" s="22" t="s">
        <v>1369</v>
      </c>
      <c r="P10" s="22" t="s">
        <v>1570</v>
      </c>
    </row>
    <row r="11" customFormat="false" ht="15" hidden="false" customHeight="false" outlineLevel="0" collapsed="false">
      <c r="A11" s="22" t="n">
        <v>8</v>
      </c>
      <c r="B11" s="22" t="s">
        <v>274</v>
      </c>
      <c r="C11" s="22" t="s">
        <v>1543</v>
      </c>
      <c r="D11" s="22" t="s">
        <v>523</v>
      </c>
      <c r="E11" s="28" t="n">
        <v>125000000</v>
      </c>
      <c r="F11" s="28" t="n">
        <v>0</v>
      </c>
      <c r="G11" s="28" t="n">
        <f aca="false">E11-F11</f>
        <v>125000000</v>
      </c>
      <c r="H11" s="23" t="n">
        <v>46071</v>
      </c>
      <c r="I11" s="22" t="s">
        <v>1566</v>
      </c>
      <c r="J11" s="22" t="s">
        <v>1580</v>
      </c>
      <c r="K11" s="22" t="s">
        <v>1575</v>
      </c>
      <c r="L11" s="22" t="s">
        <v>1581</v>
      </c>
      <c r="M11" s="22" t="s">
        <v>1577</v>
      </c>
      <c r="N11" s="29" t="s">
        <v>131</v>
      </c>
      <c r="O11" s="22" t="s">
        <v>1369</v>
      </c>
      <c r="P11" s="22" t="s">
        <v>1570</v>
      </c>
    </row>
    <row r="12" customFormat="false" ht="15" hidden="false" customHeight="false" outlineLevel="0" collapsed="false">
      <c r="A12" s="22" t="n">
        <v>9</v>
      </c>
      <c r="B12" s="22" t="s">
        <v>274</v>
      </c>
      <c r="C12" s="22" t="s">
        <v>1543</v>
      </c>
      <c r="D12" s="22" t="s">
        <v>523</v>
      </c>
      <c r="E12" s="28" t="n">
        <v>182166667</v>
      </c>
      <c r="F12" s="28" t="n">
        <v>0</v>
      </c>
      <c r="G12" s="28" t="n">
        <f aca="false">E12-F12</f>
        <v>182166667</v>
      </c>
      <c r="H12" s="23" t="n">
        <v>46100</v>
      </c>
      <c r="I12" s="22" t="s">
        <v>1566</v>
      </c>
      <c r="J12" s="22" t="s">
        <v>414</v>
      </c>
      <c r="K12" s="22" t="s">
        <v>1575</v>
      </c>
      <c r="L12" s="22" t="s">
        <v>1582</v>
      </c>
      <c r="M12" s="22" t="s">
        <v>1577</v>
      </c>
      <c r="N12" s="29" t="s">
        <v>130</v>
      </c>
      <c r="O12" s="22" t="s">
        <v>1369</v>
      </c>
      <c r="P12" s="22" t="s">
        <v>1570</v>
      </c>
    </row>
    <row r="13" customFormat="false" ht="15" hidden="false" customHeight="false" outlineLevel="0" collapsed="false">
      <c r="A13" s="22" t="n">
        <v>10</v>
      </c>
      <c r="B13" s="22" t="s">
        <v>274</v>
      </c>
      <c r="C13" s="22" t="s">
        <v>1543</v>
      </c>
      <c r="D13" s="22" t="s">
        <v>523</v>
      </c>
      <c r="E13" s="28" t="n">
        <v>62500000</v>
      </c>
      <c r="F13" s="28" t="n">
        <v>0</v>
      </c>
      <c r="G13" s="28" t="n">
        <f aca="false">E13-F13</f>
        <v>62500000</v>
      </c>
      <c r="H13" s="23" t="n">
        <v>46100</v>
      </c>
      <c r="I13" s="22" t="s">
        <v>1566</v>
      </c>
      <c r="J13" s="22" t="s">
        <v>1583</v>
      </c>
      <c r="K13" s="22" t="s">
        <v>1575</v>
      </c>
      <c r="L13" s="22" t="s">
        <v>1584</v>
      </c>
      <c r="M13" s="22" t="s">
        <v>1577</v>
      </c>
      <c r="N13" s="29" t="s">
        <v>129</v>
      </c>
      <c r="O13" s="22" t="s">
        <v>1369</v>
      </c>
      <c r="P13" s="22" t="s">
        <v>1570</v>
      </c>
    </row>
    <row r="14" customFormat="false" ht="15" hidden="false" customHeight="false" outlineLevel="0" collapsed="false">
      <c r="A14" s="22" t="n">
        <v>11</v>
      </c>
      <c r="B14" s="22" t="s">
        <v>274</v>
      </c>
      <c r="C14" s="22" t="s">
        <v>1543</v>
      </c>
      <c r="D14" s="22" t="s">
        <v>523</v>
      </c>
      <c r="E14" s="28" t="n">
        <v>62500000</v>
      </c>
      <c r="F14" s="28" t="n">
        <v>0</v>
      </c>
      <c r="G14" s="28" t="n">
        <f aca="false">E14-F14</f>
        <v>62500000</v>
      </c>
      <c r="H14" s="23" t="n">
        <v>46136</v>
      </c>
      <c r="I14" s="22" t="s">
        <v>1566</v>
      </c>
      <c r="J14" s="22" t="s">
        <v>1585</v>
      </c>
      <c r="K14" s="22" t="s">
        <v>1575</v>
      </c>
      <c r="L14" s="22" t="s">
        <v>1586</v>
      </c>
      <c r="M14" s="22" t="s">
        <v>1577</v>
      </c>
      <c r="N14" s="29" t="s">
        <v>129</v>
      </c>
      <c r="O14" s="22" t="s">
        <v>1369</v>
      </c>
      <c r="P14" s="22" t="s">
        <v>1570</v>
      </c>
    </row>
    <row r="15" customFormat="false" ht="15" hidden="false" customHeight="false" outlineLevel="0" collapsed="false">
      <c r="A15" s="22" t="n">
        <v>12</v>
      </c>
      <c r="B15" s="22" t="s">
        <v>274</v>
      </c>
      <c r="C15" s="22" t="s">
        <v>1543</v>
      </c>
      <c r="D15" s="22" t="s">
        <v>523</v>
      </c>
      <c r="E15" s="28" t="n">
        <v>125000000</v>
      </c>
      <c r="F15" s="28" t="n">
        <v>0</v>
      </c>
      <c r="G15" s="28" t="n">
        <f aca="false">E15-F15</f>
        <v>125000000</v>
      </c>
      <c r="H15" s="23" t="n">
        <v>46164</v>
      </c>
      <c r="I15" s="22" t="s">
        <v>1566</v>
      </c>
      <c r="J15" s="22" t="s">
        <v>428</v>
      </c>
      <c r="K15" s="22" t="s">
        <v>1575</v>
      </c>
      <c r="L15" s="22" t="s">
        <v>1587</v>
      </c>
      <c r="M15" s="22" t="s">
        <v>1577</v>
      </c>
      <c r="N15" s="29" t="s">
        <v>131</v>
      </c>
      <c r="O15" s="22" t="s">
        <v>1369</v>
      </c>
      <c r="P15" s="22" t="s">
        <v>1570</v>
      </c>
    </row>
    <row r="16" customFormat="false" ht="15" hidden="false" customHeight="false" outlineLevel="0" collapsed="false">
      <c r="A16" s="22" t="n">
        <v>13</v>
      </c>
      <c r="B16" s="22" t="s">
        <v>274</v>
      </c>
      <c r="C16" s="22" t="s">
        <v>1543</v>
      </c>
      <c r="D16" s="22" t="s">
        <v>523</v>
      </c>
      <c r="E16" s="28" t="n">
        <v>62500000</v>
      </c>
      <c r="F16" s="28" t="n">
        <v>0</v>
      </c>
      <c r="G16" s="28" t="n">
        <f aca="false">E16-F16</f>
        <v>62500000</v>
      </c>
      <c r="H16" s="23" t="n">
        <v>46164</v>
      </c>
      <c r="I16" s="22" t="s">
        <v>1566</v>
      </c>
      <c r="J16" s="22" t="s">
        <v>1588</v>
      </c>
      <c r="K16" s="22" t="s">
        <v>1575</v>
      </c>
      <c r="L16" s="22" t="s">
        <v>1589</v>
      </c>
      <c r="M16" s="22" t="s">
        <v>1577</v>
      </c>
      <c r="N16" s="29" t="s">
        <v>129</v>
      </c>
      <c r="O16" s="22" t="s">
        <v>1369</v>
      </c>
      <c r="P16" s="22" t="s">
        <v>1570</v>
      </c>
    </row>
    <row r="17" customFormat="false" ht="15" hidden="false" customHeight="false" outlineLevel="0" collapsed="false">
      <c r="A17" s="22" t="n">
        <v>14</v>
      </c>
      <c r="B17" s="22" t="s">
        <v>274</v>
      </c>
      <c r="C17" s="22" t="s">
        <v>1543</v>
      </c>
      <c r="D17" s="22" t="s">
        <v>523</v>
      </c>
      <c r="E17" s="28" t="n">
        <v>62500000</v>
      </c>
      <c r="F17" s="28" t="n">
        <v>0</v>
      </c>
      <c r="G17" s="28" t="n">
        <f aca="false">E17-F17</f>
        <v>62500000</v>
      </c>
      <c r="H17" s="23" t="n">
        <v>46197</v>
      </c>
      <c r="I17" s="22" t="s">
        <v>1566</v>
      </c>
      <c r="J17" s="22" t="s">
        <v>423</v>
      </c>
      <c r="K17" s="22" t="s">
        <v>1575</v>
      </c>
      <c r="L17" s="22" t="s">
        <v>1590</v>
      </c>
      <c r="M17" s="22" t="s">
        <v>1577</v>
      </c>
      <c r="N17" s="29" t="s">
        <v>129</v>
      </c>
      <c r="O17" s="22" t="s">
        <v>1369</v>
      </c>
      <c r="P17" s="22" t="s">
        <v>1570</v>
      </c>
    </row>
    <row r="18" customFormat="false" ht="15" hidden="false" customHeight="false" outlineLevel="0" collapsed="false">
      <c r="A18" s="22" t="n">
        <v>15</v>
      </c>
      <c r="B18" s="22" t="s">
        <v>274</v>
      </c>
      <c r="C18" s="22" t="s">
        <v>1543</v>
      </c>
      <c r="D18" s="22" t="s">
        <v>523</v>
      </c>
      <c r="E18" s="28" t="n">
        <v>182166667</v>
      </c>
      <c r="F18" s="28" t="n">
        <v>0</v>
      </c>
      <c r="G18" s="28" t="n">
        <f aca="false">E18-F18</f>
        <v>182166667</v>
      </c>
      <c r="H18" s="23" t="n">
        <v>46197</v>
      </c>
      <c r="I18" s="22" t="s">
        <v>1566</v>
      </c>
      <c r="J18" s="22" t="s">
        <v>419</v>
      </c>
      <c r="K18" s="22" t="s">
        <v>1575</v>
      </c>
      <c r="L18" s="22" t="s">
        <v>1591</v>
      </c>
      <c r="M18" s="22" t="s">
        <v>1577</v>
      </c>
      <c r="N18" s="29" t="s">
        <v>130</v>
      </c>
      <c r="O18" s="22" t="s">
        <v>1369</v>
      </c>
      <c r="P18" s="22" t="s">
        <v>1570</v>
      </c>
    </row>
    <row r="19" customFormat="false" ht="15" hidden="false" customHeight="false" outlineLevel="0" collapsed="false">
      <c r="A19" s="22" t="n">
        <v>16</v>
      </c>
      <c r="B19" s="22" t="s">
        <v>274</v>
      </c>
      <c r="C19" s="22" t="s">
        <v>1543</v>
      </c>
      <c r="D19" s="22" t="s">
        <v>523</v>
      </c>
      <c r="E19" s="28" t="n">
        <v>62500000</v>
      </c>
      <c r="F19" s="28" t="n">
        <v>0</v>
      </c>
      <c r="G19" s="28" t="n">
        <f aca="false">E19-F19</f>
        <v>62500000</v>
      </c>
      <c r="H19" s="23" t="n">
        <v>46230</v>
      </c>
      <c r="I19" s="22" t="s">
        <v>1566</v>
      </c>
      <c r="J19" s="22" t="s">
        <v>425</v>
      </c>
      <c r="K19" s="22" t="s">
        <v>1575</v>
      </c>
      <c r="L19" s="22" t="s">
        <v>1592</v>
      </c>
      <c r="M19" s="22" t="s">
        <v>1577</v>
      </c>
      <c r="N19" s="29" t="s">
        <v>129</v>
      </c>
      <c r="O19" s="22" t="s">
        <v>1369</v>
      </c>
      <c r="P19" s="22" t="s">
        <v>1570</v>
      </c>
    </row>
    <row r="20" customFormat="false" ht="15" hidden="false" customHeight="false" outlineLevel="0" collapsed="false">
      <c r="A20" s="22" t="n">
        <v>17</v>
      </c>
      <c r="B20" s="22" t="s">
        <v>274</v>
      </c>
      <c r="C20" s="22" t="s">
        <v>1543</v>
      </c>
      <c r="D20" s="22" t="s">
        <v>1376</v>
      </c>
      <c r="E20" s="28" t="n">
        <v>143750000</v>
      </c>
      <c r="F20" s="28" t="n">
        <v>0</v>
      </c>
      <c r="G20" s="28" t="n">
        <f aca="false">E20-F20</f>
        <v>143750000</v>
      </c>
      <c r="H20" s="23" t="n">
        <v>46094</v>
      </c>
      <c r="I20" s="22" t="s">
        <v>1593</v>
      </c>
      <c r="J20" s="22" t="s">
        <v>1594</v>
      </c>
      <c r="K20" s="22" t="s">
        <v>1575</v>
      </c>
      <c r="L20" s="22" t="s">
        <v>1595</v>
      </c>
      <c r="M20" s="22" t="s">
        <v>1577</v>
      </c>
      <c r="N20" s="29" t="s">
        <v>140</v>
      </c>
      <c r="O20" s="22" t="s">
        <v>1369</v>
      </c>
      <c r="P20" s="22" t="s">
        <v>1570</v>
      </c>
    </row>
    <row r="21" customFormat="false" ht="15" hidden="false" customHeight="false" outlineLevel="0" collapsed="false">
      <c r="A21" s="22" t="n">
        <v>18</v>
      </c>
      <c r="B21" s="22" t="s">
        <v>274</v>
      </c>
      <c r="C21" s="22" t="s">
        <v>1543</v>
      </c>
      <c r="D21" s="22" t="s">
        <v>1376</v>
      </c>
      <c r="E21" s="28" t="n">
        <v>143750000</v>
      </c>
      <c r="F21" s="28" t="n">
        <v>0</v>
      </c>
      <c r="G21" s="28" t="n">
        <f aca="false">E21-F21</f>
        <v>143750000</v>
      </c>
      <c r="H21" s="23" t="n">
        <v>46203</v>
      </c>
      <c r="I21" s="22" t="s">
        <v>1593</v>
      </c>
      <c r="J21" s="22" t="s">
        <v>1596</v>
      </c>
      <c r="K21" s="22" t="s">
        <v>1575</v>
      </c>
      <c r="L21" s="22" t="s">
        <v>1597</v>
      </c>
      <c r="M21" s="22" t="s">
        <v>1577</v>
      </c>
      <c r="N21" s="29" t="s">
        <v>140</v>
      </c>
      <c r="O21" s="22" t="s">
        <v>1369</v>
      </c>
      <c r="P21" s="22" t="s">
        <v>1570</v>
      </c>
    </row>
    <row r="22" customFormat="false" ht="15" hidden="false" customHeight="false" outlineLevel="0" collapsed="false">
      <c r="A22" s="22" t="n">
        <v>19</v>
      </c>
      <c r="B22" s="22" t="s">
        <v>274</v>
      </c>
      <c r="C22" s="22" t="s">
        <v>1543</v>
      </c>
      <c r="D22" s="22" t="s">
        <v>386</v>
      </c>
      <c r="E22" s="28" t="n">
        <v>1666666666</v>
      </c>
      <c r="F22" s="28" t="n">
        <v>0</v>
      </c>
      <c r="G22" s="28" t="n">
        <f aca="false">E22-F22</f>
        <v>1666666666</v>
      </c>
      <c r="H22" s="23" t="n">
        <v>46136</v>
      </c>
      <c r="I22" s="22" t="s">
        <v>1598</v>
      </c>
      <c r="J22" s="22" t="s">
        <v>1599</v>
      </c>
      <c r="K22" s="22" t="s">
        <v>1575</v>
      </c>
      <c r="L22" s="22" t="s">
        <v>1600</v>
      </c>
      <c r="M22" s="22" t="s">
        <v>1577</v>
      </c>
      <c r="N22" s="29" t="s">
        <v>144</v>
      </c>
      <c r="O22" s="22" t="s">
        <v>1369</v>
      </c>
      <c r="P22" s="22" t="s">
        <v>1570</v>
      </c>
    </row>
    <row r="23" customFormat="false" ht="15" hidden="false" customHeight="false" outlineLevel="0" collapsed="false">
      <c r="A23" s="22" t="n">
        <v>20</v>
      </c>
      <c r="B23" s="22" t="s">
        <v>98</v>
      </c>
      <c r="C23" s="22" t="s">
        <v>1544</v>
      </c>
      <c r="D23" s="22" t="s">
        <v>1601</v>
      </c>
      <c r="E23" s="28" t="n">
        <v>92449</v>
      </c>
      <c r="F23" s="28" t="n">
        <v>92449</v>
      </c>
      <c r="G23" s="28" t="n">
        <f aca="false">E23-F23</f>
        <v>0</v>
      </c>
      <c r="H23" s="23" t="n">
        <v>46198</v>
      </c>
      <c r="I23" s="22" t="s">
        <v>1566</v>
      </c>
      <c r="J23" s="22" t="s">
        <v>1602</v>
      </c>
      <c r="K23" s="22" t="s">
        <v>1603</v>
      </c>
      <c r="L23" s="22" t="s">
        <v>1604</v>
      </c>
      <c r="M23" s="22" t="s">
        <v>1577</v>
      </c>
      <c r="N23" s="29" t="s">
        <v>1383</v>
      </c>
      <c r="O23" s="22" t="s">
        <v>1384</v>
      </c>
      <c r="P23" s="22" t="s">
        <v>1384</v>
      </c>
    </row>
    <row r="24" customFormat="false" ht="15" hidden="false" customHeight="false" outlineLevel="0" collapsed="false">
      <c r="A24" s="22" t="n">
        <v>21</v>
      </c>
      <c r="B24" s="22" t="s">
        <v>98</v>
      </c>
      <c r="C24" s="22" t="s">
        <v>1544</v>
      </c>
      <c r="D24" s="22" t="s">
        <v>1605</v>
      </c>
      <c r="E24" s="28" t="n">
        <v>0</v>
      </c>
      <c r="F24" s="28" t="n">
        <v>297500</v>
      </c>
      <c r="G24" s="28" t="n">
        <f aca="false">E24-F24</f>
        <v>-297500</v>
      </c>
      <c r="H24" s="23" t="n">
        <v>46107</v>
      </c>
      <c r="I24" s="22" t="s">
        <v>1606</v>
      </c>
      <c r="J24" s="22" t="s">
        <v>1607</v>
      </c>
      <c r="K24" s="22" t="s">
        <v>1603</v>
      </c>
      <c r="L24" s="22" t="s">
        <v>1608</v>
      </c>
      <c r="M24" s="22" t="s">
        <v>1577</v>
      </c>
      <c r="N24" s="29" t="s">
        <v>1383</v>
      </c>
      <c r="O24" s="22" t="s">
        <v>1384</v>
      </c>
      <c r="P24" s="22" t="s">
        <v>1384</v>
      </c>
    </row>
    <row r="25" customFormat="false" ht="15" hidden="false" customHeight="false" outlineLevel="0" collapsed="false">
      <c r="A25" s="22" t="n">
        <v>22</v>
      </c>
      <c r="B25" s="22" t="s">
        <v>98</v>
      </c>
      <c r="C25" s="22" t="s">
        <v>1544</v>
      </c>
      <c r="D25" s="22" t="s">
        <v>1605</v>
      </c>
      <c r="E25" s="28" t="n">
        <v>297500</v>
      </c>
      <c r="F25" s="28" t="n">
        <v>0</v>
      </c>
      <c r="G25" s="28" t="n">
        <f aca="false">E25-F25</f>
        <v>297500</v>
      </c>
      <c r="H25" s="23" t="n">
        <v>46163</v>
      </c>
      <c r="I25" s="22" t="s">
        <v>1566</v>
      </c>
      <c r="J25" s="22" t="s">
        <v>1609</v>
      </c>
      <c r="K25" s="22" t="s">
        <v>1603</v>
      </c>
      <c r="L25" s="22" t="s">
        <v>1610</v>
      </c>
      <c r="M25" s="22" t="s">
        <v>1577</v>
      </c>
      <c r="N25" s="29" t="s">
        <v>1383</v>
      </c>
      <c r="O25" s="22" t="s">
        <v>1384</v>
      </c>
      <c r="P25" s="22" t="s">
        <v>1384</v>
      </c>
    </row>
    <row r="26" customFormat="false" ht="15" hidden="false" customHeight="false" outlineLevel="0" collapsed="false">
      <c r="A26" s="22" t="n">
        <v>23</v>
      </c>
      <c r="B26" s="22" t="s">
        <v>98</v>
      </c>
      <c r="C26" s="22" t="s">
        <v>1544</v>
      </c>
      <c r="D26" s="22" t="s">
        <v>1611</v>
      </c>
      <c r="E26" s="28" t="n">
        <v>0</v>
      </c>
      <c r="F26" s="28" t="n">
        <v>1752720</v>
      </c>
      <c r="G26" s="28" t="n">
        <f aca="false">E26-F26</f>
        <v>-1752720</v>
      </c>
      <c r="H26" s="23" t="n">
        <v>46162</v>
      </c>
      <c r="I26" s="22" t="s">
        <v>1612</v>
      </c>
      <c r="J26" s="22" t="s">
        <v>1613</v>
      </c>
      <c r="K26" s="22" t="s">
        <v>1614</v>
      </c>
      <c r="L26" s="22" t="s">
        <v>1615</v>
      </c>
      <c r="M26" s="22" t="s">
        <v>1577</v>
      </c>
      <c r="N26" s="29" t="s">
        <v>1383</v>
      </c>
      <c r="O26" s="22" t="s">
        <v>1384</v>
      </c>
      <c r="P26" s="22" t="s">
        <v>1384</v>
      </c>
    </row>
    <row r="27" customFormat="false" ht="15" hidden="false" customHeight="false" outlineLevel="0" collapsed="false">
      <c r="A27" s="22" t="n">
        <v>24</v>
      </c>
      <c r="B27" s="22" t="s">
        <v>98</v>
      </c>
      <c r="C27" s="22" t="s">
        <v>1544</v>
      </c>
      <c r="D27" s="22" t="s">
        <v>1611</v>
      </c>
      <c r="E27" s="28" t="n">
        <v>1752720</v>
      </c>
      <c r="F27" s="28" t="n">
        <v>0</v>
      </c>
      <c r="G27" s="28" t="n">
        <f aca="false">E27-F27</f>
        <v>1752720</v>
      </c>
      <c r="H27" s="23" t="n">
        <v>46167</v>
      </c>
      <c r="I27" s="22" t="s">
        <v>1566</v>
      </c>
      <c r="J27" s="22" t="s">
        <v>1616</v>
      </c>
      <c r="K27" s="22" t="s">
        <v>1603</v>
      </c>
      <c r="L27" s="22" t="s">
        <v>1617</v>
      </c>
      <c r="M27" s="22" t="s">
        <v>1577</v>
      </c>
      <c r="N27" s="29" t="s">
        <v>1383</v>
      </c>
      <c r="O27" s="22" t="s">
        <v>1384</v>
      </c>
      <c r="P27" s="22" t="s">
        <v>1384</v>
      </c>
    </row>
    <row r="28" customFormat="false" ht="15" hidden="false" customHeight="false" outlineLevel="0" collapsed="false">
      <c r="A28" s="22" t="n">
        <v>25</v>
      </c>
      <c r="B28" s="22" t="s">
        <v>98</v>
      </c>
      <c r="C28" s="22" t="s">
        <v>1544</v>
      </c>
      <c r="D28" s="22" t="s">
        <v>1611</v>
      </c>
      <c r="E28" s="28" t="n">
        <v>0</v>
      </c>
      <c r="F28" s="28" t="n">
        <v>1746709.94</v>
      </c>
      <c r="G28" s="28" t="n">
        <f aca="false">E28-F28</f>
        <v>-1746709.94</v>
      </c>
      <c r="H28" s="23" t="n">
        <v>46234</v>
      </c>
      <c r="I28" s="22" t="s">
        <v>1612</v>
      </c>
      <c r="J28" s="22" t="s">
        <v>1618</v>
      </c>
      <c r="K28" s="22" t="s">
        <v>1603</v>
      </c>
      <c r="L28" s="22" t="s">
        <v>1619</v>
      </c>
      <c r="M28" s="22" t="s">
        <v>1577</v>
      </c>
      <c r="N28" s="29" t="s">
        <v>1383</v>
      </c>
      <c r="O28" s="22" t="s">
        <v>1384</v>
      </c>
      <c r="P28" s="22" t="s">
        <v>1384</v>
      </c>
    </row>
    <row r="29" customFormat="false" ht="15" hidden="false" customHeight="false" outlineLevel="0" collapsed="false">
      <c r="A29" s="22" t="n">
        <v>26</v>
      </c>
      <c r="B29" s="22" t="s">
        <v>98</v>
      </c>
      <c r="C29" s="22" t="s">
        <v>1544</v>
      </c>
      <c r="D29" s="22" t="s">
        <v>1620</v>
      </c>
      <c r="E29" s="28" t="n">
        <v>1722360</v>
      </c>
      <c r="F29" s="28" t="n">
        <v>1722360</v>
      </c>
      <c r="G29" s="28" t="n">
        <f aca="false">E29-F29</f>
        <v>0</v>
      </c>
      <c r="H29" s="23" t="n">
        <v>46198</v>
      </c>
      <c r="I29" s="22" t="s">
        <v>1566</v>
      </c>
      <c r="J29" s="22" t="s">
        <v>1602</v>
      </c>
      <c r="K29" s="22" t="s">
        <v>1603</v>
      </c>
      <c r="L29" s="22" t="s">
        <v>1604</v>
      </c>
      <c r="M29" s="22" t="s">
        <v>1577</v>
      </c>
      <c r="N29" s="29" t="s">
        <v>1383</v>
      </c>
      <c r="O29" s="22" t="s">
        <v>1384</v>
      </c>
      <c r="P29" s="22" t="s">
        <v>1384</v>
      </c>
    </row>
    <row r="30" customFormat="false" ht="15" hidden="false" customHeight="false" outlineLevel="0" collapsed="false">
      <c r="A30" s="22" t="n">
        <v>27</v>
      </c>
      <c r="B30" s="22" t="s">
        <v>98</v>
      </c>
      <c r="C30" s="22" t="s">
        <v>1544</v>
      </c>
      <c r="D30" s="22" t="s">
        <v>523</v>
      </c>
      <c r="E30" s="28" t="n">
        <v>0</v>
      </c>
      <c r="F30" s="28" t="n">
        <v>9315.75</v>
      </c>
      <c r="G30" s="28" t="n">
        <f aca="false">E30-F30</f>
        <v>-9315.75</v>
      </c>
      <c r="H30" s="23" t="n">
        <v>46198</v>
      </c>
      <c r="I30" s="22" t="s">
        <v>1566</v>
      </c>
      <c r="J30" s="22" t="s">
        <v>1621</v>
      </c>
      <c r="K30" s="22" t="s">
        <v>1603</v>
      </c>
      <c r="L30" s="22" t="s">
        <v>1622</v>
      </c>
      <c r="M30" s="22" t="s">
        <v>1577</v>
      </c>
      <c r="N30" s="29" t="s">
        <v>1383</v>
      </c>
      <c r="O30" s="22" t="s">
        <v>1384</v>
      </c>
      <c r="P30" s="22" t="s">
        <v>1384</v>
      </c>
    </row>
    <row r="31" customFormat="false" ht="15" hidden="false" customHeight="false" outlineLevel="0" collapsed="false">
      <c r="A31" s="22" t="n">
        <v>28</v>
      </c>
      <c r="B31" s="22" t="s">
        <v>98</v>
      </c>
      <c r="C31" s="22" t="s">
        <v>1544</v>
      </c>
      <c r="D31" s="22" t="s">
        <v>1381</v>
      </c>
      <c r="E31" s="28" t="n">
        <v>0</v>
      </c>
      <c r="F31" s="28" t="n">
        <v>133586.24</v>
      </c>
      <c r="G31" s="28" t="n">
        <f aca="false">E31-F31</f>
        <v>-133586.24</v>
      </c>
      <c r="H31" s="23" t="n">
        <v>46126</v>
      </c>
      <c r="I31" s="22" t="s">
        <v>1623</v>
      </c>
      <c r="J31" s="22" t="s">
        <v>1624</v>
      </c>
      <c r="K31" s="22" t="s">
        <v>1625</v>
      </c>
      <c r="L31" s="22" t="s">
        <v>1626</v>
      </c>
      <c r="M31" s="22" t="s">
        <v>1577</v>
      </c>
      <c r="N31" s="29" t="s">
        <v>1383</v>
      </c>
      <c r="O31" s="22" t="s">
        <v>1384</v>
      </c>
      <c r="P31" s="22" t="s">
        <v>1384</v>
      </c>
    </row>
    <row r="32" customFormat="false" ht="15" hidden="false" customHeight="false" outlineLevel="0" collapsed="false">
      <c r="A32" s="22" t="n">
        <v>29</v>
      </c>
      <c r="B32" s="22" t="s">
        <v>98</v>
      </c>
      <c r="C32" s="22" t="s">
        <v>1544</v>
      </c>
      <c r="D32" s="22" t="s">
        <v>1381</v>
      </c>
      <c r="E32" s="28" t="n">
        <v>170408.8</v>
      </c>
      <c r="F32" s="28" t="n">
        <v>0</v>
      </c>
      <c r="G32" s="28" t="n">
        <f aca="false">E32-F32</f>
        <v>170408.8</v>
      </c>
      <c r="H32" s="23" t="n">
        <v>46173</v>
      </c>
      <c r="I32" s="22" t="s">
        <v>1566</v>
      </c>
      <c r="J32" s="22" t="s">
        <v>1627</v>
      </c>
      <c r="K32" s="22" t="s">
        <v>1614</v>
      </c>
      <c r="L32" s="22" t="s">
        <v>1628</v>
      </c>
      <c r="M32" s="22" t="s">
        <v>1629</v>
      </c>
      <c r="N32" s="29" t="s">
        <v>1383</v>
      </c>
      <c r="O32" s="22" t="s">
        <v>1384</v>
      </c>
      <c r="P32" s="22" t="s">
        <v>1384</v>
      </c>
    </row>
    <row r="33" customFormat="false" ht="15" hidden="false" customHeight="false" outlineLevel="0" collapsed="false">
      <c r="A33" s="22" t="n">
        <v>30</v>
      </c>
      <c r="B33" s="22" t="s">
        <v>98</v>
      </c>
      <c r="C33" s="22" t="s">
        <v>1544</v>
      </c>
      <c r="D33" s="22" t="s">
        <v>1630</v>
      </c>
      <c r="E33" s="28" t="n">
        <v>0</v>
      </c>
      <c r="F33" s="28" t="n">
        <v>315014</v>
      </c>
      <c r="G33" s="28" t="n">
        <f aca="false">E33-F33</f>
        <v>-315014</v>
      </c>
      <c r="H33" s="23" t="n">
        <v>46053</v>
      </c>
      <c r="I33" s="22" t="s">
        <v>1631</v>
      </c>
      <c r="J33" s="22" t="s">
        <v>1632</v>
      </c>
      <c r="K33" s="22" t="s">
        <v>1603</v>
      </c>
      <c r="L33" s="22" t="s">
        <v>1633</v>
      </c>
      <c r="M33" s="22" t="s">
        <v>1577</v>
      </c>
      <c r="N33" s="29" t="s">
        <v>1383</v>
      </c>
      <c r="O33" s="22" t="s">
        <v>1384</v>
      </c>
      <c r="P33" s="22" t="s">
        <v>1384</v>
      </c>
    </row>
    <row r="34" customFormat="false" ht="15" hidden="false" customHeight="false" outlineLevel="0" collapsed="false">
      <c r="A34" s="22" t="n">
        <v>31</v>
      </c>
      <c r="B34" s="22" t="s">
        <v>98</v>
      </c>
      <c r="C34" s="22" t="s">
        <v>1544</v>
      </c>
      <c r="D34" s="22" t="s">
        <v>1630</v>
      </c>
      <c r="E34" s="28" t="n">
        <v>315014</v>
      </c>
      <c r="F34" s="28" t="n">
        <v>0</v>
      </c>
      <c r="G34" s="28" t="n">
        <f aca="false">E34-F34</f>
        <v>315014</v>
      </c>
      <c r="H34" s="23" t="n">
        <v>46072</v>
      </c>
      <c r="I34" s="22" t="s">
        <v>1566</v>
      </c>
      <c r="J34" s="22" t="s">
        <v>1634</v>
      </c>
      <c r="K34" s="22" t="s">
        <v>1603</v>
      </c>
      <c r="L34" s="22" t="s">
        <v>1635</v>
      </c>
      <c r="M34" s="22" t="s">
        <v>1577</v>
      </c>
      <c r="N34" s="29" t="s">
        <v>1383</v>
      </c>
      <c r="O34" s="22" t="s">
        <v>1384</v>
      </c>
      <c r="P34" s="22" t="s">
        <v>1384</v>
      </c>
    </row>
    <row r="35" customFormat="false" ht="15" hidden="false" customHeight="false" outlineLevel="0" collapsed="false">
      <c r="A35" s="22" t="n">
        <v>32</v>
      </c>
      <c r="B35" s="22" t="s">
        <v>98</v>
      </c>
      <c r="C35" s="22" t="s">
        <v>1544</v>
      </c>
      <c r="D35" s="22" t="s">
        <v>1403</v>
      </c>
      <c r="E35" s="28" t="n">
        <v>329935.88</v>
      </c>
      <c r="F35" s="28" t="n">
        <v>0</v>
      </c>
      <c r="G35" s="28" t="n">
        <f aca="false">E35-F35</f>
        <v>329935.88</v>
      </c>
      <c r="H35" s="23" t="n">
        <v>46173</v>
      </c>
      <c r="I35" s="22" t="s">
        <v>1566</v>
      </c>
      <c r="J35" s="22" t="s">
        <v>1627</v>
      </c>
      <c r="K35" s="22" t="s">
        <v>1614</v>
      </c>
      <c r="L35" s="22" t="s">
        <v>1628</v>
      </c>
      <c r="M35" s="22" t="s">
        <v>1629</v>
      </c>
      <c r="N35" s="29" t="s">
        <v>1383</v>
      </c>
      <c r="O35" s="22" t="s">
        <v>1384</v>
      </c>
      <c r="P35" s="22" t="s">
        <v>1384</v>
      </c>
    </row>
    <row r="36" customFormat="false" ht="15" hidden="false" customHeight="false" outlineLevel="0" collapsed="false">
      <c r="A36" s="22" t="n">
        <v>33</v>
      </c>
      <c r="B36" s="22" t="s">
        <v>98</v>
      </c>
      <c r="C36" s="22" t="s">
        <v>1544</v>
      </c>
      <c r="D36" s="22" t="s">
        <v>1405</v>
      </c>
      <c r="E36" s="28" t="n">
        <v>0.65</v>
      </c>
      <c r="F36" s="28" t="n">
        <v>0</v>
      </c>
      <c r="G36" s="28" t="n">
        <f aca="false">E36-F36</f>
        <v>0.65</v>
      </c>
      <c r="H36" s="23" t="n">
        <v>46052</v>
      </c>
      <c r="I36" s="22" t="s">
        <v>1636</v>
      </c>
      <c r="J36" s="22" t="s">
        <v>1637</v>
      </c>
      <c r="K36" s="22" t="s">
        <v>1614</v>
      </c>
      <c r="L36" s="22" t="s">
        <v>1638</v>
      </c>
      <c r="M36" s="22" t="s">
        <v>1629</v>
      </c>
      <c r="N36" s="29" t="s">
        <v>1383</v>
      </c>
      <c r="O36" s="22" t="s">
        <v>1384</v>
      </c>
      <c r="P36" s="22" t="s">
        <v>1384</v>
      </c>
    </row>
    <row r="37" customFormat="false" ht="15" hidden="false" customHeight="false" outlineLevel="0" collapsed="false">
      <c r="A37" s="22" t="n">
        <v>34</v>
      </c>
      <c r="B37" s="22" t="s">
        <v>98</v>
      </c>
      <c r="C37" s="22" t="s">
        <v>1544</v>
      </c>
      <c r="D37" s="22" t="s">
        <v>1455</v>
      </c>
      <c r="E37" s="28" t="n">
        <v>0</v>
      </c>
      <c r="F37" s="28" t="n">
        <v>2184823.68</v>
      </c>
      <c r="G37" s="28" t="n">
        <f aca="false">E37-F37</f>
        <v>-2184823.68</v>
      </c>
      <c r="H37" s="23" t="n">
        <v>46041</v>
      </c>
      <c r="I37" s="22" t="s">
        <v>1639</v>
      </c>
      <c r="J37" s="22" t="s">
        <v>1640</v>
      </c>
      <c r="K37" s="22" t="s">
        <v>1603</v>
      </c>
      <c r="L37" s="22" t="s">
        <v>1641</v>
      </c>
      <c r="M37" s="22" t="s">
        <v>1577</v>
      </c>
      <c r="N37" s="29" t="s">
        <v>1383</v>
      </c>
      <c r="O37" s="22" t="s">
        <v>1384</v>
      </c>
      <c r="P37" s="22" t="s">
        <v>1384</v>
      </c>
    </row>
    <row r="38" customFormat="false" ht="15" hidden="false" customHeight="false" outlineLevel="0" collapsed="false">
      <c r="A38" s="22" t="n">
        <v>35</v>
      </c>
      <c r="B38" s="22" t="s">
        <v>98</v>
      </c>
      <c r="C38" s="22" t="s">
        <v>1544</v>
      </c>
      <c r="D38" s="22" t="s">
        <v>1455</v>
      </c>
      <c r="E38" s="28" t="n">
        <v>2182529.47</v>
      </c>
      <c r="F38" s="28" t="n">
        <v>0</v>
      </c>
      <c r="G38" s="28" t="n">
        <f aca="false">E38-F38</f>
        <v>2182529.47</v>
      </c>
      <c r="H38" s="23" t="n">
        <v>46052</v>
      </c>
      <c r="I38" s="22" t="s">
        <v>1566</v>
      </c>
      <c r="J38" s="22" t="s">
        <v>1642</v>
      </c>
      <c r="K38" s="22" t="s">
        <v>1603</v>
      </c>
      <c r="L38" s="22" t="s">
        <v>1643</v>
      </c>
      <c r="M38" s="22" t="s">
        <v>1577</v>
      </c>
      <c r="N38" s="29" t="s">
        <v>1383</v>
      </c>
      <c r="O38" s="22" t="s">
        <v>1384</v>
      </c>
      <c r="P38" s="22" t="s">
        <v>1384</v>
      </c>
    </row>
    <row r="39" customFormat="false" ht="15" hidden="false" customHeight="false" outlineLevel="0" collapsed="false">
      <c r="A39" s="22" t="n">
        <v>36</v>
      </c>
      <c r="B39" s="22" t="s">
        <v>98</v>
      </c>
      <c r="C39" s="22" t="s">
        <v>1544</v>
      </c>
      <c r="D39" s="22" t="s">
        <v>1455</v>
      </c>
      <c r="E39" s="28" t="n">
        <v>0</v>
      </c>
      <c r="F39" s="28" t="n">
        <v>2334066.53</v>
      </c>
      <c r="G39" s="28" t="n">
        <f aca="false">E39-F39</f>
        <v>-2334066.53</v>
      </c>
      <c r="H39" s="23" t="n">
        <v>46063</v>
      </c>
      <c r="I39" s="22" t="s">
        <v>1639</v>
      </c>
      <c r="J39" s="22" t="s">
        <v>1644</v>
      </c>
      <c r="K39" s="22" t="s">
        <v>1603</v>
      </c>
      <c r="L39" s="22" t="s">
        <v>1645</v>
      </c>
      <c r="M39" s="22" t="s">
        <v>1577</v>
      </c>
      <c r="N39" s="29" t="s">
        <v>1383</v>
      </c>
      <c r="O39" s="22" t="s">
        <v>1384</v>
      </c>
      <c r="P39" s="22" t="s">
        <v>1384</v>
      </c>
    </row>
    <row r="40" customFormat="false" ht="15" hidden="false" customHeight="false" outlineLevel="0" collapsed="false">
      <c r="A40" s="22" t="n">
        <v>37</v>
      </c>
      <c r="B40" s="22" t="s">
        <v>98</v>
      </c>
      <c r="C40" s="22" t="s">
        <v>1544</v>
      </c>
      <c r="D40" s="22" t="s">
        <v>1455</v>
      </c>
      <c r="E40" s="28" t="n">
        <v>2184823.68</v>
      </c>
      <c r="F40" s="28" t="n">
        <v>0</v>
      </c>
      <c r="G40" s="28" t="n">
        <f aca="false">E40-F40</f>
        <v>2184823.68</v>
      </c>
      <c r="H40" s="23" t="n">
        <v>46072</v>
      </c>
      <c r="I40" s="22" t="s">
        <v>1566</v>
      </c>
      <c r="J40" s="22" t="s">
        <v>1646</v>
      </c>
      <c r="K40" s="22" t="s">
        <v>1603</v>
      </c>
      <c r="L40" s="22" t="s">
        <v>1647</v>
      </c>
      <c r="M40" s="22" t="s">
        <v>1577</v>
      </c>
      <c r="N40" s="29" t="s">
        <v>1383</v>
      </c>
      <c r="O40" s="22" t="s">
        <v>1384</v>
      </c>
      <c r="P40" s="22" t="s">
        <v>1384</v>
      </c>
    </row>
    <row r="41" customFormat="false" ht="15" hidden="false" customHeight="false" outlineLevel="0" collapsed="false">
      <c r="A41" s="22" t="n">
        <v>38</v>
      </c>
      <c r="B41" s="22" t="s">
        <v>98</v>
      </c>
      <c r="C41" s="22" t="s">
        <v>1544</v>
      </c>
      <c r="D41" s="22" t="s">
        <v>1455</v>
      </c>
      <c r="E41" s="28" t="n">
        <v>0</v>
      </c>
      <c r="F41" s="28" t="n">
        <v>2346053</v>
      </c>
      <c r="G41" s="28" t="n">
        <f aca="false">E41-F41</f>
        <v>-2346053</v>
      </c>
      <c r="H41" s="23" t="n">
        <v>46093</v>
      </c>
      <c r="I41" s="22" t="s">
        <v>1639</v>
      </c>
      <c r="J41" s="22" t="s">
        <v>1648</v>
      </c>
      <c r="K41" s="22" t="s">
        <v>1603</v>
      </c>
      <c r="L41" s="22" t="s">
        <v>1649</v>
      </c>
      <c r="M41" s="22" t="s">
        <v>1577</v>
      </c>
      <c r="N41" s="29" t="s">
        <v>1383</v>
      </c>
      <c r="O41" s="22" t="s">
        <v>1384</v>
      </c>
      <c r="P41" s="22" t="s">
        <v>1384</v>
      </c>
    </row>
    <row r="42" customFormat="false" ht="15" hidden="false" customHeight="false" outlineLevel="0" collapsed="false">
      <c r="A42" s="22" t="n">
        <v>39</v>
      </c>
      <c r="B42" s="22" t="s">
        <v>98</v>
      </c>
      <c r="C42" s="22" t="s">
        <v>1544</v>
      </c>
      <c r="D42" s="22" t="s">
        <v>1455</v>
      </c>
      <c r="E42" s="28" t="n">
        <v>0</v>
      </c>
      <c r="F42" s="28" t="n">
        <v>2334066.53</v>
      </c>
      <c r="G42" s="28" t="n">
        <f aca="false">E42-F42</f>
        <v>-2334066.53</v>
      </c>
      <c r="H42" s="23" t="n">
        <v>46127</v>
      </c>
      <c r="I42" s="22" t="s">
        <v>1639</v>
      </c>
      <c r="J42" s="22" t="s">
        <v>1650</v>
      </c>
      <c r="K42" s="22" t="s">
        <v>1603</v>
      </c>
      <c r="L42" s="22" t="s">
        <v>1651</v>
      </c>
      <c r="M42" s="22" t="s">
        <v>1577</v>
      </c>
      <c r="N42" s="29" t="s">
        <v>1383</v>
      </c>
      <c r="O42" s="22" t="s">
        <v>1384</v>
      </c>
      <c r="P42" s="22" t="s">
        <v>1384</v>
      </c>
    </row>
    <row r="43" customFormat="false" ht="15" hidden="false" customHeight="false" outlineLevel="0" collapsed="false">
      <c r="A43" s="22" t="n">
        <v>40</v>
      </c>
      <c r="B43" s="22" t="s">
        <v>98</v>
      </c>
      <c r="C43" s="22" t="s">
        <v>1544</v>
      </c>
      <c r="D43" s="22" t="s">
        <v>1455</v>
      </c>
      <c r="E43" s="28" t="n">
        <v>2334066.53</v>
      </c>
      <c r="F43" s="28" t="n">
        <v>0</v>
      </c>
      <c r="G43" s="28" t="n">
        <f aca="false">E43-F43</f>
        <v>2334066.53</v>
      </c>
      <c r="H43" s="23" t="n">
        <v>46129</v>
      </c>
      <c r="I43" s="22" t="s">
        <v>1566</v>
      </c>
      <c r="J43" s="22" t="s">
        <v>1652</v>
      </c>
      <c r="K43" s="22" t="s">
        <v>1603</v>
      </c>
      <c r="L43" s="22" t="s">
        <v>1653</v>
      </c>
      <c r="M43" s="22" t="s">
        <v>1577</v>
      </c>
      <c r="N43" s="29" t="s">
        <v>1383</v>
      </c>
      <c r="O43" s="22" t="s">
        <v>1384</v>
      </c>
      <c r="P43" s="22" t="s">
        <v>1384</v>
      </c>
    </row>
    <row r="44" customFormat="false" ht="15" hidden="false" customHeight="false" outlineLevel="0" collapsed="false">
      <c r="A44" s="22" t="n">
        <v>41</v>
      </c>
      <c r="B44" s="22" t="s">
        <v>98</v>
      </c>
      <c r="C44" s="22" t="s">
        <v>1544</v>
      </c>
      <c r="D44" s="22" t="s">
        <v>1455</v>
      </c>
      <c r="E44" s="28" t="n">
        <v>2346053</v>
      </c>
      <c r="F44" s="28" t="n">
        <v>0</v>
      </c>
      <c r="G44" s="28" t="n">
        <f aca="false">E44-F44</f>
        <v>2346053</v>
      </c>
      <c r="H44" s="23" t="n">
        <v>46135</v>
      </c>
      <c r="I44" s="22" t="s">
        <v>1566</v>
      </c>
      <c r="J44" s="22" t="s">
        <v>1654</v>
      </c>
      <c r="K44" s="22" t="s">
        <v>1603</v>
      </c>
      <c r="L44" s="22" t="s">
        <v>1655</v>
      </c>
      <c r="M44" s="22" t="s">
        <v>1577</v>
      </c>
      <c r="N44" s="29" t="s">
        <v>1383</v>
      </c>
      <c r="O44" s="22" t="s">
        <v>1384</v>
      </c>
      <c r="P44" s="22" t="s">
        <v>1384</v>
      </c>
    </row>
    <row r="45" customFormat="false" ht="15" hidden="false" customHeight="false" outlineLevel="0" collapsed="false">
      <c r="A45" s="22" t="n">
        <v>42</v>
      </c>
      <c r="B45" s="22" t="s">
        <v>98</v>
      </c>
      <c r="C45" s="22" t="s">
        <v>1544</v>
      </c>
      <c r="D45" s="22" t="s">
        <v>1455</v>
      </c>
      <c r="E45" s="28" t="n">
        <v>0</v>
      </c>
      <c r="F45" s="28" t="n">
        <v>2336459.05</v>
      </c>
      <c r="G45" s="28" t="n">
        <f aca="false">E45-F45</f>
        <v>-2336459.05</v>
      </c>
      <c r="H45" s="23" t="n">
        <v>46155</v>
      </c>
      <c r="I45" s="22" t="s">
        <v>1639</v>
      </c>
      <c r="J45" s="22" t="s">
        <v>1656</v>
      </c>
      <c r="K45" s="22" t="s">
        <v>1603</v>
      </c>
      <c r="L45" s="22" t="s">
        <v>1657</v>
      </c>
      <c r="M45" s="22" t="s">
        <v>1577</v>
      </c>
      <c r="N45" s="29" t="s">
        <v>1383</v>
      </c>
      <c r="O45" s="22" t="s">
        <v>1384</v>
      </c>
      <c r="P45" s="22" t="s">
        <v>1384</v>
      </c>
    </row>
    <row r="46" customFormat="false" ht="15" hidden="false" customHeight="false" outlineLevel="0" collapsed="false">
      <c r="A46" s="22" t="n">
        <v>43</v>
      </c>
      <c r="B46" s="22" t="s">
        <v>98</v>
      </c>
      <c r="C46" s="22" t="s">
        <v>1544</v>
      </c>
      <c r="D46" s="22" t="s">
        <v>1455</v>
      </c>
      <c r="E46" s="28" t="n">
        <v>2334076</v>
      </c>
      <c r="F46" s="28" t="n">
        <v>0</v>
      </c>
      <c r="G46" s="28" t="n">
        <f aca="false">E46-F46</f>
        <v>2334076</v>
      </c>
      <c r="H46" s="23" t="n">
        <v>46163</v>
      </c>
      <c r="I46" s="22" t="s">
        <v>1566</v>
      </c>
      <c r="J46" s="22" t="s">
        <v>1658</v>
      </c>
      <c r="K46" s="22" t="s">
        <v>1603</v>
      </c>
      <c r="L46" s="22" t="s">
        <v>1659</v>
      </c>
      <c r="M46" s="22" t="s">
        <v>1577</v>
      </c>
      <c r="N46" s="29" t="s">
        <v>1383</v>
      </c>
      <c r="O46" s="22" t="s">
        <v>1384</v>
      </c>
      <c r="P46" s="22" t="s">
        <v>1384</v>
      </c>
    </row>
    <row r="47" customFormat="false" ht="15" hidden="false" customHeight="false" outlineLevel="0" collapsed="false">
      <c r="A47" s="22" t="n">
        <v>44</v>
      </c>
      <c r="B47" s="22" t="s">
        <v>98</v>
      </c>
      <c r="C47" s="22" t="s">
        <v>1544</v>
      </c>
      <c r="D47" s="22" t="s">
        <v>1455</v>
      </c>
      <c r="E47" s="28" t="n">
        <v>0</v>
      </c>
      <c r="F47" s="28" t="n">
        <v>2466205.95</v>
      </c>
      <c r="G47" s="28" t="n">
        <f aca="false">E47-F47</f>
        <v>-2466205.95</v>
      </c>
      <c r="H47" s="23" t="n">
        <v>46172</v>
      </c>
      <c r="I47" s="22" t="s">
        <v>1660</v>
      </c>
      <c r="J47" s="22" t="s">
        <v>1661</v>
      </c>
      <c r="K47" s="22" t="s">
        <v>1603</v>
      </c>
      <c r="L47" s="22" t="s">
        <v>1662</v>
      </c>
      <c r="M47" s="22" t="s">
        <v>1577</v>
      </c>
      <c r="N47" s="29" t="s">
        <v>1383</v>
      </c>
      <c r="O47" s="22" t="s">
        <v>1384</v>
      </c>
      <c r="P47" s="22" t="s">
        <v>1384</v>
      </c>
    </row>
    <row r="48" customFormat="false" ht="15" hidden="false" customHeight="false" outlineLevel="0" collapsed="false">
      <c r="A48" s="22" t="n">
        <v>45</v>
      </c>
      <c r="B48" s="22" t="s">
        <v>98</v>
      </c>
      <c r="C48" s="22" t="s">
        <v>1544</v>
      </c>
      <c r="D48" s="22" t="s">
        <v>1455</v>
      </c>
      <c r="E48" s="28" t="n">
        <v>0</v>
      </c>
      <c r="F48" s="28" t="n">
        <v>2334066.53</v>
      </c>
      <c r="G48" s="28" t="n">
        <f aca="false">E48-F48</f>
        <v>-2334066.53</v>
      </c>
      <c r="H48" s="23" t="n">
        <v>46185</v>
      </c>
      <c r="I48" s="22" t="s">
        <v>1639</v>
      </c>
      <c r="J48" s="22" t="s">
        <v>1663</v>
      </c>
      <c r="K48" s="22" t="s">
        <v>1603</v>
      </c>
      <c r="L48" s="22" t="s">
        <v>1664</v>
      </c>
      <c r="M48" s="22" t="s">
        <v>1577</v>
      </c>
      <c r="N48" s="29" t="s">
        <v>1383</v>
      </c>
      <c r="O48" s="22" t="s">
        <v>1384</v>
      </c>
      <c r="P48" s="22" t="s">
        <v>1384</v>
      </c>
    </row>
    <row r="49" customFormat="false" ht="15" hidden="false" customHeight="false" outlineLevel="0" collapsed="false">
      <c r="A49" s="22" t="n">
        <v>46</v>
      </c>
      <c r="B49" s="22" t="s">
        <v>98</v>
      </c>
      <c r="C49" s="22" t="s">
        <v>1544</v>
      </c>
      <c r="D49" s="22" t="s">
        <v>1455</v>
      </c>
      <c r="E49" s="28" t="n">
        <v>2336449.58</v>
      </c>
      <c r="F49" s="28" t="n">
        <v>0</v>
      </c>
      <c r="G49" s="28" t="n">
        <f aca="false">E49-F49</f>
        <v>2336449.58</v>
      </c>
      <c r="H49" s="23" t="n">
        <v>46203</v>
      </c>
      <c r="I49" s="22" t="s">
        <v>1566</v>
      </c>
      <c r="J49" s="22" t="s">
        <v>1665</v>
      </c>
      <c r="K49" s="22" t="s">
        <v>1603</v>
      </c>
      <c r="L49" s="22" t="s">
        <v>1666</v>
      </c>
      <c r="M49" s="22" t="s">
        <v>1577</v>
      </c>
      <c r="N49" s="29" t="s">
        <v>1383</v>
      </c>
      <c r="O49" s="22" t="s">
        <v>1384</v>
      </c>
      <c r="P49" s="22" t="s">
        <v>1384</v>
      </c>
    </row>
    <row r="50" customFormat="false" ht="15" hidden="false" customHeight="false" outlineLevel="0" collapsed="false">
      <c r="A50" s="22" t="n">
        <v>47</v>
      </c>
      <c r="B50" s="22" t="s">
        <v>98</v>
      </c>
      <c r="C50" s="22" t="s">
        <v>1544</v>
      </c>
      <c r="D50" s="22" t="s">
        <v>1455</v>
      </c>
      <c r="E50" s="28" t="n">
        <v>0</v>
      </c>
      <c r="F50" s="28" t="n">
        <v>2334066.53</v>
      </c>
      <c r="G50" s="28" t="n">
        <f aca="false">E50-F50</f>
        <v>-2334066.53</v>
      </c>
      <c r="H50" s="23" t="n">
        <v>46213</v>
      </c>
      <c r="I50" s="22" t="s">
        <v>1639</v>
      </c>
      <c r="J50" s="22" t="s">
        <v>1667</v>
      </c>
      <c r="K50" s="22" t="s">
        <v>1603</v>
      </c>
      <c r="L50" s="22" t="s">
        <v>1668</v>
      </c>
      <c r="M50" s="22" t="s">
        <v>1577</v>
      </c>
      <c r="N50" s="29" t="s">
        <v>1383</v>
      </c>
      <c r="O50" s="22" t="s">
        <v>1384</v>
      </c>
      <c r="P50" s="22" t="s">
        <v>1384</v>
      </c>
    </row>
    <row r="51" customFormat="false" ht="15" hidden="false" customHeight="false" outlineLevel="0" collapsed="false">
      <c r="A51" s="22" t="n">
        <v>48</v>
      </c>
      <c r="B51" s="22" t="s">
        <v>98</v>
      </c>
      <c r="C51" s="22" t="s">
        <v>1544</v>
      </c>
      <c r="D51" s="22" t="s">
        <v>1455</v>
      </c>
      <c r="E51" s="28" t="n">
        <v>2334066.53</v>
      </c>
      <c r="F51" s="28" t="n">
        <v>0</v>
      </c>
      <c r="G51" s="28" t="n">
        <f aca="false">E51-F51</f>
        <v>2334066.53</v>
      </c>
      <c r="H51" s="23" t="n">
        <v>46234</v>
      </c>
      <c r="I51" s="22" t="s">
        <v>1566</v>
      </c>
      <c r="J51" s="22" t="s">
        <v>1669</v>
      </c>
      <c r="K51" s="22" t="s">
        <v>1603</v>
      </c>
      <c r="L51" s="22" t="s">
        <v>1670</v>
      </c>
      <c r="M51" s="22" t="s">
        <v>1577</v>
      </c>
      <c r="N51" s="29" t="s">
        <v>1383</v>
      </c>
      <c r="O51" s="22" t="s">
        <v>1384</v>
      </c>
      <c r="P51" s="22" t="s">
        <v>1384</v>
      </c>
    </row>
    <row r="52" customFormat="false" ht="15" hidden="false" customHeight="false" outlineLevel="0" collapsed="false">
      <c r="A52" s="22" t="n">
        <v>49</v>
      </c>
      <c r="B52" s="22" t="s">
        <v>98</v>
      </c>
      <c r="C52" s="22" t="s">
        <v>1544</v>
      </c>
      <c r="D52" s="22" t="s">
        <v>1671</v>
      </c>
      <c r="E52" s="28" t="n">
        <v>0</v>
      </c>
      <c r="F52" s="28" t="n">
        <v>4259050</v>
      </c>
      <c r="G52" s="28" t="n">
        <f aca="false">E52-F52</f>
        <v>-4259050</v>
      </c>
      <c r="H52" s="23" t="n">
        <v>46053</v>
      </c>
      <c r="I52" s="22" t="s">
        <v>1672</v>
      </c>
      <c r="J52" s="22" t="s">
        <v>1673</v>
      </c>
      <c r="K52" s="22" t="s">
        <v>1603</v>
      </c>
      <c r="L52" s="22" t="s">
        <v>1674</v>
      </c>
      <c r="M52" s="22" t="s">
        <v>1577</v>
      </c>
      <c r="N52" s="29" t="s">
        <v>1383</v>
      </c>
      <c r="O52" s="22" t="s">
        <v>1384</v>
      </c>
      <c r="P52" s="22" t="s">
        <v>1384</v>
      </c>
    </row>
    <row r="53" customFormat="false" ht="15" hidden="false" customHeight="false" outlineLevel="0" collapsed="false">
      <c r="A53" s="22" t="n">
        <v>50</v>
      </c>
      <c r="B53" s="22" t="s">
        <v>98</v>
      </c>
      <c r="C53" s="22" t="s">
        <v>1544</v>
      </c>
      <c r="D53" s="22" t="s">
        <v>1671</v>
      </c>
      <c r="E53" s="28" t="n">
        <v>4259050</v>
      </c>
      <c r="F53" s="28" t="n">
        <v>0</v>
      </c>
      <c r="G53" s="28" t="n">
        <f aca="false">E53-F53</f>
        <v>4259050</v>
      </c>
      <c r="H53" s="23" t="n">
        <v>46129</v>
      </c>
      <c r="I53" s="22" t="s">
        <v>1566</v>
      </c>
      <c r="J53" s="22" t="s">
        <v>1675</v>
      </c>
      <c r="K53" s="22" t="s">
        <v>1603</v>
      </c>
      <c r="L53" s="22" t="s">
        <v>1676</v>
      </c>
      <c r="M53" s="22" t="s">
        <v>1577</v>
      </c>
      <c r="N53" s="29" t="s">
        <v>1383</v>
      </c>
      <c r="O53" s="22" t="s">
        <v>1384</v>
      </c>
      <c r="P53" s="22" t="s">
        <v>1384</v>
      </c>
    </row>
    <row r="54" customFormat="false" ht="15" hidden="false" customHeight="false" outlineLevel="0" collapsed="false">
      <c r="A54" s="22" t="n">
        <v>51</v>
      </c>
      <c r="B54" s="22" t="s">
        <v>98</v>
      </c>
      <c r="C54" s="22" t="s">
        <v>1544</v>
      </c>
      <c r="D54" s="22" t="s">
        <v>1677</v>
      </c>
      <c r="E54" s="28" t="n">
        <v>320919</v>
      </c>
      <c r="F54" s="28" t="n">
        <v>0</v>
      </c>
      <c r="G54" s="28" t="n">
        <f aca="false">E54-F54</f>
        <v>320919</v>
      </c>
      <c r="H54" s="23" t="n">
        <v>46081</v>
      </c>
      <c r="I54" s="22" t="s">
        <v>1566</v>
      </c>
      <c r="J54" s="22" t="s">
        <v>1678</v>
      </c>
      <c r="K54" s="22" t="s">
        <v>1603</v>
      </c>
      <c r="L54" s="22" t="s">
        <v>1679</v>
      </c>
      <c r="M54" s="22" t="s">
        <v>1577</v>
      </c>
      <c r="N54" s="29" t="s">
        <v>1383</v>
      </c>
      <c r="O54" s="22" t="s">
        <v>1384</v>
      </c>
      <c r="P54" s="22" t="s">
        <v>1384</v>
      </c>
    </row>
    <row r="55" customFormat="false" ht="15" hidden="false" customHeight="false" outlineLevel="0" collapsed="false">
      <c r="A55" s="22" t="n">
        <v>52</v>
      </c>
      <c r="B55" s="22" t="s">
        <v>98</v>
      </c>
      <c r="C55" s="22" t="s">
        <v>1544</v>
      </c>
      <c r="D55" s="22" t="s">
        <v>1677</v>
      </c>
      <c r="E55" s="28" t="n">
        <v>0</v>
      </c>
      <c r="F55" s="28" t="n">
        <v>320919</v>
      </c>
      <c r="G55" s="28" t="n">
        <f aca="false">E55-F55</f>
        <v>-320919</v>
      </c>
      <c r="H55" s="23" t="n">
        <v>46081</v>
      </c>
      <c r="I55" s="22" t="s">
        <v>1680</v>
      </c>
      <c r="J55" s="22" t="s">
        <v>1681</v>
      </c>
      <c r="K55" s="22" t="s">
        <v>1603</v>
      </c>
      <c r="L55" s="22" t="s">
        <v>1682</v>
      </c>
      <c r="M55" s="22" t="s">
        <v>1577</v>
      </c>
      <c r="N55" s="29" t="s">
        <v>1383</v>
      </c>
      <c r="O55" s="22" t="s">
        <v>1384</v>
      </c>
      <c r="P55" s="22" t="s">
        <v>1384</v>
      </c>
    </row>
    <row r="56" customFormat="false" ht="15" hidden="false" customHeight="false" outlineLevel="0" collapsed="false">
      <c r="A56" s="22" t="n">
        <v>53</v>
      </c>
      <c r="B56" s="22" t="s">
        <v>98</v>
      </c>
      <c r="C56" s="22" t="s">
        <v>1544</v>
      </c>
      <c r="D56" s="22" t="s">
        <v>1677</v>
      </c>
      <c r="E56" s="28" t="n">
        <v>0</v>
      </c>
      <c r="F56" s="28" t="n">
        <v>120000</v>
      </c>
      <c r="G56" s="28" t="n">
        <f aca="false">E56-F56</f>
        <v>-120000</v>
      </c>
      <c r="H56" s="23" t="n">
        <v>46234</v>
      </c>
      <c r="I56" s="22" t="s">
        <v>1680</v>
      </c>
      <c r="J56" s="22" t="s">
        <v>1683</v>
      </c>
      <c r="K56" s="22" t="s">
        <v>1603</v>
      </c>
      <c r="L56" s="22" t="s">
        <v>1684</v>
      </c>
      <c r="M56" s="22" t="s">
        <v>1577</v>
      </c>
      <c r="N56" s="29" t="s">
        <v>1383</v>
      </c>
      <c r="O56" s="22" t="s">
        <v>1384</v>
      </c>
      <c r="P56" s="22" t="s">
        <v>1384</v>
      </c>
    </row>
    <row r="57" customFormat="false" ht="15" hidden="false" customHeight="false" outlineLevel="0" collapsed="false">
      <c r="A57" s="22" t="n">
        <v>54</v>
      </c>
      <c r="B57" s="22" t="s">
        <v>98</v>
      </c>
      <c r="C57" s="22" t="s">
        <v>1544</v>
      </c>
      <c r="D57" s="22" t="s">
        <v>1685</v>
      </c>
      <c r="E57" s="28" t="n">
        <v>0</v>
      </c>
      <c r="F57" s="28" t="n">
        <v>251636</v>
      </c>
      <c r="G57" s="28" t="n">
        <f aca="false">E57-F57</f>
        <v>-251636</v>
      </c>
      <c r="H57" s="23" t="n">
        <v>46053</v>
      </c>
      <c r="I57" s="22" t="s">
        <v>1686</v>
      </c>
      <c r="J57" s="22" t="s">
        <v>1687</v>
      </c>
      <c r="K57" s="22" t="s">
        <v>1603</v>
      </c>
      <c r="L57" s="22" t="s">
        <v>1688</v>
      </c>
      <c r="M57" s="22" t="s">
        <v>1577</v>
      </c>
      <c r="N57" s="29" t="s">
        <v>1383</v>
      </c>
      <c r="O57" s="22" t="s">
        <v>1384</v>
      </c>
      <c r="P57" s="22" t="s">
        <v>1384</v>
      </c>
    </row>
    <row r="58" customFormat="false" ht="15" hidden="false" customHeight="false" outlineLevel="0" collapsed="false">
      <c r="A58" s="22" t="n">
        <v>55</v>
      </c>
      <c r="B58" s="22" t="s">
        <v>98</v>
      </c>
      <c r="C58" s="22" t="s">
        <v>1544</v>
      </c>
      <c r="D58" s="22" t="s">
        <v>1685</v>
      </c>
      <c r="E58" s="28" t="n">
        <v>251636</v>
      </c>
      <c r="F58" s="28" t="n">
        <v>0</v>
      </c>
      <c r="G58" s="28" t="n">
        <f aca="false">E58-F58</f>
        <v>251636</v>
      </c>
      <c r="H58" s="23" t="n">
        <v>46072</v>
      </c>
      <c r="I58" s="22" t="s">
        <v>1566</v>
      </c>
      <c r="J58" s="22" t="s">
        <v>1634</v>
      </c>
      <c r="K58" s="22" t="s">
        <v>1603</v>
      </c>
      <c r="L58" s="22" t="s">
        <v>1635</v>
      </c>
      <c r="M58" s="22" t="s">
        <v>1577</v>
      </c>
      <c r="N58" s="29" t="s">
        <v>1383</v>
      </c>
      <c r="O58" s="22" t="s">
        <v>1384</v>
      </c>
      <c r="P58" s="22" t="s">
        <v>1384</v>
      </c>
    </row>
    <row r="59" customFormat="false" ht="15" hidden="false" customHeight="false" outlineLevel="0" collapsed="false">
      <c r="A59" s="22" t="n">
        <v>56</v>
      </c>
      <c r="B59" s="22" t="s">
        <v>98</v>
      </c>
      <c r="C59" s="22" t="s">
        <v>1544</v>
      </c>
      <c r="D59" s="22" t="s">
        <v>1685</v>
      </c>
      <c r="E59" s="28" t="n">
        <v>0</v>
      </c>
      <c r="F59" s="28" t="n">
        <v>286346</v>
      </c>
      <c r="G59" s="28" t="n">
        <f aca="false">E59-F59</f>
        <v>-286346</v>
      </c>
      <c r="H59" s="23" t="n">
        <v>46134</v>
      </c>
      <c r="I59" s="22" t="s">
        <v>1686</v>
      </c>
      <c r="J59" s="22" t="s">
        <v>1689</v>
      </c>
      <c r="K59" s="22" t="s">
        <v>1603</v>
      </c>
      <c r="L59" s="22" t="s">
        <v>1690</v>
      </c>
      <c r="M59" s="22" t="s">
        <v>1577</v>
      </c>
      <c r="N59" s="29" t="s">
        <v>1383</v>
      </c>
      <c r="O59" s="22" t="s">
        <v>1384</v>
      </c>
      <c r="P59" s="22" t="s">
        <v>1384</v>
      </c>
    </row>
    <row r="60" customFormat="false" ht="15" hidden="false" customHeight="false" outlineLevel="0" collapsed="false">
      <c r="A60" s="22" t="n">
        <v>57</v>
      </c>
      <c r="B60" s="22" t="s">
        <v>98</v>
      </c>
      <c r="C60" s="22" t="s">
        <v>1544</v>
      </c>
      <c r="D60" s="22" t="s">
        <v>1685</v>
      </c>
      <c r="E60" s="28" t="n">
        <v>286346</v>
      </c>
      <c r="F60" s="28" t="n">
        <v>0</v>
      </c>
      <c r="G60" s="28" t="n">
        <f aca="false">E60-F60</f>
        <v>286346</v>
      </c>
      <c r="H60" s="23" t="n">
        <v>46135</v>
      </c>
      <c r="I60" s="22" t="s">
        <v>1566</v>
      </c>
      <c r="J60" s="22" t="s">
        <v>1691</v>
      </c>
      <c r="K60" s="22" t="s">
        <v>1603</v>
      </c>
      <c r="L60" s="22" t="s">
        <v>1692</v>
      </c>
      <c r="M60" s="22" t="s">
        <v>1577</v>
      </c>
      <c r="N60" s="29" t="s">
        <v>1383</v>
      </c>
      <c r="O60" s="22" t="s">
        <v>1384</v>
      </c>
      <c r="P60" s="22" t="s">
        <v>1384</v>
      </c>
    </row>
    <row r="61" customFormat="false" ht="15" hidden="false" customHeight="false" outlineLevel="0" collapsed="false">
      <c r="A61" s="22" t="n">
        <v>58</v>
      </c>
      <c r="B61" s="22" t="s">
        <v>98</v>
      </c>
      <c r="C61" s="22" t="s">
        <v>1544</v>
      </c>
      <c r="D61" s="22" t="s">
        <v>1685</v>
      </c>
      <c r="E61" s="28" t="n">
        <v>0</v>
      </c>
      <c r="F61" s="28" t="n">
        <v>251760</v>
      </c>
      <c r="G61" s="28" t="n">
        <f aca="false">E61-F61</f>
        <v>-251760</v>
      </c>
      <c r="H61" s="23" t="n">
        <v>46234</v>
      </c>
      <c r="I61" s="22" t="s">
        <v>1686</v>
      </c>
      <c r="J61" s="22" t="s">
        <v>1693</v>
      </c>
      <c r="K61" s="22" t="s">
        <v>1603</v>
      </c>
      <c r="L61" s="22" t="s">
        <v>1694</v>
      </c>
      <c r="M61" s="22" t="s">
        <v>1577</v>
      </c>
      <c r="N61" s="29" t="s">
        <v>1383</v>
      </c>
      <c r="O61" s="22" t="s">
        <v>1384</v>
      </c>
      <c r="P61" s="22" t="s">
        <v>1384</v>
      </c>
    </row>
    <row r="62" customFormat="false" ht="15" hidden="false" customHeight="false" outlineLevel="0" collapsed="false">
      <c r="A62" s="22" t="n">
        <v>59</v>
      </c>
      <c r="B62" s="22" t="s">
        <v>98</v>
      </c>
      <c r="C62" s="22" t="s">
        <v>1544</v>
      </c>
      <c r="D62" s="22" t="s">
        <v>1685</v>
      </c>
      <c r="E62" s="28" t="n">
        <v>251760</v>
      </c>
      <c r="F62" s="28" t="n">
        <v>0</v>
      </c>
      <c r="G62" s="28" t="n">
        <f aca="false">E62-F62</f>
        <v>251760</v>
      </c>
      <c r="H62" s="23" t="n">
        <v>46234</v>
      </c>
      <c r="I62" s="22" t="s">
        <v>1566</v>
      </c>
      <c r="J62" s="22" t="s">
        <v>1695</v>
      </c>
      <c r="K62" s="22" t="s">
        <v>1603</v>
      </c>
      <c r="L62" s="22" t="s">
        <v>1696</v>
      </c>
      <c r="M62" s="22" t="s">
        <v>1577</v>
      </c>
      <c r="N62" s="29" t="s">
        <v>1383</v>
      </c>
      <c r="O62" s="22" t="s">
        <v>1384</v>
      </c>
      <c r="P62" s="22" t="s">
        <v>1384</v>
      </c>
    </row>
    <row r="63" customFormat="false" ht="15" hidden="false" customHeight="false" outlineLevel="0" collapsed="false">
      <c r="A63" s="22" t="n">
        <v>60</v>
      </c>
      <c r="B63" s="22" t="s">
        <v>98</v>
      </c>
      <c r="C63" s="22" t="s">
        <v>1544</v>
      </c>
      <c r="D63" s="22" t="s">
        <v>1452</v>
      </c>
      <c r="E63" s="28" t="n">
        <v>0</v>
      </c>
      <c r="F63" s="28" t="n">
        <v>1950112.76</v>
      </c>
      <c r="G63" s="28" t="n">
        <f aca="false">E63-F63</f>
        <v>-1950112.76</v>
      </c>
      <c r="H63" s="23" t="n">
        <v>46052</v>
      </c>
      <c r="I63" s="22" t="s">
        <v>1697</v>
      </c>
      <c r="J63" s="22" t="s">
        <v>1698</v>
      </c>
      <c r="K63" s="22" t="s">
        <v>1625</v>
      </c>
      <c r="L63" s="22" t="s">
        <v>1699</v>
      </c>
      <c r="M63" s="22" t="s">
        <v>1577</v>
      </c>
      <c r="N63" s="29" t="s">
        <v>1383</v>
      </c>
      <c r="O63" s="22" t="s">
        <v>1384</v>
      </c>
      <c r="P63" s="22" t="s">
        <v>1384</v>
      </c>
    </row>
    <row r="64" customFormat="false" ht="15" hidden="false" customHeight="false" outlineLevel="0" collapsed="false">
      <c r="A64" s="22" t="n">
        <v>61</v>
      </c>
      <c r="B64" s="22" t="s">
        <v>98</v>
      </c>
      <c r="C64" s="22" t="s">
        <v>1544</v>
      </c>
      <c r="D64" s="22" t="s">
        <v>1452</v>
      </c>
      <c r="E64" s="28" t="n">
        <v>0</v>
      </c>
      <c r="F64" s="28" t="n">
        <v>1500092</v>
      </c>
      <c r="G64" s="28" t="n">
        <f aca="false">E64-F64</f>
        <v>-1500092</v>
      </c>
      <c r="H64" s="23" t="n">
        <v>46052</v>
      </c>
      <c r="I64" s="22" t="s">
        <v>1697</v>
      </c>
      <c r="J64" s="22" t="s">
        <v>1700</v>
      </c>
      <c r="K64" s="22" t="s">
        <v>1603</v>
      </c>
      <c r="L64" s="22" t="s">
        <v>1701</v>
      </c>
      <c r="M64" s="22" t="s">
        <v>1577</v>
      </c>
      <c r="N64" s="29" t="s">
        <v>1383</v>
      </c>
      <c r="O64" s="22" t="s">
        <v>1384</v>
      </c>
      <c r="P64" s="22" t="s">
        <v>1384</v>
      </c>
    </row>
    <row r="65" customFormat="false" ht="15" hidden="false" customHeight="false" outlineLevel="0" collapsed="false">
      <c r="A65" s="22" t="n">
        <v>62</v>
      </c>
      <c r="B65" s="22" t="s">
        <v>98</v>
      </c>
      <c r="C65" s="22" t="s">
        <v>1544</v>
      </c>
      <c r="D65" s="22" t="s">
        <v>1452</v>
      </c>
      <c r="E65" s="28" t="n">
        <v>1950112.76</v>
      </c>
      <c r="F65" s="28" t="n">
        <v>0</v>
      </c>
      <c r="G65" s="28" t="n">
        <f aca="false">E65-F65</f>
        <v>1950112.76</v>
      </c>
      <c r="H65" s="23" t="n">
        <v>46052</v>
      </c>
      <c r="I65" s="22" t="s">
        <v>1697</v>
      </c>
      <c r="J65" s="22" t="s">
        <v>1702</v>
      </c>
      <c r="K65" s="22" t="s">
        <v>1703</v>
      </c>
      <c r="L65" s="22" t="s">
        <v>1704</v>
      </c>
      <c r="M65" s="22" t="s">
        <v>1577</v>
      </c>
      <c r="N65" s="29" t="s">
        <v>1383</v>
      </c>
      <c r="O65" s="22" t="s">
        <v>1384</v>
      </c>
      <c r="P65" s="22" t="s">
        <v>1384</v>
      </c>
    </row>
    <row r="66" customFormat="false" ht="15" hidden="false" customHeight="false" outlineLevel="0" collapsed="false">
      <c r="A66" s="22" t="n">
        <v>63</v>
      </c>
      <c r="B66" s="22" t="s">
        <v>98</v>
      </c>
      <c r="C66" s="22" t="s">
        <v>1544</v>
      </c>
      <c r="D66" s="22" t="s">
        <v>1452</v>
      </c>
      <c r="E66" s="28" t="n">
        <v>1388670.94</v>
      </c>
      <c r="F66" s="28" t="n">
        <v>0</v>
      </c>
      <c r="G66" s="28" t="n">
        <f aca="false">E66-F66</f>
        <v>1388670.94</v>
      </c>
      <c r="H66" s="23" t="n">
        <v>46052</v>
      </c>
      <c r="I66" s="22" t="s">
        <v>1566</v>
      </c>
      <c r="J66" s="22" t="s">
        <v>1642</v>
      </c>
      <c r="K66" s="22" t="s">
        <v>1603</v>
      </c>
      <c r="L66" s="22" t="s">
        <v>1643</v>
      </c>
      <c r="M66" s="22" t="s">
        <v>1577</v>
      </c>
      <c r="N66" s="29" t="s">
        <v>1383</v>
      </c>
      <c r="O66" s="22" t="s">
        <v>1384</v>
      </c>
      <c r="P66" s="22" t="s">
        <v>1384</v>
      </c>
    </row>
    <row r="67" customFormat="false" ht="15" hidden="false" customHeight="false" outlineLevel="0" collapsed="false">
      <c r="A67" s="22" t="n">
        <v>64</v>
      </c>
      <c r="B67" s="22" t="s">
        <v>98</v>
      </c>
      <c r="C67" s="22" t="s">
        <v>1544</v>
      </c>
      <c r="D67" s="22" t="s">
        <v>1452</v>
      </c>
      <c r="E67" s="28" t="n">
        <v>0</v>
      </c>
      <c r="F67" s="28" t="n">
        <v>1950111.76</v>
      </c>
      <c r="G67" s="28" t="n">
        <f aca="false">E67-F67</f>
        <v>-1950111.76</v>
      </c>
      <c r="H67" s="23" t="n">
        <v>46053</v>
      </c>
      <c r="I67" s="22" t="s">
        <v>1697</v>
      </c>
      <c r="J67" s="22" t="s">
        <v>1705</v>
      </c>
      <c r="K67" s="22" t="s">
        <v>1603</v>
      </c>
      <c r="L67" s="22" t="s">
        <v>1706</v>
      </c>
      <c r="M67" s="22" t="s">
        <v>1577</v>
      </c>
      <c r="N67" s="29" t="s">
        <v>1383</v>
      </c>
      <c r="O67" s="22" t="s">
        <v>1384</v>
      </c>
      <c r="P67" s="22" t="s">
        <v>1384</v>
      </c>
    </row>
    <row r="68" customFormat="false" ht="15" hidden="false" customHeight="false" outlineLevel="0" collapsed="false">
      <c r="A68" s="22" t="n">
        <v>65</v>
      </c>
      <c r="B68" s="22" t="s">
        <v>98</v>
      </c>
      <c r="C68" s="22" t="s">
        <v>1544</v>
      </c>
      <c r="D68" s="22" t="s">
        <v>1452</v>
      </c>
      <c r="E68" s="28" t="n">
        <v>0</v>
      </c>
      <c r="F68" s="28" t="n">
        <v>3717293.44</v>
      </c>
      <c r="G68" s="28" t="n">
        <f aca="false">E68-F68</f>
        <v>-3717293.44</v>
      </c>
      <c r="H68" s="23" t="n">
        <v>46066</v>
      </c>
      <c r="I68" s="22" t="s">
        <v>1697</v>
      </c>
      <c r="J68" s="22" t="s">
        <v>1707</v>
      </c>
      <c r="K68" s="22" t="s">
        <v>1603</v>
      </c>
      <c r="L68" s="22" t="s">
        <v>1708</v>
      </c>
      <c r="M68" s="22" t="s">
        <v>1577</v>
      </c>
      <c r="N68" s="29" t="s">
        <v>1383</v>
      </c>
      <c r="O68" s="22" t="s">
        <v>1384</v>
      </c>
      <c r="P68" s="22" t="s">
        <v>1384</v>
      </c>
    </row>
    <row r="69" customFormat="false" ht="15" hidden="false" customHeight="false" outlineLevel="0" collapsed="false">
      <c r="A69" s="22" t="n">
        <v>66</v>
      </c>
      <c r="B69" s="22" t="s">
        <v>98</v>
      </c>
      <c r="C69" s="22" t="s">
        <v>1544</v>
      </c>
      <c r="D69" s="22" t="s">
        <v>1452</v>
      </c>
      <c r="E69" s="28" t="n">
        <v>3717293</v>
      </c>
      <c r="F69" s="28" t="n">
        <v>0</v>
      </c>
      <c r="G69" s="28" t="n">
        <f aca="false">E69-F69</f>
        <v>3717293</v>
      </c>
      <c r="H69" s="23" t="n">
        <v>46071</v>
      </c>
      <c r="I69" s="22" t="s">
        <v>1697</v>
      </c>
      <c r="J69" s="22" t="s">
        <v>1709</v>
      </c>
      <c r="K69" s="22" t="s">
        <v>1562</v>
      </c>
      <c r="L69" s="22" t="s">
        <v>1708</v>
      </c>
      <c r="M69" s="22" t="s">
        <v>1710</v>
      </c>
      <c r="N69" s="29" t="s">
        <v>1383</v>
      </c>
      <c r="O69" s="22" t="s">
        <v>1384</v>
      </c>
      <c r="P69" s="22" t="s">
        <v>1384</v>
      </c>
    </row>
    <row r="70" customFormat="false" ht="15" hidden="false" customHeight="false" outlineLevel="0" collapsed="false">
      <c r="A70" s="22" t="n">
        <v>67</v>
      </c>
      <c r="B70" s="22" t="s">
        <v>98</v>
      </c>
      <c r="C70" s="22" t="s">
        <v>1544</v>
      </c>
      <c r="D70" s="22" t="s">
        <v>1452</v>
      </c>
      <c r="E70" s="28" t="n">
        <v>1960029.8</v>
      </c>
      <c r="F70" s="28" t="n">
        <v>0</v>
      </c>
      <c r="G70" s="28" t="n">
        <f aca="false">E70-F70</f>
        <v>1960029.8</v>
      </c>
      <c r="H70" s="23" t="n">
        <v>46072</v>
      </c>
      <c r="I70" s="22" t="s">
        <v>1566</v>
      </c>
      <c r="J70" s="22" t="s">
        <v>1646</v>
      </c>
      <c r="K70" s="22" t="s">
        <v>1603</v>
      </c>
      <c r="L70" s="22" t="s">
        <v>1647</v>
      </c>
      <c r="M70" s="22" t="s">
        <v>1577</v>
      </c>
      <c r="N70" s="29" t="s">
        <v>1383</v>
      </c>
      <c r="O70" s="22" t="s">
        <v>1384</v>
      </c>
      <c r="P70" s="22" t="s">
        <v>1384</v>
      </c>
    </row>
    <row r="71" customFormat="false" ht="15" hidden="false" customHeight="false" outlineLevel="0" collapsed="false">
      <c r="A71" s="22" t="n">
        <v>68</v>
      </c>
      <c r="B71" s="22" t="s">
        <v>98</v>
      </c>
      <c r="C71" s="22" t="s">
        <v>1544</v>
      </c>
      <c r="D71" s="22" t="s">
        <v>1452</v>
      </c>
      <c r="E71" s="28" t="n">
        <v>0</v>
      </c>
      <c r="F71" s="28" t="n">
        <v>1960029.8</v>
      </c>
      <c r="G71" s="28" t="n">
        <f aca="false">E71-F71</f>
        <v>-1960029.8</v>
      </c>
      <c r="H71" s="23" t="n">
        <v>46072</v>
      </c>
      <c r="I71" s="22" t="s">
        <v>1566</v>
      </c>
      <c r="J71" s="22" t="s">
        <v>1711</v>
      </c>
      <c r="K71" s="22" t="s">
        <v>1614</v>
      </c>
      <c r="L71" s="22" t="s">
        <v>1712</v>
      </c>
      <c r="M71" s="22" t="s">
        <v>1577</v>
      </c>
      <c r="N71" s="29" t="s">
        <v>1383</v>
      </c>
      <c r="O71" s="22" t="s">
        <v>1384</v>
      </c>
      <c r="P71" s="22" t="s">
        <v>1384</v>
      </c>
    </row>
    <row r="72" customFormat="false" ht="15" hidden="false" customHeight="false" outlineLevel="0" collapsed="false">
      <c r="A72" s="22" t="n">
        <v>69</v>
      </c>
      <c r="B72" s="22" t="s">
        <v>98</v>
      </c>
      <c r="C72" s="22" t="s">
        <v>1544</v>
      </c>
      <c r="D72" s="22" t="s">
        <v>1452</v>
      </c>
      <c r="E72" s="28" t="n">
        <v>0</v>
      </c>
      <c r="F72" s="28" t="n">
        <v>2107288.1</v>
      </c>
      <c r="G72" s="28" t="n">
        <f aca="false">E72-F72</f>
        <v>-2107288.1</v>
      </c>
      <c r="H72" s="23" t="n">
        <v>46073</v>
      </c>
      <c r="I72" s="22" t="s">
        <v>1697</v>
      </c>
      <c r="J72" s="22" t="s">
        <v>1713</v>
      </c>
      <c r="K72" s="22" t="s">
        <v>1603</v>
      </c>
      <c r="L72" s="22" t="s">
        <v>1714</v>
      </c>
      <c r="M72" s="22" t="s">
        <v>1577</v>
      </c>
      <c r="N72" s="29" t="s">
        <v>1383</v>
      </c>
      <c r="O72" s="22" t="s">
        <v>1384</v>
      </c>
      <c r="P72" s="22" t="s">
        <v>1384</v>
      </c>
    </row>
    <row r="73" customFormat="false" ht="15" hidden="false" customHeight="false" outlineLevel="0" collapsed="false">
      <c r="A73" s="22" t="n">
        <v>70</v>
      </c>
      <c r="B73" s="22" t="s">
        <v>98</v>
      </c>
      <c r="C73" s="22" t="s">
        <v>1544</v>
      </c>
      <c r="D73" s="22" t="s">
        <v>1452</v>
      </c>
      <c r="E73" s="28" t="n">
        <v>0.44</v>
      </c>
      <c r="F73" s="28" t="n">
        <v>0</v>
      </c>
      <c r="G73" s="28" t="n">
        <f aca="false">E73-F73</f>
        <v>0.44</v>
      </c>
      <c r="H73" s="23" t="n">
        <v>46080</v>
      </c>
      <c r="I73" s="22" t="s">
        <v>1715</v>
      </c>
      <c r="J73" s="22" t="s">
        <v>1716</v>
      </c>
      <c r="K73" s="22" t="s">
        <v>1614</v>
      </c>
      <c r="L73" s="22" t="s">
        <v>1638</v>
      </c>
      <c r="M73" s="22" t="s">
        <v>1629</v>
      </c>
      <c r="N73" s="29" t="s">
        <v>1383</v>
      </c>
      <c r="O73" s="22" t="s">
        <v>1384</v>
      </c>
      <c r="P73" s="22" t="s">
        <v>1384</v>
      </c>
    </row>
    <row r="74" customFormat="false" ht="15" hidden="false" customHeight="false" outlineLevel="0" collapsed="false">
      <c r="A74" s="22" t="n">
        <v>71</v>
      </c>
      <c r="B74" s="22" t="s">
        <v>98</v>
      </c>
      <c r="C74" s="22" t="s">
        <v>1544</v>
      </c>
      <c r="D74" s="22" t="s">
        <v>1452</v>
      </c>
      <c r="E74" s="28" t="n">
        <v>0</v>
      </c>
      <c r="F74" s="28" t="n">
        <v>1457760</v>
      </c>
      <c r="G74" s="28" t="n">
        <f aca="false">E74-F74</f>
        <v>-1457760</v>
      </c>
      <c r="H74" s="23" t="n">
        <v>46081</v>
      </c>
      <c r="I74" s="22" t="s">
        <v>1697</v>
      </c>
      <c r="J74" s="22" t="s">
        <v>1717</v>
      </c>
      <c r="K74" s="22" t="s">
        <v>1603</v>
      </c>
      <c r="L74" s="22" t="s">
        <v>1718</v>
      </c>
      <c r="M74" s="22" t="s">
        <v>1577</v>
      </c>
      <c r="N74" s="29" t="s">
        <v>1383</v>
      </c>
      <c r="O74" s="22" t="s">
        <v>1384</v>
      </c>
      <c r="P74" s="22" t="s">
        <v>1384</v>
      </c>
    </row>
    <row r="75" customFormat="false" ht="15" hidden="false" customHeight="false" outlineLevel="0" collapsed="false">
      <c r="A75" s="22" t="n">
        <v>72</v>
      </c>
      <c r="B75" s="22" t="s">
        <v>98</v>
      </c>
      <c r="C75" s="22" t="s">
        <v>1544</v>
      </c>
      <c r="D75" s="22" t="s">
        <v>1452</v>
      </c>
      <c r="E75" s="28" t="n">
        <v>0</v>
      </c>
      <c r="F75" s="28" t="n">
        <v>1307801</v>
      </c>
      <c r="G75" s="28" t="n">
        <f aca="false">E75-F75</f>
        <v>-1307801</v>
      </c>
      <c r="H75" s="23" t="n">
        <v>46111</v>
      </c>
      <c r="I75" s="22" t="s">
        <v>1697</v>
      </c>
      <c r="J75" s="22" t="s">
        <v>1719</v>
      </c>
      <c r="K75" s="22" t="s">
        <v>1603</v>
      </c>
      <c r="L75" s="22" t="s">
        <v>1720</v>
      </c>
      <c r="M75" s="22" t="s">
        <v>1577</v>
      </c>
      <c r="N75" s="29" t="s">
        <v>1383</v>
      </c>
      <c r="O75" s="22" t="s">
        <v>1384</v>
      </c>
      <c r="P75" s="22" t="s">
        <v>1384</v>
      </c>
    </row>
    <row r="76" customFormat="false" ht="15" hidden="false" customHeight="false" outlineLevel="0" collapsed="false">
      <c r="A76" s="22" t="n">
        <v>73</v>
      </c>
      <c r="B76" s="22" t="s">
        <v>98</v>
      </c>
      <c r="C76" s="22" t="s">
        <v>1544</v>
      </c>
      <c r="D76" s="22" t="s">
        <v>1452</v>
      </c>
      <c r="E76" s="28" t="n">
        <v>0</v>
      </c>
      <c r="F76" s="28" t="n">
        <v>2097577.22</v>
      </c>
      <c r="G76" s="28" t="n">
        <f aca="false">E76-F76</f>
        <v>-2097577.22</v>
      </c>
      <c r="H76" s="23" t="n">
        <v>46111</v>
      </c>
      <c r="I76" s="22" t="s">
        <v>1697</v>
      </c>
      <c r="J76" s="22" t="s">
        <v>1721</v>
      </c>
      <c r="K76" s="22" t="s">
        <v>1603</v>
      </c>
      <c r="L76" s="22" t="s">
        <v>1722</v>
      </c>
      <c r="M76" s="22" t="s">
        <v>1577</v>
      </c>
      <c r="N76" s="29" t="s">
        <v>1383</v>
      </c>
      <c r="O76" s="22" t="s">
        <v>1384</v>
      </c>
      <c r="P76" s="22" t="s">
        <v>1384</v>
      </c>
    </row>
    <row r="77" customFormat="false" ht="15" hidden="false" customHeight="false" outlineLevel="0" collapsed="false">
      <c r="A77" s="22" t="n">
        <v>74</v>
      </c>
      <c r="B77" s="22" t="s">
        <v>98</v>
      </c>
      <c r="C77" s="22" t="s">
        <v>1544</v>
      </c>
      <c r="D77" s="22" t="s">
        <v>1452</v>
      </c>
      <c r="E77" s="28" t="n">
        <v>3450203.76</v>
      </c>
      <c r="F77" s="28" t="n">
        <v>0</v>
      </c>
      <c r="G77" s="28" t="n">
        <f aca="false">E77-F77</f>
        <v>3450203.76</v>
      </c>
      <c r="H77" s="23" t="n">
        <v>46129</v>
      </c>
      <c r="I77" s="22" t="s">
        <v>1566</v>
      </c>
      <c r="J77" s="22" t="s">
        <v>1652</v>
      </c>
      <c r="K77" s="22" t="s">
        <v>1603</v>
      </c>
      <c r="L77" s="22" t="s">
        <v>1653</v>
      </c>
      <c r="M77" s="22" t="s">
        <v>1577</v>
      </c>
      <c r="N77" s="29" t="s">
        <v>1383</v>
      </c>
      <c r="O77" s="22" t="s">
        <v>1384</v>
      </c>
      <c r="P77" s="22" t="s">
        <v>1384</v>
      </c>
    </row>
    <row r="78" customFormat="false" ht="15" hidden="false" customHeight="false" outlineLevel="0" collapsed="false">
      <c r="A78" s="22" t="n">
        <v>75</v>
      </c>
      <c r="B78" s="22" t="s">
        <v>98</v>
      </c>
      <c r="C78" s="22" t="s">
        <v>1544</v>
      </c>
      <c r="D78" s="22" t="s">
        <v>1452</v>
      </c>
      <c r="E78" s="28" t="n">
        <v>3565048.1</v>
      </c>
      <c r="F78" s="28" t="n">
        <v>0</v>
      </c>
      <c r="G78" s="28" t="n">
        <f aca="false">E78-F78</f>
        <v>3565048.1</v>
      </c>
      <c r="H78" s="23" t="n">
        <v>46135</v>
      </c>
      <c r="I78" s="22" t="s">
        <v>1566</v>
      </c>
      <c r="J78" s="22" t="s">
        <v>1654</v>
      </c>
      <c r="K78" s="22" t="s">
        <v>1603</v>
      </c>
      <c r="L78" s="22" t="s">
        <v>1655</v>
      </c>
      <c r="M78" s="22" t="s">
        <v>1577</v>
      </c>
      <c r="N78" s="29" t="s">
        <v>1383</v>
      </c>
      <c r="O78" s="22" t="s">
        <v>1384</v>
      </c>
      <c r="P78" s="22" t="s">
        <v>1384</v>
      </c>
    </row>
    <row r="79" customFormat="false" ht="15" hidden="false" customHeight="false" outlineLevel="0" collapsed="false">
      <c r="A79" s="22" t="n">
        <v>76</v>
      </c>
      <c r="B79" s="22" t="s">
        <v>98</v>
      </c>
      <c r="C79" s="22" t="s">
        <v>1544</v>
      </c>
      <c r="D79" s="22" t="s">
        <v>1452</v>
      </c>
      <c r="E79" s="28" t="n">
        <v>0</v>
      </c>
      <c r="F79" s="28" t="n">
        <v>1381414.76</v>
      </c>
      <c r="G79" s="28" t="n">
        <f aca="false">E79-F79</f>
        <v>-1381414.76</v>
      </c>
      <c r="H79" s="23" t="n">
        <v>46142</v>
      </c>
      <c r="I79" s="22" t="s">
        <v>1697</v>
      </c>
      <c r="J79" s="22" t="s">
        <v>1723</v>
      </c>
      <c r="K79" s="22" t="s">
        <v>1603</v>
      </c>
      <c r="L79" s="22" t="s">
        <v>1724</v>
      </c>
      <c r="M79" s="22" t="s">
        <v>1577</v>
      </c>
      <c r="N79" s="29" t="s">
        <v>1383</v>
      </c>
      <c r="O79" s="22" t="s">
        <v>1384</v>
      </c>
      <c r="P79" s="22" t="s">
        <v>1384</v>
      </c>
    </row>
    <row r="80" customFormat="false" ht="15" hidden="false" customHeight="false" outlineLevel="0" collapsed="false">
      <c r="A80" s="22" t="n">
        <v>77</v>
      </c>
      <c r="B80" s="22" t="s">
        <v>98</v>
      </c>
      <c r="C80" s="22" t="s">
        <v>1544</v>
      </c>
      <c r="D80" s="22" t="s">
        <v>1452</v>
      </c>
      <c r="E80" s="28" t="n">
        <v>0</v>
      </c>
      <c r="F80" s="28" t="n">
        <v>3717293.44</v>
      </c>
      <c r="G80" s="28" t="n">
        <f aca="false">E80-F80</f>
        <v>-3717293.44</v>
      </c>
      <c r="H80" s="23" t="n">
        <v>46157</v>
      </c>
      <c r="I80" s="22" t="s">
        <v>1697</v>
      </c>
      <c r="J80" s="22" t="s">
        <v>1725</v>
      </c>
      <c r="K80" s="22" t="s">
        <v>1603</v>
      </c>
      <c r="L80" s="22" t="s">
        <v>1726</v>
      </c>
      <c r="M80" s="22" t="s">
        <v>1577</v>
      </c>
      <c r="N80" s="29" t="s">
        <v>1383</v>
      </c>
      <c r="O80" s="22" t="s">
        <v>1384</v>
      </c>
      <c r="P80" s="22" t="s">
        <v>1384</v>
      </c>
    </row>
    <row r="81" customFormat="false" ht="15" hidden="false" customHeight="false" outlineLevel="0" collapsed="false">
      <c r="A81" s="22" t="n">
        <v>78</v>
      </c>
      <c r="B81" s="22" t="s">
        <v>98</v>
      </c>
      <c r="C81" s="22" t="s">
        <v>1544</v>
      </c>
      <c r="D81" s="22" t="s">
        <v>1452</v>
      </c>
      <c r="E81" s="28" t="n">
        <v>3405378.22</v>
      </c>
      <c r="F81" s="28" t="n">
        <v>0</v>
      </c>
      <c r="G81" s="28" t="n">
        <f aca="false">E81-F81</f>
        <v>3405378.22</v>
      </c>
      <c r="H81" s="23" t="n">
        <v>46163</v>
      </c>
      <c r="I81" s="22" t="s">
        <v>1566</v>
      </c>
      <c r="J81" s="22" t="s">
        <v>1658</v>
      </c>
      <c r="K81" s="22" t="s">
        <v>1603</v>
      </c>
      <c r="L81" s="22" t="s">
        <v>1659</v>
      </c>
      <c r="M81" s="22" t="s">
        <v>1577</v>
      </c>
      <c r="N81" s="29" t="s">
        <v>1383</v>
      </c>
      <c r="O81" s="22" t="s">
        <v>1384</v>
      </c>
      <c r="P81" s="22" t="s">
        <v>1384</v>
      </c>
    </row>
    <row r="82" customFormat="false" ht="15" hidden="false" customHeight="false" outlineLevel="0" collapsed="false">
      <c r="A82" s="22" t="n">
        <v>79</v>
      </c>
      <c r="B82" s="22" t="s">
        <v>98</v>
      </c>
      <c r="C82" s="22" t="s">
        <v>1544</v>
      </c>
      <c r="D82" s="22" t="s">
        <v>1452</v>
      </c>
      <c r="E82" s="28" t="n">
        <v>0</v>
      </c>
      <c r="F82" s="28" t="n">
        <v>1382561</v>
      </c>
      <c r="G82" s="28" t="n">
        <f aca="false">E82-F82</f>
        <v>-1382561</v>
      </c>
      <c r="H82" s="23" t="n">
        <v>46172</v>
      </c>
      <c r="I82" s="22" t="s">
        <v>1697</v>
      </c>
      <c r="J82" s="22" t="s">
        <v>1727</v>
      </c>
      <c r="K82" s="22" t="s">
        <v>1603</v>
      </c>
      <c r="L82" s="22" t="s">
        <v>1728</v>
      </c>
      <c r="M82" s="22" t="s">
        <v>1577</v>
      </c>
      <c r="N82" s="29" t="s">
        <v>1383</v>
      </c>
      <c r="O82" s="22" t="s">
        <v>1384</v>
      </c>
      <c r="P82" s="22" t="s">
        <v>1384</v>
      </c>
    </row>
    <row r="83" customFormat="false" ht="15" hidden="false" customHeight="false" outlineLevel="0" collapsed="false">
      <c r="A83" s="22" t="n">
        <v>80</v>
      </c>
      <c r="B83" s="22" t="s">
        <v>98</v>
      </c>
      <c r="C83" s="22" t="s">
        <v>1544</v>
      </c>
      <c r="D83" s="22" t="s">
        <v>1452</v>
      </c>
      <c r="E83" s="28" t="n">
        <v>0</v>
      </c>
      <c r="F83" s="28" t="n">
        <v>1999850.62</v>
      </c>
      <c r="G83" s="28" t="n">
        <f aca="false">E83-F83</f>
        <v>-1999850.62</v>
      </c>
      <c r="H83" s="23" t="n">
        <v>46172</v>
      </c>
      <c r="I83" s="22" t="s">
        <v>1697</v>
      </c>
      <c r="J83" s="22" t="s">
        <v>1729</v>
      </c>
      <c r="K83" s="22" t="s">
        <v>1603</v>
      </c>
      <c r="L83" s="22" t="s">
        <v>1730</v>
      </c>
      <c r="M83" s="22" t="s">
        <v>1577</v>
      </c>
      <c r="N83" s="29" t="s">
        <v>1383</v>
      </c>
      <c r="O83" s="22" t="s">
        <v>1384</v>
      </c>
      <c r="P83" s="22" t="s">
        <v>1384</v>
      </c>
    </row>
    <row r="84" customFormat="false" ht="15" hidden="false" customHeight="false" outlineLevel="0" collapsed="false">
      <c r="A84" s="22" t="n">
        <v>81</v>
      </c>
      <c r="B84" s="22" t="s">
        <v>98</v>
      </c>
      <c r="C84" s="22" t="s">
        <v>1544</v>
      </c>
      <c r="D84" s="22" t="s">
        <v>1452</v>
      </c>
      <c r="E84" s="28" t="n">
        <v>0</v>
      </c>
      <c r="F84" s="28" t="n">
        <v>2152877.48</v>
      </c>
      <c r="G84" s="28" t="n">
        <f aca="false">E84-F84</f>
        <v>-2152877.48</v>
      </c>
      <c r="H84" s="23" t="n">
        <v>46172</v>
      </c>
      <c r="I84" s="22" t="s">
        <v>1660</v>
      </c>
      <c r="J84" s="22" t="s">
        <v>1661</v>
      </c>
      <c r="K84" s="22" t="s">
        <v>1603</v>
      </c>
      <c r="L84" s="22" t="s">
        <v>1662</v>
      </c>
      <c r="M84" s="22" t="s">
        <v>1577</v>
      </c>
      <c r="N84" s="29" t="s">
        <v>1383</v>
      </c>
      <c r="O84" s="22" t="s">
        <v>1384</v>
      </c>
      <c r="P84" s="22" t="s">
        <v>1384</v>
      </c>
    </row>
    <row r="85" customFormat="false" ht="15" hidden="false" customHeight="false" outlineLevel="0" collapsed="false">
      <c r="A85" s="22" t="n">
        <v>82</v>
      </c>
      <c r="B85" s="22" t="s">
        <v>98</v>
      </c>
      <c r="C85" s="22" t="s">
        <v>1544</v>
      </c>
      <c r="D85" s="22" t="s">
        <v>1452</v>
      </c>
      <c r="E85" s="28" t="n">
        <v>0</v>
      </c>
      <c r="F85" s="28" t="n">
        <v>3717293.44</v>
      </c>
      <c r="G85" s="28" t="n">
        <f aca="false">E85-F85</f>
        <v>-3717293.44</v>
      </c>
      <c r="H85" s="23" t="n">
        <v>46191</v>
      </c>
      <c r="I85" s="22" t="s">
        <v>1697</v>
      </c>
      <c r="J85" s="22" t="s">
        <v>1731</v>
      </c>
      <c r="K85" s="22" t="s">
        <v>1603</v>
      </c>
      <c r="L85" s="22" t="s">
        <v>1732</v>
      </c>
      <c r="M85" s="22" t="s">
        <v>1577</v>
      </c>
      <c r="N85" s="29" t="s">
        <v>1383</v>
      </c>
      <c r="O85" s="22" t="s">
        <v>1384</v>
      </c>
      <c r="P85" s="22" t="s">
        <v>1384</v>
      </c>
    </row>
    <row r="86" customFormat="false" ht="15" hidden="false" customHeight="false" outlineLevel="0" collapsed="false">
      <c r="A86" s="22" t="n">
        <v>83</v>
      </c>
      <c r="B86" s="22" t="s">
        <v>98</v>
      </c>
      <c r="C86" s="22" t="s">
        <v>1544</v>
      </c>
      <c r="D86" s="22" t="s">
        <v>1452</v>
      </c>
      <c r="E86" s="28" t="n">
        <v>0</v>
      </c>
      <c r="F86" s="28" t="n">
        <v>2012362.93</v>
      </c>
      <c r="G86" s="28" t="n">
        <f aca="false">E86-F86</f>
        <v>-2012362.93</v>
      </c>
      <c r="H86" s="23" t="n">
        <v>46203</v>
      </c>
      <c r="I86" s="22" t="s">
        <v>1697</v>
      </c>
      <c r="J86" s="22" t="s">
        <v>1733</v>
      </c>
      <c r="K86" s="22" t="s">
        <v>1603</v>
      </c>
      <c r="L86" s="22" t="s">
        <v>1734</v>
      </c>
      <c r="M86" s="22" t="s">
        <v>1577</v>
      </c>
      <c r="N86" s="29" t="s">
        <v>1383</v>
      </c>
      <c r="O86" s="22" t="s">
        <v>1384</v>
      </c>
      <c r="P86" s="22" t="s">
        <v>1384</v>
      </c>
    </row>
    <row r="87" customFormat="false" ht="15" hidden="false" customHeight="false" outlineLevel="0" collapsed="false">
      <c r="A87" s="22" t="n">
        <v>84</v>
      </c>
      <c r="B87" s="22" t="s">
        <v>98</v>
      </c>
      <c r="C87" s="22" t="s">
        <v>1544</v>
      </c>
      <c r="D87" s="22" t="s">
        <v>1452</v>
      </c>
      <c r="E87" s="28" t="n">
        <v>0</v>
      </c>
      <c r="F87" s="28" t="n">
        <v>3717293.44</v>
      </c>
      <c r="G87" s="28" t="n">
        <f aca="false">E87-F87</f>
        <v>-3717293.44</v>
      </c>
      <c r="H87" s="23" t="n">
        <v>46213</v>
      </c>
      <c r="I87" s="22" t="s">
        <v>1697</v>
      </c>
      <c r="J87" s="22" t="s">
        <v>1735</v>
      </c>
      <c r="K87" s="22" t="s">
        <v>1603</v>
      </c>
      <c r="L87" s="22" t="s">
        <v>1736</v>
      </c>
      <c r="M87" s="22" t="s">
        <v>1577</v>
      </c>
      <c r="N87" s="29" t="s">
        <v>1383</v>
      </c>
      <c r="O87" s="22" t="s">
        <v>1384</v>
      </c>
      <c r="P87" s="22" t="s">
        <v>1384</v>
      </c>
    </row>
    <row r="88" customFormat="false" ht="15" hidden="false" customHeight="false" outlineLevel="0" collapsed="false">
      <c r="A88" s="22" t="n">
        <v>85</v>
      </c>
      <c r="B88" s="22" t="s">
        <v>98</v>
      </c>
      <c r="C88" s="22" t="s">
        <v>1544</v>
      </c>
      <c r="D88" s="22" t="s">
        <v>1452</v>
      </c>
      <c r="E88" s="28" t="n">
        <v>0</v>
      </c>
      <c r="F88" s="28" t="n">
        <v>2159083.25</v>
      </c>
      <c r="G88" s="28" t="n">
        <f aca="false">E88-F88</f>
        <v>-2159083.25</v>
      </c>
      <c r="H88" s="23" t="n">
        <v>46230</v>
      </c>
      <c r="I88" s="22" t="s">
        <v>1697</v>
      </c>
      <c r="J88" s="22" t="s">
        <v>1737</v>
      </c>
      <c r="K88" s="22" t="s">
        <v>1603</v>
      </c>
      <c r="L88" s="22" t="s">
        <v>1738</v>
      </c>
      <c r="M88" s="22" t="s">
        <v>1577</v>
      </c>
      <c r="N88" s="29" t="s">
        <v>1383</v>
      </c>
      <c r="O88" s="22" t="s">
        <v>1384</v>
      </c>
      <c r="P88" s="22" t="s">
        <v>1384</v>
      </c>
    </row>
    <row r="89" customFormat="false" ht="15" hidden="false" customHeight="false" outlineLevel="0" collapsed="false">
      <c r="A89" s="22" t="n">
        <v>86</v>
      </c>
      <c r="B89" s="22" t="s">
        <v>98</v>
      </c>
      <c r="C89" s="22" t="s">
        <v>1544</v>
      </c>
      <c r="D89" s="22" t="s">
        <v>1452</v>
      </c>
      <c r="E89" s="28" t="n">
        <v>0</v>
      </c>
      <c r="F89" s="28" t="n">
        <v>1381417</v>
      </c>
      <c r="G89" s="28" t="n">
        <f aca="false">E89-F89</f>
        <v>-1381417</v>
      </c>
      <c r="H89" s="23" t="n">
        <v>46234</v>
      </c>
      <c r="I89" s="22" t="s">
        <v>1697</v>
      </c>
      <c r="J89" s="22" t="s">
        <v>1739</v>
      </c>
      <c r="K89" s="22" t="s">
        <v>1603</v>
      </c>
      <c r="L89" s="22" t="s">
        <v>1740</v>
      </c>
      <c r="M89" s="22" t="s">
        <v>1577</v>
      </c>
      <c r="N89" s="29" t="s">
        <v>1383</v>
      </c>
      <c r="O89" s="22" t="s">
        <v>1384</v>
      </c>
      <c r="P89" s="22" t="s">
        <v>1384</v>
      </c>
    </row>
    <row r="90" customFormat="false" ht="15" hidden="false" customHeight="false" outlineLevel="0" collapsed="false">
      <c r="A90" s="22" t="n">
        <v>87</v>
      </c>
      <c r="B90" s="22" t="s">
        <v>98</v>
      </c>
      <c r="C90" s="22" t="s">
        <v>1544</v>
      </c>
      <c r="D90" s="22" t="s">
        <v>1452</v>
      </c>
      <c r="E90" s="28" t="n">
        <v>10633994</v>
      </c>
      <c r="F90" s="28" t="n">
        <v>0</v>
      </c>
      <c r="G90" s="28" t="n">
        <f aca="false">E90-F90</f>
        <v>10633994</v>
      </c>
      <c r="H90" s="23" t="n">
        <v>46234</v>
      </c>
      <c r="I90" s="22" t="s">
        <v>1566</v>
      </c>
      <c r="J90" s="22" t="s">
        <v>1669</v>
      </c>
      <c r="K90" s="22" t="s">
        <v>1603</v>
      </c>
      <c r="L90" s="22" t="s">
        <v>1670</v>
      </c>
      <c r="M90" s="22" t="s">
        <v>1577</v>
      </c>
      <c r="N90" s="29" t="s">
        <v>1383</v>
      </c>
      <c r="O90" s="22" t="s">
        <v>1384</v>
      </c>
      <c r="P90" s="22" t="s">
        <v>1384</v>
      </c>
    </row>
    <row r="91" customFormat="false" ht="15" hidden="false" customHeight="false" outlineLevel="0" collapsed="false">
      <c r="A91" s="22" t="n">
        <v>88</v>
      </c>
      <c r="B91" s="22" t="s">
        <v>98</v>
      </c>
      <c r="C91" s="22" t="s">
        <v>1544</v>
      </c>
      <c r="D91" s="22" t="s">
        <v>1741</v>
      </c>
      <c r="E91" s="28" t="n">
        <v>0</v>
      </c>
      <c r="F91" s="28" t="n">
        <v>301900</v>
      </c>
      <c r="G91" s="28" t="n">
        <f aca="false">E91-F91</f>
        <v>-301900</v>
      </c>
      <c r="H91" s="23" t="n">
        <v>46052</v>
      </c>
      <c r="I91" s="22" t="s">
        <v>1742</v>
      </c>
      <c r="J91" s="22" t="s">
        <v>1743</v>
      </c>
      <c r="K91" s="22" t="s">
        <v>1614</v>
      </c>
      <c r="L91" s="22" t="s">
        <v>1744</v>
      </c>
      <c r="M91" s="22" t="s">
        <v>1577</v>
      </c>
      <c r="N91" s="29" t="s">
        <v>1383</v>
      </c>
      <c r="O91" s="22" t="s">
        <v>1384</v>
      </c>
      <c r="P91" s="22" t="s">
        <v>1384</v>
      </c>
    </row>
    <row r="92" customFormat="false" ht="15" hidden="false" customHeight="false" outlineLevel="0" collapsed="false">
      <c r="A92" s="22" t="n">
        <v>89</v>
      </c>
      <c r="B92" s="22" t="s">
        <v>98</v>
      </c>
      <c r="C92" s="22" t="s">
        <v>1544</v>
      </c>
      <c r="D92" s="22" t="s">
        <v>1741</v>
      </c>
      <c r="E92" s="28" t="n">
        <v>301900</v>
      </c>
      <c r="F92" s="28" t="n">
        <v>0</v>
      </c>
      <c r="G92" s="28" t="n">
        <f aca="false">E92-F92</f>
        <v>301900</v>
      </c>
      <c r="H92" s="23" t="n">
        <v>46053</v>
      </c>
      <c r="I92" s="22" t="s">
        <v>1566</v>
      </c>
      <c r="J92" s="22" t="s">
        <v>1745</v>
      </c>
      <c r="K92" s="22" t="s">
        <v>1603</v>
      </c>
      <c r="L92" s="22" t="s">
        <v>1746</v>
      </c>
      <c r="M92" s="22" t="s">
        <v>1577</v>
      </c>
      <c r="N92" s="29" t="s">
        <v>1383</v>
      </c>
      <c r="O92" s="22" t="s">
        <v>1384</v>
      </c>
      <c r="P92" s="22" t="s">
        <v>1384</v>
      </c>
    </row>
    <row r="93" customFormat="false" ht="15" hidden="false" customHeight="false" outlineLevel="0" collapsed="false">
      <c r="A93" s="22" t="n">
        <v>90</v>
      </c>
      <c r="B93" s="22" t="s">
        <v>98</v>
      </c>
      <c r="C93" s="22" t="s">
        <v>1544</v>
      </c>
      <c r="D93" s="22" t="s">
        <v>1423</v>
      </c>
      <c r="E93" s="28" t="n">
        <v>547100</v>
      </c>
      <c r="F93" s="28" t="n">
        <v>0</v>
      </c>
      <c r="G93" s="28" t="n">
        <f aca="false">E93-F93</f>
        <v>547100</v>
      </c>
      <c r="H93" s="23" t="n">
        <v>46173</v>
      </c>
      <c r="I93" s="22" t="s">
        <v>1566</v>
      </c>
      <c r="J93" s="22" t="s">
        <v>1627</v>
      </c>
      <c r="K93" s="22" t="s">
        <v>1614</v>
      </c>
      <c r="L93" s="22" t="s">
        <v>1628</v>
      </c>
      <c r="M93" s="22" t="s">
        <v>1629</v>
      </c>
      <c r="N93" s="29" t="s">
        <v>1383</v>
      </c>
      <c r="O93" s="22" t="s">
        <v>1384</v>
      </c>
      <c r="P93" s="22" t="s">
        <v>1384</v>
      </c>
    </row>
    <row r="94" customFormat="false" ht="15" hidden="false" customHeight="false" outlineLevel="0" collapsed="false">
      <c r="A94" s="22" t="n">
        <v>91</v>
      </c>
      <c r="B94" s="22" t="s">
        <v>98</v>
      </c>
      <c r="C94" s="22" t="s">
        <v>1544</v>
      </c>
      <c r="D94" s="22" t="s">
        <v>1400</v>
      </c>
      <c r="E94" s="28" t="n">
        <v>4349883.43</v>
      </c>
      <c r="F94" s="28" t="n">
        <v>0</v>
      </c>
      <c r="G94" s="28" t="n">
        <f aca="false">E94-F94</f>
        <v>4349883.43</v>
      </c>
      <c r="H94" s="23" t="n">
        <v>46173</v>
      </c>
      <c r="I94" s="22" t="s">
        <v>1566</v>
      </c>
      <c r="J94" s="22" t="s">
        <v>1627</v>
      </c>
      <c r="K94" s="22" t="s">
        <v>1614</v>
      </c>
      <c r="L94" s="22" t="s">
        <v>1628</v>
      </c>
      <c r="M94" s="22" t="s">
        <v>1629</v>
      </c>
      <c r="N94" s="29" t="s">
        <v>1383</v>
      </c>
      <c r="O94" s="22" t="s">
        <v>1384</v>
      </c>
      <c r="P94" s="22" t="s">
        <v>1384</v>
      </c>
    </row>
    <row r="95" customFormat="false" ht="15" hidden="false" customHeight="false" outlineLevel="0" collapsed="false">
      <c r="A95" s="22" t="n">
        <v>92</v>
      </c>
      <c r="B95" s="22" t="s">
        <v>98</v>
      </c>
      <c r="C95" s="22" t="s">
        <v>1544</v>
      </c>
      <c r="D95" s="22" t="s">
        <v>1385</v>
      </c>
      <c r="E95" s="28" t="n">
        <v>5510003.45</v>
      </c>
      <c r="F95" s="28" t="n">
        <v>0</v>
      </c>
      <c r="G95" s="28" t="n">
        <f aca="false">E95-F95</f>
        <v>5510003.45</v>
      </c>
      <c r="H95" s="23" t="n">
        <v>46173</v>
      </c>
      <c r="I95" s="22" t="s">
        <v>1566</v>
      </c>
      <c r="J95" s="22" t="s">
        <v>1627</v>
      </c>
      <c r="K95" s="22" t="s">
        <v>1614</v>
      </c>
      <c r="L95" s="22" t="s">
        <v>1628</v>
      </c>
      <c r="M95" s="22" t="s">
        <v>1629</v>
      </c>
      <c r="N95" s="29" t="s">
        <v>1383</v>
      </c>
      <c r="O95" s="22" t="s">
        <v>1384</v>
      </c>
      <c r="P95" s="22" t="s">
        <v>1384</v>
      </c>
    </row>
    <row r="96" customFormat="false" ht="15" hidden="false" customHeight="false" outlineLevel="0" collapsed="false">
      <c r="A96" s="22" t="n">
        <v>93</v>
      </c>
      <c r="B96" s="22" t="s">
        <v>98</v>
      </c>
      <c r="C96" s="22" t="s">
        <v>1544</v>
      </c>
      <c r="D96" s="22" t="s">
        <v>1420</v>
      </c>
      <c r="E96" s="28" t="n">
        <v>190699.88</v>
      </c>
      <c r="F96" s="28" t="n">
        <v>0</v>
      </c>
      <c r="G96" s="28" t="n">
        <f aca="false">E96-F96</f>
        <v>190699.88</v>
      </c>
      <c r="H96" s="23" t="n">
        <v>46173</v>
      </c>
      <c r="I96" s="22" t="s">
        <v>1566</v>
      </c>
      <c r="J96" s="22" t="s">
        <v>1627</v>
      </c>
      <c r="K96" s="22" t="s">
        <v>1614</v>
      </c>
      <c r="L96" s="22" t="s">
        <v>1628</v>
      </c>
      <c r="M96" s="22" t="s">
        <v>1629</v>
      </c>
      <c r="N96" s="29" t="s">
        <v>1383</v>
      </c>
      <c r="O96" s="22" t="s">
        <v>1384</v>
      </c>
      <c r="P96" s="22" t="s">
        <v>1384</v>
      </c>
    </row>
    <row r="97" customFormat="false" ht="15" hidden="false" customHeight="false" outlineLevel="0" collapsed="false">
      <c r="A97" s="22" t="n">
        <v>94</v>
      </c>
      <c r="B97" s="22" t="s">
        <v>98</v>
      </c>
      <c r="C97" s="22" t="s">
        <v>1544</v>
      </c>
      <c r="D97" s="22" t="s">
        <v>1426</v>
      </c>
      <c r="E97" s="28" t="n">
        <v>0</v>
      </c>
      <c r="F97" s="28" t="n">
        <v>415900</v>
      </c>
      <c r="G97" s="28" t="n">
        <f aca="false">E97-F97</f>
        <v>-415900</v>
      </c>
      <c r="H97" s="23" t="n">
        <v>46041</v>
      </c>
      <c r="I97" s="22" t="s">
        <v>1747</v>
      </c>
      <c r="J97" s="22" t="s">
        <v>1748</v>
      </c>
      <c r="K97" s="22" t="s">
        <v>1603</v>
      </c>
      <c r="L97" s="22" t="s">
        <v>1749</v>
      </c>
      <c r="M97" s="22" t="s">
        <v>1577</v>
      </c>
      <c r="N97" s="29" t="s">
        <v>1383</v>
      </c>
      <c r="O97" s="22" t="s">
        <v>1384</v>
      </c>
      <c r="P97" s="22" t="s">
        <v>1384</v>
      </c>
    </row>
    <row r="98" customFormat="false" ht="15" hidden="false" customHeight="false" outlineLevel="0" collapsed="false">
      <c r="A98" s="22" t="n">
        <v>95</v>
      </c>
      <c r="B98" s="22" t="s">
        <v>98</v>
      </c>
      <c r="C98" s="22" t="s">
        <v>1544</v>
      </c>
      <c r="D98" s="22" t="s">
        <v>1426</v>
      </c>
      <c r="E98" s="28" t="n">
        <v>0</v>
      </c>
      <c r="F98" s="28" t="n">
        <v>304600</v>
      </c>
      <c r="G98" s="28" t="n">
        <f aca="false">E98-F98</f>
        <v>-304600</v>
      </c>
      <c r="H98" s="23" t="n">
        <v>46041</v>
      </c>
      <c r="I98" s="22" t="s">
        <v>1747</v>
      </c>
      <c r="J98" s="22" t="s">
        <v>1750</v>
      </c>
      <c r="K98" s="22" t="s">
        <v>1603</v>
      </c>
      <c r="L98" s="22" t="s">
        <v>1751</v>
      </c>
      <c r="M98" s="22" t="s">
        <v>1577</v>
      </c>
      <c r="N98" s="29" t="s">
        <v>1383</v>
      </c>
      <c r="O98" s="22" t="s">
        <v>1384</v>
      </c>
      <c r="P98" s="22" t="s">
        <v>1384</v>
      </c>
    </row>
    <row r="99" customFormat="false" ht="15" hidden="false" customHeight="false" outlineLevel="0" collapsed="false">
      <c r="A99" s="22" t="n">
        <v>96</v>
      </c>
      <c r="B99" s="22" t="s">
        <v>98</v>
      </c>
      <c r="C99" s="22" t="s">
        <v>1544</v>
      </c>
      <c r="D99" s="22" t="s">
        <v>1426</v>
      </c>
      <c r="E99" s="28" t="n">
        <v>0</v>
      </c>
      <c r="F99" s="28" t="n">
        <v>501700</v>
      </c>
      <c r="G99" s="28" t="n">
        <f aca="false">E99-F99</f>
        <v>-501700</v>
      </c>
      <c r="H99" s="23" t="n">
        <v>46043</v>
      </c>
      <c r="I99" s="22" t="s">
        <v>1747</v>
      </c>
      <c r="J99" s="22" t="s">
        <v>1752</v>
      </c>
      <c r="K99" s="22" t="s">
        <v>1603</v>
      </c>
      <c r="L99" s="22" t="s">
        <v>1753</v>
      </c>
      <c r="M99" s="22" t="s">
        <v>1577</v>
      </c>
      <c r="N99" s="29" t="s">
        <v>1383</v>
      </c>
      <c r="O99" s="22" t="s">
        <v>1384</v>
      </c>
      <c r="P99" s="22" t="s">
        <v>1384</v>
      </c>
    </row>
    <row r="100" customFormat="false" ht="15" hidden="false" customHeight="false" outlineLevel="0" collapsed="false">
      <c r="A100" s="22" t="n">
        <v>97</v>
      </c>
      <c r="B100" s="22" t="s">
        <v>98</v>
      </c>
      <c r="C100" s="22" t="s">
        <v>1544</v>
      </c>
      <c r="D100" s="22" t="s">
        <v>1426</v>
      </c>
      <c r="E100" s="28" t="n">
        <v>0</v>
      </c>
      <c r="F100" s="28" t="n">
        <v>285700</v>
      </c>
      <c r="G100" s="28" t="n">
        <f aca="false">E100-F100</f>
        <v>-285700</v>
      </c>
      <c r="H100" s="23" t="n">
        <v>46050</v>
      </c>
      <c r="I100" s="22" t="s">
        <v>1747</v>
      </c>
      <c r="J100" s="22" t="s">
        <v>1754</v>
      </c>
      <c r="K100" s="22" t="s">
        <v>1603</v>
      </c>
      <c r="L100" s="22" t="s">
        <v>1755</v>
      </c>
      <c r="M100" s="22" t="s">
        <v>1577</v>
      </c>
      <c r="N100" s="29" t="s">
        <v>1383</v>
      </c>
      <c r="O100" s="22" t="s">
        <v>1384</v>
      </c>
      <c r="P100" s="22" t="s">
        <v>1384</v>
      </c>
    </row>
    <row r="101" customFormat="false" ht="15" hidden="false" customHeight="false" outlineLevel="0" collapsed="false">
      <c r="A101" s="22" t="n">
        <v>98</v>
      </c>
      <c r="B101" s="22" t="s">
        <v>98</v>
      </c>
      <c r="C101" s="22" t="s">
        <v>1544</v>
      </c>
      <c r="D101" s="22" t="s">
        <v>1426</v>
      </c>
      <c r="E101" s="28" t="n">
        <v>0</v>
      </c>
      <c r="F101" s="28" t="n">
        <v>331700</v>
      </c>
      <c r="G101" s="28" t="n">
        <f aca="false">E101-F101</f>
        <v>-331700</v>
      </c>
      <c r="H101" s="23" t="n">
        <v>46050</v>
      </c>
      <c r="I101" s="22" t="s">
        <v>1747</v>
      </c>
      <c r="J101" s="22" t="s">
        <v>1756</v>
      </c>
      <c r="K101" s="22" t="s">
        <v>1603</v>
      </c>
      <c r="L101" s="22" t="s">
        <v>1757</v>
      </c>
      <c r="M101" s="22" t="s">
        <v>1577</v>
      </c>
      <c r="N101" s="29" t="s">
        <v>1383</v>
      </c>
      <c r="O101" s="22" t="s">
        <v>1384</v>
      </c>
      <c r="P101" s="22" t="s">
        <v>1384</v>
      </c>
    </row>
    <row r="102" customFormat="false" ht="15" hidden="false" customHeight="false" outlineLevel="0" collapsed="false">
      <c r="A102" s="22" t="n">
        <v>99</v>
      </c>
      <c r="B102" s="22" t="s">
        <v>98</v>
      </c>
      <c r="C102" s="22" t="s">
        <v>1544</v>
      </c>
      <c r="D102" s="22" t="s">
        <v>1426</v>
      </c>
      <c r="E102" s="28" t="n">
        <v>1531600</v>
      </c>
      <c r="F102" s="28" t="n">
        <v>0</v>
      </c>
      <c r="G102" s="28" t="n">
        <f aca="false">E102-F102</f>
        <v>1531600</v>
      </c>
      <c r="H102" s="23" t="n">
        <v>46052</v>
      </c>
      <c r="I102" s="22" t="s">
        <v>1566</v>
      </c>
      <c r="J102" s="22" t="s">
        <v>1642</v>
      </c>
      <c r="K102" s="22" t="s">
        <v>1603</v>
      </c>
      <c r="L102" s="22" t="s">
        <v>1643</v>
      </c>
      <c r="M102" s="22" t="s">
        <v>1577</v>
      </c>
      <c r="N102" s="29" t="s">
        <v>1383</v>
      </c>
      <c r="O102" s="22" t="s">
        <v>1384</v>
      </c>
      <c r="P102" s="22" t="s">
        <v>1384</v>
      </c>
    </row>
    <row r="103" customFormat="false" ht="15" hidden="false" customHeight="false" outlineLevel="0" collapsed="false">
      <c r="A103" s="22" t="n">
        <v>100</v>
      </c>
      <c r="B103" s="22" t="s">
        <v>98</v>
      </c>
      <c r="C103" s="22" t="s">
        <v>1544</v>
      </c>
      <c r="D103" s="22" t="s">
        <v>1426</v>
      </c>
      <c r="E103" s="28" t="n">
        <v>0</v>
      </c>
      <c r="F103" s="28" t="n">
        <v>216999.95</v>
      </c>
      <c r="G103" s="28" t="n">
        <f aca="false">E103-F103</f>
        <v>-216999.95</v>
      </c>
      <c r="H103" s="23" t="n">
        <v>46053</v>
      </c>
      <c r="I103" s="22" t="s">
        <v>1747</v>
      </c>
      <c r="J103" s="22" t="s">
        <v>1758</v>
      </c>
      <c r="K103" s="22" t="s">
        <v>1603</v>
      </c>
      <c r="L103" s="22" t="s">
        <v>1759</v>
      </c>
      <c r="M103" s="22" t="s">
        <v>1577</v>
      </c>
      <c r="N103" s="29" t="s">
        <v>1383</v>
      </c>
      <c r="O103" s="22" t="s">
        <v>1384</v>
      </c>
      <c r="P103" s="22" t="s">
        <v>1384</v>
      </c>
    </row>
    <row r="104" customFormat="false" ht="15" hidden="false" customHeight="false" outlineLevel="0" collapsed="false">
      <c r="A104" s="22" t="n">
        <v>101</v>
      </c>
      <c r="B104" s="22" t="s">
        <v>98</v>
      </c>
      <c r="C104" s="22" t="s">
        <v>1544</v>
      </c>
      <c r="D104" s="22" t="s">
        <v>1426</v>
      </c>
      <c r="E104" s="28" t="n">
        <v>0</v>
      </c>
      <c r="F104" s="28" t="n">
        <v>316100</v>
      </c>
      <c r="G104" s="28" t="n">
        <f aca="false">E104-F104</f>
        <v>-316100</v>
      </c>
      <c r="H104" s="23" t="n">
        <v>46069</v>
      </c>
      <c r="I104" s="22" t="s">
        <v>1747</v>
      </c>
      <c r="J104" s="22" t="s">
        <v>1760</v>
      </c>
      <c r="K104" s="22" t="s">
        <v>1603</v>
      </c>
      <c r="L104" s="22" t="s">
        <v>1761</v>
      </c>
      <c r="M104" s="22" t="s">
        <v>1577</v>
      </c>
      <c r="N104" s="29" t="s">
        <v>1383</v>
      </c>
      <c r="O104" s="22" t="s">
        <v>1384</v>
      </c>
      <c r="P104" s="22" t="s">
        <v>1384</v>
      </c>
    </row>
    <row r="105" customFormat="false" ht="15" hidden="false" customHeight="false" outlineLevel="0" collapsed="false">
      <c r="A105" s="22" t="n">
        <v>102</v>
      </c>
      <c r="B105" s="22" t="s">
        <v>98</v>
      </c>
      <c r="C105" s="22" t="s">
        <v>1544</v>
      </c>
      <c r="D105" s="22" t="s">
        <v>1426</v>
      </c>
      <c r="E105" s="28" t="n">
        <v>0</v>
      </c>
      <c r="F105" s="28" t="n">
        <v>434100</v>
      </c>
      <c r="G105" s="28" t="n">
        <f aca="false">E105-F105</f>
        <v>-434100</v>
      </c>
      <c r="H105" s="23" t="n">
        <v>46069</v>
      </c>
      <c r="I105" s="22" t="s">
        <v>1747</v>
      </c>
      <c r="J105" s="22" t="s">
        <v>1762</v>
      </c>
      <c r="K105" s="22" t="s">
        <v>1603</v>
      </c>
      <c r="L105" s="22" t="s">
        <v>1763</v>
      </c>
      <c r="M105" s="22" t="s">
        <v>1577</v>
      </c>
      <c r="N105" s="29" t="s">
        <v>1383</v>
      </c>
      <c r="O105" s="22" t="s">
        <v>1384</v>
      </c>
      <c r="P105" s="22" t="s">
        <v>1384</v>
      </c>
    </row>
    <row r="106" customFormat="false" ht="15" hidden="false" customHeight="false" outlineLevel="0" collapsed="false">
      <c r="A106" s="22" t="n">
        <v>103</v>
      </c>
      <c r="B106" s="22" t="s">
        <v>98</v>
      </c>
      <c r="C106" s="22" t="s">
        <v>1544</v>
      </c>
      <c r="D106" s="22" t="s">
        <v>1426</v>
      </c>
      <c r="E106" s="28" t="n">
        <v>0</v>
      </c>
      <c r="F106" s="28" t="n">
        <v>521200</v>
      </c>
      <c r="G106" s="28" t="n">
        <f aca="false">E106-F106</f>
        <v>-521200</v>
      </c>
      <c r="H106" s="23" t="n">
        <v>46070</v>
      </c>
      <c r="I106" s="22" t="s">
        <v>1747</v>
      </c>
      <c r="J106" s="22" t="s">
        <v>1764</v>
      </c>
      <c r="K106" s="22" t="s">
        <v>1603</v>
      </c>
      <c r="L106" s="22" t="s">
        <v>1765</v>
      </c>
      <c r="M106" s="22" t="s">
        <v>1577</v>
      </c>
      <c r="N106" s="29" t="s">
        <v>1383</v>
      </c>
      <c r="O106" s="22" t="s">
        <v>1384</v>
      </c>
      <c r="P106" s="22" t="s">
        <v>1384</v>
      </c>
    </row>
    <row r="107" customFormat="false" ht="15" hidden="false" customHeight="false" outlineLevel="0" collapsed="false">
      <c r="A107" s="22" t="n">
        <v>104</v>
      </c>
      <c r="B107" s="22" t="s">
        <v>98</v>
      </c>
      <c r="C107" s="22" t="s">
        <v>1544</v>
      </c>
      <c r="D107" s="22" t="s">
        <v>1426</v>
      </c>
      <c r="E107" s="28" t="n">
        <v>0</v>
      </c>
      <c r="F107" s="28" t="n">
        <v>227900</v>
      </c>
      <c r="G107" s="28" t="n">
        <f aca="false">E107-F107</f>
        <v>-227900</v>
      </c>
      <c r="H107" s="23" t="n">
        <v>46070</v>
      </c>
      <c r="I107" s="22" t="s">
        <v>1747</v>
      </c>
      <c r="J107" s="22" t="s">
        <v>1766</v>
      </c>
      <c r="K107" s="22" t="s">
        <v>1603</v>
      </c>
      <c r="L107" s="22" t="s">
        <v>1767</v>
      </c>
      <c r="M107" s="22" t="s">
        <v>1577</v>
      </c>
      <c r="N107" s="29" t="s">
        <v>1383</v>
      </c>
      <c r="O107" s="22" t="s">
        <v>1384</v>
      </c>
      <c r="P107" s="22" t="s">
        <v>1384</v>
      </c>
    </row>
    <row r="108" customFormat="false" ht="15" hidden="false" customHeight="false" outlineLevel="0" collapsed="false">
      <c r="A108" s="22" t="n">
        <v>105</v>
      </c>
      <c r="B108" s="22" t="s">
        <v>98</v>
      </c>
      <c r="C108" s="22" t="s">
        <v>1544</v>
      </c>
      <c r="D108" s="22" t="s">
        <v>1426</v>
      </c>
      <c r="E108" s="28" t="n">
        <v>594100</v>
      </c>
      <c r="F108" s="28" t="n">
        <v>0</v>
      </c>
      <c r="G108" s="28" t="n">
        <f aca="false">E108-F108</f>
        <v>594100</v>
      </c>
      <c r="H108" s="23" t="n">
        <v>46072</v>
      </c>
      <c r="I108" s="22" t="s">
        <v>1566</v>
      </c>
      <c r="J108" s="22" t="s">
        <v>1646</v>
      </c>
      <c r="K108" s="22" t="s">
        <v>1603</v>
      </c>
      <c r="L108" s="22" t="s">
        <v>1647</v>
      </c>
      <c r="M108" s="22" t="s">
        <v>1577</v>
      </c>
      <c r="N108" s="29" t="s">
        <v>1383</v>
      </c>
      <c r="O108" s="22" t="s">
        <v>1384</v>
      </c>
      <c r="P108" s="22" t="s">
        <v>1384</v>
      </c>
    </row>
    <row r="109" customFormat="false" ht="15" hidden="false" customHeight="false" outlineLevel="0" collapsed="false">
      <c r="A109" s="22" t="n">
        <v>106</v>
      </c>
      <c r="B109" s="22" t="s">
        <v>98</v>
      </c>
      <c r="C109" s="22" t="s">
        <v>1544</v>
      </c>
      <c r="D109" s="22" t="s">
        <v>1426</v>
      </c>
      <c r="E109" s="28" t="n">
        <v>0</v>
      </c>
      <c r="F109" s="28" t="n">
        <v>285700</v>
      </c>
      <c r="G109" s="28" t="n">
        <f aca="false">E109-F109</f>
        <v>-285700</v>
      </c>
      <c r="H109" s="23" t="n">
        <v>46081</v>
      </c>
      <c r="I109" s="22" t="s">
        <v>1747</v>
      </c>
      <c r="J109" s="22" t="s">
        <v>1768</v>
      </c>
      <c r="K109" s="22" t="s">
        <v>1603</v>
      </c>
      <c r="L109" s="22" t="s">
        <v>1769</v>
      </c>
      <c r="M109" s="22" t="s">
        <v>1577</v>
      </c>
      <c r="N109" s="29" t="s">
        <v>1383</v>
      </c>
      <c r="O109" s="22" t="s">
        <v>1384</v>
      </c>
      <c r="P109" s="22" t="s">
        <v>1384</v>
      </c>
    </row>
    <row r="110" customFormat="false" ht="15" hidden="false" customHeight="false" outlineLevel="0" collapsed="false">
      <c r="A110" s="22" t="n">
        <v>107</v>
      </c>
      <c r="B110" s="22" t="s">
        <v>98</v>
      </c>
      <c r="C110" s="22" t="s">
        <v>1544</v>
      </c>
      <c r="D110" s="22" t="s">
        <v>1426</v>
      </c>
      <c r="E110" s="28" t="n">
        <v>0</v>
      </c>
      <c r="F110" s="28" t="n">
        <v>331700</v>
      </c>
      <c r="G110" s="28" t="n">
        <f aca="false">E110-F110</f>
        <v>-331700</v>
      </c>
      <c r="H110" s="23" t="n">
        <v>46081</v>
      </c>
      <c r="I110" s="22" t="s">
        <v>1747</v>
      </c>
      <c r="J110" s="22" t="s">
        <v>1770</v>
      </c>
      <c r="K110" s="22" t="s">
        <v>1603</v>
      </c>
      <c r="L110" s="22" t="s">
        <v>1771</v>
      </c>
      <c r="M110" s="22" t="s">
        <v>1577</v>
      </c>
      <c r="N110" s="29" t="s">
        <v>1383</v>
      </c>
      <c r="O110" s="22" t="s">
        <v>1384</v>
      </c>
      <c r="P110" s="22" t="s">
        <v>1384</v>
      </c>
    </row>
    <row r="111" customFormat="false" ht="15" hidden="false" customHeight="false" outlineLevel="0" collapsed="false">
      <c r="A111" s="22" t="n">
        <v>108</v>
      </c>
      <c r="B111" s="22" t="s">
        <v>98</v>
      </c>
      <c r="C111" s="22" t="s">
        <v>1544</v>
      </c>
      <c r="D111" s="22" t="s">
        <v>1426</v>
      </c>
      <c r="E111" s="28" t="n">
        <v>0</v>
      </c>
      <c r="F111" s="28" t="n">
        <v>316100</v>
      </c>
      <c r="G111" s="28" t="n">
        <f aca="false">E111-F111</f>
        <v>-316100</v>
      </c>
      <c r="H111" s="23" t="n">
        <v>46098</v>
      </c>
      <c r="I111" s="22" t="s">
        <v>1747</v>
      </c>
      <c r="J111" s="22" t="s">
        <v>1772</v>
      </c>
      <c r="K111" s="22" t="s">
        <v>1603</v>
      </c>
      <c r="L111" s="22" t="s">
        <v>1773</v>
      </c>
      <c r="M111" s="22" t="s">
        <v>1577</v>
      </c>
      <c r="N111" s="29" t="s">
        <v>1383</v>
      </c>
      <c r="O111" s="22" t="s">
        <v>1384</v>
      </c>
      <c r="P111" s="22" t="s">
        <v>1384</v>
      </c>
    </row>
    <row r="112" customFormat="false" ht="15" hidden="false" customHeight="false" outlineLevel="0" collapsed="false">
      <c r="A112" s="22" t="n">
        <v>109</v>
      </c>
      <c r="B112" s="22" t="s">
        <v>98</v>
      </c>
      <c r="C112" s="22" t="s">
        <v>1544</v>
      </c>
      <c r="D112" s="22" t="s">
        <v>1426</v>
      </c>
      <c r="E112" s="28" t="n">
        <v>0</v>
      </c>
      <c r="F112" s="28" t="n">
        <v>434100</v>
      </c>
      <c r="G112" s="28" t="n">
        <f aca="false">E112-F112</f>
        <v>-434100</v>
      </c>
      <c r="H112" s="23" t="n">
        <v>46098</v>
      </c>
      <c r="I112" s="22" t="s">
        <v>1747</v>
      </c>
      <c r="J112" s="22" t="s">
        <v>1774</v>
      </c>
      <c r="K112" s="22" t="s">
        <v>1603</v>
      </c>
      <c r="L112" s="22" t="s">
        <v>1775</v>
      </c>
      <c r="M112" s="22" t="s">
        <v>1577</v>
      </c>
      <c r="N112" s="29" t="s">
        <v>1383</v>
      </c>
      <c r="O112" s="22" t="s">
        <v>1384</v>
      </c>
      <c r="P112" s="22" t="s">
        <v>1384</v>
      </c>
    </row>
    <row r="113" customFormat="false" ht="15" hidden="false" customHeight="false" outlineLevel="0" collapsed="false">
      <c r="A113" s="22" t="n">
        <v>110</v>
      </c>
      <c r="B113" s="22" t="s">
        <v>98</v>
      </c>
      <c r="C113" s="22" t="s">
        <v>1544</v>
      </c>
      <c r="D113" s="22" t="s">
        <v>1426</v>
      </c>
      <c r="E113" s="28" t="n">
        <v>0</v>
      </c>
      <c r="F113" s="28" t="n">
        <v>521200</v>
      </c>
      <c r="G113" s="28" t="n">
        <f aca="false">E113-F113</f>
        <v>-521200</v>
      </c>
      <c r="H113" s="23" t="n">
        <v>46107</v>
      </c>
      <c r="I113" s="22" t="s">
        <v>1747</v>
      </c>
      <c r="J113" s="22" t="s">
        <v>1776</v>
      </c>
      <c r="K113" s="22" t="s">
        <v>1603</v>
      </c>
      <c r="L113" s="22" t="s">
        <v>1777</v>
      </c>
      <c r="M113" s="22" t="s">
        <v>1577</v>
      </c>
      <c r="N113" s="29" t="s">
        <v>1383</v>
      </c>
      <c r="O113" s="22" t="s">
        <v>1384</v>
      </c>
      <c r="P113" s="22" t="s">
        <v>1384</v>
      </c>
    </row>
    <row r="114" customFormat="false" ht="15" hidden="false" customHeight="false" outlineLevel="0" collapsed="false">
      <c r="A114" s="22" t="n">
        <v>111</v>
      </c>
      <c r="B114" s="22" t="s">
        <v>98</v>
      </c>
      <c r="C114" s="22" t="s">
        <v>1544</v>
      </c>
      <c r="D114" s="22" t="s">
        <v>1426</v>
      </c>
      <c r="E114" s="28" t="n">
        <v>0</v>
      </c>
      <c r="F114" s="28" t="n">
        <v>227900</v>
      </c>
      <c r="G114" s="28" t="n">
        <f aca="false">E114-F114</f>
        <v>-227900</v>
      </c>
      <c r="H114" s="23" t="n">
        <v>46111</v>
      </c>
      <c r="I114" s="22" t="s">
        <v>1747</v>
      </c>
      <c r="J114" s="22" t="s">
        <v>1778</v>
      </c>
      <c r="K114" s="22" t="s">
        <v>1603</v>
      </c>
      <c r="L114" s="22" t="s">
        <v>1779</v>
      </c>
      <c r="M114" s="22" t="s">
        <v>1577</v>
      </c>
      <c r="N114" s="29" t="s">
        <v>1383</v>
      </c>
      <c r="O114" s="22" t="s">
        <v>1384</v>
      </c>
      <c r="P114" s="22" t="s">
        <v>1384</v>
      </c>
    </row>
    <row r="115" customFormat="false" ht="15" hidden="false" customHeight="false" outlineLevel="0" collapsed="false">
      <c r="A115" s="22" t="n">
        <v>112</v>
      </c>
      <c r="B115" s="22" t="s">
        <v>98</v>
      </c>
      <c r="C115" s="22" t="s">
        <v>1544</v>
      </c>
      <c r="D115" s="22" t="s">
        <v>1426</v>
      </c>
      <c r="E115" s="28" t="n">
        <v>0</v>
      </c>
      <c r="F115" s="28" t="n">
        <v>285700</v>
      </c>
      <c r="G115" s="28" t="n">
        <f aca="false">E115-F115</f>
        <v>-285700</v>
      </c>
      <c r="H115" s="23" t="n">
        <v>46112</v>
      </c>
      <c r="I115" s="22" t="s">
        <v>1747</v>
      </c>
      <c r="J115" s="22" t="s">
        <v>1780</v>
      </c>
      <c r="K115" s="22" t="s">
        <v>1603</v>
      </c>
      <c r="L115" s="22" t="s">
        <v>1781</v>
      </c>
      <c r="M115" s="22" t="s">
        <v>1577</v>
      </c>
      <c r="N115" s="29" t="s">
        <v>1383</v>
      </c>
      <c r="O115" s="22" t="s">
        <v>1384</v>
      </c>
      <c r="P115" s="22" t="s">
        <v>1384</v>
      </c>
    </row>
    <row r="116" customFormat="false" ht="15" hidden="false" customHeight="false" outlineLevel="0" collapsed="false">
      <c r="A116" s="22" t="n">
        <v>113</v>
      </c>
      <c r="B116" s="22" t="s">
        <v>98</v>
      </c>
      <c r="C116" s="22" t="s">
        <v>1544</v>
      </c>
      <c r="D116" s="22" t="s">
        <v>1426</v>
      </c>
      <c r="E116" s="28" t="n">
        <v>0</v>
      </c>
      <c r="F116" s="28" t="n">
        <v>331700</v>
      </c>
      <c r="G116" s="28" t="n">
        <f aca="false">E116-F116</f>
        <v>-331700</v>
      </c>
      <c r="H116" s="23" t="n">
        <v>46112</v>
      </c>
      <c r="I116" s="22" t="s">
        <v>1747</v>
      </c>
      <c r="J116" s="22" t="s">
        <v>1782</v>
      </c>
      <c r="K116" s="22" t="s">
        <v>1603</v>
      </c>
      <c r="L116" s="22" t="s">
        <v>1783</v>
      </c>
      <c r="M116" s="22" t="s">
        <v>1577</v>
      </c>
      <c r="N116" s="29" t="s">
        <v>1383</v>
      </c>
      <c r="O116" s="22" t="s">
        <v>1384</v>
      </c>
      <c r="P116" s="22" t="s">
        <v>1384</v>
      </c>
    </row>
    <row r="117" customFormat="false" ht="15" hidden="false" customHeight="false" outlineLevel="0" collapsed="false">
      <c r="A117" s="22" t="n">
        <v>114</v>
      </c>
      <c r="B117" s="22" t="s">
        <v>98</v>
      </c>
      <c r="C117" s="22" t="s">
        <v>1544</v>
      </c>
      <c r="D117" s="22" t="s">
        <v>1426</v>
      </c>
      <c r="E117" s="28" t="n">
        <v>2878399.95</v>
      </c>
      <c r="F117" s="28" t="n">
        <v>0</v>
      </c>
      <c r="G117" s="28" t="n">
        <f aca="false">E117-F117</f>
        <v>2878399.95</v>
      </c>
      <c r="H117" s="23" t="n">
        <v>46129</v>
      </c>
      <c r="I117" s="22" t="s">
        <v>1566</v>
      </c>
      <c r="J117" s="22" t="s">
        <v>1652</v>
      </c>
      <c r="K117" s="22" t="s">
        <v>1603</v>
      </c>
      <c r="L117" s="22" t="s">
        <v>1653</v>
      </c>
      <c r="M117" s="22" t="s">
        <v>1577</v>
      </c>
      <c r="N117" s="29" t="s">
        <v>1383</v>
      </c>
      <c r="O117" s="22" t="s">
        <v>1384</v>
      </c>
      <c r="P117" s="22" t="s">
        <v>1384</v>
      </c>
    </row>
    <row r="118" customFormat="false" ht="15" hidden="false" customHeight="false" outlineLevel="0" collapsed="false">
      <c r="A118" s="22" t="n">
        <v>115</v>
      </c>
      <c r="B118" s="22" t="s">
        <v>98</v>
      </c>
      <c r="C118" s="22" t="s">
        <v>1544</v>
      </c>
      <c r="D118" s="22" t="s">
        <v>1426</v>
      </c>
      <c r="E118" s="28" t="n">
        <v>0</v>
      </c>
      <c r="F118" s="28" t="n">
        <v>434100</v>
      </c>
      <c r="G118" s="28" t="n">
        <f aca="false">E118-F118</f>
        <v>-434100</v>
      </c>
      <c r="H118" s="23" t="n">
        <v>46132</v>
      </c>
      <c r="I118" s="22" t="s">
        <v>1747</v>
      </c>
      <c r="J118" s="22" t="s">
        <v>1784</v>
      </c>
      <c r="K118" s="22" t="s">
        <v>1603</v>
      </c>
      <c r="L118" s="22" t="s">
        <v>1785</v>
      </c>
      <c r="M118" s="22" t="s">
        <v>1577</v>
      </c>
      <c r="N118" s="29" t="s">
        <v>1383</v>
      </c>
      <c r="O118" s="22" t="s">
        <v>1384</v>
      </c>
      <c r="P118" s="22" t="s">
        <v>1384</v>
      </c>
    </row>
    <row r="119" customFormat="false" ht="15" hidden="false" customHeight="false" outlineLevel="0" collapsed="false">
      <c r="A119" s="22" t="n">
        <v>116</v>
      </c>
      <c r="B119" s="22" t="s">
        <v>98</v>
      </c>
      <c r="C119" s="22" t="s">
        <v>1544</v>
      </c>
      <c r="D119" s="22" t="s">
        <v>1426</v>
      </c>
      <c r="E119" s="28" t="n">
        <v>0</v>
      </c>
      <c r="F119" s="28" t="n">
        <v>521200</v>
      </c>
      <c r="G119" s="28" t="n">
        <f aca="false">E119-F119</f>
        <v>-521200</v>
      </c>
      <c r="H119" s="23" t="n">
        <v>46133</v>
      </c>
      <c r="I119" s="22" t="s">
        <v>1747</v>
      </c>
      <c r="J119" s="22" t="s">
        <v>1786</v>
      </c>
      <c r="K119" s="22" t="s">
        <v>1603</v>
      </c>
      <c r="L119" s="22" t="s">
        <v>1787</v>
      </c>
      <c r="M119" s="22" t="s">
        <v>1577</v>
      </c>
      <c r="N119" s="29" t="s">
        <v>1383</v>
      </c>
      <c r="O119" s="22" t="s">
        <v>1384</v>
      </c>
      <c r="P119" s="22" t="s">
        <v>1384</v>
      </c>
    </row>
    <row r="120" customFormat="false" ht="15" hidden="false" customHeight="false" outlineLevel="0" collapsed="false">
      <c r="A120" s="22" t="n">
        <v>117</v>
      </c>
      <c r="B120" s="22" t="s">
        <v>98</v>
      </c>
      <c r="C120" s="22" t="s">
        <v>1544</v>
      </c>
      <c r="D120" s="22" t="s">
        <v>1426</v>
      </c>
      <c r="E120" s="28" t="n">
        <v>0</v>
      </c>
      <c r="F120" s="28" t="n">
        <v>316100</v>
      </c>
      <c r="G120" s="28" t="n">
        <f aca="false">E120-F120</f>
        <v>-316100</v>
      </c>
      <c r="H120" s="23" t="n">
        <v>46133</v>
      </c>
      <c r="I120" s="22" t="s">
        <v>1747</v>
      </c>
      <c r="J120" s="22" t="s">
        <v>1788</v>
      </c>
      <c r="K120" s="22" t="s">
        <v>1603</v>
      </c>
      <c r="L120" s="22" t="s">
        <v>1789</v>
      </c>
      <c r="M120" s="22" t="s">
        <v>1577</v>
      </c>
      <c r="N120" s="29" t="s">
        <v>1383</v>
      </c>
      <c r="O120" s="22" t="s">
        <v>1384</v>
      </c>
      <c r="P120" s="22" t="s">
        <v>1384</v>
      </c>
    </row>
    <row r="121" customFormat="false" ht="15" hidden="false" customHeight="false" outlineLevel="0" collapsed="false">
      <c r="A121" s="22" t="n">
        <v>118</v>
      </c>
      <c r="B121" s="22" t="s">
        <v>98</v>
      </c>
      <c r="C121" s="22" t="s">
        <v>1544</v>
      </c>
      <c r="D121" s="22" t="s">
        <v>1426</v>
      </c>
      <c r="E121" s="28" t="n">
        <v>0</v>
      </c>
      <c r="F121" s="28" t="n">
        <v>227900</v>
      </c>
      <c r="G121" s="28" t="n">
        <f aca="false">E121-F121</f>
        <v>-227900</v>
      </c>
      <c r="H121" s="23" t="n">
        <v>46133</v>
      </c>
      <c r="I121" s="22" t="s">
        <v>1747</v>
      </c>
      <c r="J121" s="22" t="s">
        <v>1790</v>
      </c>
      <c r="K121" s="22" t="s">
        <v>1603</v>
      </c>
      <c r="L121" s="22" t="s">
        <v>1791</v>
      </c>
      <c r="M121" s="22" t="s">
        <v>1577</v>
      </c>
      <c r="N121" s="29" t="s">
        <v>1383</v>
      </c>
      <c r="O121" s="22" t="s">
        <v>1384</v>
      </c>
      <c r="P121" s="22" t="s">
        <v>1384</v>
      </c>
    </row>
    <row r="122" customFormat="false" ht="15" hidden="false" customHeight="false" outlineLevel="0" collapsed="false">
      <c r="A122" s="22" t="n">
        <v>119</v>
      </c>
      <c r="B122" s="22" t="s">
        <v>98</v>
      </c>
      <c r="C122" s="22" t="s">
        <v>1544</v>
      </c>
      <c r="D122" s="22" t="s">
        <v>1426</v>
      </c>
      <c r="E122" s="28" t="n">
        <v>2116700</v>
      </c>
      <c r="F122" s="28" t="n">
        <v>0</v>
      </c>
      <c r="G122" s="28" t="n">
        <f aca="false">E122-F122</f>
        <v>2116700</v>
      </c>
      <c r="H122" s="23" t="n">
        <v>46135</v>
      </c>
      <c r="I122" s="22" t="s">
        <v>1566</v>
      </c>
      <c r="J122" s="22" t="s">
        <v>1654</v>
      </c>
      <c r="K122" s="22" t="s">
        <v>1603</v>
      </c>
      <c r="L122" s="22" t="s">
        <v>1655</v>
      </c>
      <c r="M122" s="22" t="s">
        <v>1577</v>
      </c>
      <c r="N122" s="29" t="s">
        <v>1383</v>
      </c>
      <c r="O122" s="22" t="s">
        <v>1384</v>
      </c>
      <c r="P122" s="22" t="s">
        <v>1384</v>
      </c>
    </row>
    <row r="123" customFormat="false" ht="15" hidden="false" customHeight="false" outlineLevel="0" collapsed="false">
      <c r="A123" s="22" t="n">
        <v>120</v>
      </c>
      <c r="B123" s="22" t="s">
        <v>98</v>
      </c>
      <c r="C123" s="22" t="s">
        <v>1544</v>
      </c>
      <c r="D123" s="22" t="s">
        <v>1426</v>
      </c>
      <c r="E123" s="28" t="n">
        <v>0</v>
      </c>
      <c r="F123" s="28" t="n">
        <v>331700</v>
      </c>
      <c r="G123" s="28" t="n">
        <f aca="false">E123-F123</f>
        <v>-331700</v>
      </c>
      <c r="H123" s="23" t="n">
        <v>46142</v>
      </c>
      <c r="I123" s="22" t="s">
        <v>1747</v>
      </c>
      <c r="J123" s="22" t="s">
        <v>1792</v>
      </c>
      <c r="K123" s="22" t="s">
        <v>1603</v>
      </c>
      <c r="L123" s="22" t="s">
        <v>1793</v>
      </c>
      <c r="M123" s="22" t="s">
        <v>1577</v>
      </c>
      <c r="N123" s="29" t="s">
        <v>1383</v>
      </c>
      <c r="O123" s="22" t="s">
        <v>1384</v>
      </c>
      <c r="P123" s="22" t="s">
        <v>1384</v>
      </c>
    </row>
    <row r="124" customFormat="false" ht="15" hidden="false" customHeight="false" outlineLevel="0" collapsed="false">
      <c r="A124" s="22" t="n">
        <v>121</v>
      </c>
      <c r="B124" s="22" t="s">
        <v>98</v>
      </c>
      <c r="C124" s="22" t="s">
        <v>1544</v>
      </c>
      <c r="D124" s="22" t="s">
        <v>1426</v>
      </c>
      <c r="E124" s="28" t="n">
        <v>0</v>
      </c>
      <c r="F124" s="28" t="n">
        <v>285700</v>
      </c>
      <c r="G124" s="28" t="n">
        <f aca="false">E124-F124</f>
        <v>-285700</v>
      </c>
      <c r="H124" s="23" t="n">
        <v>46142</v>
      </c>
      <c r="I124" s="22" t="s">
        <v>1747</v>
      </c>
      <c r="J124" s="22" t="s">
        <v>1794</v>
      </c>
      <c r="K124" s="22" t="s">
        <v>1603</v>
      </c>
      <c r="L124" s="22" t="s">
        <v>1795</v>
      </c>
      <c r="M124" s="22" t="s">
        <v>1577</v>
      </c>
      <c r="N124" s="29" t="s">
        <v>1383</v>
      </c>
      <c r="O124" s="22" t="s">
        <v>1384</v>
      </c>
      <c r="P124" s="22" t="s">
        <v>1384</v>
      </c>
    </row>
    <row r="125" customFormat="false" ht="15" hidden="false" customHeight="false" outlineLevel="0" collapsed="false">
      <c r="A125" s="22" t="n">
        <v>122</v>
      </c>
      <c r="B125" s="22" t="s">
        <v>98</v>
      </c>
      <c r="C125" s="22" t="s">
        <v>1544</v>
      </c>
      <c r="D125" s="22" t="s">
        <v>1426</v>
      </c>
      <c r="E125" s="28" t="n">
        <v>0</v>
      </c>
      <c r="F125" s="28" t="n">
        <v>316100</v>
      </c>
      <c r="G125" s="28" t="n">
        <f aca="false">E125-F125</f>
        <v>-316100</v>
      </c>
      <c r="H125" s="23" t="n">
        <v>46157</v>
      </c>
      <c r="I125" s="22" t="s">
        <v>1747</v>
      </c>
      <c r="J125" s="22" t="s">
        <v>1796</v>
      </c>
      <c r="K125" s="22" t="s">
        <v>1603</v>
      </c>
      <c r="L125" s="22" t="s">
        <v>1797</v>
      </c>
      <c r="M125" s="22" t="s">
        <v>1577</v>
      </c>
      <c r="N125" s="29" t="s">
        <v>1383</v>
      </c>
      <c r="O125" s="22" t="s">
        <v>1384</v>
      </c>
      <c r="P125" s="22" t="s">
        <v>1384</v>
      </c>
    </row>
    <row r="126" customFormat="false" ht="15" hidden="false" customHeight="false" outlineLevel="0" collapsed="false">
      <c r="A126" s="22" t="n">
        <v>123</v>
      </c>
      <c r="B126" s="22" t="s">
        <v>98</v>
      </c>
      <c r="C126" s="22" t="s">
        <v>1544</v>
      </c>
      <c r="D126" s="22" t="s">
        <v>1426</v>
      </c>
      <c r="E126" s="28" t="n">
        <v>0</v>
      </c>
      <c r="F126" s="28" t="n">
        <v>434100</v>
      </c>
      <c r="G126" s="28" t="n">
        <f aca="false">E126-F126</f>
        <v>-434100</v>
      </c>
      <c r="H126" s="23" t="n">
        <v>46157</v>
      </c>
      <c r="I126" s="22" t="s">
        <v>1747</v>
      </c>
      <c r="J126" s="22" t="s">
        <v>1798</v>
      </c>
      <c r="K126" s="22" t="s">
        <v>1603</v>
      </c>
      <c r="L126" s="22" t="s">
        <v>1799</v>
      </c>
      <c r="M126" s="22" t="s">
        <v>1577</v>
      </c>
      <c r="N126" s="29" t="s">
        <v>1383</v>
      </c>
      <c r="O126" s="22" t="s">
        <v>1384</v>
      </c>
      <c r="P126" s="22" t="s">
        <v>1384</v>
      </c>
    </row>
    <row r="127" customFormat="false" ht="15" hidden="false" customHeight="false" outlineLevel="0" collapsed="false">
      <c r="A127" s="22" t="n">
        <v>124</v>
      </c>
      <c r="B127" s="22" t="s">
        <v>98</v>
      </c>
      <c r="C127" s="22" t="s">
        <v>1544</v>
      </c>
      <c r="D127" s="22" t="s">
        <v>1426</v>
      </c>
      <c r="E127" s="28" t="n">
        <v>2116700</v>
      </c>
      <c r="F127" s="28" t="n">
        <v>0</v>
      </c>
      <c r="G127" s="28" t="n">
        <f aca="false">E127-F127</f>
        <v>2116700</v>
      </c>
      <c r="H127" s="23" t="n">
        <v>46163</v>
      </c>
      <c r="I127" s="22" t="s">
        <v>1566</v>
      </c>
      <c r="J127" s="22" t="s">
        <v>1658</v>
      </c>
      <c r="K127" s="22" t="s">
        <v>1603</v>
      </c>
      <c r="L127" s="22" t="s">
        <v>1659</v>
      </c>
      <c r="M127" s="22" t="s">
        <v>1577</v>
      </c>
      <c r="N127" s="29" t="s">
        <v>1383</v>
      </c>
      <c r="O127" s="22" t="s">
        <v>1384</v>
      </c>
      <c r="P127" s="22" t="s">
        <v>1384</v>
      </c>
    </row>
    <row r="128" customFormat="false" ht="15" hidden="false" customHeight="false" outlineLevel="0" collapsed="false">
      <c r="A128" s="22" t="n">
        <v>125</v>
      </c>
      <c r="B128" s="22" t="s">
        <v>98</v>
      </c>
      <c r="C128" s="22" t="s">
        <v>1544</v>
      </c>
      <c r="D128" s="22" t="s">
        <v>1426</v>
      </c>
      <c r="E128" s="28" t="n">
        <v>0</v>
      </c>
      <c r="F128" s="28" t="n">
        <v>227900</v>
      </c>
      <c r="G128" s="28" t="n">
        <f aca="false">E128-F128</f>
        <v>-227900</v>
      </c>
      <c r="H128" s="23" t="n">
        <v>46172</v>
      </c>
      <c r="I128" s="22" t="s">
        <v>1747</v>
      </c>
      <c r="J128" s="22" t="s">
        <v>1800</v>
      </c>
      <c r="K128" s="22" t="s">
        <v>1603</v>
      </c>
      <c r="L128" s="22" t="s">
        <v>1801</v>
      </c>
      <c r="M128" s="22" t="s">
        <v>1577</v>
      </c>
      <c r="N128" s="29" t="s">
        <v>1383</v>
      </c>
      <c r="O128" s="22" t="s">
        <v>1384</v>
      </c>
      <c r="P128" s="22" t="s">
        <v>1384</v>
      </c>
    </row>
    <row r="129" customFormat="false" ht="15" hidden="false" customHeight="false" outlineLevel="0" collapsed="false">
      <c r="A129" s="22" t="n">
        <v>126</v>
      </c>
      <c r="B129" s="22" t="s">
        <v>98</v>
      </c>
      <c r="C129" s="22" t="s">
        <v>1544</v>
      </c>
      <c r="D129" s="22" t="s">
        <v>1426</v>
      </c>
      <c r="E129" s="28" t="n">
        <v>0</v>
      </c>
      <c r="F129" s="28" t="n">
        <v>521200</v>
      </c>
      <c r="G129" s="28" t="n">
        <f aca="false">E129-F129</f>
        <v>-521200</v>
      </c>
      <c r="H129" s="23" t="n">
        <v>46172</v>
      </c>
      <c r="I129" s="22" t="s">
        <v>1747</v>
      </c>
      <c r="J129" s="22" t="s">
        <v>1802</v>
      </c>
      <c r="K129" s="22" t="s">
        <v>1603</v>
      </c>
      <c r="L129" s="22" t="s">
        <v>1803</v>
      </c>
      <c r="M129" s="22" t="s">
        <v>1577</v>
      </c>
      <c r="N129" s="29" t="s">
        <v>1383</v>
      </c>
      <c r="O129" s="22" t="s">
        <v>1384</v>
      </c>
      <c r="P129" s="22" t="s">
        <v>1384</v>
      </c>
    </row>
    <row r="130" customFormat="false" ht="15" hidden="false" customHeight="false" outlineLevel="0" collapsed="false">
      <c r="A130" s="22" t="n">
        <v>127</v>
      </c>
      <c r="B130" s="22" t="s">
        <v>98</v>
      </c>
      <c r="C130" s="22" t="s">
        <v>1544</v>
      </c>
      <c r="D130" s="22" t="s">
        <v>1426</v>
      </c>
      <c r="E130" s="28" t="n">
        <v>0</v>
      </c>
      <c r="F130" s="28" t="n">
        <v>285700</v>
      </c>
      <c r="G130" s="28" t="n">
        <f aca="false">E130-F130</f>
        <v>-285700</v>
      </c>
      <c r="H130" s="23" t="n">
        <v>46173</v>
      </c>
      <c r="I130" s="22" t="s">
        <v>1747</v>
      </c>
      <c r="J130" s="22" t="s">
        <v>1804</v>
      </c>
      <c r="K130" s="22" t="s">
        <v>1603</v>
      </c>
      <c r="L130" s="22" t="s">
        <v>1805</v>
      </c>
      <c r="M130" s="22" t="s">
        <v>1577</v>
      </c>
      <c r="N130" s="29" t="s">
        <v>1383</v>
      </c>
      <c r="O130" s="22" t="s">
        <v>1384</v>
      </c>
      <c r="P130" s="22" t="s">
        <v>1384</v>
      </c>
    </row>
    <row r="131" customFormat="false" ht="15" hidden="false" customHeight="false" outlineLevel="0" collapsed="false">
      <c r="A131" s="22" t="n">
        <v>128</v>
      </c>
      <c r="B131" s="22" t="s">
        <v>98</v>
      </c>
      <c r="C131" s="22" t="s">
        <v>1544</v>
      </c>
      <c r="D131" s="22" t="s">
        <v>1426</v>
      </c>
      <c r="E131" s="28" t="n">
        <v>0</v>
      </c>
      <c r="F131" s="28" t="n">
        <v>331700</v>
      </c>
      <c r="G131" s="28" t="n">
        <f aca="false">E131-F131</f>
        <v>-331700</v>
      </c>
      <c r="H131" s="23" t="n">
        <v>46173</v>
      </c>
      <c r="I131" s="22" t="s">
        <v>1747</v>
      </c>
      <c r="J131" s="22" t="s">
        <v>1806</v>
      </c>
      <c r="K131" s="22" t="s">
        <v>1603</v>
      </c>
      <c r="L131" s="22" t="s">
        <v>1807</v>
      </c>
      <c r="M131" s="22" t="s">
        <v>1577</v>
      </c>
      <c r="N131" s="29" t="s">
        <v>1383</v>
      </c>
      <c r="O131" s="22" t="s">
        <v>1384</v>
      </c>
      <c r="P131" s="22" t="s">
        <v>1384</v>
      </c>
    </row>
    <row r="132" customFormat="false" ht="15" hidden="false" customHeight="false" outlineLevel="0" collapsed="false">
      <c r="A132" s="22" t="n">
        <v>129</v>
      </c>
      <c r="B132" s="22" t="s">
        <v>98</v>
      </c>
      <c r="C132" s="22" t="s">
        <v>1544</v>
      </c>
      <c r="D132" s="22" t="s">
        <v>1426</v>
      </c>
      <c r="E132" s="28" t="n">
        <v>0</v>
      </c>
      <c r="F132" s="28" t="n">
        <v>316100</v>
      </c>
      <c r="G132" s="28" t="n">
        <f aca="false">E132-F132</f>
        <v>-316100</v>
      </c>
      <c r="H132" s="23" t="n">
        <v>46191</v>
      </c>
      <c r="I132" s="22" t="s">
        <v>1747</v>
      </c>
      <c r="J132" s="22" t="s">
        <v>1808</v>
      </c>
      <c r="K132" s="22" t="s">
        <v>1603</v>
      </c>
      <c r="L132" s="22" t="s">
        <v>1809</v>
      </c>
      <c r="M132" s="22" t="s">
        <v>1577</v>
      </c>
      <c r="N132" s="29" t="s">
        <v>1383</v>
      </c>
      <c r="O132" s="22" t="s">
        <v>1384</v>
      </c>
      <c r="P132" s="22" t="s">
        <v>1384</v>
      </c>
    </row>
    <row r="133" customFormat="false" ht="15" hidden="false" customHeight="false" outlineLevel="0" collapsed="false">
      <c r="A133" s="22" t="n">
        <v>130</v>
      </c>
      <c r="B133" s="22" t="s">
        <v>98</v>
      </c>
      <c r="C133" s="22" t="s">
        <v>1544</v>
      </c>
      <c r="D133" s="22" t="s">
        <v>1426</v>
      </c>
      <c r="E133" s="28" t="n">
        <v>0</v>
      </c>
      <c r="F133" s="28" t="n">
        <v>521200</v>
      </c>
      <c r="G133" s="28" t="n">
        <f aca="false">E133-F133</f>
        <v>-521200</v>
      </c>
      <c r="H133" s="23" t="n">
        <v>46191</v>
      </c>
      <c r="I133" s="22" t="s">
        <v>1747</v>
      </c>
      <c r="J133" s="22" t="s">
        <v>1810</v>
      </c>
      <c r="K133" s="22" t="s">
        <v>1603</v>
      </c>
      <c r="L133" s="22" t="s">
        <v>1811</v>
      </c>
      <c r="M133" s="22" t="s">
        <v>1577</v>
      </c>
      <c r="N133" s="29" t="s">
        <v>1383</v>
      </c>
      <c r="O133" s="22" t="s">
        <v>1384</v>
      </c>
      <c r="P133" s="22" t="s">
        <v>1384</v>
      </c>
    </row>
    <row r="134" customFormat="false" ht="15" hidden="false" customHeight="false" outlineLevel="0" collapsed="false">
      <c r="A134" s="22" t="n">
        <v>131</v>
      </c>
      <c r="B134" s="22" t="s">
        <v>98</v>
      </c>
      <c r="C134" s="22" t="s">
        <v>1544</v>
      </c>
      <c r="D134" s="22" t="s">
        <v>1426</v>
      </c>
      <c r="E134" s="28" t="n">
        <v>0</v>
      </c>
      <c r="F134" s="28" t="n">
        <v>434100</v>
      </c>
      <c r="G134" s="28" t="n">
        <f aca="false">E134-F134</f>
        <v>-434100</v>
      </c>
      <c r="H134" s="23" t="n">
        <v>46191</v>
      </c>
      <c r="I134" s="22" t="s">
        <v>1747</v>
      </c>
      <c r="J134" s="22" t="s">
        <v>1812</v>
      </c>
      <c r="K134" s="22" t="s">
        <v>1603</v>
      </c>
      <c r="L134" s="22" t="s">
        <v>1813</v>
      </c>
      <c r="M134" s="22" t="s">
        <v>1577</v>
      </c>
      <c r="N134" s="29" t="s">
        <v>1383</v>
      </c>
      <c r="O134" s="22" t="s">
        <v>1384</v>
      </c>
      <c r="P134" s="22" t="s">
        <v>1384</v>
      </c>
    </row>
    <row r="135" customFormat="false" ht="15" hidden="false" customHeight="false" outlineLevel="0" collapsed="false">
      <c r="A135" s="22" t="n">
        <v>132</v>
      </c>
      <c r="B135" s="22" t="s">
        <v>98</v>
      </c>
      <c r="C135" s="22" t="s">
        <v>1544</v>
      </c>
      <c r="D135" s="22" t="s">
        <v>1426</v>
      </c>
      <c r="E135" s="28" t="n">
        <v>0</v>
      </c>
      <c r="F135" s="28" t="n">
        <v>227900</v>
      </c>
      <c r="G135" s="28" t="n">
        <f aca="false">E135-F135</f>
        <v>-227900</v>
      </c>
      <c r="H135" s="23" t="n">
        <v>46191</v>
      </c>
      <c r="I135" s="22" t="s">
        <v>1747</v>
      </c>
      <c r="J135" s="22" t="s">
        <v>1814</v>
      </c>
      <c r="K135" s="22" t="s">
        <v>1603</v>
      </c>
      <c r="L135" s="22" t="s">
        <v>1815</v>
      </c>
      <c r="M135" s="22" t="s">
        <v>1577</v>
      </c>
      <c r="N135" s="29" t="s">
        <v>1383</v>
      </c>
      <c r="O135" s="22" t="s">
        <v>1384</v>
      </c>
      <c r="P135" s="22" t="s">
        <v>1384</v>
      </c>
    </row>
    <row r="136" customFormat="false" ht="15" hidden="false" customHeight="false" outlineLevel="0" collapsed="false">
      <c r="A136" s="22" t="n">
        <v>133</v>
      </c>
      <c r="B136" s="22" t="s">
        <v>98</v>
      </c>
      <c r="C136" s="22" t="s">
        <v>1544</v>
      </c>
      <c r="D136" s="22" t="s">
        <v>1426</v>
      </c>
      <c r="E136" s="28" t="n">
        <v>0</v>
      </c>
      <c r="F136" s="28" t="n">
        <v>331700</v>
      </c>
      <c r="G136" s="28" t="n">
        <f aca="false">E136-F136</f>
        <v>-331700</v>
      </c>
      <c r="H136" s="23" t="n">
        <v>46203</v>
      </c>
      <c r="I136" s="22" t="s">
        <v>1747</v>
      </c>
      <c r="J136" s="22" t="s">
        <v>1816</v>
      </c>
      <c r="K136" s="22" t="s">
        <v>1603</v>
      </c>
      <c r="L136" s="22" t="s">
        <v>1817</v>
      </c>
      <c r="M136" s="22" t="s">
        <v>1577</v>
      </c>
      <c r="N136" s="29" t="s">
        <v>1383</v>
      </c>
      <c r="O136" s="22" t="s">
        <v>1384</v>
      </c>
      <c r="P136" s="22" t="s">
        <v>1384</v>
      </c>
    </row>
    <row r="137" customFormat="false" ht="15" hidden="false" customHeight="false" outlineLevel="0" collapsed="false">
      <c r="A137" s="22" t="n">
        <v>134</v>
      </c>
      <c r="B137" s="22" t="s">
        <v>98</v>
      </c>
      <c r="C137" s="22" t="s">
        <v>1544</v>
      </c>
      <c r="D137" s="22" t="s">
        <v>1426</v>
      </c>
      <c r="E137" s="28" t="n">
        <v>0</v>
      </c>
      <c r="F137" s="28" t="n">
        <v>285700</v>
      </c>
      <c r="G137" s="28" t="n">
        <f aca="false">E137-F137</f>
        <v>-285700</v>
      </c>
      <c r="H137" s="23" t="n">
        <v>46203</v>
      </c>
      <c r="I137" s="22" t="s">
        <v>1747</v>
      </c>
      <c r="J137" s="22" t="s">
        <v>1818</v>
      </c>
      <c r="K137" s="22" t="s">
        <v>1603</v>
      </c>
      <c r="L137" s="22" t="s">
        <v>1819</v>
      </c>
      <c r="M137" s="22" t="s">
        <v>1577</v>
      </c>
      <c r="N137" s="29" t="s">
        <v>1383</v>
      </c>
      <c r="O137" s="22" t="s">
        <v>1384</v>
      </c>
      <c r="P137" s="22" t="s">
        <v>1384</v>
      </c>
    </row>
    <row r="138" customFormat="false" ht="15" hidden="false" customHeight="false" outlineLevel="0" collapsed="false">
      <c r="A138" s="22" t="n">
        <v>135</v>
      </c>
      <c r="B138" s="22" t="s">
        <v>98</v>
      </c>
      <c r="C138" s="22" t="s">
        <v>1544</v>
      </c>
      <c r="D138" s="22" t="s">
        <v>1426</v>
      </c>
      <c r="E138" s="28" t="n">
        <v>2116700</v>
      </c>
      <c r="F138" s="28" t="n">
        <v>0</v>
      </c>
      <c r="G138" s="28" t="n">
        <f aca="false">E138-F138</f>
        <v>2116700</v>
      </c>
      <c r="H138" s="23" t="n">
        <v>46203</v>
      </c>
      <c r="I138" s="22" t="s">
        <v>1566</v>
      </c>
      <c r="J138" s="22" t="s">
        <v>1665</v>
      </c>
      <c r="K138" s="22" t="s">
        <v>1603</v>
      </c>
      <c r="L138" s="22" t="s">
        <v>1666</v>
      </c>
      <c r="M138" s="22" t="s">
        <v>1577</v>
      </c>
      <c r="N138" s="29" t="s">
        <v>1383</v>
      </c>
      <c r="O138" s="22" t="s">
        <v>1384</v>
      </c>
      <c r="P138" s="22" t="s">
        <v>1384</v>
      </c>
    </row>
    <row r="139" customFormat="false" ht="15" hidden="false" customHeight="false" outlineLevel="0" collapsed="false">
      <c r="A139" s="22" t="n">
        <v>136</v>
      </c>
      <c r="B139" s="22" t="s">
        <v>98</v>
      </c>
      <c r="C139" s="22" t="s">
        <v>1544</v>
      </c>
      <c r="D139" s="22" t="s">
        <v>1426</v>
      </c>
      <c r="E139" s="28" t="n">
        <v>0</v>
      </c>
      <c r="F139" s="28" t="n">
        <v>434100</v>
      </c>
      <c r="G139" s="28" t="n">
        <f aca="false">E139-F139</f>
        <v>-434100</v>
      </c>
      <c r="H139" s="23" t="n">
        <v>46221</v>
      </c>
      <c r="I139" s="22" t="s">
        <v>1747</v>
      </c>
      <c r="J139" s="22" t="s">
        <v>1820</v>
      </c>
      <c r="K139" s="22" t="s">
        <v>1603</v>
      </c>
      <c r="L139" s="22" t="s">
        <v>1821</v>
      </c>
      <c r="M139" s="22" t="s">
        <v>1577</v>
      </c>
      <c r="N139" s="29" t="s">
        <v>1383</v>
      </c>
      <c r="O139" s="22" t="s">
        <v>1384</v>
      </c>
      <c r="P139" s="22" t="s">
        <v>1384</v>
      </c>
    </row>
    <row r="140" customFormat="false" ht="15" hidden="false" customHeight="false" outlineLevel="0" collapsed="false">
      <c r="A140" s="22" t="n">
        <v>137</v>
      </c>
      <c r="B140" s="22" t="s">
        <v>98</v>
      </c>
      <c r="C140" s="22" t="s">
        <v>1544</v>
      </c>
      <c r="D140" s="22" t="s">
        <v>1426</v>
      </c>
      <c r="E140" s="28" t="n">
        <v>0</v>
      </c>
      <c r="F140" s="28" t="n">
        <v>316100</v>
      </c>
      <c r="G140" s="28" t="n">
        <f aca="false">E140-F140</f>
        <v>-316100</v>
      </c>
      <c r="H140" s="23" t="n">
        <v>46221</v>
      </c>
      <c r="I140" s="22" t="s">
        <v>1747</v>
      </c>
      <c r="J140" s="22" t="s">
        <v>1822</v>
      </c>
      <c r="K140" s="22" t="s">
        <v>1603</v>
      </c>
      <c r="L140" s="22" t="s">
        <v>1823</v>
      </c>
      <c r="M140" s="22" t="s">
        <v>1577</v>
      </c>
      <c r="N140" s="29" t="s">
        <v>1383</v>
      </c>
      <c r="O140" s="22" t="s">
        <v>1384</v>
      </c>
      <c r="P140" s="22" t="s">
        <v>1384</v>
      </c>
    </row>
    <row r="141" customFormat="false" ht="15" hidden="false" customHeight="false" outlineLevel="0" collapsed="false">
      <c r="A141" s="22" t="n">
        <v>138</v>
      </c>
      <c r="B141" s="22" t="s">
        <v>98</v>
      </c>
      <c r="C141" s="22" t="s">
        <v>1544</v>
      </c>
      <c r="D141" s="22" t="s">
        <v>1426</v>
      </c>
      <c r="E141" s="28" t="n">
        <v>0</v>
      </c>
      <c r="F141" s="28" t="n">
        <v>285700</v>
      </c>
      <c r="G141" s="28" t="n">
        <f aca="false">E141-F141</f>
        <v>-285700</v>
      </c>
      <c r="H141" s="23" t="n">
        <v>46234</v>
      </c>
      <c r="I141" s="22" t="s">
        <v>1747</v>
      </c>
      <c r="J141" s="22" t="s">
        <v>1824</v>
      </c>
      <c r="K141" s="22" t="s">
        <v>1603</v>
      </c>
      <c r="L141" s="22" t="s">
        <v>1825</v>
      </c>
      <c r="M141" s="22" t="s">
        <v>1577</v>
      </c>
      <c r="N141" s="29" t="s">
        <v>1383</v>
      </c>
      <c r="O141" s="22" t="s">
        <v>1384</v>
      </c>
      <c r="P141" s="22" t="s">
        <v>1384</v>
      </c>
    </row>
    <row r="142" customFormat="false" ht="15" hidden="false" customHeight="false" outlineLevel="0" collapsed="false">
      <c r="A142" s="22" t="n">
        <v>139</v>
      </c>
      <c r="B142" s="22" t="s">
        <v>98</v>
      </c>
      <c r="C142" s="22" t="s">
        <v>1544</v>
      </c>
      <c r="D142" s="22" t="s">
        <v>1426</v>
      </c>
      <c r="E142" s="28" t="n">
        <v>0</v>
      </c>
      <c r="F142" s="28" t="n">
        <v>331700</v>
      </c>
      <c r="G142" s="28" t="n">
        <f aca="false">E142-F142</f>
        <v>-331700</v>
      </c>
      <c r="H142" s="23" t="n">
        <v>46234</v>
      </c>
      <c r="I142" s="22" t="s">
        <v>1747</v>
      </c>
      <c r="J142" s="22" t="s">
        <v>1826</v>
      </c>
      <c r="K142" s="22" t="s">
        <v>1603</v>
      </c>
      <c r="L142" s="22" t="s">
        <v>1827</v>
      </c>
      <c r="M142" s="22" t="s">
        <v>1577</v>
      </c>
      <c r="N142" s="29" t="s">
        <v>1383</v>
      </c>
      <c r="O142" s="22" t="s">
        <v>1384</v>
      </c>
      <c r="P142" s="22" t="s">
        <v>1384</v>
      </c>
    </row>
    <row r="143" customFormat="false" ht="15" hidden="false" customHeight="false" outlineLevel="0" collapsed="false">
      <c r="A143" s="22" t="n">
        <v>140</v>
      </c>
      <c r="B143" s="22" t="s">
        <v>98</v>
      </c>
      <c r="C143" s="22" t="s">
        <v>1544</v>
      </c>
      <c r="D143" s="22" t="s">
        <v>1426</v>
      </c>
      <c r="E143" s="28" t="n">
        <v>0</v>
      </c>
      <c r="F143" s="28" t="n">
        <v>521200</v>
      </c>
      <c r="G143" s="28" t="n">
        <f aca="false">E143-F143</f>
        <v>-521200</v>
      </c>
      <c r="H143" s="23" t="n">
        <v>46234</v>
      </c>
      <c r="I143" s="22" t="s">
        <v>1747</v>
      </c>
      <c r="J143" s="22" t="s">
        <v>1828</v>
      </c>
      <c r="K143" s="22" t="s">
        <v>1603</v>
      </c>
      <c r="L143" s="22" t="s">
        <v>1829</v>
      </c>
      <c r="M143" s="22" t="s">
        <v>1577</v>
      </c>
      <c r="N143" s="29" t="s">
        <v>1383</v>
      </c>
      <c r="O143" s="22" t="s">
        <v>1384</v>
      </c>
      <c r="P143" s="22" t="s">
        <v>1384</v>
      </c>
    </row>
    <row r="144" customFormat="false" ht="15" hidden="false" customHeight="false" outlineLevel="0" collapsed="false">
      <c r="A144" s="22" t="n">
        <v>141</v>
      </c>
      <c r="B144" s="22" t="s">
        <v>98</v>
      </c>
      <c r="C144" s="22" t="s">
        <v>1544</v>
      </c>
      <c r="D144" s="22" t="s">
        <v>1426</v>
      </c>
      <c r="E144" s="28" t="n">
        <v>0</v>
      </c>
      <c r="F144" s="28" t="n">
        <v>227900</v>
      </c>
      <c r="G144" s="28" t="n">
        <f aca="false">E144-F144</f>
        <v>-227900</v>
      </c>
      <c r="H144" s="23" t="n">
        <v>46234</v>
      </c>
      <c r="I144" s="22" t="s">
        <v>1747</v>
      </c>
      <c r="J144" s="22" t="s">
        <v>1830</v>
      </c>
      <c r="K144" s="22" t="s">
        <v>1603</v>
      </c>
      <c r="L144" s="22" t="s">
        <v>1831</v>
      </c>
      <c r="M144" s="22" t="s">
        <v>1577</v>
      </c>
      <c r="N144" s="29" t="s">
        <v>1383</v>
      </c>
      <c r="O144" s="22" t="s">
        <v>1384</v>
      </c>
      <c r="P144" s="22" t="s">
        <v>1384</v>
      </c>
    </row>
    <row r="145" customFormat="false" ht="15" hidden="false" customHeight="false" outlineLevel="0" collapsed="false">
      <c r="A145" s="22" t="n">
        <v>142</v>
      </c>
      <c r="B145" s="22" t="s">
        <v>98</v>
      </c>
      <c r="C145" s="22" t="s">
        <v>1544</v>
      </c>
      <c r="D145" s="22" t="s">
        <v>1426</v>
      </c>
      <c r="E145" s="28" t="n">
        <v>2116700</v>
      </c>
      <c r="F145" s="28" t="n">
        <v>0</v>
      </c>
      <c r="G145" s="28" t="n">
        <f aca="false">E145-F145</f>
        <v>2116700</v>
      </c>
      <c r="H145" s="23" t="n">
        <v>46234</v>
      </c>
      <c r="I145" s="22" t="s">
        <v>1566</v>
      </c>
      <c r="J145" s="22" t="s">
        <v>1669</v>
      </c>
      <c r="K145" s="22" t="s">
        <v>1603</v>
      </c>
      <c r="L145" s="22" t="s">
        <v>1670</v>
      </c>
      <c r="M145" s="22" t="s">
        <v>1577</v>
      </c>
      <c r="N145" s="29" t="s">
        <v>1383</v>
      </c>
      <c r="O145" s="22" t="s">
        <v>1384</v>
      </c>
      <c r="P145" s="22" t="s">
        <v>1384</v>
      </c>
    </row>
    <row r="146" customFormat="false" ht="15" hidden="false" customHeight="false" outlineLevel="0" collapsed="false">
      <c r="A146" s="22" t="n">
        <v>143</v>
      </c>
      <c r="B146" s="22" t="s">
        <v>98</v>
      </c>
      <c r="C146" s="22" t="s">
        <v>1544</v>
      </c>
      <c r="D146" s="22" t="s">
        <v>1832</v>
      </c>
      <c r="E146" s="28" t="n">
        <v>309341</v>
      </c>
      <c r="F146" s="28" t="n">
        <v>0</v>
      </c>
      <c r="G146" s="28" t="n">
        <f aca="false">E146-F146</f>
        <v>309341</v>
      </c>
      <c r="H146" s="23" t="n">
        <v>46135</v>
      </c>
      <c r="I146" s="22" t="s">
        <v>1566</v>
      </c>
      <c r="J146" s="22" t="s">
        <v>1691</v>
      </c>
      <c r="K146" s="22" t="s">
        <v>1603</v>
      </c>
      <c r="L146" s="22" t="s">
        <v>1692</v>
      </c>
      <c r="M146" s="22" t="s">
        <v>1577</v>
      </c>
      <c r="N146" s="29" t="s">
        <v>1383</v>
      </c>
      <c r="O146" s="22" t="s">
        <v>1384</v>
      </c>
      <c r="P146" s="22" t="s">
        <v>1384</v>
      </c>
    </row>
    <row r="147" customFormat="false" ht="15" hidden="false" customHeight="false" outlineLevel="0" collapsed="false">
      <c r="A147" s="22" t="n">
        <v>144</v>
      </c>
      <c r="B147" s="22" t="s">
        <v>98</v>
      </c>
      <c r="C147" s="22" t="s">
        <v>1544</v>
      </c>
      <c r="D147" s="22" t="s">
        <v>1832</v>
      </c>
      <c r="E147" s="28" t="n">
        <v>0</v>
      </c>
      <c r="F147" s="28" t="n">
        <v>309341</v>
      </c>
      <c r="G147" s="28" t="n">
        <f aca="false">E147-F147</f>
        <v>-309341</v>
      </c>
      <c r="H147" s="23" t="n">
        <v>46135</v>
      </c>
      <c r="I147" s="22" t="s">
        <v>1833</v>
      </c>
      <c r="J147" s="22" t="s">
        <v>1834</v>
      </c>
      <c r="K147" s="22" t="s">
        <v>1603</v>
      </c>
      <c r="L147" s="22" t="s">
        <v>1835</v>
      </c>
      <c r="M147" s="22" t="s">
        <v>1577</v>
      </c>
      <c r="N147" s="29" t="s">
        <v>1383</v>
      </c>
      <c r="O147" s="22" t="s">
        <v>1384</v>
      </c>
      <c r="P147" s="22" t="s">
        <v>1384</v>
      </c>
    </row>
    <row r="148" customFormat="false" ht="15" hidden="false" customHeight="false" outlineLevel="0" collapsed="false">
      <c r="A148" s="22" t="n">
        <v>145</v>
      </c>
      <c r="B148" s="22" t="s">
        <v>98</v>
      </c>
      <c r="C148" s="22" t="s">
        <v>1544</v>
      </c>
      <c r="D148" s="22" t="s">
        <v>1836</v>
      </c>
      <c r="E148" s="28" t="n">
        <v>0</v>
      </c>
      <c r="F148" s="28" t="n">
        <v>315302</v>
      </c>
      <c r="G148" s="28" t="n">
        <f aca="false">E148-F148</f>
        <v>-315302</v>
      </c>
      <c r="H148" s="23" t="n">
        <v>46081</v>
      </c>
      <c r="I148" s="22" t="s">
        <v>1837</v>
      </c>
      <c r="J148" s="22" t="s">
        <v>1838</v>
      </c>
      <c r="K148" s="22" t="s">
        <v>1603</v>
      </c>
      <c r="L148" s="22" t="s">
        <v>1839</v>
      </c>
      <c r="M148" s="22" t="s">
        <v>1577</v>
      </c>
      <c r="N148" s="29" t="s">
        <v>1383</v>
      </c>
      <c r="O148" s="22" t="s">
        <v>1384</v>
      </c>
      <c r="P148" s="22" t="s">
        <v>1384</v>
      </c>
    </row>
    <row r="149" customFormat="false" ht="15" hidden="false" customHeight="false" outlineLevel="0" collapsed="false">
      <c r="A149" s="22" t="n">
        <v>146</v>
      </c>
      <c r="B149" s="22" t="s">
        <v>98</v>
      </c>
      <c r="C149" s="22" t="s">
        <v>1544</v>
      </c>
      <c r="D149" s="22" t="s">
        <v>1836</v>
      </c>
      <c r="E149" s="28" t="n">
        <v>315302</v>
      </c>
      <c r="F149" s="28" t="n">
        <v>0</v>
      </c>
      <c r="G149" s="28" t="n">
        <f aca="false">E149-F149</f>
        <v>315302</v>
      </c>
      <c r="H149" s="23" t="n">
        <v>46081</v>
      </c>
      <c r="I149" s="22" t="s">
        <v>1566</v>
      </c>
      <c r="J149" s="22" t="s">
        <v>1678</v>
      </c>
      <c r="K149" s="22" t="s">
        <v>1603</v>
      </c>
      <c r="L149" s="22" t="s">
        <v>1679</v>
      </c>
      <c r="M149" s="22" t="s">
        <v>1577</v>
      </c>
      <c r="N149" s="29" t="s">
        <v>1383</v>
      </c>
      <c r="O149" s="22" t="s">
        <v>1384</v>
      </c>
      <c r="P149" s="22" t="s">
        <v>1384</v>
      </c>
    </row>
    <row r="150" customFormat="false" ht="15" hidden="false" customHeight="false" outlineLevel="0" collapsed="false">
      <c r="A150" s="22" t="n">
        <v>147</v>
      </c>
      <c r="B150" s="22" t="s">
        <v>98</v>
      </c>
      <c r="C150" s="22" t="s">
        <v>1544</v>
      </c>
      <c r="D150" s="22" t="s">
        <v>1417</v>
      </c>
      <c r="E150" s="28" t="n">
        <v>190500</v>
      </c>
      <c r="F150" s="28" t="n">
        <v>0</v>
      </c>
      <c r="G150" s="28" t="n">
        <f aca="false">E150-F150</f>
        <v>190500</v>
      </c>
      <c r="H150" s="23" t="n">
        <v>46173</v>
      </c>
      <c r="I150" s="22" t="s">
        <v>1566</v>
      </c>
      <c r="J150" s="22" t="s">
        <v>1627</v>
      </c>
      <c r="K150" s="22" t="s">
        <v>1614</v>
      </c>
      <c r="L150" s="22" t="s">
        <v>1628</v>
      </c>
      <c r="M150" s="22" t="s">
        <v>1629</v>
      </c>
      <c r="N150" s="29" t="s">
        <v>1383</v>
      </c>
      <c r="O150" s="22" t="s">
        <v>1384</v>
      </c>
      <c r="P150" s="22" t="s">
        <v>1384</v>
      </c>
    </row>
    <row r="151" customFormat="false" ht="15" hidden="false" customHeight="false" outlineLevel="0" collapsed="false">
      <c r="A151" s="22" t="n">
        <v>148</v>
      </c>
      <c r="B151" s="22" t="s">
        <v>98</v>
      </c>
      <c r="C151" s="22" t="s">
        <v>1544</v>
      </c>
      <c r="D151" s="22" t="s">
        <v>1840</v>
      </c>
      <c r="E151" s="28" t="n">
        <v>0</v>
      </c>
      <c r="F151" s="28" t="n">
        <v>69962</v>
      </c>
      <c r="G151" s="28" t="n">
        <f aca="false">E151-F151</f>
        <v>-69962</v>
      </c>
      <c r="H151" s="23" t="n">
        <v>46191</v>
      </c>
      <c r="I151" s="22" t="s">
        <v>1841</v>
      </c>
      <c r="J151" s="22" t="s">
        <v>1842</v>
      </c>
      <c r="K151" s="22" t="s">
        <v>1603</v>
      </c>
      <c r="L151" s="22" t="s">
        <v>1843</v>
      </c>
      <c r="M151" s="22" t="s">
        <v>1577</v>
      </c>
      <c r="N151" s="29" t="s">
        <v>1383</v>
      </c>
      <c r="O151" s="22" t="s">
        <v>1384</v>
      </c>
      <c r="P151" s="22" t="s">
        <v>1384</v>
      </c>
    </row>
    <row r="152" customFormat="false" ht="15" hidden="false" customHeight="false" outlineLevel="0" collapsed="false">
      <c r="A152" s="22" t="n">
        <v>149</v>
      </c>
      <c r="B152" s="22" t="s">
        <v>98</v>
      </c>
      <c r="C152" s="22" t="s">
        <v>1544</v>
      </c>
      <c r="D152" s="22" t="s">
        <v>1844</v>
      </c>
      <c r="E152" s="28" t="n">
        <v>405339</v>
      </c>
      <c r="F152" s="28" t="n">
        <v>0</v>
      </c>
      <c r="G152" s="28" t="n">
        <f aca="false">E152-F152</f>
        <v>405339</v>
      </c>
      <c r="H152" s="23" t="n">
        <v>46053</v>
      </c>
      <c r="I152" s="22" t="s">
        <v>1566</v>
      </c>
      <c r="J152" s="22" t="s">
        <v>1845</v>
      </c>
      <c r="K152" s="22" t="s">
        <v>1603</v>
      </c>
      <c r="L152" s="22" t="s">
        <v>1846</v>
      </c>
      <c r="M152" s="22" t="s">
        <v>1577</v>
      </c>
      <c r="N152" s="29" t="s">
        <v>1383</v>
      </c>
      <c r="O152" s="22" t="s">
        <v>1384</v>
      </c>
      <c r="P152" s="22" t="s">
        <v>1384</v>
      </c>
    </row>
    <row r="153" customFormat="false" ht="15" hidden="false" customHeight="false" outlineLevel="0" collapsed="false">
      <c r="A153" s="22" t="n">
        <v>150</v>
      </c>
      <c r="B153" s="22" t="s">
        <v>98</v>
      </c>
      <c r="C153" s="22" t="s">
        <v>1544</v>
      </c>
      <c r="D153" s="22" t="s">
        <v>1844</v>
      </c>
      <c r="E153" s="28" t="n">
        <v>0</v>
      </c>
      <c r="F153" s="28" t="n">
        <v>405339</v>
      </c>
      <c r="G153" s="28" t="n">
        <f aca="false">E153-F153</f>
        <v>-405339</v>
      </c>
      <c r="H153" s="23" t="n">
        <v>46053</v>
      </c>
      <c r="I153" s="22" t="s">
        <v>1847</v>
      </c>
      <c r="J153" s="22" t="s">
        <v>1848</v>
      </c>
      <c r="K153" s="22" t="s">
        <v>1603</v>
      </c>
      <c r="L153" s="22" t="s">
        <v>1849</v>
      </c>
      <c r="M153" s="22" t="s">
        <v>1577</v>
      </c>
      <c r="N153" s="29" t="s">
        <v>1383</v>
      </c>
      <c r="O153" s="22" t="s">
        <v>1384</v>
      </c>
      <c r="P153" s="22" t="s">
        <v>1384</v>
      </c>
    </row>
    <row r="154" customFormat="false" ht="15" hidden="false" customHeight="false" outlineLevel="0" collapsed="false">
      <c r="A154" s="22" t="n">
        <v>151</v>
      </c>
      <c r="B154" s="22" t="s">
        <v>98</v>
      </c>
      <c r="C154" s="22" t="s">
        <v>1544</v>
      </c>
      <c r="D154" s="22" t="s">
        <v>1844</v>
      </c>
      <c r="E154" s="28" t="n">
        <v>263288</v>
      </c>
      <c r="F154" s="28" t="n">
        <v>0</v>
      </c>
      <c r="G154" s="28" t="n">
        <f aca="false">E154-F154</f>
        <v>263288</v>
      </c>
      <c r="H154" s="23" t="n">
        <v>46081</v>
      </c>
      <c r="I154" s="22" t="s">
        <v>1566</v>
      </c>
      <c r="J154" s="22" t="s">
        <v>1678</v>
      </c>
      <c r="K154" s="22" t="s">
        <v>1603</v>
      </c>
      <c r="L154" s="22" t="s">
        <v>1679</v>
      </c>
      <c r="M154" s="22" t="s">
        <v>1577</v>
      </c>
      <c r="N154" s="29" t="s">
        <v>1383</v>
      </c>
      <c r="O154" s="22" t="s">
        <v>1384</v>
      </c>
      <c r="P154" s="22" t="s">
        <v>1384</v>
      </c>
    </row>
    <row r="155" customFormat="false" ht="15" hidden="false" customHeight="false" outlineLevel="0" collapsed="false">
      <c r="A155" s="22" t="n">
        <v>152</v>
      </c>
      <c r="B155" s="22" t="s">
        <v>98</v>
      </c>
      <c r="C155" s="22" t="s">
        <v>1544</v>
      </c>
      <c r="D155" s="22" t="s">
        <v>1844</v>
      </c>
      <c r="E155" s="28" t="n">
        <v>0</v>
      </c>
      <c r="F155" s="28" t="n">
        <v>263288</v>
      </c>
      <c r="G155" s="28" t="n">
        <f aca="false">E155-F155</f>
        <v>-263288</v>
      </c>
      <c r="H155" s="23" t="n">
        <v>46081</v>
      </c>
      <c r="I155" s="22" t="s">
        <v>1847</v>
      </c>
      <c r="J155" s="22" t="s">
        <v>1850</v>
      </c>
      <c r="K155" s="22" t="s">
        <v>1603</v>
      </c>
      <c r="L155" s="22" t="s">
        <v>1851</v>
      </c>
      <c r="M155" s="22" t="s">
        <v>1577</v>
      </c>
      <c r="N155" s="29" t="s">
        <v>1383</v>
      </c>
      <c r="O155" s="22" t="s">
        <v>1384</v>
      </c>
      <c r="P155" s="22" t="s">
        <v>1384</v>
      </c>
    </row>
    <row r="156" customFormat="false" ht="15" hidden="false" customHeight="false" outlineLevel="0" collapsed="false">
      <c r="A156" s="22" t="n">
        <v>153</v>
      </c>
      <c r="B156" s="22" t="s">
        <v>98</v>
      </c>
      <c r="C156" s="22" t="s">
        <v>1544</v>
      </c>
      <c r="D156" s="22" t="s">
        <v>1844</v>
      </c>
      <c r="E156" s="28" t="n">
        <v>0</v>
      </c>
      <c r="F156" s="28" t="n">
        <v>307043</v>
      </c>
      <c r="G156" s="28" t="n">
        <f aca="false">E156-F156</f>
        <v>-307043</v>
      </c>
      <c r="H156" s="23" t="n">
        <v>46142</v>
      </c>
      <c r="I156" s="22" t="s">
        <v>1847</v>
      </c>
      <c r="J156" s="22" t="s">
        <v>1852</v>
      </c>
      <c r="K156" s="22" t="s">
        <v>1603</v>
      </c>
      <c r="L156" s="22" t="s">
        <v>1853</v>
      </c>
      <c r="M156" s="22" t="s">
        <v>1577</v>
      </c>
      <c r="N156" s="29" t="s">
        <v>1383</v>
      </c>
      <c r="O156" s="22" t="s">
        <v>1384</v>
      </c>
      <c r="P156" s="22" t="s">
        <v>1384</v>
      </c>
    </row>
    <row r="157" customFormat="false" ht="15" hidden="false" customHeight="false" outlineLevel="0" collapsed="false">
      <c r="A157" s="22" t="n">
        <v>154</v>
      </c>
      <c r="B157" s="22" t="s">
        <v>98</v>
      </c>
      <c r="C157" s="22" t="s">
        <v>1544</v>
      </c>
      <c r="D157" s="22" t="s">
        <v>1844</v>
      </c>
      <c r="E157" s="28" t="n">
        <v>603854</v>
      </c>
      <c r="F157" s="28" t="n">
        <v>296811</v>
      </c>
      <c r="G157" s="28" t="n">
        <f aca="false">E157-F157</f>
        <v>307043</v>
      </c>
      <c r="H157" s="23" t="n">
        <v>46167</v>
      </c>
      <c r="I157" s="22" t="s">
        <v>1566</v>
      </c>
      <c r="J157" s="22" t="s">
        <v>1854</v>
      </c>
      <c r="K157" s="22" t="s">
        <v>1603</v>
      </c>
      <c r="L157" s="22" t="s">
        <v>1855</v>
      </c>
      <c r="M157" s="22" t="s">
        <v>1577</v>
      </c>
      <c r="N157" s="29" t="s">
        <v>1383</v>
      </c>
      <c r="O157" s="22" t="s">
        <v>1384</v>
      </c>
      <c r="P157" s="22" t="s">
        <v>1384</v>
      </c>
    </row>
    <row r="158" customFormat="false" ht="15" hidden="false" customHeight="false" outlineLevel="0" collapsed="false">
      <c r="A158" s="22" t="n">
        <v>155</v>
      </c>
      <c r="B158" s="22" t="s">
        <v>98</v>
      </c>
      <c r="C158" s="22" t="s">
        <v>1544</v>
      </c>
      <c r="D158" s="22" t="s">
        <v>1844</v>
      </c>
      <c r="E158" s="28" t="n">
        <v>0</v>
      </c>
      <c r="F158" s="28" t="n">
        <v>316383</v>
      </c>
      <c r="G158" s="28" t="n">
        <f aca="false">E158-F158</f>
        <v>-316383</v>
      </c>
      <c r="H158" s="23" t="n">
        <v>46203</v>
      </c>
      <c r="I158" s="22" t="s">
        <v>1847</v>
      </c>
      <c r="J158" s="22" t="s">
        <v>1856</v>
      </c>
      <c r="K158" s="22" t="s">
        <v>1603</v>
      </c>
      <c r="L158" s="22" t="s">
        <v>1857</v>
      </c>
      <c r="M158" s="22" t="s">
        <v>1577</v>
      </c>
      <c r="N158" s="29" t="s">
        <v>1383</v>
      </c>
      <c r="O158" s="22" t="s">
        <v>1384</v>
      </c>
      <c r="P158" s="22" t="s">
        <v>1384</v>
      </c>
    </row>
    <row r="159" customFormat="false" ht="15" hidden="false" customHeight="false" outlineLevel="0" collapsed="false">
      <c r="A159" s="22" t="n">
        <v>156</v>
      </c>
      <c r="B159" s="22" t="s">
        <v>98</v>
      </c>
      <c r="C159" s="22" t="s">
        <v>1544</v>
      </c>
      <c r="D159" s="22" t="s">
        <v>1844</v>
      </c>
      <c r="E159" s="28" t="n">
        <v>0</v>
      </c>
      <c r="F159" s="28" t="n">
        <v>229142</v>
      </c>
      <c r="G159" s="28" t="n">
        <f aca="false">E159-F159</f>
        <v>-229142</v>
      </c>
      <c r="H159" s="23" t="n">
        <v>46203</v>
      </c>
      <c r="I159" s="22" t="s">
        <v>1847</v>
      </c>
      <c r="J159" s="22" t="s">
        <v>1858</v>
      </c>
      <c r="K159" s="22" t="s">
        <v>1614</v>
      </c>
      <c r="L159" s="22" t="s">
        <v>1859</v>
      </c>
      <c r="M159" s="22" t="s">
        <v>1577</v>
      </c>
      <c r="N159" s="29" t="s">
        <v>1383</v>
      </c>
      <c r="O159" s="22" t="s">
        <v>1384</v>
      </c>
      <c r="P159" s="22" t="s">
        <v>1384</v>
      </c>
    </row>
    <row r="160" customFormat="false" ht="15" hidden="false" customHeight="false" outlineLevel="0" collapsed="false">
      <c r="A160" s="22" t="n">
        <v>157</v>
      </c>
      <c r="B160" s="22" t="s">
        <v>98</v>
      </c>
      <c r="C160" s="22" t="s">
        <v>1544</v>
      </c>
      <c r="D160" s="22" t="s">
        <v>1844</v>
      </c>
      <c r="E160" s="28" t="n">
        <v>545525</v>
      </c>
      <c r="F160" s="28" t="n">
        <v>0</v>
      </c>
      <c r="G160" s="28" t="n">
        <f aca="false">E160-F160</f>
        <v>545525</v>
      </c>
      <c r="H160" s="23" t="n">
        <v>46234</v>
      </c>
      <c r="I160" s="22" t="s">
        <v>1566</v>
      </c>
      <c r="J160" s="22" t="s">
        <v>1695</v>
      </c>
      <c r="K160" s="22" t="s">
        <v>1603</v>
      </c>
      <c r="L160" s="22" t="s">
        <v>1696</v>
      </c>
      <c r="M160" s="22" t="s">
        <v>1577</v>
      </c>
      <c r="N160" s="29" t="s">
        <v>1383</v>
      </c>
      <c r="O160" s="22" t="s">
        <v>1384</v>
      </c>
      <c r="P160" s="22" t="s">
        <v>1384</v>
      </c>
    </row>
    <row r="161" customFormat="false" ht="15" hidden="false" customHeight="false" outlineLevel="0" collapsed="false">
      <c r="A161" s="22" t="n">
        <v>158</v>
      </c>
      <c r="B161" s="22" t="s">
        <v>98</v>
      </c>
      <c r="C161" s="22" t="s">
        <v>1544</v>
      </c>
      <c r="D161" s="22" t="s">
        <v>1860</v>
      </c>
      <c r="E161" s="28" t="n">
        <v>0</v>
      </c>
      <c r="F161" s="28" t="n">
        <v>250000</v>
      </c>
      <c r="G161" s="28" t="n">
        <f aca="false">E161-F161</f>
        <v>-250000</v>
      </c>
      <c r="H161" s="23" t="n">
        <v>46134</v>
      </c>
      <c r="I161" s="22" t="s">
        <v>1861</v>
      </c>
      <c r="J161" s="22" t="s">
        <v>1862</v>
      </c>
      <c r="K161" s="22" t="s">
        <v>1603</v>
      </c>
      <c r="L161" s="22" t="s">
        <v>1863</v>
      </c>
      <c r="M161" s="22" t="s">
        <v>1577</v>
      </c>
      <c r="N161" s="29" t="s">
        <v>1383</v>
      </c>
      <c r="O161" s="22" t="s">
        <v>1384</v>
      </c>
      <c r="P161" s="22" t="s">
        <v>1384</v>
      </c>
    </row>
    <row r="162" customFormat="false" ht="15" hidden="false" customHeight="false" outlineLevel="0" collapsed="false">
      <c r="A162" s="22" t="n">
        <v>159</v>
      </c>
      <c r="B162" s="22" t="s">
        <v>98</v>
      </c>
      <c r="C162" s="22" t="s">
        <v>1544</v>
      </c>
      <c r="D162" s="22" t="s">
        <v>1860</v>
      </c>
      <c r="E162" s="28" t="n">
        <v>250000</v>
      </c>
      <c r="F162" s="28" t="n">
        <v>0</v>
      </c>
      <c r="G162" s="28" t="n">
        <f aca="false">E162-F162</f>
        <v>250000</v>
      </c>
      <c r="H162" s="23" t="n">
        <v>46203</v>
      </c>
      <c r="I162" s="22" t="s">
        <v>1566</v>
      </c>
      <c r="J162" s="22" t="s">
        <v>1665</v>
      </c>
      <c r="K162" s="22" t="s">
        <v>1603</v>
      </c>
      <c r="L162" s="22" t="s">
        <v>1666</v>
      </c>
      <c r="M162" s="22" t="s">
        <v>1577</v>
      </c>
      <c r="N162" s="29" t="s">
        <v>1383</v>
      </c>
      <c r="O162" s="22" t="s">
        <v>1384</v>
      </c>
      <c r="P162" s="22" t="s">
        <v>1384</v>
      </c>
    </row>
    <row r="163" customFormat="false" ht="15" hidden="false" customHeight="false" outlineLevel="0" collapsed="false">
      <c r="A163" s="22" t="n">
        <v>160</v>
      </c>
      <c r="B163" s="22" t="s">
        <v>98</v>
      </c>
      <c r="C163" s="22" t="s">
        <v>1544</v>
      </c>
      <c r="D163" s="22" t="s">
        <v>1860</v>
      </c>
      <c r="E163" s="28" t="n">
        <v>0</v>
      </c>
      <c r="F163" s="28" t="n">
        <v>250000</v>
      </c>
      <c r="G163" s="28" t="n">
        <f aca="false">E163-F163</f>
        <v>-250000</v>
      </c>
      <c r="H163" s="23" t="n">
        <v>46203</v>
      </c>
      <c r="I163" s="22" t="s">
        <v>1861</v>
      </c>
      <c r="J163" s="22" t="s">
        <v>1864</v>
      </c>
      <c r="K163" s="22" t="s">
        <v>1603</v>
      </c>
      <c r="L163" s="22" t="s">
        <v>1865</v>
      </c>
      <c r="M163" s="22" t="s">
        <v>1577</v>
      </c>
      <c r="N163" s="29" t="s">
        <v>1383</v>
      </c>
      <c r="O163" s="22" t="s">
        <v>1384</v>
      </c>
      <c r="P163" s="22" t="s">
        <v>1384</v>
      </c>
    </row>
    <row r="164" customFormat="false" ht="15" hidden="false" customHeight="false" outlineLevel="0" collapsed="false">
      <c r="A164" s="22" t="n">
        <v>161</v>
      </c>
      <c r="B164" s="22" t="s">
        <v>98</v>
      </c>
      <c r="C164" s="22" t="s">
        <v>1544</v>
      </c>
      <c r="D164" s="22" t="s">
        <v>1866</v>
      </c>
      <c r="E164" s="28" t="n">
        <v>0</v>
      </c>
      <c r="F164" s="28" t="n">
        <v>592106</v>
      </c>
      <c r="G164" s="28" t="n">
        <f aca="false">E164-F164</f>
        <v>-592106</v>
      </c>
      <c r="H164" s="23" t="n">
        <v>46049</v>
      </c>
      <c r="I164" s="22" t="s">
        <v>1867</v>
      </c>
      <c r="J164" s="22" t="s">
        <v>1868</v>
      </c>
      <c r="K164" s="22" t="s">
        <v>1603</v>
      </c>
      <c r="L164" s="22" t="s">
        <v>1869</v>
      </c>
      <c r="M164" s="22" t="s">
        <v>1577</v>
      </c>
      <c r="N164" s="29" t="s">
        <v>1383</v>
      </c>
      <c r="O164" s="22" t="s">
        <v>1384</v>
      </c>
      <c r="P164" s="22" t="s">
        <v>1384</v>
      </c>
    </row>
    <row r="165" customFormat="false" ht="15" hidden="false" customHeight="false" outlineLevel="0" collapsed="false">
      <c r="A165" s="22" t="n">
        <v>162</v>
      </c>
      <c r="B165" s="22" t="s">
        <v>98</v>
      </c>
      <c r="C165" s="22" t="s">
        <v>1544</v>
      </c>
      <c r="D165" s="22" t="s">
        <v>1866</v>
      </c>
      <c r="E165" s="28" t="n">
        <v>0</v>
      </c>
      <c r="F165" s="28" t="n">
        <v>98770</v>
      </c>
      <c r="G165" s="28" t="n">
        <f aca="false">E165-F165</f>
        <v>-98770</v>
      </c>
      <c r="H165" s="23" t="n">
        <v>46049</v>
      </c>
      <c r="I165" s="22" t="s">
        <v>1867</v>
      </c>
      <c r="J165" s="22" t="s">
        <v>1870</v>
      </c>
      <c r="K165" s="22" t="s">
        <v>1603</v>
      </c>
      <c r="L165" s="22" t="s">
        <v>1871</v>
      </c>
      <c r="M165" s="22" t="s">
        <v>1577</v>
      </c>
      <c r="N165" s="29" t="s">
        <v>1383</v>
      </c>
      <c r="O165" s="22" t="s">
        <v>1384</v>
      </c>
      <c r="P165" s="22" t="s">
        <v>1384</v>
      </c>
    </row>
    <row r="166" customFormat="false" ht="15" hidden="false" customHeight="false" outlineLevel="0" collapsed="false">
      <c r="A166" s="22" t="n">
        <v>163</v>
      </c>
      <c r="B166" s="22" t="s">
        <v>98</v>
      </c>
      <c r="C166" s="22" t="s">
        <v>1544</v>
      </c>
      <c r="D166" s="22" t="s">
        <v>1866</v>
      </c>
      <c r="E166" s="28" t="n">
        <v>0</v>
      </c>
      <c r="F166" s="28" t="n">
        <v>1166719</v>
      </c>
      <c r="G166" s="28" t="n">
        <f aca="false">E166-F166</f>
        <v>-1166719</v>
      </c>
      <c r="H166" s="23" t="n">
        <v>46049</v>
      </c>
      <c r="I166" s="22" t="s">
        <v>1867</v>
      </c>
      <c r="J166" s="22" t="s">
        <v>1872</v>
      </c>
      <c r="K166" s="22" t="s">
        <v>1603</v>
      </c>
      <c r="L166" s="22" t="s">
        <v>1873</v>
      </c>
      <c r="M166" s="22" t="s">
        <v>1577</v>
      </c>
      <c r="N166" s="29" t="s">
        <v>1383</v>
      </c>
      <c r="O166" s="22" t="s">
        <v>1384</v>
      </c>
      <c r="P166" s="22" t="s">
        <v>1384</v>
      </c>
    </row>
    <row r="167" customFormat="false" ht="15" hidden="false" customHeight="false" outlineLevel="0" collapsed="false">
      <c r="A167" s="22" t="n">
        <v>164</v>
      </c>
      <c r="B167" s="22" t="s">
        <v>98</v>
      </c>
      <c r="C167" s="22" t="s">
        <v>1544</v>
      </c>
      <c r="D167" s="22" t="s">
        <v>1866</v>
      </c>
      <c r="E167" s="28" t="n">
        <v>0</v>
      </c>
      <c r="F167" s="28" t="n">
        <v>1237067</v>
      </c>
      <c r="G167" s="28" t="n">
        <f aca="false">E167-F167</f>
        <v>-1237067</v>
      </c>
      <c r="H167" s="23" t="n">
        <v>46049</v>
      </c>
      <c r="I167" s="22" t="s">
        <v>1867</v>
      </c>
      <c r="J167" s="22" t="s">
        <v>1874</v>
      </c>
      <c r="K167" s="22" t="s">
        <v>1603</v>
      </c>
      <c r="L167" s="22" t="s">
        <v>1875</v>
      </c>
      <c r="M167" s="22" t="s">
        <v>1577</v>
      </c>
      <c r="N167" s="29" t="s">
        <v>1383</v>
      </c>
      <c r="O167" s="22" t="s">
        <v>1384</v>
      </c>
      <c r="P167" s="22" t="s">
        <v>1384</v>
      </c>
    </row>
    <row r="168" customFormat="false" ht="15" hidden="false" customHeight="false" outlineLevel="0" collapsed="false">
      <c r="A168" s="22" t="n">
        <v>165</v>
      </c>
      <c r="B168" s="22" t="s">
        <v>98</v>
      </c>
      <c r="C168" s="22" t="s">
        <v>1544</v>
      </c>
      <c r="D168" s="22" t="s">
        <v>1866</v>
      </c>
      <c r="E168" s="28" t="n">
        <v>0</v>
      </c>
      <c r="F168" s="28" t="n">
        <v>927186</v>
      </c>
      <c r="G168" s="28" t="n">
        <f aca="false">E168-F168</f>
        <v>-927186</v>
      </c>
      <c r="H168" s="23" t="n">
        <v>46052</v>
      </c>
      <c r="I168" s="22" t="s">
        <v>1867</v>
      </c>
      <c r="J168" s="22" t="s">
        <v>1876</v>
      </c>
      <c r="K168" s="22" t="s">
        <v>1603</v>
      </c>
      <c r="L168" s="22" t="s">
        <v>1877</v>
      </c>
      <c r="M168" s="22" t="s">
        <v>1577</v>
      </c>
      <c r="N168" s="29" t="s">
        <v>1383</v>
      </c>
      <c r="O168" s="22" t="s">
        <v>1384</v>
      </c>
      <c r="P168" s="22" t="s">
        <v>1384</v>
      </c>
    </row>
    <row r="169" customFormat="false" ht="15" hidden="false" customHeight="false" outlineLevel="0" collapsed="false">
      <c r="A169" s="22" t="n">
        <v>166</v>
      </c>
      <c r="B169" s="22" t="s">
        <v>98</v>
      </c>
      <c r="C169" s="22" t="s">
        <v>1544</v>
      </c>
      <c r="D169" s="22" t="s">
        <v>1866</v>
      </c>
      <c r="E169" s="28" t="n">
        <v>0</v>
      </c>
      <c r="F169" s="28" t="n">
        <v>647189</v>
      </c>
      <c r="G169" s="28" t="n">
        <f aca="false">E169-F169</f>
        <v>-647189</v>
      </c>
      <c r="H169" s="23" t="n">
        <v>46063</v>
      </c>
      <c r="I169" s="22" t="s">
        <v>1867</v>
      </c>
      <c r="J169" s="22" t="s">
        <v>1878</v>
      </c>
      <c r="K169" s="22" t="s">
        <v>1603</v>
      </c>
      <c r="L169" s="22" t="s">
        <v>1879</v>
      </c>
      <c r="M169" s="22" t="s">
        <v>1577</v>
      </c>
      <c r="N169" s="29" t="s">
        <v>1383</v>
      </c>
      <c r="O169" s="22" t="s">
        <v>1384</v>
      </c>
      <c r="P169" s="22" t="s">
        <v>1384</v>
      </c>
    </row>
    <row r="170" customFormat="false" ht="15" hidden="false" customHeight="false" outlineLevel="0" collapsed="false">
      <c r="A170" s="22" t="n">
        <v>167</v>
      </c>
      <c r="B170" s="22" t="s">
        <v>98</v>
      </c>
      <c r="C170" s="22" t="s">
        <v>1544</v>
      </c>
      <c r="D170" s="22" t="s">
        <v>1866</v>
      </c>
      <c r="E170" s="28" t="n">
        <v>0</v>
      </c>
      <c r="F170" s="28" t="n">
        <v>2160887</v>
      </c>
      <c r="G170" s="28" t="n">
        <f aca="false">E170-F170</f>
        <v>-2160887</v>
      </c>
      <c r="H170" s="23" t="n">
        <v>46073</v>
      </c>
      <c r="I170" s="22" t="s">
        <v>1867</v>
      </c>
      <c r="J170" s="22" t="s">
        <v>1880</v>
      </c>
      <c r="K170" s="22" t="s">
        <v>1603</v>
      </c>
      <c r="L170" s="22" t="s">
        <v>1881</v>
      </c>
      <c r="M170" s="22" t="s">
        <v>1577</v>
      </c>
      <c r="N170" s="29" t="s">
        <v>1383</v>
      </c>
      <c r="O170" s="22" t="s">
        <v>1384</v>
      </c>
      <c r="P170" s="22" t="s">
        <v>1384</v>
      </c>
    </row>
    <row r="171" customFormat="false" ht="15" hidden="false" customHeight="false" outlineLevel="0" collapsed="false">
      <c r="A171" s="22" t="n">
        <v>168</v>
      </c>
      <c r="B171" s="22" t="s">
        <v>98</v>
      </c>
      <c r="C171" s="22" t="s">
        <v>1544</v>
      </c>
      <c r="D171" s="22" t="s">
        <v>1866</v>
      </c>
      <c r="E171" s="28" t="n">
        <v>0</v>
      </c>
      <c r="F171" s="28" t="n">
        <v>4789492.16</v>
      </c>
      <c r="G171" s="28" t="n">
        <f aca="false">E171-F171</f>
        <v>-4789492.16</v>
      </c>
      <c r="H171" s="23" t="n">
        <v>46076</v>
      </c>
      <c r="I171" s="22" t="s">
        <v>1867</v>
      </c>
      <c r="J171" s="22" t="s">
        <v>1882</v>
      </c>
      <c r="K171" s="22" t="s">
        <v>1603</v>
      </c>
      <c r="L171" s="22" t="s">
        <v>1883</v>
      </c>
      <c r="M171" s="22" t="s">
        <v>1577</v>
      </c>
      <c r="N171" s="29" t="s">
        <v>1383</v>
      </c>
      <c r="O171" s="22" t="s">
        <v>1384</v>
      </c>
      <c r="P171" s="22" t="s">
        <v>1384</v>
      </c>
    </row>
    <row r="172" customFormat="false" ht="15" hidden="false" customHeight="false" outlineLevel="0" collapsed="false">
      <c r="A172" s="22" t="n">
        <v>169</v>
      </c>
      <c r="B172" s="22" t="s">
        <v>98</v>
      </c>
      <c r="C172" s="22" t="s">
        <v>1544</v>
      </c>
      <c r="D172" s="22" t="s">
        <v>1866</v>
      </c>
      <c r="E172" s="28" t="n">
        <v>2160887</v>
      </c>
      <c r="F172" s="28" t="n">
        <v>0</v>
      </c>
      <c r="G172" s="28" t="n">
        <f aca="false">E172-F172</f>
        <v>2160887</v>
      </c>
      <c r="H172" s="23" t="n">
        <v>46079</v>
      </c>
      <c r="I172" s="22" t="s">
        <v>1867</v>
      </c>
      <c r="J172" s="22" t="s">
        <v>1884</v>
      </c>
      <c r="K172" s="22" t="s">
        <v>1562</v>
      </c>
      <c r="L172" s="22" t="s">
        <v>1881</v>
      </c>
      <c r="M172" s="22" t="s">
        <v>1710</v>
      </c>
      <c r="N172" s="29" t="s">
        <v>1383</v>
      </c>
      <c r="O172" s="22" t="s">
        <v>1384</v>
      </c>
      <c r="P172" s="22" t="s">
        <v>1384</v>
      </c>
    </row>
    <row r="173" customFormat="false" ht="15" hidden="false" customHeight="false" outlineLevel="0" collapsed="false">
      <c r="A173" s="22" t="n">
        <v>170</v>
      </c>
      <c r="B173" s="22" t="s">
        <v>98</v>
      </c>
      <c r="C173" s="22" t="s">
        <v>1544</v>
      </c>
      <c r="D173" s="22" t="s">
        <v>1866</v>
      </c>
      <c r="E173" s="28" t="n">
        <v>0</v>
      </c>
      <c r="F173" s="28" t="n">
        <v>1460992</v>
      </c>
      <c r="G173" s="28" t="n">
        <f aca="false">E173-F173</f>
        <v>-1460992</v>
      </c>
      <c r="H173" s="23" t="n">
        <v>46098</v>
      </c>
      <c r="I173" s="22" t="s">
        <v>1867</v>
      </c>
      <c r="J173" s="22" t="s">
        <v>1885</v>
      </c>
      <c r="K173" s="22" t="s">
        <v>1603</v>
      </c>
      <c r="L173" s="22" t="s">
        <v>1886</v>
      </c>
      <c r="M173" s="22" t="s">
        <v>1577</v>
      </c>
      <c r="N173" s="29" t="s">
        <v>1383</v>
      </c>
      <c r="O173" s="22" t="s">
        <v>1384</v>
      </c>
      <c r="P173" s="22" t="s">
        <v>1384</v>
      </c>
    </row>
    <row r="174" customFormat="false" ht="15" hidden="false" customHeight="false" outlineLevel="0" collapsed="false">
      <c r="A174" s="22" t="n">
        <v>171</v>
      </c>
      <c r="B174" s="22" t="s">
        <v>98</v>
      </c>
      <c r="C174" s="22" t="s">
        <v>1544</v>
      </c>
      <c r="D174" s="22" t="s">
        <v>1866</v>
      </c>
      <c r="E174" s="28" t="n">
        <v>0</v>
      </c>
      <c r="F174" s="28" t="n">
        <v>1188372</v>
      </c>
      <c r="G174" s="28" t="n">
        <f aca="false">E174-F174</f>
        <v>-1188372</v>
      </c>
      <c r="H174" s="23" t="n">
        <v>46108</v>
      </c>
      <c r="I174" s="22" t="s">
        <v>1867</v>
      </c>
      <c r="J174" s="22" t="s">
        <v>1887</v>
      </c>
      <c r="K174" s="22" t="s">
        <v>1603</v>
      </c>
      <c r="L174" s="22" t="s">
        <v>1888</v>
      </c>
      <c r="M174" s="22" t="s">
        <v>1577</v>
      </c>
      <c r="N174" s="29" t="s">
        <v>1383</v>
      </c>
      <c r="O174" s="22" t="s">
        <v>1384</v>
      </c>
      <c r="P174" s="22" t="s">
        <v>1384</v>
      </c>
    </row>
    <row r="175" customFormat="false" ht="15" hidden="false" customHeight="false" outlineLevel="0" collapsed="false">
      <c r="A175" s="22" t="n">
        <v>172</v>
      </c>
      <c r="B175" s="22" t="s">
        <v>98</v>
      </c>
      <c r="C175" s="22" t="s">
        <v>1544</v>
      </c>
      <c r="D175" s="22" t="s">
        <v>1866</v>
      </c>
      <c r="E175" s="28" t="n">
        <v>4669037</v>
      </c>
      <c r="F175" s="28" t="n">
        <v>0</v>
      </c>
      <c r="G175" s="28" t="n">
        <f aca="false">E175-F175</f>
        <v>4669037</v>
      </c>
      <c r="H175" s="23" t="n">
        <v>46129</v>
      </c>
      <c r="I175" s="22" t="s">
        <v>1566</v>
      </c>
      <c r="J175" s="22" t="s">
        <v>1652</v>
      </c>
      <c r="K175" s="22" t="s">
        <v>1603</v>
      </c>
      <c r="L175" s="22" t="s">
        <v>1653</v>
      </c>
      <c r="M175" s="22" t="s">
        <v>1577</v>
      </c>
      <c r="N175" s="29" t="s">
        <v>1383</v>
      </c>
      <c r="O175" s="22" t="s">
        <v>1384</v>
      </c>
      <c r="P175" s="22" t="s">
        <v>1384</v>
      </c>
    </row>
    <row r="176" customFormat="false" ht="15" hidden="false" customHeight="false" outlineLevel="0" collapsed="false">
      <c r="A176" s="22" t="n">
        <v>173</v>
      </c>
      <c r="B176" s="22" t="s">
        <v>98</v>
      </c>
      <c r="C176" s="22" t="s">
        <v>1544</v>
      </c>
      <c r="D176" s="22" t="s">
        <v>1866</v>
      </c>
      <c r="E176" s="28" t="n">
        <v>7438856.16</v>
      </c>
      <c r="F176" s="28" t="n">
        <v>0</v>
      </c>
      <c r="G176" s="28" t="n">
        <f aca="false">E176-F176</f>
        <v>7438856.16</v>
      </c>
      <c r="H176" s="23" t="n">
        <v>46135</v>
      </c>
      <c r="I176" s="22" t="s">
        <v>1566</v>
      </c>
      <c r="J176" s="22" t="s">
        <v>1654</v>
      </c>
      <c r="K176" s="22" t="s">
        <v>1603</v>
      </c>
      <c r="L176" s="22" t="s">
        <v>1655</v>
      </c>
      <c r="M176" s="22" t="s">
        <v>1577</v>
      </c>
      <c r="N176" s="29" t="s">
        <v>1383</v>
      </c>
      <c r="O176" s="22" t="s">
        <v>1384</v>
      </c>
      <c r="P176" s="22" t="s">
        <v>1384</v>
      </c>
    </row>
    <row r="177" customFormat="false" ht="15" hidden="false" customHeight="false" outlineLevel="0" collapsed="false">
      <c r="A177" s="22" t="n">
        <v>174</v>
      </c>
      <c r="B177" s="22" t="s">
        <v>98</v>
      </c>
      <c r="C177" s="22" t="s">
        <v>1544</v>
      </c>
      <c r="D177" s="22" t="s">
        <v>1866</v>
      </c>
      <c r="E177" s="28" t="n">
        <v>0</v>
      </c>
      <c r="F177" s="28" t="n">
        <v>1152872</v>
      </c>
      <c r="G177" s="28" t="n">
        <f aca="false">E177-F177</f>
        <v>-1152872</v>
      </c>
      <c r="H177" s="23" t="n">
        <v>46135</v>
      </c>
      <c r="I177" s="22" t="s">
        <v>1867</v>
      </c>
      <c r="J177" s="22" t="s">
        <v>1889</v>
      </c>
      <c r="K177" s="22" t="s">
        <v>1603</v>
      </c>
      <c r="L177" s="22" t="s">
        <v>1890</v>
      </c>
      <c r="M177" s="22" t="s">
        <v>1577</v>
      </c>
      <c r="N177" s="29" t="s">
        <v>1383</v>
      </c>
      <c r="O177" s="22" t="s">
        <v>1384</v>
      </c>
      <c r="P177" s="22" t="s">
        <v>1384</v>
      </c>
    </row>
    <row r="178" customFormat="false" ht="15" hidden="false" customHeight="false" outlineLevel="0" collapsed="false">
      <c r="A178" s="22" t="n">
        <v>175</v>
      </c>
      <c r="B178" s="22" t="s">
        <v>98</v>
      </c>
      <c r="C178" s="22" t="s">
        <v>1544</v>
      </c>
      <c r="D178" s="22" t="s">
        <v>1866</v>
      </c>
      <c r="E178" s="28" t="n">
        <v>0</v>
      </c>
      <c r="F178" s="28" t="n">
        <v>527546</v>
      </c>
      <c r="G178" s="28" t="n">
        <f aca="false">E178-F178</f>
        <v>-527546</v>
      </c>
      <c r="H178" s="23" t="n">
        <v>46167</v>
      </c>
      <c r="I178" s="22" t="s">
        <v>1867</v>
      </c>
      <c r="J178" s="22" t="s">
        <v>1891</v>
      </c>
      <c r="K178" s="22" t="s">
        <v>1603</v>
      </c>
      <c r="L178" s="22" t="s">
        <v>1892</v>
      </c>
      <c r="M178" s="22" t="s">
        <v>1577</v>
      </c>
      <c r="N178" s="29" t="s">
        <v>1383</v>
      </c>
      <c r="O178" s="22" t="s">
        <v>1384</v>
      </c>
      <c r="P178" s="22" t="s">
        <v>1384</v>
      </c>
    </row>
    <row r="179" customFormat="false" ht="15" hidden="false" customHeight="false" outlineLevel="0" collapsed="false">
      <c r="A179" s="22" t="n">
        <v>176</v>
      </c>
      <c r="B179" s="22" t="s">
        <v>98</v>
      </c>
      <c r="C179" s="22" t="s">
        <v>1544</v>
      </c>
      <c r="D179" s="22" t="s">
        <v>1866</v>
      </c>
      <c r="E179" s="28" t="n">
        <v>0</v>
      </c>
      <c r="F179" s="28" t="n">
        <v>1556203.96</v>
      </c>
      <c r="G179" s="28" t="n">
        <f aca="false">E179-F179</f>
        <v>-1556203.96</v>
      </c>
      <c r="H179" s="23" t="n">
        <v>46172</v>
      </c>
      <c r="I179" s="22" t="s">
        <v>1867</v>
      </c>
      <c r="J179" s="22" t="s">
        <v>1893</v>
      </c>
      <c r="K179" s="22" t="s">
        <v>1603</v>
      </c>
      <c r="L179" s="22" t="s">
        <v>1894</v>
      </c>
      <c r="M179" s="22" t="s">
        <v>1577</v>
      </c>
      <c r="N179" s="29" t="s">
        <v>1383</v>
      </c>
      <c r="O179" s="22" t="s">
        <v>1384</v>
      </c>
      <c r="P179" s="22" t="s">
        <v>1384</v>
      </c>
    </row>
    <row r="180" customFormat="false" ht="15" hidden="false" customHeight="false" outlineLevel="0" collapsed="false">
      <c r="A180" s="22" t="n">
        <v>177</v>
      </c>
      <c r="B180" s="22" t="s">
        <v>98</v>
      </c>
      <c r="C180" s="22" t="s">
        <v>1544</v>
      </c>
      <c r="D180" s="22" t="s">
        <v>1866</v>
      </c>
      <c r="E180" s="28" t="n">
        <v>0</v>
      </c>
      <c r="F180" s="28" t="n">
        <v>2625505.96</v>
      </c>
      <c r="G180" s="28" t="n">
        <f aca="false">E180-F180</f>
        <v>-2625505.96</v>
      </c>
      <c r="H180" s="23" t="n">
        <v>46172</v>
      </c>
      <c r="I180" s="22" t="s">
        <v>1867</v>
      </c>
      <c r="J180" s="22" t="s">
        <v>1895</v>
      </c>
      <c r="K180" s="22" t="s">
        <v>1603</v>
      </c>
      <c r="L180" s="22" t="s">
        <v>1896</v>
      </c>
      <c r="M180" s="22" t="s">
        <v>1577</v>
      </c>
      <c r="N180" s="29" t="s">
        <v>1383</v>
      </c>
      <c r="O180" s="22" t="s">
        <v>1384</v>
      </c>
      <c r="P180" s="22" t="s">
        <v>1384</v>
      </c>
    </row>
    <row r="181" customFormat="false" ht="15" hidden="false" customHeight="false" outlineLevel="0" collapsed="false">
      <c r="A181" s="22" t="n">
        <v>178</v>
      </c>
      <c r="B181" s="22" t="s">
        <v>98</v>
      </c>
      <c r="C181" s="22" t="s">
        <v>1544</v>
      </c>
      <c r="D181" s="22" t="s">
        <v>1866</v>
      </c>
      <c r="E181" s="28" t="n">
        <v>0</v>
      </c>
      <c r="F181" s="28" t="n">
        <v>2397832</v>
      </c>
      <c r="G181" s="28" t="n">
        <f aca="false">E181-F181</f>
        <v>-2397832</v>
      </c>
      <c r="H181" s="23" t="n">
        <v>46185</v>
      </c>
      <c r="I181" s="22" t="s">
        <v>1867</v>
      </c>
      <c r="J181" s="22" t="s">
        <v>1897</v>
      </c>
      <c r="K181" s="22" t="s">
        <v>1603</v>
      </c>
      <c r="L181" s="22" t="s">
        <v>1898</v>
      </c>
      <c r="M181" s="22" t="s">
        <v>1577</v>
      </c>
      <c r="N181" s="29" t="s">
        <v>1383</v>
      </c>
      <c r="O181" s="22" t="s">
        <v>1384</v>
      </c>
      <c r="P181" s="22" t="s">
        <v>1384</v>
      </c>
    </row>
    <row r="182" customFormat="false" ht="15" hidden="false" customHeight="false" outlineLevel="0" collapsed="false">
      <c r="A182" s="22" t="n">
        <v>179</v>
      </c>
      <c r="B182" s="22" t="s">
        <v>98</v>
      </c>
      <c r="C182" s="22" t="s">
        <v>1544</v>
      </c>
      <c r="D182" s="22" t="s">
        <v>1866</v>
      </c>
      <c r="E182" s="28" t="n">
        <v>0</v>
      </c>
      <c r="F182" s="28" t="n">
        <v>668276</v>
      </c>
      <c r="G182" s="28" t="n">
        <f aca="false">E182-F182</f>
        <v>-668276</v>
      </c>
      <c r="H182" s="23" t="n">
        <v>46191</v>
      </c>
      <c r="I182" s="22" t="s">
        <v>1867</v>
      </c>
      <c r="J182" s="22" t="s">
        <v>1899</v>
      </c>
      <c r="K182" s="22" t="s">
        <v>1603</v>
      </c>
      <c r="L182" s="22" t="s">
        <v>1900</v>
      </c>
      <c r="M182" s="22" t="s">
        <v>1577</v>
      </c>
      <c r="N182" s="29" t="s">
        <v>1383</v>
      </c>
      <c r="O182" s="22" t="s">
        <v>1384</v>
      </c>
      <c r="P182" s="22" t="s">
        <v>1384</v>
      </c>
    </row>
    <row r="183" customFormat="false" ht="15" hidden="false" customHeight="false" outlineLevel="0" collapsed="false">
      <c r="A183" s="22" t="n">
        <v>180</v>
      </c>
      <c r="B183" s="22" t="s">
        <v>98</v>
      </c>
      <c r="C183" s="22" t="s">
        <v>1544</v>
      </c>
      <c r="D183" s="22" t="s">
        <v>1866</v>
      </c>
      <c r="E183" s="28" t="n">
        <v>0</v>
      </c>
      <c r="F183" s="28" t="n">
        <v>196350</v>
      </c>
      <c r="G183" s="28" t="n">
        <f aca="false">E183-F183</f>
        <v>-196350</v>
      </c>
      <c r="H183" s="23" t="n">
        <v>46191</v>
      </c>
      <c r="I183" s="22" t="s">
        <v>1867</v>
      </c>
      <c r="J183" s="22" t="s">
        <v>1901</v>
      </c>
      <c r="K183" s="22" t="s">
        <v>1603</v>
      </c>
      <c r="L183" s="22" t="s">
        <v>1902</v>
      </c>
      <c r="M183" s="22" t="s">
        <v>1577</v>
      </c>
      <c r="N183" s="29" t="s">
        <v>1383</v>
      </c>
      <c r="O183" s="22" t="s">
        <v>1384</v>
      </c>
      <c r="P183" s="22" t="s">
        <v>1384</v>
      </c>
    </row>
    <row r="184" customFormat="false" ht="15" hidden="false" customHeight="false" outlineLevel="0" collapsed="false">
      <c r="A184" s="22" t="n">
        <v>181</v>
      </c>
      <c r="B184" s="22" t="s">
        <v>98</v>
      </c>
      <c r="C184" s="22" t="s">
        <v>1544</v>
      </c>
      <c r="D184" s="22" t="s">
        <v>1866</v>
      </c>
      <c r="E184" s="28" t="n">
        <v>0</v>
      </c>
      <c r="F184" s="28" t="n">
        <v>196350</v>
      </c>
      <c r="G184" s="28" t="n">
        <f aca="false">E184-F184</f>
        <v>-196350</v>
      </c>
      <c r="H184" s="23" t="n">
        <v>46191</v>
      </c>
      <c r="I184" s="22" t="s">
        <v>1867</v>
      </c>
      <c r="J184" s="22" t="s">
        <v>1903</v>
      </c>
      <c r="K184" s="22" t="s">
        <v>1603</v>
      </c>
      <c r="L184" s="22" t="s">
        <v>1904</v>
      </c>
      <c r="M184" s="22" t="s">
        <v>1577</v>
      </c>
      <c r="N184" s="29" t="s">
        <v>1383</v>
      </c>
      <c r="O184" s="22" t="s">
        <v>1384</v>
      </c>
      <c r="P184" s="22" t="s">
        <v>1384</v>
      </c>
    </row>
    <row r="185" customFormat="false" ht="15" hidden="false" customHeight="false" outlineLevel="0" collapsed="false">
      <c r="A185" s="22" t="n">
        <v>182</v>
      </c>
      <c r="B185" s="22" t="s">
        <v>98</v>
      </c>
      <c r="C185" s="22" t="s">
        <v>1544</v>
      </c>
      <c r="D185" s="22" t="s">
        <v>1866</v>
      </c>
      <c r="E185" s="28" t="n">
        <v>1152872</v>
      </c>
      <c r="F185" s="28" t="n">
        <v>0</v>
      </c>
      <c r="G185" s="28" t="n">
        <f aca="false">E185-F185</f>
        <v>1152872</v>
      </c>
      <c r="H185" s="23" t="n">
        <v>46203</v>
      </c>
      <c r="I185" s="22" t="s">
        <v>1566</v>
      </c>
      <c r="J185" s="22" t="s">
        <v>1665</v>
      </c>
      <c r="K185" s="22" t="s">
        <v>1603</v>
      </c>
      <c r="L185" s="22" t="s">
        <v>1666</v>
      </c>
      <c r="M185" s="22" t="s">
        <v>1577</v>
      </c>
      <c r="N185" s="29" t="s">
        <v>1383</v>
      </c>
      <c r="O185" s="22" t="s">
        <v>1384</v>
      </c>
      <c r="P185" s="22" t="s">
        <v>1384</v>
      </c>
    </row>
    <row r="186" customFormat="false" ht="15" hidden="false" customHeight="false" outlineLevel="0" collapsed="false">
      <c r="A186" s="22" t="n">
        <v>183</v>
      </c>
      <c r="B186" s="22" t="s">
        <v>98</v>
      </c>
      <c r="C186" s="22" t="s">
        <v>1544</v>
      </c>
      <c r="D186" s="22" t="s">
        <v>1866</v>
      </c>
      <c r="E186" s="28" t="n">
        <v>0</v>
      </c>
      <c r="F186" s="28" t="n">
        <v>1301642</v>
      </c>
      <c r="G186" s="28" t="n">
        <f aca="false">E186-F186</f>
        <v>-1301642</v>
      </c>
      <c r="H186" s="23" t="n">
        <v>46203</v>
      </c>
      <c r="I186" s="22" t="s">
        <v>1867</v>
      </c>
      <c r="J186" s="22" t="s">
        <v>1905</v>
      </c>
      <c r="K186" s="22" t="s">
        <v>1603</v>
      </c>
      <c r="L186" s="22" t="s">
        <v>1906</v>
      </c>
      <c r="M186" s="22" t="s">
        <v>1577</v>
      </c>
      <c r="N186" s="29" t="s">
        <v>1383</v>
      </c>
      <c r="O186" s="22" t="s">
        <v>1384</v>
      </c>
      <c r="P186" s="22" t="s">
        <v>1384</v>
      </c>
    </row>
    <row r="187" customFormat="false" ht="15" hidden="false" customHeight="false" outlineLevel="0" collapsed="false">
      <c r="A187" s="22" t="n">
        <v>184</v>
      </c>
      <c r="B187" s="22" t="s">
        <v>98</v>
      </c>
      <c r="C187" s="22" t="s">
        <v>1544</v>
      </c>
      <c r="D187" s="22" t="s">
        <v>1866</v>
      </c>
      <c r="E187" s="28" t="n">
        <v>6611859.96</v>
      </c>
      <c r="F187" s="28" t="n">
        <v>0</v>
      </c>
      <c r="G187" s="28" t="n">
        <f aca="false">E187-F187</f>
        <v>6611859.96</v>
      </c>
      <c r="H187" s="23" t="n">
        <v>46234</v>
      </c>
      <c r="I187" s="22" t="s">
        <v>1566</v>
      </c>
      <c r="J187" s="22" t="s">
        <v>1669</v>
      </c>
      <c r="K187" s="22" t="s">
        <v>1603</v>
      </c>
      <c r="L187" s="22" t="s">
        <v>1670</v>
      </c>
      <c r="M187" s="22" t="s">
        <v>1577</v>
      </c>
      <c r="N187" s="29" t="s">
        <v>1383</v>
      </c>
      <c r="O187" s="22" t="s">
        <v>1384</v>
      </c>
      <c r="P187" s="22" t="s">
        <v>1384</v>
      </c>
    </row>
    <row r="188" customFormat="false" ht="15" hidden="false" customHeight="false" outlineLevel="0" collapsed="false">
      <c r="A188" s="22" t="n">
        <v>185</v>
      </c>
      <c r="B188" s="22" t="s">
        <v>98</v>
      </c>
      <c r="C188" s="22" t="s">
        <v>1544</v>
      </c>
      <c r="D188" s="22" t="s">
        <v>1866</v>
      </c>
      <c r="E188" s="28" t="n">
        <v>0</v>
      </c>
      <c r="F188" s="28" t="n">
        <v>1426849</v>
      </c>
      <c r="G188" s="28" t="n">
        <f aca="false">E188-F188</f>
        <v>-1426849</v>
      </c>
      <c r="H188" s="23" t="n">
        <v>46234</v>
      </c>
      <c r="I188" s="22" t="s">
        <v>1867</v>
      </c>
      <c r="J188" s="22" t="s">
        <v>1907</v>
      </c>
      <c r="K188" s="22" t="s">
        <v>1603</v>
      </c>
      <c r="L188" s="22" t="s">
        <v>1908</v>
      </c>
      <c r="M188" s="22" t="s">
        <v>1577</v>
      </c>
      <c r="N188" s="29" t="s">
        <v>1383</v>
      </c>
      <c r="O188" s="22" t="s">
        <v>1384</v>
      </c>
      <c r="P188" s="22" t="s">
        <v>1384</v>
      </c>
    </row>
    <row r="189" customFormat="false" ht="15" hidden="false" customHeight="false" outlineLevel="0" collapsed="false">
      <c r="A189" s="22" t="n">
        <v>186</v>
      </c>
      <c r="B189" s="22" t="s">
        <v>98</v>
      </c>
      <c r="C189" s="22" t="s">
        <v>1544</v>
      </c>
      <c r="D189" s="22" t="s">
        <v>1909</v>
      </c>
      <c r="E189" s="28" t="n">
        <v>0</v>
      </c>
      <c r="F189" s="28" t="n">
        <v>839111</v>
      </c>
      <c r="G189" s="28" t="n">
        <f aca="false">E189-F189</f>
        <v>-839111</v>
      </c>
      <c r="H189" s="23" t="n">
        <v>46168</v>
      </c>
      <c r="I189" s="22" t="s">
        <v>1910</v>
      </c>
      <c r="J189" s="22" t="s">
        <v>1911</v>
      </c>
      <c r="K189" s="22" t="s">
        <v>1603</v>
      </c>
      <c r="L189" s="22" t="s">
        <v>1912</v>
      </c>
      <c r="M189" s="22" t="s">
        <v>1577</v>
      </c>
      <c r="N189" s="29" t="s">
        <v>1383</v>
      </c>
      <c r="O189" s="22" t="s">
        <v>1384</v>
      </c>
      <c r="P189" s="22" t="s">
        <v>1384</v>
      </c>
    </row>
    <row r="190" customFormat="false" ht="15" hidden="false" customHeight="false" outlineLevel="0" collapsed="false">
      <c r="A190" s="22" t="n">
        <v>187</v>
      </c>
      <c r="B190" s="22" t="s">
        <v>98</v>
      </c>
      <c r="C190" s="22" t="s">
        <v>1544</v>
      </c>
      <c r="D190" s="22" t="s">
        <v>1909</v>
      </c>
      <c r="E190" s="28" t="n">
        <v>0</v>
      </c>
      <c r="F190" s="28" t="n">
        <v>1027037</v>
      </c>
      <c r="G190" s="28" t="n">
        <f aca="false">E190-F190</f>
        <v>-1027037</v>
      </c>
      <c r="H190" s="23" t="n">
        <v>46191</v>
      </c>
      <c r="I190" s="22" t="s">
        <v>1910</v>
      </c>
      <c r="J190" s="22" t="s">
        <v>1913</v>
      </c>
      <c r="K190" s="22" t="s">
        <v>1603</v>
      </c>
      <c r="L190" s="22" t="s">
        <v>1914</v>
      </c>
      <c r="M190" s="22" t="s">
        <v>1577</v>
      </c>
      <c r="N190" s="29" t="s">
        <v>1383</v>
      </c>
      <c r="O190" s="22" t="s">
        <v>1384</v>
      </c>
      <c r="P190" s="22" t="s">
        <v>1384</v>
      </c>
    </row>
    <row r="191" customFormat="false" ht="15" hidden="false" customHeight="false" outlineLevel="0" collapsed="false">
      <c r="A191" s="22" t="n">
        <v>188</v>
      </c>
      <c r="B191" s="22" t="s">
        <v>98</v>
      </c>
      <c r="C191" s="22" t="s">
        <v>1544</v>
      </c>
      <c r="D191" s="22" t="s">
        <v>1909</v>
      </c>
      <c r="E191" s="28" t="n">
        <v>839111</v>
      </c>
      <c r="F191" s="28" t="n">
        <v>0</v>
      </c>
      <c r="G191" s="28" t="n">
        <f aca="false">E191-F191</f>
        <v>839111</v>
      </c>
      <c r="H191" s="23" t="n">
        <v>46198</v>
      </c>
      <c r="I191" s="22" t="s">
        <v>1566</v>
      </c>
      <c r="J191" s="22" t="s">
        <v>1602</v>
      </c>
      <c r="K191" s="22" t="s">
        <v>1603</v>
      </c>
      <c r="L191" s="22" t="s">
        <v>1604</v>
      </c>
      <c r="M191" s="22" t="s">
        <v>1577</v>
      </c>
      <c r="N191" s="29" t="s">
        <v>1383</v>
      </c>
      <c r="O191" s="22" t="s">
        <v>1384</v>
      </c>
      <c r="P191" s="22" t="s">
        <v>1384</v>
      </c>
    </row>
    <row r="192" customFormat="false" ht="15" hidden="false" customHeight="false" outlineLevel="0" collapsed="false">
      <c r="A192" s="22" t="n">
        <v>189</v>
      </c>
      <c r="B192" s="22" t="s">
        <v>98</v>
      </c>
      <c r="C192" s="22" t="s">
        <v>1544</v>
      </c>
      <c r="D192" s="22" t="s">
        <v>1414</v>
      </c>
      <c r="E192" s="28" t="n">
        <v>389899.93</v>
      </c>
      <c r="F192" s="28" t="n">
        <v>0</v>
      </c>
      <c r="G192" s="28" t="n">
        <f aca="false">E192-F192</f>
        <v>389899.93</v>
      </c>
      <c r="H192" s="23" t="n">
        <v>46173</v>
      </c>
      <c r="I192" s="22" t="s">
        <v>1566</v>
      </c>
      <c r="J192" s="22" t="s">
        <v>1627</v>
      </c>
      <c r="K192" s="22" t="s">
        <v>1614</v>
      </c>
      <c r="L192" s="22" t="s">
        <v>1628</v>
      </c>
      <c r="M192" s="22" t="s">
        <v>1629</v>
      </c>
      <c r="N192" s="29" t="s">
        <v>1383</v>
      </c>
      <c r="O192" s="22" t="s">
        <v>1384</v>
      </c>
      <c r="P192" s="22" t="s">
        <v>1384</v>
      </c>
    </row>
    <row r="193" customFormat="false" ht="15" hidden="false" customHeight="false" outlineLevel="0" collapsed="false">
      <c r="A193" s="22" t="n">
        <v>190</v>
      </c>
      <c r="B193" s="22" t="s">
        <v>98</v>
      </c>
      <c r="C193" s="22" t="s">
        <v>1544</v>
      </c>
      <c r="D193" s="22" t="s">
        <v>1391</v>
      </c>
      <c r="E193" s="28" t="n">
        <v>1100000.3</v>
      </c>
      <c r="F193" s="28" t="n">
        <v>0</v>
      </c>
      <c r="G193" s="28" t="n">
        <f aca="false">E193-F193</f>
        <v>1100000.3</v>
      </c>
      <c r="H193" s="23" t="n">
        <v>46173</v>
      </c>
      <c r="I193" s="22" t="s">
        <v>1566</v>
      </c>
      <c r="J193" s="22" t="s">
        <v>1627</v>
      </c>
      <c r="K193" s="22" t="s">
        <v>1614</v>
      </c>
      <c r="L193" s="22" t="s">
        <v>1628</v>
      </c>
      <c r="M193" s="22" t="s">
        <v>1629</v>
      </c>
      <c r="N193" s="29" t="s">
        <v>1383</v>
      </c>
      <c r="O193" s="22" t="s">
        <v>1384</v>
      </c>
      <c r="P193" s="22" t="s">
        <v>1384</v>
      </c>
    </row>
    <row r="194" customFormat="false" ht="15" hidden="false" customHeight="false" outlineLevel="0" collapsed="false">
      <c r="A194" s="22" t="n">
        <v>191</v>
      </c>
      <c r="B194" s="22" t="s">
        <v>98</v>
      </c>
      <c r="C194" s="22" t="s">
        <v>1544</v>
      </c>
      <c r="D194" s="22" t="s">
        <v>1915</v>
      </c>
      <c r="E194" s="28" t="n">
        <v>241902</v>
      </c>
      <c r="F194" s="28" t="n">
        <v>0</v>
      </c>
      <c r="G194" s="28" t="n">
        <f aca="false">E194-F194</f>
        <v>241902</v>
      </c>
      <c r="H194" s="23" t="n">
        <v>46129</v>
      </c>
      <c r="I194" s="22" t="s">
        <v>1566</v>
      </c>
      <c r="J194" s="22" t="s">
        <v>1916</v>
      </c>
      <c r="K194" s="22" t="s">
        <v>1603</v>
      </c>
      <c r="L194" s="22" t="s">
        <v>1917</v>
      </c>
      <c r="M194" s="22" t="s">
        <v>1577</v>
      </c>
      <c r="N194" s="29" t="s">
        <v>1383</v>
      </c>
      <c r="O194" s="22" t="s">
        <v>1384</v>
      </c>
      <c r="P194" s="22" t="s">
        <v>1384</v>
      </c>
    </row>
    <row r="195" customFormat="false" ht="15" hidden="false" customHeight="false" outlineLevel="0" collapsed="false">
      <c r="A195" s="22" t="n">
        <v>192</v>
      </c>
      <c r="B195" s="22" t="s">
        <v>98</v>
      </c>
      <c r="C195" s="22" t="s">
        <v>1544</v>
      </c>
      <c r="D195" s="22" t="s">
        <v>1915</v>
      </c>
      <c r="E195" s="28" t="n">
        <v>0</v>
      </c>
      <c r="F195" s="28" t="n">
        <v>241902</v>
      </c>
      <c r="G195" s="28" t="n">
        <f aca="false">E195-F195</f>
        <v>-241902</v>
      </c>
      <c r="H195" s="23" t="n">
        <v>46129</v>
      </c>
      <c r="I195" s="22" t="s">
        <v>1918</v>
      </c>
      <c r="J195" s="22" t="s">
        <v>1919</v>
      </c>
      <c r="K195" s="22" t="s">
        <v>1603</v>
      </c>
      <c r="L195" s="22" t="s">
        <v>1920</v>
      </c>
      <c r="M195" s="22" t="s">
        <v>1577</v>
      </c>
      <c r="N195" s="29" t="s">
        <v>1383</v>
      </c>
      <c r="O195" s="22" t="s">
        <v>1384</v>
      </c>
      <c r="P195" s="22" t="s">
        <v>1384</v>
      </c>
    </row>
    <row r="196" customFormat="false" ht="15" hidden="false" customHeight="false" outlineLevel="0" collapsed="false">
      <c r="A196" s="22" t="n">
        <v>193</v>
      </c>
      <c r="B196" s="22" t="s">
        <v>98</v>
      </c>
      <c r="C196" s="22" t="s">
        <v>1544</v>
      </c>
      <c r="D196" s="22" t="s">
        <v>1921</v>
      </c>
      <c r="E196" s="28" t="n">
        <v>0</v>
      </c>
      <c r="F196" s="28" t="n">
        <v>309569</v>
      </c>
      <c r="G196" s="28" t="n">
        <f aca="false">E196-F196</f>
        <v>-309569</v>
      </c>
      <c r="H196" s="23" t="n">
        <v>46081</v>
      </c>
      <c r="I196" s="22" t="s">
        <v>1922</v>
      </c>
      <c r="J196" s="22" t="s">
        <v>1923</v>
      </c>
      <c r="K196" s="22" t="s">
        <v>1603</v>
      </c>
      <c r="L196" s="22" t="s">
        <v>1924</v>
      </c>
      <c r="M196" s="22" t="s">
        <v>1577</v>
      </c>
      <c r="N196" s="29" t="s">
        <v>1383</v>
      </c>
      <c r="O196" s="22" t="s">
        <v>1384</v>
      </c>
      <c r="P196" s="22" t="s">
        <v>1384</v>
      </c>
    </row>
    <row r="197" customFormat="false" ht="15" hidden="false" customHeight="false" outlineLevel="0" collapsed="false">
      <c r="A197" s="22" t="n">
        <v>194</v>
      </c>
      <c r="B197" s="22" t="s">
        <v>98</v>
      </c>
      <c r="C197" s="22" t="s">
        <v>1544</v>
      </c>
      <c r="D197" s="22" t="s">
        <v>1921</v>
      </c>
      <c r="E197" s="28" t="n">
        <v>309569</v>
      </c>
      <c r="F197" s="28" t="n">
        <v>0</v>
      </c>
      <c r="G197" s="28" t="n">
        <f aca="false">E197-F197</f>
        <v>309569</v>
      </c>
      <c r="H197" s="23" t="n">
        <v>46129</v>
      </c>
      <c r="I197" s="22" t="s">
        <v>1566</v>
      </c>
      <c r="J197" s="22" t="s">
        <v>1916</v>
      </c>
      <c r="K197" s="22" t="s">
        <v>1603</v>
      </c>
      <c r="L197" s="22" t="s">
        <v>1917</v>
      </c>
      <c r="M197" s="22" t="s">
        <v>1577</v>
      </c>
      <c r="N197" s="29" t="s">
        <v>1383</v>
      </c>
      <c r="O197" s="22" t="s">
        <v>1384</v>
      </c>
      <c r="P197" s="22" t="s">
        <v>1384</v>
      </c>
    </row>
    <row r="198" customFormat="false" ht="15" hidden="false" customHeight="false" outlineLevel="0" collapsed="false">
      <c r="A198" s="22" t="n">
        <v>195</v>
      </c>
      <c r="B198" s="22" t="s">
        <v>98</v>
      </c>
      <c r="C198" s="22" t="s">
        <v>1544</v>
      </c>
      <c r="D198" s="22" t="s">
        <v>1925</v>
      </c>
      <c r="E198" s="28" t="n">
        <v>0</v>
      </c>
      <c r="F198" s="28" t="n">
        <v>281483</v>
      </c>
      <c r="G198" s="28" t="n">
        <f aca="false">E198-F198</f>
        <v>-281483</v>
      </c>
      <c r="H198" s="23" t="n">
        <v>46134</v>
      </c>
      <c r="I198" s="22" t="s">
        <v>1926</v>
      </c>
      <c r="J198" s="22" t="s">
        <v>1927</v>
      </c>
      <c r="K198" s="22" t="s">
        <v>1603</v>
      </c>
      <c r="L198" s="22" t="s">
        <v>1928</v>
      </c>
      <c r="M198" s="22" t="s">
        <v>1577</v>
      </c>
      <c r="N198" s="29" t="s">
        <v>1383</v>
      </c>
      <c r="O198" s="22" t="s">
        <v>1384</v>
      </c>
      <c r="P198" s="22" t="s">
        <v>1384</v>
      </c>
    </row>
    <row r="199" customFormat="false" ht="15" hidden="false" customHeight="false" outlineLevel="0" collapsed="false">
      <c r="A199" s="22" t="n">
        <v>196</v>
      </c>
      <c r="B199" s="22" t="s">
        <v>98</v>
      </c>
      <c r="C199" s="22" t="s">
        <v>1544</v>
      </c>
      <c r="D199" s="22" t="s">
        <v>1925</v>
      </c>
      <c r="E199" s="28" t="n">
        <v>281483</v>
      </c>
      <c r="F199" s="28" t="n">
        <v>0</v>
      </c>
      <c r="G199" s="28" t="n">
        <f aca="false">E199-F199</f>
        <v>281483</v>
      </c>
      <c r="H199" s="23" t="n">
        <v>46135</v>
      </c>
      <c r="I199" s="22" t="s">
        <v>1566</v>
      </c>
      <c r="J199" s="22" t="s">
        <v>1691</v>
      </c>
      <c r="K199" s="22" t="s">
        <v>1603</v>
      </c>
      <c r="L199" s="22" t="s">
        <v>1692</v>
      </c>
      <c r="M199" s="22" t="s">
        <v>1577</v>
      </c>
      <c r="N199" s="29" t="s">
        <v>1383</v>
      </c>
      <c r="O199" s="22" t="s">
        <v>1384</v>
      </c>
      <c r="P199" s="22" t="s">
        <v>1384</v>
      </c>
    </row>
    <row r="200" customFormat="false" ht="15" hidden="false" customHeight="false" outlineLevel="0" collapsed="false">
      <c r="A200" s="22" t="n">
        <v>197</v>
      </c>
      <c r="B200" s="22" t="s">
        <v>98</v>
      </c>
      <c r="C200" s="22" t="s">
        <v>1544</v>
      </c>
      <c r="D200" s="22" t="s">
        <v>1925</v>
      </c>
      <c r="E200" s="28" t="n">
        <v>0</v>
      </c>
      <c r="F200" s="28" t="n">
        <v>280240</v>
      </c>
      <c r="G200" s="28" t="n">
        <f aca="false">E200-F200</f>
        <v>-280240</v>
      </c>
      <c r="H200" s="23" t="n">
        <v>46142</v>
      </c>
      <c r="I200" s="22" t="s">
        <v>1926</v>
      </c>
      <c r="J200" s="22" t="s">
        <v>1929</v>
      </c>
      <c r="K200" s="22" t="s">
        <v>1603</v>
      </c>
      <c r="L200" s="22" t="s">
        <v>1930</v>
      </c>
      <c r="M200" s="22" t="s">
        <v>1577</v>
      </c>
      <c r="N200" s="29" t="s">
        <v>1383</v>
      </c>
      <c r="O200" s="22" t="s">
        <v>1384</v>
      </c>
      <c r="P200" s="22" t="s">
        <v>1384</v>
      </c>
    </row>
    <row r="201" customFormat="false" ht="15" hidden="false" customHeight="false" outlineLevel="0" collapsed="false">
      <c r="A201" s="22" t="n">
        <v>198</v>
      </c>
      <c r="B201" s="22" t="s">
        <v>98</v>
      </c>
      <c r="C201" s="22" t="s">
        <v>1544</v>
      </c>
      <c r="D201" s="22" t="s">
        <v>1925</v>
      </c>
      <c r="E201" s="28" t="n">
        <v>280240</v>
      </c>
      <c r="F201" s="28" t="n">
        <v>0</v>
      </c>
      <c r="G201" s="28" t="n">
        <f aca="false">E201-F201</f>
        <v>280240</v>
      </c>
      <c r="H201" s="23" t="n">
        <v>46167</v>
      </c>
      <c r="I201" s="22" t="s">
        <v>1566</v>
      </c>
      <c r="J201" s="22" t="s">
        <v>1854</v>
      </c>
      <c r="K201" s="22" t="s">
        <v>1603</v>
      </c>
      <c r="L201" s="22" t="s">
        <v>1855</v>
      </c>
      <c r="M201" s="22" t="s">
        <v>1577</v>
      </c>
      <c r="N201" s="29" t="s">
        <v>1383</v>
      </c>
      <c r="O201" s="22" t="s">
        <v>1384</v>
      </c>
      <c r="P201" s="22" t="s">
        <v>1384</v>
      </c>
    </row>
    <row r="202" customFormat="false" ht="15" hidden="false" customHeight="false" outlineLevel="0" collapsed="false">
      <c r="A202" s="22" t="n">
        <v>199</v>
      </c>
      <c r="B202" s="22" t="s">
        <v>98</v>
      </c>
      <c r="C202" s="22" t="s">
        <v>1544</v>
      </c>
      <c r="D202" s="22" t="s">
        <v>1931</v>
      </c>
      <c r="E202" s="28" t="n">
        <v>0</v>
      </c>
      <c r="F202" s="28" t="n">
        <v>396000</v>
      </c>
      <c r="G202" s="28" t="n">
        <f aca="false">E202-F202</f>
        <v>-396000</v>
      </c>
      <c r="H202" s="23" t="n">
        <v>46191</v>
      </c>
      <c r="I202" s="22" t="s">
        <v>1932</v>
      </c>
      <c r="J202" s="22" t="s">
        <v>1933</v>
      </c>
      <c r="K202" s="22" t="s">
        <v>1603</v>
      </c>
      <c r="L202" s="22" t="s">
        <v>1934</v>
      </c>
      <c r="M202" s="22" t="s">
        <v>1577</v>
      </c>
      <c r="N202" s="29" t="s">
        <v>1383</v>
      </c>
      <c r="O202" s="22" t="s">
        <v>1384</v>
      </c>
      <c r="P202" s="22" t="s">
        <v>1384</v>
      </c>
    </row>
    <row r="203" customFormat="false" ht="15" hidden="false" customHeight="false" outlineLevel="0" collapsed="false">
      <c r="A203" s="22" t="n">
        <v>200</v>
      </c>
      <c r="B203" s="22" t="s">
        <v>98</v>
      </c>
      <c r="C203" s="22" t="s">
        <v>1544</v>
      </c>
      <c r="D203" s="22" t="s">
        <v>1388</v>
      </c>
      <c r="E203" s="28" t="n">
        <v>177500</v>
      </c>
      <c r="F203" s="28" t="n">
        <v>0</v>
      </c>
      <c r="G203" s="28" t="n">
        <f aca="false">E203-F203</f>
        <v>177500</v>
      </c>
      <c r="H203" s="23" t="n">
        <v>46173</v>
      </c>
      <c r="I203" s="22" t="s">
        <v>1566</v>
      </c>
      <c r="J203" s="22" t="s">
        <v>1627</v>
      </c>
      <c r="K203" s="22" t="s">
        <v>1614</v>
      </c>
      <c r="L203" s="22" t="s">
        <v>1628</v>
      </c>
      <c r="M203" s="22" t="s">
        <v>1629</v>
      </c>
      <c r="N203" s="29" t="s">
        <v>1383</v>
      </c>
      <c r="O203" s="22" t="s">
        <v>1384</v>
      </c>
      <c r="P203" s="22" t="s">
        <v>1384</v>
      </c>
    </row>
    <row r="204" customFormat="false" ht="15" hidden="false" customHeight="false" outlineLevel="0" collapsed="false">
      <c r="A204" s="22" t="n">
        <v>201</v>
      </c>
      <c r="B204" s="22" t="s">
        <v>98</v>
      </c>
      <c r="C204" s="22" t="s">
        <v>1544</v>
      </c>
      <c r="D204" s="22" t="s">
        <v>1935</v>
      </c>
      <c r="E204" s="28" t="n">
        <v>0</v>
      </c>
      <c r="F204" s="28" t="n">
        <v>490528.36</v>
      </c>
      <c r="G204" s="28" t="n">
        <f aca="false">E204-F204</f>
        <v>-490528.36</v>
      </c>
      <c r="H204" s="23" t="n">
        <v>46064</v>
      </c>
      <c r="I204" s="22" t="s">
        <v>1936</v>
      </c>
      <c r="J204" s="22" t="s">
        <v>1937</v>
      </c>
      <c r="K204" s="22" t="s">
        <v>1603</v>
      </c>
      <c r="L204" s="22" t="s">
        <v>1938</v>
      </c>
      <c r="M204" s="22" t="s">
        <v>1577</v>
      </c>
      <c r="N204" s="29" t="s">
        <v>1383</v>
      </c>
      <c r="O204" s="22" t="s">
        <v>1384</v>
      </c>
      <c r="P204" s="22" t="s">
        <v>1384</v>
      </c>
    </row>
    <row r="205" customFormat="false" ht="15" hidden="false" customHeight="false" outlineLevel="0" collapsed="false">
      <c r="A205" s="22" t="n">
        <v>202</v>
      </c>
      <c r="B205" s="22" t="s">
        <v>98</v>
      </c>
      <c r="C205" s="22" t="s">
        <v>1544</v>
      </c>
      <c r="D205" s="22" t="s">
        <v>1935</v>
      </c>
      <c r="E205" s="28" t="n">
        <v>0</v>
      </c>
      <c r="F205" s="28" t="n">
        <v>355309.8</v>
      </c>
      <c r="G205" s="28" t="n">
        <f aca="false">E205-F205</f>
        <v>-355309.8</v>
      </c>
      <c r="H205" s="23" t="n">
        <v>46066</v>
      </c>
      <c r="I205" s="22" t="s">
        <v>1936</v>
      </c>
      <c r="J205" s="22" t="s">
        <v>1939</v>
      </c>
      <c r="K205" s="22" t="s">
        <v>1603</v>
      </c>
      <c r="L205" s="22" t="s">
        <v>1940</v>
      </c>
      <c r="M205" s="22" t="s">
        <v>1577</v>
      </c>
      <c r="N205" s="29" t="s">
        <v>1383</v>
      </c>
      <c r="O205" s="22" t="s">
        <v>1384</v>
      </c>
      <c r="P205" s="22" t="s">
        <v>1384</v>
      </c>
    </row>
    <row r="206" customFormat="false" ht="15" hidden="false" customHeight="false" outlineLevel="0" collapsed="false">
      <c r="A206" s="22" t="n">
        <v>203</v>
      </c>
      <c r="B206" s="22" t="s">
        <v>98</v>
      </c>
      <c r="C206" s="22" t="s">
        <v>1544</v>
      </c>
      <c r="D206" s="22" t="s">
        <v>1935</v>
      </c>
      <c r="E206" s="28" t="n">
        <v>355309.8</v>
      </c>
      <c r="F206" s="28" t="n">
        <v>0</v>
      </c>
      <c r="G206" s="28" t="n">
        <f aca="false">E206-F206</f>
        <v>355309.8</v>
      </c>
      <c r="H206" s="23" t="n">
        <v>46129</v>
      </c>
      <c r="I206" s="22" t="s">
        <v>1566</v>
      </c>
      <c r="J206" s="22" t="s">
        <v>1941</v>
      </c>
      <c r="K206" s="22" t="s">
        <v>1603</v>
      </c>
      <c r="L206" s="22" t="s">
        <v>1942</v>
      </c>
      <c r="M206" s="22" t="s">
        <v>1577</v>
      </c>
      <c r="N206" s="29" t="s">
        <v>1383</v>
      </c>
      <c r="O206" s="22" t="s">
        <v>1384</v>
      </c>
      <c r="P206" s="22" t="s">
        <v>1384</v>
      </c>
    </row>
    <row r="207" customFormat="false" ht="15" hidden="false" customHeight="false" outlineLevel="0" collapsed="false">
      <c r="A207" s="22" t="n">
        <v>204</v>
      </c>
      <c r="B207" s="22" t="s">
        <v>98</v>
      </c>
      <c r="C207" s="22" t="s">
        <v>1544</v>
      </c>
      <c r="D207" s="22" t="s">
        <v>1935</v>
      </c>
      <c r="E207" s="28" t="n">
        <v>490528.36</v>
      </c>
      <c r="F207" s="28" t="n">
        <v>0</v>
      </c>
      <c r="G207" s="28" t="n">
        <f aca="false">E207-F207</f>
        <v>490528.36</v>
      </c>
      <c r="H207" s="23" t="n">
        <v>46129</v>
      </c>
      <c r="I207" s="22" t="s">
        <v>1566</v>
      </c>
      <c r="J207" s="22" t="s">
        <v>1943</v>
      </c>
      <c r="K207" s="22" t="s">
        <v>1603</v>
      </c>
      <c r="L207" s="22" t="s">
        <v>1944</v>
      </c>
      <c r="M207" s="22" t="s">
        <v>1577</v>
      </c>
      <c r="N207" s="29" t="s">
        <v>1383</v>
      </c>
      <c r="O207" s="22" t="s">
        <v>1384</v>
      </c>
      <c r="P207" s="22" t="s">
        <v>1384</v>
      </c>
    </row>
    <row r="208" customFormat="false" ht="15" hidden="false" customHeight="false" outlineLevel="0" collapsed="false">
      <c r="A208" s="22" t="n">
        <v>205</v>
      </c>
      <c r="B208" s="22" t="s">
        <v>98</v>
      </c>
      <c r="C208" s="22" t="s">
        <v>1544</v>
      </c>
      <c r="D208" s="22" t="s">
        <v>1945</v>
      </c>
      <c r="E208" s="28" t="n">
        <v>0</v>
      </c>
      <c r="F208" s="28" t="n">
        <v>857764.76</v>
      </c>
      <c r="G208" s="28" t="n">
        <f aca="false">E208-F208</f>
        <v>-857764.76</v>
      </c>
      <c r="H208" s="23" t="n">
        <v>46052</v>
      </c>
      <c r="I208" s="22" t="s">
        <v>1946</v>
      </c>
      <c r="J208" s="22" t="s">
        <v>1947</v>
      </c>
      <c r="K208" s="22" t="s">
        <v>1603</v>
      </c>
      <c r="L208" s="22" t="s">
        <v>1948</v>
      </c>
      <c r="M208" s="22" t="s">
        <v>1577</v>
      </c>
      <c r="N208" s="29" t="s">
        <v>1383</v>
      </c>
      <c r="O208" s="22" t="s">
        <v>1384</v>
      </c>
      <c r="P208" s="22" t="s">
        <v>1384</v>
      </c>
    </row>
    <row r="209" customFormat="false" ht="15" hidden="false" customHeight="false" outlineLevel="0" collapsed="false">
      <c r="A209" s="22" t="n">
        <v>206</v>
      </c>
      <c r="B209" s="22" t="s">
        <v>98</v>
      </c>
      <c r="C209" s="22" t="s">
        <v>1544</v>
      </c>
      <c r="D209" s="22" t="s">
        <v>1945</v>
      </c>
      <c r="E209" s="28" t="n">
        <v>857764.76</v>
      </c>
      <c r="F209" s="28" t="n">
        <v>0</v>
      </c>
      <c r="G209" s="28" t="n">
        <f aca="false">E209-F209</f>
        <v>857764.76</v>
      </c>
      <c r="H209" s="23" t="n">
        <v>46072</v>
      </c>
      <c r="I209" s="22" t="s">
        <v>1566</v>
      </c>
      <c r="J209" s="22" t="s">
        <v>1949</v>
      </c>
      <c r="K209" s="22" t="s">
        <v>1603</v>
      </c>
      <c r="L209" s="22" t="s">
        <v>1950</v>
      </c>
      <c r="M209" s="22" t="s">
        <v>1577</v>
      </c>
      <c r="N209" s="29" t="s">
        <v>1383</v>
      </c>
      <c r="O209" s="22" t="s">
        <v>1384</v>
      </c>
      <c r="P209" s="22" t="s">
        <v>1384</v>
      </c>
    </row>
    <row r="210" customFormat="false" ht="15" hidden="false" customHeight="false" outlineLevel="0" collapsed="false">
      <c r="A210" s="22" t="n">
        <v>207</v>
      </c>
      <c r="B210" s="22" t="s">
        <v>98</v>
      </c>
      <c r="C210" s="22" t="s">
        <v>1544</v>
      </c>
      <c r="D210" s="22" t="s">
        <v>1394</v>
      </c>
      <c r="E210" s="28" t="n">
        <v>521382.47</v>
      </c>
      <c r="F210" s="28" t="n">
        <v>0</v>
      </c>
      <c r="G210" s="28" t="n">
        <f aca="false">E210-F210</f>
        <v>521382.47</v>
      </c>
      <c r="H210" s="23" t="n">
        <v>46173</v>
      </c>
      <c r="I210" s="22" t="s">
        <v>1566</v>
      </c>
      <c r="J210" s="22" t="s">
        <v>1627</v>
      </c>
      <c r="K210" s="22" t="s">
        <v>1614</v>
      </c>
      <c r="L210" s="22" t="s">
        <v>1628</v>
      </c>
      <c r="M210" s="22" t="s">
        <v>1629</v>
      </c>
      <c r="N210" s="29" t="s">
        <v>1383</v>
      </c>
      <c r="O210" s="22" t="s">
        <v>1384</v>
      </c>
      <c r="P210" s="22" t="s">
        <v>1384</v>
      </c>
    </row>
    <row r="211" customFormat="false" ht="15" hidden="false" customHeight="false" outlineLevel="0" collapsed="false">
      <c r="A211" s="22" t="n">
        <v>208</v>
      </c>
      <c r="B211" s="22" t="s">
        <v>98</v>
      </c>
      <c r="C211" s="22" t="s">
        <v>1544</v>
      </c>
      <c r="D211" s="22" t="s">
        <v>1951</v>
      </c>
      <c r="E211" s="28" t="n">
        <v>0</v>
      </c>
      <c r="F211" s="28" t="n">
        <v>290582</v>
      </c>
      <c r="G211" s="28" t="n">
        <f aca="false">E211-F211</f>
        <v>-290582</v>
      </c>
      <c r="H211" s="23" t="n">
        <v>46081</v>
      </c>
      <c r="I211" s="22" t="s">
        <v>1952</v>
      </c>
      <c r="J211" s="22" t="s">
        <v>1953</v>
      </c>
      <c r="K211" s="22" t="s">
        <v>1603</v>
      </c>
      <c r="L211" s="22" t="s">
        <v>1954</v>
      </c>
      <c r="M211" s="22" t="s">
        <v>1577</v>
      </c>
      <c r="N211" s="29" t="s">
        <v>1383</v>
      </c>
      <c r="O211" s="22" t="s">
        <v>1384</v>
      </c>
      <c r="P211" s="22" t="s">
        <v>1384</v>
      </c>
    </row>
    <row r="212" customFormat="false" ht="15" hidden="false" customHeight="false" outlineLevel="0" collapsed="false">
      <c r="A212" s="22" t="n">
        <v>209</v>
      </c>
      <c r="B212" s="22" t="s">
        <v>98</v>
      </c>
      <c r="C212" s="22" t="s">
        <v>1544</v>
      </c>
      <c r="D212" s="22" t="s">
        <v>1951</v>
      </c>
      <c r="E212" s="28" t="n">
        <v>290582</v>
      </c>
      <c r="F212" s="28" t="n">
        <v>0</v>
      </c>
      <c r="G212" s="28" t="n">
        <f aca="false">E212-F212</f>
        <v>290582</v>
      </c>
      <c r="H212" s="23" t="n">
        <v>46081</v>
      </c>
      <c r="I212" s="22" t="s">
        <v>1566</v>
      </c>
      <c r="J212" s="22" t="s">
        <v>1678</v>
      </c>
      <c r="K212" s="22" t="s">
        <v>1603</v>
      </c>
      <c r="L212" s="22" t="s">
        <v>1679</v>
      </c>
      <c r="M212" s="22" t="s">
        <v>1577</v>
      </c>
      <c r="N212" s="29" t="s">
        <v>1383</v>
      </c>
      <c r="O212" s="22" t="s">
        <v>1384</v>
      </c>
      <c r="P212" s="22" t="s">
        <v>1384</v>
      </c>
    </row>
    <row r="213" customFormat="false" ht="15" hidden="false" customHeight="false" outlineLevel="0" collapsed="false">
      <c r="A213" s="22" t="n">
        <v>210</v>
      </c>
      <c r="B213" s="22" t="s">
        <v>98</v>
      </c>
      <c r="C213" s="22" t="s">
        <v>1544</v>
      </c>
      <c r="D213" s="22" t="s">
        <v>1951</v>
      </c>
      <c r="E213" s="28" t="n">
        <v>0</v>
      </c>
      <c r="F213" s="28" t="n">
        <v>302387</v>
      </c>
      <c r="G213" s="28" t="n">
        <f aca="false">E213-F213</f>
        <v>-302387</v>
      </c>
      <c r="H213" s="23" t="n">
        <v>46234</v>
      </c>
      <c r="I213" s="22" t="s">
        <v>1952</v>
      </c>
      <c r="J213" s="22" t="s">
        <v>1955</v>
      </c>
      <c r="K213" s="22" t="s">
        <v>1603</v>
      </c>
      <c r="L213" s="22" t="s">
        <v>1956</v>
      </c>
      <c r="M213" s="22" t="s">
        <v>1577</v>
      </c>
      <c r="N213" s="29" t="s">
        <v>1383</v>
      </c>
      <c r="O213" s="22" t="s">
        <v>1384</v>
      </c>
      <c r="P213" s="22" t="s">
        <v>1384</v>
      </c>
    </row>
    <row r="214" customFormat="false" ht="15" hidden="false" customHeight="false" outlineLevel="0" collapsed="false">
      <c r="A214" s="22" t="n">
        <v>211</v>
      </c>
      <c r="B214" s="22" t="s">
        <v>98</v>
      </c>
      <c r="C214" s="22" t="s">
        <v>1544</v>
      </c>
      <c r="D214" s="22" t="s">
        <v>1951</v>
      </c>
      <c r="E214" s="28" t="n">
        <v>0</v>
      </c>
      <c r="F214" s="28" t="n">
        <v>300089</v>
      </c>
      <c r="G214" s="28" t="n">
        <f aca="false">E214-F214</f>
        <v>-300089</v>
      </c>
      <c r="H214" s="23" t="n">
        <v>46234</v>
      </c>
      <c r="I214" s="22" t="s">
        <v>1952</v>
      </c>
      <c r="J214" s="22" t="s">
        <v>1957</v>
      </c>
      <c r="K214" s="22" t="s">
        <v>1603</v>
      </c>
      <c r="L214" s="22" t="s">
        <v>1958</v>
      </c>
      <c r="M214" s="22" t="s">
        <v>1577</v>
      </c>
      <c r="N214" s="29" t="s">
        <v>1383</v>
      </c>
      <c r="O214" s="22" t="s">
        <v>1384</v>
      </c>
      <c r="P214" s="22" t="s">
        <v>1384</v>
      </c>
    </row>
    <row r="215" customFormat="false" ht="15" hidden="false" customHeight="false" outlineLevel="0" collapsed="false">
      <c r="A215" s="22" t="n">
        <v>212</v>
      </c>
      <c r="B215" s="22" t="s">
        <v>98</v>
      </c>
      <c r="C215" s="22" t="s">
        <v>1544</v>
      </c>
      <c r="D215" s="22" t="s">
        <v>1951</v>
      </c>
      <c r="E215" s="28" t="n">
        <v>602476</v>
      </c>
      <c r="F215" s="28" t="n">
        <v>0</v>
      </c>
      <c r="G215" s="28" t="n">
        <f aca="false">E215-F215</f>
        <v>602476</v>
      </c>
      <c r="H215" s="23" t="n">
        <v>46234</v>
      </c>
      <c r="I215" s="22" t="s">
        <v>1566</v>
      </c>
      <c r="J215" s="22" t="s">
        <v>1695</v>
      </c>
      <c r="K215" s="22" t="s">
        <v>1603</v>
      </c>
      <c r="L215" s="22" t="s">
        <v>1696</v>
      </c>
      <c r="M215" s="22" t="s">
        <v>1577</v>
      </c>
      <c r="N215" s="29" t="s">
        <v>1383</v>
      </c>
      <c r="O215" s="22" t="s">
        <v>1384</v>
      </c>
      <c r="P215" s="22" t="s">
        <v>1384</v>
      </c>
    </row>
    <row r="216" customFormat="false" ht="15" hidden="false" customHeight="false" outlineLevel="0" collapsed="false">
      <c r="A216" s="22" t="n">
        <v>213</v>
      </c>
      <c r="B216" s="22" t="s">
        <v>98</v>
      </c>
      <c r="C216" s="22" t="s">
        <v>1544</v>
      </c>
      <c r="D216" s="22" t="s">
        <v>1959</v>
      </c>
      <c r="E216" s="28" t="n">
        <v>0</v>
      </c>
      <c r="F216" s="28" t="n">
        <v>258926.3</v>
      </c>
      <c r="G216" s="28" t="n">
        <f aca="false">E216-F216</f>
        <v>-258926.3</v>
      </c>
      <c r="H216" s="23" t="n">
        <v>46102</v>
      </c>
      <c r="I216" s="22" t="s">
        <v>1960</v>
      </c>
      <c r="J216" s="22" t="s">
        <v>1961</v>
      </c>
      <c r="K216" s="22" t="s">
        <v>1603</v>
      </c>
      <c r="L216" s="22" t="s">
        <v>1962</v>
      </c>
      <c r="M216" s="22" t="s">
        <v>1577</v>
      </c>
      <c r="N216" s="29" t="s">
        <v>1383</v>
      </c>
      <c r="O216" s="22" t="s">
        <v>1384</v>
      </c>
      <c r="P216" s="22" t="s">
        <v>1384</v>
      </c>
    </row>
    <row r="217" customFormat="false" ht="15" hidden="false" customHeight="false" outlineLevel="0" collapsed="false">
      <c r="A217" s="22" t="n">
        <v>214</v>
      </c>
      <c r="B217" s="22" t="s">
        <v>98</v>
      </c>
      <c r="C217" s="22" t="s">
        <v>1544</v>
      </c>
      <c r="D217" s="22" t="s">
        <v>1959</v>
      </c>
      <c r="E217" s="28" t="n">
        <v>258926.3</v>
      </c>
      <c r="F217" s="28" t="n">
        <v>0</v>
      </c>
      <c r="G217" s="28" t="n">
        <f aca="false">E217-F217</f>
        <v>258926.3</v>
      </c>
      <c r="H217" s="23" t="n">
        <v>46134</v>
      </c>
      <c r="I217" s="22" t="s">
        <v>1566</v>
      </c>
      <c r="J217" s="22" t="s">
        <v>1963</v>
      </c>
      <c r="K217" s="22" t="s">
        <v>1603</v>
      </c>
      <c r="L217" s="22" t="s">
        <v>1964</v>
      </c>
      <c r="M217" s="22" t="s">
        <v>1577</v>
      </c>
      <c r="N217" s="29" t="s">
        <v>1383</v>
      </c>
      <c r="O217" s="22" t="s">
        <v>1384</v>
      </c>
      <c r="P217" s="22" t="s">
        <v>1384</v>
      </c>
    </row>
    <row r="218" customFormat="false" ht="15" hidden="false" customHeight="false" outlineLevel="0" collapsed="false">
      <c r="A218" s="22" t="n">
        <v>215</v>
      </c>
      <c r="B218" s="22" t="s">
        <v>98</v>
      </c>
      <c r="C218" s="22" t="s">
        <v>1544</v>
      </c>
      <c r="D218" s="22" t="s">
        <v>1397</v>
      </c>
      <c r="E218" s="28" t="n">
        <v>2480005.22</v>
      </c>
      <c r="F218" s="28" t="n">
        <v>0</v>
      </c>
      <c r="G218" s="28" t="n">
        <f aca="false">E218-F218</f>
        <v>2480005.22</v>
      </c>
      <c r="H218" s="23" t="n">
        <v>46173</v>
      </c>
      <c r="I218" s="22" t="s">
        <v>1566</v>
      </c>
      <c r="J218" s="22" t="s">
        <v>1627</v>
      </c>
      <c r="K218" s="22" t="s">
        <v>1614</v>
      </c>
      <c r="L218" s="22" t="s">
        <v>1628</v>
      </c>
      <c r="M218" s="22" t="s">
        <v>1629</v>
      </c>
      <c r="N218" s="29" t="s">
        <v>1383</v>
      </c>
      <c r="O218" s="22" t="s">
        <v>1384</v>
      </c>
      <c r="P218" s="22" t="s">
        <v>1384</v>
      </c>
    </row>
    <row r="219" customFormat="false" ht="15" hidden="false" customHeight="false" outlineLevel="0" collapsed="false">
      <c r="A219" s="22" t="n">
        <v>216</v>
      </c>
      <c r="B219" s="22" t="s">
        <v>98</v>
      </c>
      <c r="C219" s="22" t="s">
        <v>1544</v>
      </c>
      <c r="D219" s="22" t="s">
        <v>1965</v>
      </c>
      <c r="E219" s="28" t="n">
        <v>0</v>
      </c>
      <c r="F219" s="28" t="n">
        <v>485899</v>
      </c>
      <c r="G219" s="28" t="n">
        <f aca="false">E219-F219</f>
        <v>-485899</v>
      </c>
      <c r="H219" s="23" t="n">
        <v>46111</v>
      </c>
      <c r="I219" s="22" t="s">
        <v>1966</v>
      </c>
      <c r="J219" s="22" t="s">
        <v>1967</v>
      </c>
      <c r="K219" s="22" t="s">
        <v>1603</v>
      </c>
      <c r="L219" s="22" t="s">
        <v>1968</v>
      </c>
      <c r="M219" s="22" t="s">
        <v>1577</v>
      </c>
      <c r="N219" s="29" t="s">
        <v>1383</v>
      </c>
      <c r="O219" s="22" t="s">
        <v>1384</v>
      </c>
      <c r="P219" s="22" t="s">
        <v>1384</v>
      </c>
    </row>
    <row r="220" customFormat="false" ht="15" hidden="false" customHeight="false" outlineLevel="0" collapsed="false">
      <c r="A220" s="22" t="n">
        <v>217</v>
      </c>
      <c r="B220" s="22" t="s">
        <v>98</v>
      </c>
      <c r="C220" s="22" t="s">
        <v>1544</v>
      </c>
      <c r="D220" s="22" t="s">
        <v>1965</v>
      </c>
      <c r="E220" s="28" t="n">
        <v>485899</v>
      </c>
      <c r="F220" s="28" t="n">
        <v>0</v>
      </c>
      <c r="G220" s="28" t="n">
        <f aca="false">E220-F220</f>
        <v>485899</v>
      </c>
      <c r="H220" s="23" t="n">
        <v>46163</v>
      </c>
      <c r="I220" s="22" t="s">
        <v>1566</v>
      </c>
      <c r="J220" s="22" t="s">
        <v>1609</v>
      </c>
      <c r="K220" s="22" t="s">
        <v>1603</v>
      </c>
      <c r="L220" s="22" t="s">
        <v>1610</v>
      </c>
      <c r="M220" s="22" t="s">
        <v>1577</v>
      </c>
      <c r="N220" s="29" t="s">
        <v>1383</v>
      </c>
      <c r="O220" s="22" t="s">
        <v>1384</v>
      </c>
      <c r="P220" s="22" t="s">
        <v>1384</v>
      </c>
    </row>
    <row r="221" customFormat="false" ht="15" hidden="false" customHeight="false" outlineLevel="0" collapsed="false">
      <c r="A221" s="22" t="n">
        <v>218</v>
      </c>
      <c r="B221" s="22" t="s">
        <v>98</v>
      </c>
      <c r="C221" s="22" t="s">
        <v>1544</v>
      </c>
      <c r="D221" s="22" t="s">
        <v>1431</v>
      </c>
      <c r="E221" s="28" t="n">
        <v>1046849.43</v>
      </c>
      <c r="F221" s="28" t="n">
        <v>0</v>
      </c>
      <c r="G221" s="28" t="n">
        <f aca="false">E221-F221</f>
        <v>1046849.43</v>
      </c>
      <c r="H221" s="23" t="n">
        <v>46052</v>
      </c>
      <c r="I221" s="22" t="s">
        <v>1566</v>
      </c>
      <c r="J221" s="22" t="s">
        <v>1642</v>
      </c>
      <c r="K221" s="22" t="s">
        <v>1603</v>
      </c>
      <c r="L221" s="22" t="s">
        <v>1643</v>
      </c>
      <c r="M221" s="22" t="s">
        <v>1577</v>
      </c>
      <c r="N221" s="29" t="s">
        <v>1383</v>
      </c>
      <c r="O221" s="22" t="s">
        <v>1384</v>
      </c>
      <c r="P221" s="22" t="s">
        <v>1384</v>
      </c>
    </row>
    <row r="222" customFormat="false" ht="15" hidden="false" customHeight="false" outlineLevel="0" collapsed="false">
      <c r="A222" s="22" t="n">
        <v>219</v>
      </c>
      <c r="B222" s="22" t="s">
        <v>98</v>
      </c>
      <c r="C222" s="22" t="s">
        <v>1544</v>
      </c>
      <c r="D222" s="22" t="s">
        <v>1408</v>
      </c>
      <c r="E222" s="28" t="n">
        <v>290912.57</v>
      </c>
      <c r="F222" s="28" t="n">
        <v>0</v>
      </c>
      <c r="G222" s="28" t="n">
        <f aca="false">E222-F222</f>
        <v>290912.57</v>
      </c>
      <c r="H222" s="23" t="n">
        <v>46173</v>
      </c>
      <c r="I222" s="22" t="s">
        <v>1566</v>
      </c>
      <c r="J222" s="22" t="s">
        <v>1627</v>
      </c>
      <c r="K222" s="22" t="s">
        <v>1614</v>
      </c>
      <c r="L222" s="22" t="s">
        <v>1628</v>
      </c>
      <c r="M222" s="22" t="s">
        <v>1629</v>
      </c>
      <c r="N222" s="29" t="s">
        <v>1383</v>
      </c>
      <c r="O222" s="22" t="s">
        <v>1384</v>
      </c>
      <c r="P222" s="22" t="s">
        <v>1384</v>
      </c>
    </row>
    <row r="223" customFormat="false" ht="15" hidden="false" customHeight="false" outlineLevel="0" collapsed="false">
      <c r="A223" s="22" t="n">
        <v>220</v>
      </c>
      <c r="B223" s="22" t="s">
        <v>98</v>
      </c>
      <c r="C223" s="22" t="s">
        <v>1544</v>
      </c>
      <c r="D223" s="22" t="s">
        <v>1969</v>
      </c>
      <c r="E223" s="28" t="n">
        <v>0</v>
      </c>
      <c r="F223" s="28" t="n">
        <v>164500</v>
      </c>
      <c r="G223" s="28" t="n">
        <f aca="false">E223-F223</f>
        <v>-164500</v>
      </c>
      <c r="H223" s="23" t="n">
        <v>46053</v>
      </c>
      <c r="I223" s="22" t="s">
        <v>1970</v>
      </c>
      <c r="J223" s="22" t="s">
        <v>1971</v>
      </c>
      <c r="K223" s="22" t="s">
        <v>1603</v>
      </c>
      <c r="L223" s="22" t="s">
        <v>1972</v>
      </c>
      <c r="M223" s="22" t="s">
        <v>1577</v>
      </c>
      <c r="N223" s="29" t="s">
        <v>1383</v>
      </c>
      <c r="O223" s="22" t="s">
        <v>1384</v>
      </c>
      <c r="P223" s="22" t="s">
        <v>1384</v>
      </c>
    </row>
    <row r="224" customFormat="false" ht="15" hidden="false" customHeight="false" outlineLevel="0" collapsed="false">
      <c r="A224" s="22" t="n">
        <v>221</v>
      </c>
      <c r="B224" s="22" t="s">
        <v>98</v>
      </c>
      <c r="C224" s="22" t="s">
        <v>1544</v>
      </c>
      <c r="D224" s="22" t="s">
        <v>1969</v>
      </c>
      <c r="E224" s="28" t="n">
        <v>164500</v>
      </c>
      <c r="F224" s="28" t="n">
        <v>0</v>
      </c>
      <c r="G224" s="28" t="n">
        <f aca="false">E224-F224</f>
        <v>164500</v>
      </c>
      <c r="H224" s="23" t="n">
        <v>46053</v>
      </c>
      <c r="I224" s="22" t="s">
        <v>1566</v>
      </c>
      <c r="J224" s="22" t="s">
        <v>1845</v>
      </c>
      <c r="K224" s="22" t="s">
        <v>1603</v>
      </c>
      <c r="L224" s="22" t="s">
        <v>1846</v>
      </c>
      <c r="M224" s="22" t="s">
        <v>1577</v>
      </c>
      <c r="N224" s="29" t="s">
        <v>1383</v>
      </c>
      <c r="O224" s="22" t="s">
        <v>1384</v>
      </c>
      <c r="P224" s="22" t="s">
        <v>1384</v>
      </c>
    </row>
    <row r="225" customFormat="false" ht="15" hidden="false" customHeight="false" outlineLevel="0" collapsed="false">
      <c r="A225" s="22" t="n">
        <v>222</v>
      </c>
      <c r="B225" s="22" t="s">
        <v>98</v>
      </c>
      <c r="C225" s="22" t="s">
        <v>1544</v>
      </c>
      <c r="D225" s="22" t="s">
        <v>1969</v>
      </c>
      <c r="E225" s="28" t="n">
        <v>0</v>
      </c>
      <c r="F225" s="28" t="n">
        <v>459900</v>
      </c>
      <c r="G225" s="28" t="n">
        <f aca="false">E225-F225</f>
        <v>-459900</v>
      </c>
      <c r="H225" s="23" t="n">
        <v>46233</v>
      </c>
      <c r="I225" s="22" t="s">
        <v>1973</v>
      </c>
      <c r="J225" s="22" t="s">
        <v>1974</v>
      </c>
      <c r="K225" s="22" t="s">
        <v>1975</v>
      </c>
      <c r="L225" s="22" t="s">
        <v>1976</v>
      </c>
      <c r="M225" s="22" t="s">
        <v>1564</v>
      </c>
      <c r="N225" s="29" t="s">
        <v>1383</v>
      </c>
      <c r="O225" s="22" t="s">
        <v>1384</v>
      </c>
      <c r="P225" s="22" t="s">
        <v>1384</v>
      </c>
    </row>
    <row r="226" customFormat="false" ht="15" hidden="false" customHeight="false" outlineLevel="0" collapsed="false">
      <c r="A226" s="22" t="n">
        <v>223</v>
      </c>
      <c r="B226" s="22" t="s">
        <v>98</v>
      </c>
      <c r="C226" s="22" t="s">
        <v>1544</v>
      </c>
      <c r="D226" s="22" t="s">
        <v>1977</v>
      </c>
      <c r="E226" s="28" t="n">
        <v>77286</v>
      </c>
      <c r="F226" s="28" t="n">
        <v>77286</v>
      </c>
      <c r="G226" s="28" t="n">
        <f aca="false">E226-F226</f>
        <v>0</v>
      </c>
      <c r="H226" s="23" t="n">
        <v>46198</v>
      </c>
      <c r="I226" s="22" t="s">
        <v>1566</v>
      </c>
      <c r="J226" s="22" t="s">
        <v>1602</v>
      </c>
      <c r="K226" s="22" t="s">
        <v>1603</v>
      </c>
      <c r="L226" s="22" t="s">
        <v>1604</v>
      </c>
      <c r="M226" s="22" t="s">
        <v>1577</v>
      </c>
      <c r="N226" s="29" t="s">
        <v>1383</v>
      </c>
      <c r="O226" s="22" t="s">
        <v>1384</v>
      </c>
      <c r="P226" s="22" t="s">
        <v>1384</v>
      </c>
    </row>
    <row r="227" customFormat="false" ht="15" hidden="false" customHeight="false" outlineLevel="0" collapsed="false">
      <c r="A227" s="22" t="n">
        <v>224</v>
      </c>
      <c r="B227" s="22" t="s">
        <v>98</v>
      </c>
      <c r="C227" s="22" t="s">
        <v>1544</v>
      </c>
      <c r="D227" s="22" t="s">
        <v>1411</v>
      </c>
      <c r="E227" s="28" t="n">
        <v>933400</v>
      </c>
      <c r="F227" s="28" t="n">
        <v>0</v>
      </c>
      <c r="G227" s="28" t="n">
        <f aca="false">E227-F227</f>
        <v>933400</v>
      </c>
      <c r="H227" s="23" t="n">
        <v>46173</v>
      </c>
      <c r="I227" s="22" t="s">
        <v>1566</v>
      </c>
      <c r="J227" s="22" t="s">
        <v>1627</v>
      </c>
      <c r="K227" s="22" t="s">
        <v>1614</v>
      </c>
      <c r="L227" s="22" t="s">
        <v>1628</v>
      </c>
      <c r="M227" s="22" t="s">
        <v>1629</v>
      </c>
      <c r="N227" s="29" t="s">
        <v>1383</v>
      </c>
      <c r="O227" s="22" t="s">
        <v>1384</v>
      </c>
      <c r="P227" s="22" t="s">
        <v>1384</v>
      </c>
    </row>
    <row r="228" customFormat="false" ht="15" hidden="false" customHeight="false" outlineLevel="0" collapsed="false">
      <c r="A228" s="22" t="n">
        <v>225</v>
      </c>
      <c r="B228" s="22" t="s">
        <v>275</v>
      </c>
      <c r="C228" s="22" t="s">
        <v>1545</v>
      </c>
      <c r="D228" s="22" t="s">
        <v>386</v>
      </c>
      <c r="E228" s="28" t="n">
        <v>0</v>
      </c>
      <c r="F228" s="28" t="n">
        <v>572363196</v>
      </c>
      <c r="G228" s="28" t="n">
        <f aca="false">E228-F228</f>
        <v>-572363196</v>
      </c>
      <c r="H228" s="23" t="n">
        <v>46231</v>
      </c>
      <c r="I228" s="22" t="s">
        <v>1598</v>
      </c>
      <c r="J228" s="22" t="s">
        <v>1978</v>
      </c>
      <c r="K228" s="22" t="s">
        <v>1568</v>
      </c>
      <c r="L228" s="22" t="s">
        <v>1979</v>
      </c>
      <c r="M228" s="22" t="s">
        <v>1564</v>
      </c>
      <c r="N228" s="29" t="s">
        <v>148</v>
      </c>
      <c r="O228" s="22" t="s">
        <v>1459</v>
      </c>
      <c r="P228" s="22" t="s">
        <v>1571</v>
      </c>
    </row>
    <row r="229" customFormat="false" ht="15" hidden="false" customHeight="false" outlineLevel="0" collapsed="false">
      <c r="A229" s="22" t="n">
        <v>226</v>
      </c>
      <c r="B229" s="22" t="s">
        <v>275</v>
      </c>
      <c r="C229" s="22" t="s">
        <v>1545</v>
      </c>
      <c r="D229" s="22" t="s">
        <v>1980</v>
      </c>
      <c r="E229" s="28" t="n">
        <v>4068134</v>
      </c>
      <c r="F229" s="28" t="n">
        <v>0</v>
      </c>
      <c r="G229" s="28" t="n">
        <f aca="false">E229-F229</f>
        <v>4068134</v>
      </c>
      <c r="H229" s="23" t="n">
        <v>46172</v>
      </c>
      <c r="I229" s="22" t="s">
        <v>1660</v>
      </c>
      <c r="J229" s="22" t="s">
        <v>1981</v>
      </c>
      <c r="K229" s="22" t="s">
        <v>1982</v>
      </c>
      <c r="L229" s="22" t="s">
        <v>1983</v>
      </c>
      <c r="M229" s="22" t="s">
        <v>1577</v>
      </c>
      <c r="N229" s="29" t="s">
        <v>150</v>
      </c>
      <c r="O229" s="22" t="s">
        <v>1459</v>
      </c>
      <c r="P229" s="22" t="s">
        <v>1984</v>
      </c>
    </row>
    <row r="230" customFormat="false" ht="15" hidden="false" customHeight="false" outlineLevel="0" collapsed="false">
      <c r="A230" s="22" t="n">
        <v>227</v>
      </c>
      <c r="B230" s="22" t="s">
        <v>275</v>
      </c>
      <c r="C230" s="22" t="s">
        <v>1545</v>
      </c>
      <c r="D230" s="22" t="s">
        <v>1980</v>
      </c>
      <c r="E230" s="28" t="n">
        <v>0</v>
      </c>
      <c r="F230" s="28" t="n">
        <v>4068134</v>
      </c>
      <c r="G230" s="28" t="n">
        <f aca="false">E230-F230</f>
        <v>-4068134</v>
      </c>
      <c r="H230" s="23" t="n">
        <v>46172</v>
      </c>
      <c r="I230" s="22" t="s">
        <v>1985</v>
      </c>
      <c r="J230" s="22" t="s">
        <v>1986</v>
      </c>
      <c r="K230" s="22" t="s">
        <v>1603</v>
      </c>
      <c r="L230" s="22" t="s">
        <v>1987</v>
      </c>
      <c r="M230" s="22" t="s">
        <v>1577</v>
      </c>
      <c r="N230" s="29" t="s">
        <v>150</v>
      </c>
      <c r="O230" s="22" t="s">
        <v>1459</v>
      </c>
      <c r="P230" s="22" t="s">
        <v>1984</v>
      </c>
    </row>
    <row r="231" customFormat="false" ht="15" hidden="false" customHeight="false" outlineLevel="0" collapsed="false">
      <c r="A231" s="22" t="n">
        <v>228</v>
      </c>
      <c r="B231" s="22" t="s">
        <v>275</v>
      </c>
      <c r="C231" s="22" t="s">
        <v>1545</v>
      </c>
      <c r="D231" s="22" t="s">
        <v>1980</v>
      </c>
      <c r="E231" s="28" t="n">
        <v>0</v>
      </c>
      <c r="F231" s="28" t="n">
        <v>31360500</v>
      </c>
      <c r="G231" s="28" t="n">
        <f aca="false">E231-F231</f>
        <v>-31360500</v>
      </c>
      <c r="H231" s="23" t="n">
        <v>46234</v>
      </c>
      <c r="I231" s="22" t="s">
        <v>1985</v>
      </c>
      <c r="J231" s="22" t="s">
        <v>1988</v>
      </c>
      <c r="K231" s="22" t="s">
        <v>1603</v>
      </c>
      <c r="L231" s="22" t="s">
        <v>1989</v>
      </c>
      <c r="M231" s="22" t="s">
        <v>1577</v>
      </c>
      <c r="N231" s="29" t="s">
        <v>150</v>
      </c>
      <c r="O231" s="22" t="s">
        <v>1459</v>
      </c>
      <c r="P231" s="22" t="s">
        <v>1984</v>
      </c>
    </row>
    <row r="232" customFormat="false" ht="15" hidden="false" customHeight="false" outlineLevel="0" collapsed="false">
      <c r="A232" s="22" t="n">
        <v>229</v>
      </c>
      <c r="B232" s="22" t="s">
        <v>275</v>
      </c>
      <c r="C232" s="22" t="s">
        <v>1545</v>
      </c>
      <c r="D232" s="22" t="s">
        <v>1980</v>
      </c>
      <c r="E232" s="28" t="n">
        <v>31360500</v>
      </c>
      <c r="F232" s="28" t="n">
        <v>0</v>
      </c>
      <c r="G232" s="28" t="n">
        <f aca="false">E232-F232</f>
        <v>31360500</v>
      </c>
      <c r="H232" s="23" t="n">
        <v>46234</v>
      </c>
      <c r="I232" s="22" t="s">
        <v>1985</v>
      </c>
      <c r="J232" s="22" t="s">
        <v>1990</v>
      </c>
      <c r="K232" s="22" t="s">
        <v>1614</v>
      </c>
      <c r="L232" s="22" t="s">
        <v>1991</v>
      </c>
      <c r="M232" s="22" t="s">
        <v>1577</v>
      </c>
      <c r="N232" s="29" t="s">
        <v>150</v>
      </c>
      <c r="O232" s="22" t="s">
        <v>1459</v>
      </c>
      <c r="P232" s="22" t="s">
        <v>1984</v>
      </c>
    </row>
    <row r="233" customFormat="false" ht="15" hidden="false" customHeight="false" outlineLevel="0" collapsed="false">
      <c r="A233" s="22" t="n">
        <v>230</v>
      </c>
      <c r="B233" s="22" t="s">
        <v>276</v>
      </c>
      <c r="C233" s="22" t="s">
        <v>1546</v>
      </c>
      <c r="D233" s="22" t="s">
        <v>1358</v>
      </c>
      <c r="E233" s="28" t="n">
        <v>8322590</v>
      </c>
      <c r="F233" s="28" t="n">
        <v>0</v>
      </c>
      <c r="G233" s="28" t="n">
        <f aca="false">E233-F233</f>
        <v>8322590</v>
      </c>
      <c r="H233" s="23" t="n">
        <v>46050</v>
      </c>
      <c r="I233" s="22" t="s">
        <v>1992</v>
      </c>
      <c r="J233" s="22" t="s">
        <v>1993</v>
      </c>
      <c r="K233" s="22" t="s">
        <v>1575</v>
      </c>
      <c r="L233" s="22" t="s">
        <v>1994</v>
      </c>
      <c r="M233" s="22" t="s">
        <v>1577</v>
      </c>
      <c r="N233" s="29" t="s">
        <v>124</v>
      </c>
      <c r="O233" s="22" t="s">
        <v>1468</v>
      </c>
      <c r="P233" s="22" t="s">
        <v>1570</v>
      </c>
    </row>
    <row r="234" customFormat="false" ht="15" hidden="false" customHeight="false" outlineLevel="0" collapsed="false">
      <c r="A234" s="22" t="n">
        <v>231</v>
      </c>
      <c r="B234" s="22" t="s">
        <v>276</v>
      </c>
      <c r="C234" s="22" t="s">
        <v>1546</v>
      </c>
      <c r="D234" s="22" t="s">
        <v>1358</v>
      </c>
      <c r="E234" s="28" t="n">
        <v>11155627</v>
      </c>
      <c r="F234" s="28" t="n">
        <v>0</v>
      </c>
      <c r="G234" s="28" t="n">
        <f aca="false">E234-F234</f>
        <v>11155627</v>
      </c>
      <c r="H234" s="23" t="n">
        <v>46050</v>
      </c>
      <c r="I234" s="22" t="s">
        <v>1992</v>
      </c>
      <c r="J234" s="22" t="s">
        <v>1995</v>
      </c>
      <c r="K234" s="22" t="s">
        <v>1575</v>
      </c>
      <c r="L234" s="22" t="s">
        <v>1996</v>
      </c>
      <c r="M234" s="22" t="s">
        <v>1577</v>
      </c>
      <c r="N234" s="29" t="s">
        <v>123</v>
      </c>
      <c r="O234" s="22" t="s">
        <v>1468</v>
      </c>
      <c r="P234" s="22" t="s">
        <v>1570</v>
      </c>
    </row>
    <row r="235" customFormat="false" ht="15" hidden="false" customHeight="false" outlineLevel="0" collapsed="false">
      <c r="A235" s="22" t="n">
        <v>232</v>
      </c>
      <c r="B235" s="22" t="s">
        <v>276</v>
      </c>
      <c r="C235" s="22" t="s">
        <v>1546</v>
      </c>
      <c r="D235" s="22" t="s">
        <v>1358</v>
      </c>
      <c r="E235" s="28" t="n">
        <v>11524297</v>
      </c>
      <c r="F235" s="28" t="n">
        <v>0</v>
      </c>
      <c r="G235" s="28" t="n">
        <f aca="false">E235-F235</f>
        <v>11524297</v>
      </c>
      <c r="H235" s="23" t="n">
        <v>46071</v>
      </c>
      <c r="I235" s="22" t="s">
        <v>1992</v>
      </c>
      <c r="J235" s="22" t="s">
        <v>1997</v>
      </c>
      <c r="K235" s="22" t="s">
        <v>1575</v>
      </c>
      <c r="L235" s="22" t="s">
        <v>1998</v>
      </c>
      <c r="M235" s="22" t="s">
        <v>1577</v>
      </c>
      <c r="N235" s="29" t="s">
        <v>123</v>
      </c>
      <c r="O235" s="22" t="s">
        <v>1468</v>
      </c>
      <c r="P235" s="22" t="s">
        <v>1570</v>
      </c>
    </row>
    <row r="236" customFormat="false" ht="15" hidden="false" customHeight="false" outlineLevel="0" collapsed="false">
      <c r="A236" s="22" t="n">
        <v>233</v>
      </c>
      <c r="B236" s="22" t="s">
        <v>276</v>
      </c>
      <c r="C236" s="22" t="s">
        <v>1546</v>
      </c>
      <c r="D236" s="22" t="s">
        <v>1358</v>
      </c>
      <c r="E236" s="28" t="n">
        <v>8261283</v>
      </c>
      <c r="F236" s="28" t="n">
        <v>0</v>
      </c>
      <c r="G236" s="28" t="n">
        <f aca="false">E236-F236</f>
        <v>8261283</v>
      </c>
      <c r="H236" s="23" t="n">
        <v>46071</v>
      </c>
      <c r="I236" s="22" t="s">
        <v>1992</v>
      </c>
      <c r="J236" s="22" t="s">
        <v>1999</v>
      </c>
      <c r="K236" s="22" t="s">
        <v>1575</v>
      </c>
      <c r="L236" s="22" t="s">
        <v>2000</v>
      </c>
      <c r="M236" s="22" t="s">
        <v>1577</v>
      </c>
      <c r="N236" s="29" t="s">
        <v>124</v>
      </c>
      <c r="O236" s="22" t="s">
        <v>1468</v>
      </c>
      <c r="P236" s="22" t="s">
        <v>1570</v>
      </c>
    </row>
    <row r="237" customFormat="false" ht="15" hidden="false" customHeight="false" outlineLevel="0" collapsed="false">
      <c r="A237" s="22" t="n">
        <v>234</v>
      </c>
      <c r="B237" s="22" t="s">
        <v>276</v>
      </c>
      <c r="C237" s="22" t="s">
        <v>1546</v>
      </c>
      <c r="D237" s="22" t="s">
        <v>1358</v>
      </c>
      <c r="E237" s="28" t="n">
        <v>8547937</v>
      </c>
      <c r="F237" s="28" t="n">
        <v>0</v>
      </c>
      <c r="G237" s="28" t="n">
        <f aca="false">E237-F237</f>
        <v>8547937</v>
      </c>
      <c r="H237" s="23" t="n">
        <v>46095</v>
      </c>
      <c r="I237" s="22" t="s">
        <v>1992</v>
      </c>
      <c r="J237" s="22" t="s">
        <v>2001</v>
      </c>
      <c r="K237" s="22" t="s">
        <v>1575</v>
      </c>
      <c r="L237" s="22" t="s">
        <v>2002</v>
      </c>
      <c r="M237" s="22" t="s">
        <v>1577</v>
      </c>
      <c r="N237" s="29" t="s">
        <v>124</v>
      </c>
      <c r="O237" s="22" t="s">
        <v>1468</v>
      </c>
      <c r="P237" s="22" t="s">
        <v>1570</v>
      </c>
    </row>
    <row r="238" customFormat="false" ht="15" hidden="false" customHeight="false" outlineLevel="0" collapsed="false">
      <c r="A238" s="22" t="n">
        <v>235</v>
      </c>
      <c r="B238" s="22" t="s">
        <v>276</v>
      </c>
      <c r="C238" s="22" t="s">
        <v>1546</v>
      </c>
      <c r="D238" s="22" t="s">
        <v>1358</v>
      </c>
      <c r="E238" s="28" t="n">
        <v>11474507</v>
      </c>
      <c r="F238" s="28" t="n">
        <v>0</v>
      </c>
      <c r="G238" s="28" t="n">
        <f aca="false">E238-F238</f>
        <v>11474507</v>
      </c>
      <c r="H238" s="23" t="n">
        <v>46095</v>
      </c>
      <c r="I238" s="22" t="s">
        <v>1992</v>
      </c>
      <c r="J238" s="22" t="s">
        <v>2003</v>
      </c>
      <c r="K238" s="22" t="s">
        <v>1575</v>
      </c>
      <c r="L238" s="22" t="s">
        <v>2004</v>
      </c>
      <c r="M238" s="22" t="s">
        <v>1577</v>
      </c>
      <c r="N238" s="29" t="s">
        <v>123</v>
      </c>
      <c r="O238" s="22" t="s">
        <v>1468</v>
      </c>
      <c r="P238" s="22" t="s">
        <v>1570</v>
      </c>
    </row>
    <row r="239" customFormat="false" ht="15" hidden="false" customHeight="false" outlineLevel="0" collapsed="false">
      <c r="A239" s="22" t="n">
        <v>236</v>
      </c>
      <c r="B239" s="22" t="s">
        <v>276</v>
      </c>
      <c r="C239" s="22" t="s">
        <v>1546</v>
      </c>
      <c r="D239" s="22" t="s">
        <v>1358</v>
      </c>
      <c r="E239" s="28" t="n">
        <v>11635838</v>
      </c>
      <c r="F239" s="28" t="n">
        <v>0</v>
      </c>
      <c r="G239" s="28" t="n">
        <f aca="false">E239-F239</f>
        <v>11635838</v>
      </c>
      <c r="H239" s="23" t="n">
        <v>46136</v>
      </c>
      <c r="I239" s="22" t="s">
        <v>1992</v>
      </c>
      <c r="J239" s="22" t="s">
        <v>2005</v>
      </c>
      <c r="K239" s="22" t="s">
        <v>1575</v>
      </c>
      <c r="L239" s="22" t="s">
        <v>2006</v>
      </c>
      <c r="M239" s="22" t="s">
        <v>1577</v>
      </c>
      <c r="N239" s="29" t="s">
        <v>123</v>
      </c>
      <c r="O239" s="22" t="s">
        <v>1468</v>
      </c>
      <c r="P239" s="22" t="s">
        <v>1570</v>
      </c>
    </row>
    <row r="240" customFormat="false" ht="15" hidden="false" customHeight="false" outlineLevel="0" collapsed="false">
      <c r="A240" s="22" t="n">
        <v>237</v>
      </c>
      <c r="B240" s="22" t="s">
        <v>276</v>
      </c>
      <c r="C240" s="22" t="s">
        <v>1546</v>
      </c>
      <c r="D240" s="22" t="s">
        <v>1358</v>
      </c>
      <c r="E240" s="28" t="n">
        <v>8830873</v>
      </c>
      <c r="F240" s="28" t="n">
        <v>0</v>
      </c>
      <c r="G240" s="28" t="n">
        <f aca="false">E240-F240</f>
        <v>8830873</v>
      </c>
      <c r="H240" s="23" t="n">
        <v>46136</v>
      </c>
      <c r="I240" s="22" t="s">
        <v>1992</v>
      </c>
      <c r="J240" s="22" t="s">
        <v>2007</v>
      </c>
      <c r="K240" s="22" t="s">
        <v>1575</v>
      </c>
      <c r="L240" s="22" t="s">
        <v>2008</v>
      </c>
      <c r="M240" s="22" t="s">
        <v>1577</v>
      </c>
      <c r="N240" s="29" t="s">
        <v>124</v>
      </c>
      <c r="O240" s="22" t="s">
        <v>1468</v>
      </c>
      <c r="P240" s="22" t="s">
        <v>1570</v>
      </c>
    </row>
    <row r="241" customFormat="false" ht="15" hidden="false" customHeight="false" outlineLevel="0" collapsed="false">
      <c r="A241" s="22" t="n">
        <v>238</v>
      </c>
      <c r="B241" s="22" t="s">
        <v>276</v>
      </c>
      <c r="C241" s="22" t="s">
        <v>1546</v>
      </c>
      <c r="D241" s="22" t="s">
        <v>1358</v>
      </c>
      <c r="E241" s="28" t="n">
        <v>8621303</v>
      </c>
      <c r="F241" s="28" t="n">
        <v>0</v>
      </c>
      <c r="G241" s="28" t="n">
        <f aca="false">E241-F241</f>
        <v>8621303</v>
      </c>
      <c r="H241" s="23" t="n">
        <v>46164</v>
      </c>
      <c r="I241" s="22" t="s">
        <v>1992</v>
      </c>
      <c r="J241" s="22" t="s">
        <v>2009</v>
      </c>
      <c r="K241" s="22" t="s">
        <v>1575</v>
      </c>
      <c r="L241" s="22" t="s">
        <v>2010</v>
      </c>
      <c r="M241" s="22" t="s">
        <v>1577</v>
      </c>
      <c r="N241" s="29" t="s">
        <v>124</v>
      </c>
      <c r="O241" s="22" t="s">
        <v>1468</v>
      </c>
      <c r="P241" s="22" t="s">
        <v>1570</v>
      </c>
    </row>
    <row r="242" customFormat="false" ht="15" hidden="false" customHeight="false" outlineLevel="0" collapsed="false">
      <c r="A242" s="22" t="n">
        <v>239</v>
      </c>
      <c r="B242" s="22" t="s">
        <v>276</v>
      </c>
      <c r="C242" s="22" t="s">
        <v>1546</v>
      </c>
      <c r="D242" s="22" t="s">
        <v>1358</v>
      </c>
      <c r="E242" s="28" t="n">
        <v>12392508</v>
      </c>
      <c r="F242" s="28" t="n">
        <v>0</v>
      </c>
      <c r="G242" s="28" t="n">
        <f aca="false">E242-F242</f>
        <v>12392508</v>
      </c>
      <c r="H242" s="23" t="n">
        <v>46164</v>
      </c>
      <c r="I242" s="22" t="s">
        <v>1992</v>
      </c>
      <c r="J242" s="22" t="s">
        <v>2011</v>
      </c>
      <c r="K242" s="22" t="s">
        <v>1575</v>
      </c>
      <c r="L242" s="22" t="s">
        <v>2012</v>
      </c>
      <c r="M242" s="22" t="s">
        <v>1577</v>
      </c>
      <c r="N242" s="29" t="s">
        <v>123</v>
      </c>
      <c r="O242" s="22" t="s">
        <v>1468</v>
      </c>
      <c r="P242" s="22" t="s">
        <v>1570</v>
      </c>
    </row>
    <row r="243" customFormat="false" ht="15" hidden="false" customHeight="false" outlineLevel="0" collapsed="false">
      <c r="A243" s="22" t="n">
        <v>240</v>
      </c>
      <c r="B243" s="22" t="s">
        <v>276</v>
      </c>
      <c r="C243" s="22" t="s">
        <v>1546</v>
      </c>
      <c r="D243" s="22" t="s">
        <v>1358</v>
      </c>
      <c r="E243" s="28" t="n">
        <v>8901235</v>
      </c>
      <c r="F243" s="28" t="n">
        <v>0</v>
      </c>
      <c r="G243" s="28" t="n">
        <f aca="false">E243-F243</f>
        <v>8901235</v>
      </c>
      <c r="H243" s="23" t="n">
        <v>46203</v>
      </c>
      <c r="I243" s="22" t="s">
        <v>1992</v>
      </c>
      <c r="J243" s="22" t="s">
        <v>464</v>
      </c>
      <c r="K243" s="22" t="s">
        <v>1575</v>
      </c>
      <c r="L243" s="22" t="s">
        <v>2013</v>
      </c>
      <c r="M243" s="22" t="s">
        <v>1577</v>
      </c>
      <c r="N243" s="29" t="s">
        <v>124</v>
      </c>
      <c r="O243" s="22" t="s">
        <v>1468</v>
      </c>
      <c r="P243" s="22" t="s">
        <v>1570</v>
      </c>
    </row>
    <row r="244" customFormat="false" ht="15" hidden="false" customHeight="false" outlineLevel="0" collapsed="false">
      <c r="A244" s="22" t="n">
        <v>241</v>
      </c>
      <c r="B244" s="22" t="s">
        <v>276</v>
      </c>
      <c r="C244" s="22" t="s">
        <v>1546</v>
      </c>
      <c r="D244" s="22" t="s">
        <v>1358</v>
      </c>
      <c r="E244" s="28" t="n">
        <v>11973677</v>
      </c>
      <c r="F244" s="28" t="n">
        <v>0</v>
      </c>
      <c r="G244" s="28" t="n">
        <f aca="false">E244-F244</f>
        <v>11973677</v>
      </c>
      <c r="H244" s="23" t="n">
        <v>46203</v>
      </c>
      <c r="I244" s="22" t="s">
        <v>1992</v>
      </c>
      <c r="J244" s="22" t="s">
        <v>468</v>
      </c>
      <c r="K244" s="22" t="s">
        <v>1575</v>
      </c>
      <c r="L244" s="22" t="s">
        <v>2014</v>
      </c>
      <c r="M244" s="22" t="s">
        <v>1577</v>
      </c>
      <c r="N244" s="29" t="s">
        <v>123</v>
      </c>
      <c r="O244" s="22" t="s">
        <v>1468</v>
      </c>
      <c r="P244" s="22" t="s">
        <v>1570</v>
      </c>
    </row>
    <row r="245" customFormat="false" ht="15" hidden="false" customHeight="false" outlineLevel="0" collapsed="false">
      <c r="A245" s="22" t="n">
        <v>242</v>
      </c>
      <c r="B245" s="22" t="s">
        <v>276</v>
      </c>
      <c r="C245" s="22" t="s">
        <v>1546</v>
      </c>
      <c r="D245" s="22" t="s">
        <v>1358</v>
      </c>
      <c r="E245" s="28" t="n">
        <v>8261283</v>
      </c>
      <c r="F245" s="28" t="n">
        <v>8261283</v>
      </c>
      <c r="G245" s="28" t="n">
        <f aca="false">E245-F245</f>
        <v>0</v>
      </c>
      <c r="H245" s="23" t="n">
        <v>46225</v>
      </c>
      <c r="I245" s="22" t="s">
        <v>1992</v>
      </c>
      <c r="J245" s="22" t="s">
        <v>2015</v>
      </c>
      <c r="K245" s="22" t="s">
        <v>1614</v>
      </c>
      <c r="L245" s="22" t="s">
        <v>2016</v>
      </c>
      <c r="M245" s="22" t="s">
        <v>1629</v>
      </c>
      <c r="N245" s="29" t="s">
        <v>151</v>
      </c>
      <c r="O245" s="22" t="s">
        <v>1468</v>
      </c>
      <c r="P245" s="22" t="s">
        <v>1984</v>
      </c>
    </row>
    <row r="246" customFormat="false" ht="15" hidden="false" customHeight="false" outlineLevel="0" collapsed="false">
      <c r="A246" s="22" t="n">
        <v>243</v>
      </c>
      <c r="B246" s="22" t="s">
        <v>276</v>
      </c>
      <c r="C246" s="22" t="s">
        <v>1546</v>
      </c>
      <c r="D246" s="22" t="s">
        <v>1358</v>
      </c>
      <c r="E246" s="28" t="n">
        <v>8867342</v>
      </c>
      <c r="F246" s="28" t="n">
        <v>0</v>
      </c>
      <c r="G246" s="28" t="n">
        <f aca="false">E246-F246</f>
        <v>8867342</v>
      </c>
      <c r="H246" s="23" t="n">
        <v>46231</v>
      </c>
      <c r="I246" s="22" t="s">
        <v>1992</v>
      </c>
      <c r="J246" s="22" t="s">
        <v>466</v>
      </c>
      <c r="K246" s="22" t="s">
        <v>1575</v>
      </c>
      <c r="L246" s="22" t="s">
        <v>2017</v>
      </c>
      <c r="M246" s="22" t="s">
        <v>1577</v>
      </c>
      <c r="N246" s="29" t="s">
        <v>124</v>
      </c>
      <c r="O246" s="22" t="s">
        <v>1468</v>
      </c>
      <c r="P246" s="22" t="s">
        <v>1570</v>
      </c>
    </row>
    <row r="247" customFormat="false" ht="15" hidden="false" customHeight="false" outlineLevel="0" collapsed="false">
      <c r="A247" s="22" t="n">
        <v>244</v>
      </c>
      <c r="B247" s="22" t="s">
        <v>276</v>
      </c>
      <c r="C247" s="22" t="s">
        <v>1546</v>
      </c>
      <c r="D247" s="22" t="s">
        <v>1358</v>
      </c>
      <c r="E247" s="28" t="n">
        <v>12327298</v>
      </c>
      <c r="F247" s="28" t="n">
        <v>0</v>
      </c>
      <c r="G247" s="28" t="n">
        <f aca="false">E247-F247</f>
        <v>12327298</v>
      </c>
      <c r="H247" s="23" t="n">
        <v>46231</v>
      </c>
      <c r="I247" s="22" t="s">
        <v>1992</v>
      </c>
      <c r="J247" s="22" t="s">
        <v>471</v>
      </c>
      <c r="K247" s="22" t="s">
        <v>1575</v>
      </c>
      <c r="L247" s="22" t="s">
        <v>2018</v>
      </c>
      <c r="M247" s="22" t="s">
        <v>1577</v>
      </c>
      <c r="N247" s="29" t="s">
        <v>123</v>
      </c>
      <c r="O247" s="22" t="s">
        <v>1468</v>
      </c>
      <c r="P247" s="22" t="s">
        <v>1570</v>
      </c>
    </row>
    <row r="248" customFormat="false" ht="15" hidden="false" customHeight="false" outlineLevel="0" collapsed="false">
      <c r="A248" s="22" t="n">
        <v>245</v>
      </c>
      <c r="B248" s="22" t="s">
        <v>276</v>
      </c>
      <c r="C248" s="22" t="s">
        <v>1546</v>
      </c>
      <c r="D248" s="22" t="s">
        <v>523</v>
      </c>
      <c r="E248" s="28" t="n">
        <v>25421164.99</v>
      </c>
      <c r="F248" s="28" t="n">
        <v>0</v>
      </c>
      <c r="G248" s="28" t="n">
        <f aca="false">E248-F248</f>
        <v>25421164.99</v>
      </c>
      <c r="H248" s="23" t="n">
        <v>46050</v>
      </c>
      <c r="I248" s="22" t="s">
        <v>1566</v>
      </c>
      <c r="J248" s="22" t="s">
        <v>2019</v>
      </c>
      <c r="K248" s="22" t="s">
        <v>1575</v>
      </c>
      <c r="L248" s="22" t="s">
        <v>2020</v>
      </c>
      <c r="M248" s="22" t="s">
        <v>1577</v>
      </c>
      <c r="N248" s="29" t="s">
        <v>135</v>
      </c>
      <c r="O248" s="22" t="s">
        <v>1468</v>
      </c>
      <c r="P248" s="22" t="s">
        <v>1570</v>
      </c>
    </row>
    <row r="249" customFormat="false" ht="15" hidden="false" customHeight="false" outlineLevel="0" collapsed="false">
      <c r="A249" s="22" t="n">
        <v>246</v>
      </c>
      <c r="B249" s="22" t="s">
        <v>276</v>
      </c>
      <c r="C249" s="22" t="s">
        <v>1546</v>
      </c>
      <c r="D249" s="22" t="s">
        <v>523</v>
      </c>
      <c r="E249" s="28" t="n">
        <v>25421164.99</v>
      </c>
      <c r="F249" s="28" t="n">
        <v>0</v>
      </c>
      <c r="G249" s="28" t="n">
        <f aca="false">E249-F249</f>
        <v>25421164.99</v>
      </c>
      <c r="H249" s="23" t="n">
        <v>46050</v>
      </c>
      <c r="I249" s="22" t="s">
        <v>1566</v>
      </c>
      <c r="J249" s="22" t="s">
        <v>2021</v>
      </c>
      <c r="K249" s="22" t="s">
        <v>1575</v>
      </c>
      <c r="L249" s="22" t="s">
        <v>2022</v>
      </c>
      <c r="M249" s="22" t="s">
        <v>1577</v>
      </c>
      <c r="N249" s="29" t="s">
        <v>136</v>
      </c>
      <c r="O249" s="22" t="s">
        <v>1468</v>
      </c>
      <c r="P249" s="22" t="s">
        <v>1570</v>
      </c>
    </row>
    <row r="250" customFormat="false" ht="15" hidden="false" customHeight="false" outlineLevel="0" collapsed="false">
      <c r="A250" s="22" t="n">
        <v>247</v>
      </c>
      <c r="B250" s="22" t="s">
        <v>276</v>
      </c>
      <c r="C250" s="22" t="s">
        <v>1546</v>
      </c>
      <c r="D250" s="22" t="s">
        <v>523</v>
      </c>
      <c r="E250" s="28" t="n">
        <v>20809569.69</v>
      </c>
      <c r="F250" s="28" t="n">
        <v>0</v>
      </c>
      <c r="G250" s="28" t="n">
        <f aca="false">E250-F250</f>
        <v>20809569.69</v>
      </c>
      <c r="H250" s="23" t="n">
        <v>46051</v>
      </c>
      <c r="I250" s="22" t="s">
        <v>1566</v>
      </c>
      <c r="J250" s="22" t="s">
        <v>2023</v>
      </c>
      <c r="K250" s="22" t="s">
        <v>1575</v>
      </c>
      <c r="L250" s="22" t="s">
        <v>2024</v>
      </c>
      <c r="M250" s="22" t="s">
        <v>1577</v>
      </c>
      <c r="N250" s="29" t="s">
        <v>137</v>
      </c>
      <c r="O250" s="22" t="s">
        <v>1468</v>
      </c>
      <c r="P250" s="22" t="s">
        <v>1570</v>
      </c>
    </row>
    <row r="251" customFormat="false" ht="15" hidden="false" customHeight="false" outlineLevel="0" collapsed="false">
      <c r="A251" s="22" t="n">
        <v>248</v>
      </c>
      <c r="B251" s="22" t="s">
        <v>276</v>
      </c>
      <c r="C251" s="22" t="s">
        <v>1546</v>
      </c>
      <c r="D251" s="22" t="s">
        <v>523</v>
      </c>
      <c r="E251" s="28" t="n">
        <v>61077245.67</v>
      </c>
      <c r="F251" s="28" t="n">
        <v>0</v>
      </c>
      <c r="G251" s="28" t="n">
        <f aca="false">E251-F251</f>
        <v>61077245.67</v>
      </c>
      <c r="H251" s="23" t="n">
        <v>46051</v>
      </c>
      <c r="I251" s="22" t="s">
        <v>1566</v>
      </c>
      <c r="J251" s="22" t="s">
        <v>2025</v>
      </c>
      <c r="K251" s="22" t="s">
        <v>1575</v>
      </c>
      <c r="L251" s="22" t="s">
        <v>2026</v>
      </c>
      <c r="M251" s="22" t="s">
        <v>1577</v>
      </c>
      <c r="N251" s="29" t="s">
        <v>138</v>
      </c>
      <c r="O251" s="22" t="s">
        <v>1468</v>
      </c>
      <c r="P251" s="22" t="s">
        <v>1570</v>
      </c>
    </row>
    <row r="252" customFormat="false" ht="15" hidden="false" customHeight="false" outlineLevel="0" collapsed="false">
      <c r="A252" s="22" t="n">
        <v>249</v>
      </c>
      <c r="B252" s="22" t="s">
        <v>276</v>
      </c>
      <c r="C252" s="22" t="s">
        <v>1546</v>
      </c>
      <c r="D252" s="22" t="s">
        <v>523</v>
      </c>
      <c r="E252" s="28" t="n">
        <v>20805204.47</v>
      </c>
      <c r="F252" s="28" t="n">
        <v>0</v>
      </c>
      <c r="G252" s="28" t="n">
        <f aca="false">E252-F252</f>
        <v>20805204.47</v>
      </c>
      <c r="H252" s="23" t="n">
        <v>46051</v>
      </c>
      <c r="I252" s="22" t="s">
        <v>1566</v>
      </c>
      <c r="J252" s="22" t="s">
        <v>2027</v>
      </c>
      <c r="K252" s="22" t="s">
        <v>1575</v>
      </c>
      <c r="L252" s="22" t="s">
        <v>2028</v>
      </c>
      <c r="M252" s="22" t="s">
        <v>1577</v>
      </c>
      <c r="N252" s="29" t="s">
        <v>134</v>
      </c>
      <c r="O252" s="22" t="s">
        <v>1468</v>
      </c>
      <c r="P252" s="22" t="s">
        <v>1570</v>
      </c>
    </row>
    <row r="253" customFormat="false" ht="15" hidden="false" customHeight="false" outlineLevel="0" collapsed="false">
      <c r="A253" s="22" t="n">
        <v>250</v>
      </c>
      <c r="B253" s="22" t="s">
        <v>276</v>
      </c>
      <c r="C253" s="22" t="s">
        <v>1546</v>
      </c>
      <c r="D253" s="22" t="s">
        <v>523</v>
      </c>
      <c r="E253" s="28" t="n">
        <v>20805204.47</v>
      </c>
      <c r="F253" s="28" t="n">
        <v>0</v>
      </c>
      <c r="G253" s="28" t="n">
        <f aca="false">E253-F253</f>
        <v>20805204.47</v>
      </c>
      <c r="H253" s="23" t="n">
        <v>46051</v>
      </c>
      <c r="I253" s="22" t="s">
        <v>1566</v>
      </c>
      <c r="J253" s="22" t="s">
        <v>2029</v>
      </c>
      <c r="K253" s="22" t="s">
        <v>1575</v>
      </c>
      <c r="L253" s="22" t="s">
        <v>2030</v>
      </c>
      <c r="M253" s="22" t="s">
        <v>1577</v>
      </c>
      <c r="N253" s="29" t="s">
        <v>133</v>
      </c>
      <c r="O253" s="22" t="s">
        <v>1468</v>
      </c>
      <c r="P253" s="22" t="s">
        <v>1570</v>
      </c>
    </row>
    <row r="254" customFormat="false" ht="15" hidden="false" customHeight="false" outlineLevel="0" collapsed="false">
      <c r="A254" s="22" t="n">
        <v>251</v>
      </c>
      <c r="B254" s="22" t="s">
        <v>276</v>
      </c>
      <c r="C254" s="22" t="s">
        <v>1546</v>
      </c>
      <c r="D254" s="22" t="s">
        <v>523</v>
      </c>
      <c r="E254" s="28" t="n">
        <v>26079255.16</v>
      </c>
      <c r="F254" s="28" t="n">
        <v>0</v>
      </c>
      <c r="G254" s="28" t="n">
        <f aca="false">E254-F254</f>
        <v>26079255.16</v>
      </c>
      <c r="H254" s="23" t="n">
        <v>46136</v>
      </c>
      <c r="I254" s="22" t="s">
        <v>1566</v>
      </c>
      <c r="J254" s="22" t="s">
        <v>446</v>
      </c>
      <c r="K254" s="22" t="s">
        <v>1575</v>
      </c>
      <c r="L254" s="22" t="s">
        <v>2031</v>
      </c>
      <c r="M254" s="22" t="s">
        <v>1577</v>
      </c>
      <c r="N254" s="29" t="s">
        <v>135</v>
      </c>
      <c r="O254" s="22" t="s">
        <v>1468</v>
      </c>
      <c r="P254" s="22" t="s">
        <v>1570</v>
      </c>
    </row>
    <row r="255" customFormat="false" ht="15" hidden="false" customHeight="false" outlineLevel="0" collapsed="false">
      <c r="A255" s="22" t="n">
        <v>252</v>
      </c>
      <c r="B255" s="22" t="s">
        <v>276</v>
      </c>
      <c r="C255" s="22" t="s">
        <v>1546</v>
      </c>
      <c r="D255" s="22" t="s">
        <v>523</v>
      </c>
      <c r="E255" s="28" t="n">
        <v>21319941.88</v>
      </c>
      <c r="F255" s="28" t="n">
        <v>0</v>
      </c>
      <c r="G255" s="28" t="n">
        <f aca="false">E255-F255</f>
        <v>21319941.88</v>
      </c>
      <c r="H255" s="23" t="n">
        <v>46136</v>
      </c>
      <c r="I255" s="22" t="s">
        <v>1566</v>
      </c>
      <c r="J255" s="22" t="s">
        <v>456</v>
      </c>
      <c r="K255" s="22" t="s">
        <v>1575</v>
      </c>
      <c r="L255" s="22" t="s">
        <v>2032</v>
      </c>
      <c r="M255" s="22" t="s">
        <v>1577</v>
      </c>
      <c r="N255" s="29" t="s">
        <v>137</v>
      </c>
      <c r="O255" s="22" t="s">
        <v>1468</v>
      </c>
      <c r="P255" s="22" t="s">
        <v>1570</v>
      </c>
    </row>
    <row r="256" customFormat="false" ht="15" hidden="false" customHeight="false" outlineLevel="0" collapsed="false">
      <c r="A256" s="22" t="n">
        <v>253</v>
      </c>
      <c r="B256" s="22" t="s">
        <v>276</v>
      </c>
      <c r="C256" s="22" t="s">
        <v>1546</v>
      </c>
      <c r="D256" s="22" t="s">
        <v>523</v>
      </c>
      <c r="E256" s="28" t="n">
        <v>62648860.03</v>
      </c>
      <c r="F256" s="28" t="n">
        <v>0</v>
      </c>
      <c r="G256" s="28" t="n">
        <f aca="false">E256-F256</f>
        <v>62648860.03</v>
      </c>
      <c r="H256" s="23" t="n">
        <v>46136</v>
      </c>
      <c r="I256" s="22" t="s">
        <v>1566</v>
      </c>
      <c r="J256" s="22" t="s">
        <v>436</v>
      </c>
      <c r="K256" s="22" t="s">
        <v>1575</v>
      </c>
      <c r="L256" s="22" t="s">
        <v>2033</v>
      </c>
      <c r="M256" s="22" t="s">
        <v>1577</v>
      </c>
      <c r="N256" s="29" t="s">
        <v>138</v>
      </c>
      <c r="O256" s="22" t="s">
        <v>1468</v>
      </c>
      <c r="P256" s="22" t="s">
        <v>1570</v>
      </c>
    </row>
    <row r="257" customFormat="false" ht="15" hidden="false" customHeight="false" outlineLevel="0" collapsed="false">
      <c r="A257" s="22" t="n">
        <v>254</v>
      </c>
      <c r="B257" s="22" t="s">
        <v>276</v>
      </c>
      <c r="C257" s="22" t="s">
        <v>1546</v>
      </c>
      <c r="D257" s="22" t="s">
        <v>523</v>
      </c>
      <c r="E257" s="28" t="n">
        <v>21315470.38</v>
      </c>
      <c r="F257" s="28" t="n">
        <v>0</v>
      </c>
      <c r="G257" s="28" t="n">
        <f aca="false">E257-F257</f>
        <v>21315470.38</v>
      </c>
      <c r="H257" s="23" t="n">
        <v>46136</v>
      </c>
      <c r="I257" s="22" t="s">
        <v>1566</v>
      </c>
      <c r="J257" s="22" t="s">
        <v>449</v>
      </c>
      <c r="K257" s="22" t="s">
        <v>1575</v>
      </c>
      <c r="L257" s="22" t="s">
        <v>2034</v>
      </c>
      <c r="M257" s="22" t="s">
        <v>1577</v>
      </c>
      <c r="N257" s="29" t="s">
        <v>134</v>
      </c>
      <c r="O257" s="22" t="s">
        <v>1468</v>
      </c>
      <c r="P257" s="22" t="s">
        <v>1570</v>
      </c>
    </row>
    <row r="258" customFormat="false" ht="15" hidden="false" customHeight="false" outlineLevel="0" collapsed="false">
      <c r="A258" s="22" t="n">
        <v>255</v>
      </c>
      <c r="B258" s="22" t="s">
        <v>276</v>
      </c>
      <c r="C258" s="22" t="s">
        <v>1546</v>
      </c>
      <c r="D258" s="22" t="s">
        <v>523</v>
      </c>
      <c r="E258" s="28" t="n">
        <v>21315470.39</v>
      </c>
      <c r="F258" s="28" t="n">
        <v>0</v>
      </c>
      <c r="G258" s="28" t="n">
        <f aca="false">E258-F258</f>
        <v>21315470.39</v>
      </c>
      <c r="H258" s="23" t="n">
        <v>46136</v>
      </c>
      <c r="I258" s="22" t="s">
        <v>1566</v>
      </c>
      <c r="J258" s="22" t="s">
        <v>452</v>
      </c>
      <c r="K258" s="22" t="s">
        <v>1575</v>
      </c>
      <c r="L258" s="22" t="s">
        <v>2035</v>
      </c>
      <c r="M258" s="22" t="s">
        <v>1577</v>
      </c>
      <c r="N258" s="29" t="s">
        <v>133</v>
      </c>
      <c r="O258" s="22" t="s">
        <v>1468</v>
      </c>
      <c r="P258" s="22" t="s">
        <v>1570</v>
      </c>
    </row>
    <row r="259" customFormat="false" ht="15" hidden="false" customHeight="false" outlineLevel="0" collapsed="false">
      <c r="A259" s="22" t="n">
        <v>256</v>
      </c>
      <c r="B259" s="22" t="s">
        <v>276</v>
      </c>
      <c r="C259" s="22" t="s">
        <v>1546</v>
      </c>
      <c r="D259" s="22" t="s">
        <v>523</v>
      </c>
      <c r="E259" s="28" t="n">
        <v>26079255.17</v>
      </c>
      <c r="F259" s="28" t="n">
        <v>0</v>
      </c>
      <c r="G259" s="28" t="n">
        <f aca="false">E259-F259</f>
        <v>26079255.17</v>
      </c>
      <c r="H259" s="23" t="n">
        <v>46136</v>
      </c>
      <c r="I259" s="22" t="s">
        <v>1566</v>
      </c>
      <c r="J259" s="22" t="s">
        <v>443</v>
      </c>
      <c r="K259" s="22" t="s">
        <v>1575</v>
      </c>
      <c r="L259" s="22" t="s">
        <v>2036</v>
      </c>
      <c r="M259" s="22" t="s">
        <v>1577</v>
      </c>
      <c r="N259" s="29" t="s">
        <v>136</v>
      </c>
      <c r="O259" s="22" t="s">
        <v>1468</v>
      </c>
      <c r="P259" s="22" t="s">
        <v>1570</v>
      </c>
    </row>
    <row r="260" customFormat="false" ht="15" hidden="false" customHeight="false" outlineLevel="0" collapsed="false">
      <c r="A260" s="22" t="n">
        <v>257</v>
      </c>
      <c r="B260" s="22" t="s">
        <v>276</v>
      </c>
      <c r="C260" s="22" t="s">
        <v>1546</v>
      </c>
      <c r="D260" s="22" t="s">
        <v>523</v>
      </c>
      <c r="E260" s="28" t="n">
        <v>26602533.71</v>
      </c>
      <c r="F260" s="28" t="n">
        <v>0</v>
      </c>
      <c r="G260" s="28" t="n">
        <f aca="false">E260-F260</f>
        <v>26602533.71</v>
      </c>
      <c r="H260" s="23" t="n">
        <v>46230</v>
      </c>
      <c r="I260" s="22" t="s">
        <v>1566</v>
      </c>
      <c r="J260" s="22" t="s">
        <v>447</v>
      </c>
      <c r="K260" s="22" t="s">
        <v>1575</v>
      </c>
      <c r="L260" s="22" t="s">
        <v>2037</v>
      </c>
      <c r="M260" s="22" t="s">
        <v>1577</v>
      </c>
      <c r="N260" s="29" t="s">
        <v>135</v>
      </c>
      <c r="O260" s="22" t="s">
        <v>1468</v>
      </c>
      <c r="P260" s="22" t="s">
        <v>1570</v>
      </c>
    </row>
    <row r="261" customFormat="false" ht="15" hidden="false" customHeight="false" outlineLevel="0" collapsed="false">
      <c r="A261" s="22" t="n">
        <v>258</v>
      </c>
      <c r="B261" s="22" t="s">
        <v>276</v>
      </c>
      <c r="C261" s="22" t="s">
        <v>1546</v>
      </c>
      <c r="D261" s="22" t="s">
        <v>523</v>
      </c>
      <c r="E261" s="28" t="n">
        <v>26602533.7</v>
      </c>
      <c r="F261" s="28" t="n">
        <v>0</v>
      </c>
      <c r="G261" s="28" t="n">
        <f aca="false">E261-F261</f>
        <v>26602533.7</v>
      </c>
      <c r="H261" s="23" t="n">
        <v>46230</v>
      </c>
      <c r="I261" s="22" t="s">
        <v>1566</v>
      </c>
      <c r="J261" s="22" t="s">
        <v>444</v>
      </c>
      <c r="K261" s="22" t="s">
        <v>1575</v>
      </c>
      <c r="L261" s="22" t="s">
        <v>2038</v>
      </c>
      <c r="M261" s="22" t="s">
        <v>1577</v>
      </c>
      <c r="N261" s="29" t="s">
        <v>136</v>
      </c>
      <c r="O261" s="22" t="s">
        <v>1468</v>
      </c>
      <c r="P261" s="22" t="s">
        <v>1570</v>
      </c>
    </row>
    <row r="262" customFormat="false" ht="15" hidden="false" customHeight="false" outlineLevel="0" collapsed="false">
      <c r="A262" s="22" t="n">
        <v>259</v>
      </c>
      <c r="B262" s="22" t="s">
        <v>276</v>
      </c>
      <c r="C262" s="22" t="s">
        <v>1546</v>
      </c>
      <c r="D262" s="22" t="s">
        <v>523</v>
      </c>
      <c r="E262" s="28" t="n">
        <v>21538319.02</v>
      </c>
      <c r="F262" s="28" t="n">
        <v>0</v>
      </c>
      <c r="G262" s="28" t="n">
        <f aca="false">E262-F262</f>
        <v>21538319.02</v>
      </c>
      <c r="H262" s="23" t="n">
        <v>46231</v>
      </c>
      <c r="I262" s="22" t="s">
        <v>1566</v>
      </c>
      <c r="J262" s="22" t="s">
        <v>454</v>
      </c>
      <c r="K262" s="22" t="s">
        <v>1575</v>
      </c>
      <c r="L262" s="22" t="s">
        <v>2039</v>
      </c>
      <c r="M262" s="22" t="s">
        <v>1577</v>
      </c>
      <c r="N262" s="29" t="s">
        <v>133</v>
      </c>
      <c r="O262" s="22" t="s">
        <v>1468</v>
      </c>
      <c r="P262" s="22" t="s">
        <v>1570</v>
      </c>
    </row>
    <row r="263" customFormat="false" ht="15" hidden="false" customHeight="false" outlineLevel="0" collapsed="false">
      <c r="A263" s="22" t="n">
        <v>260</v>
      </c>
      <c r="B263" s="22" t="s">
        <v>276</v>
      </c>
      <c r="C263" s="22" t="s">
        <v>1546</v>
      </c>
      <c r="D263" s="22" t="s">
        <v>523</v>
      </c>
      <c r="E263" s="28" t="n">
        <v>21538319.01</v>
      </c>
      <c r="F263" s="28" t="n">
        <v>0</v>
      </c>
      <c r="G263" s="28" t="n">
        <f aca="false">E263-F263</f>
        <v>21538319.01</v>
      </c>
      <c r="H263" s="23" t="n">
        <v>46231</v>
      </c>
      <c r="I263" s="22" t="s">
        <v>1566</v>
      </c>
      <c r="J263" s="22" t="s">
        <v>450</v>
      </c>
      <c r="K263" s="22" t="s">
        <v>1575</v>
      </c>
      <c r="L263" s="22" t="s">
        <v>2040</v>
      </c>
      <c r="M263" s="22" t="s">
        <v>1577</v>
      </c>
      <c r="N263" s="29" t="s">
        <v>134</v>
      </c>
      <c r="O263" s="22" t="s">
        <v>1468</v>
      </c>
      <c r="P263" s="22" t="s">
        <v>1570</v>
      </c>
    </row>
    <row r="264" customFormat="false" ht="15" hidden="false" customHeight="false" outlineLevel="0" collapsed="false">
      <c r="A264" s="22" t="n">
        <v>261</v>
      </c>
      <c r="B264" s="22" t="s">
        <v>276</v>
      </c>
      <c r="C264" s="22" t="s">
        <v>1546</v>
      </c>
      <c r="D264" s="22" t="s">
        <v>523</v>
      </c>
      <c r="E264" s="28" t="n">
        <v>62866117.12</v>
      </c>
      <c r="F264" s="28" t="n">
        <v>0</v>
      </c>
      <c r="G264" s="28" t="n">
        <f aca="false">E264-F264</f>
        <v>62866117.12</v>
      </c>
      <c r="H264" s="23" t="n">
        <v>46231</v>
      </c>
      <c r="I264" s="22" t="s">
        <v>1566</v>
      </c>
      <c r="J264" s="22" t="s">
        <v>440</v>
      </c>
      <c r="K264" s="22" t="s">
        <v>1575</v>
      </c>
      <c r="L264" s="22" t="s">
        <v>2041</v>
      </c>
      <c r="M264" s="22" t="s">
        <v>1577</v>
      </c>
      <c r="N264" s="29" t="s">
        <v>138</v>
      </c>
      <c r="O264" s="22" t="s">
        <v>1468</v>
      </c>
      <c r="P264" s="22" t="s">
        <v>1570</v>
      </c>
    </row>
    <row r="265" customFormat="false" ht="15" hidden="false" customHeight="false" outlineLevel="0" collapsed="false">
      <c r="A265" s="22" t="n">
        <v>262</v>
      </c>
      <c r="B265" s="22" t="s">
        <v>276</v>
      </c>
      <c r="C265" s="22" t="s">
        <v>1546</v>
      </c>
      <c r="D265" s="22" t="s">
        <v>523</v>
      </c>
      <c r="E265" s="28" t="n">
        <v>21542838.16</v>
      </c>
      <c r="F265" s="28" t="n">
        <v>0</v>
      </c>
      <c r="G265" s="28" t="n">
        <f aca="false">E265-F265</f>
        <v>21542838.16</v>
      </c>
      <c r="H265" s="23" t="n">
        <v>46231</v>
      </c>
      <c r="I265" s="22" t="s">
        <v>1566</v>
      </c>
      <c r="J265" s="22" t="s">
        <v>457</v>
      </c>
      <c r="K265" s="22" t="s">
        <v>1575</v>
      </c>
      <c r="L265" s="22" t="s">
        <v>2042</v>
      </c>
      <c r="M265" s="22" t="s">
        <v>1577</v>
      </c>
      <c r="N265" s="29" t="s">
        <v>137</v>
      </c>
      <c r="O265" s="22" t="s">
        <v>1468</v>
      </c>
      <c r="P265" s="22" t="s">
        <v>1570</v>
      </c>
    </row>
    <row r="266" customFormat="false" ht="15" hidden="false" customHeight="false" outlineLevel="0" collapsed="false">
      <c r="A266" s="22" t="n">
        <v>263</v>
      </c>
      <c r="B266" s="22" t="s">
        <v>276</v>
      </c>
      <c r="C266" s="22" t="s">
        <v>1546</v>
      </c>
      <c r="D266" s="22" t="s">
        <v>386</v>
      </c>
      <c r="E266" s="28" t="n">
        <v>14586381</v>
      </c>
      <c r="F266" s="28" t="n">
        <v>0</v>
      </c>
      <c r="G266" s="28" t="n">
        <f aca="false">E266-F266</f>
        <v>14586381</v>
      </c>
      <c r="H266" s="23" t="n">
        <v>46041</v>
      </c>
      <c r="I266" s="22" t="s">
        <v>1598</v>
      </c>
      <c r="J266" s="22" t="s">
        <v>2043</v>
      </c>
      <c r="K266" s="22" t="s">
        <v>1575</v>
      </c>
      <c r="L266" s="22" t="s">
        <v>2044</v>
      </c>
      <c r="M266" s="22" t="s">
        <v>1577</v>
      </c>
      <c r="N266" s="29" t="s">
        <v>147</v>
      </c>
      <c r="O266" s="22" t="s">
        <v>1468</v>
      </c>
      <c r="P266" s="22" t="s">
        <v>1570</v>
      </c>
    </row>
    <row r="267" customFormat="false" ht="15" hidden="false" customHeight="false" outlineLevel="0" collapsed="false">
      <c r="A267" s="22" t="n">
        <v>264</v>
      </c>
      <c r="B267" s="22" t="s">
        <v>276</v>
      </c>
      <c r="C267" s="22" t="s">
        <v>1546</v>
      </c>
      <c r="D267" s="22" t="s">
        <v>386</v>
      </c>
      <c r="E267" s="28" t="n">
        <v>8838594</v>
      </c>
      <c r="F267" s="28" t="n">
        <v>0</v>
      </c>
      <c r="G267" s="28" t="n">
        <f aca="false">E267-F267</f>
        <v>8838594</v>
      </c>
      <c r="H267" s="23" t="n">
        <v>46041</v>
      </c>
      <c r="I267" s="22" t="s">
        <v>1598</v>
      </c>
      <c r="J267" s="22" t="s">
        <v>2045</v>
      </c>
      <c r="K267" s="22" t="s">
        <v>1575</v>
      </c>
      <c r="L267" s="22" t="s">
        <v>2046</v>
      </c>
      <c r="M267" s="22" t="s">
        <v>1577</v>
      </c>
      <c r="N267" s="29" t="s">
        <v>146</v>
      </c>
      <c r="O267" s="22" t="s">
        <v>1468</v>
      </c>
      <c r="P267" s="22" t="s">
        <v>1570</v>
      </c>
    </row>
    <row r="268" customFormat="false" ht="15" hidden="false" customHeight="false" outlineLevel="0" collapsed="false">
      <c r="A268" s="22" t="n">
        <v>265</v>
      </c>
      <c r="B268" s="22" t="s">
        <v>276</v>
      </c>
      <c r="C268" s="22" t="s">
        <v>1546</v>
      </c>
      <c r="D268" s="22" t="s">
        <v>386</v>
      </c>
      <c r="E268" s="28" t="n">
        <v>8838594</v>
      </c>
      <c r="F268" s="28" t="n">
        <v>0</v>
      </c>
      <c r="G268" s="28" t="n">
        <f aca="false">E268-F268</f>
        <v>8838594</v>
      </c>
      <c r="H268" s="23" t="n">
        <v>46066</v>
      </c>
      <c r="I268" s="22" t="s">
        <v>1598</v>
      </c>
      <c r="J268" s="22" t="s">
        <v>2047</v>
      </c>
      <c r="K268" s="22" t="s">
        <v>1575</v>
      </c>
      <c r="L268" s="22" t="s">
        <v>2048</v>
      </c>
      <c r="M268" s="22" t="s">
        <v>1577</v>
      </c>
      <c r="N268" s="29" t="s">
        <v>146</v>
      </c>
      <c r="O268" s="22" t="s">
        <v>1468</v>
      </c>
      <c r="P268" s="22" t="s">
        <v>1570</v>
      </c>
    </row>
    <row r="269" customFormat="false" ht="15" hidden="false" customHeight="false" outlineLevel="0" collapsed="false">
      <c r="A269" s="22" t="n">
        <v>266</v>
      </c>
      <c r="B269" s="22" t="s">
        <v>276</v>
      </c>
      <c r="C269" s="22" t="s">
        <v>1546</v>
      </c>
      <c r="D269" s="22" t="s">
        <v>386</v>
      </c>
      <c r="E269" s="28" t="n">
        <v>17114382</v>
      </c>
      <c r="F269" s="28" t="n">
        <v>0</v>
      </c>
      <c r="G269" s="28" t="n">
        <f aca="false">E269-F269</f>
        <v>17114382</v>
      </c>
      <c r="H269" s="23" t="n">
        <v>46066</v>
      </c>
      <c r="I269" s="22" t="s">
        <v>1598</v>
      </c>
      <c r="J269" s="22" t="s">
        <v>2049</v>
      </c>
      <c r="K269" s="22" t="s">
        <v>1575</v>
      </c>
      <c r="L269" s="22" t="s">
        <v>2050</v>
      </c>
      <c r="M269" s="22" t="s">
        <v>1577</v>
      </c>
      <c r="N269" s="29" t="s">
        <v>147</v>
      </c>
      <c r="O269" s="22" t="s">
        <v>1468</v>
      </c>
      <c r="P269" s="22" t="s">
        <v>1570</v>
      </c>
    </row>
    <row r="270" customFormat="false" ht="15" hidden="false" customHeight="false" outlineLevel="0" collapsed="false">
      <c r="A270" s="22" t="n">
        <v>267</v>
      </c>
      <c r="B270" s="22" t="s">
        <v>276</v>
      </c>
      <c r="C270" s="22" t="s">
        <v>1546</v>
      </c>
      <c r="D270" s="22" t="s">
        <v>386</v>
      </c>
      <c r="E270" s="28" t="n">
        <v>17114382</v>
      </c>
      <c r="F270" s="28" t="n">
        <v>0</v>
      </c>
      <c r="G270" s="28" t="n">
        <f aca="false">E270-F270</f>
        <v>17114382</v>
      </c>
      <c r="H270" s="23" t="n">
        <v>46094</v>
      </c>
      <c r="I270" s="22" t="s">
        <v>1598</v>
      </c>
      <c r="J270" s="22" t="s">
        <v>2051</v>
      </c>
      <c r="K270" s="22" t="s">
        <v>1575</v>
      </c>
      <c r="L270" s="22" t="s">
        <v>2052</v>
      </c>
      <c r="M270" s="22" t="s">
        <v>1577</v>
      </c>
      <c r="N270" s="29" t="s">
        <v>147</v>
      </c>
      <c r="O270" s="22" t="s">
        <v>1468</v>
      </c>
      <c r="P270" s="22" t="s">
        <v>1570</v>
      </c>
    </row>
    <row r="271" customFormat="false" ht="15" hidden="false" customHeight="false" outlineLevel="0" collapsed="false">
      <c r="A271" s="22" t="n">
        <v>268</v>
      </c>
      <c r="B271" s="22" t="s">
        <v>276</v>
      </c>
      <c r="C271" s="22" t="s">
        <v>1546</v>
      </c>
      <c r="D271" s="22" t="s">
        <v>386</v>
      </c>
      <c r="E271" s="28" t="n">
        <v>8838594</v>
      </c>
      <c r="F271" s="28" t="n">
        <v>0</v>
      </c>
      <c r="G271" s="28" t="n">
        <f aca="false">E271-F271</f>
        <v>8838594</v>
      </c>
      <c r="H271" s="23" t="n">
        <v>46094</v>
      </c>
      <c r="I271" s="22" t="s">
        <v>1598</v>
      </c>
      <c r="J271" s="22" t="s">
        <v>2053</v>
      </c>
      <c r="K271" s="22" t="s">
        <v>1575</v>
      </c>
      <c r="L271" s="22" t="s">
        <v>2054</v>
      </c>
      <c r="M271" s="22" t="s">
        <v>1577</v>
      </c>
      <c r="N271" s="29" t="s">
        <v>146</v>
      </c>
      <c r="O271" s="22" t="s">
        <v>1468</v>
      </c>
      <c r="P271" s="22" t="s">
        <v>1570</v>
      </c>
    </row>
    <row r="272" customFormat="false" ht="15" hidden="false" customHeight="false" outlineLevel="0" collapsed="false">
      <c r="A272" s="22" t="n">
        <v>269</v>
      </c>
      <c r="B272" s="22" t="s">
        <v>276</v>
      </c>
      <c r="C272" s="22" t="s">
        <v>1546</v>
      </c>
      <c r="D272" s="22" t="s">
        <v>386</v>
      </c>
      <c r="E272" s="28" t="n">
        <v>23220856</v>
      </c>
      <c r="F272" s="28" t="n">
        <v>0</v>
      </c>
      <c r="G272" s="28" t="n">
        <f aca="false">E272-F272</f>
        <v>23220856</v>
      </c>
      <c r="H272" s="23" t="n">
        <v>46100</v>
      </c>
      <c r="I272" s="22" t="s">
        <v>1598</v>
      </c>
      <c r="J272" s="22" t="s">
        <v>2055</v>
      </c>
      <c r="K272" s="22" t="s">
        <v>1575</v>
      </c>
      <c r="L272" s="22" t="s">
        <v>2056</v>
      </c>
      <c r="M272" s="22" t="s">
        <v>1577</v>
      </c>
      <c r="N272" s="29" t="s">
        <v>145</v>
      </c>
      <c r="O272" s="22" t="s">
        <v>1468</v>
      </c>
      <c r="P272" s="22" t="s">
        <v>1570</v>
      </c>
    </row>
    <row r="273" customFormat="false" ht="15" hidden="false" customHeight="false" outlineLevel="0" collapsed="false">
      <c r="A273" s="22" t="n">
        <v>270</v>
      </c>
      <c r="B273" s="22" t="s">
        <v>276</v>
      </c>
      <c r="C273" s="22" t="s">
        <v>1546</v>
      </c>
      <c r="D273" s="22" t="s">
        <v>386</v>
      </c>
      <c r="E273" s="28" t="n">
        <v>17114382</v>
      </c>
      <c r="F273" s="28" t="n">
        <v>0</v>
      </c>
      <c r="G273" s="28" t="n">
        <f aca="false">E273-F273</f>
        <v>17114382</v>
      </c>
      <c r="H273" s="23" t="n">
        <v>46127</v>
      </c>
      <c r="I273" s="22" t="s">
        <v>1598</v>
      </c>
      <c r="J273" s="22" t="s">
        <v>2057</v>
      </c>
      <c r="K273" s="22" t="s">
        <v>1575</v>
      </c>
      <c r="L273" s="22" t="s">
        <v>2058</v>
      </c>
      <c r="M273" s="22" t="s">
        <v>1577</v>
      </c>
      <c r="N273" s="29" t="s">
        <v>147</v>
      </c>
      <c r="O273" s="22" t="s">
        <v>1468</v>
      </c>
      <c r="P273" s="22" t="s">
        <v>1570</v>
      </c>
    </row>
    <row r="274" customFormat="false" ht="15" hidden="false" customHeight="false" outlineLevel="0" collapsed="false">
      <c r="A274" s="22" t="n">
        <v>271</v>
      </c>
      <c r="B274" s="22" t="s">
        <v>276</v>
      </c>
      <c r="C274" s="22" t="s">
        <v>1546</v>
      </c>
      <c r="D274" s="22" t="s">
        <v>386</v>
      </c>
      <c r="E274" s="28" t="n">
        <v>8838594</v>
      </c>
      <c r="F274" s="28" t="n">
        <v>0</v>
      </c>
      <c r="G274" s="28" t="n">
        <f aca="false">E274-F274</f>
        <v>8838594</v>
      </c>
      <c r="H274" s="23" t="n">
        <v>46132</v>
      </c>
      <c r="I274" s="22" t="s">
        <v>1598</v>
      </c>
      <c r="J274" s="22" t="s">
        <v>2059</v>
      </c>
      <c r="K274" s="22" t="s">
        <v>1575</v>
      </c>
      <c r="L274" s="22" t="s">
        <v>2060</v>
      </c>
      <c r="M274" s="22" t="s">
        <v>1577</v>
      </c>
      <c r="N274" s="29" t="s">
        <v>146</v>
      </c>
      <c r="O274" s="22" t="s">
        <v>1468</v>
      </c>
      <c r="P274" s="22" t="s">
        <v>1570</v>
      </c>
    </row>
    <row r="275" customFormat="false" ht="15" hidden="false" customHeight="false" outlineLevel="0" collapsed="false">
      <c r="A275" s="22" t="n">
        <v>272</v>
      </c>
      <c r="B275" s="22" t="s">
        <v>276</v>
      </c>
      <c r="C275" s="22" t="s">
        <v>1546</v>
      </c>
      <c r="D275" s="22" t="s">
        <v>386</v>
      </c>
      <c r="E275" s="28" t="n">
        <v>8838594</v>
      </c>
      <c r="F275" s="28" t="n">
        <v>0</v>
      </c>
      <c r="G275" s="28" t="n">
        <f aca="false">E275-F275</f>
        <v>8838594</v>
      </c>
      <c r="H275" s="23" t="n">
        <v>46157</v>
      </c>
      <c r="I275" s="22" t="s">
        <v>1598</v>
      </c>
      <c r="J275" s="22" t="s">
        <v>2061</v>
      </c>
      <c r="K275" s="22" t="s">
        <v>1575</v>
      </c>
      <c r="L275" s="22" t="s">
        <v>2062</v>
      </c>
      <c r="M275" s="22" t="s">
        <v>1577</v>
      </c>
      <c r="N275" s="29" t="s">
        <v>146</v>
      </c>
      <c r="O275" s="22" t="s">
        <v>1468</v>
      </c>
      <c r="P275" s="22" t="s">
        <v>1570</v>
      </c>
    </row>
    <row r="276" customFormat="false" ht="15" hidden="false" customHeight="false" outlineLevel="0" collapsed="false">
      <c r="A276" s="22" t="n">
        <v>273</v>
      </c>
      <c r="B276" s="22" t="s">
        <v>276</v>
      </c>
      <c r="C276" s="22" t="s">
        <v>1546</v>
      </c>
      <c r="D276" s="22" t="s">
        <v>386</v>
      </c>
      <c r="E276" s="28" t="n">
        <v>17114382</v>
      </c>
      <c r="F276" s="28" t="n">
        <v>0</v>
      </c>
      <c r="G276" s="28" t="n">
        <f aca="false">E276-F276</f>
        <v>17114382</v>
      </c>
      <c r="H276" s="23" t="n">
        <v>46157</v>
      </c>
      <c r="I276" s="22" t="s">
        <v>1598</v>
      </c>
      <c r="J276" s="22" t="s">
        <v>2063</v>
      </c>
      <c r="K276" s="22" t="s">
        <v>1575</v>
      </c>
      <c r="L276" s="22" t="s">
        <v>2064</v>
      </c>
      <c r="M276" s="22" t="s">
        <v>1577</v>
      </c>
      <c r="N276" s="29" t="s">
        <v>147</v>
      </c>
      <c r="O276" s="22" t="s">
        <v>1468</v>
      </c>
      <c r="P276" s="22" t="s">
        <v>1570</v>
      </c>
    </row>
    <row r="277" customFormat="false" ht="15" hidden="false" customHeight="false" outlineLevel="0" collapsed="false">
      <c r="A277" s="22" t="n">
        <v>274</v>
      </c>
      <c r="B277" s="22" t="s">
        <v>276</v>
      </c>
      <c r="C277" s="22" t="s">
        <v>1546</v>
      </c>
      <c r="D277" s="22" t="s">
        <v>386</v>
      </c>
      <c r="E277" s="28" t="n">
        <v>8838594</v>
      </c>
      <c r="F277" s="28" t="n">
        <v>0</v>
      </c>
      <c r="G277" s="28" t="n">
        <f aca="false">E277-F277</f>
        <v>8838594</v>
      </c>
      <c r="H277" s="23" t="n">
        <v>46203</v>
      </c>
      <c r="I277" s="22" t="s">
        <v>1598</v>
      </c>
      <c r="J277" s="22" t="s">
        <v>2065</v>
      </c>
      <c r="K277" s="22" t="s">
        <v>1575</v>
      </c>
      <c r="L277" s="22" t="s">
        <v>2066</v>
      </c>
      <c r="M277" s="22" t="s">
        <v>1577</v>
      </c>
      <c r="N277" s="29" t="s">
        <v>146</v>
      </c>
      <c r="O277" s="22" t="s">
        <v>1468</v>
      </c>
      <c r="P277" s="22" t="s">
        <v>1570</v>
      </c>
    </row>
    <row r="278" customFormat="false" ht="15" hidden="false" customHeight="false" outlineLevel="0" collapsed="false">
      <c r="A278" s="22" t="n">
        <v>275</v>
      </c>
      <c r="B278" s="22" t="s">
        <v>276</v>
      </c>
      <c r="C278" s="22" t="s">
        <v>1546</v>
      </c>
      <c r="D278" s="22" t="s">
        <v>386</v>
      </c>
      <c r="E278" s="28" t="n">
        <v>23832145</v>
      </c>
      <c r="F278" s="28" t="n">
        <v>0</v>
      </c>
      <c r="G278" s="28" t="n">
        <f aca="false">E278-F278</f>
        <v>23832145</v>
      </c>
      <c r="H278" s="23" t="n">
        <v>46203</v>
      </c>
      <c r="I278" s="22" t="s">
        <v>1598</v>
      </c>
      <c r="J278" s="22" t="s">
        <v>2067</v>
      </c>
      <c r="K278" s="22" t="s">
        <v>1575</v>
      </c>
      <c r="L278" s="22" t="s">
        <v>2068</v>
      </c>
      <c r="M278" s="22" t="s">
        <v>1577</v>
      </c>
      <c r="N278" s="29" t="s">
        <v>145</v>
      </c>
      <c r="O278" s="22" t="s">
        <v>1468</v>
      </c>
      <c r="P278" s="22" t="s">
        <v>1570</v>
      </c>
    </row>
    <row r="279" customFormat="false" ht="15" hidden="false" customHeight="false" outlineLevel="0" collapsed="false">
      <c r="A279" s="22" t="n">
        <v>276</v>
      </c>
      <c r="B279" s="22" t="s">
        <v>276</v>
      </c>
      <c r="C279" s="22" t="s">
        <v>1546</v>
      </c>
      <c r="D279" s="22" t="s">
        <v>386</v>
      </c>
      <c r="E279" s="28" t="n">
        <v>17114382</v>
      </c>
      <c r="F279" s="28" t="n">
        <v>0</v>
      </c>
      <c r="G279" s="28" t="n">
        <f aca="false">E279-F279</f>
        <v>17114382</v>
      </c>
      <c r="H279" s="23" t="n">
        <v>46203</v>
      </c>
      <c r="I279" s="22" t="s">
        <v>1598</v>
      </c>
      <c r="J279" s="22" t="s">
        <v>2069</v>
      </c>
      <c r="K279" s="22" t="s">
        <v>1575</v>
      </c>
      <c r="L279" s="22" t="s">
        <v>2070</v>
      </c>
      <c r="M279" s="22" t="s">
        <v>1577</v>
      </c>
      <c r="N279" s="29" t="s">
        <v>147</v>
      </c>
      <c r="O279" s="22" t="s">
        <v>1468</v>
      </c>
      <c r="P279" s="22" t="s">
        <v>1570</v>
      </c>
    </row>
    <row r="280" customFormat="false" ht="15" hidden="false" customHeight="false" outlineLevel="0" collapsed="false">
      <c r="A280" s="22" t="n">
        <v>277</v>
      </c>
      <c r="B280" s="22" t="s">
        <v>276</v>
      </c>
      <c r="C280" s="22" t="s">
        <v>1546</v>
      </c>
      <c r="D280" s="22" t="s">
        <v>386</v>
      </c>
      <c r="E280" s="28" t="n">
        <v>17114382</v>
      </c>
      <c r="F280" s="28" t="n">
        <v>0</v>
      </c>
      <c r="G280" s="28" t="n">
        <f aca="false">E280-F280</f>
        <v>17114382</v>
      </c>
      <c r="H280" s="23" t="n">
        <v>46212</v>
      </c>
      <c r="I280" s="22" t="s">
        <v>1598</v>
      </c>
      <c r="J280" s="22" t="s">
        <v>2071</v>
      </c>
      <c r="K280" s="22" t="s">
        <v>1575</v>
      </c>
      <c r="L280" s="22" t="s">
        <v>2072</v>
      </c>
      <c r="M280" s="22" t="s">
        <v>1577</v>
      </c>
      <c r="N280" s="29" t="s">
        <v>147</v>
      </c>
      <c r="O280" s="22" t="s">
        <v>1468</v>
      </c>
      <c r="P280" s="22" t="s">
        <v>1570</v>
      </c>
    </row>
    <row r="281" customFormat="false" ht="15" hidden="false" customHeight="false" outlineLevel="0" collapsed="false">
      <c r="A281" s="22" t="n">
        <v>278</v>
      </c>
      <c r="B281" s="22" t="s">
        <v>276</v>
      </c>
      <c r="C281" s="22" t="s">
        <v>1546</v>
      </c>
      <c r="D281" s="22" t="s">
        <v>386</v>
      </c>
      <c r="E281" s="28" t="n">
        <v>8838594</v>
      </c>
      <c r="F281" s="28" t="n">
        <v>0</v>
      </c>
      <c r="G281" s="28" t="n">
        <f aca="false">E281-F281</f>
        <v>8838594</v>
      </c>
      <c r="H281" s="23" t="n">
        <v>46222</v>
      </c>
      <c r="I281" s="22" t="s">
        <v>1598</v>
      </c>
      <c r="J281" s="22" t="s">
        <v>2073</v>
      </c>
      <c r="K281" s="22" t="s">
        <v>1575</v>
      </c>
      <c r="L281" s="22" t="s">
        <v>2074</v>
      </c>
      <c r="M281" s="22" t="s">
        <v>1577</v>
      </c>
      <c r="N281" s="29" t="s">
        <v>146</v>
      </c>
      <c r="O281" s="22" t="s">
        <v>1468</v>
      </c>
      <c r="P281" s="22" t="s">
        <v>1570</v>
      </c>
    </row>
    <row r="282" customFormat="false" ht="15" hidden="false" customHeight="false" outlineLevel="0" collapsed="false">
      <c r="A282" s="22" t="n">
        <v>279</v>
      </c>
      <c r="B282" s="22" t="s">
        <v>276</v>
      </c>
      <c r="C282" s="22" t="s">
        <v>1546</v>
      </c>
      <c r="D282" s="22" t="s">
        <v>386</v>
      </c>
      <c r="E282" s="28" t="n">
        <v>0</v>
      </c>
      <c r="F282" s="28" t="n">
        <v>103474304</v>
      </c>
      <c r="G282" s="28" t="n">
        <f aca="false">E282-F282</f>
        <v>-103474304</v>
      </c>
      <c r="H282" s="23" t="n">
        <v>46231</v>
      </c>
      <c r="I282" s="22" t="s">
        <v>1598</v>
      </c>
      <c r="J282" s="22" t="s">
        <v>1978</v>
      </c>
      <c r="K282" s="22" t="s">
        <v>1568</v>
      </c>
      <c r="L282" s="22" t="s">
        <v>1979</v>
      </c>
      <c r="M282" s="22" t="s">
        <v>1564</v>
      </c>
      <c r="N282" s="29" t="s">
        <v>148</v>
      </c>
      <c r="O282" s="22" t="s">
        <v>1468</v>
      </c>
      <c r="P282" s="22" t="s">
        <v>1571</v>
      </c>
    </row>
    <row r="283" customFormat="false" ht="15" hidden="false" customHeight="false" outlineLevel="0" collapsed="false">
      <c r="A283" s="22" t="n">
        <v>280</v>
      </c>
      <c r="B283" s="22" t="s">
        <v>277</v>
      </c>
      <c r="C283" s="22" t="s">
        <v>1547</v>
      </c>
      <c r="D283" s="22" t="s">
        <v>1361</v>
      </c>
      <c r="E283" s="28" t="n">
        <v>0</v>
      </c>
      <c r="F283" s="28" t="n">
        <v>37459000</v>
      </c>
      <c r="G283" s="28" t="n">
        <f aca="false">E283-F283</f>
        <v>-37459000</v>
      </c>
      <c r="H283" s="23" t="n">
        <v>46050</v>
      </c>
      <c r="I283" s="22" t="s">
        <v>1660</v>
      </c>
      <c r="J283" s="22" t="s">
        <v>2075</v>
      </c>
      <c r="K283" s="22" t="s">
        <v>1568</v>
      </c>
      <c r="L283" s="22" t="s">
        <v>2076</v>
      </c>
      <c r="M283" s="22" t="s">
        <v>1564</v>
      </c>
      <c r="N283" s="29" t="s">
        <v>142</v>
      </c>
      <c r="O283" s="22" t="s">
        <v>1491</v>
      </c>
      <c r="P283" s="22" t="s">
        <v>2077</v>
      </c>
    </row>
    <row r="284" customFormat="false" ht="15" hidden="false" customHeight="false" outlineLevel="0" collapsed="false">
      <c r="A284" s="22" t="n">
        <v>281</v>
      </c>
      <c r="B284" s="22" t="s">
        <v>277</v>
      </c>
      <c r="C284" s="22" t="s">
        <v>1547</v>
      </c>
      <c r="D284" s="22" t="s">
        <v>1361</v>
      </c>
      <c r="E284" s="28" t="n">
        <v>0</v>
      </c>
      <c r="F284" s="28" t="n">
        <v>41262083</v>
      </c>
      <c r="G284" s="28" t="n">
        <f aca="false">E284-F284</f>
        <v>-41262083</v>
      </c>
      <c r="H284" s="23" t="n">
        <v>46072</v>
      </c>
      <c r="I284" s="22" t="s">
        <v>1660</v>
      </c>
      <c r="J284" s="22" t="s">
        <v>2078</v>
      </c>
      <c r="K284" s="22" t="s">
        <v>1568</v>
      </c>
      <c r="L284" s="22" t="s">
        <v>2079</v>
      </c>
      <c r="M284" s="22" t="s">
        <v>1564</v>
      </c>
      <c r="N284" s="29" t="s">
        <v>142</v>
      </c>
      <c r="O284" s="22" t="s">
        <v>1491</v>
      </c>
      <c r="P284" s="22" t="s">
        <v>2077</v>
      </c>
    </row>
    <row r="285" customFormat="false" ht="15" hidden="false" customHeight="false" outlineLevel="0" collapsed="false">
      <c r="A285" s="22" t="n">
        <v>282</v>
      </c>
      <c r="B285" s="22" t="s">
        <v>277</v>
      </c>
      <c r="C285" s="22" t="s">
        <v>1547</v>
      </c>
      <c r="D285" s="22" t="s">
        <v>1361</v>
      </c>
      <c r="E285" s="28" t="n">
        <v>0</v>
      </c>
      <c r="F285" s="28" t="n">
        <v>38520417</v>
      </c>
      <c r="G285" s="28" t="n">
        <f aca="false">E285-F285</f>
        <v>-38520417</v>
      </c>
      <c r="H285" s="23" t="n">
        <v>46099</v>
      </c>
      <c r="I285" s="22" t="s">
        <v>1660</v>
      </c>
      <c r="J285" s="22" t="s">
        <v>2080</v>
      </c>
      <c r="K285" s="22" t="s">
        <v>1568</v>
      </c>
      <c r="L285" s="22" t="s">
        <v>2081</v>
      </c>
      <c r="M285" s="22" t="s">
        <v>1564</v>
      </c>
      <c r="N285" s="29" t="s">
        <v>142</v>
      </c>
      <c r="O285" s="22" t="s">
        <v>1491</v>
      </c>
      <c r="P285" s="22" t="s">
        <v>2077</v>
      </c>
    </row>
    <row r="286" customFormat="false" ht="15" hidden="false" customHeight="false" outlineLevel="0" collapsed="false">
      <c r="A286" s="22" t="n">
        <v>283</v>
      </c>
      <c r="B286" s="22" t="s">
        <v>277</v>
      </c>
      <c r="C286" s="22" t="s">
        <v>1547</v>
      </c>
      <c r="D286" s="22" t="s">
        <v>1361</v>
      </c>
      <c r="E286" s="28" t="n">
        <v>117241500</v>
      </c>
      <c r="F286" s="28" t="n">
        <v>0</v>
      </c>
      <c r="G286" s="28" t="n">
        <f aca="false">E286-F286</f>
        <v>117241500</v>
      </c>
      <c r="H286" s="23" t="n">
        <v>46108</v>
      </c>
      <c r="I286" s="22" t="s">
        <v>1560</v>
      </c>
      <c r="J286" s="22" t="s">
        <v>2082</v>
      </c>
      <c r="K286" s="22" t="s">
        <v>1614</v>
      </c>
      <c r="L286" s="22" t="s">
        <v>2083</v>
      </c>
      <c r="M286" s="22" t="s">
        <v>1577</v>
      </c>
      <c r="N286" s="29" t="s">
        <v>142</v>
      </c>
      <c r="O286" s="22" t="s">
        <v>1491</v>
      </c>
      <c r="P286" s="22" t="s">
        <v>2084</v>
      </c>
    </row>
    <row r="287" customFormat="false" ht="15" hidden="false" customHeight="false" outlineLevel="0" collapsed="false">
      <c r="A287" s="22" t="n">
        <v>284</v>
      </c>
      <c r="B287" s="22" t="s">
        <v>277</v>
      </c>
      <c r="C287" s="22" t="s">
        <v>1547</v>
      </c>
      <c r="D287" s="22" t="s">
        <v>1361</v>
      </c>
      <c r="E287" s="28" t="n">
        <v>0</v>
      </c>
      <c r="F287" s="28" t="n">
        <v>46894250</v>
      </c>
      <c r="G287" s="28" t="n">
        <f aca="false">E287-F287</f>
        <v>-46894250</v>
      </c>
      <c r="H287" s="23" t="n">
        <v>46134</v>
      </c>
      <c r="I287" s="22" t="s">
        <v>1660</v>
      </c>
      <c r="J287" s="22" t="s">
        <v>2085</v>
      </c>
      <c r="K287" s="22" t="s">
        <v>1568</v>
      </c>
      <c r="L287" s="22" t="s">
        <v>2086</v>
      </c>
      <c r="M287" s="22" t="s">
        <v>1564</v>
      </c>
      <c r="N287" s="29" t="s">
        <v>142</v>
      </c>
      <c r="O287" s="22" t="s">
        <v>1491</v>
      </c>
      <c r="P287" s="22" t="s">
        <v>2077</v>
      </c>
    </row>
    <row r="288" customFormat="false" ht="15" hidden="false" customHeight="false" outlineLevel="0" collapsed="false">
      <c r="A288" s="22" t="n">
        <v>285</v>
      </c>
      <c r="B288" s="22" t="s">
        <v>277</v>
      </c>
      <c r="C288" s="22" t="s">
        <v>1547</v>
      </c>
      <c r="D288" s="22" t="s">
        <v>1361</v>
      </c>
      <c r="E288" s="28" t="n">
        <v>0</v>
      </c>
      <c r="F288" s="28" t="n">
        <v>48554917</v>
      </c>
      <c r="G288" s="28" t="n">
        <f aca="false">E288-F288</f>
        <v>-48554917</v>
      </c>
      <c r="H288" s="23" t="n">
        <v>46162</v>
      </c>
      <c r="I288" s="22" t="s">
        <v>1660</v>
      </c>
      <c r="J288" s="22" t="s">
        <v>2087</v>
      </c>
      <c r="K288" s="22" t="s">
        <v>1568</v>
      </c>
      <c r="L288" s="22" t="s">
        <v>2088</v>
      </c>
      <c r="M288" s="22" t="s">
        <v>1564</v>
      </c>
      <c r="N288" s="29" t="s">
        <v>142</v>
      </c>
      <c r="O288" s="22" t="s">
        <v>1491</v>
      </c>
      <c r="P288" s="22" t="s">
        <v>2077</v>
      </c>
    </row>
    <row r="289" customFormat="false" ht="15" hidden="false" customHeight="false" outlineLevel="0" collapsed="false">
      <c r="A289" s="22" t="n">
        <v>286</v>
      </c>
      <c r="B289" s="22" t="s">
        <v>277</v>
      </c>
      <c r="C289" s="22" t="s">
        <v>1547</v>
      </c>
      <c r="D289" s="22" t="s">
        <v>1361</v>
      </c>
      <c r="E289" s="28" t="n">
        <v>141154577.78</v>
      </c>
      <c r="F289" s="28" t="n">
        <v>0</v>
      </c>
      <c r="G289" s="28" t="n">
        <f aca="false">E289-F289</f>
        <v>141154577.78</v>
      </c>
      <c r="H289" s="23" t="n">
        <v>46203</v>
      </c>
      <c r="I289" s="22" t="s">
        <v>1560</v>
      </c>
      <c r="J289" s="22" t="s">
        <v>2089</v>
      </c>
      <c r="K289" s="22" t="s">
        <v>1614</v>
      </c>
      <c r="L289" s="22" t="s">
        <v>2090</v>
      </c>
      <c r="M289" s="22" t="s">
        <v>1577</v>
      </c>
      <c r="N289" s="29" t="s">
        <v>142</v>
      </c>
      <c r="O289" s="22" t="s">
        <v>1491</v>
      </c>
      <c r="P289" s="22" t="s">
        <v>2084</v>
      </c>
    </row>
    <row r="290" customFormat="false" ht="15" hidden="false" customHeight="false" outlineLevel="0" collapsed="false">
      <c r="A290" s="22" t="n">
        <v>287</v>
      </c>
      <c r="B290" s="22" t="s">
        <v>277</v>
      </c>
      <c r="C290" s="22" t="s">
        <v>1547</v>
      </c>
      <c r="D290" s="22" t="s">
        <v>1361</v>
      </c>
      <c r="E290" s="28" t="n">
        <v>0.22</v>
      </c>
      <c r="F290" s="28" t="n">
        <v>0</v>
      </c>
      <c r="G290" s="28" t="n">
        <f aca="false">E290-F290</f>
        <v>0.22</v>
      </c>
      <c r="H290" s="23" t="n">
        <v>46203</v>
      </c>
      <c r="I290" s="22" t="s">
        <v>1560</v>
      </c>
      <c r="J290" s="22" t="s">
        <v>2091</v>
      </c>
      <c r="K290" s="22" t="s">
        <v>1614</v>
      </c>
      <c r="L290" s="22" t="s">
        <v>2092</v>
      </c>
      <c r="M290" s="22" t="s">
        <v>1629</v>
      </c>
      <c r="N290" s="29" t="s">
        <v>2093</v>
      </c>
      <c r="O290" s="22" t="s">
        <v>1491</v>
      </c>
      <c r="P290" s="22" t="s">
        <v>2094</v>
      </c>
    </row>
    <row r="291" customFormat="false" ht="15" hidden="false" customHeight="false" outlineLevel="0" collapsed="false">
      <c r="A291" s="22" t="n">
        <v>288</v>
      </c>
      <c r="B291" s="22" t="s">
        <v>277</v>
      </c>
      <c r="C291" s="22" t="s">
        <v>1547</v>
      </c>
      <c r="D291" s="22" t="s">
        <v>1361</v>
      </c>
      <c r="E291" s="28" t="n">
        <v>0</v>
      </c>
      <c r="F291" s="28" t="n">
        <v>45705411</v>
      </c>
      <c r="G291" s="28" t="n">
        <f aca="false">E291-F291</f>
        <v>-45705411</v>
      </c>
      <c r="H291" s="23" t="n">
        <v>46203</v>
      </c>
      <c r="I291" s="22" t="s">
        <v>1660</v>
      </c>
      <c r="J291" s="22" t="s">
        <v>2095</v>
      </c>
      <c r="K291" s="22" t="s">
        <v>1568</v>
      </c>
      <c r="L291" s="22" t="s">
        <v>2096</v>
      </c>
      <c r="M291" s="22" t="s">
        <v>1564</v>
      </c>
      <c r="N291" s="29" t="s">
        <v>142</v>
      </c>
      <c r="O291" s="22" t="s">
        <v>1491</v>
      </c>
      <c r="P291" s="22" t="s">
        <v>2077</v>
      </c>
    </row>
    <row r="292" customFormat="false" ht="15" hidden="false" customHeight="false" outlineLevel="0" collapsed="false">
      <c r="A292" s="22" t="n">
        <v>289</v>
      </c>
      <c r="B292" s="22" t="s">
        <v>277</v>
      </c>
      <c r="C292" s="22" t="s">
        <v>1547</v>
      </c>
      <c r="D292" s="22" t="s">
        <v>1358</v>
      </c>
      <c r="E292" s="28" t="n">
        <v>0</v>
      </c>
      <c r="F292" s="28" t="n">
        <v>82268750</v>
      </c>
      <c r="G292" s="28" t="n">
        <f aca="false">E292-F292</f>
        <v>-82268750</v>
      </c>
      <c r="H292" s="23" t="n">
        <v>46050</v>
      </c>
      <c r="I292" s="22" t="s">
        <v>1660</v>
      </c>
      <c r="J292" s="22" t="s">
        <v>2075</v>
      </c>
      <c r="K292" s="22" t="s">
        <v>1568</v>
      </c>
      <c r="L292" s="22" t="s">
        <v>2097</v>
      </c>
      <c r="M292" s="22" t="s">
        <v>1564</v>
      </c>
      <c r="N292" s="29" t="s">
        <v>121</v>
      </c>
      <c r="O292" s="22" t="s">
        <v>1491</v>
      </c>
      <c r="P292" s="22" t="s">
        <v>2077</v>
      </c>
    </row>
    <row r="293" customFormat="false" ht="15" hidden="false" customHeight="false" outlineLevel="0" collapsed="false">
      <c r="A293" s="22" t="n">
        <v>290</v>
      </c>
      <c r="B293" s="22" t="s">
        <v>277</v>
      </c>
      <c r="C293" s="22" t="s">
        <v>1547</v>
      </c>
      <c r="D293" s="22" t="s">
        <v>1358</v>
      </c>
      <c r="E293" s="28" t="n">
        <v>0</v>
      </c>
      <c r="F293" s="28" t="n">
        <v>37346400</v>
      </c>
      <c r="G293" s="28" t="n">
        <f aca="false">E293-F293</f>
        <v>-37346400</v>
      </c>
      <c r="H293" s="23" t="n">
        <v>46050</v>
      </c>
      <c r="I293" s="22" t="s">
        <v>1660</v>
      </c>
      <c r="J293" s="22" t="s">
        <v>2075</v>
      </c>
      <c r="K293" s="22" t="s">
        <v>1568</v>
      </c>
      <c r="L293" s="22" t="s">
        <v>2098</v>
      </c>
      <c r="M293" s="22" t="s">
        <v>1564</v>
      </c>
      <c r="N293" s="29" t="s">
        <v>122</v>
      </c>
      <c r="O293" s="22" t="s">
        <v>1491</v>
      </c>
      <c r="P293" s="22" t="s">
        <v>2077</v>
      </c>
    </row>
    <row r="294" customFormat="false" ht="15" hidden="false" customHeight="false" outlineLevel="0" collapsed="false">
      <c r="A294" s="22" t="n">
        <v>291</v>
      </c>
      <c r="B294" s="22" t="s">
        <v>277</v>
      </c>
      <c r="C294" s="22" t="s">
        <v>1547</v>
      </c>
      <c r="D294" s="22" t="s">
        <v>1358</v>
      </c>
      <c r="E294" s="28" t="n">
        <v>0</v>
      </c>
      <c r="F294" s="28" t="n">
        <v>19576667</v>
      </c>
      <c r="G294" s="28" t="n">
        <f aca="false">E294-F294</f>
        <v>-19576667</v>
      </c>
      <c r="H294" s="23" t="n">
        <v>46050</v>
      </c>
      <c r="I294" s="22" t="s">
        <v>1660</v>
      </c>
      <c r="J294" s="22" t="s">
        <v>2075</v>
      </c>
      <c r="K294" s="22" t="s">
        <v>1568</v>
      </c>
      <c r="L294" s="22" t="s">
        <v>2099</v>
      </c>
      <c r="M294" s="22" t="s">
        <v>1564</v>
      </c>
      <c r="N294" s="29" t="s">
        <v>119</v>
      </c>
      <c r="O294" s="22" t="s">
        <v>1491</v>
      </c>
      <c r="P294" s="22" t="s">
        <v>2077</v>
      </c>
    </row>
    <row r="295" customFormat="false" ht="15" hidden="false" customHeight="false" outlineLevel="0" collapsed="false">
      <c r="A295" s="22" t="n">
        <v>292</v>
      </c>
      <c r="B295" s="22" t="s">
        <v>277</v>
      </c>
      <c r="C295" s="22" t="s">
        <v>1547</v>
      </c>
      <c r="D295" s="22" t="s">
        <v>1358</v>
      </c>
      <c r="E295" s="28" t="n">
        <v>0</v>
      </c>
      <c r="F295" s="28" t="n">
        <v>28293000</v>
      </c>
      <c r="G295" s="28" t="n">
        <f aca="false">E295-F295</f>
        <v>-28293000</v>
      </c>
      <c r="H295" s="23" t="n">
        <v>46050</v>
      </c>
      <c r="I295" s="22" t="s">
        <v>1660</v>
      </c>
      <c r="J295" s="22" t="s">
        <v>2075</v>
      </c>
      <c r="K295" s="22" t="s">
        <v>1568</v>
      </c>
      <c r="L295" s="22" t="s">
        <v>2100</v>
      </c>
      <c r="M295" s="22" t="s">
        <v>1564</v>
      </c>
      <c r="N295" s="29" t="s">
        <v>120</v>
      </c>
      <c r="O295" s="22" t="s">
        <v>1491</v>
      </c>
      <c r="P295" s="22" t="s">
        <v>2077</v>
      </c>
    </row>
    <row r="296" customFormat="false" ht="15" hidden="false" customHeight="false" outlineLevel="0" collapsed="false">
      <c r="A296" s="22" t="n">
        <v>293</v>
      </c>
      <c r="B296" s="22" t="s">
        <v>277</v>
      </c>
      <c r="C296" s="22" t="s">
        <v>1547</v>
      </c>
      <c r="D296" s="22" t="s">
        <v>1358</v>
      </c>
      <c r="E296" s="28" t="n">
        <v>243933000</v>
      </c>
      <c r="F296" s="28" t="n">
        <v>0</v>
      </c>
      <c r="G296" s="28" t="n">
        <f aca="false">E296-F296</f>
        <v>243933000</v>
      </c>
      <c r="H296" s="23" t="n">
        <v>46051</v>
      </c>
      <c r="I296" s="22" t="s">
        <v>1992</v>
      </c>
      <c r="J296" s="22" t="s">
        <v>403</v>
      </c>
      <c r="K296" s="22" t="s">
        <v>1614</v>
      </c>
      <c r="L296" s="22" t="s">
        <v>2101</v>
      </c>
      <c r="M296" s="22" t="s">
        <v>1577</v>
      </c>
      <c r="N296" s="29" t="s">
        <v>122</v>
      </c>
      <c r="O296" s="22" t="s">
        <v>1491</v>
      </c>
      <c r="P296" s="22" t="s">
        <v>2084</v>
      </c>
    </row>
    <row r="297" customFormat="false" ht="15" hidden="false" customHeight="false" outlineLevel="0" collapsed="false">
      <c r="A297" s="22" t="n">
        <v>294</v>
      </c>
      <c r="B297" s="22" t="s">
        <v>277</v>
      </c>
      <c r="C297" s="22" t="s">
        <v>1547</v>
      </c>
      <c r="D297" s="22" t="s">
        <v>1358</v>
      </c>
      <c r="E297" s="28" t="n">
        <v>184798000</v>
      </c>
      <c r="F297" s="28" t="n">
        <v>0</v>
      </c>
      <c r="G297" s="28" t="n">
        <f aca="false">E297-F297</f>
        <v>184798000</v>
      </c>
      <c r="H297" s="23" t="n">
        <v>46051</v>
      </c>
      <c r="I297" s="22" t="s">
        <v>1992</v>
      </c>
      <c r="J297" s="22" t="s">
        <v>406</v>
      </c>
      <c r="K297" s="22" t="s">
        <v>1614</v>
      </c>
      <c r="L297" s="22" t="s">
        <v>2102</v>
      </c>
      <c r="M297" s="22" t="s">
        <v>1577</v>
      </c>
      <c r="N297" s="29" t="s">
        <v>120</v>
      </c>
      <c r="O297" s="22" t="s">
        <v>1491</v>
      </c>
      <c r="P297" s="22" t="s">
        <v>2084</v>
      </c>
    </row>
    <row r="298" customFormat="false" ht="15" hidden="false" customHeight="false" outlineLevel="0" collapsed="false">
      <c r="A298" s="22" t="n">
        <v>295</v>
      </c>
      <c r="B298" s="22" t="s">
        <v>277</v>
      </c>
      <c r="C298" s="22" t="s">
        <v>1547</v>
      </c>
      <c r="D298" s="22" t="s">
        <v>1358</v>
      </c>
      <c r="E298" s="28" t="n">
        <v>475210000</v>
      </c>
      <c r="F298" s="28" t="n">
        <v>0</v>
      </c>
      <c r="G298" s="28" t="n">
        <f aca="false">E298-F298</f>
        <v>475210000</v>
      </c>
      <c r="H298" s="23" t="n">
        <v>46053</v>
      </c>
      <c r="I298" s="22" t="s">
        <v>1992</v>
      </c>
      <c r="J298" s="22" t="s">
        <v>2103</v>
      </c>
      <c r="K298" s="22" t="s">
        <v>1982</v>
      </c>
      <c r="L298" s="22" t="s">
        <v>2104</v>
      </c>
      <c r="M298" s="22" t="s">
        <v>1577</v>
      </c>
      <c r="N298" s="29" t="s">
        <v>119</v>
      </c>
      <c r="O298" s="22" t="s">
        <v>1491</v>
      </c>
      <c r="P298" s="22" t="s">
        <v>2084</v>
      </c>
    </row>
    <row r="299" customFormat="false" ht="15" hidden="false" customHeight="false" outlineLevel="0" collapsed="false">
      <c r="A299" s="22" t="n">
        <v>296</v>
      </c>
      <c r="B299" s="22" t="s">
        <v>277</v>
      </c>
      <c r="C299" s="22" t="s">
        <v>1547</v>
      </c>
      <c r="D299" s="22" t="s">
        <v>1358</v>
      </c>
      <c r="E299" s="28" t="n">
        <v>0</v>
      </c>
      <c r="F299" s="28" t="n">
        <v>46450000</v>
      </c>
      <c r="G299" s="28" t="n">
        <f aca="false">E299-F299</f>
        <v>-46450000</v>
      </c>
      <c r="H299" s="23" t="n">
        <v>46053</v>
      </c>
      <c r="I299" s="22" t="s">
        <v>1660</v>
      </c>
      <c r="J299" s="22" t="s">
        <v>2105</v>
      </c>
      <c r="K299" s="22" t="s">
        <v>1568</v>
      </c>
      <c r="L299" s="22" t="s">
        <v>2106</v>
      </c>
      <c r="M299" s="22" t="s">
        <v>1564</v>
      </c>
      <c r="N299" s="29" t="s">
        <v>119</v>
      </c>
      <c r="O299" s="22" t="s">
        <v>1491</v>
      </c>
      <c r="P299" s="22" t="s">
        <v>2077</v>
      </c>
    </row>
    <row r="300" customFormat="false" ht="15" hidden="false" customHeight="false" outlineLevel="0" collapsed="false">
      <c r="A300" s="22" t="n">
        <v>297</v>
      </c>
      <c r="B300" s="22" t="s">
        <v>277</v>
      </c>
      <c r="C300" s="22" t="s">
        <v>1547</v>
      </c>
      <c r="D300" s="22" t="s">
        <v>1358</v>
      </c>
      <c r="E300" s="28" t="n">
        <v>0</v>
      </c>
      <c r="F300" s="28" t="n">
        <v>83125000</v>
      </c>
      <c r="G300" s="28" t="n">
        <f aca="false">E300-F300</f>
        <v>-83125000</v>
      </c>
      <c r="H300" s="23" t="n">
        <v>46072</v>
      </c>
      <c r="I300" s="22" t="s">
        <v>1660</v>
      </c>
      <c r="J300" s="22" t="s">
        <v>2078</v>
      </c>
      <c r="K300" s="22" t="s">
        <v>1568</v>
      </c>
      <c r="L300" s="22" t="s">
        <v>2107</v>
      </c>
      <c r="M300" s="22" t="s">
        <v>1564</v>
      </c>
      <c r="N300" s="29" t="s">
        <v>121</v>
      </c>
      <c r="O300" s="22" t="s">
        <v>1491</v>
      </c>
      <c r="P300" s="22" t="s">
        <v>2077</v>
      </c>
    </row>
    <row r="301" customFormat="false" ht="15" hidden="false" customHeight="false" outlineLevel="0" collapsed="false">
      <c r="A301" s="22" t="n">
        <v>298</v>
      </c>
      <c r="B301" s="22" t="s">
        <v>277</v>
      </c>
      <c r="C301" s="22" t="s">
        <v>1547</v>
      </c>
      <c r="D301" s="22" t="s">
        <v>1358</v>
      </c>
      <c r="E301" s="28" t="n">
        <v>0</v>
      </c>
      <c r="F301" s="28" t="n">
        <v>45210000</v>
      </c>
      <c r="G301" s="28" t="n">
        <f aca="false">E301-F301</f>
        <v>-45210000</v>
      </c>
      <c r="H301" s="23" t="n">
        <v>46072</v>
      </c>
      <c r="I301" s="22" t="s">
        <v>1660</v>
      </c>
      <c r="J301" s="22" t="s">
        <v>2078</v>
      </c>
      <c r="K301" s="22" t="s">
        <v>1568</v>
      </c>
      <c r="L301" s="22" t="s">
        <v>2108</v>
      </c>
      <c r="M301" s="22" t="s">
        <v>1564</v>
      </c>
      <c r="N301" s="29" t="s">
        <v>122</v>
      </c>
      <c r="O301" s="22" t="s">
        <v>1491</v>
      </c>
      <c r="P301" s="22" t="s">
        <v>2077</v>
      </c>
    </row>
    <row r="302" customFormat="false" ht="15" hidden="false" customHeight="false" outlineLevel="0" collapsed="false">
      <c r="A302" s="22" t="n">
        <v>299</v>
      </c>
      <c r="B302" s="22" t="s">
        <v>277</v>
      </c>
      <c r="C302" s="22" t="s">
        <v>1547</v>
      </c>
      <c r="D302" s="22" t="s">
        <v>1358</v>
      </c>
      <c r="E302" s="28" t="n">
        <v>0</v>
      </c>
      <c r="F302" s="28" t="n">
        <v>34250000</v>
      </c>
      <c r="G302" s="28" t="n">
        <f aca="false">E302-F302</f>
        <v>-34250000</v>
      </c>
      <c r="H302" s="23" t="n">
        <v>46072</v>
      </c>
      <c r="I302" s="22" t="s">
        <v>1660</v>
      </c>
      <c r="J302" s="22" t="s">
        <v>2078</v>
      </c>
      <c r="K302" s="22" t="s">
        <v>1568</v>
      </c>
      <c r="L302" s="22" t="s">
        <v>2109</v>
      </c>
      <c r="M302" s="22" t="s">
        <v>1564</v>
      </c>
      <c r="N302" s="29" t="s">
        <v>120</v>
      </c>
      <c r="O302" s="22" t="s">
        <v>1491</v>
      </c>
      <c r="P302" s="22" t="s">
        <v>2077</v>
      </c>
    </row>
    <row r="303" customFormat="false" ht="15" hidden="false" customHeight="false" outlineLevel="0" collapsed="false">
      <c r="A303" s="22" t="n">
        <v>300</v>
      </c>
      <c r="B303" s="22" t="s">
        <v>277</v>
      </c>
      <c r="C303" s="22" t="s">
        <v>1547</v>
      </c>
      <c r="D303" s="22" t="s">
        <v>1358</v>
      </c>
      <c r="E303" s="28" t="n">
        <v>0</v>
      </c>
      <c r="F303" s="28" t="n">
        <v>48458000</v>
      </c>
      <c r="G303" s="28" t="n">
        <f aca="false">E303-F303</f>
        <v>-48458000</v>
      </c>
      <c r="H303" s="23" t="n">
        <v>46099</v>
      </c>
      <c r="I303" s="22" t="s">
        <v>1660</v>
      </c>
      <c r="J303" s="22" t="s">
        <v>2080</v>
      </c>
      <c r="K303" s="22" t="s">
        <v>1568</v>
      </c>
      <c r="L303" s="22" t="s">
        <v>2110</v>
      </c>
      <c r="M303" s="22" t="s">
        <v>1564</v>
      </c>
      <c r="N303" s="29" t="s">
        <v>121</v>
      </c>
      <c r="O303" s="22" t="s">
        <v>1491</v>
      </c>
      <c r="P303" s="22" t="s">
        <v>2077</v>
      </c>
    </row>
    <row r="304" customFormat="false" ht="15" hidden="false" customHeight="false" outlineLevel="0" collapsed="false">
      <c r="A304" s="22" t="n">
        <v>301</v>
      </c>
      <c r="B304" s="22" t="s">
        <v>277</v>
      </c>
      <c r="C304" s="22" t="s">
        <v>1547</v>
      </c>
      <c r="D304" s="22" t="s">
        <v>1358</v>
      </c>
      <c r="E304" s="28" t="n">
        <v>0</v>
      </c>
      <c r="F304" s="28" t="n">
        <v>48741000</v>
      </c>
      <c r="G304" s="28" t="n">
        <f aca="false">E304-F304</f>
        <v>-48741000</v>
      </c>
      <c r="H304" s="23" t="n">
        <v>46099</v>
      </c>
      <c r="I304" s="22" t="s">
        <v>1660</v>
      </c>
      <c r="J304" s="22" t="s">
        <v>2080</v>
      </c>
      <c r="K304" s="22" t="s">
        <v>1568</v>
      </c>
      <c r="L304" s="22" t="s">
        <v>2111</v>
      </c>
      <c r="M304" s="22" t="s">
        <v>1564</v>
      </c>
      <c r="N304" s="29" t="s">
        <v>122</v>
      </c>
      <c r="O304" s="22" t="s">
        <v>1491</v>
      </c>
      <c r="P304" s="22" t="s">
        <v>2077</v>
      </c>
    </row>
    <row r="305" customFormat="false" ht="15" hidden="false" customHeight="false" outlineLevel="0" collapsed="false">
      <c r="A305" s="22" t="n">
        <v>302</v>
      </c>
      <c r="B305" s="22" t="s">
        <v>277</v>
      </c>
      <c r="C305" s="22" t="s">
        <v>1547</v>
      </c>
      <c r="D305" s="22" t="s">
        <v>1358</v>
      </c>
      <c r="E305" s="28" t="n">
        <v>0</v>
      </c>
      <c r="F305" s="28" t="n">
        <v>36925000</v>
      </c>
      <c r="G305" s="28" t="n">
        <f aca="false">E305-F305</f>
        <v>-36925000</v>
      </c>
      <c r="H305" s="23" t="n">
        <v>46099</v>
      </c>
      <c r="I305" s="22" t="s">
        <v>1660</v>
      </c>
      <c r="J305" s="22" t="s">
        <v>2080</v>
      </c>
      <c r="K305" s="22" t="s">
        <v>1568</v>
      </c>
      <c r="L305" s="22" t="s">
        <v>2112</v>
      </c>
      <c r="M305" s="22" t="s">
        <v>1564</v>
      </c>
      <c r="N305" s="29" t="s">
        <v>120</v>
      </c>
      <c r="O305" s="22" t="s">
        <v>1491</v>
      </c>
      <c r="P305" s="22" t="s">
        <v>2077</v>
      </c>
    </row>
    <row r="306" customFormat="false" ht="15" hidden="false" customHeight="false" outlineLevel="0" collapsed="false">
      <c r="A306" s="22" t="n">
        <v>303</v>
      </c>
      <c r="B306" s="22" t="s">
        <v>277</v>
      </c>
      <c r="C306" s="22" t="s">
        <v>1547</v>
      </c>
      <c r="D306" s="22" t="s">
        <v>1358</v>
      </c>
      <c r="E306" s="28" t="n">
        <v>445208000</v>
      </c>
      <c r="F306" s="28" t="n">
        <v>0</v>
      </c>
      <c r="G306" s="28" t="n">
        <f aca="false">E306-F306</f>
        <v>445208000</v>
      </c>
      <c r="H306" s="23" t="n">
        <v>46105</v>
      </c>
      <c r="I306" s="22" t="s">
        <v>1992</v>
      </c>
      <c r="J306" s="22" t="s">
        <v>400</v>
      </c>
      <c r="K306" s="22" t="s">
        <v>1614</v>
      </c>
      <c r="L306" s="22" t="s">
        <v>2113</v>
      </c>
      <c r="M306" s="22" t="s">
        <v>1577</v>
      </c>
      <c r="N306" s="29" t="s">
        <v>121</v>
      </c>
      <c r="O306" s="22" t="s">
        <v>1491</v>
      </c>
      <c r="P306" s="22" t="s">
        <v>2084</v>
      </c>
    </row>
    <row r="307" customFormat="false" ht="15" hidden="false" customHeight="false" outlineLevel="0" collapsed="false">
      <c r="A307" s="22" t="n">
        <v>304</v>
      </c>
      <c r="B307" s="22" t="s">
        <v>277</v>
      </c>
      <c r="C307" s="22" t="s">
        <v>1547</v>
      </c>
      <c r="D307" s="22" t="s">
        <v>1358</v>
      </c>
      <c r="E307" s="28" t="n">
        <v>0</v>
      </c>
      <c r="F307" s="28" t="n">
        <v>91937500</v>
      </c>
      <c r="G307" s="28" t="n">
        <f aca="false">E307-F307</f>
        <v>-91937500</v>
      </c>
      <c r="H307" s="23" t="n">
        <v>46134</v>
      </c>
      <c r="I307" s="22" t="s">
        <v>1660</v>
      </c>
      <c r="J307" s="22" t="s">
        <v>2085</v>
      </c>
      <c r="K307" s="22" t="s">
        <v>1568</v>
      </c>
      <c r="L307" s="22" t="s">
        <v>2114</v>
      </c>
      <c r="M307" s="22" t="s">
        <v>1564</v>
      </c>
      <c r="N307" s="29" t="s">
        <v>121</v>
      </c>
      <c r="O307" s="22" t="s">
        <v>1491</v>
      </c>
      <c r="P307" s="22" t="s">
        <v>2077</v>
      </c>
    </row>
    <row r="308" customFormat="false" ht="15" hidden="false" customHeight="false" outlineLevel="0" collapsed="false">
      <c r="A308" s="22" t="n">
        <v>305</v>
      </c>
      <c r="B308" s="22" t="s">
        <v>277</v>
      </c>
      <c r="C308" s="22" t="s">
        <v>1547</v>
      </c>
      <c r="D308" s="22" t="s">
        <v>1358</v>
      </c>
      <c r="E308" s="28" t="n">
        <v>0</v>
      </c>
      <c r="F308" s="28" t="n">
        <v>49863000</v>
      </c>
      <c r="G308" s="28" t="n">
        <f aca="false">E308-F308</f>
        <v>-49863000</v>
      </c>
      <c r="H308" s="23" t="n">
        <v>46134</v>
      </c>
      <c r="I308" s="22" t="s">
        <v>1660</v>
      </c>
      <c r="J308" s="22" t="s">
        <v>2085</v>
      </c>
      <c r="K308" s="22" t="s">
        <v>1568</v>
      </c>
      <c r="L308" s="22" t="s">
        <v>2115</v>
      </c>
      <c r="M308" s="22" t="s">
        <v>1564</v>
      </c>
      <c r="N308" s="29" t="s">
        <v>122</v>
      </c>
      <c r="O308" s="22" t="s">
        <v>1491</v>
      </c>
      <c r="P308" s="22" t="s">
        <v>2077</v>
      </c>
    </row>
    <row r="309" customFormat="false" ht="15" hidden="false" customHeight="false" outlineLevel="0" collapsed="false">
      <c r="A309" s="22" t="n">
        <v>306</v>
      </c>
      <c r="B309" s="22" t="s">
        <v>277</v>
      </c>
      <c r="C309" s="22" t="s">
        <v>1547</v>
      </c>
      <c r="D309" s="22" t="s">
        <v>1358</v>
      </c>
      <c r="E309" s="28" t="n">
        <v>0</v>
      </c>
      <c r="F309" s="28" t="n">
        <v>37775000</v>
      </c>
      <c r="G309" s="28" t="n">
        <f aca="false">E309-F309</f>
        <v>-37775000</v>
      </c>
      <c r="H309" s="23" t="n">
        <v>46134</v>
      </c>
      <c r="I309" s="22" t="s">
        <v>1660</v>
      </c>
      <c r="J309" s="22" t="s">
        <v>2085</v>
      </c>
      <c r="K309" s="22" t="s">
        <v>1568</v>
      </c>
      <c r="L309" s="22" t="s">
        <v>2116</v>
      </c>
      <c r="M309" s="22" t="s">
        <v>1564</v>
      </c>
      <c r="N309" s="29" t="s">
        <v>120</v>
      </c>
      <c r="O309" s="22" t="s">
        <v>1491</v>
      </c>
      <c r="P309" s="22" t="s">
        <v>2077</v>
      </c>
    </row>
    <row r="310" customFormat="false" ht="15" hidden="false" customHeight="false" outlineLevel="0" collapsed="false">
      <c r="A310" s="22" t="n">
        <v>307</v>
      </c>
      <c r="B310" s="22" t="s">
        <v>277</v>
      </c>
      <c r="C310" s="22" t="s">
        <v>1547</v>
      </c>
      <c r="D310" s="22" t="s">
        <v>1358</v>
      </c>
      <c r="E310" s="28" t="n">
        <v>0</v>
      </c>
      <c r="F310" s="28" t="n">
        <v>94043750</v>
      </c>
      <c r="G310" s="28" t="n">
        <f aca="false">E310-F310</f>
        <v>-94043750</v>
      </c>
      <c r="H310" s="23" t="n">
        <v>46162</v>
      </c>
      <c r="I310" s="22" t="s">
        <v>1660</v>
      </c>
      <c r="J310" s="22" t="s">
        <v>2087</v>
      </c>
      <c r="K310" s="22" t="s">
        <v>1568</v>
      </c>
      <c r="L310" s="22" t="s">
        <v>2117</v>
      </c>
      <c r="M310" s="22" t="s">
        <v>1564</v>
      </c>
      <c r="N310" s="29" t="s">
        <v>121</v>
      </c>
      <c r="O310" s="22" t="s">
        <v>1491</v>
      </c>
      <c r="P310" s="22" t="s">
        <v>2077</v>
      </c>
    </row>
    <row r="311" customFormat="false" ht="15" hidden="false" customHeight="false" outlineLevel="0" collapsed="false">
      <c r="A311" s="22" t="n">
        <v>308</v>
      </c>
      <c r="B311" s="22" t="s">
        <v>277</v>
      </c>
      <c r="C311" s="22" t="s">
        <v>1547</v>
      </c>
      <c r="D311" s="22" t="s">
        <v>1358</v>
      </c>
      <c r="E311" s="28" t="n">
        <v>0</v>
      </c>
      <c r="F311" s="28" t="n">
        <v>50975100</v>
      </c>
      <c r="G311" s="28" t="n">
        <f aca="false">E311-F311</f>
        <v>-50975100</v>
      </c>
      <c r="H311" s="23" t="n">
        <v>46162</v>
      </c>
      <c r="I311" s="22" t="s">
        <v>1660</v>
      </c>
      <c r="J311" s="22" t="s">
        <v>2087</v>
      </c>
      <c r="K311" s="22" t="s">
        <v>1568</v>
      </c>
      <c r="L311" s="22" t="s">
        <v>2118</v>
      </c>
      <c r="M311" s="22" t="s">
        <v>1564</v>
      </c>
      <c r="N311" s="29" t="s">
        <v>122</v>
      </c>
      <c r="O311" s="22" t="s">
        <v>1491</v>
      </c>
      <c r="P311" s="22" t="s">
        <v>2077</v>
      </c>
    </row>
    <row r="312" customFormat="false" ht="15" hidden="false" customHeight="false" outlineLevel="0" collapsed="false">
      <c r="A312" s="22" t="n">
        <v>309</v>
      </c>
      <c r="B312" s="22" t="s">
        <v>277</v>
      </c>
      <c r="C312" s="22" t="s">
        <v>1547</v>
      </c>
      <c r="D312" s="22" t="s">
        <v>1358</v>
      </c>
      <c r="E312" s="28" t="n">
        <v>0</v>
      </c>
      <c r="F312" s="28" t="n">
        <v>38617500</v>
      </c>
      <c r="G312" s="28" t="n">
        <f aca="false">E312-F312</f>
        <v>-38617500</v>
      </c>
      <c r="H312" s="23" t="n">
        <v>46162</v>
      </c>
      <c r="I312" s="22" t="s">
        <v>1660</v>
      </c>
      <c r="J312" s="22" t="s">
        <v>2087</v>
      </c>
      <c r="K312" s="22" t="s">
        <v>1568</v>
      </c>
      <c r="L312" s="22" t="s">
        <v>2119</v>
      </c>
      <c r="M312" s="22" t="s">
        <v>1564</v>
      </c>
      <c r="N312" s="29" t="s">
        <v>120</v>
      </c>
      <c r="O312" s="22" t="s">
        <v>1491</v>
      </c>
      <c r="P312" s="22" t="s">
        <v>2077</v>
      </c>
    </row>
    <row r="313" customFormat="false" ht="15" hidden="false" customHeight="false" outlineLevel="0" collapsed="false">
      <c r="A313" s="22" t="n">
        <v>310</v>
      </c>
      <c r="B313" s="22" t="s">
        <v>277</v>
      </c>
      <c r="C313" s="22" t="s">
        <v>1547</v>
      </c>
      <c r="D313" s="22" t="s">
        <v>1358</v>
      </c>
      <c r="E313" s="28" t="n">
        <v>0</v>
      </c>
      <c r="F313" s="28" t="n">
        <v>94043750</v>
      </c>
      <c r="G313" s="28" t="n">
        <f aca="false">E313-F313</f>
        <v>-94043750</v>
      </c>
      <c r="H313" s="23" t="n">
        <v>46203</v>
      </c>
      <c r="I313" s="22" t="s">
        <v>1660</v>
      </c>
      <c r="J313" s="22" t="s">
        <v>2095</v>
      </c>
      <c r="K313" s="22" t="s">
        <v>1568</v>
      </c>
      <c r="L313" s="22" t="s">
        <v>2120</v>
      </c>
      <c r="M313" s="22" t="s">
        <v>1564</v>
      </c>
      <c r="N313" s="29" t="s">
        <v>121</v>
      </c>
      <c r="O313" s="22" t="s">
        <v>1491</v>
      </c>
      <c r="P313" s="22" t="s">
        <v>2077</v>
      </c>
    </row>
    <row r="314" customFormat="false" ht="15" hidden="false" customHeight="false" outlineLevel="0" collapsed="false">
      <c r="A314" s="22" t="n">
        <v>311</v>
      </c>
      <c r="B314" s="22" t="s">
        <v>277</v>
      </c>
      <c r="C314" s="22" t="s">
        <v>1547</v>
      </c>
      <c r="D314" s="22" t="s">
        <v>1358</v>
      </c>
      <c r="E314" s="28" t="n">
        <v>0</v>
      </c>
      <c r="F314" s="28" t="n">
        <v>50975100</v>
      </c>
      <c r="G314" s="28" t="n">
        <f aca="false">E314-F314</f>
        <v>-50975100</v>
      </c>
      <c r="H314" s="23" t="n">
        <v>46203</v>
      </c>
      <c r="I314" s="22" t="s">
        <v>1660</v>
      </c>
      <c r="J314" s="22" t="s">
        <v>2095</v>
      </c>
      <c r="K314" s="22" t="s">
        <v>1568</v>
      </c>
      <c r="L314" s="22" t="s">
        <v>2121</v>
      </c>
      <c r="M314" s="22" t="s">
        <v>1564</v>
      </c>
      <c r="N314" s="29" t="s">
        <v>122</v>
      </c>
      <c r="O314" s="22" t="s">
        <v>1491</v>
      </c>
      <c r="P314" s="22" t="s">
        <v>2077</v>
      </c>
    </row>
    <row r="315" customFormat="false" ht="15" hidden="false" customHeight="false" outlineLevel="0" collapsed="false">
      <c r="A315" s="22" t="n">
        <v>312</v>
      </c>
      <c r="B315" s="22" t="s">
        <v>277</v>
      </c>
      <c r="C315" s="22" t="s">
        <v>1547</v>
      </c>
      <c r="D315" s="22" t="s">
        <v>1358</v>
      </c>
      <c r="E315" s="28" t="n">
        <v>0</v>
      </c>
      <c r="F315" s="28" t="n">
        <v>38617500</v>
      </c>
      <c r="G315" s="28" t="n">
        <f aca="false">E315-F315</f>
        <v>-38617500</v>
      </c>
      <c r="H315" s="23" t="n">
        <v>46203</v>
      </c>
      <c r="I315" s="22" t="s">
        <v>1660</v>
      </c>
      <c r="J315" s="22" t="s">
        <v>2095</v>
      </c>
      <c r="K315" s="22" t="s">
        <v>1568</v>
      </c>
      <c r="L315" s="22" t="s">
        <v>2122</v>
      </c>
      <c r="M315" s="22" t="s">
        <v>1564</v>
      </c>
      <c r="N315" s="29" t="s">
        <v>120</v>
      </c>
      <c r="O315" s="22" t="s">
        <v>1491</v>
      </c>
      <c r="P315" s="22" t="s">
        <v>2077</v>
      </c>
    </row>
    <row r="316" customFormat="false" ht="15" hidden="false" customHeight="false" outlineLevel="0" collapsed="false">
      <c r="A316" s="22" t="n">
        <v>313</v>
      </c>
      <c r="B316" s="22" t="s">
        <v>277</v>
      </c>
      <c r="C316" s="22" t="s">
        <v>1547</v>
      </c>
      <c r="D316" s="22" t="s">
        <v>1358</v>
      </c>
      <c r="E316" s="28" t="n">
        <v>0</v>
      </c>
      <c r="F316" s="28" t="n">
        <v>92375000</v>
      </c>
      <c r="G316" s="28" t="n">
        <f aca="false">E316-F316</f>
        <v>-92375000</v>
      </c>
      <c r="H316" s="23" t="n">
        <v>46227</v>
      </c>
      <c r="I316" s="22" t="s">
        <v>1660</v>
      </c>
      <c r="J316" s="22" t="s">
        <v>2123</v>
      </c>
      <c r="K316" s="22" t="s">
        <v>1568</v>
      </c>
      <c r="L316" s="22" t="s">
        <v>2124</v>
      </c>
      <c r="M316" s="22" t="s">
        <v>1564</v>
      </c>
      <c r="N316" s="29" t="s">
        <v>121</v>
      </c>
      <c r="O316" s="22" t="s">
        <v>1491</v>
      </c>
      <c r="P316" s="22" t="s">
        <v>2077</v>
      </c>
    </row>
    <row r="317" customFormat="false" ht="15" hidden="false" customHeight="false" outlineLevel="0" collapsed="false">
      <c r="A317" s="22" t="n">
        <v>314</v>
      </c>
      <c r="B317" s="22" t="s">
        <v>277</v>
      </c>
      <c r="C317" s="22" t="s">
        <v>1547</v>
      </c>
      <c r="D317" s="22" t="s">
        <v>1358</v>
      </c>
      <c r="E317" s="28" t="n">
        <v>0</v>
      </c>
      <c r="F317" s="28" t="n">
        <v>26535800</v>
      </c>
      <c r="G317" s="28" t="n">
        <f aca="false">E317-F317</f>
        <v>-26535800</v>
      </c>
      <c r="H317" s="23" t="n">
        <v>46227</v>
      </c>
      <c r="I317" s="22" t="s">
        <v>1660</v>
      </c>
      <c r="J317" s="22" t="s">
        <v>2123</v>
      </c>
      <c r="K317" s="22" t="s">
        <v>1568</v>
      </c>
      <c r="L317" s="22" t="s">
        <v>2125</v>
      </c>
      <c r="M317" s="22" t="s">
        <v>1564</v>
      </c>
      <c r="N317" s="29" t="s">
        <v>122</v>
      </c>
      <c r="O317" s="22" t="s">
        <v>1491</v>
      </c>
      <c r="P317" s="22" t="s">
        <v>2077</v>
      </c>
    </row>
    <row r="318" customFormat="false" ht="15" hidden="false" customHeight="false" outlineLevel="0" collapsed="false">
      <c r="A318" s="22" t="n">
        <v>315</v>
      </c>
      <c r="B318" s="22" t="s">
        <v>277</v>
      </c>
      <c r="C318" s="22" t="s">
        <v>1547</v>
      </c>
      <c r="D318" s="22" t="s">
        <v>1358</v>
      </c>
      <c r="E318" s="28" t="n">
        <v>0</v>
      </c>
      <c r="F318" s="28" t="n">
        <v>20103000</v>
      </c>
      <c r="G318" s="28" t="n">
        <f aca="false">E318-F318</f>
        <v>-20103000</v>
      </c>
      <c r="H318" s="23" t="n">
        <v>46227</v>
      </c>
      <c r="I318" s="22" t="s">
        <v>1660</v>
      </c>
      <c r="J318" s="22" t="s">
        <v>2123</v>
      </c>
      <c r="K318" s="22" t="s">
        <v>1568</v>
      </c>
      <c r="L318" s="22" t="s">
        <v>2126</v>
      </c>
      <c r="M318" s="22" t="s">
        <v>1564</v>
      </c>
      <c r="N318" s="29" t="s">
        <v>120</v>
      </c>
      <c r="O318" s="22" t="s">
        <v>1491</v>
      </c>
      <c r="P318" s="22" t="s">
        <v>2077</v>
      </c>
    </row>
    <row r="319" customFormat="false" ht="15" hidden="false" customHeight="false" outlineLevel="0" collapsed="false">
      <c r="A319" s="22" t="n">
        <v>316</v>
      </c>
      <c r="B319" s="22" t="s">
        <v>277</v>
      </c>
      <c r="C319" s="22" t="s">
        <v>1547</v>
      </c>
      <c r="D319" s="22" t="s">
        <v>1358</v>
      </c>
      <c r="E319" s="28" t="n">
        <v>272300000</v>
      </c>
      <c r="F319" s="28" t="n">
        <v>0</v>
      </c>
      <c r="G319" s="28" t="n">
        <f aca="false">E319-F319</f>
        <v>272300000</v>
      </c>
      <c r="H319" s="23" t="n">
        <v>46231</v>
      </c>
      <c r="I319" s="22" t="s">
        <v>1992</v>
      </c>
      <c r="J319" s="22" t="s">
        <v>409</v>
      </c>
      <c r="K319" s="22" t="s">
        <v>1614</v>
      </c>
      <c r="L319" s="22" t="s">
        <v>2127</v>
      </c>
      <c r="M319" s="22" t="s">
        <v>1577</v>
      </c>
      <c r="N319" s="29" t="s">
        <v>122</v>
      </c>
      <c r="O319" s="22" t="s">
        <v>1491</v>
      </c>
      <c r="P319" s="22" t="s">
        <v>2084</v>
      </c>
    </row>
    <row r="320" customFormat="false" ht="15" hidden="false" customHeight="false" outlineLevel="0" collapsed="false">
      <c r="A320" s="22" t="n">
        <v>317</v>
      </c>
      <c r="B320" s="22" t="s">
        <v>277</v>
      </c>
      <c r="C320" s="22" t="s">
        <v>1547</v>
      </c>
      <c r="D320" s="22" t="s">
        <v>1358</v>
      </c>
      <c r="E320" s="28" t="n">
        <v>206288000</v>
      </c>
      <c r="F320" s="28" t="n">
        <v>0</v>
      </c>
      <c r="G320" s="28" t="n">
        <f aca="false">E320-F320</f>
        <v>206288000</v>
      </c>
      <c r="H320" s="23" t="n">
        <v>46231</v>
      </c>
      <c r="I320" s="22" t="s">
        <v>1992</v>
      </c>
      <c r="J320" s="22" t="s">
        <v>411</v>
      </c>
      <c r="K320" s="22" t="s">
        <v>1614</v>
      </c>
      <c r="L320" s="22" t="s">
        <v>2128</v>
      </c>
      <c r="M320" s="22" t="s">
        <v>1577</v>
      </c>
      <c r="N320" s="29" t="s">
        <v>120</v>
      </c>
      <c r="O320" s="22" t="s">
        <v>1491</v>
      </c>
      <c r="P320" s="22" t="s">
        <v>2084</v>
      </c>
    </row>
    <row r="321" customFormat="false" ht="15" hidden="false" customHeight="false" outlineLevel="0" collapsed="false">
      <c r="A321" s="22" t="n">
        <v>318</v>
      </c>
      <c r="B321" s="22" t="s">
        <v>277</v>
      </c>
      <c r="C321" s="22" t="s">
        <v>1547</v>
      </c>
      <c r="D321" s="22" t="s">
        <v>523</v>
      </c>
      <c r="E321" s="28" t="n">
        <v>0</v>
      </c>
      <c r="F321" s="28" t="n">
        <v>19129018</v>
      </c>
      <c r="G321" s="28" t="n">
        <f aca="false">E321-F321</f>
        <v>-19129018</v>
      </c>
      <c r="H321" s="23" t="n">
        <v>46050</v>
      </c>
      <c r="I321" s="22" t="s">
        <v>1660</v>
      </c>
      <c r="J321" s="22" t="s">
        <v>2075</v>
      </c>
      <c r="K321" s="22" t="s">
        <v>1568</v>
      </c>
      <c r="L321" s="22" t="s">
        <v>2129</v>
      </c>
      <c r="M321" s="22" t="s">
        <v>1564</v>
      </c>
      <c r="N321" s="29" t="s">
        <v>130</v>
      </c>
      <c r="O321" s="22" t="s">
        <v>1491</v>
      </c>
      <c r="P321" s="22" t="s">
        <v>2077</v>
      </c>
    </row>
    <row r="322" customFormat="false" ht="15" hidden="false" customHeight="false" outlineLevel="0" collapsed="false">
      <c r="A322" s="22" t="n">
        <v>319</v>
      </c>
      <c r="B322" s="22" t="s">
        <v>277</v>
      </c>
      <c r="C322" s="22" t="s">
        <v>1547</v>
      </c>
      <c r="D322" s="22" t="s">
        <v>523</v>
      </c>
      <c r="E322" s="28" t="n">
        <v>0</v>
      </c>
      <c r="F322" s="28" t="n">
        <v>15609688</v>
      </c>
      <c r="G322" s="28" t="n">
        <f aca="false">E322-F322</f>
        <v>-15609688</v>
      </c>
      <c r="H322" s="23" t="n">
        <v>46050</v>
      </c>
      <c r="I322" s="22" t="s">
        <v>1660</v>
      </c>
      <c r="J322" s="22" t="s">
        <v>2075</v>
      </c>
      <c r="K322" s="22" t="s">
        <v>1568</v>
      </c>
      <c r="L322" s="22" t="s">
        <v>2130</v>
      </c>
      <c r="M322" s="22" t="s">
        <v>1564</v>
      </c>
      <c r="N322" s="29" t="s">
        <v>131</v>
      </c>
      <c r="O322" s="22" t="s">
        <v>1491</v>
      </c>
      <c r="P322" s="22" t="s">
        <v>2077</v>
      </c>
    </row>
    <row r="323" customFormat="false" ht="15" hidden="false" customHeight="false" outlineLevel="0" collapsed="false">
      <c r="A323" s="22" t="n">
        <v>320</v>
      </c>
      <c r="B323" s="22" t="s">
        <v>277</v>
      </c>
      <c r="C323" s="22" t="s">
        <v>1547</v>
      </c>
      <c r="D323" s="22" t="s">
        <v>523</v>
      </c>
      <c r="E323" s="28" t="n">
        <v>47641306</v>
      </c>
      <c r="F323" s="28" t="n">
        <v>0</v>
      </c>
      <c r="G323" s="28" t="n">
        <f aca="false">E323-F323</f>
        <v>47641306</v>
      </c>
      <c r="H323" s="23" t="n">
        <v>46072</v>
      </c>
      <c r="I323" s="22" t="s">
        <v>1566</v>
      </c>
      <c r="J323" s="22" t="s">
        <v>2131</v>
      </c>
      <c r="K323" s="22" t="s">
        <v>1614</v>
      </c>
      <c r="L323" s="22" t="s">
        <v>2132</v>
      </c>
      <c r="M323" s="22" t="s">
        <v>1577</v>
      </c>
      <c r="N323" s="29" t="s">
        <v>131</v>
      </c>
      <c r="O323" s="22" t="s">
        <v>1491</v>
      </c>
      <c r="P323" s="22" t="s">
        <v>2084</v>
      </c>
    </row>
    <row r="324" customFormat="false" ht="15" hidden="false" customHeight="false" outlineLevel="0" collapsed="false">
      <c r="A324" s="22" t="n">
        <v>321</v>
      </c>
      <c r="B324" s="22" t="s">
        <v>277</v>
      </c>
      <c r="C324" s="22" t="s">
        <v>1547</v>
      </c>
      <c r="D324" s="22" t="s">
        <v>523</v>
      </c>
      <c r="E324" s="28" t="n">
        <v>0</v>
      </c>
      <c r="F324" s="28" t="n">
        <v>19408340</v>
      </c>
      <c r="G324" s="28" t="n">
        <f aca="false">E324-F324</f>
        <v>-19408340</v>
      </c>
      <c r="H324" s="23" t="n">
        <v>46072</v>
      </c>
      <c r="I324" s="22" t="s">
        <v>1660</v>
      </c>
      <c r="J324" s="22" t="s">
        <v>2078</v>
      </c>
      <c r="K324" s="22" t="s">
        <v>1568</v>
      </c>
      <c r="L324" s="22" t="s">
        <v>2133</v>
      </c>
      <c r="M324" s="22" t="s">
        <v>1564</v>
      </c>
      <c r="N324" s="29" t="s">
        <v>130</v>
      </c>
      <c r="O324" s="22" t="s">
        <v>1491</v>
      </c>
      <c r="P324" s="22" t="s">
        <v>2077</v>
      </c>
    </row>
    <row r="325" customFormat="false" ht="15" hidden="false" customHeight="false" outlineLevel="0" collapsed="false">
      <c r="A325" s="22" t="n">
        <v>322</v>
      </c>
      <c r="B325" s="22" t="s">
        <v>277</v>
      </c>
      <c r="C325" s="22" t="s">
        <v>1547</v>
      </c>
      <c r="D325" s="22" t="s">
        <v>523</v>
      </c>
      <c r="E325" s="28" t="n">
        <v>0</v>
      </c>
      <c r="F325" s="28" t="n">
        <v>16623597</v>
      </c>
      <c r="G325" s="28" t="n">
        <f aca="false">E325-F325</f>
        <v>-16623597</v>
      </c>
      <c r="H325" s="23" t="n">
        <v>46072</v>
      </c>
      <c r="I325" s="22" t="s">
        <v>1660</v>
      </c>
      <c r="J325" s="22" t="s">
        <v>2078</v>
      </c>
      <c r="K325" s="22" t="s">
        <v>1568</v>
      </c>
      <c r="L325" s="22" t="s">
        <v>2134</v>
      </c>
      <c r="M325" s="22" t="s">
        <v>1564</v>
      </c>
      <c r="N325" s="29" t="s">
        <v>131</v>
      </c>
      <c r="O325" s="22" t="s">
        <v>1491</v>
      </c>
      <c r="P325" s="22" t="s">
        <v>2077</v>
      </c>
    </row>
    <row r="326" customFormat="false" ht="15" hidden="false" customHeight="false" outlineLevel="0" collapsed="false">
      <c r="A326" s="22" t="n">
        <v>323</v>
      </c>
      <c r="B326" s="22" t="s">
        <v>277</v>
      </c>
      <c r="C326" s="22" t="s">
        <v>1547</v>
      </c>
      <c r="D326" s="22" t="s">
        <v>523</v>
      </c>
      <c r="E326" s="28" t="n">
        <v>0</v>
      </c>
      <c r="F326" s="28" t="n">
        <v>86541667</v>
      </c>
      <c r="G326" s="28" t="n">
        <f aca="false">E326-F326</f>
        <v>-86541667</v>
      </c>
      <c r="H326" s="23" t="n">
        <v>46072</v>
      </c>
      <c r="I326" s="22" t="s">
        <v>1660</v>
      </c>
      <c r="J326" s="22" t="s">
        <v>2078</v>
      </c>
      <c r="K326" s="22" t="s">
        <v>1568</v>
      </c>
      <c r="L326" s="22" t="s">
        <v>2135</v>
      </c>
      <c r="M326" s="22" t="s">
        <v>1564</v>
      </c>
      <c r="N326" s="29" t="s">
        <v>132</v>
      </c>
      <c r="O326" s="22" t="s">
        <v>1491</v>
      </c>
      <c r="P326" s="22" t="s">
        <v>2077</v>
      </c>
    </row>
    <row r="327" customFormat="false" ht="15" hidden="false" customHeight="false" outlineLevel="0" collapsed="false">
      <c r="A327" s="22" t="n">
        <v>324</v>
      </c>
      <c r="B327" s="22" t="s">
        <v>277</v>
      </c>
      <c r="C327" s="22" t="s">
        <v>1547</v>
      </c>
      <c r="D327" s="22" t="s">
        <v>523</v>
      </c>
      <c r="E327" s="28" t="n">
        <v>0</v>
      </c>
      <c r="F327" s="28" t="n">
        <v>17551758</v>
      </c>
      <c r="G327" s="28" t="n">
        <f aca="false">E327-F327</f>
        <v>-17551758</v>
      </c>
      <c r="H327" s="23" t="n">
        <v>46099</v>
      </c>
      <c r="I327" s="22" t="s">
        <v>1660</v>
      </c>
      <c r="J327" s="22" t="s">
        <v>2080</v>
      </c>
      <c r="K327" s="22" t="s">
        <v>1568</v>
      </c>
      <c r="L327" s="22" t="s">
        <v>2136</v>
      </c>
      <c r="M327" s="22" t="s">
        <v>1564</v>
      </c>
      <c r="N327" s="29" t="s">
        <v>130</v>
      </c>
      <c r="O327" s="22" t="s">
        <v>1491</v>
      </c>
      <c r="P327" s="22" t="s">
        <v>2077</v>
      </c>
    </row>
    <row r="328" customFormat="false" ht="15" hidden="false" customHeight="false" outlineLevel="0" collapsed="false">
      <c r="A328" s="22" t="n">
        <v>325</v>
      </c>
      <c r="B328" s="22" t="s">
        <v>277</v>
      </c>
      <c r="C328" s="22" t="s">
        <v>1547</v>
      </c>
      <c r="D328" s="22" t="s">
        <v>523</v>
      </c>
      <c r="E328" s="28" t="n">
        <v>0</v>
      </c>
      <c r="F328" s="28" t="n">
        <v>14776042</v>
      </c>
      <c r="G328" s="28" t="n">
        <f aca="false">E328-F328</f>
        <v>-14776042</v>
      </c>
      <c r="H328" s="23" t="n">
        <v>46099</v>
      </c>
      <c r="I328" s="22" t="s">
        <v>1660</v>
      </c>
      <c r="J328" s="22" t="s">
        <v>2080</v>
      </c>
      <c r="K328" s="22" t="s">
        <v>1568</v>
      </c>
      <c r="L328" s="22" t="s">
        <v>2137</v>
      </c>
      <c r="M328" s="22" t="s">
        <v>1564</v>
      </c>
      <c r="N328" s="29" t="s">
        <v>131</v>
      </c>
      <c r="O328" s="22" t="s">
        <v>1491</v>
      </c>
      <c r="P328" s="22" t="s">
        <v>2077</v>
      </c>
    </row>
    <row r="329" customFormat="false" ht="15" hidden="false" customHeight="false" outlineLevel="0" collapsed="false">
      <c r="A329" s="22" t="n">
        <v>326</v>
      </c>
      <c r="B329" s="22" t="s">
        <v>277</v>
      </c>
      <c r="C329" s="22" t="s">
        <v>1547</v>
      </c>
      <c r="D329" s="22" t="s">
        <v>523</v>
      </c>
      <c r="E329" s="28" t="n">
        <v>0</v>
      </c>
      <c r="F329" s="28" t="n">
        <v>94608333</v>
      </c>
      <c r="G329" s="28" t="n">
        <f aca="false">E329-F329</f>
        <v>-94608333</v>
      </c>
      <c r="H329" s="23" t="n">
        <v>46099</v>
      </c>
      <c r="I329" s="22" t="s">
        <v>1660</v>
      </c>
      <c r="J329" s="22" t="s">
        <v>2080</v>
      </c>
      <c r="K329" s="22" t="s">
        <v>1568</v>
      </c>
      <c r="L329" s="22" t="s">
        <v>2138</v>
      </c>
      <c r="M329" s="22" t="s">
        <v>1564</v>
      </c>
      <c r="N329" s="29" t="s">
        <v>132</v>
      </c>
      <c r="O329" s="22" t="s">
        <v>1491</v>
      </c>
      <c r="P329" s="22" t="s">
        <v>2077</v>
      </c>
    </row>
    <row r="330" customFormat="false" ht="15" hidden="false" customHeight="false" outlineLevel="0" collapsed="false">
      <c r="A330" s="22" t="n">
        <v>327</v>
      </c>
      <c r="B330" s="22" t="s">
        <v>277</v>
      </c>
      <c r="C330" s="22" t="s">
        <v>1547</v>
      </c>
      <c r="D330" s="22" t="s">
        <v>523</v>
      </c>
      <c r="E330" s="28" t="n">
        <v>56089116</v>
      </c>
      <c r="F330" s="28" t="n">
        <v>0</v>
      </c>
      <c r="G330" s="28" t="n">
        <f aca="false">E330-F330</f>
        <v>56089116</v>
      </c>
      <c r="H330" s="23" t="n">
        <v>46100</v>
      </c>
      <c r="I330" s="22" t="s">
        <v>1566</v>
      </c>
      <c r="J330" s="22" t="s">
        <v>417</v>
      </c>
      <c r="K330" s="22" t="s">
        <v>1614</v>
      </c>
      <c r="L330" s="22" t="s">
        <v>2139</v>
      </c>
      <c r="M330" s="22" t="s">
        <v>1577</v>
      </c>
      <c r="N330" s="29" t="s">
        <v>130</v>
      </c>
      <c r="O330" s="22" t="s">
        <v>1491</v>
      </c>
      <c r="P330" s="22" t="s">
        <v>2084</v>
      </c>
    </row>
    <row r="331" customFormat="false" ht="15" hidden="false" customHeight="false" outlineLevel="0" collapsed="false">
      <c r="A331" s="22" t="n">
        <v>328</v>
      </c>
      <c r="B331" s="22" t="s">
        <v>277</v>
      </c>
      <c r="C331" s="22" t="s">
        <v>1547</v>
      </c>
      <c r="D331" s="22" t="s">
        <v>523</v>
      </c>
      <c r="E331" s="28" t="n">
        <v>0</v>
      </c>
      <c r="F331" s="28" t="n">
        <v>19432174</v>
      </c>
      <c r="G331" s="28" t="n">
        <f aca="false">E331-F331</f>
        <v>-19432174</v>
      </c>
      <c r="H331" s="23" t="n">
        <v>46134</v>
      </c>
      <c r="I331" s="22" t="s">
        <v>1660</v>
      </c>
      <c r="J331" s="22" t="s">
        <v>2085</v>
      </c>
      <c r="K331" s="22" t="s">
        <v>1568</v>
      </c>
      <c r="L331" s="22" t="s">
        <v>2140</v>
      </c>
      <c r="M331" s="22" t="s">
        <v>1564</v>
      </c>
      <c r="N331" s="29" t="s">
        <v>130</v>
      </c>
      <c r="O331" s="22" t="s">
        <v>1491</v>
      </c>
      <c r="P331" s="22" t="s">
        <v>2077</v>
      </c>
    </row>
    <row r="332" customFormat="false" ht="15" hidden="false" customHeight="false" outlineLevel="0" collapsed="false">
      <c r="A332" s="22" t="n">
        <v>329</v>
      </c>
      <c r="B332" s="22" t="s">
        <v>277</v>
      </c>
      <c r="C332" s="22" t="s">
        <v>1547</v>
      </c>
      <c r="D332" s="22" t="s">
        <v>523</v>
      </c>
      <c r="E332" s="28" t="n">
        <v>0</v>
      </c>
      <c r="F332" s="28" t="n">
        <v>15784375</v>
      </c>
      <c r="G332" s="28" t="n">
        <f aca="false">E332-F332</f>
        <v>-15784375</v>
      </c>
      <c r="H332" s="23" t="n">
        <v>46134</v>
      </c>
      <c r="I332" s="22" t="s">
        <v>1660</v>
      </c>
      <c r="J332" s="22" t="s">
        <v>2085</v>
      </c>
      <c r="K332" s="22" t="s">
        <v>1568</v>
      </c>
      <c r="L332" s="22" t="s">
        <v>2141</v>
      </c>
      <c r="M332" s="22" t="s">
        <v>1564</v>
      </c>
      <c r="N332" s="29" t="s">
        <v>131</v>
      </c>
      <c r="O332" s="22" t="s">
        <v>1491</v>
      </c>
      <c r="P332" s="22" t="s">
        <v>2077</v>
      </c>
    </row>
    <row r="333" customFormat="false" ht="15" hidden="false" customHeight="false" outlineLevel="0" collapsed="false">
      <c r="A333" s="22" t="n">
        <v>330</v>
      </c>
      <c r="B333" s="22" t="s">
        <v>277</v>
      </c>
      <c r="C333" s="22" t="s">
        <v>1547</v>
      </c>
      <c r="D333" s="22" t="s">
        <v>523</v>
      </c>
      <c r="E333" s="28" t="n">
        <v>0</v>
      </c>
      <c r="F333" s="28" t="n">
        <v>73460556</v>
      </c>
      <c r="G333" s="28" t="n">
        <f aca="false">E333-F333</f>
        <v>-73460556</v>
      </c>
      <c r="H333" s="23" t="n">
        <v>46134</v>
      </c>
      <c r="I333" s="22" t="s">
        <v>1660</v>
      </c>
      <c r="J333" s="22" t="s">
        <v>2085</v>
      </c>
      <c r="K333" s="22" t="s">
        <v>1568</v>
      </c>
      <c r="L333" s="22" t="s">
        <v>2142</v>
      </c>
      <c r="M333" s="22" t="s">
        <v>1564</v>
      </c>
      <c r="N333" s="29" t="s">
        <v>132</v>
      </c>
      <c r="O333" s="22" t="s">
        <v>1491</v>
      </c>
      <c r="P333" s="22" t="s">
        <v>2077</v>
      </c>
    </row>
    <row r="334" customFormat="false" ht="15" hidden="false" customHeight="false" outlineLevel="0" collapsed="false">
      <c r="A334" s="22" t="n">
        <v>331</v>
      </c>
      <c r="B334" s="22" t="s">
        <v>277</v>
      </c>
      <c r="C334" s="22" t="s">
        <v>1547</v>
      </c>
      <c r="D334" s="22" t="s">
        <v>523</v>
      </c>
      <c r="E334" s="28" t="n">
        <v>254610556</v>
      </c>
      <c r="F334" s="28" t="n">
        <v>0</v>
      </c>
      <c r="G334" s="28" t="n">
        <f aca="false">E334-F334</f>
        <v>254610556</v>
      </c>
      <c r="H334" s="23" t="n">
        <v>46136</v>
      </c>
      <c r="I334" s="22" t="s">
        <v>1566</v>
      </c>
      <c r="J334" s="22" t="s">
        <v>432</v>
      </c>
      <c r="K334" s="22" t="s">
        <v>1614</v>
      </c>
      <c r="L334" s="22" t="s">
        <v>2143</v>
      </c>
      <c r="M334" s="22" t="s">
        <v>1577</v>
      </c>
      <c r="N334" s="29" t="s">
        <v>132</v>
      </c>
      <c r="O334" s="22" t="s">
        <v>1491</v>
      </c>
      <c r="P334" s="22" t="s">
        <v>2084</v>
      </c>
    </row>
    <row r="335" customFormat="false" ht="15" hidden="false" customHeight="false" outlineLevel="0" collapsed="false">
      <c r="A335" s="22" t="n">
        <v>332</v>
      </c>
      <c r="B335" s="22" t="s">
        <v>277</v>
      </c>
      <c r="C335" s="22" t="s">
        <v>1547</v>
      </c>
      <c r="D335" s="22" t="s">
        <v>523</v>
      </c>
      <c r="E335" s="28" t="n">
        <v>0</v>
      </c>
      <c r="F335" s="28" t="n">
        <v>20011464</v>
      </c>
      <c r="G335" s="28" t="n">
        <f aca="false">E335-F335</f>
        <v>-20011464</v>
      </c>
      <c r="H335" s="23" t="n">
        <v>46162</v>
      </c>
      <c r="I335" s="22" t="s">
        <v>1660</v>
      </c>
      <c r="J335" s="22" t="s">
        <v>2087</v>
      </c>
      <c r="K335" s="22" t="s">
        <v>1568</v>
      </c>
      <c r="L335" s="22" t="s">
        <v>2144</v>
      </c>
      <c r="M335" s="22" t="s">
        <v>1564</v>
      </c>
      <c r="N335" s="29" t="s">
        <v>130</v>
      </c>
      <c r="O335" s="22" t="s">
        <v>1491</v>
      </c>
      <c r="P335" s="22" t="s">
        <v>2077</v>
      </c>
    </row>
    <row r="336" customFormat="false" ht="15" hidden="false" customHeight="false" outlineLevel="0" collapsed="false">
      <c r="A336" s="22" t="n">
        <v>333</v>
      </c>
      <c r="B336" s="22" t="s">
        <v>277</v>
      </c>
      <c r="C336" s="22" t="s">
        <v>1547</v>
      </c>
      <c r="D336" s="22" t="s">
        <v>523</v>
      </c>
      <c r="E336" s="28" t="n">
        <v>0</v>
      </c>
      <c r="F336" s="28" t="n">
        <v>16059513</v>
      </c>
      <c r="G336" s="28" t="n">
        <f aca="false">E336-F336</f>
        <v>-16059513</v>
      </c>
      <c r="H336" s="23" t="n">
        <v>46162</v>
      </c>
      <c r="I336" s="22" t="s">
        <v>1660</v>
      </c>
      <c r="J336" s="22" t="s">
        <v>2087</v>
      </c>
      <c r="K336" s="22" t="s">
        <v>1568</v>
      </c>
      <c r="L336" s="22" t="s">
        <v>2145</v>
      </c>
      <c r="M336" s="22" t="s">
        <v>1564</v>
      </c>
      <c r="N336" s="29" t="s">
        <v>131</v>
      </c>
      <c r="O336" s="22" t="s">
        <v>1491</v>
      </c>
      <c r="P336" s="22" t="s">
        <v>2077</v>
      </c>
    </row>
    <row r="337" customFormat="false" ht="15" hidden="false" customHeight="false" outlineLevel="0" collapsed="false">
      <c r="A337" s="22" t="n">
        <v>334</v>
      </c>
      <c r="B337" s="22" t="s">
        <v>277</v>
      </c>
      <c r="C337" s="22" t="s">
        <v>1547</v>
      </c>
      <c r="D337" s="22" t="s">
        <v>523</v>
      </c>
      <c r="E337" s="28" t="n">
        <v>0</v>
      </c>
      <c r="F337" s="28" t="n">
        <v>102058333</v>
      </c>
      <c r="G337" s="28" t="n">
        <f aca="false">E337-F337</f>
        <v>-102058333</v>
      </c>
      <c r="H337" s="23" t="n">
        <v>46162</v>
      </c>
      <c r="I337" s="22" t="s">
        <v>1660</v>
      </c>
      <c r="J337" s="22" t="s">
        <v>2087</v>
      </c>
      <c r="K337" s="22" t="s">
        <v>1568</v>
      </c>
      <c r="L337" s="22" t="s">
        <v>2146</v>
      </c>
      <c r="M337" s="22" t="s">
        <v>1564</v>
      </c>
      <c r="N337" s="29" t="s">
        <v>132</v>
      </c>
      <c r="O337" s="22" t="s">
        <v>1491</v>
      </c>
      <c r="P337" s="22" t="s">
        <v>2077</v>
      </c>
    </row>
    <row r="338" customFormat="false" ht="15" hidden="false" customHeight="false" outlineLevel="0" collapsed="false">
      <c r="A338" s="22" t="n">
        <v>335</v>
      </c>
      <c r="B338" s="22" t="s">
        <v>277</v>
      </c>
      <c r="C338" s="22" t="s">
        <v>1547</v>
      </c>
      <c r="D338" s="22" t="s">
        <v>523</v>
      </c>
      <c r="E338" s="28" t="n">
        <v>46619930</v>
      </c>
      <c r="F338" s="28" t="n">
        <v>0</v>
      </c>
      <c r="G338" s="28" t="n">
        <f aca="false">E338-F338</f>
        <v>46619930</v>
      </c>
      <c r="H338" s="23" t="n">
        <v>46164</v>
      </c>
      <c r="I338" s="22" t="s">
        <v>1566</v>
      </c>
      <c r="J338" s="22" t="s">
        <v>430</v>
      </c>
      <c r="K338" s="22" t="s">
        <v>1614</v>
      </c>
      <c r="L338" s="22" t="s">
        <v>2147</v>
      </c>
      <c r="M338" s="22" t="s">
        <v>1577</v>
      </c>
      <c r="N338" s="29" t="s">
        <v>131</v>
      </c>
      <c r="O338" s="22" t="s">
        <v>1491</v>
      </c>
      <c r="P338" s="22" t="s">
        <v>2084</v>
      </c>
    </row>
    <row r="339" customFormat="false" ht="15" hidden="false" customHeight="false" outlineLevel="0" collapsed="false">
      <c r="A339" s="22" t="n">
        <v>336</v>
      </c>
      <c r="B339" s="22" t="s">
        <v>277</v>
      </c>
      <c r="C339" s="22" t="s">
        <v>1547</v>
      </c>
      <c r="D339" s="22" t="s">
        <v>523</v>
      </c>
      <c r="E339" s="28" t="n">
        <v>59390887</v>
      </c>
      <c r="F339" s="28" t="n">
        <v>0</v>
      </c>
      <c r="G339" s="28" t="n">
        <f aca="false">E339-F339</f>
        <v>59390887</v>
      </c>
      <c r="H339" s="23" t="n">
        <v>46203</v>
      </c>
      <c r="I339" s="22" t="s">
        <v>1566</v>
      </c>
      <c r="J339" s="22" t="s">
        <v>421</v>
      </c>
      <c r="K339" s="22" t="s">
        <v>1614</v>
      </c>
      <c r="L339" s="22" t="s">
        <v>2148</v>
      </c>
      <c r="M339" s="22" t="s">
        <v>1577</v>
      </c>
      <c r="N339" s="29" t="s">
        <v>130</v>
      </c>
      <c r="O339" s="22" t="s">
        <v>1491</v>
      </c>
      <c r="P339" s="22" t="s">
        <v>2084</v>
      </c>
    </row>
    <row r="340" customFormat="false" ht="15" hidden="false" customHeight="false" outlineLevel="0" collapsed="false">
      <c r="A340" s="22" t="n">
        <v>337</v>
      </c>
      <c r="B340" s="22" t="s">
        <v>277</v>
      </c>
      <c r="C340" s="22" t="s">
        <v>1547</v>
      </c>
      <c r="D340" s="22" t="s">
        <v>523</v>
      </c>
      <c r="E340" s="28" t="n">
        <v>0</v>
      </c>
      <c r="F340" s="28" t="n">
        <v>19947249</v>
      </c>
      <c r="G340" s="28" t="n">
        <f aca="false">E340-F340</f>
        <v>-19947249</v>
      </c>
      <c r="H340" s="23" t="n">
        <v>46203</v>
      </c>
      <c r="I340" s="22" t="s">
        <v>1660</v>
      </c>
      <c r="J340" s="22" t="s">
        <v>2095</v>
      </c>
      <c r="K340" s="22" t="s">
        <v>1568</v>
      </c>
      <c r="L340" s="22" t="s">
        <v>2149</v>
      </c>
      <c r="M340" s="22" t="s">
        <v>1564</v>
      </c>
      <c r="N340" s="29" t="s">
        <v>130</v>
      </c>
      <c r="O340" s="22" t="s">
        <v>1491</v>
      </c>
      <c r="P340" s="22" t="s">
        <v>2077</v>
      </c>
    </row>
    <row r="341" customFormat="false" ht="15" hidden="false" customHeight="false" outlineLevel="0" collapsed="false">
      <c r="A341" s="22" t="n">
        <v>338</v>
      </c>
      <c r="B341" s="22" t="s">
        <v>277</v>
      </c>
      <c r="C341" s="22" t="s">
        <v>1547</v>
      </c>
      <c r="D341" s="22" t="s">
        <v>523</v>
      </c>
      <c r="E341" s="28" t="n">
        <v>0</v>
      </c>
      <c r="F341" s="28" t="n">
        <v>15044063</v>
      </c>
      <c r="G341" s="28" t="n">
        <f aca="false">E341-F341</f>
        <v>-15044063</v>
      </c>
      <c r="H341" s="23" t="n">
        <v>46203</v>
      </c>
      <c r="I341" s="22" t="s">
        <v>1660</v>
      </c>
      <c r="J341" s="22" t="s">
        <v>2095</v>
      </c>
      <c r="K341" s="22" t="s">
        <v>1568</v>
      </c>
      <c r="L341" s="22" t="s">
        <v>2150</v>
      </c>
      <c r="M341" s="22" t="s">
        <v>1564</v>
      </c>
      <c r="N341" s="29" t="s">
        <v>131</v>
      </c>
      <c r="O341" s="22" t="s">
        <v>1491</v>
      </c>
      <c r="P341" s="22" t="s">
        <v>2077</v>
      </c>
    </row>
    <row r="342" customFormat="false" ht="15" hidden="false" customHeight="false" outlineLevel="0" collapsed="false">
      <c r="A342" s="22" t="n">
        <v>339</v>
      </c>
      <c r="B342" s="22" t="s">
        <v>277</v>
      </c>
      <c r="C342" s="22" t="s">
        <v>1547</v>
      </c>
      <c r="D342" s="22" t="s">
        <v>523</v>
      </c>
      <c r="E342" s="28" t="n">
        <v>0</v>
      </c>
      <c r="F342" s="28" t="n">
        <v>102058333</v>
      </c>
      <c r="G342" s="28" t="n">
        <f aca="false">E342-F342</f>
        <v>-102058333</v>
      </c>
      <c r="H342" s="23" t="n">
        <v>46203</v>
      </c>
      <c r="I342" s="22" t="s">
        <v>1660</v>
      </c>
      <c r="J342" s="22" t="s">
        <v>2095</v>
      </c>
      <c r="K342" s="22" t="s">
        <v>1568</v>
      </c>
      <c r="L342" s="22" t="s">
        <v>2151</v>
      </c>
      <c r="M342" s="22" t="s">
        <v>1564</v>
      </c>
      <c r="N342" s="29" t="s">
        <v>132</v>
      </c>
      <c r="O342" s="22" t="s">
        <v>1491</v>
      </c>
      <c r="P342" s="22" t="s">
        <v>2077</v>
      </c>
    </row>
    <row r="343" customFormat="false" ht="15" hidden="false" customHeight="false" outlineLevel="0" collapsed="false">
      <c r="A343" s="22" t="n">
        <v>340</v>
      </c>
      <c r="B343" s="22" t="s">
        <v>277</v>
      </c>
      <c r="C343" s="22" t="s">
        <v>1547</v>
      </c>
      <c r="D343" s="22" t="s">
        <v>523</v>
      </c>
      <c r="E343" s="28" t="n">
        <v>0</v>
      </c>
      <c r="F343" s="28" t="n">
        <v>17825616</v>
      </c>
      <c r="G343" s="28" t="n">
        <f aca="false">E343-F343</f>
        <v>-17825616</v>
      </c>
      <c r="H343" s="23" t="n">
        <v>46227</v>
      </c>
      <c r="I343" s="22" t="s">
        <v>1660</v>
      </c>
      <c r="J343" s="22" t="s">
        <v>2123</v>
      </c>
      <c r="K343" s="22" t="s">
        <v>1568</v>
      </c>
      <c r="L343" s="22" t="s">
        <v>2152</v>
      </c>
      <c r="M343" s="22" t="s">
        <v>1564</v>
      </c>
      <c r="N343" s="29" t="s">
        <v>130</v>
      </c>
      <c r="O343" s="22" t="s">
        <v>1491</v>
      </c>
      <c r="P343" s="22" t="s">
        <v>2077</v>
      </c>
    </row>
    <row r="344" customFormat="false" ht="15" hidden="false" customHeight="false" outlineLevel="0" collapsed="false">
      <c r="A344" s="22" t="n">
        <v>341</v>
      </c>
      <c r="B344" s="22" t="s">
        <v>277</v>
      </c>
      <c r="C344" s="22" t="s">
        <v>1547</v>
      </c>
      <c r="D344" s="22" t="s">
        <v>523</v>
      </c>
      <c r="E344" s="28" t="n">
        <v>0</v>
      </c>
      <c r="F344" s="28" t="n">
        <v>15044063</v>
      </c>
      <c r="G344" s="28" t="n">
        <f aca="false">E344-F344</f>
        <v>-15044063</v>
      </c>
      <c r="H344" s="23" t="n">
        <v>46227</v>
      </c>
      <c r="I344" s="22" t="s">
        <v>1660</v>
      </c>
      <c r="J344" s="22" t="s">
        <v>2123</v>
      </c>
      <c r="K344" s="22" t="s">
        <v>1568</v>
      </c>
      <c r="L344" s="22" t="s">
        <v>2153</v>
      </c>
      <c r="M344" s="22" t="s">
        <v>1564</v>
      </c>
      <c r="N344" s="29" t="s">
        <v>131</v>
      </c>
      <c r="O344" s="22" t="s">
        <v>1491</v>
      </c>
      <c r="P344" s="22" t="s">
        <v>2077</v>
      </c>
    </row>
    <row r="345" customFormat="false" ht="15" hidden="false" customHeight="false" outlineLevel="0" collapsed="false">
      <c r="A345" s="22" t="n">
        <v>342</v>
      </c>
      <c r="B345" s="22" t="s">
        <v>277</v>
      </c>
      <c r="C345" s="22" t="s">
        <v>1547</v>
      </c>
      <c r="D345" s="22" t="s">
        <v>523</v>
      </c>
      <c r="E345" s="28" t="n">
        <v>0</v>
      </c>
      <c r="F345" s="28" t="n">
        <v>95500833</v>
      </c>
      <c r="G345" s="28" t="n">
        <f aca="false">E345-F345</f>
        <v>-95500833</v>
      </c>
      <c r="H345" s="23" t="n">
        <v>46227</v>
      </c>
      <c r="I345" s="22" t="s">
        <v>1660</v>
      </c>
      <c r="J345" s="22" t="s">
        <v>2123</v>
      </c>
      <c r="K345" s="22" t="s">
        <v>1568</v>
      </c>
      <c r="L345" s="22" t="s">
        <v>2154</v>
      </c>
      <c r="M345" s="22" t="s">
        <v>1564</v>
      </c>
      <c r="N345" s="29" t="s">
        <v>132</v>
      </c>
      <c r="O345" s="22" t="s">
        <v>1491</v>
      </c>
      <c r="P345" s="22" t="s">
        <v>2077</v>
      </c>
    </row>
    <row r="346" customFormat="false" ht="15" hidden="false" customHeight="false" outlineLevel="0" collapsed="false">
      <c r="A346" s="22" t="n">
        <v>343</v>
      </c>
      <c r="B346" s="22" t="s">
        <v>277</v>
      </c>
      <c r="C346" s="22" t="s">
        <v>1547</v>
      </c>
      <c r="D346" s="22" t="s">
        <v>523</v>
      </c>
      <c r="E346" s="28" t="n">
        <v>299617499</v>
      </c>
      <c r="F346" s="28" t="n">
        <v>0</v>
      </c>
      <c r="G346" s="28" t="n">
        <f aca="false">E346-F346</f>
        <v>299617499</v>
      </c>
      <c r="H346" s="23" t="n">
        <v>46230</v>
      </c>
      <c r="I346" s="22" t="s">
        <v>1566</v>
      </c>
      <c r="J346" s="22" t="s">
        <v>434</v>
      </c>
      <c r="K346" s="22" t="s">
        <v>1614</v>
      </c>
      <c r="L346" s="22" t="s">
        <v>2155</v>
      </c>
      <c r="M346" s="22" t="s">
        <v>1577</v>
      </c>
      <c r="N346" s="29" t="s">
        <v>132</v>
      </c>
      <c r="O346" s="22" t="s">
        <v>1491</v>
      </c>
      <c r="P346" s="22" t="s">
        <v>2084</v>
      </c>
    </row>
    <row r="347" customFormat="false" ht="15" hidden="false" customHeight="false" outlineLevel="0" collapsed="false">
      <c r="A347" s="22" t="n">
        <v>344</v>
      </c>
      <c r="B347" s="22" t="s">
        <v>277</v>
      </c>
      <c r="C347" s="22" t="s">
        <v>1547</v>
      </c>
      <c r="D347" s="22" t="s">
        <v>1376</v>
      </c>
      <c r="E347" s="28" t="n">
        <v>0</v>
      </c>
      <c r="F347" s="28" t="n">
        <v>5654646</v>
      </c>
      <c r="G347" s="28" t="n">
        <f aca="false">E347-F347</f>
        <v>-5654646</v>
      </c>
      <c r="H347" s="23" t="n">
        <v>46050</v>
      </c>
      <c r="I347" s="22" t="s">
        <v>1660</v>
      </c>
      <c r="J347" s="22" t="s">
        <v>2075</v>
      </c>
      <c r="K347" s="22" t="s">
        <v>1568</v>
      </c>
      <c r="L347" s="22" t="s">
        <v>2156</v>
      </c>
      <c r="M347" s="22" t="s">
        <v>1564</v>
      </c>
      <c r="N347" s="29" t="s">
        <v>140</v>
      </c>
      <c r="O347" s="22" t="s">
        <v>1491</v>
      </c>
      <c r="P347" s="22" t="s">
        <v>2077</v>
      </c>
    </row>
    <row r="348" customFormat="false" ht="15" hidden="false" customHeight="false" outlineLevel="0" collapsed="false">
      <c r="A348" s="22" t="n">
        <v>345</v>
      </c>
      <c r="B348" s="22" t="s">
        <v>277</v>
      </c>
      <c r="C348" s="22" t="s">
        <v>1547</v>
      </c>
      <c r="D348" s="22" t="s">
        <v>1376</v>
      </c>
      <c r="E348" s="28" t="n">
        <v>0</v>
      </c>
      <c r="F348" s="28" t="n">
        <v>5742813</v>
      </c>
      <c r="G348" s="28" t="n">
        <f aca="false">E348-F348</f>
        <v>-5742813</v>
      </c>
      <c r="H348" s="23" t="n">
        <v>46072</v>
      </c>
      <c r="I348" s="22" t="s">
        <v>1660</v>
      </c>
      <c r="J348" s="22" t="s">
        <v>2078</v>
      </c>
      <c r="K348" s="22" t="s">
        <v>1568</v>
      </c>
      <c r="L348" s="22" t="s">
        <v>2157</v>
      </c>
      <c r="M348" s="22" t="s">
        <v>1564</v>
      </c>
      <c r="N348" s="29" t="s">
        <v>140</v>
      </c>
      <c r="O348" s="22" t="s">
        <v>1491</v>
      </c>
      <c r="P348" s="22" t="s">
        <v>2077</v>
      </c>
    </row>
    <row r="349" customFormat="false" ht="15" hidden="false" customHeight="false" outlineLevel="0" collapsed="false">
      <c r="A349" s="22" t="n">
        <v>346</v>
      </c>
      <c r="B349" s="22" t="s">
        <v>277</v>
      </c>
      <c r="C349" s="22" t="s">
        <v>1547</v>
      </c>
      <c r="D349" s="22" t="s">
        <v>1376</v>
      </c>
      <c r="E349" s="28" t="n">
        <v>0</v>
      </c>
      <c r="F349" s="28" t="n">
        <v>5162542</v>
      </c>
      <c r="G349" s="28" t="n">
        <f aca="false">E349-F349</f>
        <v>-5162542</v>
      </c>
      <c r="H349" s="23" t="n">
        <v>46099</v>
      </c>
      <c r="I349" s="22" t="s">
        <v>1660</v>
      </c>
      <c r="J349" s="22" t="s">
        <v>2080</v>
      </c>
      <c r="K349" s="22" t="s">
        <v>1568</v>
      </c>
      <c r="L349" s="22" t="s">
        <v>2158</v>
      </c>
      <c r="M349" s="22" t="s">
        <v>1564</v>
      </c>
      <c r="N349" s="29" t="s">
        <v>140</v>
      </c>
      <c r="O349" s="22" t="s">
        <v>1491</v>
      </c>
      <c r="P349" s="22" t="s">
        <v>2077</v>
      </c>
    </row>
    <row r="350" customFormat="false" ht="15" hidden="false" customHeight="false" outlineLevel="0" collapsed="false">
      <c r="A350" s="22" t="n">
        <v>347</v>
      </c>
      <c r="B350" s="22" t="s">
        <v>277</v>
      </c>
      <c r="C350" s="22" t="s">
        <v>1547</v>
      </c>
      <c r="D350" s="22" t="s">
        <v>1376</v>
      </c>
      <c r="E350" s="28" t="n">
        <v>16560001</v>
      </c>
      <c r="F350" s="28" t="n">
        <v>0</v>
      </c>
      <c r="G350" s="28" t="n">
        <f aca="false">E350-F350</f>
        <v>16560001</v>
      </c>
      <c r="H350" s="23" t="n">
        <v>46100</v>
      </c>
      <c r="I350" s="22" t="s">
        <v>1593</v>
      </c>
      <c r="J350" s="22" t="s">
        <v>2159</v>
      </c>
      <c r="K350" s="22" t="s">
        <v>1614</v>
      </c>
      <c r="L350" s="22" t="s">
        <v>2160</v>
      </c>
      <c r="M350" s="22" t="s">
        <v>1577</v>
      </c>
      <c r="N350" s="29" t="s">
        <v>140</v>
      </c>
      <c r="O350" s="22" t="s">
        <v>1491</v>
      </c>
      <c r="P350" s="22" t="s">
        <v>2084</v>
      </c>
    </row>
    <row r="351" customFormat="false" ht="15" hidden="false" customHeight="false" outlineLevel="0" collapsed="false">
      <c r="A351" s="22" t="n">
        <v>348</v>
      </c>
      <c r="B351" s="22" t="s">
        <v>277</v>
      </c>
      <c r="C351" s="22" t="s">
        <v>1547</v>
      </c>
      <c r="D351" s="22" t="s">
        <v>1376</v>
      </c>
      <c r="E351" s="28" t="n">
        <v>0</v>
      </c>
      <c r="F351" s="28" t="n">
        <v>4823891</v>
      </c>
      <c r="G351" s="28" t="n">
        <f aca="false">E351-F351</f>
        <v>-4823891</v>
      </c>
      <c r="H351" s="23" t="n">
        <v>46134</v>
      </c>
      <c r="I351" s="22" t="s">
        <v>1660</v>
      </c>
      <c r="J351" s="22" t="s">
        <v>2085</v>
      </c>
      <c r="K351" s="22" t="s">
        <v>1568</v>
      </c>
      <c r="L351" s="22" t="s">
        <v>2161</v>
      </c>
      <c r="M351" s="22" t="s">
        <v>1564</v>
      </c>
      <c r="N351" s="29" t="s">
        <v>140</v>
      </c>
      <c r="O351" s="22" t="s">
        <v>1491</v>
      </c>
      <c r="P351" s="22" t="s">
        <v>2077</v>
      </c>
    </row>
    <row r="352" customFormat="false" ht="15" hidden="false" customHeight="false" outlineLevel="0" collapsed="false">
      <c r="A352" s="22" t="n">
        <v>349</v>
      </c>
      <c r="B352" s="22" t="s">
        <v>277</v>
      </c>
      <c r="C352" s="22" t="s">
        <v>1547</v>
      </c>
      <c r="D352" s="22" t="s">
        <v>1376</v>
      </c>
      <c r="E352" s="28" t="n">
        <v>0</v>
      </c>
      <c r="F352" s="28" t="n">
        <v>4976266</v>
      </c>
      <c r="G352" s="28" t="n">
        <f aca="false">E352-F352</f>
        <v>-4976266</v>
      </c>
      <c r="H352" s="23" t="n">
        <v>46162</v>
      </c>
      <c r="I352" s="22" t="s">
        <v>1660</v>
      </c>
      <c r="J352" s="22" t="s">
        <v>2087</v>
      </c>
      <c r="K352" s="22" t="s">
        <v>1568</v>
      </c>
      <c r="L352" s="22" t="s">
        <v>2162</v>
      </c>
      <c r="M352" s="22" t="s">
        <v>1564</v>
      </c>
      <c r="N352" s="29" t="s">
        <v>140</v>
      </c>
      <c r="O352" s="22" t="s">
        <v>1491</v>
      </c>
      <c r="P352" s="22" t="s">
        <v>2077</v>
      </c>
    </row>
    <row r="353" customFormat="false" ht="15" hidden="false" customHeight="false" outlineLevel="0" collapsed="false">
      <c r="A353" s="22" t="n">
        <v>350</v>
      </c>
      <c r="B353" s="22" t="s">
        <v>277</v>
      </c>
      <c r="C353" s="22" t="s">
        <v>1547</v>
      </c>
      <c r="D353" s="22" t="s">
        <v>1376</v>
      </c>
      <c r="E353" s="28" t="n">
        <v>1</v>
      </c>
      <c r="F353" s="28" t="n">
        <v>0</v>
      </c>
      <c r="G353" s="28" t="n">
        <f aca="false">E353-F353</f>
        <v>1</v>
      </c>
      <c r="H353" s="23" t="n">
        <v>46203</v>
      </c>
      <c r="I353" s="22" t="s">
        <v>1560</v>
      </c>
      <c r="J353" s="22" t="s">
        <v>2091</v>
      </c>
      <c r="K353" s="22" t="s">
        <v>1614</v>
      </c>
      <c r="L353" s="22" t="s">
        <v>2092</v>
      </c>
      <c r="M353" s="22" t="s">
        <v>1629</v>
      </c>
      <c r="N353" s="29" t="s">
        <v>2093</v>
      </c>
      <c r="O353" s="22" t="s">
        <v>1491</v>
      </c>
      <c r="P353" s="22" t="s">
        <v>2094</v>
      </c>
    </row>
    <row r="354" customFormat="false" ht="15" hidden="false" customHeight="false" outlineLevel="0" collapsed="false">
      <c r="A354" s="22" t="n">
        <v>351</v>
      </c>
      <c r="B354" s="22" t="s">
        <v>277</v>
      </c>
      <c r="C354" s="22" t="s">
        <v>1547</v>
      </c>
      <c r="D354" s="22" t="s">
        <v>1376</v>
      </c>
      <c r="E354" s="28" t="n">
        <v>14419922</v>
      </c>
      <c r="F354" s="28" t="n">
        <v>0</v>
      </c>
      <c r="G354" s="28" t="n">
        <f aca="false">E354-F354</f>
        <v>14419922</v>
      </c>
      <c r="H354" s="23" t="n">
        <v>46203</v>
      </c>
      <c r="I354" s="22" t="s">
        <v>1593</v>
      </c>
      <c r="J354" s="22" t="s">
        <v>2163</v>
      </c>
      <c r="K354" s="22" t="s">
        <v>1614</v>
      </c>
      <c r="L354" s="22" t="s">
        <v>2164</v>
      </c>
      <c r="M354" s="22" t="s">
        <v>1577</v>
      </c>
      <c r="N354" s="29" t="s">
        <v>140</v>
      </c>
      <c r="O354" s="22" t="s">
        <v>1491</v>
      </c>
      <c r="P354" s="22" t="s">
        <v>2084</v>
      </c>
    </row>
    <row r="355" customFormat="false" ht="15" hidden="false" customHeight="false" outlineLevel="0" collapsed="false">
      <c r="A355" s="22" t="n">
        <v>352</v>
      </c>
      <c r="B355" s="22" t="s">
        <v>277</v>
      </c>
      <c r="C355" s="22" t="s">
        <v>1547</v>
      </c>
      <c r="D355" s="22" t="s">
        <v>1376</v>
      </c>
      <c r="E355" s="28" t="n">
        <v>0</v>
      </c>
      <c r="F355" s="28" t="n">
        <v>4619766</v>
      </c>
      <c r="G355" s="28" t="n">
        <f aca="false">E355-F355</f>
        <v>-4619766</v>
      </c>
      <c r="H355" s="23" t="n">
        <v>46203</v>
      </c>
      <c r="I355" s="22" t="s">
        <v>1660</v>
      </c>
      <c r="J355" s="22" t="s">
        <v>2095</v>
      </c>
      <c r="K355" s="22" t="s">
        <v>1568</v>
      </c>
      <c r="L355" s="22" t="s">
        <v>2165</v>
      </c>
      <c r="M355" s="22" t="s">
        <v>1564</v>
      </c>
      <c r="N355" s="29" t="s">
        <v>140</v>
      </c>
      <c r="O355" s="22" t="s">
        <v>1491</v>
      </c>
      <c r="P355" s="22" t="s">
        <v>2077</v>
      </c>
    </row>
    <row r="356" customFormat="false" ht="15" hidden="false" customHeight="false" outlineLevel="0" collapsed="false">
      <c r="A356" s="22" t="n">
        <v>353</v>
      </c>
      <c r="B356" s="22" t="s">
        <v>277</v>
      </c>
      <c r="C356" s="22" t="s">
        <v>1547</v>
      </c>
      <c r="D356" s="22" t="s">
        <v>1376</v>
      </c>
      <c r="E356" s="28" t="n">
        <v>0</v>
      </c>
      <c r="F356" s="28" t="n">
        <v>3324938</v>
      </c>
      <c r="G356" s="28" t="n">
        <f aca="false">E356-F356</f>
        <v>-3324938</v>
      </c>
      <c r="H356" s="23" t="n">
        <v>46227</v>
      </c>
      <c r="I356" s="22" t="s">
        <v>1660</v>
      </c>
      <c r="J356" s="22" t="s">
        <v>2123</v>
      </c>
      <c r="K356" s="22" t="s">
        <v>1568</v>
      </c>
      <c r="L356" s="22" t="s">
        <v>2166</v>
      </c>
      <c r="M356" s="22" t="s">
        <v>1564</v>
      </c>
      <c r="N356" s="29" t="s">
        <v>140</v>
      </c>
      <c r="O356" s="22" t="s">
        <v>1491</v>
      </c>
      <c r="P356" s="22" t="s">
        <v>2077</v>
      </c>
    </row>
    <row r="357" customFormat="false" ht="15" hidden="false" customHeight="false" outlineLevel="0" collapsed="false">
      <c r="A357" s="22" t="n">
        <v>354</v>
      </c>
      <c r="B357" s="22" t="s">
        <v>277</v>
      </c>
      <c r="C357" s="22" t="s">
        <v>1547</v>
      </c>
      <c r="D357" s="22" t="s">
        <v>386</v>
      </c>
      <c r="E357" s="28" t="n">
        <v>0</v>
      </c>
      <c r="F357" s="28" t="n">
        <v>43826944</v>
      </c>
      <c r="G357" s="28" t="n">
        <f aca="false">E357-F357</f>
        <v>-43826944</v>
      </c>
      <c r="H357" s="23" t="n">
        <v>46050</v>
      </c>
      <c r="I357" s="22" t="s">
        <v>1660</v>
      </c>
      <c r="J357" s="22" t="s">
        <v>2075</v>
      </c>
      <c r="K357" s="22" t="s">
        <v>1568</v>
      </c>
      <c r="L357" s="22" t="s">
        <v>2167</v>
      </c>
      <c r="M357" s="22" t="s">
        <v>1564</v>
      </c>
      <c r="N357" s="29" t="s">
        <v>144</v>
      </c>
      <c r="O357" s="22" t="s">
        <v>1491</v>
      </c>
      <c r="P357" s="22" t="s">
        <v>2077</v>
      </c>
    </row>
    <row r="358" customFormat="false" ht="15" hidden="false" customHeight="false" outlineLevel="0" collapsed="false">
      <c r="A358" s="22" t="n">
        <v>355</v>
      </c>
      <c r="B358" s="22" t="s">
        <v>277</v>
      </c>
      <c r="C358" s="22" t="s">
        <v>1547</v>
      </c>
      <c r="D358" s="22" t="s">
        <v>386</v>
      </c>
      <c r="E358" s="28" t="n">
        <v>131956110</v>
      </c>
      <c r="F358" s="28" t="n">
        <v>0</v>
      </c>
      <c r="G358" s="28" t="n">
        <f aca="false">E358-F358</f>
        <v>131956110</v>
      </c>
      <c r="H358" s="23" t="n">
        <v>46053</v>
      </c>
      <c r="I358" s="22" t="s">
        <v>1598</v>
      </c>
      <c r="J358" s="22" t="s">
        <v>2168</v>
      </c>
      <c r="K358" s="22" t="s">
        <v>1982</v>
      </c>
      <c r="L358" s="22" t="s">
        <v>2169</v>
      </c>
      <c r="M358" s="22" t="s">
        <v>1577</v>
      </c>
      <c r="N358" s="29" t="s">
        <v>144</v>
      </c>
      <c r="O358" s="22" t="s">
        <v>1491</v>
      </c>
      <c r="P358" s="22" t="s">
        <v>2084</v>
      </c>
    </row>
    <row r="359" customFormat="false" ht="15" hidden="false" customHeight="false" outlineLevel="0" collapsed="false">
      <c r="A359" s="22" t="n">
        <v>356</v>
      </c>
      <c r="B359" s="22" t="s">
        <v>277</v>
      </c>
      <c r="C359" s="22" t="s">
        <v>1547</v>
      </c>
      <c r="D359" s="22" t="s">
        <v>386</v>
      </c>
      <c r="E359" s="28" t="n">
        <v>0</v>
      </c>
      <c r="F359" s="28" t="n">
        <v>46187500</v>
      </c>
      <c r="G359" s="28" t="n">
        <f aca="false">E359-F359</f>
        <v>-46187500</v>
      </c>
      <c r="H359" s="23" t="n">
        <v>46072</v>
      </c>
      <c r="I359" s="22" t="s">
        <v>1660</v>
      </c>
      <c r="J359" s="22" t="s">
        <v>2078</v>
      </c>
      <c r="K359" s="22" t="s">
        <v>1568</v>
      </c>
      <c r="L359" s="22" t="s">
        <v>2170</v>
      </c>
      <c r="M359" s="22" t="s">
        <v>1564</v>
      </c>
      <c r="N359" s="29" t="s">
        <v>144</v>
      </c>
      <c r="O359" s="22" t="s">
        <v>1491</v>
      </c>
      <c r="P359" s="22" t="s">
        <v>2077</v>
      </c>
    </row>
    <row r="360" customFormat="false" ht="15" hidden="false" customHeight="false" outlineLevel="0" collapsed="false">
      <c r="A360" s="22" t="n">
        <v>357</v>
      </c>
      <c r="B360" s="22" t="s">
        <v>277</v>
      </c>
      <c r="C360" s="22" t="s">
        <v>1547</v>
      </c>
      <c r="D360" s="22" t="s">
        <v>386</v>
      </c>
      <c r="E360" s="28" t="n">
        <v>0</v>
      </c>
      <c r="F360" s="28" t="n">
        <v>50220833</v>
      </c>
      <c r="G360" s="28" t="n">
        <f aca="false">E360-F360</f>
        <v>-50220833</v>
      </c>
      <c r="H360" s="23" t="n">
        <v>46099</v>
      </c>
      <c r="I360" s="22" t="s">
        <v>1660</v>
      </c>
      <c r="J360" s="22" t="s">
        <v>2080</v>
      </c>
      <c r="K360" s="22" t="s">
        <v>1568</v>
      </c>
      <c r="L360" s="22" t="s">
        <v>2171</v>
      </c>
      <c r="M360" s="22" t="s">
        <v>1564</v>
      </c>
      <c r="N360" s="29" t="s">
        <v>144</v>
      </c>
      <c r="O360" s="22" t="s">
        <v>1491</v>
      </c>
      <c r="P360" s="22" t="s">
        <v>2077</v>
      </c>
    </row>
    <row r="361" customFormat="false" ht="15" hidden="false" customHeight="false" outlineLevel="0" collapsed="false">
      <c r="A361" s="22" t="n">
        <v>358</v>
      </c>
      <c r="B361" s="22" t="s">
        <v>277</v>
      </c>
      <c r="C361" s="22" t="s">
        <v>1547</v>
      </c>
      <c r="D361" s="22" t="s">
        <v>386</v>
      </c>
      <c r="E361" s="28" t="n">
        <v>0</v>
      </c>
      <c r="F361" s="28" t="n">
        <v>40816667</v>
      </c>
      <c r="G361" s="28" t="n">
        <f aca="false">E361-F361</f>
        <v>-40816667</v>
      </c>
      <c r="H361" s="23" t="n">
        <v>46134</v>
      </c>
      <c r="I361" s="22" t="s">
        <v>1660</v>
      </c>
      <c r="J361" s="22" t="s">
        <v>2085</v>
      </c>
      <c r="K361" s="22" t="s">
        <v>1568</v>
      </c>
      <c r="L361" s="22" t="s">
        <v>2172</v>
      </c>
      <c r="M361" s="22" t="s">
        <v>1564</v>
      </c>
      <c r="N361" s="29" t="s">
        <v>144</v>
      </c>
      <c r="O361" s="22" t="s">
        <v>1491</v>
      </c>
      <c r="P361" s="22" t="s">
        <v>2077</v>
      </c>
    </row>
    <row r="362" customFormat="false" ht="15" hidden="false" customHeight="false" outlineLevel="0" collapsed="false">
      <c r="A362" s="22" t="n">
        <v>359</v>
      </c>
      <c r="B362" s="22" t="s">
        <v>277</v>
      </c>
      <c r="C362" s="22" t="s">
        <v>1547</v>
      </c>
      <c r="D362" s="22" t="s">
        <v>386</v>
      </c>
      <c r="E362" s="28" t="n">
        <v>137225000</v>
      </c>
      <c r="F362" s="28" t="n">
        <v>0</v>
      </c>
      <c r="G362" s="28" t="n">
        <f aca="false">E362-F362</f>
        <v>137225000</v>
      </c>
      <c r="H362" s="23" t="n">
        <v>46136</v>
      </c>
      <c r="I362" s="22" t="s">
        <v>1598</v>
      </c>
      <c r="J362" s="22" t="s">
        <v>2173</v>
      </c>
      <c r="K362" s="22" t="s">
        <v>1614</v>
      </c>
      <c r="L362" s="22" t="s">
        <v>2174</v>
      </c>
      <c r="M362" s="22" t="s">
        <v>1577</v>
      </c>
      <c r="N362" s="29" t="s">
        <v>144</v>
      </c>
      <c r="O362" s="22" t="s">
        <v>1491</v>
      </c>
      <c r="P362" s="22" t="s">
        <v>2084</v>
      </c>
    </row>
    <row r="363" customFormat="false" ht="15" hidden="false" customHeight="false" outlineLevel="0" collapsed="false">
      <c r="A363" s="22" t="n">
        <v>360</v>
      </c>
      <c r="B363" s="22" t="s">
        <v>277</v>
      </c>
      <c r="C363" s="22" t="s">
        <v>1547</v>
      </c>
      <c r="D363" s="22" t="s">
        <v>386</v>
      </c>
      <c r="E363" s="28" t="n">
        <v>0</v>
      </c>
      <c r="F363" s="28" t="n">
        <v>35963889</v>
      </c>
      <c r="G363" s="28" t="n">
        <f aca="false">E363-F363</f>
        <v>-35963889</v>
      </c>
      <c r="H363" s="23" t="n">
        <v>46162</v>
      </c>
      <c r="I363" s="22" t="s">
        <v>1660</v>
      </c>
      <c r="J363" s="22" t="s">
        <v>2087</v>
      </c>
      <c r="K363" s="22" t="s">
        <v>1568</v>
      </c>
      <c r="L363" s="22" t="s">
        <v>2175</v>
      </c>
      <c r="M363" s="22" t="s">
        <v>1564</v>
      </c>
      <c r="N363" s="29" t="s">
        <v>144</v>
      </c>
      <c r="O363" s="22" t="s">
        <v>1491</v>
      </c>
      <c r="P363" s="22" t="s">
        <v>2077</v>
      </c>
    </row>
    <row r="364" customFormat="false" ht="15" hidden="false" customHeight="false" outlineLevel="0" collapsed="false">
      <c r="A364" s="22" t="n">
        <v>361</v>
      </c>
      <c r="B364" s="22" t="s">
        <v>277</v>
      </c>
      <c r="C364" s="22" t="s">
        <v>1547</v>
      </c>
      <c r="D364" s="22" t="s">
        <v>386</v>
      </c>
      <c r="E364" s="28" t="n">
        <v>0</v>
      </c>
      <c r="F364" s="28" t="n">
        <v>35963889</v>
      </c>
      <c r="G364" s="28" t="n">
        <f aca="false">E364-F364</f>
        <v>-35963889</v>
      </c>
      <c r="H364" s="23" t="n">
        <v>46203</v>
      </c>
      <c r="I364" s="22" t="s">
        <v>1660</v>
      </c>
      <c r="J364" s="22" t="s">
        <v>2095</v>
      </c>
      <c r="K364" s="22" t="s">
        <v>1568</v>
      </c>
      <c r="L364" s="22" t="s">
        <v>2176</v>
      </c>
      <c r="M364" s="22" t="s">
        <v>1564</v>
      </c>
      <c r="N364" s="29" t="s">
        <v>144</v>
      </c>
      <c r="O364" s="22" t="s">
        <v>1491</v>
      </c>
      <c r="P364" s="22" t="s">
        <v>2077</v>
      </c>
    </row>
    <row r="365" customFormat="false" ht="15" hidden="false" customHeight="false" outlineLevel="0" collapsed="false">
      <c r="A365" s="22" t="n">
        <v>362</v>
      </c>
      <c r="B365" s="22" t="s">
        <v>277</v>
      </c>
      <c r="C365" s="22" t="s">
        <v>1547</v>
      </c>
      <c r="D365" s="22" t="s">
        <v>386</v>
      </c>
      <c r="E365" s="28" t="n">
        <v>0</v>
      </c>
      <c r="F365" s="28" t="n">
        <v>34853982</v>
      </c>
      <c r="G365" s="28" t="n">
        <f aca="false">E365-F365</f>
        <v>-34853982</v>
      </c>
      <c r="H365" s="23" t="n">
        <v>46227</v>
      </c>
      <c r="I365" s="22" t="s">
        <v>1660</v>
      </c>
      <c r="J365" s="22" t="s">
        <v>2123</v>
      </c>
      <c r="K365" s="22" t="s">
        <v>1568</v>
      </c>
      <c r="L365" s="22" t="s">
        <v>2177</v>
      </c>
      <c r="M365" s="22" t="s">
        <v>1564</v>
      </c>
      <c r="N365" s="29" t="s">
        <v>144</v>
      </c>
      <c r="O365" s="22" t="s">
        <v>1491</v>
      </c>
      <c r="P365" s="22" t="s">
        <v>2077</v>
      </c>
    </row>
    <row r="366" customFormat="false" ht="15" hidden="false" customHeight="false" outlineLevel="0" collapsed="false">
      <c r="A366" s="22" t="n">
        <v>363</v>
      </c>
      <c r="B366" s="22" t="s">
        <v>277</v>
      </c>
      <c r="C366" s="22" t="s">
        <v>1547</v>
      </c>
      <c r="D366" s="22" t="s">
        <v>386</v>
      </c>
      <c r="E366" s="28" t="n">
        <v>106781760</v>
      </c>
      <c r="F366" s="28" t="n">
        <v>0</v>
      </c>
      <c r="G366" s="28" t="n">
        <f aca="false">E366-F366</f>
        <v>106781760</v>
      </c>
      <c r="H366" s="23" t="n">
        <v>46231</v>
      </c>
      <c r="I366" s="22" t="s">
        <v>1598</v>
      </c>
      <c r="J366" s="22" t="s">
        <v>2178</v>
      </c>
      <c r="K366" s="22" t="s">
        <v>1614</v>
      </c>
      <c r="L366" s="22" t="s">
        <v>2179</v>
      </c>
      <c r="M366" s="22" t="s">
        <v>1577</v>
      </c>
      <c r="N366" s="29" t="s">
        <v>144</v>
      </c>
      <c r="O366" s="22" t="s">
        <v>1491</v>
      </c>
      <c r="P366" s="22" t="s">
        <v>2084</v>
      </c>
    </row>
    <row r="367" customFormat="false" ht="15" hidden="false" customHeight="false" outlineLevel="0" collapsed="false">
      <c r="A367" s="22" t="n">
        <v>364</v>
      </c>
      <c r="B367" s="22" t="s">
        <v>278</v>
      </c>
      <c r="C367" s="22" t="s">
        <v>1548</v>
      </c>
      <c r="D367" s="22" t="s">
        <v>1358</v>
      </c>
      <c r="E367" s="28" t="n">
        <v>0</v>
      </c>
      <c r="F367" s="28" t="n">
        <v>19069144</v>
      </c>
      <c r="G367" s="28" t="n">
        <f aca="false">E367-F367</f>
        <v>-19069144</v>
      </c>
      <c r="H367" s="23" t="n">
        <v>46050</v>
      </c>
      <c r="I367" s="22" t="s">
        <v>1660</v>
      </c>
      <c r="J367" s="22" t="s">
        <v>2075</v>
      </c>
      <c r="K367" s="22" t="s">
        <v>1568</v>
      </c>
      <c r="L367" s="22" t="s">
        <v>2180</v>
      </c>
      <c r="M367" s="22" t="s">
        <v>1564</v>
      </c>
      <c r="N367" s="29" t="s">
        <v>125</v>
      </c>
      <c r="O367" s="22" t="s">
        <v>1519</v>
      </c>
      <c r="P367" s="22" t="s">
        <v>2077</v>
      </c>
    </row>
    <row r="368" customFormat="false" ht="15" hidden="false" customHeight="false" outlineLevel="0" collapsed="false">
      <c r="A368" s="22" t="n">
        <v>365</v>
      </c>
      <c r="B368" s="22" t="s">
        <v>278</v>
      </c>
      <c r="C368" s="22" t="s">
        <v>1548</v>
      </c>
      <c r="D368" s="22" t="s">
        <v>1358</v>
      </c>
      <c r="E368" s="28" t="n">
        <v>53364768</v>
      </c>
      <c r="F368" s="28" t="n">
        <v>0</v>
      </c>
      <c r="G368" s="28" t="n">
        <f aca="false">E368-F368</f>
        <v>53364768</v>
      </c>
      <c r="H368" s="23" t="n">
        <v>46051</v>
      </c>
      <c r="I368" s="22" t="s">
        <v>1992</v>
      </c>
      <c r="J368" s="22" t="s">
        <v>2181</v>
      </c>
      <c r="K368" s="22" t="s">
        <v>1614</v>
      </c>
      <c r="L368" s="22" t="s">
        <v>2182</v>
      </c>
      <c r="M368" s="22" t="s">
        <v>1577</v>
      </c>
      <c r="N368" s="29" t="s">
        <v>125</v>
      </c>
      <c r="O368" s="22" t="s">
        <v>1519</v>
      </c>
      <c r="P368" s="22" t="s">
        <v>2084</v>
      </c>
    </row>
    <row r="369" customFormat="false" ht="15" hidden="false" customHeight="false" outlineLevel="0" collapsed="false">
      <c r="A369" s="22" t="n">
        <v>366</v>
      </c>
      <c r="B369" s="22" t="s">
        <v>278</v>
      </c>
      <c r="C369" s="22" t="s">
        <v>1548</v>
      </c>
      <c r="D369" s="22" t="s">
        <v>1358</v>
      </c>
      <c r="E369" s="28" t="n">
        <v>0</v>
      </c>
      <c r="F369" s="28" t="n">
        <v>17158629</v>
      </c>
      <c r="G369" s="28" t="n">
        <f aca="false">E369-F369</f>
        <v>-17158629</v>
      </c>
      <c r="H369" s="23" t="n">
        <v>46072</v>
      </c>
      <c r="I369" s="22" t="s">
        <v>1660</v>
      </c>
      <c r="J369" s="22" t="s">
        <v>2078</v>
      </c>
      <c r="K369" s="22" t="s">
        <v>1568</v>
      </c>
      <c r="L369" s="22" t="s">
        <v>2183</v>
      </c>
      <c r="M369" s="22" t="s">
        <v>1564</v>
      </c>
      <c r="N369" s="29" t="s">
        <v>125</v>
      </c>
      <c r="O369" s="22" t="s">
        <v>1519</v>
      </c>
      <c r="P369" s="22" t="s">
        <v>2077</v>
      </c>
    </row>
    <row r="370" customFormat="false" ht="15" hidden="false" customHeight="false" outlineLevel="0" collapsed="false">
      <c r="A370" s="22" t="n">
        <v>367</v>
      </c>
      <c r="B370" s="22" t="s">
        <v>278</v>
      </c>
      <c r="C370" s="22" t="s">
        <v>1548</v>
      </c>
      <c r="D370" s="22" t="s">
        <v>1358</v>
      </c>
      <c r="E370" s="28" t="n">
        <v>0</v>
      </c>
      <c r="F370" s="28" t="n">
        <v>17158629</v>
      </c>
      <c r="G370" s="28" t="n">
        <f aca="false">E370-F370</f>
        <v>-17158629</v>
      </c>
      <c r="H370" s="23" t="n">
        <v>46099</v>
      </c>
      <c r="I370" s="22" t="s">
        <v>1660</v>
      </c>
      <c r="J370" s="22" t="s">
        <v>2080</v>
      </c>
      <c r="K370" s="22" t="s">
        <v>1568</v>
      </c>
      <c r="L370" s="22" t="s">
        <v>2184</v>
      </c>
      <c r="M370" s="22" t="s">
        <v>1564</v>
      </c>
      <c r="N370" s="29" t="s">
        <v>125</v>
      </c>
      <c r="O370" s="22" t="s">
        <v>1519</v>
      </c>
      <c r="P370" s="22" t="s">
        <v>2077</v>
      </c>
    </row>
    <row r="371" customFormat="false" ht="15" hidden="false" customHeight="false" outlineLevel="0" collapsed="false">
      <c r="A371" s="22" t="n">
        <v>368</v>
      </c>
      <c r="B371" s="22" t="s">
        <v>278</v>
      </c>
      <c r="C371" s="22" t="s">
        <v>1548</v>
      </c>
      <c r="D371" s="22" t="s">
        <v>1358</v>
      </c>
      <c r="E371" s="28" t="n">
        <v>0</v>
      </c>
      <c r="F371" s="28" t="n">
        <v>21110612</v>
      </c>
      <c r="G371" s="28" t="n">
        <f aca="false">E371-F371</f>
        <v>-21110612</v>
      </c>
      <c r="H371" s="23" t="n">
        <v>46134</v>
      </c>
      <c r="I371" s="22" t="s">
        <v>1660</v>
      </c>
      <c r="J371" s="22" t="s">
        <v>2085</v>
      </c>
      <c r="K371" s="22" t="s">
        <v>1568</v>
      </c>
      <c r="L371" s="22" t="s">
        <v>2185</v>
      </c>
      <c r="M371" s="22" t="s">
        <v>1564</v>
      </c>
      <c r="N371" s="29" t="s">
        <v>125</v>
      </c>
      <c r="O371" s="22" t="s">
        <v>1519</v>
      </c>
      <c r="P371" s="22" t="s">
        <v>2077</v>
      </c>
    </row>
    <row r="372" customFormat="false" ht="15" hidden="false" customHeight="false" outlineLevel="0" collapsed="false">
      <c r="A372" s="22" t="n">
        <v>369</v>
      </c>
      <c r="B372" s="22" t="s">
        <v>278</v>
      </c>
      <c r="C372" s="22" t="s">
        <v>1548</v>
      </c>
      <c r="D372" s="22" t="s">
        <v>1358</v>
      </c>
      <c r="E372" s="28" t="n">
        <v>55427870</v>
      </c>
      <c r="F372" s="28" t="n">
        <v>0</v>
      </c>
      <c r="G372" s="28" t="n">
        <f aca="false">E372-F372</f>
        <v>55427870</v>
      </c>
      <c r="H372" s="23" t="n">
        <v>46136</v>
      </c>
      <c r="I372" s="22" t="s">
        <v>1992</v>
      </c>
      <c r="J372" s="22" t="s">
        <v>460</v>
      </c>
      <c r="K372" s="22" t="s">
        <v>1614</v>
      </c>
      <c r="L372" s="22" t="s">
        <v>2186</v>
      </c>
      <c r="M372" s="22" t="s">
        <v>1577</v>
      </c>
      <c r="N372" s="29" t="s">
        <v>125</v>
      </c>
      <c r="O372" s="22" t="s">
        <v>1519</v>
      </c>
      <c r="P372" s="22" t="s">
        <v>2084</v>
      </c>
    </row>
    <row r="373" customFormat="false" ht="15" hidden="false" customHeight="false" outlineLevel="0" collapsed="false">
      <c r="A373" s="22" t="n">
        <v>370</v>
      </c>
      <c r="B373" s="22" t="s">
        <v>278</v>
      </c>
      <c r="C373" s="22" t="s">
        <v>1548</v>
      </c>
      <c r="D373" s="22" t="s">
        <v>1358</v>
      </c>
      <c r="E373" s="28" t="n">
        <v>0</v>
      </c>
      <c r="F373" s="28" t="n">
        <v>17169742</v>
      </c>
      <c r="G373" s="28" t="n">
        <f aca="false">E373-F373</f>
        <v>-17169742</v>
      </c>
      <c r="H373" s="23" t="n">
        <v>46162</v>
      </c>
      <c r="I373" s="22" t="s">
        <v>1660</v>
      </c>
      <c r="J373" s="22" t="s">
        <v>2087</v>
      </c>
      <c r="K373" s="22" t="s">
        <v>1568</v>
      </c>
      <c r="L373" s="22" t="s">
        <v>2187</v>
      </c>
      <c r="M373" s="22" t="s">
        <v>1564</v>
      </c>
      <c r="N373" s="29" t="s">
        <v>125</v>
      </c>
      <c r="O373" s="22" t="s">
        <v>1519</v>
      </c>
      <c r="P373" s="22" t="s">
        <v>2077</v>
      </c>
    </row>
    <row r="374" customFormat="false" ht="15" hidden="false" customHeight="false" outlineLevel="0" collapsed="false">
      <c r="A374" s="22" t="n">
        <v>371</v>
      </c>
      <c r="B374" s="22" t="s">
        <v>278</v>
      </c>
      <c r="C374" s="22" t="s">
        <v>1548</v>
      </c>
      <c r="D374" s="22" t="s">
        <v>1358</v>
      </c>
      <c r="E374" s="28" t="n">
        <v>0</v>
      </c>
      <c r="F374" s="28" t="n">
        <v>17169742</v>
      </c>
      <c r="G374" s="28" t="n">
        <f aca="false">E374-F374</f>
        <v>-17169742</v>
      </c>
      <c r="H374" s="23" t="n">
        <v>46203</v>
      </c>
      <c r="I374" s="22" t="s">
        <v>1660</v>
      </c>
      <c r="J374" s="22" t="s">
        <v>2095</v>
      </c>
      <c r="K374" s="22" t="s">
        <v>1568</v>
      </c>
      <c r="L374" s="22" t="s">
        <v>2188</v>
      </c>
      <c r="M374" s="22" t="s">
        <v>1564</v>
      </c>
      <c r="N374" s="29" t="s">
        <v>125</v>
      </c>
      <c r="O374" s="22" t="s">
        <v>1519</v>
      </c>
      <c r="P374" s="22" t="s">
        <v>2077</v>
      </c>
    </row>
    <row r="375" customFormat="false" ht="15" hidden="false" customHeight="false" outlineLevel="0" collapsed="false">
      <c r="A375" s="22" t="n">
        <v>372</v>
      </c>
      <c r="B375" s="22" t="s">
        <v>278</v>
      </c>
      <c r="C375" s="22" t="s">
        <v>1548</v>
      </c>
      <c r="D375" s="22" t="s">
        <v>1358</v>
      </c>
      <c r="E375" s="28" t="n">
        <v>0</v>
      </c>
      <c r="F375" s="28" t="n">
        <v>29702366</v>
      </c>
      <c r="G375" s="28" t="n">
        <f aca="false">E375-F375</f>
        <v>-29702366</v>
      </c>
      <c r="H375" s="23" t="n">
        <v>46227</v>
      </c>
      <c r="I375" s="22" t="s">
        <v>1660</v>
      </c>
      <c r="J375" s="22" t="s">
        <v>2123</v>
      </c>
      <c r="K375" s="22" t="s">
        <v>1568</v>
      </c>
      <c r="L375" s="22" t="s">
        <v>2189</v>
      </c>
      <c r="M375" s="22" t="s">
        <v>1564</v>
      </c>
      <c r="N375" s="29" t="s">
        <v>125</v>
      </c>
      <c r="O375" s="22" t="s">
        <v>1519</v>
      </c>
      <c r="P375" s="22" t="s">
        <v>2077</v>
      </c>
    </row>
    <row r="376" customFormat="false" ht="15" hidden="false" customHeight="false" outlineLevel="0" collapsed="false">
      <c r="A376" s="22" t="n">
        <v>373</v>
      </c>
      <c r="B376" s="22" t="s">
        <v>278</v>
      </c>
      <c r="C376" s="22" t="s">
        <v>1548</v>
      </c>
      <c r="D376" s="22" t="s">
        <v>1358</v>
      </c>
      <c r="E376" s="28" t="n">
        <v>64041850</v>
      </c>
      <c r="F376" s="28" t="n">
        <v>0</v>
      </c>
      <c r="G376" s="28" t="n">
        <f aca="false">E376-F376</f>
        <v>64041850</v>
      </c>
      <c r="H376" s="23" t="n">
        <v>46231</v>
      </c>
      <c r="I376" s="22" t="s">
        <v>1992</v>
      </c>
      <c r="J376" s="22" t="s">
        <v>462</v>
      </c>
      <c r="K376" s="22" t="s">
        <v>1614</v>
      </c>
      <c r="L376" s="22" t="s">
        <v>2190</v>
      </c>
      <c r="M376" s="22" t="s">
        <v>1577</v>
      </c>
      <c r="N376" s="29" t="s">
        <v>125</v>
      </c>
      <c r="O376" s="22" t="s">
        <v>1519</v>
      </c>
      <c r="P376" s="22" t="s">
        <v>2084</v>
      </c>
    </row>
    <row r="377" customFormat="false" ht="15" hidden="false" customHeight="false" outlineLevel="0" collapsed="false">
      <c r="A377" s="22" t="n">
        <v>374</v>
      </c>
      <c r="B377" s="22" t="s">
        <v>278</v>
      </c>
      <c r="C377" s="22" t="s">
        <v>1548</v>
      </c>
      <c r="D377" s="22" t="s">
        <v>523</v>
      </c>
      <c r="E377" s="28" t="n">
        <v>0</v>
      </c>
      <c r="F377" s="28" t="n">
        <v>13150699</v>
      </c>
      <c r="G377" s="28" t="n">
        <f aca="false">E377-F377</f>
        <v>-13150699</v>
      </c>
      <c r="H377" s="23" t="n">
        <v>46050</v>
      </c>
      <c r="I377" s="22" t="s">
        <v>1660</v>
      </c>
      <c r="J377" s="22" t="s">
        <v>2075</v>
      </c>
      <c r="K377" s="22" t="s">
        <v>1568</v>
      </c>
      <c r="L377" s="22" t="s">
        <v>2191</v>
      </c>
      <c r="M377" s="22" t="s">
        <v>1564</v>
      </c>
      <c r="N377" s="29" t="s">
        <v>138</v>
      </c>
      <c r="O377" s="22" t="s">
        <v>1519</v>
      </c>
      <c r="P377" s="22" t="s">
        <v>2077</v>
      </c>
    </row>
    <row r="378" customFormat="false" ht="15" hidden="false" customHeight="false" outlineLevel="0" collapsed="false">
      <c r="A378" s="22" t="n">
        <v>375</v>
      </c>
      <c r="B378" s="22" t="s">
        <v>278</v>
      </c>
      <c r="C378" s="22" t="s">
        <v>1548</v>
      </c>
      <c r="D378" s="22" t="s">
        <v>523</v>
      </c>
      <c r="E378" s="28" t="n">
        <v>0</v>
      </c>
      <c r="F378" s="28" t="n">
        <v>8996851</v>
      </c>
      <c r="G378" s="28" t="n">
        <f aca="false">E378-F378</f>
        <v>-8996851</v>
      </c>
      <c r="H378" s="23" t="n">
        <v>46050</v>
      </c>
      <c r="I378" s="22" t="s">
        <v>1660</v>
      </c>
      <c r="J378" s="22" t="s">
        <v>2075</v>
      </c>
      <c r="K378" s="22" t="s">
        <v>1568</v>
      </c>
      <c r="L378" s="22" t="s">
        <v>2192</v>
      </c>
      <c r="M378" s="22" t="s">
        <v>1564</v>
      </c>
      <c r="N378" s="29" t="s">
        <v>136</v>
      </c>
      <c r="O378" s="22" t="s">
        <v>1519</v>
      </c>
      <c r="P378" s="22" t="s">
        <v>2077</v>
      </c>
    </row>
    <row r="379" customFormat="false" ht="15" hidden="false" customHeight="false" outlineLevel="0" collapsed="false">
      <c r="A379" s="22" t="n">
        <v>376</v>
      </c>
      <c r="B379" s="22" t="s">
        <v>278</v>
      </c>
      <c r="C379" s="22" t="s">
        <v>1548</v>
      </c>
      <c r="D379" s="22" t="s">
        <v>523</v>
      </c>
      <c r="E379" s="28" t="n">
        <v>0</v>
      </c>
      <c r="F379" s="28" t="n">
        <v>8996851</v>
      </c>
      <c r="G379" s="28" t="n">
        <f aca="false">E379-F379</f>
        <v>-8996851</v>
      </c>
      <c r="H379" s="23" t="n">
        <v>46050</v>
      </c>
      <c r="I379" s="22" t="s">
        <v>1660</v>
      </c>
      <c r="J379" s="22" t="s">
        <v>2075</v>
      </c>
      <c r="K379" s="22" t="s">
        <v>1568</v>
      </c>
      <c r="L379" s="22" t="s">
        <v>2193</v>
      </c>
      <c r="M379" s="22" t="s">
        <v>1564</v>
      </c>
      <c r="N379" s="29" t="s">
        <v>135</v>
      </c>
      <c r="O379" s="22" t="s">
        <v>1519</v>
      </c>
      <c r="P379" s="22" t="s">
        <v>2077</v>
      </c>
    </row>
    <row r="380" customFormat="false" ht="15" hidden="false" customHeight="false" outlineLevel="0" collapsed="false">
      <c r="A380" s="22" t="n">
        <v>377</v>
      </c>
      <c r="B380" s="22" t="s">
        <v>278</v>
      </c>
      <c r="C380" s="22" t="s">
        <v>1548</v>
      </c>
      <c r="D380" s="22" t="s">
        <v>523</v>
      </c>
      <c r="E380" s="28" t="n">
        <v>0</v>
      </c>
      <c r="F380" s="28" t="n">
        <v>3315230</v>
      </c>
      <c r="G380" s="28" t="n">
        <f aca="false">E380-F380</f>
        <v>-3315230</v>
      </c>
      <c r="H380" s="23" t="n">
        <v>46050</v>
      </c>
      <c r="I380" s="22" t="s">
        <v>1660</v>
      </c>
      <c r="J380" s="22" t="s">
        <v>2075</v>
      </c>
      <c r="K380" s="22" t="s">
        <v>1568</v>
      </c>
      <c r="L380" s="22" t="s">
        <v>2194</v>
      </c>
      <c r="M380" s="22" t="s">
        <v>1564</v>
      </c>
      <c r="N380" s="29" t="s">
        <v>134</v>
      </c>
      <c r="O380" s="22" t="s">
        <v>1519</v>
      </c>
      <c r="P380" s="22" t="s">
        <v>2077</v>
      </c>
    </row>
    <row r="381" customFormat="false" ht="15" hidden="false" customHeight="false" outlineLevel="0" collapsed="false">
      <c r="A381" s="22" t="n">
        <v>378</v>
      </c>
      <c r="B381" s="22" t="s">
        <v>278</v>
      </c>
      <c r="C381" s="22" t="s">
        <v>1548</v>
      </c>
      <c r="D381" s="22" t="s">
        <v>523</v>
      </c>
      <c r="E381" s="28" t="n">
        <v>0</v>
      </c>
      <c r="F381" s="28" t="n">
        <v>3315230</v>
      </c>
      <c r="G381" s="28" t="n">
        <f aca="false">E381-F381</f>
        <v>-3315230</v>
      </c>
      <c r="H381" s="23" t="n">
        <v>46050</v>
      </c>
      <c r="I381" s="22" t="s">
        <v>1660</v>
      </c>
      <c r="J381" s="22" t="s">
        <v>2075</v>
      </c>
      <c r="K381" s="22" t="s">
        <v>1568</v>
      </c>
      <c r="L381" s="22" t="s">
        <v>2195</v>
      </c>
      <c r="M381" s="22" t="s">
        <v>1564</v>
      </c>
      <c r="N381" s="29" t="s">
        <v>133</v>
      </c>
      <c r="O381" s="22" t="s">
        <v>1519</v>
      </c>
      <c r="P381" s="22" t="s">
        <v>2077</v>
      </c>
    </row>
    <row r="382" customFormat="false" ht="15" hidden="false" customHeight="false" outlineLevel="0" collapsed="false">
      <c r="A382" s="22" t="n">
        <v>379</v>
      </c>
      <c r="B382" s="22" t="s">
        <v>278</v>
      </c>
      <c r="C382" s="22" t="s">
        <v>1548</v>
      </c>
      <c r="D382" s="22" t="s">
        <v>523</v>
      </c>
      <c r="E382" s="28" t="n">
        <v>0</v>
      </c>
      <c r="F382" s="28" t="n">
        <v>3143760</v>
      </c>
      <c r="G382" s="28" t="n">
        <f aca="false">E382-F382</f>
        <v>-3143760</v>
      </c>
      <c r="H382" s="23" t="n">
        <v>46050</v>
      </c>
      <c r="I382" s="22" t="s">
        <v>1660</v>
      </c>
      <c r="J382" s="22" t="s">
        <v>2075</v>
      </c>
      <c r="K382" s="22" t="s">
        <v>1568</v>
      </c>
      <c r="L382" s="22" t="s">
        <v>2196</v>
      </c>
      <c r="M382" s="22" t="s">
        <v>1564</v>
      </c>
      <c r="N382" s="29" t="s">
        <v>137</v>
      </c>
      <c r="O382" s="22" t="s">
        <v>1519</v>
      </c>
      <c r="P382" s="22" t="s">
        <v>2077</v>
      </c>
    </row>
    <row r="383" customFormat="false" ht="15" hidden="false" customHeight="false" outlineLevel="0" collapsed="false">
      <c r="A383" s="22" t="n">
        <v>380</v>
      </c>
      <c r="B383" s="22" t="s">
        <v>278</v>
      </c>
      <c r="C383" s="22" t="s">
        <v>1548</v>
      </c>
      <c r="D383" s="22" t="s">
        <v>523</v>
      </c>
      <c r="E383" s="28" t="n">
        <v>13954010</v>
      </c>
      <c r="F383" s="28" t="n">
        <v>0</v>
      </c>
      <c r="G383" s="28" t="n">
        <f aca="false">E383-F383</f>
        <v>13954010</v>
      </c>
      <c r="H383" s="23" t="n">
        <v>46051</v>
      </c>
      <c r="I383" s="22" t="s">
        <v>1566</v>
      </c>
      <c r="J383" s="22" t="s">
        <v>2197</v>
      </c>
      <c r="K383" s="22" t="s">
        <v>1614</v>
      </c>
      <c r="L383" s="22" t="s">
        <v>2198</v>
      </c>
      <c r="M383" s="22" t="s">
        <v>1577</v>
      </c>
      <c r="N383" s="29" t="s">
        <v>137</v>
      </c>
      <c r="O383" s="22" t="s">
        <v>1519</v>
      </c>
      <c r="P383" s="22" t="s">
        <v>2084</v>
      </c>
    </row>
    <row r="384" customFormat="false" ht="15" hidden="false" customHeight="false" outlineLevel="0" collapsed="false">
      <c r="A384" s="22" t="n">
        <v>381</v>
      </c>
      <c r="B384" s="22" t="s">
        <v>278</v>
      </c>
      <c r="C384" s="22" t="s">
        <v>1548</v>
      </c>
      <c r="D384" s="22" t="s">
        <v>523</v>
      </c>
      <c r="E384" s="28" t="n">
        <v>37721963</v>
      </c>
      <c r="F384" s="28" t="n">
        <v>0</v>
      </c>
      <c r="G384" s="28" t="n">
        <f aca="false">E384-F384</f>
        <v>37721963</v>
      </c>
      <c r="H384" s="23" t="n">
        <v>46051</v>
      </c>
      <c r="I384" s="22" t="s">
        <v>1566</v>
      </c>
      <c r="J384" s="22" t="s">
        <v>2199</v>
      </c>
      <c r="K384" s="22" t="s">
        <v>1614</v>
      </c>
      <c r="L384" s="22" t="s">
        <v>2200</v>
      </c>
      <c r="M384" s="22" t="s">
        <v>1577</v>
      </c>
      <c r="N384" s="29" t="s">
        <v>138</v>
      </c>
      <c r="O384" s="22" t="s">
        <v>1519</v>
      </c>
      <c r="P384" s="22" t="s">
        <v>2084</v>
      </c>
    </row>
    <row r="385" customFormat="false" ht="15" hidden="false" customHeight="false" outlineLevel="0" collapsed="false">
      <c r="A385" s="22" t="n">
        <v>382</v>
      </c>
      <c r="B385" s="22" t="s">
        <v>278</v>
      </c>
      <c r="C385" s="22" t="s">
        <v>1548</v>
      </c>
      <c r="D385" s="22" t="s">
        <v>523</v>
      </c>
      <c r="E385" s="28" t="n">
        <v>13951120</v>
      </c>
      <c r="F385" s="28" t="n">
        <v>0</v>
      </c>
      <c r="G385" s="28" t="n">
        <f aca="false">E385-F385</f>
        <v>13951120</v>
      </c>
      <c r="H385" s="23" t="n">
        <v>46051</v>
      </c>
      <c r="I385" s="22" t="s">
        <v>1566</v>
      </c>
      <c r="J385" s="22" t="s">
        <v>2201</v>
      </c>
      <c r="K385" s="22" t="s">
        <v>1614</v>
      </c>
      <c r="L385" s="22" t="s">
        <v>2202</v>
      </c>
      <c r="M385" s="22" t="s">
        <v>1577</v>
      </c>
      <c r="N385" s="29" t="s">
        <v>134</v>
      </c>
      <c r="O385" s="22" t="s">
        <v>1519</v>
      </c>
      <c r="P385" s="22" t="s">
        <v>2084</v>
      </c>
    </row>
    <row r="386" customFormat="false" ht="15" hidden="false" customHeight="false" outlineLevel="0" collapsed="false">
      <c r="A386" s="22" t="n">
        <v>383</v>
      </c>
      <c r="B386" s="22" t="s">
        <v>278</v>
      </c>
      <c r="C386" s="22" t="s">
        <v>1548</v>
      </c>
      <c r="D386" s="22" t="s">
        <v>523</v>
      </c>
      <c r="E386" s="28" t="n">
        <v>13951120</v>
      </c>
      <c r="F386" s="28" t="n">
        <v>0</v>
      </c>
      <c r="G386" s="28" t="n">
        <f aca="false">E386-F386</f>
        <v>13951120</v>
      </c>
      <c r="H386" s="23" t="n">
        <v>46051</v>
      </c>
      <c r="I386" s="22" t="s">
        <v>1566</v>
      </c>
      <c r="J386" s="22" t="s">
        <v>2203</v>
      </c>
      <c r="K386" s="22" t="s">
        <v>1614</v>
      </c>
      <c r="L386" s="22" t="s">
        <v>2204</v>
      </c>
      <c r="M386" s="22" t="s">
        <v>1577</v>
      </c>
      <c r="N386" s="29" t="s">
        <v>133</v>
      </c>
      <c r="O386" s="22" t="s">
        <v>1519</v>
      </c>
      <c r="P386" s="22" t="s">
        <v>2084</v>
      </c>
    </row>
    <row r="387" customFormat="false" ht="15" hidden="false" customHeight="false" outlineLevel="0" collapsed="false">
      <c r="A387" s="22" t="n">
        <v>384</v>
      </c>
      <c r="B387" s="22" t="s">
        <v>278</v>
      </c>
      <c r="C387" s="22" t="s">
        <v>1548</v>
      </c>
      <c r="D387" s="22" t="s">
        <v>523</v>
      </c>
      <c r="E387" s="28" t="n">
        <v>10049649</v>
      </c>
      <c r="F387" s="28" t="n">
        <v>0</v>
      </c>
      <c r="G387" s="28" t="n">
        <f aca="false">E387-F387</f>
        <v>10049649</v>
      </c>
      <c r="H387" s="23" t="n">
        <v>46051</v>
      </c>
      <c r="I387" s="22" t="s">
        <v>1566</v>
      </c>
      <c r="J387" s="22" t="s">
        <v>2205</v>
      </c>
      <c r="K387" s="22" t="s">
        <v>1614</v>
      </c>
      <c r="L387" s="22" t="s">
        <v>2206</v>
      </c>
      <c r="M387" s="22" t="s">
        <v>1577</v>
      </c>
      <c r="N387" s="29" t="s">
        <v>136</v>
      </c>
      <c r="O387" s="22" t="s">
        <v>1519</v>
      </c>
      <c r="P387" s="22" t="s">
        <v>2084</v>
      </c>
    </row>
    <row r="388" customFormat="false" ht="15" hidden="false" customHeight="false" outlineLevel="0" collapsed="false">
      <c r="A388" s="22" t="n">
        <v>385</v>
      </c>
      <c r="B388" s="22" t="s">
        <v>278</v>
      </c>
      <c r="C388" s="22" t="s">
        <v>1548</v>
      </c>
      <c r="D388" s="22" t="s">
        <v>523</v>
      </c>
      <c r="E388" s="28" t="n">
        <v>10049649</v>
      </c>
      <c r="F388" s="28" t="n">
        <v>0</v>
      </c>
      <c r="G388" s="28" t="n">
        <f aca="false">E388-F388</f>
        <v>10049649</v>
      </c>
      <c r="H388" s="23" t="n">
        <v>46051</v>
      </c>
      <c r="I388" s="22" t="s">
        <v>1566</v>
      </c>
      <c r="J388" s="22" t="s">
        <v>2207</v>
      </c>
      <c r="K388" s="22" t="s">
        <v>1614</v>
      </c>
      <c r="L388" s="22" t="s">
        <v>2208</v>
      </c>
      <c r="M388" s="22" t="s">
        <v>1577</v>
      </c>
      <c r="N388" s="29" t="s">
        <v>135</v>
      </c>
      <c r="O388" s="22" t="s">
        <v>1519</v>
      </c>
      <c r="P388" s="22" t="s">
        <v>2084</v>
      </c>
    </row>
    <row r="389" customFormat="false" ht="15" hidden="false" customHeight="false" outlineLevel="0" collapsed="false">
      <c r="A389" s="22" t="n">
        <v>386</v>
      </c>
      <c r="B389" s="22" t="s">
        <v>278</v>
      </c>
      <c r="C389" s="22" t="s">
        <v>1548</v>
      </c>
      <c r="D389" s="22" t="s">
        <v>523</v>
      </c>
      <c r="E389" s="28" t="n">
        <v>0</v>
      </c>
      <c r="F389" s="28" t="n">
        <v>11643321</v>
      </c>
      <c r="G389" s="28" t="n">
        <f aca="false">E389-F389</f>
        <v>-11643321</v>
      </c>
      <c r="H389" s="23" t="n">
        <v>46072</v>
      </c>
      <c r="I389" s="22" t="s">
        <v>1660</v>
      </c>
      <c r="J389" s="22" t="s">
        <v>2078</v>
      </c>
      <c r="K389" s="22" t="s">
        <v>1568</v>
      </c>
      <c r="L389" s="22" t="s">
        <v>2209</v>
      </c>
      <c r="M389" s="22" t="s">
        <v>1564</v>
      </c>
      <c r="N389" s="29" t="s">
        <v>138</v>
      </c>
      <c r="O389" s="22" t="s">
        <v>1519</v>
      </c>
      <c r="P389" s="22" t="s">
        <v>2077</v>
      </c>
    </row>
    <row r="390" customFormat="false" ht="15" hidden="false" customHeight="false" outlineLevel="0" collapsed="false">
      <c r="A390" s="22" t="n">
        <v>387</v>
      </c>
      <c r="B390" s="22" t="s">
        <v>278</v>
      </c>
      <c r="C390" s="22" t="s">
        <v>1548</v>
      </c>
      <c r="D390" s="22" t="s">
        <v>523</v>
      </c>
      <c r="E390" s="28" t="n">
        <v>0</v>
      </c>
      <c r="F390" s="28" t="n">
        <v>480943</v>
      </c>
      <c r="G390" s="28" t="n">
        <f aca="false">E390-F390</f>
        <v>-480943</v>
      </c>
      <c r="H390" s="23" t="n">
        <v>46072</v>
      </c>
      <c r="I390" s="22" t="s">
        <v>1660</v>
      </c>
      <c r="J390" s="22" t="s">
        <v>2078</v>
      </c>
      <c r="K390" s="22" t="s">
        <v>1568</v>
      </c>
      <c r="L390" s="22" t="s">
        <v>2210</v>
      </c>
      <c r="M390" s="22" t="s">
        <v>1564</v>
      </c>
      <c r="N390" s="29" t="s">
        <v>136</v>
      </c>
      <c r="O390" s="22" t="s">
        <v>1519</v>
      </c>
      <c r="P390" s="22" t="s">
        <v>2077</v>
      </c>
    </row>
    <row r="391" customFormat="false" ht="15" hidden="false" customHeight="false" outlineLevel="0" collapsed="false">
      <c r="A391" s="22" t="n">
        <v>388</v>
      </c>
      <c r="B391" s="22" t="s">
        <v>278</v>
      </c>
      <c r="C391" s="22" t="s">
        <v>1548</v>
      </c>
      <c r="D391" s="22" t="s">
        <v>523</v>
      </c>
      <c r="E391" s="28" t="n">
        <v>0</v>
      </c>
      <c r="F391" s="28" t="n">
        <v>480943</v>
      </c>
      <c r="G391" s="28" t="n">
        <f aca="false">E391-F391</f>
        <v>-480943</v>
      </c>
      <c r="H391" s="23" t="n">
        <v>46072</v>
      </c>
      <c r="I391" s="22" t="s">
        <v>1660</v>
      </c>
      <c r="J391" s="22" t="s">
        <v>2078</v>
      </c>
      <c r="K391" s="22" t="s">
        <v>1568</v>
      </c>
      <c r="L391" s="22" t="s">
        <v>2211</v>
      </c>
      <c r="M391" s="22" t="s">
        <v>1564</v>
      </c>
      <c r="N391" s="29" t="s">
        <v>135</v>
      </c>
      <c r="O391" s="22" t="s">
        <v>1519</v>
      </c>
      <c r="P391" s="22" t="s">
        <v>2077</v>
      </c>
    </row>
    <row r="392" customFormat="false" ht="15" hidden="false" customHeight="false" outlineLevel="0" collapsed="false">
      <c r="A392" s="22" t="n">
        <v>389</v>
      </c>
      <c r="B392" s="22" t="s">
        <v>278</v>
      </c>
      <c r="C392" s="22" t="s">
        <v>1548</v>
      </c>
      <c r="D392" s="22" t="s">
        <v>523</v>
      </c>
      <c r="E392" s="28" t="n">
        <v>0</v>
      </c>
      <c r="F392" s="28" t="n">
        <v>5089087</v>
      </c>
      <c r="G392" s="28" t="n">
        <f aca="false">E392-F392</f>
        <v>-5089087</v>
      </c>
      <c r="H392" s="23" t="n">
        <v>46072</v>
      </c>
      <c r="I392" s="22" t="s">
        <v>1660</v>
      </c>
      <c r="J392" s="22" t="s">
        <v>2078</v>
      </c>
      <c r="K392" s="22" t="s">
        <v>1568</v>
      </c>
      <c r="L392" s="22" t="s">
        <v>2212</v>
      </c>
      <c r="M392" s="22" t="s">
        <v>1564</v>
      </c>
      <c r="N392" s="29" t="s">
        <v>134</v>
      </c>
      <c r="O392" s="22" t="s">
        <v>1519</v>
      </c>
      <c r="P392" s="22" t="s">
        <v>2077</v>
      </c>
    </row>
    <row r="393" customFormat="false" ht="15" hidden="false" customHeight="false" outlineLevel="0" collapsed="false">
      <c r="A393" s="22" t="n">
        <v>390</v>
      </c>
      <c r="B393" s="22" t="s">
        <v>278</v>
      </c>
      <c r="C393" s="22" t="s">
        <v>1548</v>
      </c>
      <c r="D393" s="22" t="s">
        <v>523</v>
      </c>
      <c r="E393" s="28" t="n">
        <v>0</v>
      </c>
      <c r="F393" s="28" t="n">
        <v>5089087</v>
      </c>
      <c r="G393" s="28" t="n">
        <f aca="false">E393-F393</f>
        <v>-5089087</v>
      </c>
      <c r="H393" s="23" t="n">
        <v>46072</v>
      </c>
      <c r="I393" s="22" t="s">
        <v>1660</v>
      </c>
      <c r="J393" s="22" t="s">
        <v>2078</v>
      </c>
      <c r="K393" s="22" t="s">
        <v>1568</v>
      </c>
      <c r="L393" s="22" t="s">
        <v>2213</v>
      </c>
      <c r="M393" s="22" t="s">
        <v>1564</v>
      </c>
      <c r="N393" s="29" t="s">
        <v>133</v>
      </c>
      <c r="O393" s="22" t="s">
        <v>1519</v>
      </c>
      <c r="P393" s="22" t="s">
        <v>2077</v>
      </c>
    </row>
    <row r="394" customFormat="false" ht="15" hidden="false" customHeight="false" outlineLevel="0" collapsed="false">
      <c r="A394" s="22" t="n">
        <v>391</v>
      </c>
      <c r="B394" s="22" t="s">
        <v>278</v>
      </c>
      <c r="C394" s="22" t="s">
        <v>1548</v>
      </c>
      <c r="D394" s="22" t="s">
        <v>523</v>
      </c>
      <c r="E394" s="28" t="n">
        <v>0</v>
      </c>
      <c r="F394" s="28" t="n">
        <v>5173580</v>
      </c>
      <c r="G394" s="28" t="n">
        <f aca="false">E394-F394</f>
        <v>-5173580</v>
      </c>
      <c r="H394" s="23" t="n">
        <v>46072</v>
      </c>
      <c r="I394" s="22" t="s">
        <v>1660</v>
      </c>
      <c r="J394" s="22" t="s">
        <v>2078</v>
      </c>
      <c r="K394" s="22" t="s">
        <v>1568</v>
      </c>
      <c r="L394" s="22" t="s">
        <v>2214</v>
      </c>
      <c r="M394" s="22" t="s">
        <v>1564</v>
      </c>
      <c r="N394" s="29" t="s">
        <v>137</v>
      </c>
      <c r="O394" s="22" t="s">
        <v>1519</v>
      </c>
      <c r="P394" s="22" t="s">
        <v>2077</v>
      </c>
    </row>
    <row r="395" customFormat="false" ht="15" hidden="false" customHeight="false" outlineLevel="0" collapsed="false">
      <c r="A395" s="22" t="n">
        <v>392</v>
      </c>
      <c r="B395" s="22" t="s">
        <v>278</v>
      </c>
      <c r="C395" s="22" t="s">
        <v>1548</v>
      </c>
      <c r="D395" s="22" t="s">
        <v>523</v>
      </c>
      <c r="E395" s="28" t="n">
        <v>0</v>
      </c>
      <c r="F395" s="28" t="n">
        <v>11643321</v>
      </c>
      <c r="G395" s="28" t="n">
        <f aca="false">E395-F395</f>
        <v>-11643321</v>
      </c>
      <c r="H395" s="23" t="n">
        <v>46099</v>
      </c>
      <c r="I395" s="22" t="s">
        <v>1660</v>
      </c>
      <c r="J395" s="22" t="s">
        <v>2080</v>
      </c>
      <c r="K395" s="22" t="s">
        <v>1568</v>
      </c>
      <c r="L395" s="22" t="s">
        <v>2215</v>
      </c>
      <c r="M395" s="22" t="s">
        <v>1564</v>
      </c>
      <c r="N395" s="29" t="s">
        <v>138</v>
      </c>
      <c r="O395" s="22" t="s">
        <v>1519</v>
      </c>
      <c r="P395" s="22" t="s">
        <v>2077</v>
      </c>
    </row>
    <row r="396" customFormat="false" ht="15" hidden="false" customHeight="false" outlineLevel="0" collapsed="false">
      <c r="A396" s="22" t="n">
        <v>393</v>
      </c>
      <c r="B396" s="22" t="s">
        <v>278</v>
      </c>
      <c r="C396" s="22" t="s">
        <v>1548</v>
      </c>
      <c r="D396" s="22" t="s">
        <v>523</v>
      </c>
      <c r="E396" s="28" t="n">
        <v>0</v>
      </c>
      <c r="F396" s="28" t="n">
        <v>480943</v>
      </c>
      <c r="G396" s="28" t="n">
        <f aca="false">E396-F396</f>
        <v>-480943</v>
      </c>
      <c r="H396" s="23" t="n">
        <v>46099</v>
      </c>
      <c r="I396" s="22" t="s">
        <v>1660</v>
      </c>
      <c r="J396" s="22" t="s">
        <v>2080</v>
      </c>
      <c r="K396" s="22" t="s">
        <v>1568</v>
      </c>
      <c r="L396" s="22" t="s">
        <v>2216</v>
      </c>
      <c r="M396" s="22" t="s">
        <v>1564</v>
      </c>
      <c r="N396" s="29" t="s">
        <v>136</v>
      </c>
      <c r="O396" s="22" t="s">
        <v>1519</v>
      </c>
      <c r="P396" s="22" t="s">
        <v>2077</v>
      </c>
    </row>
    <row r="397" customFormat="false" ht="15" hidden="false" customHeight="false" outlineLevel="0" collapsed="false">
      <c r="A397" s="22" t="n">
        <v>394</v>
      </c>
      <c r="B397" s="22" t="s">
        <v>278</v>
      </c>
      <c r="C397" s="22" t="s">
        <v>1548</v>
      </c>
      <c r="D397" s="22" t="s">
        <v>523</v>
      </c>
      <c r="E397" s="28" t="n">
        <v>0</v>
      </c>
      <c r="F397" s="28" t="n">
        <v>480943</v>
      </c>
      <c r="G397" s="28" t="n">
        <f aca="false">E397-F397</f>
        <v>-480943</v>
      </c>
      <c r="H397" s="23" t="n">
        <v>46099</v>
      </c>
      <c r="I397" s="22" t="s">
        <v>1660</v>
      </c>
      <c r="J397" s="22" t="s">
        <v>2080</v>
      </c>
      <c r="K397" s="22" t="s">
        <v>1568</v>
      </c>
      <c r="L397" s="22" t="s">
        <v>2217</v>
      </c>
      <c r="M397" s="22" t="s">
        <v>1564</v>
      </c>
      <c r="N397" s="29" t="s">
        <v>135</v>
      </c>
      <c r="O397" s="22" t="s">
        <v>1519</v>
      </c>
      <c r="P397" s="22" t="s">
        <v>2077</v>
      </c>
    </row>
    <row r="398" customFormat="false" ht="15" hidden="false" customHeight="false" outlineLevel="0" collapsed="false">
      <c r="A398" s="22" t="n">
        <v>395</v>
      </c>
      <c r="B398" s="22" t="s">
        <v>278</v>
      </c>
      <c r="C398" s="22" t="s">
        <v>1548</v>
      </c>
      <c r="D398" s="22" t="s">
        <v>523</v>
      </c>
      <c r="E398" s="28" t="n">
        <v>0</v>
      </c>
      <c r="F398" s="28" t="n">
        <v>5089087</v>
      </c>
      <c r="G398" s="28" t="n">
        <f aca="false">E398-F398</f>
        <v>-5089087</v>
      </c>
      <c r="H398" s="23" t="n">
        <v>46099</v>
      </c>
      <c r="I398" s="22" t="s">
        <v>1660</v>
      </c>
      <c r="J398" s="22" t="s">
        <v>2080</v>
      </c>
      <c r="K398" s="22" t="s">
        <v>1568</v>
      </c>
      <c r="L398" s="22" t="s">
        <v>2218</v>
      </c>
      <c r="M398" s="22" t="s">
        <v>1564</v>
      </c>
      <c r="N398" s="29" t="s">
        <v>134</v>
      </c>
      <c r="O398" s="22" t="s">
        <v>1519</v>
      </c>
      <c r="P398" s="22" t="s">
        <v>2077</v>
      </c>
    </row>
    <row r="399" customFormat="false" ht="15" hidden="false" customHeight="false" outlineLevel="0" collapsed="false">
      <c r="A399" s="22" t="n">
        <v>396</v>
      </c>
      <c r="B399" s="22" t="s">
        <v>278</v>
      </c>
      <c r="C399" s="22" t="s">
        <v>1548</v>
      </c>
      <c r="D399" s="22" t="s">
        <v>523</v>
      </c>
      <c r="E399" s="28" t="n">
        <v>0</v>
      </c>
      <c r="F399" s="28" t="n">
        <v>5089087</v>
      </c>
      <c r="G399" s="28" t="n">
        <f aca="false">E399-F399</f>
        <v>-5089087</v>
      </c>
      <c r="H399" s="23" t="n">
        <v>46099</v>
      </c>
      <c r="I399" s="22" t="s">
        <v>1660</v>
      </c>
      <c r="J399" s="22" t="s">
        <v>2080</v>
      </c>
      <c r="K399" s="22" t="s">
        <v>1568</v>
      </c>
      <c r="L399" s="22" t="s">
        <v>2219</v>
      </c>
      <c r="M399" s="22" t="s">
        <v>1564</v>
      </c>
      <c r="N399" s="29" t="s">
        <v>133</v>
      </c>
      <c r="O399" s="22" t="s">
        <v>1519</v>
      </c>
      <c r="P399" s="22" t="s">
        <v>2077</v>
      </c>
    </row>
    <row r="400" customFormat="false" ht="15" hidden="false" customHeight="false" outlineLevel="0" collapsed="false">
      <c r="A400" s="22" t="n">
        <v>397</v>
      </c>
      <c r="B400" s="22" t="s">
        <v>278</v>
      </c>
      <c r="C400" s="22" t="s">
        <v>1548</v>
      </c>
      <c r="D400" s="22" t="s">
        <v>523</v>
      </c>
      <c r="E400" s="28" t="n">
        <v>0</v>
      </c>
      <c r="F400" s="28" t="n">
        <v>5173580</v>
      </c>
      <c r="G400" s="28" t="n">
        <f aca="false">E400-F400</f>
        <v>-5173580</v>
      </c>
      <c r="H400" s="23" t="n">
        <v>46099</v>
      </c>
      <c r="I400" s="22" t="s">
        <v>1660</v>
      </c>
      <c r="J400" s="22" t="s">
        <v>2080</v>
      </c>
      <c r="K400" s="22" t="s">
        <v>1568</v>
      </c>
      <c r="L400" s="22" t="s">
        <v>2220</v>
      </c>
      <c r="M400" s="22" t="s">
        <v>1564</v>
      </c>
      <c r="N400" s="29" t="s">
        <v>137</v>
      </c>
      <c r="O400" s="22" t="s">
        <v>1519</v>
      </c>
      <c r="P400" s="22" t="s">
        <v>2077</v>
      </c>
    </row>
    <row r="401" customFormat="false" ht="15" hidden="false" customHeight="false" outlineLevel="0" collapsed="false">
      <c r="A401" s="22" t="n">
        <v>398</v>
      </c>
      <c r="B401" s="22" t="s">
        <v>278</v>
      </c>
      <c r="C401" s="22" t="s">
        <v>1548</v>
      </c>
      <c r="D401" s="22" t="s">
        <v>523</v>
      </c>
      <c r="E401" s="28" t="n">
        <v>0</v>
      </c>
      <c r="F401" s="28" t="n">
        <v>13496414</v>
      </c>
      <c r="G401" s="28" t="n">
        <f aca="false">E401-F401</f>
        <v>-13496414</v>
      </c>
      <c r="H401" s="23" t="n">
        <v>46134</v>
      </c>
      <c r="I401" s="22" t="s">
        <v>1660</v>
      </c>
      <c r="J401" s="22" t="s">
        <v>2085</v>
      </c>
      <c r="K401" s="22" t="s">
        <v>1568</v>
      </c>
      <c r="L401" s="22" t="s">
        <v>2221</v>
      </c>
      <c r="M401" s="22" t="s">
        <v>1564</v>
      </c>
      <c r="N401" s="29" t="s">
        <v>138</v>
      </c>
      <c r="O401" s="22" t="s">
        <v>1519</v>
      </c>
      <c r="P401" s="22" t="s">
        <v>2077</v>
      </c>
    </row>
    <row r="402" customFormat="false" ht="15" hidden="false" customHeight="false" outlineLevel="0" collapsed="false">
      <c r="A402" s="22" t="n">
        <v>399</v>
      </c>
      <c r="B402" s="22" t="s">
        <v>278</v>
      </c>
      <c r="C402" s="22" t="s">
        <v>1548</v>
      </c>
      <c r="D402" s="22" t="s">
        <v>523</v>
      </c>
      <c r="E402" s="28" t="n">
        <v>0</v>
      </c>
      <c r="F402" s="28" t="n">
        <v>8602544</v>
      </c>
      <c r="G402" s="28" t="n">
        <f aca="false">E402-F402</f>
        <v>-8602544</v>
      </c>
      <c r="H402" s="23" t="n">
        <v>46134</v>
      </c>
      <c r="I402" s="22" t="s">
        <v>1660</v>
      </c>
      <c r="J402" s="22" t="s">
        <v>2085</v>
      </c>
      <c r="K402" s="22" t="s">
        <v>1568</v>
      </c>
      <c r="L402" s="22" t="s">
        <v>2222</v>
      </c>
      <c r="M402" s="22" t="s">
        <v>1564</v>
      </c>
      <c r="N402" s="29" t="s">
        <v>136</v>
      </c>
      <c r="O402" s="22" t="s">
        <v>1519</v>
      </c>
      <c r="P402" s="22" t="s">
        <v>2077</v>
      </c>
    </row>
    <row r="403" customFormat="false" ht="15" hidden="false" customHeight="false" outlineLevel="0" collapsed="false">
      <c r="A403" s="22" t="n">
        <v>400</v>
      </c>
      <c r="B403" s="22" t="s">
        <v>278</v>
      </c>
      <c r="C403" s="22" t="s">
        <v>1548</v>
      </c>
      <c r="D403" s="22" t="s">
        <v>523</v>
      </c>
      <c r="E403" s="28" t="n">
        <v>0</v>
      </c>
      <c r="F403" s="28" t="n">
        <v>8602544</v>
      </c>
      <c r="G403" s="28" t="n">
        <f aca="false">E403-F403</f>
        <v>-8602544</v>
      </c>
      <c r="H403" s="23" t="n">
        <v>46134</v>
      </c>
      <c r="I403" s="22" t="s">
        <v>1660</v>
      </c>
      <c r="J403" s="22" t="s">
        <v>2085</v>
      </c>
      <c r="K403" s="22" t="s">
        <v>1568</v>
      </c>
      <c r="L403" s="22" t="s">
        <v>2223</v>
      </c>
      <c r="M403" s="22" t="s">
        <v>1564</v>
      </c>
      <c r="N403" s="29" t="s">
        <v>135</v>
      </c>
      <c r="O403" s="22" t="s">
        <v>1519</v>
      </c>
      <c r="P403" s="22" t="s">
        <v>2077</v>
      </c>
    </row>
    <row r="404" customFormat="false" ht="15" hidden="false" customHeight="false" outlineLevel="0" collapsed="false">
      <c r="A404" s="22" t="n">
        <v>401</v>
      </c>
      <c r="B404" s="22" t="s">
        <v>278</v>
      </c>
      <c r="C404" s="22" t="s">
        <v>1548</v>
      </c>
      <c r="D404" s="22" t="s">
        <v>523</v>
      </c>
      <c r="E404" s="28" t="n">
        <v>0</v>
      </c>
      <c r="F404" s="28" t="n">
        <v>3456411</v>
      </c>
      <c r="G404" s="28" t="n">
        <f aca="false">E404-F404</f>
        <v>-3456411</v>
      </c>
      <c r="H404" s="23" t="n">
        <v>46134</v>
      </c>
      <c r="I404" s="22" t="s">
        <v>1660</v>
      </c>
      <c r="J404" s="22" t="s">
        <v>2085</v>
      </c>
      <c r="K404" s="22" t="s">
        <v>1568</v>
      </c>
      <c r="L404" s="22" t="s">
        <v>2224</v>
      </c>
      <c r="M404" s="22" t="s">
        <v>1564</v>
      </c>
      <c r="N404" s="29" t="s">
        <v>134</v>
      </c>
      <c r="O404" s="22" t="s">
        <v>1519</v>
      </c>
      <c r="P404" s="22" t="s">
        <v>2077</v>
      </c>
    </row>
    <row r="405" customFormat="false" ht="15" hidden="false" customHeight="false" outlineLevel="0" collapsed="false">
      <c r="A405" s="22" t="n">
        <v>402</v>
      </c>
      <c r="B405" s="22" t="s">
        <v>278</v>
      </c>
      <c r="C405" s="22" t="s">
        <v>1548</v>
      </c>
      <c r="D405" s="22" t="s">
        <v>523</v>
      </c>
      <c r="E405" s="28" t="n">
        <v>0</v>
      </c>
      <c r="F405" s="28" t="n">
        <v>3456411</v>
      </c>
      <c r="G405" s="28" t="n">
        <f aca="false">E405-F405</f>
        <v>-3456411</v>
      </c>
      <c r="H405" s="23" t="n">
        <v>46134</v>
      </c>
      <c r="I405" s="22" t="s">
        <v>1660</v>
      </c>
      <c r="J405" s="22" t="s">
        <v>2085</v>
      </c>
      <c r="K405" s="22" t="s">
        <v>1568</v>
      </c>
      <c r="L405" s="22" t="s">
        <v>2225</v>
      </c>
      <c r="M405" s="22" t="s">
        <v>1564</v>
      </c>
      <c r="N405" s="29" t="s">
        <v>133</v>
      </c>
      <c r="O405" s="22" t="s">
        <v>1519</v>
      </c>
      <c r="P405" s="22" t="s">
        <v>2077</v>
      </c>
    </row>
    <row r="406" customFormat="false" ht="15" hidden="false" customHeight="false" outlineLevel="0" collapsed="false">
      <c r="A406" s="22" t="n">
        <v>403</v>
      </c>
      <c r="B406" s="22" t="s">
        <v>278</v>
      </c>
      <c r="C406" s="22" t="s">
        <v>1548</v>
      </c>
      <c r="D406" s="22" t="s">
        <v>523</v>
      </c>
      <c r="E406" s="28" t="n">
        <v>0</v>
      </c>
      <c r="F406" s="28" t="n">
        <v>3290250</v>
      </c>
      <c r="G406" s="28" t="n">
        <f aca="false">E406-F406</f>
        <v>-3290250</v>
      </c>
      <c r="H406" s="23" t="n">
        <v>46134</v>
      </c>
      <c r="I406" s="22" t="s">
        <v>1660</v>
      </c>
      <c r="J406" s="22" t="s">
        <v>2085</v>
      </c>
      <c r="K406" s="22" t="s">
        <v>1568</v>
      </c>
      <c r="L406" s="22" t="s">
        <v>2226</v>
      </c>
      <c r="M406" s="22" t="s">
        <v>1564</v>
      </c>
      <c r="N406" s="29" t="s">
        <v>137</v>
      </c>
      <c r="O406" s="22" t="s">
        <v>1519</v>
      </c>
      <c r="P406" s="22" t="s">
        <v>2077</v>
      </c>
    </row>
    <row r="407" customFormat="false" ht="15" hidden="false" customHeight="false" outlineLevel="0" collapsed="false">
      <c r="A407" s="22" t="n">
        <v>404</v>
      </c>
      <c r="B407" s="22" t="s">
        <v>278</v>
      </c>
      <c r="C407" s="22" t="s">
        <v>1548</v>
      </c>
      <c r="D407" s="22" t="s">
        <v>523</v>
      </c>
      <c r="E407" s="28" t="n">
        <v>9564430</v>
      </c>
      <c r="F407" s="28" t="n">
        <v>0</v>
      </c>
      <c r="G407" s="28" t="n">
        <f aca="false">E407-F407</f>
        <v>9564430</v>
      </c>
      <c r="H407" s="23" t="n">
        <v>46136</v>
      </c>
      <c r="I407" s="22" t="s">
        <v>1566</v>
      </c>
      <c r="J407" s="22" t="s">
        <v>2227</v>
      </c>
      <c r="K407" s="22" t="s">
        <v>1614</v>
      </c>
      <c r="L407" s="22" t="s">
        <v>2228</v>
      </c>
      <c r="M407" s="22" t="s">
        <v>1577</v>
      </c>
      <c r="N407" s="29" t="s">
        <v>135</v>
      </c>
      <c r="O407" s="22" t="s">
        <v>1519</v>
      </c>
      <c r="P407" s="22" t="s">
        <v>2084</v>
      </c>
    </row>
    <row r="408" customFormat="false" ht="15" hidden="false" customHeight="false" outlineLevel="0" collapsed="false">
      <c r="A408" s="22" t="n">
        <v>405</v>
      </c>
      <c r="B408" s="22" t="s">
        <v>278</v>
      </c>
      <c r="C408" s="22" t="s">
        <v>1548</v>
      </c>
      <c r="D408" s="22" t="s">
        <v>523</v>
      </c>
      <c r="E408" s="28" t="n">
        <v>13637410</v>
      </c>
      <c r="F408" s="28" t="n">
        <v>0</v>
      </c>
      <c r="G408" s="28" t="n">
        <f aca="false">E408-F408</f>
        <v>13637410</v>
      </c>
      <c r="H408" s="23" t="n">
        <v>46136</v>
      </c>
      <c r="I408" s="22" t="s">
        <v>1566</v>
      </c>
      <c r="J408" s="22" t="s">
        <v>2229</v>
      </c>
      <c r="K408" s="22" t="s">
        <v>1614</v>
      </c>
      <c r="L408" s="22" t="s">
        <v>2230</v>
      </c>
      <c r="M408" s="22" t="s">
        <v>1577</v>
      </c>
      <c r="N408" s="29" t="s">
        <v>137</v>
      </c>
      <c r="O408" s="22" t="s">
        <v>1519</v>
      </c>
      <c r="P408" s="22" t="s">
        <v>2084</v>
      </c>
    </row>
    <row r="409" customFormat="false" ht="15" hidden="false" customHeight="false" outlineLevel="0" collapsed="false">
      <c r="A409" s="22" t="n">
        <v>406</v>
      </c>
      <c r="B409" s="22" t="s">
        <v>278</v>
      </c>
      <c r="C409" s="22" t="s">
        <v>1548</v>
      </c>
      <c r="D409" s="22" t="s">
        <v>523</v>
      </c>
      <c r="E409" s="28" t="n">
        <v>36783056</v>
      </c>
      <c r="F409" s="28" t="n">
        <v>0</v>
      </c>
      <c r="G409" s="28" t="n">
        <f aca="false">E409-F409</f>
        <v>36783056</v>
      </c>
      <c r="H409" s="23" t="n">
        <v>46136</v>
      </c>
      <c r="I409" s="22" t="s">
        <v>1566</v>
      </c>
      <c r="J409" s="22" t="s">
        <v>438</v>
      </c>
      <c r="K409" s="22" t="s">
        <v>1614</v>
      </c>
      <c r="L409" s="22" t="s">
        <v>2231</v>
      </c>
      <c r="M409" s="22" t="s">
        <v>1577</v>
      </c>
      <c r="N409" s="29" t="s">
        <v>138</v>
      </c>
      <c r="O409" s="22" t="s">
        <v>1519</v>
      </c>
      <c r="P409" s="22" t="s">
        <v>2084</v>
      </c>
    </row>
    <row r="410" customFormat="false" ht="15" hidden="false" customHeight="false" outlineLevel="0" collapsed="false">
      <c r="A410" s="22" t="n">
        <v>407</v>
      </c>
      <c r="B410" s="22" t="s">
        <v>278</v>
      </c>
      <c r="C410" s="22" t="s">
        <v>1548</v>
      </c>
      <c r="D410" s="22" t="s">
        <v>523</v>
      </c>
      <c r="E410" s="28" t="n">
        <v>13634585</v>
      </c>
      <c r="F410" s="28" t="n">
        <v>0</v>
      </c>
      <c r="G410" s="28" t="n">
        <f aca="false">E410-F410</f>
        <v>13634585</v>
      </c>
      <c r="H410" s="23" t="n">
        <v>46136</v>
      </c>
      <c r="I410" s="22" t="s">
        <v>1566</v>
      </c>
      <c r="J410" s="22" t="s">
        <v>2232</v>
      </c>
      <c r="K410" s="22" t="s">
        <v>1614</v>
      </c>
      <c r="L410" s="22" t="s">
        <v>2233</v>
      </c>
      <c r="M410" s="22" t="s">
        <v>1577</v>
      </c>
      <c r="N410" s="29" t="s">
        <v>134</v>
      </c>
      <c r="O410" s="22" t="s">
        <v>1519</v>
      </c>
      <c r="P410" s="22" t="s">
        <v>2084</v>
      </c>
    </row>
    <row r="411" customFormat="false" ht="15" hidden="false" customHeight="false" outlineLevel="0" collapsed="false">
      <c r="A411" s="22" t="n">
        <v>408</v>
      </c>
      <c r="B411" s="22" t="s">
        <v>278</v>
      </c>
      <c r="C411" s="22" t="s">
        <v>1548</v>
      </c>
      <c r="D411" s="22" t="s">
        <v>523</v>
      </c>
      <c r="E411" s="28" t="n">
        <v>13634585</v>
      </c>
      <c r="F411" s="28" t="n">
        <v>0</v>
      </c>
      <c r="G411" s="28" t="n">
        <f aca="false">E411-F411</f>
        <v>13634585</v>
      </c>
      <c r="H411" s="23" t="n">
        <v>46136</v>
      </c>
      <c r="I411" s="22" t="s">
        <v>1566</v>
      </c>
      <c r="J411" s="22" t="s">
        <v>2234</v>
      </c>
      <c r="K411" s="22" t="s">
        <v>1614</v>
      </c>
      <c r="L411" s="22" t="s">
        <v>2235</v>
      </c>
      <c r="M411" s="22" t="s">
        <v>1577</v>
      </c>
      <c r="N411" s="29" t="s">
        <v>133</v>
      </c>
      <c r="O411" s="22" t="s">
        <v>1519</v>
      </c>
      <c r="P411" s="22" t="s">
        <v>2084</v>
      </c>
    </row>
    <row r="412" customFormat="false" ht="15" hidden="false" customHeight="false" outlineLevel="0" collapsed="false">
      <c r="A412" s="22" t="n">
        <v>409</v>
      </c>
      <c r="B412" s="22" t="s">
        <v>278</v>
      </c>
      <c r="C412" s="22" t="s">
        <v>1548</v>
      </c>
      <c r="D412" s="22" t="s">
        <v>523</v>
      </c>
      <c r="E412" s="28" t="n">
        <v>9564430</v>
      </c>
      <c r="F412" s="28" t="n">
        <v>0</v>
      </c>
      <c r="G412" s="28" t="n">
        <f aca="false">E412-F412</f>
        <v>9564430</v>
      </c>
      <c r="H412" s="23" t="n">
        <v>46136</v>
      </c>
      <c r="I412" s="22" t="s">
        <v>1566</v>
      </c>
      <c r="J412" s="22" t="s">
        <v>2236</v>
      </c>
      <c r="K412" s="22" t="s">
        <v>1614</v>
      </c>
      <c r="L412" s="22" t="s">
        <v>2237</v>
      </c>
      <c r="M412" s="22" t="s">
        <v>1577</v>
      </c>
      <c r="N412" s="29" t="s">
        <v>136</v>
      </c>
      <c r="O412" s="22" t="s">
        <v>1519</v>
      </c>
      <c r="P412" s="22" t="s">
        <v>2084</v>
      </c>
    </row>
    <row r="413" customFormat="false" ht="15" hidden="false" customHeight="false" outlineLevel="0" collapsed="false">
      <c r="A413" s="22" t="n">
        <v>410</v>
      </c>
      <c r="B413" s="22" t="s">
        <v>278</v>
      </c>
      <c r="C413" s="22" t="s">
        <v>1548</v>
      </c>
      <c r="D413" s="22" t="s">
        <v>523</v>
      </c>
      <c r="E413" s="28" t="n">
        <v>0</v>
      </c>
      <c r="F413" s="28" t="n">
        <v>10980527</v>
      </c>
      <c r="G413" s="28" t="n">
        <f aca="false">E413-F413</f>
        <v>-10980527</v>
      </c>
      <c r="H413" s="23" t="n">
        <v>46162</v>
      </c>
      <c r="I413" s="22" t="s">
        <v>1660</v>
      </c>
      <c r="J413" s="22" t="s">
        <v>2087</v>
      </c>
      <c r="K413" s="22" t="s">
        <v>1568</v>
      </c>
      <c r="L413" s="22" t="s">
        <v>2238</v>
      </c>
      <c r="M413" s="22" t="s">
        <v>1564</v>
      </c>
      <c r="N413" s="29" t="s">
        <v>138</v>
      </c>
      <c r="O413" s="22" t="s">
        <v>1519</v>
      </c>
      <c r="P413" s="22" t="s">
        <v>2077</v>
      </c>
    </row>
    <row r="414" customFormat="false" ht="15" hidden="false" customHeight="false" outlineLevel="0" collapsed="false">
      <c r="A414" s="22" t="n">
        <v>411</v>
      </c>
      <c r="B414" s="22" t="s">
        <v>278</v>
      </c>
      <c r="C414" s="22" t="s">
        <v>1548</v>
      </c>
      <c r="D414" s="22" t="s">
        <v>523</v>
      </c>
      <c r="E414" s="28" t="n">
        <v>0</v>
      </c>
      <c r="F414" s="28" t="n">
        <v>435217</v>
      </c>
      <c r="G414" s="28" t="n">
        <f aca="false">E414-F414</f>
        <v>-435217</v>
      </c>
      <c r="H414" s="23" t="n">
        <v>46162</v>
      </c>
      <c r="I414" s="22" t="s">
        <v>1660</v>
      </c>
      <c r="J414" s="22" t="s">
        <v>2087</v>
      </c>
      <c r="K414" s="22" t="s">
        <v>1568</v>
      </c>
      <c r="L414" s="22" t="s">
        <v>2239</v>
      </c>
      <c r="M414" s="22" t="s">
        <v>1564</v>
      </c>
      <c r="N414" s="29" t="s">
        <v>136</v>
      </c>
      <c r="O414" s="22" t="s">
        <v>1519</v>
      </c>
      <c r="P414" s="22" t="s">
        <v>2077</v>
      </c>
    </row>
    <row r="415" customFormat="false" ht="15" hidden="false" customHeight="false" outlineLevel="0" collapsed="false">
      <c r="A415" s="22" t="n">
        <v>412</v>
      </c>
      <c r="B415" s="22" t="s">
        <v>278</v>
      </c>
      <c r="C415" s="22" t="s">
        <v>1548</v>
      </c>
      <c r="D415" s="22" t="s">
        <v>523</v>
      </c>
      <c r="E415" s="28" t="n">
        <v>0</v>
      </c>
      <c r="F415" s="28" t="n">
        <v>435217</v>
      </c>
      <c r="G415" s="28" t="n">
        <f aca="false">E415-F415</f>
        <v>-435217</v>
      </c>
      <c r="H415" s="23" t="n">
        <v>46162</v>
      </c>
      <c r="I415" s="22" t="s">
        <v>1660</v>
      </c>
      <c r="J415" s="22" t="s">
        <v>2087</v>
      </c>
      <c r="K415" s="22" t="s">
        <v>1568</v>
      </c>
      <c r="L415" s="22" t="s">
        <v>2240</v>
      </c>
      <c r="M415" s="22" t="s">
        <v>1564</v>
      </c>
      <c r="N415" s="29" t="s">
        <v>135</v>
      </c>
      <c r="O415" s="22" t="s">
        <v>1519</v>
      </c>
      <c r="P415" s="22" t="s">
        <v>2077</v>
      </c>
    </row>
    <row r="416" customFormat="false" ht="15" hidden="false" customHeight="false" outlineLevel="0" collapsed="false">
      <c r="A416" s="22" t="n">
        <v>413</v>
      </c>
      <c r="B416" s="22" t="s">
        <v>278</v>
      </c>
      <c r="C416" s="22" t="s">
        <v>1548</v>
      </c>
      <c r="D416" s="22" t="s">
        <v>523</v>
      </c>
      <c r="E416" s="28" t="n">
        <v>0</v>
      </c>
      <c r="F416" s="28" t="n">
        <v>4851947</v>
      </c>
      <c r="G416" s="28" t="n">
        <f aca="false">E416-F416</f>
        <v>-4851947</v>
      </c>
      <c r="H416" s="23" t="n">
        <v>46162</v>
      </c>
      <c r="I416" s="22" t="s">
        <v>1660</v>
      </c>
      <c r="J416" s="22" t="s">
        <v>2087</v>
      </c>
      <c r="K416" s="22" t="s">
        <v>1568</v>
      </c>
      <c r="L416" s="22" t="s">
        <v>2241</v>
      </c>
      <c r="M416" s="22" t="s">
        <v>1564</v>
      </c>
      <c r="N416" s="29" t="s">
        <v>134</v>
      </c>
      <c r="O416" s="22" t="s">
        <v>1519</v>
      </c>
      <c r="P416" s="22" t="s">
        <v>2077</v>
      </c>
    </row>
    <row r="417" customFormat="false" ht="15" hidden="false" customHeight="false" outlineLevel="0" collapsed="false">
      <c r="A417" s="22" t="n">
        <v>414</v>
      </c>
      <c r="B417" s="22" t="s">
        <v>278</v>
      </c>
      <c r="C417" s="22" t="s">
        <v>1548</v>
      </c>
      <c r="D417" s="22" t="s">
        <v>523</v>
      </c>
      <c r="E417" s="28" t="n">
        <v>0</v>
      </c>
      <c r="F417" s="28" t="n">
        <v>4851947</v>
      </c>
      <c r="G417" s="28" t="n">
        <f aca="false">E417-F417</f>
        <v>-4851947</v>
      </c>
      <c r="H417" s="23" t="n">
        <v>46162</v>
      </c>
      <c r="I417" s="22" t="s">
        <v>1660</v>
      </c>
      <c r="J417" s="22" t="s">
        <v>2087</v>
      </c>
      <c r="K417" s="22" t="s">
        <v>1568</v>
      </c>
      <c r="L417" s="22" t="s">
        <v>2242</v>
      </c>
      <c r="M417" s="22" t="s">
        <v>1564</v>
      </c>
      <c r="N417" s="29" t="s">
        <v>133</v>
      </c>
      <c r="O417" s="22" t="s">
        <v>1519</v>
      </c>
      <c r="P417" s="22" t="s">
        <v>2077</v>
      </c>
    </row>
    <row r="418" customFormat="false" ht="15" hidden="false" customHeight="false" outlineLevel="0" collapsed="false">
      <c r="A418" s="22" t="n">
        <v>415</v>
      </c>
      <c r="B418" s="22" t="s">
        <v>278</v>
      </c>
      <c r="C418" s="22" t="s">
        <v>1548</v>
      </c>
      <c r="D418" s="22" t="s">
        <v>523</v>
      </c>
      <c r="E418" s="28" t="n">
        <v>0</v>
      </c>
      <c r="F418" s="28" t="n">
        <v>4933530</v>
      </c>
      <c r="G418" s="28" t="n">
        <f aca="false">E418-F418</f>
        <v>-4933530</v>
      </c>
      <c r="H418" s="23" t="n">
        <v>46162</v>
      </c>
      <c r="I418" s="22" t="s">
        <v>1660</v>
      </c>
      <c r="J418" s="22" t="s">
        <v>2087</v>
      </c>
      <c r="K418" s="22" t="s">
        <v>1568</v>
      </c>
      <c r="L418" s="22" t="s">
        <v>2243</v>
      </c>
      <c r="M418" s="22" t="s">
        <v>1564</v>
      </c>
      <c r="N418" s="29" t="s">
        <v>137</v>
      </c>
      <c r="O418" s="22" t="s">
        <v>1519</v>
      </c>
      <c r="P418" s="22" t="s">
        <v>2077</v>
      </c>
    </row>
    <row r="419" customFormat="false" ht="15" hidden="false" customHeight="false" outlineLevel="0" collapsed="false">
      <c r="A419" s="22" t="n">
        <v>416</v>
      </c>
      <c r="B419" s="22" t="s">
        <v>278</v>
      </c>
      <c r="C419" s="22" t="s">
        <v>1548</v>
      </c>
      <c r="D419" s="22" t="s">
        <v>523</v>
      </c>
      <c r="E419" s="28" t="n">
        <v>0</v>
      </c>
      <c r="F419" s="28" t="n">
        <v>10980527</v>
      </c>
      <c r="G419" s="28" t="n">
        <f aca="false">E419-F419</f>
        <v>-10980527</v>
      </c>
      <c r="H419" s="23" t="n">
        <v>46203</v>
      </c>
      <c r="I419" s="22" t="s">
        <v>1660</v>
      </c>
      <c r="J419" s="22" t="s">
        <v>2095</v>
      </c>
      <c r="K419" s="22" t="s">
        <v>1568</v>
      </c>
      <c r="L419" s="22" t="s">
        <v>2244</v>
      </c>
      <c r="M419" s="22" t="s">
        <v>1564</v>
      </c>
      <c r="N419" s="29" t="s">
        <v>138</v>
      </c>
      <c r="O419" s="22" t="s">
        <v>1519</v>
      </c>
      <c r="P419" s="22" t="s">
        <v>2077</v>
      </c>
    </row>
    <row r="420" customFormat="false" ht="15" hidden="false" customHeight="false" outlineLevel="0" collapsed="false">
      <c r="A420" s="22" t="n">
        <v>417</v>
      </c>
      <c r="B420" s="22" t="s">
        <v>278</v>
      </c>
      <c r="C420" s="22" t="s">
        <v>1548</v>
      </c>
      <c r="D420" s="22" t="s">
        <v>523</v>
      </c>
      <c r="E420" s="28" t="n">
        <v>0</v>
      </c>
      <c r="F420" s="28" t="n">
        <v>435217</v>
      </c>
      <c r="G420" s="28" t="n">
        <f aca="false">E420-F420</f>
        <v>-435217</v>
      </c>
      <c r="H420" s="23" t="n">
        <v>46203</v>
      </c>
      <c r="I420" s="22" t="s">
        <v>1660</v>
      </c>
      <c r="J420" s="22" t="s">
        <v>2095</v>
      </c>
      <c r="K420" s="22" t="s">
        <v>1568</v>
      </c>
      <c r="L420" s="22" t="s">
        <v>2245</v>
      </c>
      <c r="M420" s="22" t="s">
        <v>1564</v>
      </c>
      <c r="N420" s="29" t="s">
        <v>136</v>
      </c>
      <c r="O420" s="22" t="s">
        <v>1519</v>
      </c>
      <c r="P420" s="22" t="s">
        <v>2077</v>
      </c>
    </row>
    <row r="421" customFormat="false" ht="15" hidden="false" customHeight="false" outlineLevel="0" collapsed="false">
      <c r="A421" s="22" t="n">
        <v>418</v>
      </c>
      <c r="B421" s="22" t="s">
        <v>278</v>
      </c>
      <c r="C421" s="22" t="s">
        <v>1548</v>
      </c>
      <c r="D421" s="22" t="s">
        <v>523</v>
      </c>
      <c r="E421" s="28" t="n">
        <v>0</v>
      </c>
      <c r="F421" s="28" t="n">
        <v>435217</v>
      </c>
      <c r="G421" s="28" t="n">
        <f aca="false">E421-F421</f>
        <v>-435217</v>
      </c>
      <c r="H421" s="23" t="n">
        <v>46203</v>
      </c>
      <c r="I421" s="22" t="s">
        <v>1660</v>
      </c>
      <c r="J421" s="22" t="s">
        <v>2095</v>
      </c>
      <c r="K421" s="22" t="s">
        <v>1568</v>
      </c>
      <c r="L421" s="22" t="s">
        <v>2246</v>
      </c>
      <c r="M421" s="22" t="s">
        <v>1564</v>
      </c>
      <c r="N421" s="29" t="s">
        <v>135</v>
      </c>
      <c r="O421" s="22" t="s">
        <v>1519</v>
      </c>
      <c r="P421" s="22" t="s">
        <v>2077</v>
      </c>
    </row>
    <row r="422" customFormat="false" ht="15" hidden="false" customHeight="false" outlineLevel="0" collapsed="false">
      <c r="A422" s="22" t="n">
        <v>419</v>
      </c>
      <c r="B422" s="22" t="s">
        <v>278</v>
      </c>
      <c r="C422" s="22" t="s">
        <v>1548</v>
      </c>
      <c r="D422" s="22" t="s">
        <v>523</v>
      </c>
      <c r="E422" s="28" t="n">
        <v>0</v>
      </c>
      <c r="F422" s="28" t="n">
        <v>4851947</v>
      </c>
      <c r="G422" s="28" t="n">
        <f aca="false">E422-F422</f>
        <v>-4851947</v>
      </c>
      <c r="H422" s="23" t="n">
        <v>46203</v>
      </c>
      <c r="I422" s="22" t="s">
        <v>1660</v>
      </c>
      <c r="J422" s="22" t="s">
        <v>2095</v>
      </c>
      <c r="K422" s="22" t="s">
        <v>1568</v>
      </c>
      <c r="L422" s="22" t="s">
        <v>2247</v>
      </c>
      <c r="M422" s="22" t="s">
        <v>1564</v>
      </c>
      <c r="N422" s="29" t="s">
        <v>134</v>
      </c>
      <c r="O422" s="22" t="s">
        <v>1519</v>
      </c>
      <c r="P422" s="22" t="s">
        <v>2077</v>
      </c>
    </row>
    <row r="423" customFormat="false" ht="15" hidden="false" customHeight="false" outlineLevel="0" collapsed="false">
      <c r="A423" s="22" t="n">
        <v>420</v>
      </c>
      <c r="B423" s="22" t="s">
        <v>278</v>
      </c>
      <c r="C423" s="22" t="s">
        <v>1548</v>
      </c>
      <c r="D423" s="22" t="s">
        <v>523</v>
      </c>
      <c r="E423" s="28" t="n">
        <v>0</v>
      </c>
      <c r="F423" s="28" t="n">
        <v>4851947</v>
      </c>
      <c r="G423" s="28" t="n">
        <f aca="false">E423-F423</f>
        <v>-4851947</v>
      </c>
      <c r="H423" s="23" t="n">
        <v>46203</v>
      </c>
      <c r="I423" s="22" t="s">
        <v>1660</v>
      </c>
      <c r="J423" s="22" t="s">
        <v>2095</v>
      </c>
      <c r="K423" s="22" t="s">
        <v>1568</v>
      </c>
      <c r="L423" s="22" t="s">
        <v>2248</v>
      </c>
      <c r="M423" s="22" t="s">
        <v>1564</v>
      </c>
      <c r="N423" s="29" t="s">
        <v>133</v>
      </c>
      <c r="O423" s="22" t="s">
        <v>1519</v>
      </c>
      <c r="P423" s="22" t="s">
        <v>2077</v>
      </c>
    </row>
    <row r="424" customFormat="false" ht="15" hidden="false" customHeight="false" outlineLevel="0" collapsed="false">
      <c r="A424" s="22" t="n">
        <v>421</v>
      </c>
      <c r="B424" s="22" t="s">
        <v>278</v>
      </c>
      <c r="C424" s="22" t="s">
        <v>1548</v>
      </c>
      <c r="D424" s="22" t="s">
        <v>523</v>
      </c>
      <c r="E424" s="28" t="n">
        <v>0</v>
      </c>
      <c r="F424" s="28" t="n">
        <v>4933530</v>
      </c>
      <c r="G424" s="28" t="n">
        <f aca="false">E424-F424</f>
        <v>-4933530</v>
      </c>
      <c r="H424" s="23" t="n">
        <v>46203</v>
      </c>
      <c r="I424" s="22" t="s">
        <v>1660</v>
      </c>
      <c r="J424" s="22" t="s">
        <v>2095</v>
      </c>
      <c r="K424" s="22" t="s">
        <v>1568</v>
      </c>
      <c r="L424" s="22" t="s">
        <v>2249</v>
      </c>
      <c r="M424" s="22" t="s">
        <v>1564</v>
      </c>
      <c r="N424" s="29" t="s">
        <v>137</v>
      </c>
      <c r="O424" s="22" t="s">
        <v>1519</v>
      </c>
      <c r="P424" s="22" t="s">
        <v>2077</v>
      </c>
    </row>
    <row r="425" customFormat="false" ht="15" hidden="false" customHeight="false" outlineLevel="0" collapsed="false">
      <c r="A425" s="22" t="n">
        <v>422</v>
      </c>
      <c r="B425" s="22" t="s">
        <v>278</v>
      </c>
      <c r="C425" s="22" t="s">
        <v>1548</v>
      </c>
      <c r="D425" s="22" t="s">
        <v>523</v>
      </c>
      <c r="E425" s="28" t="n">
        <v>0</v>
      </c>
      <c r="F425" s="28" t="n">
        <v>17617577</v>
      </c>
      <c r="G425" s="28" t="n">
        <f aca="false">E425-F425</f>
        <v>-17617577</v>
      </c>
      <c r="H425" s="23" t="n">
        <v>46227</v>
      </c>
      <c r="I425" s="22" t="s">
        <v>1660</v>
      </c>
      <c r="J425" s="22" t="s">
        <v>2123</v>
      </c>
      <c r="K425" s="22" t="s">
        <v>1568</v>
      </c>
      <c r="L425" s="22" t="s">
        <v>2250</v>
      </c>
      <c r="M425" s="22" t="s">
        <v>1564</v>
      </c>
      <c r="N425" s="29" t="s">
        <v>138</v>
      </c>
      <c r="O425" s="22" t="s">
        <v>1519</v>
      </c>
      <c r="P425" s="22" t="s">
        <v>2077</v>
      </c>
    </row>
    <row r="426" customFormat="false" ht="15" hidden="false" customHeight="false" outlineLevel="0" collapsed="false">
      <c r="A426" s="22" t="n">
        <v>423</v>
      </c>
      <c r="B426" s="22" t="s">
        <v>278</v>
      </c>
      <c r="C426" s="22" t="s">
        <v>1548</v>
      </c>
      <c r="D426" s="22" t="s">
        <v>523</v>
      </c>
      <c r="E426" s="28" t="n">
        <v>0</v>
      </c>
      <c r="F426" s="28" t="n">
        <v>8626840</v>
      </c>
      <c r="G426" s="28" t="n">
        <f aca="false">E426-F426</f>
        <v>-8626840</v>
      </c>
      <c r="H426" s="23" t="n">
        <v>46227</v>
      </c>
      <c r="I426" s="22" t="s">
        <v>1660</v>
      </c>
      <c r="J426" s="22" t="s">
        <v>2123</v>
      </c>
      <c r="K426" s="22" t="s">
        <v>1568</v>
      </c>
      <c r="L426" s="22" t="s">
        <v>2251</v>
      </c>
      <c r="M426" s="22" t="s">
        <v>1564</v>
      </c>
      <c r="N426" s="29" t="s">
        <v>136</v>
      </c>
      <c r="O426" s="22" t="s">
        <v>1519</v>
      </c>
      <c r="P426" s="22" t="s">
        <v>2077</v>
      </c>
    </row>
    <row r="427" customFormat="false" ht="15" hidden="false" customHeight="false" outlineLevel="0" collapsed="false">
      <c r="A427" s="22" t="n">
        <v>424</v>
      </c>
      <c r="B427" s="22" t="s">
        <v>278</v>
      </c>
      <c r="C427" s="22" t="s">
        <v>1548</v>
      </c>
      <c r="D427" s="22" t="s">
        <v>523</v>
      </c>
      <c r="E427" s="28" t="n">
        <v>0</v>
      </c>
      <c r="F427" s="28" t="n">
        <v>8626840</v>
      </c>
      <c r="G427" s="28" t="n">
        <f aca="false">E427-F427</f>
        <v>-8626840</v>
      </c>
      <c r="H427" s="23" t="n">
        <v>46227</v>
      </c>
      <c r="I427" s="22" t="s">
        <v>1660</v>
      </c>
      <c r="J427" s="22" t="s">
        <v>2123</v>
      </c>
      <c r="K427" s="22" t="s">
        <v>1568</v>
      </c>
      <c r="L427" s="22" t="s">
        <v>2252</v>
      </c>
      <c r="M427" s="22" t="s">
        <v>1564</v>
      </c>
      <c r="N427" s="29" t="s">
        <v>135</v>
      </c>
      <c r="O427" s="22" t="s">
        <v>1519</v>
      </c>
      <c r="P427" s="22" t="s">
        <v>2077</v>
      </c>
    </row>
    <row r="428" customFormat="false" ht="15" hidden="false" customHeight="false" outlineLevel="0" collapsed="false">
      <c r="A428" s="22" t="n">
        <v>425</v>
      </c>
      <c r="B428" s="22" t="s">
        <v>278</v>
      </c>
      <c r="C428" s="22" t="s">
        <v>1548</v>
      </c>
      <c r="D428" s="22" t="s">
        <v>523</v>
      </c>
      <c r="E428" s="28" t="n">
        <v>0</v>
      </c>
      <c r="F428" s="28" t="n">
        <v>4414963</v>
      </c>
      <c r="G428" s="28" t="n">
        <f aca="false">E428-F428</f>
        <v>-4414963</v>
      </c>
      <c r="H428" s="23" t="n">
        <v>46227</v>
      </c>
      <c r="I428" s="22" t="s">
        <v>1660</v>
      </c>
      <c r="J428" s="22" t="s">
        <v>2123</v>
      </c>
      <c r="K428" s="22" t="s">
        <v>1568</v>
      </c>
      <c r="L428" s="22" t="s">
        <v>2253</v>
      </c>
      <c r="M428" s="22" t="s">
        <v>1564</v>
      </c>
      <c r="N428" s="29" t="s">
        <v>134</v>
      </c>
      <c r="O428" s="22" t="s">
        <v>1519</v>
      </c>
      <c r="P428" s="22" t="s">
        <v>2077</v>
      </c>
    </row>
    <row r="429" customFormat="false" ht="15" hidden="false" customHeight="false" outlineLevel="0" collapsed="false">
      <c r="A429" s="22" t="n">
        <v>426</v>
      </c>
      <c r="B429" s="22" t="s">
        <v>278</v>
      </c>
      <c r="C429" s="22" t="s">
        <v>1548</v>
      </c>
      <c r="D429" s="22" t="s">
        <v>523</v>
      </c>
      <c r="E429" s="28" t="n">
        <v>0</v>
      </c>
      <c r="F429" s="28" t="n">
        <v>4414962</v>
      </c>
      <c r="G429" s="28" t="n">
        <f aca="false">E429-F429</f>
        <v>-4414962</v>
      </c>
      <c r="H429" s="23" t="n">
        <v>46227</v>
      </c>
      <c r="I429" s="22" t="s">
        <v>1660</v>
      </c>
      <c r="J429" s="22" t="s">
        <v>2123</v>
      </c>
      <c r="K429" s="22" t="s">
        <v>1568</v>
      </c>
      <c r="L429" s="22" t="s">
        <v>2254</v>
      </c>
      <c r="M429" s="22" t="s">
        <v>1564</v>
      </c>
      <c r="N429" s="29" t="s">
        <v>133</v>
      </c>
      <c r="O429" s="22" t="s">
        <v>1519</v>
      </c>
      <c r="P429" s="22" t="s">
        <v>2077</v>
      </c>
    </row>
    <row r="430" customFormat="false" ht="15" hidden="false" customHeight="false" outlineLevel="0" collapsed="false">
      <c r="A430" s="22" t="n">
        <v>427</v>
      </c>
      <c r="B430" s="22" t="s">
        <v>278</v>
      </c>
      <c r="C430" s="22" t="s">
        <v>1548</v>
      </c>
      <c r="D430" s="22" t="s">
        <v>523</v>
      </c>
      <c r="E430" s="28" t="n">
        <v>0</v>
      </c>
      <c r="F430" s="28" t="n">
        <v>4254720</v>
      </c>
      <c r="G430" s="28" t="n">
        <f aca="false">E430-F430</f>
        <v>-4254720</v>
      </c>
      <c r="H430" s="23" t="n">
        <v>46227</v>
      </c>
      <c r="I430" s="22" t="s">
        <v>1660</v>
      </c>
      <c r="J430" s="22" t="s">
        <v>2123</v>
      </c>
      <c r="K430" s="22" t="s">
        <v>1568</v>
      </c>
      <c r="L430" s="22" t="s">
        <v>2255</v>
      </c>
      <c r="M430" s="22" t="s">
        <v>1564</v>
      </c>
      <c r="N430" s="29" t="s">
        <v>137</v>
      </c>
      <c r="O430" s="22" t="s">
        <v>1519</v>
      </c>
      <c r="P430" s="22" t="s">
        <v>2077</v>
      </c>
    </row>
    <row r="431" customFormat="false" ht="15" hidden="false" customHeight="false" outlineLevel="0" collapsed="false">
      <c r="A431" s="22" t="n">
        <v>428</v>
      </c>
      <c r="B431" s="22" t="s">
        <v>278</v>
      </c>
      <c r="C431" s="22" t="s">
        <v>1548</v>
      </c>
      <c r="D431" s="22" t="s">
        <v>523</v>
      </c>
      <c r="E431" s="28" t="n">
        <v>9497274</v>
      </c>
      <c r="F431" s="28" t="n">
        <v>0</v>
      </c>
      <c r="G431" s="28" t="n">
        <f aca="false">E431-F431</f>
        <v>9497274</v>
      </c>
      <c r="H431" s="23" t="n">
        <v>46230</v>
      </c>
      <c r="I431" s="22" t="s">
        <v>1566</v>
      </c>
      <c r="J431" s="22" t="s">
        <v>448</v>
      </c>
      <c r="K431" s="22" t="s">
        <v>1614</v>
      </c>
      <c r="L431" s="22" t="s">
        <v>2256</v>
      </c>
      <c r="M431" s="22" t="s">
        <v>1577</v>
      </c>
      <c r="N431" s="29" t="s">
        <v>135</v>
      </c>
      <c r="O431" s="22" t="s">
        <v>1519</v>
      </c>
      <c r="P431" s="22" t="s">
        <v>2084</v>
      </c>
    </row>
    <row r="432" customFormat="false" ht="15" hidden="false" customHeight="false" outlineLevel="0" collapsed="false">
      <c r="A432" s="22" t="n">
        <v>429</v>
      </c>
      <c r="B432" s="22" t="s">
        <v>278</v>
      </c>
      <c r="C432" s="22" t="s">
        <v>1548</v>
      </c>
      <c r="D432" s="22" t="s">
        <v>523</v>
      </c>
      <c r="E432" s="28" t="n">
        <v>9497274</v>
      </c>
      <c r="F432" s="28" t="n">
        <v>0</v>
      </c>
      <c r="G432" s="28" t="n">
        <f aca="false">E432-F432</f>
        <v>9497274</v>
      </c>
      <c r="H432" s="23" t="n">
        <v>46230</v>
      </c>
      <c r="I432" s="22" t="s">
        <v>1566</v>
      </c>
      <c r="J432" s="22" t="s">
        <v>445</v>
      </c>
      <c r="K432" s="22" t="s">
        <v>1614</v>
      </c>
      <c r="L432" s="22" t="s">
        <v>2257</v>
      </c>
      <c r="M432" s="22" t="s">
        <v>1577</v>
      </c>
      <c r="N432" s="29" t="s">
        <v>136</v>
      </c>
      <c r="O432" s="22" t="s">
        <v>1519</v>
      </c>
      <c r="P432" s="22" t="s">
        <v>2084</v>
      </c>
    </row>
    <row r="433" customFormat="false" ht="15" hidden="false" customHeight="false" outlineLevel="0" collapsed="false">
      <c r="A433" s="22" t="n">
        <v>430</v>
      </c>
      <c r="B433" s="22" t="s">
        <v>278</v>
      </c>
      <c r="C433" s="22" t="s">
        <v>1548</v>
      </c>
      <c r="D433" s="22" t="s">
        <v>523</v>
      </c>
      <c r="E433" s="28" t="n">
        <v>14118856</v>
      </c>
      <c r="F433" s="28" t="n">
        <v>0</v>
      </c>
      <c r="G433" s="28" t="n">
        <f aca="false">E433-F433</f>
        <v>14118856</v>
      </c>
      <c r="H433" s="23" t="n">
        <v>46231</v>
      </c>
      <c r="I433" s="22" t="s">
        <v>1566</v>
      </c>
      <c r="J433" s="22" t="s">
        <v>455</v>
      </c>
      <c r="K433" s="22" t="s">
        <v>1614</v>
      </c>
      <c r="L433" s="22" t="s">
        <v>2258</v>
      </c>
      <c r="M433" s="22" t="s">
        <v>1577</v>
      </c>
      <c r="N433" s="29" t="s">
        <v>133</v>
      </c>
      <c r="O433" s="22" t="s">
        <v>1519</v>
      </c>
      <c r="P433" s="22" t="s">
        <v>2084</v>
      </c>
    </row>
    <row r="434" customFormat="false" ht="15" hidden="false" customHeight="false" outlineLevel="0" collapsed="false">
      <c r="A434" s="22" t="n">
        <v>431</v>
      </c>
      <c r="B434" s="22" t="s">
        <v>278</v>
      </c>
      <c r="C434" s="22" t="s">
        <v>1548</v>
      </c>
      <c r="D434" s="22" t="s">
        <v>523</v>
      </c>
      <c r="E434" s="28" t="n">
        <v>14118857</v>
      </c>
      <c r="F434" s="28" t="n">
        <v>0</v>
      </c>
      <c r="G434" s="28" t="n">
        <f aca="false">E434-F434</f>
        <v>14118857</v>
      </c>
      <c r="H434" s="23" t="n">
        <v>46231</v>
      </c>
      <c r="I434" s="22" t="s">
        <v>1566</v>
      </c>
      <c r="J434" s="22" t="s">
        <v>451</v>
      </c>
      <c r="K434" s="22" t="s">
        <v>1614</v>
      </c>
      <c r="L434" s="22" t="s">
        <v>2259</v>
      </c>
      <c r="M434" s="22" t="s">
        <v>1577</v>
      </c>
      <c r="N434" s="29" t="s">
        <v>134</v>
      </c>
      <c r="O434" s="22" t="s">
        <v>1519</v>
      </c>
      <c r="P434" s="22" t="s">
        <v>2084</v>
      </c>
    </row>
    <row r="435" customFormat="false" ht="15" hidden="false" customHeight="false" outlineLevel="0" collapsed="false">
      <c r="A435" s="22" t="n">
        <v>432</v>
      </c>
      <c r="B435" s="22" t="s">
        <v>278</v>
      </c>
      <c r="C435" s="22" t="s">
        <v>1548</v>
      </c>
      <c r="D435" s="22" t="s">
        <v>523</v>
      </c>
      <c r="E435" s="28" t="n">
        <v>39578631</v>
      </c>
      <c r="F435" s="28" t="n">
        <v>0</v>
      </c>
      <c r="G435" s="28" t="n">
        <f aca="false">E435-F435</f>
        <v>39578631</v>
      </c>
      <c r="H435" s="23" t="n">
        <v>46231</v>
      </c>
      <c r="I435" s="22" t="s">
        <v>1566</v>
      </c>
      <c r="J435" s="22" t="s">
        <v>442</v>
      </c>
      <c r="K435" s="22" t="s">
        <v>1614</v>
      </c>
      <c r="L435" s="22" t="s">
        <v>2260</v>
      </c>
      <c r="M435" s="22" t="s">
        <v>1577</v>
      </c>
      <c r="N435" s="29" t="s">
        <v>138</v>
      </c>
      <c r="O435" s="22" t="s">
        <v>1519</v>
      </c>
      <c r="P435" s="22" t="s">
        <v>2084</v>
      </c>
    </row>
    <row r="436" customFormat="false" ht="15" hidden="false" customHeight="false" outlineLevel="0" collapsed="false">
      <c r="A436" s="22" t="n">
        <v>433</v>
      </c>
      <c r="B436" s="22" t="s">
        <v>278</v>
      </c>
      <c r="C436" s="22" t="s">
        <v>1548</v>
      </c>
      <c r="D436" s="22" t="s">
        <v>523</v>
      </c>
      <c r="E436" s="28" t="n">
        <v>14121779.84</v>
      </c>
      <c r="F436" s="28" t="n">
        <v>0</v>
      </c>
      <c r="G436" s="28" t="n">
        <f aca="false">E436-F436</f>
        <v>14121779.84</v>
      </c>
      <c r="H436" s="23" t="n">
        <v>46231</v>
      </c>
      <c r="I436" s="22" t="s">
        <v>1566</v>
      </c>
      <c r="J436" s="22" t="s">
        <v>458</v>
      </c>
      <c r="K436" s="22" t="s">
        <v>1614</v>
      </c>
      <c r="L436" s="22" t="s">
        <v>2261</v>
      </c>
      <c r="M436" s="22" t="s">
        <v>1577</v>
      </c>
      <c r="N436" s="29" t="s">
        <v>137</v>
      </c>
      <c r="O436" s="22" t="s">
        <v>1519</v>
      </c>
      <c r="P436" s="22" t="s">
        <v>2084</v>
      </c>
    </row>
    <row r="437" customFormat="false" ht="15" hidden="false" customHeight="false" outlineLevel="0" collapsed="false">
      <c r="A437" s="22" t="n">
        <v>434</v>
      </c>
      <c r="B437" s="22" t="s">
        <v>278</v>
      </c>
      <c r="C437" s="22" t="s">
        <v>1548</v>
      </c>
      <c r="D437" s="22" t="s">
        <v>386</v>
      </c>
      <c r="E437" s="28" t="n">
        <v>0</v>
      </c>
      <c r="F437" s="28" t="n">
        <v>3555301</v>
      </c>
      <c r="G437" s="28" t="n">
        <f aca="false">E437-F437</f>
        <v>-3555301</v>
      </c>
      <c r="H437" s="23" t="n">
        <v>46050</v>
      </c>
      <c r="I437" s="22" t="s">
        <v>1660</v>
      </c>
      <c r="J437" s="22" t="s">
        <v>2075</v>
      </c>
      <c r="K437" s="22" t="s">
        <v>1568</v>
      </c>
      <c r="L437" s="22" t="s">
        <v>2262</v>
      </c>
      <c r="M437" s="22" t="s">
        <v>1564</v>
      </c>
      <c r="N437" s="29" t="s">
        <v>145</v>
      </c>
      <c r="O437" s="22" t="s">
        <v>1519</v>
      </c>
      <c r="P437" s="22" t="s">
        <v>2077</v>
      </c>
    </row>
    <row r="438" customFormat="false" ht="15" hidden="false" customHeight="false" outlineLevel="0" collapsed="false">
      <c r="A438" s="22" t="n">
        <v>435</v>
      </c>
      <c r="B438" s="22" t="s">
        <v>278</v>
      </c>
      <c r="C438" s="22" t="s">
        <v>1548</v>
      </c>
      <c r="D438" s="22" t="s">
        <v>386</v>
      </c>
      <c r="E438" s="28" t="n">
        <v>0</v>
      </c>
      <c r="F438" s="28" t="n">
        <v>3555301</v>
      </c>
      <c r="G438" s="28" t="n">
        <f aca="false">E438-F438</f>
        <v>-3555301</v>
      </c>
      <c r="H438" s="23" t="n">
        <v>46072</v>
      </c>
      <c r="I438" s="22" t="s">
        <v>1660</v>
      </c>
      <c r="J438" s="22" t="s">
        <v>2078</v>
      </c>
      <c r="K438" s="22" t="s">
        <v>1568</v>
      </c>
      <c r="L438" s="22" t="s">
        <v>2263</v>
      </c>
      <c r="M438" s="22" t="s">
        <v>1564</v>
      </c>
      <c r="N438" s="29" t="s">
        <v>145</v>
      </c>
      <c r="O438" s="22" t="s">
        <v>1519</v>
      </c>
      <c r="P438" s="22" t="s">
        <v>2077</v>
      </c>
    </row>
    <row r="439" customFormat="false" ht="15" hidden="false" customHeight="false" outlineLevel="0" collapsed="false">
      <c r="A439" s="22" t="n">
        <v>436</v>
      </c>
      <c r="B439" s="22" t="s">
        <v>278</v>
      </c>
      <c r="C439" s="22" t="s">
        <v>1548</v>
      </c>
      <c r="D439" s="22" t="s">
        <v>386</v>
      </c>
      <c r="E439" s="28" t="n">
        <v>0</v>
      </c>
      <c r="F439" s="28" t="n">
        <v>6295973</v>
      </c>
      <c r="G439" s="28" t="n">
        <f aca="false">E439-F439</f>
        <v>-6295973</v>
      </c>
      <c r="H439" s="23" t="n">
        <v>46099</v>
      </c>
      <c r="I439" s="22" t="s">
        <v>1660</v>
      </c>
      <c r="J439" s="22" t="s">
        <v>2080</v>
      </c>
      <c r="K439" s="22" t="s">
        <v>1568</v>
      </c>
      <c r="L439" s="22" t="s">
        <v>2264</v>
      </c>
      <c r="M439" s="22" t="s">
        <v>1564</v>
      </c>
      <c r="N439" s="29" t="s">
        <v>145</v>
      </c>
      <c r="O439" s="22" t="s">
        <v>1519</v>
      </c>
      <c r="P439" s="22" t="s">
        <v>2077</v>
      </c>
    </row>
    <row r="440" customFormat="false" ht="15" hidden="false" customHeight="false" outlineLevel="0" collapsed="false">
      <c r="A440" s="22" t="n">
        <v>437</v>
      </c>
      <c r="B440" s="22" t="s">
        <v>278</v>
      </c>
      <c r="C440" s="22" t="s">
        <v>1548</v>
      </c>
      <c r="D440" s="22" t="s">
        <v>386</v>
      </c>
      <c r="E440" s="28" t="n">
        <v>13406575</v>
      </c>
      <c r="F440" s="28" t="n">
        <v>0</v>
      </c>
      <c r="G440" s="28" t="n">
        <f aca="false">E440-F440</f>
        <v>13406575</v>
      </c>
      <c r="H440" s="23" t="n">
        <v>46100</v>
      </c>
      <c r="I440" s="22" t="s">
        <v>1598</v>
      </c>
      <c r="J440" s="22" t="s">
        <v>2265</v>
      </c>
      <c r="K440" s="22" t="s">
        <v>1614</v>
      </c>
      <c r="L440" s="22" t="s">
        <v>2266</v>
      </c>
      <c r="M440" s="22" t="s">
        <v>1577</v>
      </c>
      <c r="N440" s="29" t="s">
        <v>145</v>
      </c>
      <c r="O440" s="22" t="s">
        <v>1519</v>
      </c>
      <c r="P440" s="22" t="s">
        <v>2084</v>
      </c>
    </row>
    <row r="441" customFormat="false" ht="15" hidden="false" customHeight="false" outlineLevel="0" collapsed="false">
      <c r="A441" s="22" t="n">
        <v>438</v>
      </c>
      <c r="B441" s="22" t="s">
        <v>278</v>
      </c>
      <c r="C441" s="22" t="s">
        <v>1548</v>
      </c>
      <c r="D441" s="22" t="s">
        <v>386</v>
      </c>
      <c r="E441" s="28" t="n">
        <v>0</v>
      </c>
      <c r="F441" s="28" t="n">
        <v>3401721</v>
      </c>
      <c r="G441" s="28" t="n">
        <f aca="false">E441-F441</f>
        <v>-3401721</v>
      </c>
      <c r="H441" s="23" t="n">
        <v>46134</v>
      </c>
      <c r="I441" s="22" t="s">
        <v>1660</v>
      </c>
      <c r="J441" s="22" t="s">
        <v>2085</v>
      </c>
      <c r="K441" s="22" t="s">
        <v>1568</v>
      </c>
      <c r="L441" s="22" t="s">
        <v>2267</v>
      </c>
      <c r="M441" s="22" t="s">
        <v>1564</v>
      </c>
      <c r="N441" s="29" t="s">
        <v>145</v>
      </c>
      <c r="O441" s="22" t="s">
        <v>1519</v>
      </c>
      <c r="P441" s="22" t="s">
        <v>2077</v>
      </c>
    </row>
    <row r="442" customFormat="false" ht="15" hidden="false" customHeight="false" outlineLevel="0" collapsed="false">
      <c r="A442" s="22" t="n">
        <v>439</v>
      </c>
      <c r="B442" s="22" t="s">
        <v>278</v>
      </c>
      <c r="C442" s="22" t="s">
        <v>1548</v>
      </c>
      <c r="D442" s="22" t="s">
        <v>386</v>
      </c>
      <c r="E442" s="28" t="n">
        <v>0</v>
      </c>
      <c r="F442" s="28" t="n">
        <v>3401721</v>
      </c>
      <c r="G442" s="28" t="n">
        <f aca="false">E442-F442</f>
        <v>-3401721</v>
      </c>
      <c r="H442" s="23" t="n">
        <v>46162</v>
      </c>
      <c r="I442" s="22" t="s">
        <v>1660</v>
      </c>
      <c r="J442" s="22" t="s">
        <v>2087</v>
      </c>
      <c r="K442" s="22" t="s">
        <v>1568</v>
      </c>
      <c r="L442" s="22" t="s">
        <v>2268</v>
      </c>
      <c r="M442" s="22" t="s">
        <v>1564</v>
      </c>
      <c r="N442" s="29" t="s">
        <v>145</v>
      </c>
      <c r="O442" s="22" t="s">
        <v>1519</v>
      </c>
      <c r="P442" s="22" t="s">
        <v>2077</v>
      </c>
    </row>
    <row r="443" customFormat="false" ht="15" hidden="false" customHeight="false" outlineLevel="0" collapsed="false">
      <c r="A443" s="22" t="n">
        <v>440</v>
      </c>
      <c r="B443" s="22" t="s">
        <v>278</v>
      </c>
      <c r="C443" s="22" t="s">
        <v>1548</v>
      </c>
      <c r="D443" s="22" t="s">
        <v>386</v>
      </c>
      <c r="E443" s="28" t="n">
        <v>0</v>
      </c>
      <c r="F443" s="28" t="n">
        <v>8239564</v>
      </c>
      <c r="G443" s="28" t="n">
        <f aca="false">E443-F443</f>
        <v>-8239564</v>
      </c>
      <c r="H443" s="23" t="n">
        <v>46203</v>
      </c>
      <c r="I443" s="22" t="s">
        <v>1660</v>
      </c>
      <c r="J443" s="22" t="s">
        <v>2095</v>
      </c>
      <c r="K443" s="22" t="s">
        <v>1568</v>
      </c>
      <c r="L443" s="22" t="s">
        <v>2269</v>
      </c>
      <c r="M443" s="22" t="s">
        <v>1564</v>
      </c>
      <c r="N443" s="29" t="s">
        <v>145</v>
      </c>
      <c r="O443" s="22" t="s">
        <v>1519</v>
      </c>
      <c r="P443" s="22" t="s">
        <v>2077</v>
      </c>
    </row>
    <row r="444" customFormat="false" ht="15" hidden="false" customHeight="false" outlineLevel="0" collapsed="false">
      <c r="A444" s="22" t="n">
        <v>441</v>
      </c>
      <c r="B444" s="22" t="s">
        <v>278</v>
      </c>
      <c r="C444" s="22" t="s">
        <v>1548</v>
      </c>
      <c r="D444" s="22" t="s">
        <v>386</v>
      </c>
      <c r="E444" s="28" t="n">
        <v>15043006</v>
      </c>
      <c r="F444" s="28" t="n">
        <v>0</v>
      </c>
      <c r="G444" s="28" t="n">
        <f aca="false">E444-F444</f>
        <v>15043006</v>
      </c>
      <c r="H444" s="23" t="n">
        <v>46203</v>
      </c>
      <c r="I444" s="22" t="s">
        <v>1598</v>
      </c>
      <c r="J444" s="22" t="s">
        <v>2270</v>
      </c>
      <c r="K444" s="22" t="s">
        <v>1614</v>
      </c>
      <c r="L444" s="22" t="s">
        <v>2271</v>
      </c>
      <c r="M444" s="22" t="s">
        <v>1577</v>
      </c>
      <c r="N444" s="29" t="s">
        <v>145</v>
      </c>
      <c r="O444" s="22" t="s">
        <v>1519</v>
      </c>
      <c r="P444" s="22" t="s">
        <v>2084</v>
      </c>
    </row>
    <row r="445" customFormat="false" ht="15" hidden="false" customHeight="false" outlineLevel="0" collapsed="false">
      <c r="A445" s="22" t="n">
        <v>442</v>
      </c>
      <c r="B445" s="22" t="s">
        <v>278</v>
      </c>
      <c r="C445" s="22" t="s">
        <v>1548</v>
      </c>
      <c r="D445" s="22" t="s">
        <v>386</v>
      </c>
      <c r="E445" s="28" t="n">
        <v>0</v>
      </c>
      <c r="F445" s="28" t="n">
        <v>3750337</v>
      </c>
      <c r="G445" s="28" t="n">
        <f aca="false">E445-F445</f>
        <v>-3750337</v>
      </c>
      <c r="H445" s="23" t="n">
        <v>46227</v>
      </c>
      <c r="I445" s="22" t="s">
        <v>1660</v>
      </c>
      <c r="J445" s="22" t="s">
        <v>2123</v>
      </c>
      <c r="K445" s="22" t="s">
        <v>1568</v>
      </c>
      <c r="L445" s="22" t="s">
        <v>2272</v>
      </c>
      <c r="M445" s="22" t="s">
        <v>1564</v>
      </c>
      <c r="N445" s="29" t="s">
        <v>145</v>
      </c>
      <c r="O445" s="22" t="s">
        <v>1519</v>
      </c>
      <c r="P445" s="22" t="s">
        <v>2077</v>
      </c>
    </row>
    <row r="446" customFormat="false" ht="15" hidden="false" customHeight="false" outlineLevel="0" collapsed="false">
      <c r="D446" s="36" t="s">
        <v>2273</v>
      </c>
      <c r="E446" s="52" t="n">
        <f aca="false">SUM(E5:E445)</f>
        <v>32526204015.96</v>
      </c>
      <c r="F446" s="52" t="n">
        <f aca="false">SUM(F5:F445)</f>
        <v>28526158183.42</v>
      </c>
      <c r="G446" s="52" t="n">
        <f aca="false">SUM(G5:G445)</f>
        <v>4000045832.54</v>
      </c>
    </row>
  </sheetData>
  <autoFilter ref="A4:P44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2"/>
    <col collapsed="false" customWidth="true" hidden="false" outlineLevel="0" max="10" min="3" style="0" width="18"/>
    <col collapsed="false" customWidth="true" hidden="false" outlineLevel="0" max="14" min="11" style="0" width="14"/>
  </cols>
  <sheetData>
    <row r="1" customFormat="false" ht="15" hidden="false" customHeight="false" outlineLevel="0" collapsed="false">
      <c r="A1" s="19" t="s">
        <v>2274</v>
      </c>
    </row>
    <row r="2" customFormat="false" ht="15" hidden="false" customHeight="false" outlineLevel="0" collapsed="false">
      <c r="A2" s="20" t="s">
        <v>2275</v>
      </c>
    </row>
    <row r="4" customFormat="false" ht="15" hidden="false" customHeight="false" outlineLevel="0" collapsed="false">
      <c r="C4" s="47" t="s">
        <v>2276</v>
      </c>
      <c r="G4" s="47" t="s">
        <v>2277</v>
      </c>
      <c r="K4" s="47" t="s">
        <v>2278</v>
      </c>
    </row>
    <row r="5" customFormat="false" ht="30" hidden="false" customHeight="true" outlineLevel="0" collapsed="false">
      <c r="A5" s="27" t="s">
        <v>168</v>
      </c>
      <c r="B5" s="27" t="s">
        <v>105</v>
      </c>
      <c r="C5" s="27" t="s">
        <v>2279</v>
      </c>
      <c r="D5" s="27" t="s">
        <v>285</v>
      </c>
      <c r="E5" s="27" t="s">
        <v>286</v>
      </c>
      <c r="F5" s="27" t="s">
        <v>2280</v>
      </c>
      <c r="G5" s="27" t="s">
        <v>2279</v>
      </c>
      <c r="H5" s="27" t="s">
        <v>285</v>
      </c>
      <c r="I5" s="27" t="s">
        <v>286</v>
      </c>
      <c r="J5" s="27" t="s">
        <v>2280</v>
      </c>
      <c r="K5" s="27" t="s">
        <v>2281</v>
      </c>
      <c r="L5" s="27" t="s">
        <v>2282</v>
      </c>
      <c r="M5" s="27" t="s">
        <v>2283</v>
      </c>
      <c r="N5" s="27" t="s">
        <v>2284</v>
      </c>
    </row>
    <row r="6" customFormat="false" ht="15" hidden="false" customHeight="false" outlineLevel="0" collapsed="false">
      <c r="A6" s="22" t="s">
        <v>2285</v>
      </c>
      <c r="B6" s="22" t="s">
        <v>2286</v>
      </c>
      <c r="C6" s="28" t="n">
        <v>567550782875.32</v>
      </c>
      <c r="D6" s="28" t="n">
        <v>892765661780.59</v>
      </c>
      <c r="E6" s="28" t="n">
        <v>869848302323.96</v>
      </c>
      <c r="F6" s="28" t="n">
        <v>590468142331.95</v>
      </c>
      <c r="G6" s="28" t="n">
        <v>567550782875.32</v>
      </c>
      <c r="H6" s="28" t="n">
        <v>892765661780.59</v>
      </c>
      <c r="I6" s="28" t="n">
        <v>869848302323.96</v>
      </c>
      <c r="J6" s="28" t="n">
        <v>590468142331.95</v>
      </c>
      <c r="K6" s="28" t="n">
        <f aca="false">C6-G6</f>
        <v>0</v>
      </c>
      <c r="L6" s="28" t="n">
        <f aca="false">D6-H6</f>
        <v>0</v>
      </c>
      <c r="M6" s="28" t="n">
        <f aca="false">E6-I6</f>
        <v>0</v>
      </c>
      <c r="N6" s="28" t="n">
        <f aca="false">F6-J6</f>
        <v>0</v>
      </c>
    </row>
    <row r="7" customFormat="false" ht="15" hidden="false" customHeight="false" outlineLevel="0" collapsed="false">
      <c r="A7" s="22" t="s">
        <v>2287</v>
      </c>
      <c r="B7" s="22" t="s">
        <v>2288</v>
      </c>
      <c r="C7" s="28" t="n">
        <v>-191093585574.66</v>
      </c>
      <c r="D7" s="28" t="n">
        <v>362253540767.02</v>
      </c>
      <c r="E7" s="28" t="n">
        <v>368574294172.28</v>
      </c>
      <c r="F7" s="28" t="n">
        <v>-197414338979.92</v>
      </c>
      <c r="G7" s="28" t="n">
        <v>-191093585574.66</v>
      </c>
      <c r="H7" s="28" t="n">
        <v>362253540767.02</v>
      </c>
      <c r="I7" s="28" t="n">
        <v>368574294172.28</v>
      </c>
      <c r="J7" s="28" t="n">
        <v>-197414338979.92</v>
      </c>
      <c r="K7" s="28" t="n">
        <f aca="false">C7-G7</f>
        <v>0</v>
      </c>
      <c r="L7" s="28" t="n">
        <f aca="false">D7-H7</f>
        <v>0</v>
      </c>
      <c r="M7" s="28" t="n">
        <f aca="false">E7-I7</f>
        <v>0</v>
      </c>
      <c r="N7" s="28" t="n">
        <f aca="false">F7-J7</f>
        <v>0</v>
      </c>
    </row>
    <row r="8" customFormat="false" ht="15" hidden="false" customHeight="false" outlineLevel="0" collapsed="false">
      <c r="A8" s="22" t="s">
        <v>2289</v>
      </c>
      <c r="B8" s="22" t="s">
        <v>2290</v>
      </c>
      <c r="C8" s="28" t="n">
        <v>-376457197300.66</v>
      </c>
      <c r="D8" s="28" t="n">
        <v>73328494704.41</v>
      </c>
      <c r="E8" s="28" t="n">
        <v>71525661482.41</v>
      </c>
      <c r="F8" s="28" t="n">
        <v>-374654364078.66</v>
      </c>
      <c r="G8" s="28" t="n">
        <v>-376457197300.66</v>
      </c>
      <c r="H8" s="28" t="n">
        <v>73328494704.41</v>
      </c>
      <c r="I8" s="28" t="n">
        <v>71525661482.41</v>
      </c>
      <c r="J8" s="28" t="n">
        <v>-374654364078.66</v>
      </c>
      <c r="K8" s="28" t="n">
        <f aca="false">C8-G8</f>
        <v>0</v>
      </c>
      <c r="L8" s="28" t="n">
        <f aca="false">D8-H8</f>
        <v>0</v>
      </c>
      <c r="M8" s="28" t="n">
        <f aca="false">E8-I8</f>
        <v>0</v>
      </c>
      <c r="N8" s="28" t="n">
        <f aca="false">F8-J8</f>
        <v>0</v>
      </c>
    </row>
    <row r="9" customFormat="false" ht="15" hidden="false" customHeight="false" outlineLevel="0" collapsed="false">
      <c r="A9" s="22" t="s">
        <v>2291</v>
      </c>
      <c r="B9" s="22" t="s">
        <v>2292</v>
      </c>
      <c r="C9" s="28" t="n">
        <v>0</v>
      </c>
      <c r="D9" s="28" t="n">
        <v>32747696517.79</v>
      </c>
      <c r="E9" s="28" t="n">
        <v>200283851847.59</v>
      </c>
      <c r="F9" s="28" t="n">
        <v>-167536155329.8</v>
      </c>
      <c r="G9" s="28" t="n">
        <v>0</v>
      </c>
      <c r="H9" s="28" t="n">
        <v>32747696517.79</v>
      </c>
      <c r="I9" s="28" t="n">
        <v>200283851847.59</v>
      </c>
      <c r="J9" s="28" t="n">
        <v>-167536155329.8</v>
      </c>
      <c r="K9" s="28" t="n">
        <f aca="false">C9-G9</f>
        <v>0</v>
      </c>
      <c r="L9" s="28" t="n">
        <f aca="false">D9-H9</f>
        <v>0</v>
      </c>
      <c r="M9" s="28" t="n">
        <f aca="false">E9-I9</f>
        <v>0</v>
      </c>
      <c r="N9" s="28" t="n">
        <f aca="false">F9-J9</f>
        <v>0</v>
      </c>
    </row>
    <row r="10" customFormat="false" ht="15" hidden="false" customHeight="false" outlineLevel="0" collapsed="false">
      <c r="A10" s="22" t="s">
        <v>1116</v>
      </c>
      <c r="B10" s="22" t="s">
        <v>2293</v>
      </c>
      <c r="C10" s="28" t="n">
        <v>0</v>
      </c>
      <c r="D10" s="28" t="n">
        <v>61606987834.29</v>
      </c>
      <c r="E10" s="28" t="n">
        <v>8199599409.86</v>
      </c>
      <c r="F10" s="28" t="n">
        <v>53407388424.43</v>
      </c>
      <c r="G10" s="28" t="n">
        <v>0</v>
      </c>
      <c r="H10" s="28" t="n">
        <v>61606987834.29</v>
      </c>
      <c r="I10" s="28" t="n">
        <v>8199599409.86</v>
      </c>
      <c r="J10" s="28" t="n">
        <v>53407388424.43</v>
      </c>
      <c r="K10" s="28" t="n">
        <f aca="false">C10-G10</f>
        <v>0</v>
      </c>
      <c r="L10" s="28" t="n">
        <f aca="false">D10-H10</f>
        <v>0</v>
      </c>
      <c r="M10" s="28" t="n">
        <f aca="false">E10-I10</f>
        <v>0</v>
      </c>
      <c r="N10" s="28" t="n">
        <f aca="false">F10-J10</f>
        <v>0</v>
      </c>
    </row>
    <row r="11" customFormat="false" ht="15" hidden="false" customHeight="false" outlineLevel="0" collapsed="false">
      <c r="A11" s="22" t="s">
        <v>1094</v>
      </c>
      <c r="B11" s="22" t="s">
        <v>2294</v>
      </c>
      <c r="C11" s="28" t="n">
        <v>0</v>
      </c>
      <c r="D11" s="28" t="n">
        <v>126317363653.97</v>
      </c>
      <c r="E11" s="28" t="n">
        <v>30588036021.97</v>
      </c>
      <c r="F11" s="28" t="n">
        <v>95729327632</v>
      </c>
      <c r="G11" s="28" t="n">
        <v>0</v>
      </c>
      <c r="H11" s="28" t="n">
        <v>126317363653.97</v>
      </c>
      <c r="I11" s="28" t="n">
        <v>30588036021.97</v>
      </c>
      <c r="J11" s="28" t="n">
        <v>95729327632</v>
      </c>
      <c r="K11" s="28" t="n">
        <f aca="false">C11-G11</f>
        <v>0</v>
      </c>
      <c r="L11" s="28" t="n">
        <f aca="false">D11-H11</f>
        <v>0</v>
      </c>
      <c r="M11" s="28" t="n">
        <f aca="false">E11-I11</f>
        <v>0</v>
      </c>
      <c r="N11" s="28" t="n">
        <f aca="false">F11-J11</f>
        <v>0</v>
      </c>
    </row>
    <row r="12" customFormat="false" ht="15" hidden="false" customHeight="false" outlineLevel="0" collapsed="false">
      <c r="A12" s="22" t="s">
        <v>2295</v>
      </c>
      <c r="B12" s="22" t="s">
        <v>2296</v>
      </c>
      <c r="C12" s="28" t="n">
        <v>0</v>
      </c>
      <c r="D12" s="28" t="n">
        <v>280013808025.94</v>
      </c>
      <c r="E12" s="28" t="n">
        <v>280013808025.94</v>
      </c>
      <c r="F12" s="28" t="n">
        <v>0</v>
      </c>
      <c r="G12" s="28" t="n">
        <v>0</v>
      </c>
      <c r="H12" s="28" t="n">
        <v>280013808025.94</v>
      </c>
      <c r="I12" s="28" t="n">
        <v>280013808025.94</v>
      </c>
      <c r="J12" s="28" t="n">
        <v>0</v>
      </c>
      <c r="K12" s="28" t="n">
        <f aca="false">C12-G12</f>
        <v>0</v>
      </c>
      <c r="L12" s="28" t="n">
        <f aca="false">D12-H12</f>
        <v>0</v>
      </c>
      <c r="M12" s="28" t="n">
        <f aca="false">E12-I12</f>
        <v>0</v>
      </c>
      <c r="N12" s="28" t="n">
        <f aca="false">F12-J12</f>
        <v>0</v>
      </c>
    </row>
    <row r="13" customFormat="false" ht="15" hidden="false" customHeight="false" outlineLevel="0" collapsed="false">
      <c r="A13" s="22" t="s">
        <v>2297</v>
      </c>
      <c r="B13" s="22" t="s">
        <v>2298</v>
      </c>
      <c r="C13" s="28" t="n">
        <v>-50662748875.76</v>
      </c>
      <c r="D13" s="28" t="n">
        <v>32526204015.96</v>
      </c>
      <c r="E13" s="28" t="n">
        <v>28526158183.42</v>
      </c>
      <c r="F13" s="28" t="n">
        <v>-46662703043.22</v>
      </c>
      <c r="G13" s="28" t="n">
        <v>-50662748875.76</v>
      </c>
      <c r="H13" s="28" t="n">
        <v>32526204015.96</v>
      </c>
      <c r="I13" s="28" t="n">
        <v>28526158183.42</v>
      </c>
      <c r="J13" s="28" t="n">
        <v>-46662703043.22</v>
      </c>
      <c r="K13" s="28" t="n">
        <f aca="false">C13-G13</f>
        <v>0</v>
      </c>
      <c r="L13" s="28" t="n">
        <f aca="false">D13-H13</f>
        <v>0</v>
      </c>
      <c r="M13" s="28" t="n">
        <f aca="false">E13-I13</f>
        <v>0</v>
      </c>
      <c r="N13" s="28" t="n">
        <f aca="false">F13-J13</f>
        <v>0</v>
      </c>
    </row>
    <row r="14" customFormat="false" ht="15" hidden="false" customHeight="false" outlineLevel="0" collapsed="false">
      <c r="A14" s="22" t="s">
        <v>2299</v>
      </c>
      <c r="B14" s="22" t="s">
        <v>2298</v>
      </c>
      <c r="C14" s="28" t="n">
        <v>-41332031248.42</v>
      </c>
      <c r="D14" s="28" t="n">
        <v>27823935570.11</v>
      </c>
      <c r="E14" s="28" t="n">
        <v>24823706719.42</v>
      </c>
      <c r="F14" s="28" t="n">
        <v>-38331802397.73</v>
      </c>
      <c r="G14" s="28" t="n">
        <v>-41332031248.42</v>
      </c>
      <c r="H14" s="28" t="n">
        <v>27823935570.11</v>
      </c>
      <c r="I14" s="28" t="n">
        <v>24823706719.42</v>
      </c>
      <c r="J14" s="28" t="n">
        <v>-38331802397.73</v>
      </c>
      <c r="K14" s="28" t="n">
        <f aca="false">C14-G14</f>
        <v>0</v>
      </c>
      <c r="L14" s="28" t="n">
        <f aca="false">D14-H14</f>
        <v>0</v>
      </c>
      <c r="M14" s="28" t="n">
        <f aca="false">E14-I14</f>
        <v>0</v>
      </c>
      <c r="N14" s="28" t="n">
        <f aca="false">F14-J14</f>
        <v>0</v>
      </c>
    </row>
    <row r="15" customFormat="false" ht="15" hidden="false" customHeight="false" outlineLevel="0" collapsed="false">
      <c r="A15" s="22" t="s">
        <v>2300</v>
      </c>
      <c r="B15" s="22" t="s">
        <v>2301</v>
      </c>
      <c r="C15" s="28" t="n">
        <v>-17938333333</v>
      </c>
      <c r="D15" s="28" t="n">
        <v>24700000000</v>
      </c>
      <c r="E15" s="28" t="n">
        <v>24700000000</v>
      </c>
      <c r="F15" s="28" t="n">
        <v>-17938333333</v>
      </c>
      <c r="G15" s="28" t="n">
        <v>-17938333333</v>
      </c>
      <c r="H15" s="28" t="n">
        <v>24700000000</v>
      </c>
      <c r="I15" s="28" t="n">
        <v>24700000000</v>
      </c>
      <c r="J15" s="28" t="n">
        <v>-17938333333</v>
      </c>
      <c r="K15" s="28" t="n">
        <f aca="false">C15-G15</f>
        <v>0</v>
      </c>
      <c r="L15" s="28" t="n">
        <f aca="false">D15-H15</f>
        <v>0</v>
      </c>
      <c r="M15" s="28" t="n">
        <f aca="false">E15-I15</f>
        <v>0</v>
      </c>
      <c r="N15" s="28" t="n">
        <f aca="false">F15-J15</f>
        <v>0</v>
      </c>
    </row>
    <row r="16" customFormat="false" ht="15" hidden="false" customHeight="false" outlineLevel="0" collapsed="false">
      <c r="A16" s="22" t="s">
        <v>273</v>
      </c>
      <c r="B16" s="22" t="s">
        <v>1542</v>
      </c>
      <c r="C16" s="28" t="n">
        <v>-17938333333</v>
      </c>
      <c r="D16" s="28" t="n">
        <v>24700000000</v>
      </c>
      <c r="E16" s="28" t="n">
        <v>24700000000</v>
      </c>
      <c r="F16" s="28" t="n">
        <v>-17938333333</v>
      </c>
      <c r="G16" s="28" t="n">
        <v>-17938333333</v>
      </c>
      <c r="H16" s="28" t="n">
        <v>24700000000</v>
      </c>
      <c r="I16" s="28" t="n">
        <v>24700000000</v>
      </c>
      <c r="J16" s="28" t="n">
        <v>-17938333333</v>
      </c>
      <c r="K16" s="28" t="n">
        <f aca="false">C16-G16</f>
        <v>0</v>
      </c>
      <c r="L16" s="28" t="n">
        <f aca="false">D16-H16</f>
        <v>0</v>
      </c>
      <c r="M16" s="28" t="n">
        <f aca="false">E16-I16</f>
        <v>0</v>
      </c>
      <c r="N16" s="28" t="n">
        <f aca="false">F16-J16</f>
        <v>0</v>
      </c>
    </row>
    <row r="17" customFormat="false" ht="15" hidden="false" customHeight="false" outlineLevel="0" collapsed="false">
      <c r="A17" s="22" t="s">
        <v>2302</v>
      </c>
      <c r="B17" s="22" t="s">
        <v>2303</v>
      </c>
      <c r="C17" s="28" t="n">
        <v>-23393697915.42</v>
      </c>
      <c r="D17" s="28" t="n">
        <v>3123935570.11</v>
      </c>
      <c r="E17" s="28" t="n">
        <v>123706719.42</v>
      </c>
      <c r="F17" s="28" t="n">
        <v>-20393469064.73</v>
      </c>
      <c r="G17" s="28" t="n">
        <v>-23393697915.42</v>
      </c>
      <c r="H17" s="28" t="n">
        <v>3123935570.11</v>
      </c>
      <c r="I17" s="28" t="n">
        <v>123706719.42</v>
      </c>
      <c r="J17" s="28" t="n">
        <v>-20393469064.73</v>
      </c>
      <c r="K17" s="28" t="n">
        <f aca="false">C17-G17</f>
        <v>0</v>
      </c>
      <c r="L17" s="28" t="n">
        <f aca="false">D17-H17</f>
        <v>0</v>
      </c>
      <c r="M17" s="28" t="n">
        <f aca="false">E17-I17</f>
        <v>0</v>
      </c>
      <c r="N17" s="28" t="n">
        <f aca="false">F17-J17</f>
        <v>0</v>
      </c>
    </row>
    <row r="18" customFormat="false" ht="15" hidden="false" customHeight="false" outlineLevel="0" collapsed="false">
      <c r="A18" s="22" t="s">
        <v>274</v>
      </c>
      <c r="B18" s="22" t="s">
        <v>1543</v>
      </c>
      <c r="C18" s="28" t="n">
        <v>-23368333333</v>
      </c>
      <c r="D18" s="28" t="n">
        <v>3006000000</v>
      </c>
      <c r="E18" s="28" t="n">
        <v>0</v>
      </c>
      <c r="F18" s="28" t="n">
        <v>-20362333333</v>
      </c>
      <c r="G18" s="28" t="n">
        <v>-23368333333</v>
      </c>
      <c r="H18" s="28" t="n">
        <v>3006000000</v>
      </c>
      <c r="I18" s="28" t="n">
        <v>0</v>
      </c>
      <c r="J18" s="28" t="n">
        <v>-20362333333</v>
      </c>
      <c r="K18" s="28" t="n">
        <f aca="false">C18-G18</f>
        <v>0</v>
      </c>
      <c r="L18" s="28" t="n">
        <f aca="false">D18-H18</f>
        <v>0</v>
      </c>
      <c r="M18" s="28" t="n">
        <f aca="false">E18-I18</f>
        <v>0</v>
      </c>
      <c r="N18" s="28" t="n">
        <f aca="false">F18-J18</f>
        <v>0</v>
      </c>
    </row>
    <row r="19" customFormat="false" ht="15" hidden="false" customHeight="false" outlineLevel="0" collapsed="false">
      <c r="A19" s="22" t="s">
        <v>98</v>
      </c>
      <c r="B19" s="22" t="s">
        <v>1544</v>
      </c>
      <c r="C19" s="28" t="n">
        <v>-25364582.42</v>
      </c>
      <c r="D19" s="28" t="n">
        <v>117935570.11</v>
      </c>
      <c r="E19" s="28" t="n">
        <v>123706719.42</v>
      </c>
      <c r="F19" s="28" t="n">
        <v>-31135731.73</v>
      </c>
      <c r="G19" s="28" t="n">
        <v>-25364582.42</v>
      </c>
      <c r="H19" s="28" t="n">
        <v>117935570.11</v>
      </c>
      <c r="I19" s="28" t="n">
        <v>123706719.42</v>
      </c>
      <c r="J19" s="28" t="n">
        <v>-31135731.73</v>
      </c>
      <c r="K19" s="28" t="n">
        <f aca="false">C19-G19</f>
        <v>0</v>
      </c>
      <c r="L19" s="28" t="n">
        <f aca="false">D19-H19</f>
        <v>0</v>
      </c>
      <c r="M19" s="28" t="n">
        <f aca="false">E19-I19</f>
        <v>0</v>
      </c>
      <c r="N19" s="28" t="n">
        <f aca="false">F19-J19</f>
        <v>0</v>
      </c>
    </row>
    <row r="20" customFormat="false" ht="15" hidden="false" customHeight="false" outlineLevel="0" collapsed="false">
      <c r="A20" s="22" t="s">
        <v>2304</v>
      </c>
      <c r="B20" s="22" t="s">
        <v>2305</v>
      </c>
      <c r="C20" s="28" t="n">
        <v>-8130494743.34</v>
      </c>
      <c r="D20" s="28" t="n">
        <v>946510532.01</v>
      </c>
      <c r="E20" s="28" t="n">
        <v>719527417</v>
      </c>
      <c r="F20" s="28" t="n">
        <v>-7903511628.33</v>
      </c>
      <c r="G20" s="28" t="n">
        <v>-8130494743.34</v>
      </c>
      <c r="H20" s="28" t="n">
        <v>946510532.01</v>
      </c>
      <c r="I20" s="28" t="n">
        <v>719527417</v>
      </c>
      <c r="J20" s="28" t="n">
        <v>-7903511628.33</v>
      </c>
      <c r="K20" s="28" t="n">
        <f aca="false">C20-G20</f>
        <v>0</v>
      </c>
      <c r="L20" s="28" t="n">
        <f aca="false">D20-H20</f>
        <v>0</v>
      </c>
      <c r="M20" s="28" t="n">
        <f aca="false">E20-I20</f>
        <v>0</v>
      </c>
      <c r="N20" s="28" t="n">
        <f aca="false">F20-J20</f>
        <v>0</v>
      </c>
    </row>
    <row r="21" customFormat="false" ht="15" hidden="false" customHeight="false" outlineLevel="0" collapsed="false">
      <c r="A21" s="22" t="s">
        <v>2306</v>
      </c>
      <c r="B21" s="22" t="s">
        <v>1545</v>
      </c>
      <c r="C21" s="28" t="n">
        <v>-585880191.4</v>
      </c>
      <c r="D21" s="28" t="n">
        <v>35428634</v>
      </c>
      <c r="E21" s="28" t="n">
        <v>607791830</v>
      </c>
      <c r="F21" s="28" t="n">
        <v>-1158243387.4</v>
      </c>
      <c r="G21" s="28" t="n">
        <v>-585880191.4</v>
      </c>
      <c r="H21" s="28" t="n">
        <v>35428634</v>
      </c>
      <c r="I21" s="28" t="n">
        <v>607791830</v>
      </c>
      <c r="J21" s="28" t="n">
        <v>-1158243387.4</v>
      </c>
      <c r="K21" s="28" t="n">
        <f aca="false">C21-G21</f>
        <v>0</v>
      </c>
      <c r="L21" s="28" t="n">
        <f aca="false">D21-H21</f>
        <v>0</v>
      </c>
      <c r="M21" s="28" t="n">
        <f aca="false">E21-I21</f>
        <v>0</v>
      </c>
      <c r="N21" s="28" t="n">
        <f aca="false">F21-J21</f>
        <v>0</v>
      </c>
    </row>
    <row r="22" customFormat="false" ht="15" hidden="false" customHeight="false" outlineLevel="0" collapsed="false">
      <c r="A22" s="22" t="s">
        <v>275</v>
      </c>
      <c r="B22" s="22" t="s">
        <v>1545</v>
      </c>
      <c r="C22" s="28" t="n">
        <v>-585880191.4</v>
      </c>
      <c r="D22" s="28" t="n">
        <v>35428634</v>
      </c>
      <c r="E22" s="28" t="n">
        <v>607791830</v>
      </c>
      <c r="F22" s="28" t="n">
        <v>-1158243387.4</v>
      </c>
      <c r="G22" s="28" t="n">
        <v>-585880191.4</v>
      </c>
      <c r="H22" s="28" t="n">
        <v>35428634</v>
      </c>
      <c r="I22" s="28" t="n">
        <v>607791830</v>
      </c>
      <c r="J22" s="28" t="n">
        <v>-1158243387.4</v>
      </c>
      <c r="K22" s="28" t="n">
        <f aca="false">C22-G22</f>
        <v>0</v>
      </c>
      <c r="L22" s="28" t="n">
        <f aca="false">D22-H22</f>
        <v>0</v>
      </c>
      <c r="M22" s="28" t="n">
        <f aca="false">E22-I22</f>
        <v>0</v>
      </c>
      <c r="N22" s="28" t="n">
        <f aca="false">F22-J22</f>
        <v>0</v>
      </c>
    </row>
    <row r="23" customFormat="false" ht="15" hidden="false" customHeight="false" outlineLevel="0" collapsed="false">
      <c r="A23" s="22" t="s">
        <v>2307</v>
      </c>
      <c r="B23" s="22" t="s">
        <v>2308</v>
      </c>
      <c r="C23" s="28" t="n">
        <v>-7544614551.94</v>
      </c>
      <c r="D23" s="28" t="n">
        <v>911081898.01</v>
      </c>
      <c r="E23" s="28" t="n">
        <v>111735587</v>
      </c>
      <c r="F23" s="28" t="n">
        <v>-6745268240.93</v>
      </c>
      <c r="G23" s="28" t="n">
        <v>-7544614551.94</v>
      </c>
      <c r="H23" s="28" t="n">
        <v>911081898.01</v>
      </c>
      <c r="I23" s="28" t="n">
        <v>111735587</v>
      </c>
      <c r="J23" s="28" t="n">
        <v>-6745268240.93</v>
      </c>
      <c r="K23" s="28" t="n">
        <f aca="false">C23-G23</f>
        <v>0</v>
      </c>
      <c r="L23" s="28" t="n">
        <f aca="false">D23-H23</f>
        <v>0</v>
      </c>
      <c r="M23" s="28" t="n">
        <f aca="false">E23-I23</f>
        <v>0</v>
      </c>
      <c r="N23" s="28" t="n">
        <f aca="false">F23-J23</f>
        <v>0</v>
      </c>
    </row>
    <row r="24" customFormat="false" ht="15" hidden="false" customHeight="false" outlineLevel="0" collapsed="false">
      <c r="A24" s="22" t="s">
        <v>276</v>
      </c>
      <c r="B24" s="22" t="s">
        <v>1546</v>
      </c>
      <c r="C24" s="28" t="n">
        <v>-7544614551.94</v>
      </c>
      <c r="D24" s="28" t="n">
        <v>911081898.01</v>
      </c>
      <c r="E24" s="28" t="n">
        <v>111735587</v>
      </c>
      <c r="F24" s="28" t="n">
        <v>-6745268240.93</v>
      </c>
      <c r="G24" s="28" t="n">
        <v>-7544614551.94</v>
      </c>
      <c r="H24" s="28" t="n">
        <v>911081898.01</v>
      </c>
      <c r="I24" s="28" t="n">
        <v>111735587</v>
      </c>
      <c r="J24" s="28" t="n">
        <v>-6745268240.93</v>
      </c>
      <c r="K24" s="28" t="n">
        <f aca="false">C24-G24</f>
        <v>0</v>
      </c>
      <c r="L24" s="28" t="n">
        <f aca="false">D24-H24</f>
        <v>0</v>
      </c>
      <c r="M24" s="28" t="n">
        <f aca="false">E24-I24</f>
        <v>0</v>
      </c>
      <c r="N24" s="28" t="n">
        <f aca="false">F24-J24</f>
        <v>0</v>
      </c>
    </row>
    <row r="25" customFormat="false" ht="15" hidden="false" customHeight="false" outlineLevel="0" collapsed="false">
      <c r="A25" s="22" t="s">
        <v>2309</v>
      </c>
      <c r="B25" s="22" t="s">
        <v>2310</v>
      </c>
      <c r="C25" s="28" t="n">
        <v>-1200222884</v>
      </c>
      <c r="D25" s="28" t="n">
        <v>3755757913.84</v>
      </c>
      <c r="E25" s="28" t="n">
        <v>2982924047</v>
      </c>
      <c r="F25" s="28" t="n">
        <v>-427389017.16</v>
      </c>
      <c r="G25" s="28" t="n">
        <v>-1200222884</v>
      </c>
      <c r="H25" s="28" t="n">
        <v>3755757913.84</v>
      </c>
      <c r="I25" s="28" t="n">
        <v>2982924047</v>
      </c>
      <c r="J25" s="28" t="n">
        <v>-427389017.16</v>
      </c>
      <c r="K25" s="28" t="n">
        <f aca="false">C25-G25</f>
        <v>0</v>
      </c>
      <c r="L25" s="28" t="n">
        <f aca="false">D25-H25</f>
        <v>0</v>
      </c>
      <c r="M25" s="28" t="n">
        <f aca="false">E25-I25</f>
        <v>0</v>
      </c>
      <c r="N25" s="28" t="n">
        <f aca="false">F25-J25</f>
        <v>0</v>
      </c>
    </row>
    <row r="26" customFormat="false" ht="15" hidden="false" customHeight="false" outlineLevel="0" collapsed="false">
      <c r="A26" s="22" t="s">
        <v>95</v>
      </c>
      <c r="B26" s="22" t="s">
        <v>2311</v>
      </c>
      <c r="C26" s="28" t="n">
        <v>-1200222884</v>
      </c>
      <c r="D26" s="28" t="n">
        <v>3755757913.84</v>
      </c>
      <c r="E26" s="28" t="n">
        <v>2982924047</v>
      </c>
      <c r="F26" s="28" t="n">
        <v>-427389017.16</v>
      </c>
      <c r="G26" s="28" t="n">
        <v>-1200222884</v>
      </c>
      <c r="H26" s="28" t="n">
        <v>3755757913.84</v>
      </c>
      <c r="I26" s="28" t="n">
        <v>2982924047</v>
      </c>
      <c r="J26" s="28" t="n">
        <v>-427389017.16</v>
      </c>
      <c r="K26" s="28" t="n">
        <f aca="false">C26-G26</f>
        <v>0</v>
      </c>
      <c r="L26" s="28" t="n">
        <f aca="false">D26-H26</f>
        <v>0</v>
      </c>
      <c r="M26" s="28" t="n">
        <f aca="false">E26-I26</f>
        <v>0</v>
      </c>
      <c r="N26" s="28" t="n">
        <f aca="false">F26-J26</f>
        <v>0</v>
      </c>
    </row>
    <row r="27" customFormat="false" ht="15" hidden="false" customHeight="false" outlineLevel="0" collapsed="false">
      <c r="A27" s="22" t="s">
        <v>277</v>
      </c>
      <c r="B27" s="22" t="s">
        <v>1547</v>
      </c>
      <c r="C27" s="28" t="n">
        <v>-1107168370</v>
      </c>
      <c r="D27" s="28" t="n">
        <v>3257045166</v>
      </c>
      <c r="E27" s="28" t="n">
        <v>2573515476</v>
      </c>
      <c r="F27" s="28" t="n">
        <v>-423638680</v>
      </c>
      <c r="G27" s="28" t="n">
        <v>-1107168370</v>
      </c>
      <c r="H27" s="28" t="n">
        <v>3257045166</v>
      </c>
      <c r="I27" s="28" t="n">
        <v>2573515476</v>
      </c>
      <c r="J27" s="28" t="n">
        <v>-423638680</v>
      </c>
      <c r="K27" s="28" t="n">
        <f aca="false">C27-G27</f>
        <v>0</v>
      </c>
      <c r="L27" s="28" t="n">
        <f aca="false">D27-H27</f>
        <v>0</v>
      </c>
      <c r="M27" s="28" t="n">
        <f aca="false">E27-I27</f>
        <v>0</v>
      </c>
      <c r="N27" s="28" t="n">
        <f aca="false">F27-J27</f>
        <v>0</v>
      </c>
    </row>
    <row r="28" customFormat="false" ht="15" hidden="false" customHeight="false" outlineLevel="0" collapsed="false">
      <c r="A28" s="22" t="s">
        <v>278</v>
      </c>
      <c r="B28" s="22" t="s">
        <v>1548</v>
      </c>
      <c r="C28" s="28" t="n">
        <v>-93054514</v>
      </c>
      <c r="D28" s="28" t="n">
        <v>498712747.84</v>
      </c>
      <c r="E28" s="28" t="n">
        <v>409408571</v>
      </c>
      <c r="F28" s="28" t="n">
        <v>-3750337.16</v>
      </c>
      <c r="G28" s="28" t="n">
        <v>-93054514</v>
      </c>
      <c r="H28" s="28" t="n">
        <v>498712747.84</v>
      </c>
      <c r="I28" s="28" t="n">
        <v>409408571</v>
      </c>
      <c r="J28" s="28" t="n">
        <v>-3750337.16</v>
      </c>
      <c r="K28" s="28" t="n">
        <f aca="false">C28-G28</f>
        <v>0</v>
      </c>
      <c r="L28" s="28" t="n">
        <f aca="false">D28-H28</f>
        <v>0</v>
      </c>
      <c r="M28" s="28" t="n">
        <f aca="false">E28-I28</f>
        <v>0</v>
      </c>
      <c r="N28" s="28" t="n">
        <f aca="false">F28-J28</f>
        <v>0</v>
      </c>
    </row>
    <row r="29" customFormat="false" ht="15" hidden="false" customHeight="false" outlineLevel="0" collapsed="false">
      <c r="A29" s="22" t="s">
        <v>1217</v>
      </c>
      <c r="B29" s="22" t="s">
        <v>2312</v>
      </c>
      <c r="C29" s="28" t="n">
        <v>0</v>
      </c>
      <c r="D29" s="28" t="n">
        <v>17530527480.05</v>
      </c>
      <c r="E29" s="28" t="n">
        <v>5184717456.81</v>
      </c>
      <c r="F29" s="28" t="n">
        <v>12345810023.24</v>
      </c>
      <c r="G29" s="28" t="n">
        <v>0</v>
      </c>
      <c r="H29" s="28" t="n">
        <v>17530527480.05</v>
      </c>
      <c r="I29" s="28" t="n">
        <v>5184717456.81</v>
      </c>
      <c r="J29" s="28" t="n">
        <v>12345810023.24</v>
      </c>
      <c r="K29" s="28" t="n">
        <f aca="false">C29-G29</f>
        <v>0</v>
      </c>
      <c r="L29" s="28" t="n">
        <f aca="false">D29-H29</f>
        <v>0</v>
      </c>
      <c r="M29" s="28" t="n">
        <f aca="false">E29-I29</f>
        <v>0</v>
      </c>
      <c r="N29" s="28" t="n">
        <f aca="false">F29-J29</f>
        <v>0</v>
      </c>
    </row>
    <row r="30" customFormat="false" ht="15" hidden="false" customHeight="false" outlineLevel="0" collapsed="false">
      <c r="A30" s="22" t="s">
        <v>2313</v>
      </c>
      <c r="B30" s="22" t="s">
        <v>2314</v>
      </c>
      <c r="C30" s="28" t="n">
        <v>0</v>
      </c>
      <c r="D30" s="28" t="n">
        <v>8523549605.4</v>
      </c>
      <c r="E30" s="28" t="n">
        <v>4956199893.81</v>
      </c>
      <c r="F30" s="28" t="n">
        <v>3567349711.59</v>
      </c>
      <c r="G30" s="28" t="n">
        <v>0</v>
      </c>
      <c r="H30" s="28" t="n">
        <v>8523549605.4</v>
      </c>
      <c r="I30" s="28" t="n">
        <v>4956199893.81</v>
      </c>
      <c r="J30" s="28" t="n">
        <v>3567349711.59</v>
      </c>
      <c r="K30" s="28" t="n">
        <f aca="false">C30-G30</f>
        <v>0</v>
      </c>
      <c r="L30" s="28" t="n">
        <f aca="false">D30-H30</f>
        <v>0</v>
      </c>
      <c r="M30" s="28" t="n">
        <f aca="false">E30-I30</f>
        <v>0</v>
      </c>
      <c r="N30" s="28" t="n">
        <f aca="false">F30-J30</f>
        <v>0</v>
      </c>
    </row>
    <row r="31" customFormat="false" ht="15" hidden="false" customHeight="false" outlineLevel="0" collapsed="false">
      <c r="A31" s="22" t="s">
        <v>2315</v>
      </c>
      <c r="B31" s="22" t="s">
        <v>2316</v>
      </c>
      <c r="C31" s="28" t="n">
        <v>0</v>
      </c>
      <c r="D31" s="28" t="n">
        <v>6733778</v>
      </c>
      <c r="E31" s="28" t="n">
        <v>0</v>
      </c>
      <c r="F31" s="28" t="n">
        <v>6733778</v>
      </c>
      <c r="G31" s="28" t="n">
        <v>0</v>
      </c>
      <c r="H31" s="28" t="n">
        <v>6733778</v>
      </c>
      <c r="I31" s="28" t="n">
        <v>0</v>
      </c>
      <c r="J31" s="28" t="n">
        <v>6733778</v>
      </c>
      <c r="K31" s="28" t="n">
        <f aca="false">C31-G31</f>
        <v>0</v>
      </c>
      <c r="L31" s="28" t="n">
        <f aca="false">D31-H31</f>
        <v>0</v>
      </c>
      <c r="M31" s="28" t="n">
        <f aca="false">E31-I31</f>
        <v>0</v>
      </c>
      <c r="N31" s="28" t="n">
        <f aca="false">F31-J31</f>
        <v>0</v>
      </c>
    </row>
    <row r="32" customFormat="false" ht="15" hidden="false" customHeight="false" outlineLevel="0" collapsed="false">
      <c r="A32" s="22" t="s">
        <v>2317</v>
      </c>
      <c r="B32" s="22" t="s">
        <v>2318</v>
      </c>
      <c r="C32" s="28" t="n">
        <v>0</v>
      </c>
      <c r="D32" s="28" t="n">
        <v>14942096.52</v>
      </c>
      <c r="E32" s="28" t="n">
        <v>219096.13</v>
      </c>
      <c r="F32" s="28" t="n">
        <v>14723000.39</v>
      </c>
      <c r="G32" s="28" t="n">
        <v>0</v>
      </c>
      <c r="H32" s="28" t="n">
        <v>14942096.52</v>
      </c>
      <c r="I32" s="28" t="n">
        <v>219096.13</v>
      </c>
      <c r="J32" s="28" t="n">
        <v>14723000.39</v>
      </c>
      <c r="K32" s="28" t="n">
        <f aca="false">C32-G32</f>
        <v>0</v>
      </c>
      <c r="L32" s="28" t="n">
        <f aca="false">D32-H32</f>
        <v>0</v>
      </c>
      <c r="M32" s="28" t="n">
        <f aca="false">E32-I32</f>
        <v>0</v>
      </c>
      <c r="N32" s="28" t="n">
        <f aca="false">F32-J32</f>
        <v>0</v>
      </c>
    </row>
    <row r="33" customFormat="false" ht="15" hidden="false" customHeight="false" outlineLevel="0" collapsed="false">
      <c r="A33" s="22" t="s">
        <v>1214</v>
      </c>
      <c r="B33" s="22" t="s">
        <v>2319</v>
      </c>
      <c r="C33" s="28" t="n">
        <v>0</v>
      </c>
      <c r="D33" s="28" t="n">
        <v>708087053.99</v>
      </c>
      <c r="E33" s="28" t="n">
        <v>93054514</v>
      </c>
      <c r="F33" s="28" t="n">
        <v>615032539.99</v>
      </c>
      <c r="G33" s="28" t="n">
        <v>0</v>
      </c>
      <c r="H33" s="28" t="n">
        <v>708087053.99</v>
      </c>
      <c r="I33" s="28" t="n">
        <v>93054514</v>
      </c>
      <c r="J33" s="28" t="n">
        <v>615032539.99</v>
      </c>
      <c r="K33" s="28" t="n">
        <f aca="false">C33-G33</f>
        <v>0</v>
      </c>
      <c r="L33" s="28" t="n">
        <f aca="false">D33-H33</f>
        <v>0</v>
      </c>
      <c r="M33" s="28" t="n">
        <f aca="false">E33-I33</f>
        <v>0</v>
      </c>
      <c r="N33" s="28" t="n">
        <f aca="false">F33-J33</f>
        <v>0</v>
      </c>
    </row>
    <row r="34" customFormat="false" ht="15" hidden="false" customHeight="false" outlineLevel="0" collapsed="false">
      <c r="A34" s="22" t="s">
        <v>1211</v>
      </c>
      <c r="B34" s="22" t="s">
        <v>2320</v>
      </c>
      <c r="C34" s="28" t="n">
        <v>0</v>
      </c>
      <c r="D34" s="28" t="n">
        <v>3610639745.89</v>
      </c>
      <c r="E34" s="28" t="n">
        <v>1107168370</v>
      </c>
      <c r="F34" s="28" t="n">
        <v>2503471375.89</v>
      </c>
      <c r="G34" s="28" t="n">
        <v>0</v>
      </c>
      <c r="H34" s="28" t="n">
        <v>3610639745.89</v>
      </c>
      <c r="I34" s="28" t="n">
        <v>1107168370</v>
      </c>
      <c r="J34" s="28" t="n">
        <v>2503471375.89</v>
      </c>
      <c r="K34" s="28" t="n">
        <f aca="false">C34-G34</f>
        <v>0</v>
      </c>
      <c r="L34" s="28" t="n">
        <f aca="false">D34-H34</f>
        <v>0</v>
      </c>
      <c r="M34" s="28" t="n">
        <f aca="false">E34-I34</f>
        <v>0</v>
      </c>
      <c r="N34" s="28" t="n">
        <f aca="false">F34-J34</f>
        <v>0</v>
      </c>
    </row>
    <row r="35" customFormat="false" ht="15" hidden="false" customHeight="false" outlineLevel="0" collapsed="false">
      <c r="A35" s="22" t="s">
        <v>1042</v>
      </c>
      <c r="B35" s="22" t="s">
        <v>2321</v>
      </c>
      <c r="C35" s="28" t="n">
        <v>0</v>
      </c>
      <c r="D35" s="28" t="n">
        <v>3680683846</v>
      </c>
      <c r="E35" s="28" t="n">
        <v>3257045166</v>
      </c>
      <c r="F35" s="28" t="n">
        <v>423638680</v>
      </c>
      <c r="G35" s="28" t="n">
        <v>0</v>
      </c>
      <c r="H35" s="28" t="n">
        <v>3680683846</v>
      </c>
      <c r="I35" s="28" t="n">
        <v>3257045166</v>
      </c>
      <c r="J35" s="28" t="n">
        <v>423638680</v>
      </c>
      <c r="K35" s="28" t="n">
        <f aca="false">C35-G35</f>
        <v>0</v>
      </c>
      <c r="L35" s="28" t="n">
        <f aca="false">D35-H35</f>
        <v>0</v>
      </c>
      <c r="M35" s="28" t="n">
        <f aca="false">E35-I35</f>
        <v>0</v>
      </c>
      <c r="N35" s="28" t="n">
        <f aca="false">F35-J35</f>
        <v>0</v>
      </c>
    </row>
    <row r="36" customFormat="false" ht="15" hidden="false" customHeight="false" outlineLevel="0" collapsed="false">
      <c r="A36" s="22" t="s">
        <v>1046</v>
      </c>
      <c r="B36" s="22" t="s">
        <v>2322</v>
      </c>
      <c r="C36" s="28" t="n">
        <v>0</v>
      </c>
      <c r="D36" s="28" t="n">
        <v>502463085</v>
      </c>
      <c r="E36" s="28" t="n">
        <v>498712747.68</v>
      </c>
      <c r="F36" s="28" t="n">
        <v>3750337.32</v>
      </c>
      <c r="G36" s="28" t="n">
        <v>0</v>
      </c>
      <c r="H36" s="28" t="n">
        <v>502463085</v>
      </c>
      <c r="I36" s="28" t="n">
        <v>498712747.68</v>
      </c>
      <c r="J36" s="28" t="n">
        <v>3750337.32</v>
      </c>
      <c r="K36" s="28" t="n">
        <f aca="false">C36-G36</f>
        <v>0</v>
      </c>
      <c r="L36" s="28" t="n">
        <f aca="false">D36-H36</f>
        <v>0</v>
      </c>
      <c r="M36" s="28" t="n">
        <f aca="false">E36-I36</f>
        <v>0</v>
      </c>
      <c r="N36" s="28" t="n">
        <f aca="false">F36-J36</f>
        <v>0</v>
      </c>
    </row>
    <row r="38" customFormat="false" ht="15" hidden="false" customHeight="false" outlineLevel="0" collapsed="false">
      <c r="A38" s="47" t="s">
        <v>2323</v>
      </c>
    </row>
    <row r="39" customFormat="false" ht="15" hidden="false" customHeight="false" outlineLevel="0" collapsed="false">
      <c r="A39" s="22" t="s">
        <v>2324</v>
      </c>
      <c r="C39" s="28" t="n">
        <v>1268</v>
      </c>
    </row>
    <row r="40" customFormat="false" ht="15" hidden="false" customHeight="false" outlineLevel="0" collapsed="false">
      <c r="A40" s="22" t="s">
        <v>2325</v>
      </c>
      <c r="C40" s="2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4" min="3" style="0" width="11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7" min="7" style="0" width="90"/>
  </cols>
  <sheetData>
    <row r="1" customFormat="false" ht="15" hidden="false" customHeight="false" outlineLevel="0" collapsed="false">
      <c r="A1" s="19" t="s">
        <v>2326</v>
      </c>
    </row>
    <row r="2" customFormat="false" ht="15" hidden="false" customHeight="false" outlineLevel="0" collapsed="false">
      <c r="A2" s="20" t="s">
        <v>2327</v>
      </c>
    </row>
    <row r="4" customFormat="false" ht="30" hidden="false" customHeight="true" outlineLevel="0" collapsed="false">
      <c r="A4" s="27" t="s">
        <v>314</v>
      </c>
      <c r="B4" s="27" t="s">
        <v>1556</v>
      </c>
      <c r="C4" s="27" t="s">
        <v>396</v>
      </c>
      <c r="D4" s="27" t="s">
        <v>168</v>
      </c>
      <c r="E4" s="27" t="s">
        <v>2328</v>
      </c>
      <c r="F4" s="27" t="s">
        <v>2329</v>
      </c>
      <c r="G4" s="27" t="s">
        <v>105</v>
      </c>
    </row>
    <row r="5" customFormat="false" ht="15" hidden="false" customHeight="false" outlineLevel="0" collapsed="false">
      <c r="A5" s="29" t="s">
        <v>129</v>
      </c>
      <c r="B5" s="22" t="s">
        <v>1574</v>
      </c>
      <c r="C5" s="23" t="n">
        <v>46050</v>
      </c>
      <c r="D5" s="22" t="s">
        <v>274</v>
      </c>
      <c r="E5" s="28" t="n">
        <v>41849155.99</v>
      </c>
      <c r="F5" s="22" t="s">
        <v>2330</v>
      </c>
      <c r="G5" s="22" t="s">
        <v>1576</v>
      </c>
    </row>
    <row r="6" customFormat="false" ht="15" hidden="false" customHeight="false" outlineLevel="0" collapsed="false">
      <c r="A6" s="29" t="s">
        <v>129</v>
      </c>
      <c r="B6" s="22" t="s">
        <v>1578</v>
      </c>
      <c r="C6" s="23" t="n">
        <v>46071</v>
      </c>
      <c r="D6" s="22" t="s">
        <v>274</v>
      </c>
      <c r="E6" s="28" t="n">
        <v>36701211.58</v>
      </c>
      <c r="F6" s="22" t="s">
        <v>2330</v>
      </c>
      <c r="G6" s="22" t="s">
        <v>1579</v>
      </c>
    </row>
    <row r="7" customFormat="false" ht="15" hidden="false" customHeight="false" outlineLevel="0" collapsed="false">
      <c r="A7" s="29" t="s">
        <v>129</v>
      </c>
      <c r="B7" s="22" t="s">
        <v>1583</v>
      </c>
      <c r="C7" s="23" t="n">
        <v>46100</v>
      </c>
      <c r="D7" s="22" t="s">
        <v>274</v>
      </c>
      <c r="E7" s="28" t="n">
        <v>36314055.32</v>
      </c>
      <c r="F7" s="22" t="s">
        <v>2330</v>
      </c>
      <c r="G7" s="22" t="s">
        <v>1584</v>
      </c>
    </row>
    <row r="8" customFormat="false" ht="15" hidden="false" customHeight="false" outlineLevel="0" collapsed="false">
      <c r="A8" s="29" t="s">
        <v>129</v>
      </c>
      <c r="B8" s="22" t="s">
        <v>1585</v>
      </c>
      <c r="C8" s="23" t="n">
        <v>46136</v>
      </c>
      <c r="D8" s="22" t="s">
        <v>274</v>
      </c>
      <c r="E8" s="28" t="n">
        <v>40669577.85</v>
      </c>
      <c r="F8" s="22" t="s">
        <v>2330</v>
      </c>
      <c r="G8" s="22" t="s">
        <v>1586</v>
      </c>
    </row>
    <row r="9" customFormat="false" ht="15" hidden="false" customHeight="false" outlineLevel="0" collapsed="false">
      <c r="A9" s="29" t="s">
        <v>129</v>
      </c>
      <c r="B9" s="22" t="s">
        <v>1588</v>
      </c>
      <c r="C9" s="23" t="n">
        <v>46164</v>
      </c>
      <c r="D9" s="22" t="s">
        <v>274</v>
      </c>
      <c r="E9" s="53"/>
      <c r="F9" s="22" t="s">
        <v>2331</v>
      </c>
      <c r="G9" s="22" t="s">
        <v>1589</v>
      </c>
    </row>
    <row r="10" customFormat="false" ht="15" hidden="false" customHeight="false" outlineLevel="0" collapsed="false">
      <c r="A10" s="29" t="s">
        <v>129</v>
      </c>
      <c r="B10" s="22" t="s">
        <v>423</v>
      </c>
      <c r="C10" s="23" t="n">
        <v>46197</v>
      </c>
      <c r="D10" s="22" t="s">
        <v>274</v>
      </c>
      <c r="E10" s="28" t="n">
        <v>37868662.91</v>
      </c>
      <c r="F10" s="22" t="s">
        <v>2330</v>
      </c>
      <c r="G10" s="22" t="s">
        <v>1590</v>
      </c>
    </row>
    <row r="11" customFormat="false" ht="15" hidden="false" customHeight="false" outlineLevel="0" collapsed="false">
      <c r="A11" s="29" t="s">
        <v>129</v>
      </c>
      <c r="B11" s="22" t="s">
        <v>425</v>
      </c>
      <c r="C11" s="23" t="n">
        <v>46230</v>
      </c>
      <c r="D11" s="22" t="s">
        <v>274</v>
      </c>
      <c r="E11" s="28" t="n">
        <v>38894999.71</v>
      </c>
      <c r="F11" s="22" t="s">
        <v>2330</v>
      </c>
      <c r="G11" s="22" t="s">
        <v>1592</v>
      </c>
    </row>
    <row r="12" customFormat="false" ht="15" hidden="false" customHeight="false" outlineLevel="0" collapsed="false">
      <c r="A12" s="29" t="s">
        <v>124</v>
      </c>
      <c r="B12" s="22" t="s">
        <v>1993</v>
      </c>
      <c r="C12" s="23" t="n">
        <v>46050</v>
      </c>
      <c r="D12" s="22" t="s">
        <v>276</v>
      </c>
      <c r="E12" s="28" t="n">
        <v>4321722</v>
      </c>
      <c r="F12" s="22" t="s">
        <v>2330</v>
      </c>
      <c r="G12" s="22" t="s">
        <v>1994</v>
      </c>
    </row>
    <row r="13" customFormat="false" ht="15" hidden="false" customHeight="false" outlineLevel="0" collapsed="false">
      <c r="A13" s="29" t="s">
        <v>123</v>
      </c>
      <c r="B13" s="22" t="s">
        <v>1995</v>
      </c>
      <c r="C13" s="23" t="n">
        <v>46050</v>
      </c>
      <c r="D13" s="22" t="s">
        <v>276</v>
      </c>
      <c r="E13" s="53"/>
      <c r="F13" s="22" t="s">
        <v>2331</v>
      </c>
      <c r="G13" s="22" t="s">
        <v>1996</v>
      </c>
    </row>
    <row r="14" customFormat="false" ht="15" hidden="false" customHeight="false" outlineLevel="0" collapsed="false">
      <c r="A14" s="29" t="s">
        <v>123</v>
      </c>
      <c r="B14" s="22" t="s">
        <v>1997</v>
      </c>
      <c r="C14" s="23" t="n">
        <v>46071</v>
      </c>
      <c r="D14" s="22" t="s">
        <v>276</v>
      </c>
      <c r="E14" s="28" t="n">
        <v>5239806</v>
      </c>
      <c r="F14" s="22" t="s">
        <v>2330</v>
      </c>
      <c r="G14" s="22" t="s">
        <v>1998</v>
      </c>
    </row>
    <row r="15" customFormat="false" ht="15" hidden="false" customHeight="false" outlineLevel="0" collapsed="false">
      <c r="A15" s="29" t="s">
        <v>124</v>
      </c>
      <c r="B15" s="22" t="s">
        <v>1999</v>
      </c>
      <c r="C15" s="23" t="n">
        <v>46071</v>
      </c>
      <c r="D15" s="22" t="s">
        <v>276</v>
      </c>
      <c r="E15" s="53"/>
      <c r="F15" s="22" t="s">
        <v>2331</v>
      </c>
      <c r="G15" s="22" t="s">
        <v>2000</v>
      </c>
    </row>
    <row r="16" customFormat="false" ht="15" hidden="false" customHeight="false" outlineLevel="0" collapsed="false">
      <c r="A16" s="29" t="s">
        <v>124</v>
      </c>
      <c r="B16" s="22" t="s">
        <v>2001</v>
      </c>
      <c r="C16" s="23" t="n">
        <v>46095</v>
      </c>
      <c r="D16" s="22" t="s">
        <v>276</v>
      </c>
      <c r="E16" s="28" t="n">
        <v>4004121</v>
      </c>
      <c r="F16" s="22" t="s">
        <v>2330</v>
      </c>
      <c r="G16" s="22" t="s">
        <v>2002</v>
      </c>
    </row>
    <row r="17" customFormat="false" ht="15" hidden="false" customHeight="false" outlineLevel="0" collapsed="false">
      <c r="A17" s="29" t="s">
        <v>123</v>
      </c>
      <c r="B17" s="22" t="s">
        <v>2003</v>
      </c>
      <c r="C17" s="23" t="n">
        <v>46095</v>
      </c>
      <c r="D17" s="22" t="s">
        <v>276</v>
      </c>
      <c r="E17" s="28" t="n">
        <v>4882578</v>
      </c>
      <c r="F17" s="22" t="s">
        <v>2330</v>
      </c>
      <c r="G17" s="22" t="s">
        <v>2004</v>
      </c>
    </row>
    <row r="18" customFormat="false" ht="15" hidden="false" customHeight="false" outlineLevel="0" collapsed="false">
      <c r="A18" s="29" t="s">
        <v>123</v>
      </c>
      <c r="B18" s="22" t="s">
        <v>2005</v>
      </c>
      <c r="C18" s="23" t="n">
        <v>46136</v>
      </c>
      <c r="D18" s="22" t="s">
        <v>276</v>
      </c>
      <c r="E18" s="28" t="n">
        <v>5382049</v>
      </c>
      <c r="F18" s="22" t="s">
        <v>2330</v>
      </c>
      <c r="G18" s="22" t="s">
        <v>2006</v>
      </c>
    </row>
    <row r="19" customFormat="false" ht="15" hidden="false" customHeight="false" outlineLevel="0" collapsed="false">
      <c r="A19" s="29" t="s">
        <v>124</v>
      </c>
      <c r="B19" s="22" t="s">
        <v>2007</v>
      </c>
      <c r="C19" s="23" t="n">
        <v>46136</v>
      </c>
      <c r="D19" s="22" t="s">
        <v>276</v>
      </c>
      <c r="E19" s="28" t="n">
        <v>4369021</v>
      </c>
      <c r="F19" s="22" t="s">
        <v>2330</v>
      </c>
      <c r="G19" s="22" t="s">
        <v>2008</v>
      </c>
    </row>
    <row r="20" customFormat="false" ht="15" hidden="false" customHeight="false" outlineLevel="0" collapsed="false">
      <c r="A20" s="29" t="s">
        <v>124</v>
      </c>
      <c r="B20" s="22" t="s">
        <v>2009</v>
      </c>
      <c r="C20" s="23" t="n">
        <v>46164</v>
      </c>
      <c r="D20" s="22" t="s">
        <v>276</v>
      </c>
      <c r="E20" s="28" t="n">
        <v>4368074</v>
      </c>
      <c r="F20" s="22" t="s">
        <v>2330</v>
      </c>
      <c r="G20" s="22" t="s">
        <v>2010</v>
      </c>
    </row>
    <row r="21" customFormat="false" ht="15" hidden="false" customHeight="false" outlineLevel="0" collapsed="false">
      <c r="A21" s="29" t="s">
        <v>123</v>
      </c>
      <c r="B21" s="22" t="s">
        <v>2011</v>
      </c>
      <c r="C21" s="23" t="n">
        <v>46164</v>
      </c>
      <c r="D21" s="22" t="s">
        <v>276</v>
      </c>
      <c r="E21" s="28" t="n">
        <v>5335810</v>
      </c>
      <c r="F21" s="22" t="s">
        <v>2330</v>
      </c>
      <c r="G21" s="22" t="s">
        <v>2012</v>
      </c>
    </row>
    <row r="22" customFormat="false" ht="15" hidden="false" customHeight="false" outlineLevel="0" collapsed="false">
      <c r="A22" s="29" t="s">
        <v>124</v>
      </c>
      <c r="B22" s="22" t="s">
        <v>464</v>
      </c>
      <c r="C22" s="23" t="n">
        <v>46203</v>
      </c>
      <c r="D22" s="22" t="s">
        <v>276</v>
      </c>
      <c r="E22" s="28" t="n">
        <v>4402982</v>
      </c>
      <c r="F22" s="22" t="s">
        <v>2330</v>
      </c>
      <c r="G22" s="22" t="s">
        <v>2013</v>
      </c>
    </row>
    <row r="23" customFormat="false" ht="15" hidden="false" customHeight="false" outlineLevel="0" collapsed="false">
      <c r="A23" s="29" t="s">
        <v>123</v>
      </c>
      <c r="B23" s="22" t="s">
        <v>468</v>
      </c>
      <c r="C23" s="23" t="n">
        <v>46203</v>
      </c>
      <c r="D23" s="22" t="s">
        <v>276</v>
      </c>
      <c r="E23" s="28" t="n">
        <v>5319404</v>
      </c>
      <c r="F23" s="22" t="s">
        <v>2330</v>
      </c>
      <c r="G23" s="22" t="s">
        <v>2014</v>
      </c>
    </row>
    <row r="24" customFormat="false" ht="15" hidden="false" customHeight="false" outlineLevel="0" collapsed="false">
      <c r="A24" s="29" t="s">
        <v>124</v>
      </c>
      <c r="B24" s="22" t="s">
        <v>466</v>
      </c>
      <c r="C24" s="23" t="n">
        <v>46231</v>
      </c>
      <c r="D24" s="22" t="s">
        <v>276</v>
      </c>
      <c r="E24" s="28" t="n">
        <v>4177893</v>
      </c>
      <c r="F24" s="22" t="s">
        <v>2330</v>
      </c>
      <c r="G24" s="22" t="s">
        <v>2017</v>
      </c>
    </row>
    <row r="25" customFormat="false" ht="15" hidden="false" customHeight="false" outlineLevel="0" collapsed="false">
      <c r="A25" s="29" t="s">
        <v>123</v>
      </c>
      <c r="B25" s="22" t="s">
        <v>471</v>
      </c>
      <c r="C25" s="23" t="n">
        <v>46231</v>
      </c>
      <c r="D25" s="22" t="s">
        <v>276</v>
      </c>
      <c r="E25" s="28" t="n">
        <v>5062372</v>
      </c>
      <c r="F25" s="22" t="s">
        <v>2330</v>
      </c>
      <c r="G25" s="22" t="s">
        <v>2018</v>
      </c>
    </row>
    <row r="26" customFormat="false" ht="15" hidden="false" customHeight="false" outlineLevel="0" collapsed="false">
      <c r="A26" s="29" t="s">
        <v>147</v>
      </c>
      <c r="B26" s="22" t="s">
        <v>2043</v>
      </c>
      <c r="C26" s="23" t="n">
        <v>46041</v>
      </c>
      <c r="D26" s="22" t="s">
        <v>276</v>
      </c>
      <c r="E26" s="53"/>
      <c r="F26" s="22" t="s">
        <v>2331</v>
      </c>
      <c r="G26" s="22" t="s">
        <v>2044</v>
      </c>
    </row>
    <row r="27" customFormat="false" ht="15" hidden="false" customHeight="false" outlineLevel="0" collapsed="false">
      <c r="A27" s="29" t="s">
        <v>146</v>
      </c>
      <c r="B27" s="22" t="s">
        <v>2045</v>
      </c>
      <c r="C27" s="23" t="n">
        <v>46041</v>
      </c>
      <c r="D27" s="22" t="s">
        <v>276</v>
      </c>
      <c r="E27" s="53"/>
      <c r="F27" s="22" t="s">
        <v>2331</v>
      </c>
      <c r="G27" s="22" t="s">
        <v>2046</v>
      </c>
    </row>
    <row r="28" customFormat="false" ht="15" hidden="false" customHeight="false" outlineLevel="0" collapsed="false">
      <c r="A28" s="29" t="s">
        <v>146</v>
      </c>
      <c r="B28" s="22" t="s">
        <v>2047</v>
      </c>
      <c r="C28" s="23" t="n">
        <v>46066</v>
      </c>
      <c r="D28" s="22" t="s">
        <v>276</v>
      </c>
      <c r="E28" s="53"/>
      <c r="F28" s="22" t="s">
        <v>2331</v>
      </c>
      <c r="G28" s="22" t="s">
        <v>2048</v>
      </c>
    </row>
    <row r="29" customFormat="false" ht="15" hidden="false" customHeight="false" outlineLevel="0" collapsed="false">
      <c r="A29" s="29" t="s">
        <v>147</v>
      </c>
      <c r="B29" s="22" t="s">
        <v>2049</v>
      </c>
      <c r="C29" s="23" t="n">
        <v>46066</v>
      </c>
      <c r="D29" s="22" t="s">
        <v>276</v>
      </c>
      <c r="E29" s="53"/>
      <c r="F29" s="22" t="s">
        <v>2331</v>
      </c>
      <c r="G29" s="22" t="s">
        <v>2050</v>
      </c>
    </row>
    <row r="30" customFormat="false" ht="15" hidden="false" customHeight="false" outlineLevel="0" collapsed="false">
      <c r="A30" s="29" t="s">
        <v>147</v>
      </c>
      <c r="B30" s="22" t="s">
        <v>2051</v>
      </c>
      <c r="C30" s="23" t="n">
        <v>46094</v>
      </c>
      <c r="D30" s="22" t="s">
        <v>276</v>
      </c>
      <c r="E30" s="53"/>
      <c r="F30" s="22" t="s">
        <v>2331</v>
      </c>
      <c r="G30" s="22" t="s">
        <v>2052</v>
      </c>
    </row>
    <row r="31" customFormat="false" ht="15" hidden="false" customHeight="false" outlineLevel="0" collapsed="false">
      <c r="A31" s="29" t="s">
        <v>146</v>
      </c>
      <c r="B31" s="22" t="s">
        <v>2053</v>
      </c>
      <c r="C31" s="23" t="n">
        <v>46094</v>
      </c>
      <c r="D31" s="22" t="s">
        <v>276</v>
      </c>
      <c r="E31" s="53"/>
      <c r="F31" s="22" t="s">
        <v>2331</v>
      </c>
      <c r="G31" s="22" t="s">
        <v>2054</v>
      </c>
    </row>
    <row r="32" customFormat="false" ht="15" hidden="false" customHeight="false" outlineLevel="0" collapsed="false">
      <c r="A32" s="29" t="s">
        <v>147</v>
      </c>
      <c r="B32" s="22" t="s">
        <v>2057</v>
      </c>
      <c r="C32" s="23" t="n">
        <v>46127</v>
      </c>
      <c r="D32" s="22" t="s">
        <v>276</v>
      </c>
      <c r="E32" s="28" t="n">
        <v>6762702</v>
      </c>
      <c r="F32" s="22" t="s">
        <v>2330</v>
      </c>
      <c r="G32" s="22" t="s">
        <v>2058</v>
      </c>
    </row>
    <row r="33" customFormat="false" ht="15" hidden="false" customHeight="false" outlineLevel="0" collapsed="false">
      <c r="A33" s="29" t="s">
        <v>146</v>
      </c>
      <c r="B33" s="22" t="s">
        <v>2059</v>
      </c>
      <c r="C33" s="23" t="n">
        <v>46132</v>
      </c>
      <c r="D33" s="22" t="s">
        <v>276</v>
      </c>
      <c r="E33" s="53"/>
      <c r="F33" s="22" t="s">
        <v>2331</v>
      </c>
      <c r="G33" s="22" t="s">
        <v>2060</v>
      </c>
    </row>
    <row r="34" customFormat="false" ht="15" hidden="false" customHeight="false" outlineLevel="0" collapsed="false">
      <c r="A34" s="29" t="s">
        <v>146</v>
      </c>
      <c r="B34" s="22" t="s">
        <v>2061</v>
      </c>
      <c r="C34" s="23" t="n">
        <v>46157</v>
      </c>
      <c r="D34" s="22" t="s">
        <v>276</v>
      </c>
      <c r="E34" s="28" t="n">
        <v>9575527</v>
      </c>
      <c r="F34" s="22" t="s">
        <v>2330</v>
      </c>
      <c r="G34" s="22" t="s">
        <v>2062</v>
      </c>
    </row>
    <row r="35" customFormat="false" ht="15" hidden="false" customHeight="false" outlineLevel="0" collapsed="false">
      <c r="A35" s="29" t="s">
        <v>147</v>
      </c>
      <c r="B35" s="22" t="s">
        <v>2063</v>
      </c>
      <c r="C35" s="23" t="n">
        <v>46157</v>
      </c>
      <c r="D35" s="22" t="s">
        <v>276</v>
      </c>
      <c r="E35" s="28" t="n">
        <v>6615640</v>
      </c>
      <c r="F35" s="22" t="s">
        <v>2330</v>
      </c>
      <c r="G35" s="22" t="s">
        <v>2064</v>
      </c>
    </row>
    <row r="36" customFormat="false" ht="15" hidden="false" customHeight="false" outlineLevel="0" collapsed="false">
      <c r="A36" s="29" t="s">
        <v>146</v>
      </c>
      <c r="B36" s="22" t="s">
        <v>2065</v>
      </c>
      <c r="C36" s="23" t="n">
        <v>46203</v>
      </c>
      <c r="D36" s="22" t="s">
        <v>276</v>
      </c>
      <c r="E36" s="28" t="n">
        <v>9548725</v>
      </c>
      <c r="F36" s="22" t="s">
        <v>2330</v>
      </c>
      <c r="G36" s="22" t="s">
        <v>2066</v>
      </c>
    </row>
    <row r="37" customFormat="false" ht="15" hidden="false" customHeight="false" outlineLevel="0" collapsed="false">
      <c r="A37" s="29" t="s">
        <v>147</v>
      </c>
      <c r="B37" s="22" t="s">
        <v>2069</v>
      </c>
      <c r="C37" s="23" t="n">
        <v>46203</v>
      </c>
      <c r="D37" s="22" t="s">
        <v>276</v>
      </c>
      <c r="E37" s="28" t="n">
        <v>6446141</v>
      </c>
      <c r="F37" s="22" t="s">
        <v>2330</v>
      </c>
      <c r="G37" s="22" t="s">
        <v>2070</v>
      </c>
    </row>
    <row r="38" customFormat="false" ht="15" hidden="false" customHeight="false" outlineLevel="0" collapsed="false">
      <c r="A38" s="29" t="s">
        <v>147</v>
      </c>
      <c r="B38" s="22" t="s">
        <v>2071</v>
      </c>
      <c r="C38" s="23" t="n">
        <v>46212</v>
      </c>
      <c r="D38" s="22" t="s">
        <v>276</v>
      </c>
      <c r="E38" s="28" t="n">
        <v>6236225</v>
      </c>
      <c r="F38" s="22" t="s">
        <v>2330</v>
      </c>
      <c r="G38" s="22" t="s">
        <v>2072</v>
      </c>
    </row>
    <row r="39" customFormat="false" ht="15" hidden="false" customHeight="false" outlineLevel="0" collapsed="false">
      <c r="A39" s="29" t="s">
        <v>146</v>
      </c>
      <c r="B39" s="22" t="s">
        <v>2073</v>
      </c>
      <c r="C39" s="23" t="n">
        <v>46222</v>
      </c>
      <c r="D39" s="22" t="s">
        <v>276</v>
      </c>
      <c r="E39" s="28" t="n">
        <v>9459248</v>
      </c>
      <c r="F39" s="22" t="s">
        <v>2330</v>
      </c>
      <c r="G39" s="22" t="s">
        <v>2074</v>
      </c>
    </row>
    <row r="40" customFormat="false" ht="15" hidden="false" customHeight="false" outlineLevel="0" collapsed="false">
      <c r="D40" s="36" t="s">
        <v>101</v>
      </c>
      <c r="E40" s="52" t="n">
        <f aca="false">SUM(E5:E39)</f>
        <v>343807703.36</v>
      </c>
      <c r="F40" s="52" t="n">
        <f aca="false">COUNTIF(F5:F39,"Sin dato")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2026-10-01T03:23:56Z</dcterms:created>
  <dc:creator>openpyxl</dc:creator>
  <dc:description/>
  <dc:language>en-US</dc:language>
  <cp:lastModifiedBy/>
  <dcterms:modified xsi:type="dcterms:W3CDTF">2026-10-01T03:24:06Z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