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ayor_Mov" sheetId="2" state="visible" r:id="rId4"/>
    <sheet name="Balance_21" sheetId="3" state="visible" r:id="rId5"/>
    <sheet name="Cruce_Mov_Balance" sheetId="4" state="visible" r:id="rId6"/>
    <sheet name="Detalle_62" sheetId="5" state="visible" r:id="rId7"/>
    <sheet name="Certificados" sheetId="6" state="visible" r:id="rId8"/>
    <sheet name="Cruce_Detalle_Mayor" sheetId="7" state="visible" r:id="rId9"/>
    <sheet name="Recalculo_Intereses" sheetId="8" state="visible" r:id="rId10"/>
    <sheet name="Gasto_Intereses" sheetId="9" state="visible" r:id="rId11"/>
    <sheet name="Clasif_CP_LP" sheetId="10" state="visible" r:id="rId12"/>
    <sheet name="Hallazgos" sheetId="11" state="visible" r:id="rId13"/>
  </sheets>
  <definedNames>
    <definedName function="false" hidden="true" localSheetId="1" name="_xlnm._FilterDatabase" vbProcedure="false">Mayor_Mov!$A$4:$P$445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Supuesto de auditoría: diferencias de hasta $1.000 se consideran redondeo. Ajustar según la materialidad del encargo.</t>
        </r>
      </text>
    </comment>
    <comment ref="C7" authorId="0">
      <text>
        <r>
          <rPr>
            <sz val="10"/>
            <rFont val="Arial"/>
            <family val="2"/>
          </rPr>
          <t xml:space="preserve">Supuesto de auditoría: ±2% por diferencias de convención (días/base, fecha de fijación del IBR/DTF).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0" authorId="0">
      <text>
        <r>
          <rPr>
            <sz val="10"/>
            <rFont val="Arial"/>
            <family val="2"/>
          </rPr>
          <t xml:space="preserve">Comparación cuenta a cuenta de las 1.268 cuentas de ambos archivos realizada por auditoría (script). Resultado: 0 diferencias.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3" authorId="0">
      <text>
        <r>
          <rPr>
            <sz val="10"/>
            <rFont val="Arial"/>
            <family val="2"/>
          </rPr>
          <t xml:space="preserve">Valor según mayor (NB-00001014, 28-jul-26), no incluido en el detalle 62.</t>
        </r>
      </text>
    </comment>
  </commentList>
</comments>
</file>

<file path=xl/sharedStrings.xml><?xml version="1.0" encoding="utf-8"?>
<sst xmlns="http://schemas.openxmlformats.org/spreadsheetml/2006/main" count="6041" uniqueCount="1452">
  <si>
    <t xml:space="preserve">GUAICARAMO S.A.S. – Auditoría de Obligaciones Financieras (cuenta 21 / papel 62) – corte 31-jul-2026</t>
  </si>
  <si>
    <t xml:space="preserve">Cruce movimiento ↔ detalle 62 ↔ certificados bancarios ↔ balance de prueba; recálculo de intereses (NIIF 9 costo amortizado, NIIF 16, NIC 1). Cifras en pesos colombianos. Azul = dato de la fuente; negro = fórmula; verde = vínculo a otra hoja; amarillo = cifra clave.</t>
  </si>
  <si>
    <t xml:space="preserve">Parámetros</t>
  </si>
  <si>
    <t xml:space="preserve">Fecha de corte</t>
  </si>
  <si>
    <t xml:space="preserve">Umbral de diferencia trivial / redondeo (COP)</t>
  </si>
  <si>
    <t xml:space="preserve">Tolerancia recálculo de intereses (%)</t>
  </si>
  <si>
    <t xml:space="preserve">Resultados por prueba</t>
  </si>
  <si>
    <t xml:space="preserve">Prueba</t>
  </si>
  <si>
    <t xml:space="preserve">Valor A</t>
  </si>
  <si>
    <t xml:space="preserve">Valor B</t>
  </si>
  <si>
    <t xml:space="preserve">Diferencia</t>
  </si>
  <si>
    <t xml:space="preserve">Estado</t>
  </si>
  <si>
    <t xml:space="preserve">1. Integridad: movimiento auxiliar vs balance – SF cuenta 21</t>
  </si>
  <si>
    <t xml:space="preserve">2. Integridad: balance 29-sep vs balance 24-ago – nº cuentas con diferencias</t>
  </si>
  <si>
    <t xml:space="preserve">3. Detalle 62: suma recalculada vs 'Total obligaciones' del cliente</t>
  </si>
  <si>
    <t xml:space="preserve">4. Créditos: detalle 62 vs mayor (21050100 + 21050201)</t>
  </si>
  <si>
    <t xml:space="preserve">5. Leasing: detalle 62 vs mayor (21202040 + 21202140)</t>
  </si>
  <si>
    <t xml:space="preserve">6. Certificados: capital banco 31-jul vs detalle 62 (obligaciones con saldo certificado)</t>
  </si>
  <si>
    <t xml:space="preserve">7. Certificados: pagos/intereses certificados vs registrados (comprobantes)</t>
  </si>
  <si>
    <t xml:space="preserve">8. Recálculo de intereses liquidados por el banco (Parte 1)</t>
  </si>
  <si>
    <t xml:space="preserve">9. Intereses causados al 31-jul: recalculado vs registrado en 2130</t>
  </si>
  <si>
    <t xml:space="preserve">10. Intereses por pagar: suma por obligación vs balance 2130</t>
  </si>
  <si>
    <t xml:space="preserve">Indicadores clave</t>
  </si>
  <si>
    <t xml:space="preserve">Saldo de capital según mayor 31-jul (2105 sin TC + 2120)</t>
  </si>
  <si>
    <t xml:space="preserve">Saldo según detalle 62</t>
  </si>
  <si>
    <t xml:space="preserve">Leasing 386735 omitido en el detalle 62</t>
  </si>
  <si>
    <t xml:space="preserve">Leasings Bogotá: detalle por debajo de los certificados</t>
  </si>
  <si>
    <t xml:space="preserve">Diferencia de leasing sin explicar (requiere certificados)</t>
  </si>
  <si>
    <t xml:space="preserve">% del saldo del detalle 62 cubierto con certificados</t>
  </si>
  <si>
    <t xml:space="preserve">Intereses no causados al 31-jul (AJE-1)</t>
  </si>
  <si>
    <t xml:space="preserve">Reclasificación LP → CP propuesta (créditos + leasing)</t>
  </si>
  <si>
    <t xml:space="preserve">Gasto de intereses: desviación vs expectativa</t>
  </si>
  <si>
    <t xml:space="preserve">Conclusión prueba analítica</t>
  </si>
  <si>
    <t xml:space="preserve">Conclusión</t>
  </si>
  <si>
    <t xml:space="preserve">INTEGRIDAD – Mayor vs balance: el movimiento auxiliar de la cuenta 21 cuadra exactamente (débitos, créditos y saldos) con los dos balances de prueba, que son idénticos entre sí. Sin excepción.</t>
  </si>
  <si>
    <t xml:space="preserve">INTEGRIDAD – Detalle 62 vs mayor: los créditos cuadran (diferencia de redondeo $0,67). El leasing NO cuadra: el mayor supera al detalle; la principal causa es el leasing Bancolombia 386735 omitido en el detalle.</t>
  </si>
  <si>
    <t xml:space="preserve">EXACTITUD – Certificados: los créditos cuadran con los extractos salvo redondeos de abonos a capital (&lt; $5.000). Los leasings de Banco de Bogotá están subvalorados en el detalle 62. Los pagos registrados coinciden con los extractos, salvo el canon 032 del leasing 1019441.</t>
  </si>
  <si>
    <t xml:space="preserve">RECÁLCULO – La liquidación bancaria es razonable en base 365 (Bogotá Finagro en base 360), excepto Davivienda 607691/569032, cuya tasa declarada no reconcilia. Hay intereses causados no registrados al 31-jul (AJE-1) por la política de causación del cliente.</t>
  </si>
  <si>
    <t xml:space="preserve">PRESENTACIÓN – Se requiere reclasificar la porción corriente (NIC 1.69) y corregir los errores CP/LP del detalle 62. Ver la hoja 'Hallazgos'.</t>
  </si>
  <si>
    <t xml:space="preserve">Hojas del libro</t>
  </si>
  <si>
    <t xml:space="preserve">Mayor_Mov</t>
  </si>
  <si>
    <t xml:space="preserve">Movimiento auxiliar ene–jul con el ID de obligación asignado por auditoría</t>
  </si>
  <si>
    <t xml:space="preserve">Balance_21</t>
  </si>
  <si>
    <t xml:space="preserve">Cuentas 21/5305 de ambos balances de prueba y su comparación</t>
  </si>
  <si>
    <t xml:space="preserve">Cruce_Mov_Balance</t>
  </si>
  <si>
    <t xml:space="preserve">Integridad: movimiento vs balance, jerarquía de cuentas y relación pasivo–gasto</t>
  </si>
  <si>
    <t xml:space="preserve">Detalle_62</t>
  </si>
  <si>
    <t xml:space="preserve">Detalle del cliente con recálculo de tasas, subtotales y CP/LP</t>
  </si>
  <si>
    <t xml:space="preserve">Cruce_Detalle_Mayor</t>
  </si>
  <si>
    <t xml:space="preserve">Detalle 62 vs mayor y roll-forward de capital por obligación</t>
  </si>
  <si>
    <t xml:space="preserve">Certificados</t>
  </si>
  <si>
    <t xml:space="preserve">Detalle 62 vs extractos bancarios del PDF y pagos certificados vs contabilidad</t>
  </si>
  <si>
    <t xml:space="preserve">Recalculo_Intereses</t>
  </si>
  <si>
    <t xml:space="preserve">Recálculo de la liquidación bancaria, causación al corte y saldos implícitos</t>
  </si>
  <si>
    <t xml:space="preserve">Gasto_Intereses</t>
  </si>
  <si>
    <t xml:space="preserve">Prueba analítica del gasto por intereses</t>
  </si>
  <si>
    <t xml:space="preserve">Clasif_CP_LP</t>
  </si>
  <si>
    <t xml:space="preserve">Clasificación corriente/no corriente (NIC 1)</t>
  </si>
  <si>
    <t xml:space="preserve">Hallazgos</t>
  </si>
  <si>
    <t xml:space="preserve">Hallazgos, normas y ajustes propuestos</t>
  </si>
  <si>
    <t xml:space="preserve">Movimiento auxiliar cuenta 21 – Obligaciones financieras (ene–jul 2026)</t>
  </si>
  <si>
    <t xml:space="preserve">Fuente: Obl_Financieros.xlsx / Sheet1 (Siesa). Columnas N–P asignadas por auditoría (ID de obligación, clase y tipo de movimiento).</t>
  </si>
  <si>
    <t xml:space="preserve">Fila origen</t>
  </si>
  <si>
    <t xml:space="preserve">Cuenta</t>
  </si>
  <si>
    <t xml:space="preserve">Nombre cuenta</t>
  </si>
  <si>
    <t xml:space="preserve">Tercero</t>
  </si>
  <si>
    <t xml:space="preserve">Débito</t>
  </si>
  <si>
    <t xml:space="preserve">Crédito</t>
  </si>
  <si>
    <t xml:space="preserve">Neto (D-C)</t>
  </si>
  <si>
    <t xml:space="preserve">Fecha</t>
  </si>
  <si>
    <t xml:space="preserve">NIT</t>
  </si>
  <si>
    <t xml:space="preserve">Documento</t>
  </si>
  <si>
    <t xml:space="preserve">Tipo documento</t>
  </si>
  <si>
    <t xml:space="preserve">Descripción</t>
  </si>
  <si>
    <t xml:space="preserve">Usuario</t>
  </si>
  <si>
    <t xml:space="preserve">ID obligación (auditoría)</t>
  </si>
  <si>
    <t xml:space="preserve">Clase</t>
  </si>
  <si>
    <t xml:space="preserve">Tipo movimiento</t>
  </si>
  <si>
    <t xml:space="preserve">21050100</t>
  </si>
  <si>
    <t xml:space="preserve">Obl.Financiera Corto Plazo</t>
  </si>
  <si>
    <t xml:space="preserve">BANCO BILBAO VIZCAYA ARGENTARIA COLOMBIA S A PUDIENDO UTILIZAR INDISTINTAMENTE PARA TODOS LOS EFECTO</t>
  </si>
  <si>
    <t xml:space="preserve">860003020</t>
  </si>
  <si>
    <t xml:space="preserve">CE-00035090</t>
  </si>
  <si>
    <t xml:space="preserve">Comprobante de Egreso</t>
  </si>
  <si>
    <t xml:space="preserve">RENOVACION CREDITO 0141 PLAZO 6 MESES - AMORTIZACION AL VENCIMIENTO -INTERESES MENSUALES - IBR + 1 EA 4.700.000.000</t>
  </si>
  <si>
    <t xml:space="preserve">yan.lopez</t>
  </si>
  <si>
    <t xml:space="preserve">BBVA-0141</t>
  </si>
  <si>
    <t xml:space="preserve">Capital crédito CP</t>
  </si>
  <si>
    <t xml:space="preserve">Renovación / prórroga</t>
  </si>
  <si>
    <t xml:space="preserve">BANCO DAVIVIENDA S.A.</t>
  </si>
  <si>
    <t xml:space="preserve">860002964</t>
  </si>
  <si>
    <t xml:space="preserve">NB-00000892</t>
  </si>
  <si>
    <t xml:space="preserve">Notas Bancarias</t>
  </si>
  <si>
    <t xml:space="preserve">PRESTAMO (1155297469) DE 10.000MM PARA PAGO CREDI 8906 DE DAVIVIENDA POR EL MISMO VALOR</t>
  </si>
  <si>
    <t xml:space="preserve">DAV-8906</t>
  </si>
  <si>
    <t xml:space="preserve">Pago de capital</t>
  </si>
  <si>
    <t xml:space="preserve">BANCO DE BOGOTA</t>
  </si>
  <si>
    <t xml:space="preserve">BOG-1159383796</t>
  </si>
  <si>
    <t xml:space="preserve">Desembolso / nueva obligación</t>
  </si>
  <si>
    <t xml:space="preserve">NB-00001016</t>
  </si>
  <si>
    <t xml:space="preserve">PRORROGA CREDITO 7469 POR EL CREDITO 1159383796 IBR TM + 0.8 VENCIMIENTO 6 MESES</t>
  </si>
  <si>
    <t xml:space="preserve">21050201</t>
  </si>
  <si>
    <t xml:space="preserve">Obg.Financiera Largo Plazo</t>
  </si>
  <si>
    <t xml:space="preserve">CL-00000354</t>
  </si>
  <si>
    <t xml:space="preserve">Causación Obligaciones Financieras</t>
  </si>
  <si>
    <t xml:space="preserve">CUOTA 94 CREDITO 453436746 MENSUAL CAPITAL 62.500.000 INTERESES 41.849.155.99</t>
  </si>
  <si>
    <t xml:space="preserve">valentina.olea</t>
  </si>
  <si>
    <t xml:space="preserve">BOG-453436746</t>
  </si>
  <si>
    <t xml:space="preserve">Capital crédito LP</t>
  </si>
  <si>
    <t xml:space="preserve">CL-00000371</t>
  </si>
  <si>
    <t xml:space="preserve">CANON 95 CREDITO 453436746 MES DE FEBRERO 2026 CAPITAL 62.500.000 INTERESES 36.701.211.58</t>
  </si>
  <si>
    <t xml:space="preserve">CL-00000372</t>
  </si>
  <si>
    <t xml:space="preserve">CANON 10 CREDITO 858177259 TRIMESTRAL (DIC-ENE-FEB) GASTOS BANCARIOS 238 INTERESES 47.641.305.47</t>
  </si>
  <si>
    <t xml:space="preserve">BOG-858177259</t>
  </si>
  <si>
    <t xml:space="preserve">CL-00000383</t>
  </si>
  <si>
    <t xml:space="preserve">CUOTA 11 CREDITO 856670629 TRIMESTRAL (ENE-FEB-MAR) CAPITAL 182.166.667 INTERESES 56.089.116.47 GASTOS BANCARIOS 238</t>
  </si>
  <si>
    <t xml:space="preserve">BOG-856670629</t>
  </si>
  <si>
    <t xml:space="preserve">CL-00000384</t>
  </si>
  <si>
    <t xml:space="preserve">CANON 96 CREDITO 453436746 MENSUAL CAPITAL 62.500.000 INTERESES 36.314.055.32</t>
  </si>
  <si>
    <t xml:space="preserve">CL-00000395</t>
  </si>
  <si>
    <t xml:space="preserve">CANON 97 CREDITO 453436746 MENSUAL CAPITAL 62.500.000 INTERESES 40.669.577.85</t>
  </si>
  <si>
    <t xml:space="preserve">CL-00000407</t>
  </si>
  <si>
    <t xml:space="preserve">CANON 11 CREDITO 858177259 TRIMESTRAL</t>
  </si>
  <si>
    <t xml:space="preserve">CL-00000408</t>
  </si>
  <si>
    <t xml:space="preserve">CANON 98 CREDITO 453436746 MENSUAL</t>
  </si>
  <si>
    <t xml:space="preserve">CL-00000409</t>
  </si>
  <si>
    <t xml:space="preserve">CANON 99 CREDITO 453436746 CAPITAL 62.500.000 INTERESES 37.868.662.91 MENSUAL</t>
  </si>
  <si>
    <t xml:space="preserve">CL-00000410</t>
  </si>
  <si>
    <t xml:space="preserve">CANON 12 CREDITO 856670629 TRIMESTRAL (ABR-MAY-JUN) CAPITAL 182.166.667, INTERESES 59.390.887.23, GASTOS BANCARIOS 238</t>
  </si>
  <si>
    <t xml:space="preserve">CL-00000422</t>
  </si>
  <si>
    <t xml:space="preserve">CANON 100 CREDITO 453436746 CAPITAL 62.500.000 INTERESES 38.894.999.71</t>
  </si>
  <si>
    <t xml:space="preserve">BANCO POPULAR S. A.</t>
  </si>
  <si>
    <t xml:space="preserve">860007738</t>
  </si>
  <si>
    <t xml:space="preserve">CL-00000375</t>
  </si>
  <si>
    <t xml:space="preserve">CANON CREDITO 631309940 (ENE-FEB-MAR)</t>
  </si>
  <si>
    <t xml:space="preserve">POP-631309940</t>
  </si>
  <si>
    <t xml:space="preserve">CL-00000411</t>
  </si>
  <si>
    <t xml:space="preserve">CANON CREDITO 631309940 TRIMESTRAL (ABR-MAY-JUN) CAPITAL 143.750.000 INTERESES 14.419.922 INTERESES MORA 54.242</t>
  </si>
  <si>
    <t xml:space="preserve">BANCOLOMBIA S.A.</t>
  </si>
  <si>
    <t xml:space="preserve">890903938</t>
  </si>
  <si>
    <t xml:space="preserve">CL-00000399</t>
  </si>
  <si>
    <t xml:space="preserve">CANON CREDITO 12660105867 TRIMESTRAL (FEB-MAR-ABR) CAPITAL 1.666.666.666 INTERESES 137.225.000</t>
  </si>
  <si>
    <t xml:space="preserve">BCL-1260105867</t>
  </si>
  <si>
    <t xml:space="preserve">21050301</t>
  </si>
  <si>
    <t xml:space="preserve">Tarjeta de Credito por Pagar</t>
  </si>
  <si>
    <t xml:space="preserve">AIRTABLE WORKPACE</t>
  </si>
  <si>
    <t xml:space="preserve">FC-00008721</t>
  </si>
  <si>
    <t xml:space="preserve">Factura Compra</t>
  </si>
  <si>
    <t xml:space="preserve">CE-34717 LEGALIZACION TC JUAN MANUL HERRERA</t>
  </si>
  <si>
    <t xml:space="preserve">TC</t>
  </si>
  <si>
    <t xml:space="preserve">Tarjeta de crédito</t>
  </si>
  <si>
    <t xml:space="preserve">ALPINA PRODUCTOS ALIMEN</t>
  </si>
  <si>
    <t xml:space="preserve">860025900</t>
  </si>
  <si>
    <t xml:space="preserve">FC-00008215</t>
  </si>
  <si>
    <t xml:space="preserve">FR-38590 COMPRA VASO DE HELADO</t>
  </si>
  <si>
    <t xml:space="preserve">FC-00008521</t>
  </si>
  <si>
    <t xml:space="preserve">CE-33825 LEGALIZACION TC CATALINA HERRERA MES DE MAYO 2026</t>
  </si>
  <si>
    <t xml:space="preserve">AMERICA TENIS CLUB</t>
  </si>
  <si>
    <t xml:space="preserve">860006788</t>
  </si>
  <si>
    <t xml:space="preserve">NI-00004518</t>
  </si>
  <si>
    <t xml:space="preserve">Nota Interna de Contabilidad</t>
  </si>
  <si>
    <t xml:space="preserve">AJUSTE 2335 A 2105 PAGADA POR TC Y AJUSTE DE IMPUESTOS ASUMIDOS</t>
  </si>
  <si>
    <t xml:space="preserve">FC-00008536</t>
  </si>
  <si>
    <t xml:space="preserve">CE-34026 LEGALIZACION TC JUAN MANUEL HERRERA</t>
  </si>
  <si>
    <t xml:space="preserve">FC-00008874</t>
  </si>
  <si>
    <t xml:space="preserve">FR-3374 GASTOS REUSTARANTE</t>
  </si>
  <si>
    <t xml:space="preserve">ANTHROPIC, PBC, INC</t>
  </si>
  <si>
    <t xml:space="preserve">FC-00008719</t>
  </si>
  <si>
    <t xml:space="preserve">CE-34718 LEGALIZACION TC LUIS HERRERA</t>
  </si>
  <si>
    <t xml:space="preserve">Bloomberg Finance Lp</t>
  </si>
  <si>
    <t xml:space="preserve">N4004526B</t>
  </si>
  <si>
    <t xml:space="preserve">DSF-00002201</t>
  </si>
  <si>
    <t xml:space="preserve">Documento soporte adq efectuadas financ</t>
  </si>
  <si>
    <t xml:space="preserve">DSF-2201 90183122 SUSCRIPCION RENOVACION LICENCIA LEI (PAGADA CON TC JUAM MANUEL HERRERA)</t>
  </si>
  <si>
    <t xml:space="preserve">NI-00004566</t>
  </si>
  <si>
    <t xml:space="preserve">CRUCE DE CUENTAS CxP TARJETAS DE CREDITO CON ANTICIPO BANCO DE BOGOTA</t>
  </si>
  <si>
    <t xml:space="preserve">jennifer.velasquez</t>
  </si>
  <si>
    <t xml:space="preserve">BORDA CLAVIJO RENE FRANCISO</t>
  </si>
  <si>
    <t xml:space="preserve">79140050</t>
  </si>
  <si>
    <t xml:space="preserve">FC-00007996</t>
  </si>
  <si>
    <t xml:space="preserve">FR-438206 COMBUSTIBLE</t>
  </si>
  <si>
    <t xml:space="preserve">FC-00008070</t>
  </si>
  <si>
    <t xml:space="preserve">CE-31964 LEGALIZACION TC ROBERTO HERRERA</t>
  </si>
  <si>
    <t xml:space="preserve">CENTRO DE DIAGNOSTICO AUTOMOTRIZ CAJICA S.A.S</t>
  </si>
  <si>
    <t xml:space="preserve">CLUB COLOMBO-LIBANES</t>
  </si>
  <si>
    <t xml:space="preserve">860006864</t>
  </si>
  <si>
    <t xml:space="preserve">NI-00004085</t>
  </si>
  <si>
    <t xml:space="preserve">AJUSTE A MILES CUENTAS POR PAGAR</t>
  </si>
  <si>
    <t xml:space="preserve">COLOMBIA TELECOMUNICACIONES S.A. E.S.P. BIC</t>
  </si>
  <si>
    <t xml:space="preserve">830122566</t>
  </si>
  <si>
    <t xml:space="preserve">FC-00007891</t>
  </si>
  <si>
    <t xml:space="preserve">FR-335758 PLAN DE 6/01/2026 AL 5/02/2026</t>
  </si>
  <si>
    <t xml:space="preserve">FC-00007968</t>
  </si>
  <si>
    <t xml:space="preserve">CE-31422 LEGALIZACION TC TESORERIA ENERO 2026</t>
  </si>
  <si>
    <t xml:space="preserve">FC-00008018</t>
  </si>
  <si>
    <t xml:space="preserve">FR-60380887 PLAN DE TELEFONIA DEL 6/02/2026 AL 5/03/2026</t>
  </si>
  <si>
    <t xml:space="preserve">FC-00008072</t>
  </si>
  <si>
    <t xml:space="preserve">CE-31896 LEGALIZACION TC TESORERIA</t>
  </si>
  <si>
    <t xml:space="preserve">FC-00008172</t>
  </si>
  <si>
    <t xml:space="preserve">FR-511676175 PLAN DE TELEFONIA DE 6 MAR AL 5 ABRI 2026</t>
  </si>
  <si>
    <t xml:space="preserve">FC-00008326</t>
  </si>
  <si>
    <t xml:space="preserve">FR-517447290 PLAN TELEFONICO DEL 06/04/2026 AL5/05/2026</t>
  </si>
  <si>
    <t xml:space="preserve">FC-00008363</t>
  </si>
  <si>
    <t xml:space="preserve">CE-32642 LEGALIZACION GASTOS TC TESORERIA MARZO</t>
  </si>
  <si>
    <t xml:space="preserve">FC-00008402</t>
  </si>
  <si>
    <t xml:space="preserve">CE-33151 LEGALIZACION TC TESORERIA ABRIL 2026</t>
  </si>
  <si>
    <t xml:space="preserve">FC-00008484</t>
  </si>
  <si>
    <t xml:space="preserve">FR-523179753 SERVICIO DE TELEFONO PLAN 6/06/2026 AL 5/06/2026</t>
  </si>
  <si>
    <t xml:space="preserve">FC-00008520</t>
  </si>
  <si>
    <t xml:space="preserve">CE-33826 LEGALIZACION TC TESORERIA MES DE MAYO 2026</t>
  </si>
  <si>
    <t xml:space="preserve">860040584</t>
  </si>
  <si>
    <t xml:space="preserve">FC-00008619</t>
  </si>
  <si>
    <t xml:space="preserve">AJUSTES A CUENTA TC CREDITO GUSICARAMO</t>
  </si>
  <si>
    <t xml:space="preserve">FC-00008645</t>
  </si>
  <si>
    <t xml:space="preserve">FR-528986182 PLAN DE TELEFONIA 6/06/2026 AL 5/07/2026</t>
  </si>
  <si>
    <t xml:space="preserve">FC-00008724</t>
  </si>
  <si>
    <t xml:space="preserve">CE-34714 LEGALIZACION TC TESORERIA</t>
  </si>
  <si>
    <t xml:space="preserve">FC-00008788</t>
  </si>
  <si>
    <t xml:space="preserve">FR-534674049 PLAN TELEFONICO DEL 6 JUL AL 5 DE AGOSTO 2026</t>
  </si>
  <si>
    <t xml:space="preserve">FC-00008902</t>
  </si>
  <si>
    <t xml:space="preserve">CE-35438 LEGALIZACION TESORERIA JULIO 2026</t>
  </si>
  <si>
    <t xml:space="preserve">COLOMBIANA DE COMERCIO S.A.</t>
  </si>
  <si>
    <t xml:space="preserve">890900943</t>
  </si>
  <si>
    <t xml:space="preserve">FC-00007982</t>
  </si>
  <si>
    <t xml:space="preserve">FR-8472523107 SECADORA PARA SRA. BEATRIZ</t>
  </si>
  <si>
    <t xml:space="preserve">FC-00008359</t>
  </si>
  <si>
    <t xml:space="preserve">CE-32643 LEGALIZACION TC CATALINA HERRERA MARZO</t>
  </si>
  <si>
    <t xml:space="preserve">COMBUSTIBLES H &amp; R LTDA.</t>
  </si>
  <si>
    <t xml:space="preserve">FC-00008138</t>
  </si>
  <si>
    <t xml:space="preserve">LEGALIZACION TC ROBERTO HERRERA</t>
  </si>
  <si>
    <t xml:space="preserve">900078103</t>
  </si>
  <si>
    <t xml:space="preserve">FC-00008139</t>
  </si>
  <si>
    <t xml:space="preserve">FR-188055 COMBUSTIBLE</t>
  </si>
  <si>
    <t xml:space="preserve">FC-00008892</t>
  </si>
  <si>
    <t xml:space="preserve">FR-474341 ACPM COMBUSTIBLE JUZ461</t>
  </si>
  <si>
    <t xml:space="preserve">COMERCIALIZADORA RUMBOS S A S</t>
  </si>
  <si>
    <t xml:space="preserve">830508167</t>
  </si>
  <si>
    <t xml:space="preserve">FC-00007981</t>
  </si>
  <si>
    <t xml:space="preserve">FR-1151468 COMBUSTIBLE</t>
  </si>
  <si>
    <t xml:space="preserve">FC-00008395</t>
  </si>
  <si>
    <t xml:space="preserve">FR-1171494 COMBUSTIBLE</t>
  </si>
  <si>
    <t xml:space="preserve">FC-00008400</t>
  </si>
  <si>
    <t xml:space="preserve">CE-33349 LEGALIZACION TC ROBERTO HERRERA</t>
  </si>
  <si>
    <t xml:space="preserve">FC-00008898</t>
  </si>
  <si>
    <t xml:space="preserve">FR-1197737 COMBUSTIBLE</t>
  </si>
  <si>
    <t xml:space="preserve">FC-00008897</t>
  </si>
  <si>
    <t xml:space="preserve">CE35442 LEGALIZACION ROBERTO HERRERA MES DE JULIO 2026</t>
  </si>
  <si>
    <t xml:space="preserve">COMUNICACION CELULAR S A COMCEL S A</t>
  </si>
  <si>
    <t xml:space="preserve">800153993</t>
  </si>
  <si>
    <t xml:space="preserve">DSF-00002138</t>
  </si>
  <si>
    <t xml:space="preserve">FR-6017494410 SERVICIO DE TELEFONIA BOGOTA Y ROAMING INTERNACIONAL</t>
  </si>
  <si>
    <t xml:space="preserve">FC-00007979</t>
  </si>
  <si>
    <t xml:space="preserve">FR-E6019887913 SERVICIO TE DETEFONIA PLANTA</t>
  </si>
  <si>
    <t xml:space="preserve">NSF-00000033</t>
  </si>
  <si>
    <t xml:space="preserve">Documento soporte adq Financ</t>
  </si>
  <si>
    <t xml:space="preserve">ANULACION DE DUCUMENTO ERROR</t>
  </si>
  <si>
    <t xml:space="preserve">FC-00007980</t>
  </si>
  <si>
    <t xml:space="preserve">FR-6017494410 SERVICIO DE TELEFONIA Y ROAMING INTERNACIONAL</t>
  </si>
  <si>
    <t xml:space="preserve">FC-00008041</t>
  </si>
  <si>
    <t xml:space="preserve">FR-003292488062 SERVICIO DE INTERNET OFIC BOGOTA</t>
  </si>
  <si>
    <t xml:space="preserve">CE-00031970</t>
  </si>
  <si>
    <t xml:space="preserve">liliana.celi</t>
  </si>
  <si>
    <t xml:space="preserve">NI-00004150</t>
  </si>
  <si>
    <t xml:space="preserve">RECLASIFICACION FACTURA COMCEL PAGADA CON TC</t>
  </si>
  <si>
    <t xml:space="preserve">FC-00008074</t>
  </si>
  <si>
    <t xml:space="preserve">FR-E6028262112 SERVICIO DE TELEFONIA Y ROAMING INTERNACIONAL - FACTURA BOGOTA</t>
  </si>
  <si>
    <t xml:space="preserve">899999115</t>
  </si>
  <si>
    <t xml:space="preserve">NI-00004168</t>
  </si>
  <si>
    <t xml:space="preserve">FC-00008124</t>
  </si>
  <si>
    <t xml:space="preserve">SERVICIO DE TELEFONIA PLATAN</t>
  </si>
  <si>
    <t xml:space="preserve">FC-00008253</t>
  </si>
  <si>
    <t xml:space="preserve">FR-E6041698038 SERVICIO DE TELEFONIA PLANTA</t>
  </si>
  <si>
    <t xml:space="preserve">FC-00008280</t>
  </si>
  <si>
    <t xml:space="preserve">FR-6039281858 SERVICIO DE TELEFONIA CONSUMO ROAMING</t>
  </si>
  <si>
    <t xml:space="preserve">FC-00008443</t>
  </si>
  <si>
    <t xml:space="preserve">FR-E60552578840 SERVICIO TELEFONIA PLANTA</t>
  </si>
  <si>
    <t xml:space="preserve">FC-00008501</t>
  </si>
  <si>
    <t xml:space="preserve">FR-292587204 SERVICIO DE INTERNET OFICINA BOGOTA</t>
  </si>
  <si>
    <t xml:space="preserve">FC-00008602</t>
  </si>
  <si>
    <t xml:space="preserve">FR-E6063483637 SERVICIO TELEFONICO PLANTA MAYO 2026 PAGADO TC</t>
  </si>
  <si>
    <t xml:space="preserve">FC-00008605</t>
  </si>
  <si>
    <t xml:space="preserve">FR-6061056858 ASISTENCIA CLARO, CARGO FIJO MES DE MAYO 2026</t>
  </si>
  <si>
    <t xml:space="preserve">FC-00008681</t>
  </si>
  <si>
    <t xml:space="preserve">FR-3-292619785 SERVICIO DE INTERNED DEDICADO BOGOTA</t>
  </si>
  <si>
    <t xml:space="preserve">FC-00008762</t>
  </si>
  <si>
    <t xml:space="preserve">FR-6071980820 SERVICIO DE CARGO FIJO CLARO MES DE JUNIO 2026</t>
  </si>
  <si>
    <t xml:space="preserve">FC-00008803</t>
  </si>
  <si>
    <t xml:space="preserve">FR-3292652029 SERVICIO DE INTERNET BOGOTA</t>
  </si>
  <si>
    <t xml:space="preserve">FC-00008844</t>
  </si>
  <si>
    <t xml:space="preserve">FR-6084008670  SERVICIO DE CARGO FIJO CLARO MES D JULIO 2026</t>
  </si>
  <si>
    <t xml:space="preserve">FC-00008882</t>
  </si>
  <si>
    <t xml:space="preserve">FR-E6086448534 SERVICIO DE LINEAS TELEFONICAS PLANTA JULIO 2026</t>
  </si>
  <si>
    <t xml:space="preserve">COSMETIKA S.A.S.</t>
  </si>
  <si>
    <t xml:space="preserve">830137660</t>
  </si>
  <si>
    <t xml:space="preserve">NI-00004080</t>
  </si>
  <si>
    <t xml:space="preserve">FR-46357 AJUSTE</t>
  </si>
  <si>
    <t xml:space="preserve">FC-00007969</t>
  </si>
  <si>
    <t xml:space="preserve">CE-31545 LEGALIZACION TC CATALINA HERRERA ENERO 2026</t>
  </si>
  <si>
    <t xml:space="preserve">CREPES Y WAFFLES S.A.</t>
  </si>
  <si>
    <t xml:space="preserve">DAVIS INSTRUMENTS CORPORATION</t>
  </si>
  <si>
    <t xml:space="preserve">DEKORATION HOME S.A.S</t>
  </si>
  <si>
    <t xml:space="preserve">DH COLOMBIA S A S -</t>
  </si>
  <si>
    <t xml:space="preserve">DIRECTV COLOMBIA LTDA</t>
  </si>
  <si>
    <t xml:space="preserve">805006014</t>
  </si>
  <si>
    <t xml:space="preserve">FC-00007900</t>
  </si>
  <si>
    <t xml:space="preserve">FR-139054161 SERVICIO DE TELEVISION POR CABLE 1-02-2026 AL 28-02-2026</t>
  </si>
  <si>
    <t xml:space="preserve">FC-00007901</t>
  </si>
  <si>
    <t xml:space="preserve">FR-139045457 SERVICIO DE TELEVISION POR CABLE 1/02/2026 AL 28/02/2026</t>
  </si>
  <si>
    <t xml:space="preserve">FC-00007917</t>
  </si>
  <si>
    <t xml:space="preserve">FR-139056701 SERVICIO DE TELEVISION POR CABLE 1/02/2026-28/02/2026</t>
  </si>
  <si>
    <t xml:space="preserve">FC-00007941</t>
  </si>
  <si>
    <t xml:space="preserve">FR-156870 SERVICIO DE TELEVISION POR CABLE</t>
  </si>
  <si>
    <t xml:space="preserve">FC-00007942</t>
  </si>
  <si>
    <t xml:space="preserve">FR-139156612 SERVICIO DE TRELEVISION POR CABLE</t>
  </si>
  <si>
    <t xml:space="preserve">FC-00007964</t>
  </si>
  <si>
    <t xml:space="preserve">FR-139045842 SERVICIO DE TELEVISION POR CABLE</t>
  </si>
  <si>
    <t xml:space="preserve">FC-00008054</t>
  </si>
  <si>
    <t xml:space="preserve">FR-295850 SERVICIO DE TELEVISION POR CABLE</t>
  </si>
  <si>
    <t xml:space="preserve">FC-00008055</t>
  </si>
  <si>
    <t xml:space="preserve">FR-304844 SERVICIO DE TELEVISION POR CABLE</t>
  </si>
  <si>
    <t xml:space="preserve">FC-00008063</t>
  </si>
  <si>
    <t xml:space="preserve">FR-139307535 SERVICIO DE TELEVISION POR CABLE</t>
  </si>
  <si>
    <t xml:space="preserve">FC-00008064</t>
  </si>
  <si>
    <t xml:space="preserve">FR-139295906 SERVICIO DE TELEVISION POIR CABLE</t>
  </si>
  <si>
    <t xml:space="preserve">FC-00008110</t>
  </si>
  <si>
    <t xml:space="preserve">FR-139428243 SERVICIO DE TELEVISION POR CABLE</t>
  </si>
  <si>
    <t xml:space="preserve">FC-00008111</t>
  </si>
  <si>
    <t xml:space="preserve">FR-139427691 SERVICIO DE TELEVICION POR CABLE</t>
  </si>
  <si>
    <t xml:space="preserve">FC-00008196</t>
  </si>
  <si>
    <t xml:space="preserve">FR-139542355 SEVICIO DE TELEVISION POR CABLE</t>
  </si>
  <si>
    <t xml:space="preserve">FC-00008197</t>
  </si>
  <si>
    <t xml:space="preserve">FR-139551443 SERVICIO DE TELEVISION POR CABLE</t>
  </si>
  <si>
    <t xml:space="preserve">FC-00008222</t>
  </si>
  <si>
    <t xml:space="preserve">FR-139553829 SERVICIO DE TELEVISION POR CABLE</t>
  </si>
  <si>
    <t xml:space="preserve">FC-00008285</t>
  </si>
  <si>
    <t xml:space="preserve">FR-139542926 SERVICIO DE TELEFONIA</t>
  </si>
  <si>
    <t xml:space="preserve">FC-00008235</t>
  </si>
  <si>
    <t xml:space="preserve">FR-139673663 SERVICIO DE TELEVISION POR CABLE</t>
  </si>
  <si>
    <t xml:space="preserve">FC-00008237</t>
  </si>
  <si>
    <t xml:space="preserve">FR-139673150 SERVICIO DE TELEVISION POR CABLE</t>
  </si>
  <si>
    <t xml:space="preserve">FC-00008366</t>
  </si>
  <si>
    <t xml:space="preserve">FR-139795674 SERVICIO DE TELEVISION POR CABLE</t>
  </si>
  <si>
    <t xml:space="preserve">FC-00008386</t>
  </si>
  <si>
    <t xml:space="preserve">FR-139798156 SERVICIO DE TELEVISION POR CABLE</t>
  </si>
  <si>
    <t xml:space="preserve">FC-00008387</t>
  </si>
  <si>
    <t xml:space="preserve">FR-139785291 SERVICIO TELEVISION POR CABLE</t>
  </si>
  <si>
    <t xml:space="preserve">FC-00008388</t>
  </si>
  <si>
    <t xml:space="preserve">FR-139785567 SERVICIO DE TELEVISION POR CABLE</t>
  </si>
  <si>
    <t xml:space="preserve">FC-00008425</t>
  </si>
  <si>
    <t xml:space="preserve">FR-139917099  SERVICIO DE TELEVISION POR CABLE</t>
  </si>
  <si>
    <t xml:space="preserve">FC-00008426</t>
  </si>
  <si>
    <t xml:space="preserve">FR-139917807 SERVICIO DE TELEVISION POR CABLE</t>
  </si>
  <si>
    <t xml:space="preserve">FC-00008496</t>
  </si>
  <si>
    <t xml:space="preserve">FR-140030947 SERVICIO DE TELEVICION POR CABLE</t>
  </si>
  <si>
    <t xml:space="preserve">FC-00008497</t>
  </si>
  <si>
    <t xml:space="preserve">FR-140039760 SERVICIO DE TELEVICION POR CABLE</t>
  </si>
  <si>
    <t xml:space="preserve">FC-00008603</t>
  </si>
  <si>
    <t xml:space="preserve">FR-140031136 SERVICIO DE TV POR CABLE PLANTA</t>
  </si>
  <si>
    <t xml:space="preserve">FC-00008604</t>
  </si>
  <si>
    <t xml:space="preserve">FR-14041916 SERVICIO DE TV POR CABLE PLAANTACION</t>
  </si>
  <si>
    <t xml:space="preserve">FC-00008567</t>
  </si>
  <si>
    <t xml:space="preserve">FR-140160296 SERVICIO DE TELEVISION POR CABLE</t>
  </si>
  <si>
    <t xml:space="preserve">FC-00008568</t>
  </si>
  <si>
    <t xml:space="preserve">FR-140160719 SERVICIO DE TELEVISION POR CABLE</t>
  </si>
  <si>
    <t xml:space="preserve">FC-00008680</t>
  </si>
  <si>
    <t xml:space="preserve">FR-140279349 SERVICIO DE TELEVISION POR CABLE</t>
  </si>
  <si>
    <t xml:space="preserve">FC-00008693</t>
  </si>
  <si>
    <t xml:space="preserve">FR-140290741 SERVICIO DE TELEVISION POR CABLE</t>
  </si>
  <si>
    <t xml:space="preserve">FC-00008694</t>
  </si>
  <si>
    <t xml:space="preserve">FR-140288338  SERVICIO DE TELEVISION POR CABLE</t>
  </si>
  <si>
    <t xml:space="preserve">FC-00008695</t>
  </si>
  <si>
    <t xml:space="preserve">FR-140279560  SERVICIO DE TELEVISION POR CABLE</t>
  </si>
  <si>
    <t xml:space="preserve">FC-00008731</t>
  </si>
  <si>
    <t xml:space="preserve">FR-140412871 SERVICIO DE TELEVISION POR CABLE</t>
  </si>
  <si>
    <t xml:space="preserve">FC-00008732</t>
  </si>
  <si>
    <t xml:space="preserve">FR-140413339 SERVICIO DE TELEVISION POR CABLE</t>
  </si>
  <si>
    <t xml:space="preserve">FC-00008820</t>
  </si>
  <si>
    <t xml:space="preserve">FR-140537118 SERVICIO DE TELEVISION POR CABLE</t>
  </si>
  <si>
    <t xml:space="preserve">FC-00008821</t>
  </si>
  <si>
    <t xml:space="preserve">FR-140528279 SERVICIO DE TELEVISION POR CABLE</t>
  </si>
  <si>
    <t xml:space="preserve">FC-00008860</t>
  </si>
  <si>
    <t xml:space="preserve">FR-140660984 SERVICIO DE TELEVISION POR CABLE</t>
  </si>
  <si>
    <t xml:space="preserve">FC-00008861</t>
  </si>
  <si>
    <t xml:space="preserve">FR-140660717 SERVICIO DE TELEVISION POR CABLE</t>
  </si>
  <si>
    <t xml:space="preserve">FC-00008883</t>
  </si>
  <si>
    <t xml:space="preserve">FR-140539394 SERVICIO DE TELEVISION POR CABLE</t>
  </si>
  <si>
    <t xml:space="preserve">FC-00008884</t>
  </si>
  <si>
    <t xml:space="preserve">FR-140528458 TELEVISION POR CABLE</t>
  </si>
  <si>
    <t xml:space="preserve">DISIL SERVICES SAS</t>
  </si>
  <si>
    <t xml:space="preserve">901310017</t>
  </si>
  <si>
    <t xml:space="preserve">FC-00008401</t>
  </si>
  <si>
    <t xml:space="preserve">FR-196063 GASOLINA CORRIENTE</t>
  </si>
  <si>
    <t xml:space="preserve">DISTRACOM S.A.</t>
  </si>
  <si>
    <t xml:space="preserve">811009788</t>
  </si>
  <si>
    <t xml:space="preserve">FC-00008137</t>
  </si>
  <si>
    <t xml:space="preserve">FR-419425 COMBUSTIBLE</t>
  </si>
  <si>
    <t xml:space="preserve">DUCATTOS S.A.S</t>
  </si>
  <si>
    <t xml:space="preserve">ESTACION DE SERVICIO AUTOMOTRIZ EL CAIRO SAS</t>
  </si>
  <si>
    <t xml:space="preserve">901536938</t>
  </si>
  <si>
    <t xml:space="preserve">FC-00008697</t>
  </si>
  <si>
    <t xml:space="preserve">FR-3055110 COMBUSTIBLE</t>
  </si>
  <si>
    <t xml:space="preserve">ESTACION DE SERVICIO MOBIL CODI 5 S.A.S.</t>
  </si>
  <si>
    <t xml:space="preserve">FC-00007985</t>
  </si>
  <si>
    <t xml:space="preserve">CE-31546 LEGALIZACION TC ROBERTO HERRERA</t>
  </si>
  <si>
    <t xml:space="preserve">900406613</t>
  </si>
  <si>
    <t xml:space="preserve">FC-00007984</t>
  </si>
  <si>
    <t xml:space="preserve">FR-1247168 COMBUSTIBLE</t>
  </si>
  <si>
    <t xml:space="preserve">FC-00008136</t>
  </si>
  <si>
    <t xml:space="preserve">FR-1216808 COMBUSTIBLE PAGADO CON TC</t>
  </si>
  <si>
    <t xml:space="preserve">FC-00008450</t>
  </si>
  <si>
    <t xml:space="preserve">FR-1304880 COMBUSTIBLE PAGADO TC</t>
  </si>
  <si>
    <t xml:space="preserve">FC-00008535</t>
  </si>
  <si>
    <t xml:space="preserve">CE-34028 LEGALIZACION TC ROBERTO HERRERA MES DE MAYO 2026</t>
  </si>
  <si>
    <t xml:space="preserve">FC-00008764</t>
  </si>
  <si>
    <t xml:space="preserve">FR-1324793 COMBUSTIBLE</t>
  </si>
  <si>
    <t xml:space="preserve">NI-00004728</t>
  </si>
  <si>
    <t xml:space="preserve">RECLASIFICACION 2135 A 2105 PAGADA CON TC</t>
  </si>
  <si>
    <t xml:space="preserve">FUNDACION PROVIDA COLOMBIA</t>
  </si>
  <si>
    <t xml:space="preserve">860058176</t>
  </si>
  <si>
    <t xml:space="preserve">FC-00008392</t>
  </si>
  <si>
    <t xml:space="preserve">FR-13300 BONO ALIMENTOS</t>
  </si>
  <si>
    <t xml:space="preserve">FC-00008734</t>
  </si>
  <si>
    <t xml:space="preserve">FR-13531 BONO PAN</t>
  </si>
  <si>
    <t xml:space="preserve">GEMA TOURS SAS</t>
  </si>
  <si>
    <t xml:space="preserve">890404365</t>
  </si>
  <si>
    <t xml:space="preserve">FC-00007932</t>
  </si>
  <si>
    <t xml:space="preserve">FR-19908  TIQUETES AEREOS MAURELLO GLORIA ALEJANDRA AV-55274174806 SALIDA 14/02/2026 LLEGADA 14/02/2026</t>
  </si>
  <si>
    <t xml:space="preserve">FC-00007933</t>
  </si>
  <si>
    <t xml:space="preserve">FR-19904 MEDINA POLANIA FABIO FRANCISCO AV-5527474786 SALIDA:8/02/2026 LLEGADA: 14/02/2026</t>
  </si>
  <si>
    <t xml:space="preserve">FC-00007935</t>
  </si>
  <si>
    <t xml:space="preserve">FR-19901 MEDINA POLANIA FRANCISCO AV5527474786 SALIDA 08/02/2026 LLEGADA 14/02/2026</t>
  </si>
  <si>
    <t xml:space="preserve">FC-00007936</t>
  </si>
  <si>
    <t xml:space="preserve">FR-19900 RONDON CARLOS IVAN AV-5527474784 LLEGADA 12/02/2026 SALIDA 8/02/2026</t>
  </si>
  <si>
    <t xml:space="preserve">FC-00007955</t>
  </si>
  <si>
    <t xml:space="preserve">FR-19917 MARCELA RAMIREZ 4C-2269119846 SALIDA 4/2/2026 LLEGADA 7/2/2026</t>
  </si>
  <si>
    <t xml:space="preserve">FC-00008019</t>
  </si>
  <si>
    <t xml:space="preserve">FR-20053 TIQUETES AEREOS MAURELLO GLORIA ALEJANDRA</t>
  </si>
  <si>
    <t xml:space="preserve">FC-00008083</t>
  </si>
  <si>
    <t xml:space="preserve">FR-20209 GOMEZ DE CORTES JULIETA, RUA OSPINA CLAUDIA LORENA TIQUETES</t>
  </si>
  <si>
    <t xml:space="preserve">FC-00008089</t>
  </si>
  <si>
    <t xml:space="preserve">FR-20237 HERRERA LARA MARTIN</t>
  </si>
  <si>
    <t xml:space="preserve">CE-00032103</t>
  </si>
  <si>
    <t xml:space="preserve">FC-00008195</t>
  </si>
  <si>
    <t xml:space="preserve">FR-20525 PASAJES DE AVION MONICA DURAN AUDITORA ISCC</t>
  </si>
  <si>
    <t xml:space="preserve">FC-00008225</t>
  </si>
  <si>
    <t xml:space="preserve">FR-20661 TIQUETES RAMIREZ TORRES FRANCY MILENA Y WILLIAM RODRIGUEZ</t>
  </si>
  <si>
    <t xml:space="preserve">FC-00008399</t>
  </si>
  <si>
    <t xml:space="preserve">FR-21057 GARZON LEON JUAN CAMILO (LEHERIA FORSOZA)</t>
  </si>
  <si>
    <t xml:space="preserve">FC-00008543</t>
  </si>
  <si>
    <t xml:space="preserve">FR-21394 TIQUETE DE AVION MARTIN HERRERA LARA</t>
  </si>
  <si>
    <t xml:space="preserve">FC-00008606</t>
  </si>
  <si>
    <t xml:space="preserve">FR-21448 GOMEZ JARAMILLO TIQUETES</t>
  </si>
  <si>
    <t xml:space="preserve">FC-00008607</t>
  </si>
  <si>
    <t xml:space="preserve">FR-21447 GOMEZ JARAMILLO PABLO TIQUETES</t>
  </si>
  <si>
    <t xml:space="preserve">FC-00008647</t>
  </si>
  <si>
    <t xml:space="preserve">FR-21496 HERRERA JUAN MANUEL</t>
  </si>
  <si>
    <t xml:space="preserve">FC-00008674</t>
  </si>
  <si>
    <t xml:space="preserve">FR-21634 TIQUETES HERRERA LARA MARTIN</t>
  </si>
  <si>
    <t xml:space="preserve">FC-00008675</t>
  </si>
  <si>
    <t xml:space="preserve">FR-21628 HERRERA TOMAS TIQUETES</t>
  </si>
  <si>
    <t xml:space="preserve">FC-00008676</t>
  </si>
  <si>
    <t xml:space="preserve">FR-21627 HERRERA JUAN MANUEL TIQUETES</t>
  </si>
  <si>
    <t xml:space="preserve">FC-00008727</t>
  </si>
  <si>
    <t xml:space="preserve">FR-21706 ESPINOSA MAZO MELIZA TIQUETES AEREOS</t>
  </si>
  <si>
    <t xml:space="preserve">FC-00008876</t>
  </si>
  <si>
    <t xml:space="preserve">FR-22012 NIÑO ESTUPIÑAN ANDRES TIQUETES AEREOS</t>
  </si>
  <si>
    <t xml:space="preserve">GRUPO BDC S.A.S</t>
  </si>
  <si>
    <t xml:space="preserve">900371268</t>
  </si>
  <si>
    <t xml:space="preserve">FC-00008544</t>
  </si>
  <si>
    <t xml:space="preserve">FR-33353 GASTOS DE ALIMENTACION</t>
  </si>
  <si>
    <t xml:space="preserve">FC-00008682</t>
  </si>
  <si>
    <t xml:space="preserve">FR-34412 RESTAURANTE ATENCION A CLIENTE (CATALINA HERRERA)</t>
  </si>
  <si>
    <t xml:space="preserve">GRUPO FRACOTEX S.A.S</t>
  </si>
  <si>
    <t xml:space="preserve">GRUPO HBB SAS</t>
  </si>
  <si>
    <t xml:space="preserve">GUAYMARAL 234 SAS</t>
  </si>
  <si>
    <t xml:space="preserve">FC-00008361</t>
  </si>
  <si>
    <t xml:space="preserve">CE-32641 LEGALIZACION DE GASTOS TC ROBERTO HERRERA</t>
  </si>
  <si>
    <t xml:space="preserve">900590247</t>
  </si>
  <si>
    <t xml:space="preserve">FC-00008362</t>
  </si>
  <si>
    <t xml:space="preserve">FR-111769 COMBUSTIBLE PAGADO CON TC ROBERTO HERRERA</t>
  </si>
  <si>
    <t xml:space="preserve">H&amp;G OIL PETROLEUM COMPANY S A S</t>
  </si>
  <si>
    <t xml:space="preserve">900783202</t>
  </si>
  <si>
    <t xml:space="preserve">FC-00008142</t>
  </si>
  <si>
    <t xml:space="preserve">FR-183642 COMBUSTIBLE</t>
  </si>
  <si>
    <t xml:space="preserve">HERMOLUX S.A.S</t>
  </si>
  <si>
    <t xml:space="preserve">900185820</t>
  </si>
  <si>
    <t xml:space="preserve">FC-00008396</t>
  </si>
  <si>
    <t xml:space="preserve">FR-116536 COMBUSTIBLE</t>
  </si>
  <si>
    <t xml:space="preserve">FC-00008435</t>
  </si>
  <si>
    <t xml:space="preserve">FR-126518 COMBUSTIBLE</t>
  </si>
  <si>
    <t xml:space="preserve">HOTEL BARRANQUILLA BUENAVISTA SAS</t>
  </si>
  <si>
    <t xml:space="preserve">900902403</t>
  </si>
  <si>
    <t xml:space="preserve">FC-00008678</t>
  </si>
  <si>
    <t xml:space="preserve">FR-137089 ALIMENTACION HOTEL</t>
  </si>
  <si>
    <t xml:space="preserve">INVERSIONES JOPAFA SAS</t>
  </si>
  <si>
    <t xml:space="preserve">J E RUEDA &amp; CIA S.A.</t>
  </si>
  <si>
    <t xml:space="preserve">860508988</t>
  </si>
  <si>
    <t xml:space="preserve">FC-00008024</t>
  </si>
  <si>
    <t xml:space="preserve">FR-6168 GASTO ALIMENTACION PAGADO TC LUIS HERRERA</t>
  </si>
  <si>
    <t xml:space="preserve">FC-00008043</t>
  </si>
  <si>
    <t xml:space="preserve">FR-6210 GASTO ALIMENTACION TC JUAN HERRERA</t>
  </si>
  <si>
    <t xml:space="preserve">FC-00008358</t>
  </si>
  <si>
    <t xml:space="preserve">CE-32641 LEGALIZACION TC MES DE MARZO JUAN MANUEL HERRERA</t>
  </si>
  <si>
    <t xml:space="preserve">FC-00008360</t>
  </si>
  <si>
    <t xml:space="preserve">CE-32640 LEGALIZACION TC LUIS HERRERA MARZO</t>
  </si>
  <si>
    <t xml:space="preserve">JOCKEY CLUB</t>
  </si>
  <si>
    <t xml:space="preserve">860006302</t>
  </si>
  <si>
    <t xml:space="preserve">FC-00007975</t>
  </si>
  <si>
    <t xml:space="preserve">FR-3350 GASTOS INCURRIDOS REPRESENTACION TC LUIS HERRERA OBREGON</t>
  </si>
  <si>
    <t xml:space="preserve">FC-00008069</t>
  </si>
  <si>
    <t xml:space="preserve">CE-31966 LEGALIZACION TC LUIS HERRERA</t>
  </si>
  <si>
    <t xml:space="preserve">LYL HOTELS SAS</t>
  </si>
  <si>
    <t xml:space="preserve">MALAGON PINZON VICTOR MANUEL</t>
  </si>
  <si>
    <t xml:space="preserve">3264700</t>
  </si>
  <si>
    <t xml:space="preserve">FC-00008140</t>
  </si>
  <si>
    <t xml:space="preserve">FR-827556 COMBUSTIBLE</t>
  </si>
  <si>
    <t xml:space="preserve">FC-00008894</t>
  </si>
  <si>
    <t xml:space="preserve">FR-1301937 COMBUSTIBLE</t>
  </si>
  <si>
    <t xml:space="preserve">FC-00008895</t>
  </si>
  <si>
    <t xml:space="preserve">FR-1339335 COMBUSTIBLE</t>
  </si>
  <si>
    <t xml:space="preserve">NOGA S.A.S.</t>
  </si>
  <si>
    <t xml:space="preserve">832001168</t>
  </si>
  <si>
    <t xml:space="preserve">FC-00008212</t>
  </si>
  <si>
    <t xml:space="preserve">FR-97171 CALM, JERINGA, NOVABRONCOL</t>
  </si>
  <si>
    <t xml:space="preserve">FC-00008397</t>
  </si>
  <si>
    <t xml:space="preserve">CE-33328 LEGALIZACION TC LUIS FERNANDO HERRERA</t>
  </si>
  <si>
    <t xml:space="preserve">OPUS 3 S.A.S</t>
  </si>
  <si>
    <t xml:space="preserve">PIZZA JOINT SAS</t>
  </si>
  <si>
    <t xml:space="preserve">901341732</t>
  </si>
  <si>
    <t xml:space="preserve">FC-00008278</t>
  </si>
  <si>
    <t xml:space="preserve">FR-29012 ALIMENTACION JUNTA</t>
  </si>
  <si>
    <t xml:space="preserve">PONQUES CASCABEL REPOSTERIA LTDA</t>
  </si>
  <si>
    <t xml:space="preserve">SOCIEDAD PORTUARIA REGIONAL DE BUENAVENTURA S.A. S.P.R. BUN</t>
  </si>
  <si>
    <t xml:space="preserve">SODIMAC COLOMBIA S A</t>
  </si>
  <si>
    <t xml:space="preserve">800242106</t>
  </si>
  <si>
    <t xml:space="preserve">FC-00007983</t>
  </si>
  <si>
    <t xml:space="preserve">FR-1205-100389609 SET X 5 TOALLA FACIAL</t>
  </si>
  <si>
    <t xml:space="preserve">800016505</t>
  </si>
  <si>
    <t xml:space="preserve">CIN-00000061</t>
  </si>
  <si>
    <t xml:space="preserve">Cruce Interno Intercompañias</t>
  </si>
  <si>
    <t xml:space="preserve">PRESTAMO PAGO ANTICIPO SODIMAC</t>
  </si>
  <si>
    <t xml:space="preserve">VERCEL INC</t>
  </si>
  <si>
    <t xml:space="preserve">VILLEGAS ASOCIADOS S.A.</t>
  </si>
  <si>
    <t xml:space="preserve">21202040</t>
  </si>
  <si>
    <t xml:space="preserve">Leasing Corto Plazo</t>
  </si>
  <si>
    <t xml:space="preserve">NB-00001014</t>
  </si>
  <si>
    <t xml:space="preserve">LEASING 386735 CAMION VOLKSWAGEN CONSTELLATION 31320 DOBLE TROQUE MOD 2027 IBRTV + 1.35 TRIMESTRAL</t>
  </si>
  <si>
    <t xml:space="preserve">BCL-L386735</t>
  </si>
  <si>
    <t xml:space="preserve">Capital leasing CP</t>
  </si>
  <si>
    <t xml:space="preserve">VALLEY TRADING SERVICES SAS</t>
  </si>
  <si>
    <t xml:space="preserve">NIC-00000565</t>
  </si>
  <si>
    <t xml:space="preserve">Nota Interna Contable</t>
  </si>
  <si>
    <t xml:space="preserve">RECLASIFICAION CUENTA COMISIONES NO BANCARIAS</t>
  </si>
  <si>
    <t xml:space="preserve">N/A-COMISION</t>
  </si>
  <si>
    <t xml:space="preserve">Reclasificación / no obligación</t>
  </si>
  <si>
    <t xml:space="preserve">901835673</t>
  </si>
  <si>
    <t xml:space="preserve">FC-00008621</t>
  </si>
  <si>
    <t xml:space="preserve">FR-4 COMISION DE CORRETAJE CORRESPONDIENTE A NEGOCIO DE GOKLEN AGRI DE PKO MARZO Y ABRIL CANTIDAD PKO 300.670KG A 30USD POR TONELADA DE 3.79</t>
  </si>
  <si>
    <t xml:space="preserve">FC-00008881</t>
  </si>
  <si>
    <t xml:space="preserve">FR-7 CORRETAJE COMERCIAL</t>
  </si>
  <si>
    <t xml:space="preserve">NI-00004851</t>
  </si>
  <si>
    <t xml:space="preserve">RECLASIFICACION A CUENTA POR PAGAR ES UNA COMISION</t>
  </si>
  <si>
    <t xml:space="preserve">21202140</t>
  </si>
  <si>
    <t xml:space="preserve">Leasing Largo Plazo</t>
  </si>
  <si>
    <t xml:space="preserve">860034313</t>
  </si>
  <si>
    <t xml:space="preserve">CL-00000355</t>
  </si>
  <si>
    <t xml:space="preserve">CANON 25 LEASING 1019448-3 MES DE ENERO 2026 CAPITAL 8.322.590 INTERESES 4.321.722 SEGURO 1.263.646</t>
  </si>
  <si>
    <t xml:space="preserve">DAV-L1019448</t>
  </si>
  <si>
    <t xml:space="preserve">Capital leasing LP</t>
  </si>
  <si>
    <t xml:space="preserve">CL-00000356</t>
  </si>
  <si>
    <t xml:space="preserve">CANON 27 LEASING 1019441-2 MES DE ENERO 2026 CAPITAL 11.155.627 INTERES 5.303.404 SEGURO 1.263.646</t>
  </si>
  <si>
    <t xml:space="preserve">DAV-L1019441</t>
  </si>
  <si>
    <t xml:space="preserve">CL-00000373</t>
  </si>
  <si>
    <t xml:space="preserve">CANON 28 LEASING 1019441-2 MES DE FEBRERO 2026 CAPITAL 11.524.297 INTERESES 5.239.806 SEGURO 1.263.646</t>
  </si>
  <si>
    <t xml:space="preserve">CL-00000374</t>
  </si>
  <si>
    <t xml:space="preserve">CANON 26 LEASING 1019448-3 MES DE FEBRERO 2026</t>
  </si>
  <si>
    <t xml:space="preserve">CL-00000379</t>
  </si>
  <si>
    <t xml:space="preserve">CANON 27 LEASING 30001019448-3 MENSUAL CAPITAL 8.547.937 INTERESES 4.004.121 SEGURO 1.263.646</t>
  </si>
  <si>
    <t xml:space="preserve">CL-00000380</t>
  </si>
  <si>
    <t xml:space="preserve">CANON 29 LEASING MENSUAL 30001019441-2 CAPITAL 11.474.507 INTERESES 4.882.578 SEGURO 1.263.646</t>
  </si>
  <si>
    <t xml:space="preserve">CL-00000397</t>
  </si>
  <si>
    <t xml:space="preserve">CANON 30 LEASING 3000101441 MENSUAL CAPITAL 11.635.838 INTERESES 5.382.049 SEGURO 1.263.646|</t>
  </si>
  <si>
    <t xml:space="preserve">CL-00000398</t>
  </si>
  <si>
    <t xml:space="preserve">CANON 28 LEASING 30001019448 MENSUAL CAPITAL 8.830.873 INTERESES 4.369.021 SEGURO 1.263.646</t>
  </si>
  <si>
    <t xml:space="preserve">CL-00000404</t>
  </si>
  <si>
    <t xml:space="preserve">CANON 29 LEASING 1019448-3 CAPITAL 8.621.303 INTERESES 4.368.074 SEGURO 1.263.646</t>
  </si>
  <si>
    <t xml:space="preserve">CL-00000405</t>
  </si>
  <si>
    <t xml:space="preserve">CANON 31 LEASING 1019441 CAPITAL 12.392.508 INTERESES 5.335.810 SEGURO 1.263.646</t>
  </si>
  <si>
    <t xml:space="preserve">CL-00000415</t>
  </si>
  <si>
    <t xml:space="preserve">CANON 30 LEASING 1019448 MENSUAL CAPITAL 8.901.235, INTERESES 4.402.982, SEGURO 1.263.646</t>
  </si>
  <si>
    <t xml:space="preserve">CL-00000416</t>
  </si>
  <si>
    <t xml:space="preserve">CANON 32 LEASING 1019441 MENSUAL CAPITAL 11.973677 INTERESES 5.319.404, SEGURO 1.263.646</t>
  </si>
  <si>
    <t xml:space="preserve">NI-00004731</t>
  </si>
  <si>
    <t xml:space="preserve">CRUCE DE DOCUMENTOS INTERNOS EC-2188 DEVOLUCION ANTICIPO A CALDERAS JCT Y ANTICIPO CALDERAS</t>
  </si>
  <si>
    <t xml:space="preserve">N/A-CRUCE</t>
  </si>
  <si>
    <t xml:space="preserve">CL-00000433</t>
  </si>
  <si>
    <t xml:space="preserve">CANON 31 LEASING 1019448 CAPITAL 8.867.342 INTERESES 4.177.893 SEGURO 1.263.646</t>
  </si>
  <si>
    <t xml:space="preserve">CL-00000434</t>
  </si>
  <si>
    <t xml:space="preserve">CANON 33 LEASING 1019441 CAPITAL 12.327.298 INTERESES 5.062.372 SEGURO 1.263.646</t>
  </si>
  <si>
    <t xml:space="preserve">CL-00000358</t>
  </si>
  <si>
    <t xml:space="preserve">CANON LEASING 556449117 TRIMESTRAL (NOV-DIC-ENE) CAPITAL 25.421.164,99 INTRESES 10.049.649.01</t>
  </si>
  <si>
    <t xml:space="preserve">BOG-L556449117</t>
  </si>
  <si>
    <t xml:space="preserve">CL-00000359</t>
  </si>
  <si>
    <t xml:space="preserve">CANON LEASING 556449064 TRIMESTRAL (NOV-DIC-ENE) CAPITAL 25.421.164.99 INTERESES 10.049.649.01</t>
  </si>
  <si>
    <t xml:space="preserve">BOG-L556449064</t>
  </si>
  <si>
    <t xml:space="preserve">CL-00000363</t>
  </si>
  <si>
    <t xml:space="preserve">CANON LEASING 556449288 MES DE ENERO 2026 TRIMESTRAL (NOV-DIC-ENE) CAPITAL 20.809.569.69 INTERESES 13.954.010.31</t>
  </si>
  <si>
    <t xml:space="preserve">BOG-L556449288</t>
  </si>
  <si>
    <t xml:space="preserve">CL-00000364</t>
  </si>
  <si>
    <t xml:space="preserve">CANON LEASING 557285005 TRIMESTRAL (NOV-DIC-ENE)</t>
  </si>
  <si>
    <t xml:space="preserve">BOG-L557285005</t>
  </si>
  <si>
    <t xml:space="preserve">CL-00000365</t>
  </si>
  <si>
    <t xml:space="preserve">CANON LEASING 556449180 TRIMESTRAL (NOV-DIC-ENE)  CAPITAL 20.805.204.47 INTERESES 13.951.119.53</t>
  </si>
  <si>
    <t xml:space="preserve">BOG-L556449180</t>
  </si>
  <si>
    <t xml:space="preserve">CL-00000366</t>
  </si>
  <si>
    <t xml:space="preserve">CANON LEASNG 556449224 TRIMESTRAL (NOV-DIC-ENE) CAPITAL 20.805.204.47 INTERESES 13.951.119.53</t>
  </si>
  <si>
    <t xml:space="preserve">BOG-L556449224</t>
  </si>
  <si>
    <t xml:space="preserve">CL-00000389</t>
  </si>
  <si>
    <t xml:space="preserve">CANON LEASING 556449117 TRIMESTRAL (FEB-MAR-ABRL) CAPITAL 26.079.255.16 INTERESES 9.564.429.84</t>
  </si>
  <si>
    <t xml:space="preserve">CL-00000390</t>
  </si>
  <si>
    <t xml:space="preserve">CANON LEASING 556449288 TRIMESTRAL (FEB-MAR-ABRI) CAPITAL 21.319.941.88 INTERES 13.637.409.12</t>
  </si>
  <si>
    <t xml:space="preserve">CL-00000391</t>
  </si>
  <si>
    <t xml:space="preserve">CANON LEASING 557285005 TRIMESTRAL (FEB-MAR-ABR) CAPITAL 62.648.860.03 INTERESES 36.783.056.97</t>
  </si>
  <si>
    <t xml:space="preserve">CL-00000392</t>
  </si>
  <si>
    <t xml:space="preserve">CANON LEASING 556449180 TRIMESTRAL (FEB-MAR-ABR) CAPITAL 21.315.470.38 INTERESES 13.634.585.62</t>
  </si>
  <si>
    <t xml:space="preserve">CL-00000393</t>
  </si>
  <si>
    <t xml:space="preserve">CANON LEASING 556449224 TRIMESTRAL (FEB-MAR-ABR) CAPITAL 34.950.056 INTERESES 13.634.585.61</t>
  </si>
  <si>
    <t xml:space="preserve">CL-00000394</t>
  </si>
  <si>
    <t xml:space="preserve">CANON LEASING 556449064 TRIMESTRAL (FEB-MAR-ABR) CAPITAL 26079255,17 INTERESES 9.564.429.83</t>
  </si>
  <si>
    <t xml:space="preserve">CL-00000424</t>
  </si>
  <si>
    <t xml:space="preserve">CANON LEASING 556449117 CAPITAL 26.602.533.71 INTERESES 9.497.274.29</t>
  </si>
  <si>
    <t xml:space="preserve">CL-00000426</t>
  </si>
  <si>
    <t xml:space="preserve">CANON LEASING 556449064 TRIMESTRAL (MAY-JUN-JUL) CAPITAL  26.602.533.70, INTERESES 9.497.274.30</t>
  </si>
  <si>
    <t xml:space="preserve">CL-00000427</t>
  </si>
  <si>
    <t xml:space="preserve">CANON LEASING 556449224 TRIMESTRAL (MAY-JUN-JUL) CAPITAL 21.538.319.02 INTERESES 14.118.857.98</t>
  </si>
  <si>
    <t xml:space="preserve">CL-00000428</t>
  </si>
  <si>
    <t xml:space="preserve">CANON LEASING 556449180 TRIMESTRAL (MAY-JUN-JUL) CAPITAL 21.538.319.01 INTERESES 14.118.857.99</t>
  </si>
  <si>
    <t xml:space="preserve">CL-00000429</t>
  </si>
  <si>
    <t xml:space="preserve">CANON LEASING 557285005 (MAY-JUN-JUL) CAPITAL 62.866.117.12 INTERESES 39.578.631.88</t>
  </si>
  <si>
    <t xml:space="preserve">CL-00000430</t>
  </si>
  <si>
    <t xml:space="preserve">CANON LEASING 556449288 (MY-JUN-JUL) CAPITAL 21.542.838.16 INTERESES 14.121.779.84</t>
  </si>
  <si>
    <t xml:space="preserve">CL-00000352</t>
  </si>
  <si>
    <t xml:space="preserve">CANON 30 LEASING 331330 MES DE ENERO 2026</t>
  </si>
  <si>
    <t xml:space="preserve">BCL-L331330</t>
  </si>
  <si>
    <t xml:space="preserve">CL-00000353</t>
  </si>
  <si>
    <t xml:space="preserve">CANON 8 LEASING 336817 MES DE ENERO 2026</t>
  </si>
  <si>
    <t xml:space="preserve">BCL-L336817</t>
  </si>
  <si>
    <t xml:space="preserve">CL-00000369</t>
  </si>
  <si>
    <t xml:space="preserve">CANON 9 LEASING 336817 MES DE FEBRERO 2026</t>
  </si>
  <si>
    <t xml:space="preserve">CL-00000370</t>
  </si>
  <si>
    <t xml:space="preserve">CANON 31 LEASING 331330 MES DE FEBRERO 2026</t>
  </si>
  <si>
    <t xml:space="preserve">CL-00000376</t>
  </si>
  <si>
    <t xml:space="preserve">CANON 32 LEASING 331330 MENSUAL</t>
  </si>
  <si>
    <t xml:space="preserve">CL-00000377</t>
  </si>
  <si>
    <t xml:space="preserve">CANON 10 LEASING 336817 MENSUAL</t>
  </si>
  <si>
    <t xml:space="preserve">CL-00000385</t>
  </si>
  <si>
    <t xml:space="preserve">CANON 4 LEASING 362095 TRIMESTRAL (ENE-FEB-MAR)</t>
  </si>
  <si>
    <t xml:space="preserve">BCL-L362095</t>
  </si>
  <si>
    <t xml:space="preserve">CL-00000387</t>
  </si>
  <si>
    <t xml:space="preserve">CANON 33 LEASING 331330 MENSUAL CAPITAL 17.114.382 INTERESES 6.762.702 SEGURO 280.510</t>
  </si>
  <si>
    <t xml:space="preserve">CL-00000388</t>
  </si>
  <si>
    <t xml:space="preserve">CANON 11 LEASING 336817 MENSUAL CAPITAL 8.838.594 INTERES 9.646.317 SEGURO 263.047</t>
  </si>
  <si>
    <t xml:space="preserve">CL-00000402</t>
  </si>
  <si>
    <t xml:space="preserve">CANON 12 LEASING  336817  MENSUAL CAPITAL 8.838.594 INTERESES 9.575.527 SEGURO 263.047</t>
  </si>
  <si>
    <t xml:space="preserve">CL-00000403</t>
  </si>
  <si>
    <t xml:space="preserve">CANON 34 LEASING 331330 MENSUAL CAPITAL 17.114.382 INTERESES 6.615.640 SEGURO 280.510</t>
  </si>
  <si>
    <t xml:space="preserve">CL-00000413</t>
  </si>
  <si>
    <t xml:space="preserve">CANON 13 CREDITO 336817 MENSUAL CAPITAL 8.838.594, SEGURO 263.047, INTERESES 9548725</t>
  </si>
  <si>
    <t xml:space="preserve">CL-00000414</t>
  </si>
  <si>
    <t xml:space="preserve">CANON LEASING 362095 TRIMESTRAL (ABR-MAY-JUN) CAPITAL 23.832.145, INTERESES 15.043.006 SEGURO 1.013.571</t>
  </si>
  <si>
    <t xml:space="preserve">CL-00000417</t>
  </si>
  <si>
    <t xml:space="preserve">CANON CREDITO 331330 MENSUAL CAPITAL 17.114.382, INTERESES 6.446.141, SEGURO 280.510</t>
  </si>
  <si>
    <t xml:space="preserve">CL-00000420</t>
  </si>
  <si>
    <t xml:space="preserve">CANON 36 LEASING 331330 MENSUAL CAPITAL 17.114.382, INTERESES 6.236.225, SEGUROS 280.510</t>
  </si>
  <si>
    <t xml:space="preserve">CL-00000421</t>
  </si>
  <si>
    <t xml:space="preserve">CANON 14 LEASING 336817 MENSUAL CAPITAL 8.838.594, INTERESES 9.459.248, SEGURO 263.047</t>
  </si>
  <si>
    <t xml:space="preserve">21300101</t>
  </si>
  <si>
    <t xml:space="preserve">Intereses Financieros por Pagar O.F.</t>
  </si>
  <si>
    <t xml:space="preserve">NB-00000893</t>
  </si>
  <si>
    <t xml:space="preserve">INTERESES CAUSADOS ENERO CRED 4476</t>
  </si>
  <si>
    <t xml:space="preserve">Interés OF por pagar</t>
  </si>
  <si>
    <t xml:space="preserve">Causación</t>
  </si>
  <si>
    <t xml:space="preserve">NB-00000913</t>
  </si>
  <si>
    <t xml:space="preserve">INTERESES CAUSADOS FEBRERO CRED 4476 FEB</t>
  </si>
  <si>
    <t xml:space="preserve">NB-00000931</t>
  </si>
  <si>
    <t xml:space="preserve">INTERESES CAUSADOS MARZO CRED 4476</t>
  </si>
  <si>
    <t xml:space="preserve">NI-00004282</t>
  </si>
  <si>
    <t xml:space="preserve">REVERSION PROVISION INTERESES CREDITO 9600290141 ENE-FEB-MAR</t>
  </si>
  <si>
    <t xml:space="preserve">Reversión por pago</t>
  </si>
  <si>
    <t xml:space="preserve">NB-00000954</t>
  </si>
  <si>
    <t xml:space="preserve">INTERESES CAUSADOS ABRIL CRED 0141</t>
  </si>
  <si>
    <t xml:space="preserve">NB-00000972</t>
  </si>
  <si>
    <t xml:space="preserve">INTERESES CAUSADOS MAYO CRED 0141</t>
  </si>
  <si>
    <t xml:space="preserve">NI-00004668</t>
  </si>
  <si>
    <t xml:space="preserve">REVERSION PROVISION INTERESES CREDITO 9600290141 TRIMESTRAL (ABR-MAY-JUN) 141.154.577.78</t>
  </si>
  <si>
    <t xml:space="preserve">NI-00004723</t>
  </si>
  <si>
    <t xml:space="preserve">AJUSTE A MILES OBLIGACIONES FINANCIERAS</t>
  </si>
  <si>
    <t xml:space="preserve">SIN-ID</t>
  </si>
  <si>
    <t xml:space="preserve">Ajuste redondeo</t>
  </si>
  <si>
    <t xml:space="preserve">NB-00000995</t>
  </si>
  <si>
    <t xml:space="preserve">INTERESES CAUSADOS JUNIO CRED 0141</t>
  </si>
  <si>
    <t xml:space="preserve">INTERESES CAUSADOS ENERO CRED 0624</t>
  </si>
  <si>
    <t xml:space="preserve">DAV-830624</t>
  </si>
  <si>
    <t xml:space="preserve">INTERESES CAUSADOS ENERO CRED 7691</t>
  </si>
  <si>
    <t xml:space="preserve">DAV-607691</t>
  </si>
  <si>
    <t xml:space="preserve">INTERESES CAUSADOS ENERO CRED 8906</t>
  </si>
  <si>
    <t xml:space="preserve">INTERESES CAUSADOS ENERO CRED 9032</t>
  </si>
  <si>
    <t xml:space="preserve">DAV-569032</t>
  </si>
  <si>
    <t xml:space="preserve">NI-00004061</t>
  </si>
  <si>
    <t xml:space="preserve">REVERSION PROVISION INTERESES CEDITO 300607691 (AGO-SEP-OCT-NOV-DIC-ENE)</t>
  </si>
  <si>
    <t xml:space="preserve">NI-00004063</t>
  </si>
  <si>
    <t xml:space="preserve">REVERSION PROVISION INTERESES CREDITO 300569032 (AGO-SEP-OCT-NOV-DIC-ENE)</t>
  </si>
  <si>
    <t xml:space="preserve">NIC-00000301</t>
  </si>
  <si>
    <t xml:space="preserve">CANON CREDITO 457300748906 (AGO-SEP-OCT-NOV-DIC-ENE)</t>
  </si>
  <si>
    <t xml:space="preserve">NB-00000912</t>
  </si>
  <si>
    <t xml:space="preserve">INTERESES CAUSADOS ENERO CRED 8906 ENE</t>
  </si>
  <si>
    <t xml:space="preserve">INTERESES CAUSADOS FEBRERO CRED 0624 FEB</t>
  </si>
  <si>
    <t xml:space="preserve">INTERESES CAUSADOS FEBRERO CRED 7691 FEB</t>
  </si>
  <si>
    <t xml:space="preserve">INTERESES CAUSADOS FEBRERO CRED 9032 FEB</t>
  </si>
  <si>
    <t xml:space="preserve">INTERESES CAUSADOS MARZO CRED 0624</t>
  </si>
  <si>
    <t xml:space="preserve">INTERESES CAUSADOS MARZO CRED 7691</t>
  </si>
  <si>
    <t xml:space="preserve">INTERESES CAUSADOS MARZO CRED 9032</t>
  </si>
  <si>
    <t xml:space="preserve">NI-00004268</t>
  </si>
  <si>
    <t xml:space="preserve">REVERSION PROVISION INTERESES CREDITO 457300830624 SEMESTRAL (OCT-NOV-DIC-ENE-FEB-MAR)</t>
  </si>
  <si>
    <t xml:space="preserve">INTERESES CAUSADOS ABRIL CRED 0624</t>
  </si>
  <si>
    <t xml:space="preserve">INTERESES CAUSADOS ABRIL CRED 7691</t>
  </si>
  <si>
    <t xml:space="preserve">INTERESES CAUSADOS ABRIL CRED 9032</t>
  </si>
  <si>
    <t xml:space="preserve">INTERESES CAUSADOS MAYO CRED 0624</t>
  </si>
  <si>
    <t xml:space="preserve">INTERESES CAUSADOS MAYO CRED 7691</t>
  </si>
  <si>
    <t xml:space="preserve">INTERESES CAUSADOS MAYO CRED 9032</t>
  </si>
  <si>
    <t xml:space="preserve">INTERESES CAUSADOS JUNIO CRED 0624</t>
  </si>
  <si>
    <t xml:space="preserve">INTERESES CAUSADOS JUNIO CRED 7691</t>
  </si>
  <si>
    <t xml:space="preserve">INTERESES CAUSADOS JUNIO CRED 9032</t>
  </si>
  <si>
    <t xml:space="preserve">NB-00001013</t>
  </si>
  <si>
    <t xml:space="preserve">INTERESES CAUSADOS JULIO CRED 0624 JUL</t>
  </si>
  <si>
    <t xml:space="preserve">INTERESES CAUSADOS JULIO CRED 7691 JUL</t>
  </si>
  <si>
    <t xml:space="preserve">INTERESES CAUSADOS JULIO CRED 9032 JUL</t>
  </si>
  <si>
    <t xml:space="preserve">NI-00004743</t>
  </si>
  <si>
    <t xml:space="preserve">REVERSION PROVISION INTERESES CAUSADOS CREDITO  457300607691 (AGO-SEP-OCT-NOV-DIC-ENE) INTERESES 272.300.000</t>
  </si>
  <si>
    <t xml:space="preserve">NI-00004745</t>
  </si>
  <si>
    <t xml:space="preserve">REVERSION PROVISION INTERESES CAUSADOS CREDITO 300569032 (FEB-MER-ABR-MAY-JUN-JUL) INTERESES 206.288.000</t>
  </si>
  <si>
    <t xml:space="preserve">INTERESES CAUSADOS ENERO CRED 0629</t>
  </si>
  <si>
    <t xml:space="preserve">INTERESES CAUSADOS ENERO CRED 7259</t>
  </si>
  <si>
    <t xml:space="preserve">NI-00004151</t>
  </si>
  <si>
    <t xml:space="preserve">REVERSION PROVISION INTERESES CREDITO 858177259 (DIC-ENE-FEB)</t>
  </si>
  <si>
    <t xml:space="preserve">INTERESES CAUSADOS FEBRERO CRED 0629 FEB</t>
  </si>
  <si>
    <t xml:space="preserve">INTERESES CAUSADOS FEBRERO CRED 7259 FEB</t>
  </si>
  <si>
    <t xml:space="preserve">INTERESES CAUSADOS FEBRERO CRED 7469 FEB</t>
  </si>
  <si>
    <t xml:space="preserve">INTERESES CAUSADOS MARZO CRED 0629</t>
  </si>
  <si>
    <t xml:space="preserve">INTERESES CAUSADOS MARZO CRED 7259</t>
  </si>
  <si>
    <t xml:space="preserve">INTERESES CAUSADOS MARZO CRED 7469</t>
  </si>
  <si>
    <t xml:space="preserve">NI-00004260</t>
  </si>
  <si>
    <t xml:space="preserve">REVERSION PROVISION INTERESES CAUSADOS CREDITO 856670629 (ENE-FEB-MER) $56.089.116</t>
  </si>
  <si>
    <t xml:space="preserve">INTERESES CAUSADOS ABRIL CRED 0629</t>
  </si>
  <si>
    <t xml:space="preserve">INTERESES CAUSADOS ABRIL CRED 7259</t>
  </si>
  <si>
    <t xml:space="preserve">INTERESES CAUSADOS ABRIL CRED 7469</t>
  </si>
  <si>
    <t xml:space="preserve">NI-00004402</t>
  </si>
  <si>
    <t xml:space="preserve">REVERSION CREDITO 115297469 TRIMESTRAL (FEB-MAR-ABR) 254.610.556</t>
  </si>
  <si>
    <t xml:space="preserve">INTERESES CAUSADOS MAYO CRED 0629</t>
  </si>
  <si>
    <t xml:space="preserve">INTERESES CAUSADOS MAYO CRED 7259</t>
  </si>
  <si>
    <t xml:space="preserve">INTERESES CAUSADOS MAYO CRED 7469</t>
  </si>
  <si>
    <t xml:space="preserve">NI-00004526</t>
  </si>
  <si>
    <t xml:space="preserve">REVERSION PROVISION INTERESES 858177259 TRIMESTRAL (MAR-ABR-MAY)</t>
  </si>
  <si>
    <t xml:space="preserve">NI-00004662</t>
  </si>
  <si>
    <t xml:space="preserve">REVERSION PROVISION CREDITO 856670629 TRIMESTRAL (ABR-MAY-JUN)</t>
  </si>
  <si>
    <t xml:space="preserve">INTERESES CAUSADOS JUNIO CRED 0629</t>
  </si>
  <si>
    <t xml:space="preserve">INTERESES CAUSADOS JUNIO CRED 7259</t>
  </si>
  <si>
    <t xml:space="preserve">INTERESES CAUSADOS JUNIO CRED 7469</t>
  </si>
  <si>
    <t xml:space="preserve">INTERESES CAUSADOS JULIO CRED 0629 JUL</t>
  </si>
  <si>
    <t xml:space="preserve">INTERESES CAUSADOS JULIO CRED 7259 JUL</t>
  </si>
  <si>
    <t xml:space="preserve">INTERESES CAUSADOS JULIO CRED 7469 JUL</t>
  </si>
  <si>
    <t xml:space="preserve">NI-00004736</t>
  </si>
  <si>
    <t xml:space="preserve">REVERSION PROVISION INTERESES CREDITO 1155297469 INTERESES 299.617.500</t>
  </si>
  <si>
    <t xml:space="preserve">INTERESES CAUSADOS ENERO CRED 9940</t>
  </si>
  <si>
    <t xml:space="preserve">INTERESES CAUSADOS FEBRERO CRED 9940 FEB</t>
  </si>
  <si>
    <t xml:space="preserve">INTERESES CAUSADOS MARZO CRED 9940</t>
  </si>
  <si>
    <t xml:space="preserve">NI-00004261</t>
  </si>
  <si>
    <t xml:space="preserve">REVERSION PROVISION DE INTERESES CREDITO 63130940-2 (ENE-FEB-MER)</t>
  </si>
  <si>
    <t xml:space="preserve">INTERESES CAUSADOS ABRIL CRED 9940</t>
  </si>
  <si>
    <t xml:space="preserve">INTERESES CAUSADOS MAYO CRED 9940</t>
  </si>
  <si>
    <t xml:space="preserve">NI-00004663</t>
  </si>
  <si>
    <t xml:space="preserve">REVERSION PROVISION CREDITO 631309940 TRIMESTRAL (ABR-MAY-JUN)</t>
  </si>
  <si>
    <t xml:space="preserve">INTERESES CAUSADOS JUNIO CRED 9940</t>
  </si>
  <si>
    <t xml:space="preserve">INTERESES CAUSADOS JULIO CRED 9940 JUL</t>
  </si>
  <si>
    <t xml:space="preserve">INTERESES CAUSADOS ENERO CRED 5867</t>
  </si>
  <si>
    <t xml:space="preserve">NIC-00000546</t>
  </si>
  <si>
    <t xml:space="preserve">REVERSION PROVISION CREDITO 1260105867  (NOV-DIC-ENE)</t>
  </si>
  <si>
    <t xml:space="preserve">INTERESES CAUSADOS FEBRERO CRED 5867 FEB</t>
  </si>
  <si>
    <t xml:space="preserve">INTERESES CAUSADOS MARZO CRED 5867</t>
  </si>
  <si>
    <t xml:space="preserve">INTERESES CAUSADOS ABRIL CRED 5867</t>
  </si>
  <si>
    <t xml:space="preserve">NI-00004401</t>
  </si>
  <si>
    <t xml:space="preserve">REVERSION INTERESES CREDITO 1260105867 TRIMESTRAL (FEB-MAR-ABR) 137.225.000</t>
  </si>
  <si>
    <t xml:space="preserve">INTERESES CAUSADOS MAYO CRED 5867</t>
  </si>
  <si>
    <t xml:space="preserve">INTERESES CAUSADOS JUNIO CRED 5867</t>
  </si>
  <si>
    <t xml:space="preserve">INTERESES CAUSADOS JULIO CRED 5867 JUL</t>
  </si>
  <si>
    <t xml:space="preserve">NI-00004746</t>
  </si>
  <si>
    <t xml:space="preserve">REVERSION ROVISION INTERESES CAUSADOS CREDITO 1260105867</t>
  </si>
  <si>
    <t xml:space="preserve">21300102</t>
  </si>
  <si>
    <t xml:space="preserve">Intereses Leasing por Pagar</t>
  </si>
  <si>
    <t xml:space="preserve">INTERESES CAUSADOS ENERO LEAS 1275-3</t>
  </si>
  <si>
    <t xml:space="preserve">DAV-L1021275</t>
  </si>
  <si>
    <t xml:space="preserve">Interés leasing por pagar</t>
  </si>
  <si>
    <t xml:space="preserve">NI-00004064</t>
  </si>
  <si>
    <t xml:space="preserve">REVERSION PROVISION INTERESES LEASING 1021275-3 (NOV-DIC-ENE)</t>
  </si>
  <si>
    <t xml:space="preserve">INTERESES CAUSADOS FEBRERO LEAS 1275-3 FEB</t>
  </si>
  <si>
    <t xml:space="preserve">INTERESES CAUSADOS MARZO LEAS 1275-3</t>
  </si>
  <si>
    <t xml:space="preserve">INTERESES CAUSADOS ABRIL LEAS 1275-3</t>
  </si>
  <si>
    <t xml:space="preserve">NI-00004400</t>
  </si>
  <si>
    <t xml:space="preserve">REVERSION INTERESES CAUSADOS LEASING 3001021275-3 TRIMESTRAL (FEB-MAR-ABR) 55.427.870</t>
  </si>
  <si>
    <t xml:space="preserve">INTERESES CAUSADOS MAYO LEAS 1275-3</t>
  </si>
  <si>
    <t xml:space="preserve">INTERESES CAUSADOS JUNIO LEAS 1275-3</t>
  </si>
  <si>
    <t xml:space="preserve">INTERESES CAUSADOS JULIO LEAS 1275-3 JUL</t>
  </si>
  <si>
    <t xml:space="preserve">NI-00004744</t>
  </si>
  <si>
    <t xml:space="preserve">REVERSION PROVISION INTERESES CAUSADOS LEASING 1021275 (MAY-JUN-JUL)</t>
  </si>
  <si>
    <t xml:space="preserve">INTERESES CAUSADOS ENERO LEAS 5005</t>
  </si>
  <si>
    <t xml:space="preserve">INTERESES CAUSADOS ENERO LEAS 9064</t>
  </si>
  <si>
    <t xml:space="preserve">INTERESES CAUSADOS ENERO LEAS 9117</t>
  </si>
  <si>
    <t xml:space="preserve">INTERESES CAUSADOS ENERO LEAS 9180</t>
  </si>
  <si>
    <t xml:space="preserve">INTERESES CAUSADOS ENERO LEAS 9224</t>
  </si>
  <si>
    <t xml:space="preserve">INTERESES CAUSADOS ENERO LEAS 9288</t>
  </si>
  <si>
    <t xml:space="preserve">NI-00004055</t>
  </si>
  <si>
    <t xml:space="preserve">REVERSION PROVISION INTERESES LEASING 556449288 (NOV-DIC-ENE)</t>
  </si>
  <si>
    <t xml:space="preserve">NI-00004056</t>
  </si>
  <si>
    <t xml:space="preserve">REVERSION PROVISION INTERESES LEASING 557285005 (NOV-DIC-ENE)</t>
  </si>
  <si>
    <t xml:space="preserve">NI-00004057</t>
  </si>
  <si>
    <t xml:space="preserve">REVERSION PROVISION INTERESES LEASING 556449180 (NOV-DIC-ENE)</t>
  </si>
  <si>
    <t xml:space="preserve">NI-00004058</t>
  </si>
  <si>
    <t xml:space="preserve">REVERSION PROVISION INTERESES LEASING 556449224 (NOV-DIC-ENE)</t>
  </si>
  <si>
    <t xml:space="preserve">NI-00004059</t>
  </si>
  <si>
    <t xml:space="preserve">REVERSION PROVISION INTERESES LEASING 556449064 (NOV-DIC-ENE)</t>
  </si>
  <si>
    <t xml:space="preserve">NI-00004060</t>
  </si>
  <si>
    <t xml:space="preserve">REVERSION PROVISION INTERESES LEASING 556449117 (NOV-DIC-ENE)</t>
  </si>
  <si>
    <t xml:space="preserve">INTERESES CAUSADOS FEBRERO LEAS 5005 FEB</t>
  </si>
  <si>
    <t xml:space="preserve">INTERESES CAUSADOS FEBRERO LEAS 9064 FEB</t>
  </si>
  <si>
    <t xml:space="preserve">INTERESES CAUSADOS FEBRERO LEAS 9117 FEB</t>
  </si>
  <si>
    <t xml:space="preserve">INTERESES CAUSADOS FEBRERO LEAS 9180 FEB</t>
  </si>
  <si>
    <t xml:space="preserve">INTERESES CAUSADOS FEBRERO LEAS 9224 FEB</t>
  </si>
  <si>
    <t xml:space="preserve">INTERESES CAUSADOS FEBRERO LEAS 9288 FEB</t>
  </si>
  <si>
    <t xml:space="preserve">INTERESES CAUSADOS MARZO LEAS 5005</t>
  </si>
  <si>
    <t xml:space="preserve">INTERESES CAUSADOS MARZO LEAS 9064</t>
  </si>
  <si>
    <t xml:space="preserve">INTERESES CAUSADOS MARZO LEAS 9117</t>
  </si>
  <si>
    <t xml:space="preserve">INTERESES CAUSADOS MARZO LEAS 9180</t>
  </si>
  <si>
    <t xml:space="preserve">INTERESES CAUSADOS MARZO LEAS 9224</t>
  </si>
  <si>
    <t xml:space="preserve">INTERESES CAUSADOS MARZO LEAS 9288</t>
  </si>
  <si>
    <t xml:space="preserve">INTERESES CAUSADOS ABRIL LEAS 5005</t>
  </si>
  <si>
    <t xml:space="preserve">INTERESES CAUSADOS ABRIL LEAS 9064</t>
  </si>
  <si>
    <t xml:space="preserve">INTERESES CAUSADOS ABRIL LEAS 9117</t>
  </si>
  <si>
    <t xml:space="preserve">INTERESES CAUSADOS ABRIL LEAS 9180</t>
  </si>
  <si>
    <t xml:space="preserve">INTERESES CAUSADOS ABRIL LEAS 9224</t>
  </si>
  <si>
    <t xml:space="preserve">INTERESES CAUSADOS ABRIL LEAS 9288</t>
  </si>
  <si>
    <t xml:space="preserve">NI-00004394</t>
  </si>
  <si>
    <t xml:space="preserve">REVERSION DE INTERESES LEASING 556449117 TRIMESTRAL (FEB-MRZ-ABRI)</t>
  </si>
  <si>
    <t xml:space="preserve">NI-00004395</t>
  </si>
  <si>
    <t xml:space="preserve">REVERSION INTERESES LEASING 556449288 (FEB-MAR-ABR) $13.637.409.12</t>
  </si>
  <si>
    <t xml:space="preserve">NI-00004396</t>
  </si>
  <si>
    <t xml:space="preserve">REVERSION INTERESES LEASING 55728505 (FEB-MAR-ABR) $36.783.056</t>
  </si>
  <si>
    <t xml:space="preserve">NI-00004397</t>
  </si>
  <si>
    <t xml:space="preserve">REVERSION INTERESES LEASING 556449180 (FEB-MAR-ABR) $13.637.409.12</t>
  </si>
  <si>
    <t xml:space="preserve">NI-00004398</t>
  </si>
  <si>
    <t xml:space="preserve">REVERSION INTRESES LEASING 556449224 TRIMESTRAL (FEB-MER-ABR) $13.634.585</t>
  </si>
  <si>
    <t xml:space="preserve">NI-00004399</t>
  </si>
  <si>
    <t xml:space="preserve">REVERSION INTERESE CAUSADOS LEASING 556449064 TRIMESTRAL (FEB-MAR-ABR) $9.564.430</t>
  </si>
  <si>
    <t xml:space="preserve">INTERESES CAUSADOS MAYO LEAS 5005</t>
  </si>
  <si>
    <t xml:space="preserve">INTERESES CAUSADOS MAYO LEAS 9064</t>
  </si>
  <si>
    <t xml:space="preserve">INTERESES CAUSADOS MAYO LEAS 9117</t>
  </si>
  <si>
    <t xml:space="preserve">INTERESES CAUSADOS MAYO LEAS 9180</t>
  </si>
  <si>
    <t xml:space="preserve">INTERESES CAUSADOS MAYO LEAS 9224</t>
  </si>
  <si>
    <t xml:space="preserve">INTERESES CAUSADOS MAYO LEAS 9288</t>
  </si>
  <si>
    <t xml:space="preserve">INTERESES CAUSADOS JUNIO LEAS 5005</t>
  </si>
  <si>
    <t xml:space="preserve">INTERESES CAUSADOS JUNIO LEAS 9064</t>
  </si>
  <si>
    <t xml:space="preserve">INTERESES CAUSADOS JUNIO LEAS 9117</t>
  </si>
  <si>
    <t xml:space="preserve">INTERESES CAUSADOS JUNIO LEAS 9180</t>
  </si>
  <si>
    <t xml:space="preserve">INTERESES CAUSADOS JUNIO LEAS 9224</t>
  </si>
  <si>
    <t xml:space="preserve">INTERESES CAUSADOS JUNIO LEAS 9288</t>
  </si>
  <si>
    <t xml:space="preserve">INTERESES CAUSADOS JULIO LEAS 5005 JUL</t>
  </si>
  <si>
    <t xml:space="preserve">INTERESES CAUSADOS JULIO LEAS 9064 JUL</t>
  </si>
  <si>
    <t xml:space="preserve">INTERESES CAUSADOS JULIO LEAS 9117 JUL</t>
  </si>
  <si>
    <t xml:space="preserve">INTERESES CAUSADOS JULIO LEAS 9180 JUL</t>
  </si>
  <si>
    <t xml:space="preserve">INTERESES CAUSADOS JULIO LEAS 9224 JUL</t>
  </si>
  <si>
    <t xml:space="preserve">INTERESES CAUSADOS JULIO LEAS 9288 JUL</t>
  </si>
  <si>
    <t xml:space="preserve">NI-00004734</t>
  </si>
  <si>
    <t xml:space="preserve">REVERSION PROVISION DE INTERESES CAUSADOS (MAY, JUN,JUL) LEASING 556449117 INTERESES 9.497.274.29</t>
  </si>
  <si>
    <t xml:space="preserve">NI-00004737</t>
  </si>
  <si>
    <t xml:space="preserve">REVERSION PROVISION INTERESES CAUSADOS LEASING 556449064 INTERESES 9.497.274.30</t>
  </si>
  <si>
    <t xml:space="preserve">NI-00004738</t>
  </si>
  <si>
    <t xml:space="preserve">REVERSION PROVISION INTERESES CAUSADOS LEASING 556449224 (MAY-JUN-JUL) INTERESES 14.118.857.98</t>
  </si>
  <si>
    <t xml:space="preserve">NI-00004739</t>
  </si>
  <si>
    <t xml:space="preserve">REVERSION PROVISION INTERESES LEASING 556449180 (MAY-JUN-JUL) INTERESES 14.118.857.99</t>
  </si>
  <si>
    <t xml:space="preserve">NI-00004740</t>
  </si>
  <si>
    <t xml:space="preserve">REVERSION PROVISION INTERESES LEASING 557285005 (MY-JUN-JUL) INTERESES 39.578.631.88</t>
  </si>
  <si>
    <t xml:space="preserve">NI-00004741</t>
  </si>
  <si>
    <t xml:space="preserve">REVERSION PROVISION INTERESES LEASING 556449288 (MAY-JUN-JUL) INTERESES 14.121.779.84</t>
  </si>
  <si>
    <t xml:space="preserve">INTERESES CAUSADOS ENERO LEAS 2095</t>
  </si>
  <si>
    <t xml:space="preserve">INTERESES CAUSADOS FEBRERO LEAS 2095 FEB</t>
  </si>
  <si>
    <t xml:space="preserve">INTERESES CAUSADOS MARZO</t>
  </si>
  <si>
    <t xml:space="preserve">NI-00004262</t>
  </si>
  <si>
    <t xml:space="preserve">CANON 4 CREDITO 362095 TRIMESTRAL (ENE-FEB-MER)</t>
  </si>
  <si>
    <t xml:space="preserve">INTERESES CAUSADOS ABRIL LEAS 2095</t>
  </si>
  <si>
    <t xml:space="preserve">INTERESES CAUSADOS MAYO LEAS 2095</t>
  </si>
  <si>
    <t xml:space="preserve">INTERESES CAUSADOS JUNIO LEAS 2095</t>
  </si>
  <si>
    <t xml:space="preserve">NI-00004667</t>
  </si>
  <si>
    <t xml:space="preserve">REVERSION PROVISION INTERESES CAUSADOS LEASING 362095 TRIMESTRAL (ABR-MAY-JUN)</t>
  </si>
  <si>
    <t xml:space="preserve">INTERESES CAUSADOS JULIO LEAS 2095 JUL</t>
  </si>
  <si>
    <t xml:space="preserve">TOTAL MOVIMIENTO</t>
  </si>
  <si>
    <t xml:space="preserve">Balances de prueba – cuentas 21, 5305 y totales de clase</t>
  </si>
  <si>
    <t xml:space="preserve">Fuentes: Obl_Financieros.xlsx/Hoja1 (emitido 29-sep-2026) y Balance_2026_GUUU.xlsx (emitido 24-ago-2026). Libro NIIF, cifras en pesos; saldos crédito con signo negativo.</t>
  </si>
  <si>
    <t xml:space="preserve">Balance 29-sep-2026 (Obl_Financieros/Hoja1)</t>
  </si>
  <si>
    <t xml:space="preserve">Balance 24-ago-2026 (Balance_2026_GUUU)</t>
  </si>
  <si>
    <t xml:space="preserve">Diferencias (29-sep menos 24-ago)</t>
  </si>
  <si>
    <t xml:space="preserve">Saldo inicial 2026/01</t>
  </si>
  <si>
    <t xml:space="preserve">Débitos</t>
  </si>
  <si>
    <t xml:space="preserve">Créditos</t>
  </si>
  <si>
    <t xml:space="preserve">Saldo final 2026/07</t>
  </si>
  <si>
    <t xml:space="preserve">Dif. SI</t>
  </si>
  <si>
    <t xml:space="preserve">Dif. Déb.</t>
  </si>
  <si>
    <t xml:space="preserve">Dif. Créd.</t>
  </si>
  <si>
    <t xml:space="preserve">Dif. SF</t>
  </si>
  <si>
    <t xml:space="preserve">1</t>
  </si>
  <si>
    <t xml:space="preserve">ACTIVO</t>
  </si>
  <si>
    <t xml:space="preserve">2</t>
  </si>
  <si>
    <t xml:space="preserve">PASIVOS</t>
  </si>
  <si>
    <t xml:space="preserve">3</t>
  </si>
  <si>
    <t xml:space="preserve">PATRIMONIO</t>
  </si>
  <si>
    <t xml:space="preserve">4</t>
  </si>
  <si>
    <t xml:space="preserve">INGRESOS</t>
  </si>
  <si>
    <t xml:space="preserve">5</t>
  </si>
  <si>
    <t xml:space="preserve">GASTOS</t>
  </si>
  <si>
    <t xml:space="preserve">6</t>
  </si>
  <si>
    <t xml:space="preserve">COSTOS DE VENTAS</t>
  </si>
  <si>
    <t xml:space="preserve">7</t>
  </si>
  <si>
    <t xml:space="preserve">COSTO  DE PRODUCCION O DE OPERACION</t>
  </si>
  <si>
    <t xml:space="preserve">21</t>
  </si>
  <si>
    <t xml:space="preserve">OBLIGACIONES FINANCIERAS</t>
  </si>
  <si>
    <t xml:space="preserve">2105</t>
  </si>
  <si>
    <t xml:space="preserve">210501</t>
  </si>
  <si>
    <t xml:space="preserve">Obligaciones Financieras a Corto Plazo</t>
  </si>
  <si>
    <t xml:space="preserve">210502</t>
  </si>
  <si>
    <t xml:space="preserve">Obligaciones Financieras a Largo  Plazo</t>
  </si>
  <si>
    <t xml:space="preserve">2120</t>
  </si>
  <si>
    <t xml:space="preserve">LEASING</t>
  </si>
  <si>
    <t xml:space="preserve">212020</t>
  </si>
  <si>
    <t xml:space="preserve">212021</t>
  </si>
  <si>
    <t xml:space="preserve">Leasing Largo  Plazo</t>
  </si>
  <si>
    <t xml:space="preserve">2130</t>
  </si>
  <si>
    <t xml:space="preserve">INTERESES FINANCIEROS POR PAGAR</t>
  </si>
  <si>
    <t xml:space="preserve">213001</t>
  </si>
  <si>
    <t xml:space="preserve">Intereses Financieros por Pagar</t>
  </si>
  <si>
    <t xml:space="preserve">5305</t>
  </si>
  <si>
    <t xml:space="preserve">FINANCIEROS</t>
  </si>
  <si>
    <t xml:space="preserve">530520</t>
  </si>
  <si>
    <t xml:space="preserve">intereses financieros</t>
  </si>
  <si>
    <t xml:space="preserve">53052001</t>
  </si>
  <si>
    <t xml:space="preserve">Intereses de Sobregiro</t>
  </si>
  <si>
    <t xml:space="preserve">53052002</t>
  </si>
  <si>
    <t xml:space="preserve">Intereses de Mora</t>
  </si>
  <si>
    <t xml:space="preserve">53052010</t>
  </si>
  <si>
    <t xml:space="preserve">Intereses de Leasing Efectivamen Pagados</t>
  </si>
  <si>
    <t xml:space="preserve">53052020</t>
  </si>
  <si>
    <t xml:space="preserve">Intereses Préstamos Efectivamente Pagado</t>
  </si>
  <si>
    <t xml:space="preserve">53052030</t>
  </si>
  <si>
    <t xml:space="preserve">Intereses sobre Préstamos Causados</t>
  </si>
  <si>
    <t xml:space="preserve">53052040</t>
  </si>
  <si>
    <t xml:space="preserve">Intereses Leasing Causados</t>
  </si>
  <si>
    <t xml:space="preserve">Comparación integral de las dos versiones del balance (todas las cuentas):</t>
  </si>
  <si>
    <t xml:space="preserve">Cuentas comparadas</t>
  </si>
  <si>
    <t xml:space="preserve">Cuentas con alguna diferencia (SI, Déb., Créd. o SF)</t>
  </si>
  <si>
    <t xml:space="preserve">Cruce movimiento auxiliar (cuenta 21) vs balance de prueba – Integridad</t>
  </si>
  <si>
    <t xml:space="preserve">SI balance + Débitos movimiento − Créditos movimiento = SF calculado; se compara con SF del balance. Signo: crédito negativo.</t>
  </si>
  <si>
    <t xml:space="preserve">Saldo inicial balance</t>
  </si>
  <si>
    <t xml:space="preserve">Débitos movimiento</t>
  </si>
  <si>
    <t xml:space="preserve">Créditos movimiento</t>
  </si>
  <si>
    <t xml:space="preserve">SF calculado</t>
  </si>
  <si>
    <t xml:space="preserve">SF balance</t>
  </si>
  <si>
    <t xml:space="preserve">Diferencia SF</t>
  </si>
  <si>
    <t xml:space="preserve">Débitos balance</t>
  </si>
  <si>
    <t xml:space="preserve">Dif. débitos</t>
  </si>
  <si>
    <t xml:space="preserve">Créditos balance</t>
  </si>
  <si>
    <t xml:space="preserve">Dif. créditos</t>
  </si>
  <si>
    <t xml:space="preserve">TOTAL CUENTA 21</t>
  </si>
  <si>
    <t xml:space="preserve">Total cuenta 21 según balance (mayor)</t>
  </si>
  <si>
    <t xml:space="preserve">Diferencia suma de auxiliares vs cuenta 21</t>
  </si>
  <si>
    <t xml:space="preserve">B. Integridad del archivo de movimiento ('Gran total' del reporte vs suma de líneas)</t>
  </si>
  <si>
    <t xml:space="preserve">Concepto</t>
  </si>
  <si>
    <t xml:space="preserve">Gran total reporte</t>
  </si>
  <si>
    <t xml:space="preserve">Suma líneas</t>
  </si>
  <si>
    <t xml:space="preserve">Neto</t>
  </si>
  <si>
    <t xml:space="preserve">Nº de líneas del movimiento</t>
  </si>
  <si>
    <t xml:space="preserve">C. Consistencia jerárquica del balance y relación pasivo–gasto</t>
  </si>
  <si>
    <t xml:space="preserve">Comentario</t>
  </si>
  <si>
    <t xml:space="preserve">SF 21 = 2105 + 2120 + 2130</t>
  </si>
  <si>
    <t xml:space="preserve">SF 2105 = 210501 + 210502</t>
  </si>
  <si>
    <t xml:space="preserve">SF 210502 = 21050201 + 21050301 (tarjeta de crédito agrupada en LP)</t>
  </si>
  <si>
    <t xml:space="preserve">Tarjeta de crédito (pasivo corriente) agrupada dentro de 'Obligaciones financieras a largo plazo' – ver hallazgo de clasificación.</t>
  </si>
  <si>
    <t xml:space="preserve">SF 2120 = 21202040 + 21202140</t>
  </si>
  <si>
    <t xml:space="preserve">SF 2130 = 21300101 + 21300102</t>
  </si>
  <si>
    <t xml:space="preserve">Ecuación: Activo + Pasivo + Patrimonio + Resultado (4+5+6+7) = 0</t>
  </si>
  <si>
    <t xml:space="preserve">Resultado del periodo ene–jul incluido vía clases 4 a 7.</t>
  </si>
  <si>
    <t xml:space="preserve">Intereses OF por pagar (21300101) = gasto causado neto (53052030)</t>
  </si>
  <si>
    <t xml:space="preserve">El cliente reversa la causación al pagar y lleva el pago a 53052020; el saldo de 53052030 debe igualar el pasivo.</t>
  </si>
  <si>
    <t xml:space="preserve">Intereses leasing por pagar (21300102) = gasto causado neto (53052040)</t>
  </si>
  <si>
    <t xml:space="preserve">SI 21300101 = créditos 53052020 (reclasificación apertura)</t>
  </si>
  <si>
    <t xml:space="preserve">Asiento de apertura: Db 53052030 / Cr 53052020 por el saldo inicial causado.</t>
  </si>
  <si>
    <t xml:space="preserve">SI 21300102 = créditos 53052010 (reclasificación apertura)</t>
  </si>
  <si>
    <t xml:space="preserve">D. Comparación de versiones del balance</t>
  </si>
  <si>
    <t xml:space="preserve">Cuentas con diferencias entre balance 24-ago y 29-sep</t>
  </si>
  <si>
    <t xml:space="preserve">Detalle de obligaciones financieras del cliente (papel 62) a 31-jul-2026 – recálculo</t>
  </si>
  <si>
    <t xml:space="preserve">Fuente: 62._Obligaciones_Financieras.xlsx. Columnas A–Q: datos del cliente (azul). Columnas R en adelante: recálculo de auditoría.</t>
  </si>
  <si>
    <t xml:space="preserve">Tasas de referencia 31-jul-26 (cliente)</t>
  </si>
  <si>
    <t xml:space="preserve">IBR</t>
  </si>
  <si>
    <t xml:space="preserve">IBR 3 MESES</t>
  </si>
  <si>
    <t xml:space="preserve">IBR 6 MESES</t>
  </si>
  <si>
    <t xml:space="preserve">DTF</t>
  </si>
  <si>
    <t xml:space="preserve">SOFR</t>
  </si>
  <si>
    <t xml:space="preserve">TRM</t>
  </si>
  <si>
    <t xml:space="preserve">Banco</t>
  </si>
  <si>
    <t xml:space="preserve">Nº obligación (cliente)</t>
  </si>
  <si>
    <t xml:space="preserve">ID auditoría</t>
  </si>
  <si>
    <t xml:space="preserve">Tipo</t>
  </si>
  <si>
    <t xml:space="preserve">Saldo deuda jul-26</t>
  </si>
  <si>
    <t xml:space="preserve">% deuda (cliente)</t>
  </si>
  <si>
    <t xml:space="preserve">Tipo tasa</t>
  </si>
  <si>
    <t xml:space="preserve">Puntos adic.</t>
  </si>
  <si>
    <t xml:space="preserve">Tasa EA cliente</t>
  </si>
  <si>
    <t xml:space="preserve">Veces año</t>
  </si>
  <si>
    <t xml:space="preserve">Tipo pago</t>
  </si>
  <si>
    <t xml:space="preserve">Corto plazo (cliente)</t>
  </si>
  <si>
    <t xml:space="preserve">Largo plazo (cliente)</t>
  </si>
  <si>
    <t xml:space="preserve">Cuotas rest.</t>
  </si>
  <si>
    <t xml:space="preserve">Vencimiento</t>
  </si>
  <si>
    <t xml:space="preserve">Tasa pond. cliente</t>
  </si>
  <si>
    <t xml:space="preserve">Índice aplicado</t>
  </si>
  <si>
    <t xml:space="preserve">Tasa EA recalculada</t>
  </si>
  <si>
    <t xml:space="preserve">Dif. EA (pb)</t>
  </si>
  <si>
    <t xml:space="preserve">CP + LP − Saldo</t>
  </si>
  <si>
    <t xml:space="preserve">Estado CP/LP</t>
  </si>
  <si>
    <t xml:space="preserve">CP corregido</t>
  </si>
  <si>
    <t xml:space="preserve">LP corregido</t>
  </si>
  <si>
    <t xml:space="preserve">% deuda recalc.</t>
  </si>
  <si>
    <t xml:space="preserve">BANCO DAVIVIENDA</t>
  </si>
  <si>
    <t xml:space="preserve">LEASING 1019441</t>
  </si>
  <si>
    <t xml:space="preserve">Leasing</t>
  </si>
  <si>
    <t xml:space="preserve">CAMION LZT 927</t>
  </si>
  <si>
    <t xml:space="preserve">MENSUAL</t>
  </si>
  <si>
    <t xml:space="preserve">LEASING 1019448</t>
  </si>
  <si>
    <t xml:space="preserve">CAMION LZT 926</t>
  </si>
  <si>
    <t xml:space="preserve">LEASING 10212753</t>
  </si>
  <si>
    <t xml:space="preserve">CALDERAS-SISTEMA DE ALIMENTACION BIOMASA</t>
  </si>
  <si>
    <t xml:space="preserve">TRIMESTRAL</t>
  </si>
  <si>
    <t xml:space="preserve">CRED TESORERIA</t>
  </si>
  <si>
    <t xml:space="preserve">SEMESTRAL</t>
  </si>
  <si>
    <t xml:space="preserve">457300830624</t>
  </si>
  <si>
    <t xml:space="preserve">457300607691</t>
  </si>
  <si>
    <t xml:space="preserve">453436746</t>
  </si>
  <si>
    <t xml:space="preserve">856670629</t>
  </si>
  <si>
    <t xml:space="preserve">858177259</t>
  </si>
  <si>
    <t xml:space="preserve">LEASING 556449224</t>
  </si>
  <si>
    <t xml:space="preserve">POZO # 1</t>
  </si>
  <si>
    <t xml:space="preserve">LEASING 556449180</t>
  </si>
  <si>
    <t xml:space="preserve">POZO # 2</t>
  </si>
  <si>
    <t xml:space="preserve">LEASING 556449117</t>
  </si>
  <si>
    <t xml:space="preserve">POZO # 3</t>
  </si>
  <si>
    <t xml:space="preserve">LEASING 556449064</t>
  </si>
  <si>
    <t xml:space="preserve">POZO # 4</t>
  </si>
  <si>
    <t xml:space="preserve">LEASING 556449288</t>
  </si>
  <si>
    <t xml:space="preserve">POZO # 5</t>
  </si>
  <si>
    <t xml:space="preserve">LEASING 557285005</t>
  </si>
  <si>
    <t xml:space="preserve">PLANTA ELECTRICA JENBACHER</t>
  </si>
  <si>
    <t xml:space="preserve">BANCO POPULAR</t>
  </si>
  <si>
    <t xml:space="preserve">631309940-2</t>
  </si>
  <si>
    <t xml:space="preserve">BBVA</t>
  </si>
  <si>
    <t xml:space="preserve">IBR 6 MESES/tri INT</t>
  </si>
  <si>
    <t xml:space="preserve">CAPITAL DE TRABAJO</t>
  </si>
  <si>
    <t xml:space="preserve">LEASING 362095</t>
  </si>
  <si>
    <t xml:space="preserve">EXCAVADORA PC130-8 KOMATSU</t>
  </si>
  <si>
    <t xml:space="preserve">LEASING 336817</t>
  </si>
  <si>
    <t xml:space="preserve">TURBINA - TURBOKRAFT </t>
  </si>
  <si>
    <t xml:space="preserve">LEASING 331330</t>
  </si>
  <si>
    <t xml:space="preserve">PLANTA ELECTRICA CATERPILLAR C32-910</t>
  </si>
  <si>
    <t xml:space="preserve">TOTAL OBLIGACIONES (recalculado)</t>
  </si>
  <si>
    <t xml:space="preserve">Total obligaciones según cliente</t>
  </si>
  <si>
    <t xml:space="preserve">Diferencia (recalculado − cliente)</t>
  </si>
  <si>
    <t xml:space="preserve">Subtotales por banco – recálculo vs cliente</t>
  </si>
  <si>
    <t xml:space="preserve">Subtotal recalculado</t>
  </si>
  <si>
    <t xml:space="preserve">Subtotal cliente</t>
  </si>
  <si>
    <t xml:space="preserve">Tasa pond. recalc.</t>
  </si>
  <si>
    <t xml:space="preserve">Dif. (pb)</t>
  </si>
  <si>
    <t xml:space="preserve">Tasa EA promedio ponderada total (cliente)</t>
  </si>
  <si>
    <t xml:space="preserve">Tasa EA promedio ponderada total (recalculada)</t>
  </si>
  <si>
    <t xml:space="preserve">Nota: la tasa EA recalculada usa la convención del cliente (1 + (índice + puntos)/n)^n − 1 con n = 'Veces año'. Diferencias indican que el cliente usó una periodicidad distinta a la declarada.</t>
  </si>
  <si>
    <t xml:space="preserve">Cruce detalle 62 vs certificados / extractos bancarios (PDF adjunto)</t>
  </si>
  <si>
    <t xml:space="preserve">Fuente: ilovepdf_merged_1.pdf (25 págs.). Las págs. 3, 5, 7, 9, 11, 15, 23 y 25 son anexos/instructivos sin cifras. Capital banco 31-jul = capital certificado − abonos a capital entre corte y 31-jul.</t>
  </si>
  <si>
    <t xml:space="preserve">#</t>
  </si>
  <si>
    <t xml:space="preserve">Pág. PDF</t>
  </si>
  <si>
    <t xml:space="preserve">Obligación (certificado)</t>
  </si>
  <si>
    <t xml:space="preserve">Fecha corte</t>
  </si>
  <si>
    <t xml:space="preserve">Capital s/certificado</t>
  </si>
  <si>
    <t xml:space="preserve">Abonos capital posteriores al corte (≤31-jul)</t>
  </si>
  <si>
    <t xml:space="preserve">Capital banco 31-jul-26</t>
  </si>
  <si>
    <t xml:space="preserve">Saldo detalle 62</t>
  </si>
  <si>
    <t xml:space="preserve">Diferencia detalle − banco</t>
  </si>
  <si>
    <t xml:space="preserve">Tasa EA certificado</t>
  </si>
  <si>
    <t xml:space="preserve">Tasa EA detalle</t>
  </si>
  <si>
    <t xml:space="preserve">Venc. certificado</t>
  </si>
  <si>
    <t xml:space="preserve">Venc. detalle</t>
  </si>
  <si>
    <t xml:space="preserve">¿Venc. coincide?</t>
  </si>
  <si>
    <t xml:space="preserve">Observaciones</t>
  </si>
  <si>
    <t xml:space="preserve">Davivienda</t>
  </si>
  <si>
    <t xml:space="preserve">7000457300830624</t>
  </si>
  <si>
    <t xml:space="preserve">Extracto crédito corporativo</t>
  </si>
  <si>
    <t xml:space="preserve">Saldo anterior 21-sep-25 $7.499.998.630,82 − abono capital 21-mar-26 $127,57. Próximo pago 21-sep-26 sólo intereses $565.738.188,80 (IBR semestral + 3,00).</t>
  </si>
  <si>
    <t xml:space="preserve">Banco de Bogotá</t>
  </si>
  <si>
    <t xml:space="preserve">00856670629</t>
  </si>
  <si>
    <t xml:space="preserve">Extracto Sustitución Finagro</t>
  </si>
  <si>
    <t xml:space="preserve">Cuota 12 (21-jun-26): capital $182.166.667 + intereses $59.390.887,23. Valor aprobado $2.186 MM, plazo 60 meses.</t>
  </si>
  <si>
    <t xml:space="preserve">Bancolombia</t>
  </si>
  <si>
    <t xml:space="preserve">01260105867</t>
  </si>
  <si>
    <t xml:space="preserve">Detalle del crédito (Sucursal Virtual)</t>
  </si>
  <si>
    <t xml:space="preserve">Capital vigente al 11-ago-26; sin abonos entre 31-jul y 11-ago. Intereses corrientes causados $24.607.407; próximo pago 22-oct-26. IBR + 1,5.</t>
  </si>
  <si>
    <t xml:space="preserve">00453436746</t>
  </si>
  <si>
    <t xml:space="preserve">Extracto Ordinaria Comercial</t>
  </si>
  <si>
    <t xml:space="preserve">Cuota 100 (17-jul-26): capital $62.500.000 + intereses $38.894.999,71. Aprobado $7.500 MM, plazo 146 meses.</t>
  </si>
  <si>
    <t xml:space="preserve">00858177259</t>
  </si>
  <si>
    <t xml:space="preserve">Corte 31-jul-26 (fecha de auditoría). Próxima cuota 25-ago-26: capital $125.000.000 + intereses $45.166.249,86.</t>
  </si>
  <si>
    <t xml:space="preserve">01155297469 → prorrogado 1159383796</t>
  </si>
  <si>
    <t xml:space="preserve">Cuota 2 (14-jul-26) por $10.299.617.737,55 incluye capital $10.000 MM. Contabilidad registra prórroga (NB-1016, 29-jul) al crédito 1159383796 – sin certificado del nuevo crédito.</t>
  </si>
  <si>
    <t xml:space="preserve">7000457300607691</t>
  </si>
  <si>
    <t xml:space="preserve">Pago 28-jul-26 de $272.300.000 vs intereses facturados $272.299.382,05: excedente $617,95 se aplica a capital.</t>
  </si>
  <si>
    <t xml:space="preserve">7000457300569032</t>
  </si>
  <si>
    <t xml:space="preserve">Pago 28-jul-26 de $206.288.000 vs intereses facturados $206.287.213,20: excedente $786,80 se aplica a capital.</t>
  </si>
  <si>
    <t xml:space="preserve">Davivienda Leasing</t>
  </si>
  <si>
    <t xml:space="preserve">000030001021275-3</t>
  </si>
  <si>
    <t xml:space="preserve">Factura leasing</t>
  </si>
  <si>
    <t xml:space="preserve">Canon 006 (23-jul-26) sólo intereses $64.041.851; 16 cuotas pactadas. El extracto NO informa saldo de capital → ver saldo implícito en Recalculo_Intereses.</t>
  </si>
  <si>
    <t xml:space="preserve">Banco de Bogotá Leasing</t>
  </si>
  <si>
    <t xml:space="preserve">00557285005</t>
  </si>
  <si>
    <t xml:space="preserve">Estado de cuenta leasing</t>
  </si>
  <si>
    <t xml:space="preserve">Saldo capital tras pago 22-abr-26; canon 22-jul-26 capital $62.866.117,12 / costo financiero $39.578.631,88. Opción de compra $16.220.758.</t>
  </si>
  <si>
    <t xml:space="preserve">00556449064</t>
  </si>
  <si>
    <t xml:space="preserve">Saldo tras pago 27-abr-26; canon 27-jul-26 capital $26.602.533,70 / costo financiero $9.497.274,30. DTF.</t>
  </si>
  <si>
    <t xml:space="preserve">00556449117</t>
  </si>
  <si>
    <t xml:space="preserve">Saldo tras pago 27-abr-26; canon 27-jul-26 capital $26.602.533,71 / costo financiero $9.497.274,29. DTF.</t>
  </si>
  <si>
    <t xml:space="preserve">00556449180</t>
  </si>
  <si>
    <t xml:space="preserve">Saldo tras pago 23-abr-26; canon 23-jul-26 capital $21.538.319,01 / costo financiero $14.118.857,99. DTF.</t>
  </si>
  <si>
    <t xml:space="preserve">00556449224</t>
  </si>
  <si>
    <t xml:space="preserve">Saldo tras pago 23-abr-26; canon 23-jul-26 capital $21.538.319,02 / costo financiero $14.118.857,98. DTF.</t>
  </si>
  <si>
    <t xml:space="preserve">00556449288</t>
  </si>
  <si>
    <t xml:space="preserve">Saldo tras pago 20-abr-26; canon 20-jul-26 capital $21.542.838,16 / costo financiero $14.121.779,84. DTF.</t>
  </si>
  <si>
    <t xml:space="preserve">000030001019441-2</t>
  </si>
  <si>
    <t xml:space="preserve">Canon 033 (13-jul-26): capital $12.327.298, intereses $5.062.372, seguro $1.263.646. Último pago 11-jun-26 canon 032 $1.029.562 (sólo intereses). Sin saldo de capital.</t>
  </si>
  <si>
    <t xml:space="preserve">000030001019448-3</t>
  </si>
  <si>
    <t xml:space="preserve">Canon 031 (6-jul-26): capital $8.867.342, intereses $4.177.893. Último pago 5-jun-26 canon 030: capital $8.901.235, intereses $4.402.982. Sin saldo de capital.</t>
  </si>
  <si>
    <t xml:space="preserve">TOTAL obligaciones con saldo certificado</t>
  </si>
  <si>
    <t xml:space="preserve">Diferencia detalle − banco: leasings Banco de Bogotá</t>
  </si>
  <si>
    <t xml:space="preserve">Diferencia detalle − banco: créditos (redondeos)</t>
  </si>
  <si>
    <t xml:space="preserve">B. Cobertura de confirmación – obligaciones del detalle 62 SIN certificado/extracto en el PDF</t>
  </si>
  <si>
    <t xml:space="preserve">Obligación</t>
  </si>
  <si>
    <t xml:space="preserve">252059</t>
  </si>
  <si>
    <t xml:space="preserve">Leasing 386735 (no está en detalle 62)</t>
  </si>
  <si>
    <t xml:space="preserve">Total sin certificado (detalle 62)</t>
  </si>
  <si>
    <t xml:space="preserve">% del saldo del detalle 62 cubierto con certificado/extracto</t>
  </si>
  <si>
    <t xml:space="preserve">C. Cruce de pagos/intereses según certificado vs registro contable (comprobantes del mayor)</t>
  </si>
  <si>
    <t xml:space="preserve">Documento contable</t>
  </si>
  <si>
    <t xml:space="preserve">Valor s/certificado</t>
  </si>
  <si>
    <t xml:space="preserve">Valor s/contabilidad</t>
  </si>
  <si>
    <t xml:space="preserve">Pago 21-mar-26 total aplicado (int. 445.207.872,43 + cap. 127,57)</t>
  </si>
  <si>
    <t xml:space="preserve">El cliente reversa el total como interés; los $127,57 abonados a capital no se registran.</t>
  </si>
  <si>
    <t xml:space="preserve">Pago 28-ene-26 total aplicado (int. 243.932.730,53 + cap. 269,47)</t>
  </si>
  <si>
    <t xml:space="preserve">Capital $269,47 no registrado.</t>
  </si>
  <si>
    <t xml:space="preserve">Pago 28-ene-26 total aplicado (int. 184.797.372,21 + cap. 627,79)</t>
  </si>
  <si>
    <t xml:space="preserve">Capital $627,79 no registrado.</t>
  </si>
  <si>
    <t xml:space="preserve">Intereses 28-ene a 28-jul-26 facturados</t>
  </si>
  <si>
    <t xml:space="preserve">Contabilidad reversa $272.300.000 (pago redondeado); $617,95 corresponden a capital.</t>
  </si>
  <si>
    <t xml:space="preserve">Contabilidad reversa $206.288.000; $786,80 corresponden a capital.</t>
  </si>
  <si>
    <t xml:space="preserve">Cuota 11 – capital</t>
  </si>
  <si>
    <t xml:space="preserve">Diferencia de redondeo del banco.</t>
  </si>
  <si>
    <t xml:space="preserve">Cuota 11 – intereses</t>
  </si>
  <si>
    <t xml:space="preserve">Cuota 12 – capital</t>
  </si>
  <si>
    <t xml:space="preserve">Cuota 12 – intereses</t>
  </si>
  <si>
    <t xml:space="preserve">Cuota 99 – capital</t>
  </si>
  <si>
    <t xml:space="preserve">Cuota 100 – capital</t>
  </si>
  <si>
    <t xml:space="preserve">Intereses cuota 100 $38.894.999,71 coinciden con la descripción del CL-422 (gasto directo 53052020).</t>
  </si>
  <si>
    <t xml:space="preserve">Cuota mayo – capital</t>
  </si>
  <si>
    <t xml:space="preserve">Cuota mayo – intereses</t>
  </si>
  <si>
    <t xml:space="preserve">Crédito 1155297469 – intereses cuota 1</t>
  </si>
  <si>
    <t xml:space="preserve">Crédito 1155297469 – intereses cuota 2 (14-jul)</t>
  </si>
  <si>
    <t xml:space="preserve">Canon abr – capital</t>
  </si>
  <si>
    <t xml:space="preserve">Canon abr – costo financiero</t>
  </si>
  <si>
    <t xml:space="preserve">Canon jul – capital</t>
  </si>
  <si>
    <t xml:space="preserve">Canon jul – costo financiero</t>
  </si>
  <si>
    <t xml:space="preserve">La descripción del CL-393 indica 'CAPITAL 34.950.056' (valor total del canon) – error de glosa.</t>
  </si>
  <si>
    <t xml:space="preserve">Canon 005 (23-abr) – intereses</t>
  </si>
  <si>
    <t xml:space="preserve">Canon 006 (23-jul) – intereses</t>
  </si>
  <si>
    <t xml:space="preserve">Canon 030 (5-jun) – capital</t>
  </si>
  <si>
    <t xml:space="preserve">Canon 031 (6-jul) – capital</t>
  </si>
  <si>
    <t xml:space="preserve">Canon 032 (11-jun) – capital</t>
  </si>
  <si>
    <t xml:space="preserve">El banco reporta el canon 032 pagado el 11-jun por $1.029.562 sólo intereses (capital 0); contabilidad registró capital $11.973.677. Verificar aplicación del pago.</t>
  </si>
  <si>
    <t xml:space="preserve">Canon 033 (13-jul) – capital</t>
  </si>
  <si>
    <t xml:space="preserve">TOTAL</t>
  </si>
  <si>
    <t xml:space="preserve">Cruce detalle 62 vs mayor (cuentas 2105 y 2120) – Integridad y exactitud</t>
  </si>
  <si>
    <t xml:space="preserve">Saldos del mayor tomados del balance con signo invertido (pasivo positivo). Movimientos de capital por obligación desde Mayor_Mov.</t>
  </si>
  <si>
    <t xml:space="preserve">A. Totales</t>
  </si>
  <si>
    <t xml:space="preserve">Cuentas mayor</t>
  </si>
  <si>
    <t xml:space="preserve">Saldo mayor 31-jul</t>
  </si>
  <si>
    <t xml:space="preserve">Diferencia (mayor − detalle)</t>
  </si>
  <si>
    <t xml:space="preserve">Créditos (capital)</t>
  </si>
  <si>
    <t xml:space="preserve">21050100 + 21050201</t>
  </si>
  <si>
    <t xml:space="preserve">Leasing financiero (capital)</t>
  </si>
  <si>
    <t xml:space="preserve">21202040 + 21202140</t>
  </si>
  <si>
    <t xml:space="preserve">Comprobación: total detalle = 'Total Obligaciones' del cliente</t>
  </si>
  <si>
    <t xml:space="preserve">Tarjetas de crédito (21050301) e intereses por pagar (2130) no forman parte del detalle 62.</t>
  </si>
  <si>
    <t xml:space="preserve">B. Explicación de la diferencia en leasing (mayor − detalle)</t>
  </si>
  <si>
    <t xml:space="preserve">Partida</t>
  </si>
  <si>
    <t xml:space="preserve">Valor</t>
  </si>
  <si>
    <t xml:space="preserve">Soporte</t>
  </si>
  <si>
    <t xml:space="preserve">1. Leasing Bancolombia 386735 (camión VW Constellation) registrado en mayor el 28-jul-26 y omitido en el detalle 62</t>
  </si>
  <si>
    <t xml:space="preserve">NB-00001014: Cr 21202040 $572.363.196 + Cr 21202140 $103.474.304.</t>
  </si>
  <si>
    <t xml:space="preserve">2. Leasings Banco de Bogotá: saldo según extractos mayor que el detalle 62 (detalle desactualizado)</t>
  </si>
  <si>
    <t xml:space="preserve">Hoja Certificados, sección A (6 contratos).</t>
  </si>
  <si>
    <t xml:space="preserve">3. Diferencia residual no explicada – leasings Davivienda y Bancolombia sin extracto de saldo</t>
  </si>
  <si>
    <t xml:space="preserve">Requiere certificados de saldo de los contratos 1019441, 1019448, 1021275 (Davivienda) y 362095, 336817, 331330 (Bancolombia).</t>
  </si>
  <si>
    <t xml:space="preserve">Total diferencia leasing</t>
  </si>
  <si>
    <t xml:space="preserve">C. Roll-forward de capital por obligación (detalle 62 + movimiento ene–jul) → saldo inicial implícito al 1-ene-26</t>
  </si>
  <si>
    <t xml:space="preserve">Saldo detalle 62 (31-jul)</t>
  </si>
  <si>
    <t xml:space="preserve">Pagos de capital (débitos)</t>
  </si>
  <si>
    <t xml:space="preserve">Desembolsos / renovaciones (créditos)</t>
  </si>
  <si>
    <t xml:space="preserve">Saldo inicial implícito 1-ene</t>
  </si>
  <si>
    <t xml:space="preserve">En detalle 62?</t>
  </si>
  <si>
    <t xml:space="preserve">Incluye el crédito 1155297469 (desembolso 28-ene) y su prórroga al 1159383796 (29-jul).</t>
  </si>
  <si>
    <t xml:space="preserve">Renovación 30-jun-26 (CE-35090) a la par. El detalle 62 lo identifica como 252059; el mayor como 9600290141/0141 (y 4476 en ene–mar).</t>
  </si>
  <si>
    <t xml:space="preserve">Mayor glosa '12660105867' (error de digitación).</t>
  </si>
  <si>
    <t xml:space="preserve">Crédito Davivienda $10.000 MM cancelado el 28-ene-26 con el crédito Bogotá 1155297469 (refinanciación con otro banco: baja en cuentas NIIF 9.3.3.1).</t>
  </si>
  <si>
    <t xml:space="preserve">Leasing nuevo 28-jul-26 no incluido en el detalle 62 → saldo inicial implícito negativo = omisión.</t>
  </si>
  <si>
    <t xml:space="preserve">N/A</t>
  </si>
  <si>
    <t xml:space="preserve">Comisiones Valley Trading registradas y reclasificadas en 21202040 (neto 0). Partida ajena a obligaciones.</t>
  </si>
  <si>
    <t xml:space="preserve">NI-4731 'cruce anticipo calderas' en 21202140 Davivienda (neto 0). Partida ajena a obligaciones.</t>
  </si>
  <si>
    <t xml:space="preserve">Total Crédito</t>
  </si>
  <si>
    <t xml:space="preserve">Mayor Crédito (SI / Déb / Créd / —)</t>
  </si>
  <si>
    <t xml:space="preserve">Diferencia Crédito (detalle implícito − mayor)</t>
  </si>
  <si>
    <t xml:space="preserve">Total Leasing</t>
  </si>
  <si>
    <t xml:space="preserve">Mayor Leasing (SI / Déb / Créd / —)</t>
  </si>
  <si>
    <t xml:space="preserve">Diferencia Leasing (detalle implícito − mayor)</t>
  </si>
  <si>
    <t xml:space="preserve">Recálculo de intereses (NIIF 9 – costo amortizado, método del interés efectivo)</t>
  </si>
  <si>
    <t xml:space="preserve">Interés = Capital × ((1 + EA)^(días/base) − 1). Las fechas y tasas en azul provienen del certificado o del detalle 62 (ver columna 'Fuente').</t>
  </si>
  <si>
    <t xml:space="preserve">Parte 1. Recálculo de intereses liquidados por el banco (prueba de exactitud de la liquidación bancaria)</t>
  </si>
  <si>
    <t xml:space="preserve">Periodo / concepto</t>
  </si>
  <si>
    <t xml:space="preserve">Capital base</t>
  </si>
  <si>
    <t xml:space="preserve">Tasa EA</t>
  </si>
  <si>
    <t xml:space="preserve">Desde</t>
  </si>
  <si>
    <t xml:space="preserve">Hasta</t>
  </si>
  <si>
    <t xml:space="preserve">Días</t>
  </si>
  <si>
    <t xml:space="preserve">Recalc. base 365</t>
  </si>
  <si>
    <t xml:space="preserve">Recalc. base 360</t>
  </si>
  <si>
    <t xml:space="preserve">Interés banco</t>
  </si>
  <si>
    <t xml:space="preserve">Dif. mínima (recalc − banco)</t>
  </si>
  <si>
    <t xml:space="preserve">% dif.</t>
  </si>
  <si>
    <t xml:space="preserve">EA implícita (365)</t>
  </si>
  <si>
    <t xml:space="preserve">Intereses 21-mar a 21-sep-26 (próximo pago)</t>
  </si>
  <si>
    <t xml:space="preserve">Intereses 28-ene a 28-jul-26</t>
  </si>
  <si>
    <t xml:space="preserve">La tasa 'cobrada' de 12,58% EA del extracto no reconcilia con el interés facturado; la tasa implícita (~14,4% EA) es coherente con IBR 10,69% + 3,40 pts. Confirmar con Davivienda.</t>
  </si>
  <si>
    <t xml:space="preserve">Igual situación que 607691.</t>
  </si>
  <si>
    <t xml:space="preserve">Cuota 12: 21-mar a 21-jun-26</t>
  </si>
  <si>
    <t xml:space="preserve">Finagro: el banco liquida en base 360.</t>
  </si>
  <si>
    <t xml:space="preserve">Próxima cuota: 25-may a 25-ago-26</t>
  </si>
  <si>
    <t xml:space="preserve">Finagro: base 360.</t>
  </si>
  <si>
    <t xml:space="preserve">Cuota 100: 17-jun a 17-jul-26</t>
  </si>
  <si>
    <t xml:space="preserve">Ordinaria comercial: base 365.</t>
  </si>
  <si>
    <t xml:space="preserve">Crédito 1155297469 cuota 2: 14-abr a 14-jul-26</t>
  </si>
  <si>
    <t xml:space="preserve">Intereses causados 22-jul a 11-ago-26</t>
  </si>
  <si>
    <t xml:space="preserve">Canon jul: 22-abr a 22-jul-26</t>
  </si>
  <si>
    <t xml:space="preserve">Canon jul: 27-abr a 27-jul-26</t>
  </si>
  <si>
    <t xml:space="preserve">Canon jul: 23-abr a 23-jul-26</t>
  </si>
  <si>
    <t xml:space="preserve">Canon jul: 20-abr a 20-jul-26</t>
  </si>
  <si>
    <t xml:space="preserve">Parte 2. Causación de intereses al 31-jul-2026 – recálculo vs registrado en 2130 (prueba de corte y valuación)</t>
  </si>
  <si>
    <t xml:space="preserve">Fuente capital / tasa</t>
  </si>
  <si>
    <t xml:space="preserve">Capital 31-jul</t>
  </si>
  <si>
    <t xml:space="preserve">Inicio causación (último pago)</t>
  </si>
  <si>
    <t xml:space="preserve">Base días</t>
  </si>
  <si>
    <t xml:space="preserve">Interés causado recalculado</t>
  </si>
  <si>
    <t xml:space="preserve">Causado s/mayor (2130)</t>
  </si>
  <si>
    <t xml:space="preserve">No registrado (recalc − mayor)</t>
  </si>
  <si>
    <t xml:space="preserve">Cuenta 2130</t>
  </si>
  <si>
    <t xml:space="preserve">Último pago s/mayor</t>
  </si>
  <si>
    <t xml:space="preserve">Certificado</t>
  </si>
  <si>
    <t xml:space="preserve">Interés semestral vencido; el cliente causa cifras fijas mensuales hasta el día ~24 → subcausación.</t>
  </si>
  <si>
    <t xml:space="preserve">Cert. / tasa detalle 62</t>
  </si>
  <si>
    <t xml:space="preserve">3 días del nuevo semestre. Tasa del nuevo periodo no certificada: se usa la del detalle 62.</t>
  </si>
  <si>
    <t xml:space="preserve">Ídem.</t>
  </si>
  <si>
    <t xml:space="preserve">Detalle 62 (sin certificado)</t>
  </si>
  <si>
    <t xml:space="preserve">Renovado 30-jun-26 con intereses mensuales: no hay causación de julio en 2130. Verificar si el interés de julio se pagó y llevó a 53052020; si no, debe causarse.</t>
  </si>
  <si>
    <t xml:space="preserve">Crédito mensual: el cliente no causa entre cuotas (gasto al pago).</t>
  </si>
  <si>
    <t xml:space="preserve">Finagro, base 360.</t>
  </si>
  <si>
    <t xml:space="preserve">Cert. 1155297469 / tasa detalle</t>
  </si>
  <si>
    <t xml:space="preserve">Inicio estimado 22-jul (vencimiento 22-ene-27, 6 meses, según detalle 62). Sin certificado del nuevo crédito; confirmar si hubo intereses 14 a 22-jul.</t>
  </si>
  <si>
    <t xml:space="preserve">Inicio estimado 17-jun (cuotas trimestrales al 17; vence 17-dic-26). Pago registrado 30-jun con intereses de mora $54.242.</t>
  </si>
  <si>
    <t xml:space="preserve">El banco certifica $24.607.407 causados del 22-jul al 11-ago (ver Parte 1).</t>
  </si>
  <si>
    <t xml:space="preserve">Detalle 62 / tasa extracto</t>
  </si>
  <si>
    <t xml:space="preserve">Inicio según periodo 'ABR-MAY-JUN' del CL-414. Confirmar fechas de canon con Bancolombia (vencimientos al día 14).</t>
  </si>
  <si>
    <t xml:space="preserve">Inicio = fecha del último canon registrado (CL-421).</t>
  </si>
  <si>
    <t xml:space="preserve">Inicio = fecha del último canon registrado (CL-420).</t>
  </si>
  <si>
    <t xml:space="preserve">Mayor (no está en detalle 62)</t>
  </si>
  <si>
    <t xml:space="preserve">IBR TV + 1,35 según glosa NB-1014.</t>
  </si>
  <si>
    <t xml:space="preserve">  de los cuales créditos (21300101)</t>
  </si>
  <si>
    <t xml:space="preserve">  de los cuales leasing (21300102)</t>
  </si>
  <si>
    <t xml:space="preserve">Saldo 2130 según balance</t>
  </si>
  <si>
    <t xml:space="preserve">Diferencia causado por obligación vs balance 2130</t>
  </si>
  <si>
    <t xml:space="preserve">Redondeos de reversiones (p.ej. 556449288 $0,16).</t>
  </si>
  <si>
    <t xml:space="preserve">Parte 3. Saldo de capital implícito – leasings Davivienda sin saldo en el extracto</t>
  </si>
  <si>
    <t xml:space="preserve">Canon</t>
  </si>
  <si>
    <t xml:space="preserve">Interés del canon</t>
  </si>
  <si>
    <t xml:space="preserve">Capital implícito antes del canon</t>
  </si>
  <si>
    <t xml:space="preserve">Capital del canon</t>
  </si>
  <si>
    <t xml:space="preserve">Capital implícito después</t>
  </si>
  <si>
    <t xml:space="preserve">Dif. detalle − implícito</t>
  </si>
  <si>
    <t xml:space="preserve">Canon 006 (sólo intereses)</t>
  </si>
  <si>
    <t xml:space="preserve">Estimación indicativa (la tasa puede variar dentro del periodo). Solicitar certificado de saldo.</t>
  </si>
  <si>
    <t xml:space="preserve">Canon 033</t>
  </si>
  <si>
    <t xml:space="preserve">Canon 031</t>
  </si>
  <si>
    <t xml:space="preserve">Prueba analítica sustantiva – gasto por intereses ene–jul 2026</t>
  </si>
  <si>
    <t xml:space="preserve">Expectativa = deuda promedio × ((1 + tasa promedio ponderada)^(días/365) − 1).</t>
  </si>
  <si>
    <t xml:space="preserve">Fuente / comentario</t>
  </si>
  <si>
    <t xml:space="preserve">Deuda financiera 1-ene-26 (2105 sin TC + 2120)</t>
  </si>
  <si>
    <t xml:space="preserve">Balance de prueba.</t>
  </si>
  <si>
    <t xml:space="preserve">Deuda financiera 31-jul-26 (2105 sin TC + 2120)</t>
  </si>
  <si>
    <t xml:space="preserve">Deuda promedio simple</t>
  </si>
  <si>
    <t xml:space="preserve">Tasa EA promedio ponderada (detalle 62, tasas del cliente)</t>
  </si>
  <si>
    <t xml:space="preserve">Detalle_62.</t>
  </si>
  <si>
    <t xml:space="preserve">Días del periodo (1-ene a 31-jul-26)</t>
  </si>
  <si>
    <t xml:space="preserve">Gasto de intereses esperado</t>
  </si>
  <si>
    <t xml:space="preserve">Intereses leasing pagados (53052010)</t>
  </si>
  <si>
    <t xml:space="preserve">Intereses préstamos pagados (53052020)</t>
  </si>
  <si>
    <t xml:space="preserve">Intereses préstamos causados (53052030)</t>
  </si>
  <si>
    <t xml:space="preserve">Intereses leasing causados (53052040)</t>
  </si>
  <si>
    <t xml:space="preserve">Gasto de intereses registrado</t>
  </si>
  <si>
    <t xml:space="preserve">Excluye mora (53052002) y sobregiros (53052001).</t>
  </si>
  <si>
    <t xml:space="preserve">Causación no registrada al 31-jul (Recalculo_Intereses Parte 2)</t>
  </si>
  <si>
    <t xml:space="preserve">Gasto de intereses ajustado</t>
  </si>
  <si>
    <t xml:space="preserve">Diferencia ajustado − esperado</t>
  </si>
  <si>
    <t xml:space="preserve">% diferencia</t>
  </si>
  <si>
    <t xml:space="preserve">Umbral de expectativa (±)</t>
  </si>
  <si>
    <t xml:space="preserve">Supuesto de auditoría: ±10% para una prueba analítica de precisión moderada (tasas variables IBR/DTF).</t>
  </si>
  <si>
    <t xml:space="preserve">Intereses de mora registrados (53052002)</t>
  </si>
  <si>
    <t xml:space="preserve">Incluye $54.242 Banco Popular (CL-411).</t>
  </si>
  <si>
    <t xml:space="preserve">Clasificación corriente / no corriente (NIC 1 párr. 69–76) – detalle 62 vs mayor</t>
  </si>
  <si>
    <t xml:space="preserve">CP corregido = MIN(MAX(CP cliente,0); saldo). La porción corriente debe validarse contra las tablas de amortización.</t>
  </si>
  <si>
    <t xml:space="preserve">CP detalle (cliente)</t>
  </si>
  <si>
    <t xml:space="preserve">LP detalle (cliente)</t>
  </si>
  <si>
    <t xml:space="preserve">CP detalle corregido</t>
  </si>
  <si>
    <t xml:space="preserve">LP detalle corregido</t>
  </si>
  <si>
    <t xml:space="preserve">Cuenta CP mayor</t>
  </si>
  <si>
    <t xml:space="preserve">Cuenta LP mayor</t>
  </si>
  <si>
    <t xml:space="preserve">Las cuentas CP/LP del mayor se asignan por origen del crédito, no por vencimiento.</t>
  </si>
  <si>
    <t xml:space="preserve">Leasings</t>
  </si>
  <si>
    <t xml:space="preserve">El CP del mayor incluye $572 MM del leasing 386735 no incluido en el detalle.</t>
  </si>
  <si>
    <t xml:space="preserve">Reclasificación propuesta LP → CP (detalle corregido − mayor)</t>
  </si>
  <si>
    <t xml:space="preserve">Reclasificación</t>
  </si>
  <si>
    <t xml:space="preserve">Créditos: 21050201 → 21050100</t>
  </si>
  <si>
    <t xml:space="preserve">Leasing: 21202140 → 21202040 (sin 386735)</t>
  </si>
  <si>
    <t xml:space="preserve">La porción corriente del leasing 386735 ($572 MM registrada en CP) debe validarse con su tabla de amortización.</t>
  </si>
  <si>
    <t xml:space="preserve">Tarjetas de crédito: agrupadas en 210502 (LP) → presentar como corriente</t>
  </si>
  <si>
    <t xml:space="preserve">Errores de clasificación en el detalle 62</t>
  </si>
  <si>
    <t xml:space="preserve">Saldo</t>
  </si>
  <si>
    <t xml:space="preserve">CP cliente</t>
  </si>
  <si>
    <t xml:space="preserve">LP cliente</t>
  </si>
  <si>
    <t xml:space="preserve">CP+LP − saldo</t>
  </si>
  <si>
    <t xml:space="preserve">Error</t>
  </si>
  <si>
    <t xml:space="preserve">CP + LP no suma el saldo (LP posiblemente copiado de otra fila).</t>
  </si>
  <si>
    <t xml:space="preserve">CP mayor que el saldo y LP negativo.</t>
  </si>
  <si>
    <t xml:space="preserve">Hallazgos, referencias NIIF y ajustes propuestos</t>
  </si>
  <si>
    <t xml:space="preserve">Montos vinculados a las hojas de trabajo. Ajustes sujetos a la materialidad del encargo (no informada).</t>
  </si>
  <si>
    <t xml:space="preserve">Afirmación</t>
  </si>
  <si>
    <t xml:space="preserve">Hallazgo</t>
  </si>
  <si>
    <t xml:space="preserve">Monto (COP)</t>
  </si>
  <si>
    <t xml:space="preserve">Referencia normativa</t>
  </si>
  <si>
    <t xml:space="preserve">Recomendación / acción</t>
  </si>
  <si>
    <t xml:space="preserve">Integridad</t>
  </si>
  <si>
    <t xml:space="preserve">El leasing Bancolombia 386735 (camión VW Constellation, IBR TV + 1,35) se registró en el mayor el 28-jul-26 (NB-00001014) pero NO está en el detalle 62 del cliente.</t>
  </si>
  <si>
    <t xml:space="preserve">NIIF 16 p.26; NIC 1 p.15</t>
  </si>
  <si>
    <t xml:space="preserve">Incluir el contrato en el detalle 62 con su tabla de amortización; solicitar contrato y certificado.</t>
  </si>
  <si>
    <t xml:space="preserve">Exactitud / Integridad</t>
  </si>
  <si>
    <t xml:space="preserve">Diferencia de capital de leasing entre el mayor (2120) y el detalle 62. Se explica por el leasing 386735, por leasings de Bogotá con saldos desactualizados y por un residual sin explicar en leasings de Davivienda/Bancolombia.</t>
  </si>
  <si>
    <t xml:space="preserve">NIIF 16 p.36; NIC 1 p.15</t>
  </si>
  <si>
    <t xml:space="preserve">Conciliar contrato a contrato contra certificados; actualizar el detalle 62 con saldos bancarios.</t>
  </si>
  <si>
    <t xml:space="preserve">Exactitud</t>
  </si>
  <si>
    <t xml:space="preserve">Residual NO explicado de la diferencia de leasing (contratos sin extracto de saldo: Davivienda 1019441, 1019448, 1021275 y Bancolombia 362095, 336817, 331330).</t>
  </si>
  <si>
    <t xml:space="preserve">NIA 505 / NIA 500</t>
  </si>
  <si>
    <t xml:space="preserve">Circularizar a Davivienda Leasing y Bancolombia; obtener tablas de amortización.</t>
  </si>
  <si>
    <t xml:space="preserve">Leasings Banco de Bogotá (pozos 1–5 y planta Jenbacher): el detalle 62 está por debajo del saldo certificado tras el canon de julio (p.ej. pozos 3 y 4 −$57 MM c/u).</t>
  </si>
  <si>
    <t xml:space="preserve">NIIF 16 p.36</t>
  </si>
  <si>
    <t xml:space="preserve">Actualizar el detalle 62 con los saldos certificados.</t>
  </si>
  <si>
    <t xml:space="preserve">Corte / Valuación</t>
  </si>
  <si>
    <t xml:space="preserve">Intereses causados al 31-jul-26 no registrados: el cliente causa cifras fijas hasta ~el día 24 y no causa en obligaciones de pago mensual (453436746, BBVA, leasings mensuales) ni en el periodo posterior al último pago.</t>
  </si>
  <si>
    <t xml:space="preserve">NIC 1 p.27-28 (base de acumulación); NIIF 9 p.5.4.1 y B5.4 (método del interés efectivo)</t>
  </si>
  <si>
    <t xml:space="preserve">Registrar AJE-1; implementar causación diaria con tabla de amortización por obligación.</t>
  </si>
  <si>
    <t xml:space="preserve">Davivienda 607691 y 569032: la tasa 'cobrada' informada (12,58% EA) no reconcilia con los intereses facturados (tasa implícita ~14,4% EA). El detalle 62 usa 16,02% EA.</t>
  </si>
  <si>
    <t xml:space="preserve">NIIF 9 p.B5.4.5 (tasas variables); NIIF 7 p.39</t>
  </si>
  <si>
    <t xml:space="preserve">Solicitar a Davivienda la liquidación detallada (IBR aplicado y spread).</t>
  </si>
  <si>
    <t xml:space="preserve">Exactitud (detalle)</t>
  </si>
  <si>
    <t xml:space="preserve">Tasas EA del detalle 62 calculadas con periodicidad distinta a la declarada (BBVA, Bancolombia 1260105867 y 362095) y tasas del detalle distintas a las certificadas (p.ej. 453436746: 17,52% vs 16,96%; 856670629: 15,83% vs 14,94%).</t>
  </si>
  <si>
    <t xml:space="preserve">Cualitativo</t>
  </si>
  <si>
    <t xml:space="preserve">NIIF 7 p.33-40 (riesgo de tasa)</t>
  </si>
  <si>
    <t xml:space="preserve">Usar la tasa certificada por el banco y la periodicidad contractual.</t>
  </si>
  <si>
    <t xml:space="preserve">Presentación</t>
  </si>
  <si>
    <t xml:space="preserve">Clasificación CP/LP: el detalle 62 tiene errores (Banco Popular CP $575 MM &gt; saldo $287,5 MM y LP negativo; Pozo #2 CP + LP ≠ saldo) y las cuentas CP/LP del mayor no reflejan vencimientos a 12 meses.</t>
  </si>
  <si>
    <t xml:space="preserve">NIC 1 p.69-76</t>
  </si>
  <si>
    <t xml:space="preserve">Reclasificar la porción corriente (AJE-3) y corregir el detalle 62.</t>
  </si>
  <si>
    <t xml:space="preserve">Las tarjetas de crédito por pagar (21050301) están agrupadas dentro de 'Obligaciones financieras a largo plazo' (210502).</t>
  </si>
  <si>
    <t xml:space="preserve">NIC 1 p.69</t>
  </si>
  <si>
    <t xml:space="preserve">Presentar como pasivo corriente.</t>
  </si>
  <si>
    <t xml:space="preserve">Abonos a capital aplicados por Davivienda por excedentes de pago (127,57 + 269,47 + 627,79 + 617,95 + 786,80) no registrados: el cliente lleva todo el pago a intereses.</t>
  </si>
  <si>
    <t xml:space="preserve">NIIF 9 p.3.3.1</t>
  </si>
  <si>
    <t xml:space="preserve">Inmaterial; registrar en el siguiente pago.</t>
  </si>
  <si>
    <t xml:space="preserve">Ocurrencia / Exactitud</t>
  </si>
  <si>
    <t xml:space="preserve">Leasing Davivienda 1019441: el banco reporta el canon 032 (11-jun) pagado por $1.029.562, sólo intereses; la contabilidad registró capital $11.973.677 (CL-416).</t>
  </si>
  <si>
    <t xml:space="preserve">Obtener el estado de cuenta del contrato y verificar la aplicación del pago.</t>
  </si>
  <si>
    <t xml:space="preserve">Control interno</t>
  </si>
  <si>
    <t xml:space="preserve">Partidas ajenas registradas en cuentas de obligaciones financieras: comisiones Valley Trading en 21202040 y cruce de anticipo de calderas (NI-4731) en 21202140 (netas cero).</t>
  </si>
  <si>
    <t xml:space="preserve">NIC 1 p.32 (no compensar)</t>
  </si>
  <si>
    <t xml:space="preserve">Restringir el uso de las cuentas 2120 a contratos de leasing con tercero y número de contrato.</t>
  </si>
  <si>
    <t xml:space="preserve">Integridad / Confirmación</t>
  </si>
  <si>
    <t xml:space="preserve">Obligaciones sin certificado ni extracto en el PDF: BBVA ($4.700 MM), Banco Popular, Bogotá 1159383796 (nuevo crédito) y leasings Bancolombia.</t>
  </si>
  <si>
    <t xml:space="preserve">NIA 505</t>
  </si>
  <si>
    <t xml:space="preserve">Enviar confirmaciones bancarias.</t>
  </si>
  <si>
    <t xml:space="preserve">Vencimientos del detalle 62 distintos a los certificados: pozos 3 y 4 (abr-2028 vs 27-jul-2028), pozos 1 y 2 (20-ene vs 23-ene-2030), Bancolombia 1260105867 (21 vs 22-abr-2028).</t>
  </si>
  <si>
    <t xml:space="preserve">NIIF 7 p.39 (análisis de vencimientos)</t>
  </si>
  <si>
    <t xml:space="preserve">Corregir; afecta la clasificación CP/LP y la revelación de liquidez.</t>
  </si>
  <si>
    <t xml:space="preserve">Valuación / Revelación</t>
  </si>
  <si>
    <t xml:space="preserve">Renovaciones y refinanciaciones (BBVA 30-jun; Bogotá 1155297469 → 1159383796 el 29-jul; Davivienda 8906 pagado con el crédito Bogotá 1155297469): se registraron a la par sin costos de transacción.</t>
  </si>
  <si>
    <t xml:space="preserve">NIIF 9 p.3.3.2 y B3.3.6 (prueba del 10%)</t>
  </si>
  <si>
    <t xml:space="preserve">Documentar la prueba del 10% (modificación sustancial) y los costos de transacción, si los hubo.</t>
  </si>
  <si>
    <t xml:space="preserve">Causación no sistemática de intereses de leasing (p.ej. pozos 3 y 4: feb–mar $480.943 vs abr $8,6 MM) y glosas con valores errados (CL-393, NI-4397) o números de crédito errados (BBVA 252059 vs 0141; '12660105867').</t>
  </si>
  <si>
    <t xml:space="preserve">NIC 8 p.41; NIC 1 p.27</t>
  </si>
  <si>
    <t xml:space="preserve">Usar tablas de amortización por obligación; revisar las glosas.</t>
  </si>
  <si>
    <t xml:space="preserve">Mayor vs balance: los débitos, créditos y saldos de las cuentas 21 del movimiento cuadran con los dos balances de prueba (24-ago y 29-sep), que son idénticos.</t>
  </si>
  <si>
    <t xml:space="preserve">—</t>
  </si>
  <si>
    <t xml:space="preserve">Sin excepción.</t>
  </si>
  <si>
    <t xml:space="preserve">Ajustes propuestos (AJE)</t>
  </si>
  <si>
    <t xml:space="preserve">AJE</t>
  </si>
  <si>
    <t xml:space="preserve">AJE-1</t>
  </si>
  <si>
    <t xml:space="preserve">Intereses sobre préstamos causados</t>
  </si>
  <si>
    <t xml:space="preserve">Causación de intereses de créditos al 31-jul-26</t>
  </si>
  <si>
    <t xml:space="preserve">Intereses financieros por pagar O.F.</t>
  </si>
  <si>
    <t xml:space="preserve">Intereses leasing causados</t>
  </si>
  <si>
    <t xml:space="preserve">Causación de intereses de leasing al 31-jul-26</t>
  </si>
  <si>
    <t xml:space="preserve">Intereses leasing por pagar</t>
  </si>
  <si>
    <t xml:space="preserve">AJE-2</t>
  </si>
  <si>
    <t xml:space="preserve">Obligación financiera LP</t>
  </si>
  <si>
    <t xml:space="preserve">Reclasificación de la porción corriente (presentación)</t>
  </si>
  <si>
    <t xml:space="preserve">Obligación financiera CP</t>
  </si>
  <si>
    <t xml:space="preserve">Leasing LP</t>
  </si>
  <si>
    <t xml:space="preserve">Leasing CP</t>
  </si>
  <si>
    <t xml:space="preserve">Sumas iguales</t>
  </si>
  <si>
    <t xml:space="preserve">AJE-2 depende de validar la porción corriente del detalle 62 con tablas de amortización; el saldo del leasing (diferencia de $1.018 MM) se ajustará cuando se obtengan los certificados faltantes.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</si>
</sst>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#,##0.00;\(#,##0.00\);\-"/>
    <numFmt numFmtId="167" formatCode="0.00%;\(0.00%\);\-"/>
    <numFmt numFmtId="168" formatCode="#,##0;\(#,##0\);\-"/>
    <numFmt numFmtId="169" formatCode="0.00000"/>
    <numFmt numFmtId="170" formatCode="0.000%"/>
    <numFmt numFmtId="171" formatCode="#,##0.0&quot; pb&quot;;\(#,##0.0&quot; pb)&quot;;\-"/>
    <numFmt numFmtId="172" formatCode="yyyy\-mm\-dd;;&quot;sin reversión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2"/>
    </font>
    <font>
      <b val="true"/>
      <sz val="9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5" min="3" style="0" width="20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n">
        <v>46234</v>
      </c>
    </row>
    <row r="6" customFormat="false" ht="15" hidden="false" customHeight="false" outlineLevel="0" collapsed="false">
      <c r="B6" s="4" t="s">
        <v>4</v>
      </c>
      <c r="C6" s="6" t="n">
        <v>1000</v>
      </c>
    </row>
    <row r="7" customFormat="false" ht="15" hidden="false" customHeight="false" outlineLevel="0" collapsed="false">
      <c r="B7" s="4" t="s">
        <v>5</v>
      </c>
      <c r="C7" s="7" t="n">
        <v>0.02</v>
      </c>
    </row>
    <row r="9" customFormat="false" ht="15" hidden="false" customHeight="false" outlineLevel="0" collapsed="false">
      <c r="B9" s="3" t="s">
        <v>6</v>
      </c>
    </row>
    <row r="10" customFormat="false" ht="30" hidden="false" customHeight="true" outlineLevel="0" collapsed="false">
      <c r="A10" s="8"/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</row>
    <row r="11" customFormat="false" ht="25.5" hidden="false" customHeight="true" outlineLevel="0" collapsed="false">
      <c r="B11" s="9" t="s">
        <v>12</v>
      </c>
      <c r="C11" s="10" t="n">
        <f aca="false">Cruce_Mov_Balance!F12</f>
        <v>-46662703043.22</v>
      </c>
      <c r="D11" s="10" t="n">
        <f aca="false">Cruce_Mov_Balance!G12</f>
        <v>-46662703043.22</v>
      </c>
      <c r="E11" s="11" t="n">
        <f aca="false">C11-D11</f>
        <v>0</v>
      </c>
      <c r="F11" s="12" t="str">
        <f aca="false">IF(ABS(E11)&lt;=$C$6,"OK","DIFERENCIA")</f>
        <v>OK</v>
      </c>
    </row>
    <row r="12" customFormat="false" ht="25.5" hidden="false" customHeight="true" outlineLevel="0" collapsed="false">
      <c r="B12" s="9" t="s">
        <v>13</v>
      </c>
      <c r="C12" s="10" t="n">
        <f aca="false">Balance_21!$C$40</f>
        <v>0</v>
      </c>
      <c r="D12" s="11" t="n">
        <f aca="false">0</f>
        <v>0</v>
      </c>
      <c r="E12" s="11" t="n">
        <f aca="false">C12-D12</f>
        <v>0</v>
      </c>
      <c r="F12" s="12" t="str">
        <f aca="false">IF(ABS(E12)&lt;=$C$6,"OK","DIFERENCIA")</f>
        <v>OK</v>
      </c>
    </row>
    <row r="13" customFormat="false" ht="25.5" hidden="false" customHeight="true" outlineLevel="0" collapsed="false">
      <c r="B13" s="9" t="s">
        <v>14</v>
      </c>
      <c r="C13" s="10" t="n">
        <f aca="false">Detalle_62!F36</f>
        <v>45185912116.9625</v>
      </c>
      <c r="D13" s="10" t="n">
        <f aca="false">Detalle_62!F37</f>
        <v>45185912116.9625</v>
      </c>
      <c r="E13" s="11" t="n">
        <f aca="false">C13-D13</f>
        <v>0</v>
      </c>
      <c r="F13" s="12" t="str">
        <f aca="false">IF(ABS(E13)&lt;=$C$6,"OK","DIFERENCIA")</f>
        <v>OK</v>
      </c>
    </row>
    <row r="14" customFormat="false" ht="25.5" hidden="false" customHeight="true" outlineLevel="0" collapsed="false">
      <c r="B14" s="9" t="s">
        <v>15</v>
      </c>
      <c r="C14" s="10" t="n">
        <f aca="false">Cruce_Detalle_Mayor!D6</f>
        <v>38300666665.3333</v>
      </c>
      <c r="D14" s="10" t="n">
        <f aca="false">Cruce_Detalle_Mayor!E6</f>
        <v>38300666666</v>
      </c>
      <c r="E14" s="11" t="n">
        <f aca="false">C14-D14</f>
        <v>-0.666664123535156</v>
      </c>
      <c r="F14" s="12" t="str">
        <f aca="false">IF(ABS(E14)&lt;=$C$6,"OK","DIFERENCIA")</f>
        <v>OK</v>
      </c>
    </row>
    <row r="15" customFormat="false" ht="25.5" hidden="false" customHeight="true" outlineLevel="0" collapsed="false">
      <c r="B15" s="9" t="s">
        <v>16</v>
      </c>
      <c r="C15" s="10" t="n">
        <f aca="false">Cruce_Detalle_Mayor!D7</f>
        <v>6885245451.62914</v>
      </c>
      <c r="D15" s="10" t="n">
        <f aca="false">Cruce_Detalle_Mayor!E7</f>
        <v>7903511628.33</v>
      </c>
      <c r="E15" s="11" t="n">
        <f aca="false">C15-D15</f>
        <v>-1018266176.70086</v>
      </c>
      <c r="F15" s="12" t="str">
        <f aca="false">IF(ABS(E15)&lt;=$C$6,"OK","DIFERENCIA")</f>
        <v>DIFERENCIA</v>
      </c>
    </row>
    <row r="16" customFormat="false" ht="25.5" hidden="false" customHeight="true" outlineLevel="0" collapsed="false">
      <c r="B16" s="9" t="s">
        <v>17</v>
      </c>
      <c r="C16" s="10" t="n">
        <f aca="false">SUMIFS(Certificados!J5:J21,Certificados!H5:H21,"&lt;&gt;")</f>
        <v>35993167209.59</v>
      </c>
      <c r="D16" s="10" t="n">
        <f aca="false">SUMIFS(Certificados!K5:K21,Certificados!H5:H21,"&lt;&gt;")</f>
        <v>35821567508.9688</v>
      </c>
      <c r="E16" s="11" t="n">
        <f aca="false">C16-D16</f>
        <v>171599700.621231</v>
      </c>
      <c r="F16" s="12" t="str">
        <f aca="false">IF(ABS(E16)&lt;=$C$6,"OK","DIFERENCIA")</f>
        <v>DIFERENCIA</v>
      </c>
    </row>
    <row r="17" customFormat="false" ht="25.5" hidden="false" customHeight="true" outlineLevel="0" collapsed="false">
      <c r="B17" s="9" t="s">
        <v>18</v>
      </c>
      <c r="C17" s="10" t="n">
        <f aca="false">Certificados!H79</f>
        <v>3329917163.1</v>
      </c>
      <c r="D17" s="10" t="n">
        <f aca="false">Certificados!I79</f>
        <v>3341892235.57</v>
      </c>
      <c r="E17" s="11" t="n">
        <f aca="false">C17-D17</f>
        <v>-11975072.4700003</v>
      </c>
      <c r="F17" s="12" t="str">
        <f aca="false">IF(ABS(E17)&lt;=$C$6,"OK","DIFERENCIA")</f>
        <v>DIFERENCIA</v>
      </c>
    </row>
    <row r="18" customFormat="false" ht="25.5" hidden="false" customHeight="true" outlineLevel="0" collapsed="false">
      <c r="B18" s="9" t="s">
        <v>19</v>
      </c>
      <c r="C18" s="10" t="n">
        <f aca="false">Recalculo_Intereses!J20+Recalculo_Intereses!K20</f>
        <v>1561142009.06015</v>
      </c>
      <c r="D18" s="10" t="n">
        <f aca="false">Recalculo_Intereses!J20</f>
        <v>1612934504.13</v>
      </c>
      <c r="E18" s="11" t="n">
        <f aca="false">C18-D18</f>
        <v>-51792495.0698545</v>
      </c>
      <c r="F18" s="12" t="str">
        <f aca="false">IF(ABS(E18)&lt;=$C$6,"OK","DIFERENCIA")</f>
        <v>DIFERENCIA</v>
      </c>
    </row>
    <row r="19" customFormat="false" ht="25.5" hidden="false" customHeight="true" outlineLevel="0" collapsed="false">
      <c r="B19" s="9" t="s">
        <v>20</v>
      </c>
      <c r="C19" s="10" t="n">
        <f aca="false">Recalculo_Intereses!I47</f>
        <v>615672786.079588</v>
      </c>
      <c r="D19" s="10" t="n">
        <f aca="false">Recalculo_Intereses!J47</f>
        <v>427389017</v>
      </c>
      <c r="E19" s="11" t="n">
        <f aca="false">C19-D19</f>
        <v>188283769.079588</v>
      </c>
      <c r="F19" s="12" t="str">
        <f aca="false">IF(ABS(E19)&lt;=$C$6,"OK","DIFERENCIA")</f>
        <v>DIFERENCIA</v>
      </c>
    </row>
    <row r="20" customFormat="false" ht="25.5" hidden="false" customHeight="true" outlineLevel="0" collapsed="false">
      <c r="B20" s="9" t="s">
        <v>21</v>
      </c>
      <c r="C20" s="10" t="n">
        <f aca="false">Recalculo_Intereses!J47</f>
        <v>427389017</v>
      </c>
      <c r="D20" s="10" t="n">
        <f aca="false">-Balance_21!$F$25</f>
        <v>427389017.16</v>
      </c>
      <c r="E20" s="11" t="n">
        <f aca="false">C20-D20</f>
        <v>-0.160000026226044</v>
      </c>
      <c r="F20" s="12" t="str">
        <f aca="false">IF(ABS(E20)&lt;=$C$6,"OK","DIFERENCIA")</f>
        <v>OK</v>
      </c>
    </row>
    <row r="22" customFormat="false" ht="15" hidden="false" customHeight="false" outlineLevel="0" collapsed="false">
      <c r="B22" s="3" t="s">
        <v>22</v>
      </c>
    </row>
    <row r="23" customFormat="false" ht="15" hidden="false" customHeight="false" outlineLevel="0" collapsed="false">
      <c r="B23" s="4" t="s">
        <v>23</v>
      </c>
      <c r="C23" s="13" t="n">
        <f aca="false">Gasto_Intereses!B5</f>
        <v>46204178294.33</v>
      </c>
    </row>
    <row r="24" customFormat="false" ht="15" hidden="false" customHeight="false" outlineLevel="0" collapsed="false">
      <c r="B24" s="4" t="s">
        <v>24</v>
      </c>
      <c r="C24" s="13" t="n">
        <f aca="false">Detalle_62!F36</f>
        <v>45185912116.9625</v>
      </c>
    </row>
    <row r="25" customFormat="false" ht="15" hidden="false" customHeight="false" outlineLevel="0" collapsed="false">
      <c r="B25" s="4" t="s">
        <v>25</v>
      </c>
      <c r="C25" s="13" t="n">
        <f aca="false">Cruce_Detalle_Mayor!F14</f>
        <v>675837500</v>
      </c>
    </row>
    <row r="26" customFormat="false" ht="15" hidden="false" customHeight="false" outlineLevel="0" collapsed="false">
      <c r="B26" s="4" t="s">
        <v>26</v>
      </c>
      <c r="C26" s="13" t="n">
        <f aca="false">Cruce_Detalle_Mayor!F15</f>
        <v>171608254.364557</v>
      </c>
    </row>
    <row r="27" customFormat="false" ht="15" hidden="false" customHeight="false" outlineLevel="0" collapsed="false">
      <c r="B27" s="4" t="s">
        <v>27</v>
      </c>
      <c r="C27" s="13" t="n">
        <f aca="false">Cruce_Detalle_Mayor!F16</f>
        <v>170820422.336308</v>
      </c>
    </row>
    <row r="28" customFormat="false" ht="15" hidden="false" customHeight="false" outlineLevel="0" collapsed="false">
      <c r="B28" s="4" t="s">
        <v>28</v>
      </c>
      <c r="C28" s="14" t="n">
        <f aca="false">Certificados!$K$35</f>
        <v>0.850428591179834</v>
      </c>
    </row>
    <row r="29" customFormat="false" ht="15" hidden="false" customHeight="false" outlineLevel="0" collapsed="false">
      <c r="B29" s="4" t="s">
        <v>29</v>
      </c>
      <c r="C29" s="13" t="n">
        <f aca="false">Recalculo_Intereses!K47</f>
        <v>188283769.079588</v>
      </c>
    </row>
    <row r="30" customFormat="false" ht="15" hidden="false" customHeight="false" outlineLevel="0" collapsed="false">
      <c r="B30" s="4" t="s">
        <v>30</v>
      </c>
      <c r="C30" s="13" t="n">
        <f aca="false">Clasif_CP_LP!B11+Clasif_CP_LP!B12</f>
        <v>2817285095.14034</v>
      </c>
    </row>
    <row r="31" customFormat="false" ht="15" hidden="false" customHeight="false" outlineLevel="0" collapsed="false">
      <c r="B31" s="4" t="s">
        <v>31</v>
      </c>
      <c r="C31" s="14" t="n">
        <f aca="false">Gasto_Intereses!$B$18</f>
        <v>-0.0711182802108487</v>
      </c>
    </row>
    <row r="32" customFormat="false" ht="15" hidden="false" customHeight="false" outlineLevel="0" collapsed="false">
      <c r="B32" s="4" t="s">
        <v>32</v>
      </c>
      <c r="C32" s="15" t="str">
        <f aca="false">Gasto_Intereses!$B$20</f>
        <v>Gasto razonable dentro del umbral</v>
      </c>
    </row>
    <row r="34" customFormat="false" ht="15" hidden="false" customHeight="false" outlineLevel="0" collapsed="false">
      <c r="B34" s="3" t="s">
        <v>33</v>
      </c>
    </row>
    <row r="35" customFormat="false" ht="39.75" hidden="false" customHeight="true" outlineLevel="0" collapsed="false">
      <c r="B35" s="9" t="s">
        <v>34</v>
      </c>
      <c r="C35" s="9"/>
      <c r="D35" s="9"/>
      <c r="E35" s="9"/>
      <c r="F35" s="9"/>
    </row>
    <row r="36" customFormat="false" ht="39.75" hidden="false" customHeight="true" outlineLevel="0" collapsed="false">
      <c r="B36" s="9" t="s">
        <v>35</v>
      </c>
      <c r="C36" s="9"/>
      <c r="D36" s="9"/>
      <c r="E36" s="9"/>
      <c r="F36" s="9"/>
    </row>
    <row r="37" customFormat="false" ht="39.75" hidden="false" customHeight="true" outlineLevel="0" collapsed="false">
      <c r="B37" s="9" t="s">
        <v>36</v>
      </c>
      <c r="C37" s="9"/>
      <c r="D37" s="9"/>
      <c r="E37" s="9"/>
      <c r="F37" s="9"/>
    </row>
    <row r="38" customFormat="false" ht="39.75" hidden="false" customHeight="true" outlineLevel="0" collapsed="false">
      <c r="B38" s="9" t="s">
        <v>37</v>
      </c>
      <c r="C38" s="9"/>
      <c r="D38" s="9"/>
      <c r="E38" s="9"/>
      <c r="F38" s="9"/>
    </row>
    <row r="39" customFormat="false" ht="39.75" hidden="false" customHeight="true" outlineLevel="0" collapsed="false">
      <c r="B39" s="9" t="s">
        <v>38</v>
      </c>
      <c r="C39" s="9"/>
      <c r="D39" s="9"/>
      <c r="E39" s="9"/>
      <c r="F39" s="9"/>
    </row>
    <row r="41" customFormat="false" ht="15" hidden="false" customHeight="false" outlineLevel="0" collapsed="false">
      <c r="B41" s="3" t="s">
        <v>39</v>
      </c>
    </row>
    <row r="42" customFormat="false" ht="15" hidden="false" customHeight="false" outlineLevel="0" collapsed="false">
      <c r="B42" s="12" t="s">
        <v>40</v>
      </c>
      <c r="C42" s="4" t="s">
        <v>41</v>
      </c>
      <c r="D42" s="4"/>
      <c r="E42" s="4"/>
      <c r="F42" s="4"/>
    </row>
    <row r="43" customFormat="false" ht="15" hidden="false" customHeight="false" outlineLevel="0" collapsed="false">
      <c r="B43" s="12" t="s">
        <v>42</v>
      </c>
      <c r="C43" s="4" t="s">
        <v>43</v>
      </c>
      <c r="D43" s="4"/>
      <c r="E43" s="4"/>
      <c r="F43" s="4"/>
    </row>
    <row r="44" customFormat="false" ht="15" hidden="false" customHeight="false" outlineLevel="0" collapsed="false">
      <c r="B44" s="12" t="s">
        <v>44</v>
      </c>
      <c r="C44" s="4" t="s">
        <v>45</v>
      </c>
      <c r="D44" s="4"/>
      <c r="E44" s="4"/>
      <c r="F44" s="4"/>
    </row>
    <row r="45" customFormat="false" ht="15" hidden="false" customHeight="false" outlineLevel="0" collapsed="false">
      <c r="B45" s="12" t="s">
        <v>46</v>
      </c>
      <c r="C45" s="4" t="s">
        <v>47</v>
      </c>
      <c r="D45" s="4"/>
      <c r="E45" s="4"/>
      <c r="F45" s="4"/>
    </row>
    <row r="46" customFormat="false" ht="15" hidden="false" customHeight="false" outlineLevel="0" collapsed="false">
      <c r="B46" s="12" t="s">
        <v>48</v>
      </c>
      <c r="C46" s="4" t="s">
        <v>49</v>
      </c>
      <c r="D46" s="4"/>
      <c r="E46" s="4"/>
      <c r="F46" s="4"/>
    </row>
    <row r="47" customFormat="false" ht="15" hidden="false" customHeight="false" outlineLevel="0" collapsed="false">
      <c r="B47" s="12" t="s">
        <v>50</v>
      </c>
      <c r="C47" s="4" t="s">
        <v>51</v>
      </c>
      <c r="D47" s="4"/>
      <c r="E47" s="4"/>
      <c r="F47" s="4"/>
    </row>
    <row r="48" customFormat="false" ht="15" hidden="false" customHeight="false" outlineLevel="0" collapsed="false">
      <c r="B48" s="12" t="s">
        <v>52</v>
      </c>
      <c r="C48" s="4" t="s">
        <v>53</v>
      </c>
      <c r="D48" s="4"/>
      <c r="E48" s="4"/>
      <c r="F48" s="4"/>
    </row>
    <row r="49" customFormat="false" ht="15" hidden="false" customHeight="false" outlineLevel="0" collapsed="false">
      <c r="B49" s="12" t="s">
        <v>54</v>
      </c>
      <c r="C49" s="4" t="s">
        <v>55</v>
      </c>
      <c r="D49" s="4"/>
      <c r="E49" s="4"/>
      <c r="F49" s="4"/>
    </row>
    <row r="50" customFormat="false" ht="15" hidden="false" customHeight="false" outlineLevel="0" collapsed="false">
      <c r="B50" s="12" t="s">
        <v>56</v>
      </c>
      <c r="C50" s="4" t="s">
        <v>57</v>
      </c>
      <c r="D50" s="4"/>
      <c r="E50" s="4"/>
      <c r="F50" s="4"/>
    </row>
    <row r="51" customFormat="false" ht="15" hidden="false" customHeight="false" outlineLevel="0" collapsed="false">
      <c r="B51" s="12" t="s">
        <v>58</v>
      </c>
      <c r="C51" s="4" t="s">
        <v>59</v>
      </c>
      <c r="D51" s="4"/>
      <c r="E51" s="4"/>
      <c r="F51" s="4"/>
    </row>
  </sheetData>
  <mergeCells count="15">
    <mergeCell ref="B35:F35"/>
    <mergeCell ref="B36:F36"/>
    <mergeCell ref="B37:F37"/>
    <mergeCell ref="B38:F38"/>
    <mergeCell ref="B39:F39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P4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7" min="5" style="0" width="16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22"/>
    <col collapsed="false" customWidth="true" hidden="false" outlineLevel="0" max="12" min="12" style="0" width="60"/>
    <col collapsed="false" customWidth="true" hidden="false" outlineLevel="0" max="13" min="13" style="0" width="13"/>
    <col collapsed="false" customWidth="true" hidden="false" outlineLevel="0" max="14" min="14" style="0" width="17"/>
    <col collapsed="false" customWidth="true" hidden="false" outlineLevel="0" max="15" min="15" style="0" width="21"/>
    <col collapsed="false" customWidth="true" hidden="false" outlineLevel="0" max="16" min="16" style="0" width="20"/>
  </cols>
  <sheetData>
    <row r="1" customFormat="false" ht="16.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30" hidden="false" customHeight="true" outlineLevel="0" collapsed="false">
      <c r="A4" s="8" t="s">
        <v>62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8" t="s">
        <v>77</v>
      </c>
    </row>
    <row r="5" customFormat="false" ht="15" hidden="false" customHeight="false" outlineLevel="0" collapsed="false">
      <c r="A5" s="16" t="n">
        <v>2</v>
      </c>
      <c r="B5" s="16" t="s">
        <v>78</v>
      </c>
      <c r="C5" s="16" t="s">
        <v>79</v>
      </c>
      <c r="D5" s="16" t="s">
        <v>80</v>
      </c>
      <c r="E5" s="17" t="n">
        <v>4700000000</v>
      </c>
      <c r="F5" s="17" t="n">
        <v>4700000000</v>
      </c>
      <c r="G5" s="11" t="n">
        <f aca="false">E5-F5</f>
        <v>0</v>
      </c>
      <c r="H5" s="5" t="n">
        <v>46203</v>
      </c>
      <c r="I5" s="16" t="s">
        <v>81</v>
      </c>
      <c r="J5" s="16" t="s">
        <v>82</v>
      </c>
      <c r="K5" s="16" t="s">
        <v>83</v>
      </c>
      <c r="L5" s="16" t="s">
        <v>84</v>
      </c>
      <c r="M5" s="16" t="s">
        <v>85</v>
      </c>
      <c r="N5" s="12" t="s">
        <v>86</v>
      </c>
      <c r="O5" s="4" t="s">
        <v>87</v>
      </c>
      <c r="P5" s="4" t="s">
        <v>88</v>
      </c>
    </row>
    <row r="6" customFormat="false" ht="15" hidden="false" customHeight="false" outlineLevel="0" collapsed="false">
      <c r="A6" s="16" t="n">
        <v>3</v>
      </c>
      <c r="B6" s="16" t="s">
        <v>78</v>
      </c>
      <c r="C6" s="16" t="s">
        <v>79</v>
      </c>
      <c r="D6" s="16" t="s">
        <v>89</v>
      </c>
      <c r="E6" s="17" t="n">
        <v>10000000000</v>
      </c>
      <c r="F6" s="17" t="n">
        <v>0</v>
      </c>
      <c r="G6" s="11" t="n">
        <f aca="false">E6-F6</f>
        <v>10000000000</v>
      </c>
      <c r="H6" s="5" t="n">
        <v>46050</v>
      </c>
      <c r="I6" s="16" t="s">
        <v>90</v>
      </c>
      <c r="J6" s="16" t="s">
        <v>91</v>
      </c>
      <c r="K6" s="16" t="s">
        <v>92</v>
      </c>
      <c r="L6" s="16" t="s">
        <v>93</v>
      </c>
      <c r="M6" s="16" t="s">
        <v>85</v>
      </c>
      <c r="N6" s="12" t="s">
        <v>94</v>
      </c>
      <c r="O6" s="4" t="s">
        <v>87</v>
      </c>
      <c r="P6" s="4" t="s">
        <v>95</v>
      </c>
    </row>
    <row r="7" customFormat="false" ht="15" hidden="false" customHeight="false" outlineLevel="0" collapsed="false">
      <c r="A7" s="16" t="n">
        <v>4</v>
      </c>
      <c r="B7" s="16" t="s">
        <v>78</v>
      </c>
      <c r="C7" s="16" t="s">
        <v>79</v>
      </c>
      <c r="D7" s="16" t="s">
        <v>96</v>
      </c>
      <c r="E7" s="17" t="n">
        <v>0</v>
      </c>
      <c r="F7" s="17" t="n">
        <v>10000000000</v>
      </c>
      <c r="G7" s="11" t="n">
        <f aca="false">E7-F7</f>
        <v>-10000000000</v>
      </c>
      <c r="H7" s="5" t="n">
        <v>46050</v>
      </c>
      <c r="I7" s="16" t="s">
        <v>90</v>
      </c>
      <c r="J7" s="16" t="s">
        <v>91</v>
      </c>
      <c r="K7" s="16" t="s">
        <v>92</v>
      </c>
      <c r="L7" s="16" t="s">
        <v>93</v>
      </c>
      <c r="M7" s="16" t="s">
        <v>85</v>
      </c>
      <c r="N7" s="12" t="s">
        <v>97</v>
      </c>
      <c r="O7" s="4" t="s">
        <v>87</v>
      </c>
      <c r="P7" s="4" t="s">
        <v>98</v>
      </c>
    </row>
    <row r="8" customFormat="false" ht="15" hidden="false" customHeight="false" outlineLevel="0" collapsed="false">
      <c r="A8" s="16" t="n">
        <v>5</v>
      </c>
      <c r="B8" s="16" t="s">
        <v>78</v>
      </c>
      <c r="C8" s="16" t="s">
        <v>79</v>
      </c>
      <c r="D8" s="16" t="s">
        <v>96</v>
      </c>
      <c r="E8" s="17" t="n">
        <v>10000000000</v>
      </c>
      <c r="F8" s="17" t="n">
        <v>10000000000</v>
      </c>
      <c r="G8" s="11" t="n">
        <f aca="false">E8-F8</f>
        <v>0</v>
      </c>
      <c r="H8" s="5" t="n">
        <v>46232</v>
      </c>
      <c r="I8" s="16" t="s">
        <v>90</v>
      </c>
      <c r="J8" s="16" t="s">
        <v>99</v>
      </c>
      <c r="K8" s="16" t="s">
        <v>92</v>
      </c>
      <c r="L8" s="16" t="s">
        <v>100</v>
      </c>
      <c r="M8" s="16" t="s">
        <v>85</v>
      </c>
      <c r="N8" s="12" t="s">
        <v>97</v>
      </c>
      <c r="O8" s="4" t="s">
        <v>87</v>
      </c>
      <c r="P8" s="4" t="s">
        <v>88</v>
      </c>
    </row>
    <row r="9" customFormat="false" ht="15" hidden="false" customHeight="false" outlineLevel="0" collapsed="false">
      <c r="A9" s="16" t="n">
        <v>6</v>
      </c>
      <c r="B9" s="16" t="s">
        <v>101</v>
      </c>
      <c r="C9" s="16" t="s">
        <v>102</v>
      </c>
      <c r="D9" s="16" t="s">
        <v>96</v>
      </c>
      <c r="E9" s="17" t="n">
        <v>62500000</v>
      </c>
      <c r="F9" s="17" t="n">
        <v>0</v>
      </c>
      <c r="G9" s="11" t="n">
        <f aca="false">E9-F9</f>
        <v>62500000</v>
      </c>
      <c r="H9" s="5" t="n">
        <v>46050</v>
      </c>
      <c r="I9" s="16" t="s">
        <v>90</v>
      </c>
      <c r="J9" s="16" t="s">
        <v>103</v>
      </c>
      <c r="K9" s="16" t="s">
        <v>104</v>
      </c>
      <c r="L9" s="16" t="s">
        <v>105</v>
      </c>
      <c r="M9" s="16" t="s">
        <v>106</v>
      </c>
      <c r="N9" s="12" t="s">
        <v>107</v>
      </c>
      <c r="O9" s="4" t="s">
        <v>108</v>
      </c>
      <c r="P9" s="4" t="s">
        <v>95</v>
      </c>
    </row>
    <row r="10" customFormat="false" ht="15" hidden="false" customHeight="false" outlineLevel="0" collapsed="false">
      <c r="A10" s="16" t="n">
        <v>7</v>
      </c>
      <c r="B10" s="16" t="s">
        <v>101</v>
      </c>
      <c r="C10" s="16" t="s">
        <v>102</v>
      </c>
      <c r="D10" s="16" t="s">
        <v>96</v>
      </c>
      <c r="E10" s="17" t="n">
        <v>62500000</v>
      </c>
      <c r="F10" s="17" t="n">
        <v>0</v>
      </c>
      <c r="G10" s="11" t="n">
        <f aca="false">E10-F10</f>
        <v>62500000</v>
      </c>
      <c r="H10" s="5" t="n">
        <v>46071</v>
      </c>
      <c r="I10" s="16" t="s">
        <v>90</v>
      </c>
      <c r="J10" s="16" t="s">
        <v>109</v>
      </c>
      <c r="K10" s="16" t="s">
        <v>104</v>
      </c>
      <c r="L10" s="16" t="s">
        <v>110</v>
      </c>
      <c r="M10" s="16" t="s">
        <v>106</v>
      </c>
      <c r="N10" s="12" t="s">
        <v>107</v>
      </c>
      <c r="O10" s="4" t="s">
        <v>108</v>
      </c>
      <c r="P10" s="4" t="s">
        <v>95</v>
      </c>
    </row>
    <row r="11" customFormat="false" ht="15" hidden="false" customHeight="false" outlineLevel="0" collapsed="false">
      <c r="A11" s="16" t="n">
        <v>8</v>
      </c>
      <c r="B11" s="16" t="s">
        <v>101</v>
      </c>
      <c r="C11" s="16" t="s">
        <v>102</v>
      </c>
      <c r="D11" s="16" t="s">
        <v>96</v>
      </c>
      <c r="E11" s="17" t="n">
        <v>125000000</v>
      </c>
      <c r="F11" s="17" t="n">
        <v>0</v>
      </c>
      <c r="G11" s="11" t="n">
        <f aca="false">E11-F11</f>
        <v>125000000</v>
      </c>
      <c r="H11" s="5" t="n">
        <v>46071</v>
      </c>
      <c r="I11" s="16" t="s">
        <v>90</v>
      </c>
      <c r="J11" s="16" t="s">
        <v>111</v>
      </c>
      <c r="K11" s="16" t="s">
        <v>104</v>
      </c>
      <c r="L11" s="16" t="s">
        <v>112</v>
      </c>
      <c r="M11" s="16" t="s">
        <v>106</v>
      </c>
      <c r="N11" s="12" t="s">
        <v>113</v>
      </c>
      <c r="O11" s="4" t="s">
        <v>108</v>
      </c>
      <c r="P11" s="4" t="s">
        <v>95</v>
      </c>
    </row>
    <row r="12" customFormat="false" ht="15" hidden="false" customHeight="false" outlineLevel="0" collapsed="false">
      <c r="A12" s="16" t="n">
        <v>9</v>
      </c>
      <c r="B12" s="16" t="s">
        <v>101</v>
      </c>
      <c r="C12" s="16" t="s">
        <v>102</v>
      </c>
      <c r="D12" s="16" t="s">
        <v>96</v>
      </c>
      <c r="E12" s="17" t="n">
        <v>182166667</v>
      </c>
      <c r="F12" s="17" t="n">
        <v>0</v>
      </c>
      <c r="G12" s="11" t="n">
        <f aca="false">E12-F12</f>
        <v>182166667</v>
      </c>
      <c r="H12" s="5" t="n">
        <v>46100</v>
      </c>
      <c r="I12" s="16" t="s">
        <v>90</v>
      </c>
      <c r="J12" s="16" t="s">
        <v>114</v>
      </c>
      <c r="K12" s="16" t="s">
        <v>104</v>
      </c>
      <c r="L12" s="16" t="s">
        <v>115</v>
      </c>
      <c r="M12" s="16" t="s">
        <v>106</v>
      </c>
      <c r="N12" s="12" t="s">
        <v>116</v>
      </c>
      <c r="O12" s="4" t="s">
        <v>108</v>
      </c>
      <c r="P12" s="4" t="s">
        <v>95</v>
      </c>
    </row>
    <row r="13" customFormat="false" ht="15" hidden="false" customHeight="false" outlineLevel="0" collapsed="false">
      <c r="A13" s="16" t="n">
        <v>10</v>
      </c>
      <c r="B13" s="16" t="s">
        <v>101</v>
      </c>
      <c r="C13" s="16" t="s">
        <v>102</v>
      </c>
      <c r="D13" s="16" t="s">
        <v>96</v>
      </c>
      <c r="E13" s="17" t="n">
        <v>62500000</v>
      </c>
      <c r="F13" s="17" t="n">
        <v>0</v>
      </c>
      <c r="G13" s="11" t="n">
        <f aca="false">E13-F13</f>
        <v>62500000</v>
      </c>
      <c r="H13" s="5" t="n">
        <v>46100</v>
      </c>
      <c r="I13" s="16" t="s">
        <v>90</v>
      </c>
      <c r="J13" s="16" t="s">
        <v>117</v>
      </c>
      <c r="K13" s="16" t="s">
        <v>104</v>
      </c>
      <c r="L13" s="16" t="s">
        <v>118</v>
      </c>
      <c r="M13" s="16" t="s">
        <v>106</v>
      </c>
      <c r="N13" s="12" t="s">
        <v>107</v>
      </c>
      <c r="O13" s="4" t="s">
        <v>108</v>
      </c>
      <c r="P13" s="4" t="s">
        <v>95</v>
      </c>
    </row>
    <row r="14" customFormat="false" ht="15" hidden="false" customHeight="false" outlineLevel="0" collapsed="false">
      <c r="A14" s="16" t="n">
        <v>11</v>
      </c>
      <c r="B14" s="16" t="s">
        <v>101</v>
      </c>
      <c r="C14" s="16" t="s">
        <v>102</v>
      </c>
      <c r="D14" s="16" t="s">
        <v>96</v>
      </c>
      <c r="E14" s="17" t="n">
        <v>62500000</v>
      </c>
      <c r="F14" s="17" t="n">
        <v>0</v>
      </c>
      <c r="G14" s="11" t="n">
        <f aca="false">E14-F14</f>
        <v>62500000</v>
      </c>
      <c r="H14" s="5" t="n">
        <v>46136</v>
      </c>
      <c r="I14" s="16" t="s">
        <v>90</v>
      </c>
      <c r="J14" s="16" t="s">
        <v>119</v>
      </c>
      <c r="K14" s="16" t="s">
        <v>104</v>
      </c>
      <c r="L14" s="16" t="s">
        <v>120</v>
      </c>
      <c r="M14" s="16" t="s">
        <v>106</v>
      </c>
      <c r="N14" s="12" t="s">
        <v>107</v>
      </c>
      <c r="O14" s="4" t="s">
        <v>108</v>
      </c>
      <c r="P14" s="4" t="s">
        <v>95</v>
      </c>
    </row>
    <row r="15" customFormat="false" ht="15" hidden="false" customHeight="false" outlineLevel="0" collapsed="false">
      <c r="A15" s="16" t="n">
        <v>12</v>
      </c>
      <c r="B15" s="16" t="s">
        <v>101</v>
      </c>
      <c r="C15" s="16" t="s">
        <v>102</v>
      </c>
      <c r="D15" s="16" t="s">
        <v>96</v>
      </c>
      <c r="E15" s="17" t="n">
        <v>125000000</v>
      </c>
      <c r="F15" s="17" t="n">
        <v>0</v>
      </c>
      <c r="G15" s="11" t="n">
        <f aca="false">E15-F15</f>
        <v>125000000</v>
      </c>
      <c r="H15" s="5" t="n">
        <v>46164</v>
      </c>
      <c r="I15" s="16" t="s">
        <v>90</v>
      </c>
      <c r="J15" s="16" t="s">
        <v>121</v>
      </c>
      <c r="K15" s="16" t="s">
        <v>104</v>
      </c>
      <c r="L15" s="16" t="s">
        <v>122</v>
      </c>
      <c r="M15" s="16" t="s">
        <v>106</v>
      </c>
      <c r="N15" s="12" t="s">
        <v>113</v>
      </c>
      <c r="O15" s="4" t="s">
        <v>108</v>
      </c>
      <c r="P15" s="4" t="s">
        <v>95</v>
      </c>
    </row>
    <row r="16" customFormat="false" ht="15" hidden="false" customHeight="false" outlineLevel="0" collapsed="false">
      <c r="A16" s="16" t="n">
        <v>13</v>
      </c>
      <c r="B16" s="16" t="s">
        <v>101</v>
      </c>
      <c r="C16" s="16" t="s">
        <v>102</v>
      </c>
      <c r="D16" s="16" t="s">
        <v>96</v>
      </c>
      <c r="E16" s="17" t="n">
        <v>62500000</v>
      </c>
      <c r="F16" s="17" t="n">
        <v>0</v>
      </c>
      <c r="G16" s="11" t="n">
        <f aca="false">E16-F16</f>
        <v>62500000</v>
      </c>
      <c r="H16" s="5" t="n">
        <v>46164</v>
      </c>
      <c r="I16" s="16" t="s">
        <v>90</v>
      </c>
      <c r="J16" s="16" t="s">
        <v>123</v>
      </c>
      <c r="K16" s="16" t="s">
        <v>104</v>
      </c>
      <c r="L16" s="16" t="s">
        <v>124</v>
      </c>
      <c r="M16" s="16" t="s">
        <v>106</v>
      </c>
      <c r="N16" s="12" t="s">
        <v>107</v>
      </c>
      <c r="O16" s="4" t="s">
        <v>108</v>
      </c>
      <c r="P16" s="4" t="s">
        <v>95</v>
      </c>
    </row>
    <row r="17" customFormat="false" ht="15" hidden="false" customHeight="false" outlineLevel="0" collapsed="false">
      <c r="A17" s="16" t="n">
        <v>14</v>
      </c>
      <c r="B17" s="16" t="s">
        <v>101</v>
      </c>
      <c r="C17" s="16" t="s">
        <v>102</v>
      </c>
      <c r="D17" s="16" t="s">
        <v>96</v>
      </c>
      <c r="E17" s="17" t="n">
        <v>62500000</v>
      </c>
      <c r="F17" s="17" t="n">
        <v>0</v>
      </c>
      <c r="G17" s="11" t="n">
        <f aca="false">E17-F17</f>
        <v>62500000</v>
      </c>
      <c r="H17" s="5" t="n">
        <v>46197</v>
      </c>
      <c r="I17" s="16" t="s">
        <v>90</v>
      </c>
      <c r="J17" s="16" t="s">
        <v>125</v>
      </c>
      <c r="K17" s="16" t="s">
        <v>104</v>
      </c>
      <c r="L17" s="16" t="s">
        <v>126</v>
      </c>
      <c r="M17" s="16" t="s">
        <v>106</v>
      </c>
      <c r="N17" s="12" t="s">
        <v>107</v>
      </c>
      <c r="O17" s="4" t="s">
        <v>108</v>
      </c>
      <c r="P17" s="4" t="s">
        <v>95</v>
      </c>
    </row>
    <row r="18" customFormat="false" ht="15" hidden="false" customHeight="false" outlineLevel="0" collapsed="false">
      <c r="A18" s="16" t="n">
        <v>15</v>
      </c>
      <c r="B18" s="16" t="s">
        <v>101</v>
      </c>
      <c r="C18" s="16" t="s">
        <v>102</v>
      </c>
      <c r="D18" s="16" t="s">
        <v>96</v>
      </c>
      <c r="E18" s="17" t="n">
        <v>182166667</v>
      </c>
      <c r="F18" s="17" t="n">
        <v>0</v>
      </c>
      <c r="G18" s="11" t="n">
        <f aca="false">E18-F18</f>
        <v>182166667</v>
      </c>
      <c r="H18" s="5" t="n">
        <v>46197</v>
      </c>
      <c r="I18" s="16" t="s">
        <v>90</v>
      </c>
      <c r="J18" s="16" t="s">
        <v>127</v>
      </c>
      <c r="K18" s="16" t="s">
        <v>104</v>
      </c>
      <c r="L18" s="16" t="s">
        <v>128</v>
      </c>
      <c r="M18" s="16" t="s">
        <v>106</v>
      </c>
      <c r="N18" s="12" t="s">
        <v>116</v>
      </c>
      <c r="O18" s="4" t="s">
        <v>108</v>
      </c>
      <c r="P18" s="4" t="s">
        <v>95</v>
      </c>
    </row>
    <row r="19" customFormat="false" ht="15" hidden="false" customHeight="false" outlineLevel="0" collapsed="false">
      <c r="A19" s="16" t="n">
        <v>16</v>
      </c>
      <c r="B19" s="16" t="s">
        <v>101</v>
      </c>
      <c r="C19" s="16" t="s">
        <v>102</v>
      </c>
      <c r="D19" s="16" t="s">
        <v>96</v>
      </c>
      <c r="E19" s="17" t="n">
        <v>62500000</v>
      </c>
      <c r="F19" s="17" t="n">
        <v>0</v>
      </c>
      <c r="G19" s="11" t="n">
        <f aca="false">E19-F19</f>
        <v>62500000</v>
      </c>
      <c r="H19" s="5" t="n">
        <v>46230</v>
      </c>
      <c r="I19" s="16" t="s">
        <v>90</v>
      </c>
      <c r="J19" s="16" t="s">
        <v>129</v>
      </c>
      <c r="K19" s="16" t="s">
        <v>104</v>
      </c>
      <c r="L19" s="16" t="s">
        <v>130</v>
      </c>
      <c r="M19" s="16" t="s">
        <v>106</v>
      </c>
      <c r="N19" s="12" t="s">
        <v>107</v>
      </c>
      <c r="O19" s="4" t="s">
        <v>108</v>
      </c>
      <c r="P19" s="4" t="s">
        <v>95</v>
      </c>
    </row>
    <row r="20" customFormat="false" ht="15" hidden="false" customHeight="false" outlineLevel="0" collapsed="false">
      <c r="A20" s="16" t="n">
        <v>17</v>
      </c>
      <c r="B20" s="16" t="s">
        <v>101</v>
      </c>
      <c r="C20" s="16" t="s">
        <v>102</v>
      </c>
      <c r="D20" s="16" t="s">
        <v>131</v>
      </c>
      <c r="E20" s="17" t="n">
        <v>143750000</v>
      </c>
      <c r="F20" s="17" t="n">
        <v>0</v>
      </c>
      <c r="G20" s="11" t="n">
        <f aca="false">E20-F20</f>
        <v>143750000</v>
      </c>
      <c r="H20" s="5" t="n">
        <v>46094</v>
      </c>
      <c r="I20" s="16" t="s">
        <v>132</v>
      </c>
      <c r="J20" s="16" t="s">
        <v>133</v>
      </c>
      <c r="K20" s="16" t="s">
        <v>104</v>
      </c>
      <c r="L20" s="16" t="s">
        <v>134</v>
      </c>
      <c r="M20" s="16" t="s">
        <v>106</v>
      </c>
      <c r="N20" s="12" t="s">
        <v>135</v>
      </c>
      <c r="O20" s="4" t="s">
        <v>108</v>
      </c>
      <c r="P20" s="4" t="s">
        <v>95</v>
      </c>
    </row>
    <row r="21" customFormat="false" ht="15" hidden="false" customHeight="false" outlineLevel="0" collapsed="false">
      <c r="A21" s="16" t="n">
        <v>18</v>
      </c>
      <c r="B21" s="16" t="s">
        <v>101</v>
      </c>
      <c r="C21" s="16" t="s">
        <v>102</v>
      </c>
      <c r="D21" s="16" t="s">
        <v>131</v>
      </c>
      <c r="E21" s="17" t="n">
        <v>143750000</v>
      </c>
      <c r="F21" s="17" t="n">
        <v>0</v>
      </c>
      <c r="G21" s="11" t="n">
        <f aca="false">E21-F21</f>
        <v>143750000</v>
      </c>
      <c r="H21" s="5" t="n">
        <v>46203</v>
      </c>
      <c r="I21" s="16" t="s">
        <v>132</v>
      </c>
      <c r="J21" s="16" t="s">
        <v>136</v>
      </c>
      <c r="K21" s="16" t="s">
        <v>104</v>
      </c>
      <c r="L21" s="16" t="s">
        <v>137</v>
      </c>
      <c r="M21" s="16" t="s">
        <v>106</v>
      </c>
      <c r="N21" s="12" t="s">
        <v>135</v>
      </c>
      <c r="O21" s="4" t="s">
        <v>108</v>
      </c>
      <c r="P21" s="4" t="s">
        <v>95</v>
      </c>
    </row>
    <row r="22" customFormat="false" ht="15" hidden="false" customHeight="false" outlineLevel="0" collapsed="false">
      <c r="A22" s="16" t="n">
        <v>19</v>
      </c>
      <c r="B22" s="16" t="s">
        <v>101</v>
      </c>
      <c r="C22" s="16" t="s">
        <v>102</v>
      </c>
      <c r="D22" s="16" t="s">
        <v>138</v>
      </c>
      <c r="E22" s="17" t="n">
        <v>1666666666</v>
      </c>
      <c r="F22" s="17" t="n">
        <v>0</v>
      </c>
      <c r="G22" s="11" t="n">
        <f aca="false">E22-F22</f>
        <v>1666666666</v>
      </c>
      <c r="H22" s="5" t="n">
        <v>46136</v>
      </c>
      <c r="I22" s="16" t="s">
        <v>139</v>
      </c>
      <c r="J22" s="16" t="s">
        <v>140</v>
      </c>
      <c r="K22" s="16" t="s">
        <v>104</v>
      </c>
      <c r="L22" s="16" t="s">
        <v>141</v>
      </c>
      <c r="M22" s="16" t="s">
        <v>106</v>
      </c>
      <c r="N22" s="12" t="s">
        <v>142</v>
      </c>
      <c r="O22" s="4" t="s">
        <v>108</v>
      </c>
      <c r="P22" s="4" t="s">
        <v>95</v>
      </c>
    </row>
    <row r="23" customFormat="false" ht="15" hidden="false" customHeight="false" outlineLevel="0" collapsed="false">
      <c r="A23" s="16" t="n">
        <v>20</v>
      </c>
      <c r="B23" s="16" t="s">
        <v>143</v>
      </c>
      <c r="C23" s="16" t="s">
        <v>144</v>
      </c>
      <c r="D23" s="16" t="s">
        <v>145</v>
      </c>
      <c r="E23" s="17" t="n">
        <v>92449</v>
      </c>
      <c r="F23" s="17" t="n">
        <v>92449</v>
      </c>
      <c r="G23" s="11" t="n">
        <f aca="false">E23-F23</f>
        <v>0</v>
      </c>
      <c r="H23" s="5" t="n">
        <v>46198</v>
      </c>
      <c r="I23" s="16" t="s">
        <v>90</v>
      </c>
      <c r="J23" s="16" t="s">
        <v>146</v>
      </c>
      <c r="K23" s="16" t="s">
        <v>147</v>
      </c>
      <c r="L23" s="16" t="s">
        <v>148</v>
      </c>
      <c r="M23" s="16" t="s">
        <v>106</v>
      </c>
      <c r="N23" s="12" t="s">
        <v>149</v>
      </c>
      <c r="O23" s="4" t="s">
        <v>150</v>
      </c>
      <c r="P23" s="4" t="s">
        <v>150</v>
      </c>
    </row>
    <row r="24" customFormat="false" ht="15" hidden="false" customHeight="false" outlineLevel="0" collapsed="false">
      <c r="A24" s="16" t="n">
        <v>21</v>
      </c>
      <c r="B24" s="16" t="s">
        <v>143</v>
      </c>
      <c r="C24" s="16" t="s">
        <v>144</v>
      </c>
      <c r="D24" s="16" t="s">
        <v>151</v>
      </c>
      <c r="E24" s="17" t="n">
        <v>0</v>
      </c>
      <c r="F24" s="17" t="n">
        <v>297500</v>
      </c>
      <c r="G24" s="11" t="n">
        <f aca="false">E24-F24</f>
        <v>-297500</v>
      </c>
      <c r="H24" s="5" t="n">
        <v>46107</v>
      </c>
      <c r="I24" s="16" t="s">
        <v>152</v>
      </c>
      <c r="J24" s="16" t="s">
        <v>153</v>
      </c>
      <c r="K24" s="16" t="s">
        <v>147</v>
      </c>
      <c r="L24" s="16" t="s">
        <v>154</v>
      </c>
      <c r="M24" s="16" t="s">
        <v>106</v>
      </c>
      <c r="N24" s="12" t="s">
        <v>149</v>
      </c>
      <c r="O24" s="4" t="s">
        <v>150</v>
      </c>
      <c r="P24" s="4" t="s">
        <v>150</v>
      </c>
    </row>
    <row r="25" customFormat="false" ht="15" hidden="false" customHeight="false" outlineLevel="0" collapsed="false">
      <c r="A25" s="16" t="n">
        <v>22</v>
      </c>
      <c r="B25" s="16" t="s">
        <v>143</v>
      </c>
      <c r="C25" s="16" t="s">
        <v>144</v>
      </c>
      <c r="D25" s="16" t="s">
        <v>151</v>
      </c>
      <c r="E25" s="17" t="n">
        <v>297500</v>
      </c>
      <c r="F25" s="17" t="n">
        <v>0</v>
      </c>
      <c r="G25" s="11" t="n">
        <f aca="false">E25-F25</f>
        <v>297500</v>
      </c>
      <c r="H25" s="5" t="n">
        <v>46163</v>
      </c>
      <c r="I25" s="16" t="s">
        <v>90</v>
      </c>
      <c r="J25" s="16" t="s">
        <v>155</v>
      </c>
      <c r="K25" s="16" t="s">
        <v>147</v>
      </c>
      <c r="L25" s="16" t="s">
        <v>156</v>
      </c>
      <c r="M25" s="16" t="s">
        <v>106</v>
      </c>
      <c r="N25" s="12" t="s">
        <v>149</v>
      </c>
      <c r="O25" s="4" t="s">
        <v>150</v>
      </c>
      <c r="P25" s="4" t="s">
        <v>150</v>
      </c>
    </row>
    <row r="26" customFormat="false" ht="15" hidden="false" customHeight="false" outlineLevel="0" collapsed="false">
      <c r="A26" s="16" t="n">
        <v>23</v>
      </c>
      <c r="B26" s="16" t="s">
        <v>143</v>
      </c>
      <c r="C26" s="16" t="s">
        <v>144</v>
      </c>
      <c r="D26" s="16" t="s">
        <v>157</v>
      </c>
      <c r="E26" s="17" t="n">
        <v>0</v>
      </c>
      <c r="F26" s="17" t="n">
        <v>1752720</v>
      </c>
      <c r="G26" s="11" t="n">
        <f aca="false">E26-F26</f>
        <v>-1752720</v>
      </c>
      <c r="H26" s="5" t="n">
        <v>46162</v>
      </c>
      <c r="I26" s="16" t="s">
        <v>158</v>
      </c>
      <c r="J26" s="16" t="s">
        <v>159</v>
      </c>
      <c r="K26" s="16" t="s">
        <v>160</v>
      </c>
      <c r="L26" s="16" t="s">
        <v>161</v>
      </c>
      <c r="M26" s="16" t="s">
        <v>106</v>
      </c>
      <c r="N26" s="12" t="s">
        <v>149</v>
      </c>
      <c r="O26" s="4" t="s">
        <v>150</v>
      </c>
      <c r="P26" s="4" t="s">
        <v>150</v>
      </c>
    </row>
    <row r="27" customFormat="false" ht="15" hidden="false" customHeight="false" outlineLevel="0" collapsed="false">
      <c r="A27" s="16" t="n">
        <v>24</v>
      </c>
      <c r="B27" s="16" t="s">
        <v>143</v>
      </c>
      <c r="C27" s="16" t="s">
        <v>144</v>
      </c>
      <c r="D27" s="16" t="s">
        <v>157</v>
      </c>
      <c r="E27" s="17" t="n">
        <v>1752720</v>
      </c>
      <c r="F27" s="17" t="n">
        <v>0</v>
      </c>
      <c r="G27" s="11" t="n">
        <f aca="false">E27-F27</f>
        <v>1752720</v>
      </c>
      <c r="H27" s="5" t="n">
        <v>46167</v>
      </c>
      <c r="I27" s="16" t="s">
        <v>90</v>
      </c>
      <c r="J27" s="16" t="s">
        <v>162</v>
      </c>
      <c r="K27" s="16" t="s">
        <v>147</v>
      </c>
      <c r="L27" s="16" t="s">
        <v>163</v>
      </c>
      <c r="M27" s="16" t="s">
        <v>106</v>
      </c>
      <c r="N27" s="12" t="s">
        <v>149</v>
      </c>
      <c r="O27" s="4" t="s">
        <v>150</v>
      </c>
      <c r="P27" s="4" t="s">
        <v>150</v>
      </c>
    </row>
    <row r="28" customFormat="false" ht="15" hidden="false" customHeight="false" outlineLevel="0" collapsed="false">
      <c r="A28" s="16" t="n">
        <v>25</v>
      </c>
      <c r="B28" s="16" t="s">
        <v>143</v>
      </c>
      <c r="C28" s="16" t="s">
        <v>144</v>
      </c>
      <c r="D28" s="16" t="s">
        <v>157</v>
      </c>
      <c r="E28" s="17" t="n">
        <v>0</v>
      </c>
      <c r="F28" s="17" t="n">
        <v>1746709.94</v>
      </c>
      <c r="G28" s="11" t="n">
        <f aca="false">E28-F28</f>
        <v>-1746709.94</v>
      </c>
      <c r="H28" s="5" t="n">
        <v>46234</v>
      </c>
      <c r="I28" s="16" t="s">
        <v>158</v>
      </c>
      <c r="J28" s="16" t="s">
        <v>164</v>
      </c>
      <c r="K28" s="16" t="s">
        <v>147</v>
      </c>
      <c r="L28" s="16" t="s">
        <v>165</v>
      </c>
      <c r="M28" s="16" t="s">
        <v>106</v>
      </c>
      <c r="N28" s="12" t="s">
        <v>149</v>
      </c>
      <c r="O28" s="4" t="s">
        <v>150</v>
      </c>
      <c r="P28" s="4" t="s">
        <v>150</v>
      </c>
    </row>
    <row r="29" customFormat="false" ht="15" hidden="false" customHeight="false" outlineLevel="0" collapsed="false">
      <c r="A29" s="16" t="n">
        <v>26</v>
      </c>
      <c r="B29" s="16" t="s">
        <v>143</v>
      </c>
      <c r="C29" s="16" t="s">
        <v>144</v>
      </c>
      <c r="D29" s="16" t="s">
        <v>166</v>
      </c>
      <c r="E29" s="17" t="n">
        <v>1722360</v>
      </c>
      <c r="F29" s="17" t="n">
        <v>1722360</v>
      </c>
      <c r="G29" s="11" t="n">
        <f aca="false">E29-F29</f>
        <v>0</v>
      </c>
      <c r="H29" s="5" t="n">
        <v>46198</v>
      </c>
      <c r="I29" s="16" t="s">
        <v>90</v>
      </c>
      <c r="J29" s="16" t="s">
        <v>146</v>
      </c>
      <c r="K29" s="16" t="s">
        <v>147</v>
      </c>
      <c r="L29" s="16" t="s">
        <v>148</v>
      </c>
      <c r="M29" s="16" t="s">
        <v>106</v>
      </c>
      <c r="N29" s="12" t="s">
        <v>149</v>
      </c>
      <c r="O29" s="4" t="s">
        <v>150</v>
      </c>
      <c r="P29" s="4" t="s">
        <v>150</v>
      </c>
    </row>
    <row r="30" customFormat="false" ht="15" hidden="false" customHeight="false" outlineLevel="0" collapsed="false">
      <c r="A30" s="16" t="n">
        <v>27</v>
      </c>
      <c r="B30" s="16" t="s">
        <v>143</v>
      </c>
      <c r="C30" s="16" t="s">
        <v>144</v>
      </c>
      <c r="D30" s="16" t="s">
        <v>96</v>
      </c>
      <c r="E30" s="17" t="n">
        <v>0</v>
      </c>
      <c r="F30" s="17" t="n">
        <v>9315.75</v>
      </c>
      <c r="G30" s="11" t="n">
        <f aca="false">E30-F30</f>
        <v>-9315.75</v>
      </c>
      <c r="H30" s="5" t="n">
        <v>46198</v>
      </c>
      <c r="I30" s="16" t="s">
        <v>90</v>
      </c>
      <c r="J30" s="16" t="s">
        <v>167</v>
      </c>
      <c r="K30" s="16" t="s">
        <v>147</v>
      </c>
      <c r="L30" s="16" t="s">
        <v>168</v>
      </c>
      <c r="M30" s="16" t="s">
        <v>106</v>
      </c>
      <c r="N30" s="12" t="s">
        <v>149</v>
      </c>
      <c r="O30" s="4" t="s">
        <v>150</v>
      </c>
      <c r="P30" s="4" t="s">
        <v>150</v>
      </c>
    </row>
    <row r="31" customFormat="false" ht="15" hidden="false" customHeight="false" outlineLevel="0" collapsed="false">
      <c r="A31" s="16" t="n">
        <v>28</v>
      </c>
      <c r="B31" s="16" t="s">
        <v>143</v>
      </c>
      <c r="C31" s="16" t="s">
        <v>144</v>
      </c>
      <c r="D31" s="16" t="s">
        <v>169</v>
      </c>
      <c r="E31" s="17" t="n">
        <v>0</v>
      </c>
      <c r="F31" s="17" t="n">
        <v>133586.24</v>
      </c>
      <c r="G31" s="11" t="n">
        <f aca="false">E31-F31</f>
        <v>-133586.24</v>
      </c>
      <c r="H31" s="5" t="n">
        <v>46126</v>
      </c>
      <c r="I31" s="16" t="s">
        <v>170</v>
      </c>
      <c r="J31" s="16" t="s">
        <v>171</v>
      </c>
      <c r="K31" s="16" t="s">
        <v>172</v>
      </c>
      <c r="L31" s="16" t="s">
        <v>173</v>
      </c>
      <c r="M31" s="16" t="s">
        <v>106</v>
      </c>
      <c r="N31" s="12" t="s">
        <v>149</v>
      </c>
      <c r="O31" s="4" t="s">
        <v>150</v>
      </c>
      <c r="P31" s="4" t="s">
        <v>150</v>
      </c>
    </row>
    <row r="32" customFormat="false" ht="15" hidden="false" customHeight="false" outlineLevel="0" collapsed="false">
      <c r="A32" s="16" t="n">
        <v>29</v>
      </c>
      <c r="B32" s="16" t="s">
        <v>143</v>
      </c>
      <c r="C32" s="16" t="s">
        <v>144</v>
      </c>
      <c r="D32" s="16" t="s">
        <v>169</v>
      </c>
      <c r="E32" s="17" t="n">
        <v>170408.8</v>
      </c>
      <c r="F32" s="17" t="n">
        <v>0</v>
      </c>
      <c r="G32" s="11" t="n">
        <f aca="false">E32-F32</f>
        <v>170408.8</v>
      </c>
      <c r="H32" s="5" t="n">
        <v>46173</v>
      </c>
      <c r="I32" s="16" t="s">
        <v>90</v>
      </c>
      <c r="J32" s="16" t="s">
        <v>174</v>
      </c>
      <c r="K32" s="16" t="s">
        <v>160</v>
      </c>
      <c r="L32" s="16" t="s">
        <v>175</v>
      </c>
      <c r="M32" s="16" t="s">
        <v>176</v>
      </c>
      <c r="N32" s="12" t="s">
        <v>149</v>
      </c>
      <c r="O32" s="4" t="s">
        <v>150</v>
      </c>
      <c r="P32" s="4" t="s">
        <v>150</v>
      </c>
    </row>
    <row r="33" customFormat="false" ht="15" hidden="false" customHeight="false" outlineLevel="0" collapsed="false">
      <c r="A33" s="16" t="n">
        <v>30</v>
      </c>
      <c r="B33" s="16" t="s">
        <v>143</v>
      </c>
      <c r="C33" s="16" t="s">
        <v>144</v>
      </c>
      <c r="D33" s="16" t="s">
        <v>177</v>
      </c>
      <c r="E33" s="17" t="n">
        <v>0</v>
      </c>
      <c r="F33" s="17" t="n">
        <v>315014</v>
      </c>
      <c r="G33" s="11" t="n">
        <f aca="false">E33-F33</f>
        <v>-315014</v>
      </c>
      <c r="H33" s="5" t="n">
        <v>46053</v>
      </c>
      <c r="I33" s="16" t="s">
        <v>178</v>
      </c>
      <c r="J33" s="16" t="s">
        <v>179</v>
      </c>
      <c r="K33" s="16" t="s">
        <v>147</v>
      </c>
      <c r="L33" s="16" t="s">
        <v>180</v>
      </c>
      <c r="M33" s="16" t="s">
        <v>106</v>
      </c>
      <c r="N33" s="12" t="s">
        <v>149</v>
      </c>
      <c r="O33" s="4" t="s">
        <v>150</v>
      </c>
      <c r="P33" s="4" t="s">
        <v>150</v>
      </c>
    </row>
    <row r="34" customFormat="false" ht="15" hidden="false" customHeight="false" outlineLevel="0" collapsed="false">
      <c r="A34" s="16" t="n">
        <v>31</v>
      </c>
      <c r="B34" s="16" t="s">
        <v>143</v>
      </c>
      <c r="C34" s="16" t="s">
        <v>144</v>
      </c>
      <c r="D34" s="16" t="s">
        <v>177</v>
      </c>
      <c r="E34" s="17" t="n">
        <v>315014</v>
      </c>
      <c r="F34" s="17" t="n">
        <v>0</v>
      </c>
      <c r="G34" s="11" t="n">
        <f aca="false">E34-F34</f>
        <v>315014</v>
      </c>
      <c r="H34" s="5" t="n">
        <v>46072</v>
      </c>
      <c r="I34" s="16" t="s">
        <v>90</v>
      </c>
      <c r="J34" s="16" t="s">
        <v>181</v>
      </c>
      <c r="K34" s="16" t="s">
        <v>147</v>
      </c>
      <c r="L34" s="16" t="s">
        <v>182</v>
      </c>
      <c r="M34" s="16" t="s">
        <v>106</v>
      </c>
      <c r="N34" s="12" t="s">
        <v>149</v>
      </c>
      <c r="O34" s="4" t="s">
        <v>150</v>
      </c>
      <c r="P34" s="4" t="s">
        <v>150</v>
      </c>
    </row>
    <row r="35" customFormat="false" ht="15" hidden="false" customHeight="false" outlineLevel="0" collapsed="false">
      <c r="A35" s="16" t="n">
        <v>32</v>
      </c>
      <c r="B35" s="16" t="s">
        <v>143</v>
      </c>
      <c r="C35" s="16" t="s">
        <v>144</v>
      </c>
      <c r="D35" s="16" t="s">
        <v>183</v>
      </c>
      <c r="E35" s="17" t="n">
        <v>329935.88</v>
      </c>
      <c r="F35" s="17" t="n">
        <v>0</v>
      </c>
      <c r="G35" s="11" t="n">
        <f aca="false">E35-F35</f>
        <v>329935.88</v>
      </c>
      <c r="H35" s="5" t="n">
        <v>46173</v>
      </c>
      <c r="I35" s="16" t="s">
        <v>90</v>
      </c>
      <c r="J35" s="16" t="s">
        <v>174</v>
      </c>
      <c r="K35" s="16" t="s">
        <v>160</v>
      </c>
      <c r="L35" s="16" t="s">
        <v>175</v>
      </c>
      <c r="M35" s="16" t="s">
        <v>176</v>
      </c>
      <c r="N35" s="12" t="s">
        <v>149</v>
      </c>
      <c r="O35" s="4" t="s">
        <v>150</v>
      </c>
      <c r="P35" s="4" t="s">
        <v>150</v>
      </c>
    </row>
    <row r="36" customFormat="false" ht="15" hidden="false" customHeight="false" outlineLevel="0" collapsed="false">
      <c r="A36" s="16" t="n">
        <v>33</v>
      </c>
      <c r="B36" s="16" t="s">
        <v>143</v>
      </c>
      <c r="C36" s="16" t="s">
        <v>144</v>
      </c>
      <c r="D36" s="16" t="s">
        <v>184</v>
      </c>
      <c r="E36" s="17" t="n">
        <v>0.65</v>
      </c>
      <c r="F36" s="17" t="n">
        <v>0</v>
      </c>
      <c r="G36" s="11" t="n">
        <f aca="false">E36-F36</f>
        <v>0.65</v>
      </c>
      <c r="H36" s="5" t="n">
        <v>46052</v>
      </c>
      <c r="I36" s="16" t="s">
        <v>185</v>
      </c>
      <c r="J36" s="16" t="s">
        <v>186</v>
      </c>
      <c r="K36" s="16" t="s">
        <v>160</v>
      </c>
      <c r="L36" s="16" t="s">
        <v>187</v>
      </c>
      <c r="M36" s="16" t="s">
        <v>176</v>
      </c>
      <c r="N36" s="12" t="s">
        <v>149</v>
      </c>
      <c r="O36" s="4" t="s">
        <v>150</v>
      </c>
      <c r="P36" s="4" t="s">
        <v>150</v>
      </c>
    </row>
    <row r="37" customFormat="false" ht="15" hidden="false" customHeight="false" outlineLevel="0" collapsed="false">
      <c r="A37" s="16" t="n">
        <v>34</v>
      </c>
      <c r="B37" s="16" t="s">
        <v>143</v>
      </c>
      <c r="C37" s="16" t="s">
        <v>144</v>
      </c>
      <c r="D37" s="16" t="s">
        <v>188</v>
      </c>
      <c r="E37" s="17" t="n">
        <v>0</v>
      </c>
      <c r="F37" s="17" t="n">
        <v>2184823.68</v>
      </c>
      <c r="G37" s="11" t="n">
        <f aca="false">E37-F37</f>
        <v>-2184823.68</v>
      </c>
      <c r="H37" s="5" t="n">
        <v>46041</v>
      </c>
      <c r="I37" s="16" t="s">
        <v>189</v>
      </c>
      <c r="J37" s="16" t="s">
        <v>190</v>
      </c>
      <c r="K37" s="16" t="s">
        <v>147</v>
      </c>
      <c r="L37" s="16" t="s">
        <v>191</v>
      </c>
      <c r="M37" s="16" t="s">
        <v>106</v>
      </c>
      <c r="N37" s="12" t="s">
        <v>149</v>
      </c>
      <c r="O37" s="4" t="s">
        <v>150</v>
      </c>
      <c r="P37" s="4" t="s">
        <v>150</v>
      </c>
    </row>
    <row r="38" customFormat="false" ht="15" hidden="false" customHeight="false" outlineLevel="0" collapsed="false">
      <c r="A38" s="16" t="n">
        <v>35</v>
      </c>
      <c r="B38" s="16" t="s">
        <v>143</v>
      </c>
      <c r="C38" s="16" t="s">
        <v>144</v>
      </c>
      <c r="D38" s="16" t="s">
        <v>188</v>
      </c>
      <c r="E38" s="17" t="n">
        <v>2182529.47</v>
      </c>
      <c r="F38" s="17" t="n">
        <v>0</v>
      </c>
      <c r="G38" s="11" t="n">
        <f aca="false">E38-F38</f>
        <v>2182529.47</v>
      </c>
      <c r="H38" s="5" t="n">
        <v>46052</v>
      </c>
      <c r="I38" s="16" t="s">
        <v>90</v>
      </c>
      <c r="J38" s="16" t="s">
        <v>192</v>
      </c>
      <c r="K38" s="16" t="s">
        <v>147</v>
      </c>
      <c r="L38" s="16" t="s">
        <v>193</v>
      </c>
      <c r="M38" s="16" t="s">
        <v>106</v>
      </c>
      <c r="N38" s="12" t="s">
        <v>149</v>
      </c>
      <c r="O38" s="4" t="s">
        <v>150</v>
      </c>
      <c r="P38" s="4" t="s">
        <v>150</v>
      </c>
    </row>
    <row r="39" customFormat="false" ht="15" hidden="false" customHeight="false" outlineLevel="0" collapsed="false">
      <c r="A39" s="16" t="n">
        <v>36</v>
      </c>
      <c r="B39" s="16" t="s">
        <v>143</v>
      </c>
      <c r="C39" s="16" t="s">
        <v>144</v>
      </c>
      <c r="D39" s="16" t="s">
        <v>188</v>
      </c>
      <c r="E39" s="17" t="n">
        <v>0</v>
      </c>
      <c r="F39" s="17" t="n">
        <v>2334066.53</v>
      </c>
      <c r="G39" s="11" t="n">
        <f aca="false">E39-F39</f>
        <v>-2334066.53</v>
      </c>
      <c r="H39" s="5" t="n">
        <v>46063</v>
      </c>
      <c r="I39" s="16" t="s">
        <v>189</v>
      </c>
      <c r="J39" s="16" t="s">
        <v>194</v>
      </c>
      <c r="K39" s="16" t="s">
        <v>147</v>
      </c>
      <c r="L39" s="16" t="s">
        <v>195</v>
      </c>
      <c r="M39" s="16" t="s">
        <v>106</v>
      </c>
      <c r="N39" s="12" t="s">
        <v>149</v>
      </c>
      <c r="O39" s="4" t="s">
        <v>150</v>
      </c>
      <c r="P39" s="4" t="s">
        <v>150</v>
      </c>
    </row>
    <row r="40" customFormat="false" ht="15" hidden="false" customHeight="false" outlineLevel="0" collapsed="false">
      <c r="A40" s="16" t="n">
        <v>37</v>
      </c>
      <c r="B40" s="16" t="s">
        <v>143</v>
      </c>
      <c r="C40" s="16" t="s">
        <v>144</v>
      </c>
      <c r="D40" s="16" t="s">
        <v>188</v>
      </c>
      <c r="E40" s="17" t="n">
        <v>2184823.68</v>
      </c>
      <c r="F40" s="17" t="n">
        <v>0</v>
      </c>
      <c r="G40" s="11" t="n">
        <f aca="false">E40-F40</f>
        <v>2184823.68</v>
      </c>
      <c r="H40" s="5" t="n">
        <v>46072</v>
      </c>
      <c r="I40" s="16" t="s">
        <v>90</v>
      </c>
      <c r="J40" s="16" t="s">
        <v>196</v>
      </c>
      <c r="K40" s="16" t="s">
        <v>147</v>
      </c>
      <c r="L40" s="16" t="s">
        <v>197</v>
      </c>
      <c r="M40" s="16" t="s">
        <v>106</v>
      </c>
      <c r="N40" s="12" t="s">
        <v>149</v>
      </c>
      <c r="O40" s="4" t="s">
        <v>150</v>
      </c>
      <c r="P40" s="4" t="s">
        <v>150</v>
      </c>
    </row>
    <row r="41" customFormat="false" ht="15" hidden="false" customHeight="false" outlineLevel="0" collapsed="false">
      <c r="A41" s="16" t="n">
        <v>38</v>
      </c>
      <c r="B41" s="16" t="s">
        <v>143</v>
      </c>
      <c r="C41" s="16" t="s">
        <v>144</v>
      </c>
      <c r="D41" s="16" t="s">
        <v>188</v>
      </c>
      <c r="E41" s="17" t="n">
        <v>0</v>
      </c>
      <c r="F41" s="17" t="n">
        <v>2346053</v>
      </c>
      <c r="G41" s="11" t="n">
        <f aca="false">E41-F41</f>
        <v>-2346053</v>
      </c>
      <c r="H41" s="5" t="n">
        <v>46093</v>
      </c>
      <c r="I41" s="16" t="s">
        <v>189</v>
      </c>
      <c r="J41" s="16" t="s">
        <v>198</v>
      </c>
      <c r="K41" s="16" t="s">
        <v>147</v>
      </c>
      <c r="L41" s="16" t="s">
        <v>199</v>
      </c>
      <c r="M41" s="16" t="s">
        <v>106</v>
      </c>
      <c r="N41" s="12" t="s">
        <v>149</v>
      </c>
      <c r="O41" s="4" t="s">
        <v>150</v>
      </c>
      <c r="P41" s="4" t="s">
        <v>150</v>
      </c>
    </row>
    <row r="42" customFormat="false" ht="15" hidden="false" customHeight="false" outlineLevel="0" collapsed="false">
      <c r="A42" s="16" t="n">
        <v>39</v>
      </c>
      <c r="B42" s="16" t="s">
        <v>143</v>
      </c>
      <c r="C42" s="16" t="s">
        <v>144</v>
      </c>
      <c r="D42" s="16" t="s">
        <v>188</v>
      </c>
      <c r="E42" s="17" t="n">
        <v>0</v>
      </c>
      <c r="F42" s="17" t="n">
        <v>2334066.53</v>
      </c>
      <c r="G42" s="11" t="n">
        <f aca="false">E42-F42</f>
        <v>-2334066.53</v>
      </c>
      <c r="H42" s="5" t="n">
        <v>46127</v>
      </c>
      <c r="I42" s="16" t="s">
        <v>189</v>
      </c>
      <c r="J42" s="16" t="s">
        <v>200</v>
      </c>
      <c r="K42" s="16" t="s">
        <v>147</v>
      </c>
      <c r="L42" s="16" t="s">
        <v>201</v>
      </c>
      <c r="M42" s="16" t="s">
        <v>106</v>
      </c>
      <c r="N42" s="12" t="s">
        <v>149</v>
      </c>
      <c r="O42" s="4" t="s">
        <v>150</v>
      </c>
      <c r="P42" s="4" t="s">
        <v>150</v>
      </c>
    </row>
    <row r="43" customFormat="false" ht="15" hidden="false" customHeight="false" outlineLevel="0" collapsed="false">
      <c r="A43" s="16" t="n">
        <v>40</v>
      </c>
      <c r="B43" s="16" t="s">
        <v>143</v>
      </c>
      <c r="C43" s="16" t="s">
        <v>144</v>
      </c>
      <c r="D43" s="16" t="s">
        <v>188</v>
      </c>
      <c r="E43" s="17" t="n">
        <v>2334066.53</v>
      </c>
      <c r="F43" s="17" t="n">
        <v>0</v>
      </c>
      <c r="G43" s="11" t="n">
        <f aca="false">E43-F43</f>
        <v>2334066.53</v>
      </c>
      <c r="H43" s="5" t="n">
        <v>46129</v>
      </c>
      <c r="I43" s="16" t="s">
        <v>90</v>
      </c>
      <c r="J43" s="16" t="s">
        <v>202</v>
      </c>
      <c r="K43" s="16" t="s">
        <v>147</v>
      </c>
      <c r="L43" s="16" t="s">
        <v>203</v>
      </c>
      <c r="M43" s="16" t="s">
        <v>106</v>
      </c>
      <c r="N43" s="12" t="s">
        <v>149</v>
      </c>
      <c r="O43" s="4" t="s">
        <v>150</v>
      </c>
      <c r="P43" s="4" t="s">
        <v>150</v>
      </c>
    </row>
    <row r="44" customFormat="false" ht="15" hidden="false" customHeight="false" outlineLevel="0" collapsed="false">
      <c r="A44" s="16" t="n">
        <v>41</v>
      </c>
      <c r="B44" s="16" t="s">
        <v>143</v>
      </c>
      <c r="C44" s="16" t="s">
        <v>144</v>
      </c>
      <c r="D44" s="16" t="s">
        <v>188</v>
      </c>
      <c r="E44" s="17" t="n">
        <v>2346053</v>
      </c>
      <c r="F44" s="17" t="n">
        <v>0</v>
      </c>
      <c r="G44" s="11" t="n">
        <f aca="false">E44-F44</f>
        <v>2346053</v>
      </c>
      <c r="H44" s="5" t="n">
        <v>46135</v>
      </c>
      <c r="I44" s="16" t="s">
        <v>90</v>
      </c>
      <c r="J44" s="16" t="s">
        <v>204</v>
      </c>
      <c r="K44" s="16" t="s">
        <v>147</v>
      </c>
      <c r="L44" s="16" t="s">
        <v>205</v>
      </c>
      <c r="M44" s="16" t="s">
        <v>106</v>
      </c>
      <c r="N44" s="12" t="s">
        <v>149</v>
      </c>
      <c r="O44" s="4" t="s">
        <v>150</v>
      </c>
      <c r="P44" s="4" t="s">
        <v>150</v>
      </c>
    </row>
    <row r="45" customFormat="false" ht="15" hidden="false" customHeight="false" outlineLevel="0" collapsed="false">
      <c r="A45" s="16" t="n">
        <v>42</v>
      </c>
      <c r="B45" s="16" t="s">
        <v>143</v>
      </c>
      <c r="C45" s="16" t="s">
        <v>144</v>
      </c>
      <c r="D45" s="16" t="s">
        <v>188</v>
      </c>
      <c r="E45" s="17" t="n">
        <v>0</v>
      </c>
      <c r="F45" s="17" t="n">
        <v>2336459.05</v>
      </c>
      <c r="G45" s="11" t="n">
        <f aca="false">E45-F45</f>
        <v>-2336459.05</v>
      </c>
      <c r="H45" s="5" t="n">
        <v>46155</v>
      </c>
      <c r="I45" s="16" t="s">
        <v>189</v>
      </c>
      <c r="J45" s="16" t="s">
        <v>206</v>
      </c>
      <c r="K45" s="16" t="s">
        <v>147</v>
      </c>
      <c r="L45" s="16" t="s">
        <v>207</v>
      </c>
      <c r="M45" s="16" t="s">
        <v>106</v>
      </c>
      <c r="N45" s="12" t="s">
        <v>149</v>
      </c>
      <c r="O45" s="4" t="s">
        <v>150</v>
      </c>
      <c r="P45" s="4" t="s">
        <v>150</v>
      </c>
    </row>
    <row r="46" customFormat="false" ht="15" hidden="false" customHeight="false" outlineLevel="0" collapsed="false">
      <c r="A46" s="16" t="n">
        <v>43</v>
      </c>
      <c r="B46" s="16" t="s">
        <v>143</v>
      </c>
      <c r="C46" s="16" t="s">
        <v>144</v>
      </c>
      <c r="D46" s="16" t="s">
        <v>188</v>
      </c>
      <c r="E46" s="17" t="n">
        <v>2334076</v>
      </c>
      <c r="F46" s="17" t="n">
        <v>0</v>
      </c>
      <c r="G46" s="11" t="n">
        <f aca="false">E46-F46</f>
        <v>2334076</v>
      </c>
      <c r="H46" s="5" t="n">
        <v>46163</v>
      </c>
      <c r="I46" s="16" t="s">
        <v>90</v>
      </c>
      <c r="J46" s="16" t="s">
        <v>208</v>
      </c>
      <c r="K46" s="16" t="s">
        <v>147</v>
      </c>
      <c r="L46" s="16" t="s">
        <v>209</v>
      </c>
      <c r="M46" s="16" t="s">
        <v>106</v>
      </c>
      <c r="N46" s="12" t="s">
        <v>149</v>
      </c>
      <c r="O46" s="4" t="s">
        <v>150</v>
      </c>
      <c r="P46" s="4" t="s">
        <v>150</v>
      </c>
    </row>
    <row r="47" customFormat="false" ht="15" hidden="false" customHeight="false" outlineLevel="0" collapsed="false">
      <c r="A47" s="16" t="n">
        <v>44</v>
      </c>
      <c r="B47" s="16" t="s">
        <v>143</v>
      </c>
      <c r="C47" s="16" t="s">
        <v>144</v>
      </c>
      <c r="D47" s="16" t="s">
        <v>188</v>
      </c>
      <c r="E47" s="17" t="n">
        <v>0</v>
      </c>
      <c r="F47" s="17" t="n">
        <v>2466205.95</v>
      </c>
      <c r="G47" s="11" t="n">
        <f aca="false">E47-F47</f>
        <v>-2466205.95</v>
      </c>
      <c r="H47" s="5" t="n">
        <v>46172</v>
      </c>
      <c r="I47" s="16" t="s">
        <v>210</v>
      </c>
      <c r="J47" s="16" t="s">
        <v>211</v>
      </c>
      <c r="K47" s="16" t="s">
        <v>147</v>
      </c>
      <c r="L47" s="16" t="s">
        <v>212</v>
      </c>
      <c r="M47" s="16" t="s">
        <v>106</v>
      </c>
      <c r="N47" s="12" t="s">
        <v>149</v>
      </c>
      <c r="O47" s="4" t="s">
        <v>150</v>
      </c>
      <c r="P47" s="4" t="s">
        <v>150</v>
      </c>
    </row>
    <row r="48" customFormat="false" ht="15" hidden="false" customHeight="false" outlineLevel="0" collapsed="false">
      <c r="A48" s="16" t="n">
        <v>45</v>
      </c>
      <c r="B48" s="16" t="s">
        <v>143</v>
      </c>
      <c r="C48" s="16" t="s">
        <v>144</v>
      </c>
      <c r="D48" s="16" t="s">
        <v>188</v>
      </c>
      <c r="E48" s="17" t="n">
        <v>0</v>
      </c>
      <c r="F48" s="17" t="n">
        <v>2334066.53</v>
      </c>
      <c r="G48" s="11" t="n">
        <f aca="false">E48-F48</f>
        <v>-2334066.53</v>
      </c>
      <c r="H48" s="5" t="n">
        <v>46185</v>
      </c>
      <c r="I48" s="16" t="s">
        <v>189</v>
      </c>
      <c r="J48" s="16" t="s">
        <v>213</v>
      </c>
      <c r="K48" s="16" t="s">
        <v>147</v>
      </c>
      <c r="L48" s="16" t="s">
        <v>214</v>
      </c>
      <c r="M48" s="16" t="s">
        <v>106</v>
      </c>
      <c r="N48" s="12" t="s">
        <v>149</v>
      </c>
      <c r="O48" s="4" t="s">
        <v>150</v>
      </c>
      <c r="P48" s="4" t="s">
        <v>150</v>
      </c>
    </row>
    <row r="49" customFormat="false" ht="15" hidden="false" customHeight="false" outlineLevel="0" collapsed="false">
      <c r="A49" s="16" t="n">
        <v>46</v>
      </c>
      <c r="B49" s="16" t="s">
        <v>143</v>
      </c>
      <c r="C49" s="16" t="s">
        <v>144</v>
      </c>
      <c r="D49" s="16" t="s">
        <v>188</v>
      </c>
      <c r="E49" s="17" t="n">
        <v>2336449.58</v>
      </c>
      <c r="F49" s="17" t="n">
        <v>0</v>
      </c>
      <c r="G49" s="11" t="n">
        <f aca="false">E49-F49</f>
        <v>2336449.58</v>
      </c>
      <c r="H49" s="5" t="n">
        <v>46203</v>
      </c>
      <c r="I49" s="16" t="s">
        <v>90</v>
      </c>
      <c r="J49" s="16" t="s">
        <v>215</v>
      </c>
      <c r="K49" s="16" t="s">
        <v>147</v>
      </c>
      <c r="L49" s="16" t="s">
        <v>216</v>
      </c>
      <c r="M49" s="16" t="s">
        <v>106</v>
      </c>
      <c r="N49" s="12" t="s">
        <v>149</v>
      </c>
      <c r="O49" s="4" t="s">
        <v>150</v>
      </c>
      <c r="P49" s="4" t="s">
        <v>150</v>
      </c>
    </row>
    <row r="50" customFormat="false" ht="15" hidden="false" customHeight="false" outlineLevel="0" collapsed="false">
      <c r="A50" s="16" t="n">
        <v>47</v>
      </c>
      <c r="B50" s="16" t="s">
        <v>143</v>
      </c>
      <c r="C50" s="16" t="s">
        <v>144</v>
      </c>
      <c r="D50" s="16" t="s">
        <v>188</v>
      </c>
      <c r="E50" s="17" t="n">
        <v>0</v>
      </c>
      <c r="F50" s="17" t="n">
        <v>2334066.53</v>
      </c>
      <c r="G50" s="11" t="n">
        <f aca="false">E50-F50</f>
        <v>-2334066.53</v>
      </c>
      <c r="H50" s="5" t="n">
        <v>46213</v>
      </c>
      <c r="I50" s="16" t="s">
        <v>189</v>
      </c>
      <c r="J50" s="16" t="s">
        <v>217</v>
      </c>
      <c r="K50" s="16" t="s">
        <v>147</v>
      </c>
      <c r="L50" s="16" t="s">
        <v>218</v>
      </c>
      <c r="M50" s="16" t="s">
        <v>106</v>
      </c>
      <c r="N50" s="12" t="s">
        <v>149</v>
      </c>
      <c r="O50" s="4" t="s">
        <v>150</v>
      </c>
      <c r="P50" s="4" t="s">
        <v>150</v>
      </c>
    </row>
    <row r="51" customFormat="false" ht="15" hidden="false" customHeight="false" outlineLevel="0" collapsed="false">
      <c r="A51" s="16" t="n">
        <v>48</v>
      </c>
      <c r="B51" s="16" t="s">
        <v>143</v>
      </c>
      <c r="C51" s="16" t="s">
        <v>144</v>
      </c>
      <c r="D51" s="16" t="s">
        <v>188</v>
      </c>
      <c r="E51" s="17" t="n">
        <v>2334066.53</v>
      </c>
      <c r="F51" s="17" t="n">
        <v>0</v>
      </c>
      <c r="G51" s="11" t="n">
        <f aca="false">E51-F51</f>
        <v>2334066.53</v>
      </c>
      <c r="H51" s="5" t="n">
        <v>46234</v>
      </c>
      <c r="I51" s="16" t="s">
        <v>90</v>
      </c>
      <c r="J51" s="16" t="s">
        <v>219</v>
      </c>
      <c r="K51" s="16" t="s">
        <v>147</v>
      </c>
      <c r="L51" s="16" t="s">
        <v>220</v>
      </c>
      <c r="M51" s="16" t="s">
        <v>106</v>
      </c>
      <c r="N51" s="12" t="s">
        <v>149</v>
      </c>
      <c r="O51" s="4" t="s">
        <v>150</v>
      </c>
      <c r="P51" s="4" t="s">
        <v>150</v>
      </c>
    </row>
    <row r="52" customFormat="false" ht="15" hidden="false" customHeight="false" outlineLevel="0" collapsed="false">
      <c r="A52" s="16" t="n">
        <v>49</v>
      </c>
      <c r="B52" s="16" t="s">
        <v>143</v>
      </c>
      <c r="C52" s="16" t="s">
        <v>144</v>
      </c>
      <c r="D52" s="16" t="s">
        <v>221</v>
      </c>
      <c r="E52" s="17" t="n">
        <v>0</v>
      </c>
      <c r="F52" s="17" t="n">
        <v>4259050</v>
      </c>
      <c r="G52" s="11" t="n">
        <f aca="false">E52-F52</f>
        <v>-4259050</v>
      </c>
      <c r="H52" s="5" t="n">
        <v>46053</v>
      </c>
      <c r="I52" s="16" t="s">
        <v>222</v>
      </c>
      <c r="J52" s="16" t="s">
        <v>223</v>
      </c>
      <c r="K52" s="16" t="s">
        <v>147</v>
      </c>
      <c r="L52" s="16" t="s">
        <v>224</v>
      </c>
      <c r="M52" s="16" t="s">
        <v>106</v>
      </c>
      <c r="N52" s="12" t="s">
        <v>149</v>
      </c>
      <c r="O52" s="4" t="s">
        <v>150</v>
      </c>
      <c r="P52" s="4" t="s">
        <v>150</v>
      </c>
    </row>
    <row r="53" customFormat="false" ht="15" hidden="false" customHeight="false" outlineLevel="0" collapsed="false">
      <c r="A53" s="16" t="n">
        <v>50</v>
      </c>
      <c r="B53" s="16" t="s">
        <v>143</v>
      </c>
      <c r="C53" s="16" t="s">
        <v>144</v>
      </c>
      <c r="D53" s="16" t="s">
        <v>221</v>
      </c>
      <c r="E53" s="17" t="n">
        <v>4259050</v>
      </c>
      <c r="F53" s="17" t="n">
        <v>0</v>
      </c>
      <c r="G53" s="11" t="n">
        <f aca="false">E53-F53</f>
        <v>4259050</v>
      </c>
      <c r="H53" s="5" t="n">
        <v>46129</v>
      </c>
      <c r="I53" s="16" t="s">
        <v>90</v>
      </c>
      <c r="J53" s="16" t="s">
        <v>225</v>
      </c>
      <c r="K53" s="16" t="s">
        <v>147</v>
      </c>
      <c r="L53" s="16" t="s">
        <v>226</v>
      </c>
      <c r="M53" s="16" t="s">
        <v>106</v>
      </c>
      <c r="N53" s="12" t="s">
        <v>149</v>
      </c>
      <c r="O53" s="4" t="s">
        <v>150</v>
      </c>
      <c r="P53" s="4" t="s">
        <v>150</v>
      </c>
    </row>
    <row r="54" customFormat="false" ht="15" hidden="false" customHeight="false" outlineLevel="0" collapsed="false">
      <c r="A54" s="16" t="n">
        <v>51</v>
      </c>
      <c r="B54" s="16" t="s">
        <v>143</v>
      </c>
      <c r="C54" s="16" t="s">
        <v>144</v>
      </c>
      <c r="D54" s="16" t="s">
        <v>227</v>
      </c>
      <c r="E54" s="17" t="n">
        <v>320919</v>
      </c>
      <c r="F54" s="17" t="n">
        <v>0</v>
      </c>
      <c r="G54" s="11" t="n">
        <f aca="false">E54-F54</f>
        <v>320919</v>
      </c>
      <c r="H54" s="5" t="n">
        <v>46081</v>
      </c>
      <c r="I54" s="16" t="s">
        <v>90</v>
      </c>
      <c r="J54" s="16" t="s">
        <v>228</v>
      </c>
      <c r="K54" s="16" t="s">
        <v>147</v>
      </c>
      <c r="L54" s="16" t="s">
        <v>229</v>
      </c>
      <c r="M54" s="16" t="s">
        <v>106</v>
      </c>
      <c r="N54" s="12" t="s">
        <v>149</v>
      </c>
      <c r="O54" s="4" t="s">
        <v>150</v>
      </c>
      <c r="P54" s="4" t="s">
        <v>150</v>
      </c>
    </row>
    <row r="55" customFormat="false" ht="15" hidden="false" customHeight="false" outlineLevel="0" collapsed="false">
      <c r="A55" s="16" t="n">
        <v>52</v>
      </c>
      <c r="B55" s="16" t="s">
        <v>143</v>
      </c>
      <c r="C55" s="16" t="s">
        <v>144</v>
      </c>
      <c r="D55" s="16" t="s">
        <v>227</v>
      </c>
      <c r="E55" s="17" t="n">
        <v>0</v>
      </c>
      <c r="F55" s="17" t="n">
        <v>320919</v>
      </c>
      <c r="G55" s="11" t="n">
        <f aca="false">E55-F55</f>
        <v>-320919</v>
      </c>
      <c r="H55" s="5" t="n">
        <v>46081</v>
      </c>
      <c r="I55" s="16" t="s">
        <v>230</v>
      </c>
      <c r="J55" s="16" t="s">
        <v>231</v>
      </c>
      <c r="K55" s="16" t="s">
        <v>147</v>
      </c>
      <c r="L55" s="16" t="s">
        <v>232</v>
      </c>
      <c r="M55" s="16" t="s">
        <v>106</v>
      </c>
      <c r="N55" s="12" t="s">
        <v>149</v>
      </c>
      <c r="O55" s="4" t="s">
        <v>150</v>
      </c>
      <c r="P55" s="4" t="s">
        <v>150</v>
      </c>
    </row>
    <row r="56" customFormat="false" ht="15" hidden="false" customHeight="false" outlineLevel="0" collapsed="false">
      <c r="A56" s="16" t="n">
        <v>53</v>
      </c>
      <c r="B56" s="16" t="s">
        <v>143</v>
      </c>
      <c r="C56" s="16" t="s">
        <v>144</v>
      </c>
      <c r="D56" s="16" t="s">
        <v>227</v>
      </c>
      <c r="E56" s="17" t="n">
        <v>0</v>
      </c>
      <c r="F56" s="17" t="n">
        <v>120000</v>
      </c>
      <c r="G56" s="11" t="n">
        <f aca="false">E56-F56</f>
        <v>-120000</v>
      </c>
      <c r="H56" s="5" t="n">
        <v>46234</v>
      </c>
      <c r="I56" s="16" t="s">
        <v>230</v>
      </c>
      <c r="J56" s="16" t="s">
        <v>233</v>
      </c>
      <c r="K56" s="16" t="s">
        <v>147</v>
      </c>
      <c r="L56" s="16" t="s">
        <v>234</v>
      </c>
      <c r="M56" s="16" t="s">
        <v>106</v>
      </c>
      <c r="N56" s="12" t="s">
        <v>149</v>
      </c>
      <c r="O56" s="4" t="s">
        <v>150</v>
      </c>
      <c r="P56" s="4" t="s">
        <v>150</v>
      </c>
    </row>
    <row r="57" customFormat="false" ht="15" hidden="false" customHeight="false" outlineLevel="0" collapsed="false">
      <c r="A57" s="16" t="n">
        <v>54</v>
      </c>
      <c r="B57" s="16" t="s">
        <v>143</v>
      </c>
      <c r="C57" s="16" t="s">
        <v>144</v>
      </c>
      <c r="D57" s="16" t="s">
        <v>235</v>
      </c>
      <c r="E57" s="17" t="n">
        <v>0</v>
      </c>
      <c r="F57" s="17" t="n">
        <v>251636</v>
      </c>
      <c r="G57" s="11" t="n">
        <f aca="false">E57-F57</f>
        <v>-251636</v>
      </c>
      <c r="H57" s="5" t="n">
        <v>46053</v>
      </c>
      <c r="I57" s="16" t="s">
        <v>236</v>
      </c>
      <c r="J57" s="16" t="s">
        <v>237</v>
      </c>
      <c r="K57" s="16" t="s">
        <v>147</v>
      </c>
      <c r="L57" s="16" t="s">
        <v>238</v>
      </c>
      <c r="M57" s="16" t="s">
        <v>106</v>
      </c>
      <c r="N57" s="12" t="s">
        <v>149</v>
      </c>
      <c r="O57" s="4" t="s">
        <v>150</v>
      </c>
      <c r="P57" s="4" t="s">
        <v>150</v>
      </c>
    </row>
    <row r="58" customFormat="false" ht="15" hidden="false" customHeight="false" outlineLevel="0" collapsed="false">
      <c r="A58" s="16" t="n">
        <v>55</v>
      </c>
      <c r="B58" s="16" t="s">
        <v>143</v>
      </c>
      <c r="C58" s="16" t="s">
        <v>144</v>
      </c>
      <c r="D58" s="16" t="s">
        <v>235</v>
      </c>
      <c r="E58" s="17" t="n">
        <v>251636</v>
      </c>
      <c r="F58" s="17" t="n">
        <v>0</v>
      </c>
      <c r="G58" s="11" t="n">
        <f aca="false">E58-F58</f>
        <v>251636</v>
      </c>
      <c r="H58" s="5" t="n">
        <v>46072</v>
      </c>
      <c r="I58" s="16" t="s">
        <v>90</v>
      </c>
      <c r="J58" s="16" t="s">
        <v>181</v>
      </c>
      <c r="K58" s="16" t="s">
        <v>147</v>
      </c>
      <c r="L58" s="16" t="s">
        <v>182</v>
      </c>
      <c r="M58" s="16" t="s">
        <v>106</v>
      </c>
      <c r="N58" s="12" t="s">
        <v>149</v>
      </c>
      <c r="O58" s="4" t="s">
        <v>150</v>
      </c>
      <c r="P58" s="4" t="s">
        <v>150</v>
      </c>
    </row>
    <row r="59" customFormat="false" ht="15" hidden="false" customHeight="false" outlineLevel="0" collapsed="false">
      <c r="A59" s="16" t="n">
        <v>56</v>
      </c>
      <c r="B59" s="16" t="s">
        <v>143</v>
      </c>
      <c r="C59" s="16" t="s">
        <v>144</v>
      </c>
      <c r="D59" s="16" t="s">
        <v>235</v>
      </c>
      <c r="E59" s="17" t="n">
        <v>0</v>
      </c>
      <c r="F59" s="17" t="n">
        <v>286346</v>
      </c>
      <c r="G59" s="11" t="n">
        <f aca="false">E59-F59</f>
        <v>-286346</v>
      </c>
      <c r="H59" s="5" t="n">
        <v>46134</v>
      </c>
      <c r="I59" s="16" t="s">
        <v>236</v>
      </c>
      <c r="J59" s="16" t="s">
        <v>239</v>
      </c>
      <c r="K59" s="16" t="s">
        <v>147</v>
      </c>
      <c r="L59" s="16" t="s">
        <v>240</v>
      </c>
      <c r="M59" s="16" t="s">
        <v>106</v>
      </c>
      <c r="N59" s="12" t="s">
        <v>149</v>
      </c>
      <c r="O59" s="4" t="s">
        <v>150</v>
      </c>
      <c r="P59" s="4" t="s">
        <v>150</v>
      </c>
    </row>
    <row r="60" customFormat="false" ht="15" hidden="false" customHeight="false" outlineLevel="0" collapsed="false">
      <c r="A60" s="16" t="n">
        <v>57</v>
      </c>
      <c r="B60" s="16" t="s">
        <v>143</v>
      </c>
      <c r="C60" s="16" t="s">
        <v>144</v>
      </c>
      <c r="D60" s="16" t="s">
        <v>235</v>
      </c>
      <c r="E60" s="17" t="n">
        <v>286346</v>
      </c>
      <c r="F60" s="17" t="n">
        <v>0</v>
      </c>
      <c r="G60" s="11" t="n">
        <f aca="false">E60-F60</f>
        <v>286346</v>
      </c>
      <c r="H60" s="5" t="n">
        <v>46135</v>
      </c>
      <c r="I60" s="16" t="s">
        <v>90</v>
      </c>
      <c r="J60" s="16" t="s">
        <v>241</v>
      </c>
      <c r="K60" s="16" t="s">
        <v>147</v>
      </c>
      <c r="L60" s="16" t="s">
        <v>242</v>
      </c>
      <c r="M60" s="16" t="s">
        <v>106</v>
      </c>
      <c r="N60" s="12" t="s">
        <v>149</v>
      </c>
      <c r="O60" s="4" t="s">
        <v>150</v>
      </c>
      <c r="P60" s="4" t="s">
        <v>150</v>
      </c>
    </row>
    <row r="61" customFormat="false" ht="15" hidden="false" customHeight="false" outlineLevel="0" collapsed="false">
      <c r="A61" s="16" t="n">
        <v>58</v>
      </c>
      <c r="B61" s="16" t="s">
        <v>143</v>
      </c>
      <c r="C61" s="16" t="s">
        <v>144</v>
      </c>
      <c r="D61" s="16" t="s">
        <v>235</v>
      </c>
      <c r="E61" s="17" t="n">
        <v>0</v>
      </c>
      <c r="F61" s="17" t="n">
        <v>251760</v>
      </c>
      <c r="G61" s="11" t="n">
        <f aca="false">E61-F61</f>
        <v>-251760</v>
      </c>
      <c r="H61" s="5" t="n">
        <v>46234</v>
      </c>
      <c r="I61" s="16" t="s">
        <v>236</v>
      </c>
      <c r="J61" s="16" t="s">
        <v>243</v>
      </c>
      <c r="K61" s="16" t="s">
        <v>147</v>
      </c>
      <c r="L61" s="16" t="s">
        <v>244</v>
      </c>
      <c r="M61" s="16" t="s">
        <v>106</v>
      </c>
      <c r="N61" s="12" t="s">
        <v>149</v>
      </c>
      <c r="O61" s="4" t="s">
        <v>150</v>
      </c>
      <c r="P61" s="4" t="s">
        <v>150</v>
      </c>
    </row>
    <row r="62" customFormat="false" ht="15" hidden="false" customHeight="false" outlineLevel="0" collapsed="false">
      <c r="A62" s="16" t="n">
        <v>59</v>
      </c>
      <c r="B62" s="16" t="s">
        <v>143</v>
      </c>
      <c r="C62" s="16" t="s">
        <v>144</v>
      </c>
      <c r="D62" s="16" t="s">
        <v>235</v>
      </c>
      <c r="E62" s="17" t="n">
        <v>251760</v>
      </c>
      <c r="F62" s="17" t="n">
        <v>0</v>
      </c>
      <c r="G62" s="11" t="n">
        <f aca="false">E62-F62</f>
        <v>251760</v>
      </c>
      <c r="H62" s="5" t="n">
        <v>46234</v>
      </c>
      <c r="I62" s="16" t="s">
        <v>90</v>
      </c>
      <c r="J62" s="16" t="s">
        <v>245</v>
      </c>
      <c r="K62" s="16" t="s">
        <v>147</v>
      </c>
      <c r="L62" s="16" t="s">
        <v>246</v>
      </c>
      <c r="M62" s="16" t="s">
        <v>106</v>
      </c>
      <c r="N62" s="12" t="s">
        <v>149</v>
      </c>
      <c r="O62" s="4" t="s">
        <v>150</v>
      </c>
      <c r="P62" s="4" t="s">
        <v>150</v>
      </c>
    </row>
    <row r="63" customFormat="false" ht="15" hidden="false" customHeight="false" outlineLevel="0" collapsed="false">
      <c r="A63" s="16" t="n">
        <v>60</v>
      </c>
      <c r="B63" s="16" t="s">
        <v>143</v>
      </c>
      <c r="C63" s="16" t="s">
        <v>144</v>
      </c>
      <c r="D63" s="16" t="s">
        <v>247</v>
      </c>
      <c r="E63" s="17" t="n">
        <v>0</v>
      </c>
      <c r="F63" s="17" t="n">
        <v>1950112.76</v>
      </c>
      <c r="G63" s="11" t="n">
        <f aca="false">E63-F63</f>
        <v>-1950112.76</v>
      </c>
      <c r="H63" s="5" t="n">
        <v>46052</v>
      </c>
      <c r="I63" s="16" t="s">
        <v>248</v>
      </c>
      <c r="J63" s="16" t="s">
        <v>249</v>
      </c>
      <c r="K63" s="16" t="s">
        <v>172</v>
      </c>
      <c r="L63" s="16" t="s">
        <v>250</v>
      </c>
      <c r="M63" s="16" t="s">
        <v>106</v>
      </c>
      <c r="N63" s="12" t="s">
        <v>149</v>
      </c>
      <c r="O63" s="4" t="s">
        <v>150</v>
      </c>
      <c r="P63" s="4" t="s">
        <v>150</v>
      </c>
    </row>
    <row r="64" customFormat="false" ht="15" hidden="false" customHeight="false" outlineLevel="0" collapsed="false">
      <c r="A64" s="16" t="n">
        <v>61</v>
      </c>
      <c r="B64" s="16" t="s">
        <v>143</v>
      </c>
      <c r="C64" s="16" t="s">
        <v>144</v>
      </c>
      <c r="D64" s="16" t="s">
        <v>247</v>
      </c>
      <c r="E64" s="17" t="n">
        <v>0</v>
      </c>
      <c r="F64" s="17" t="n">
        <v>1500092</v>
      </c>
      <c r="G64" s="11" t="n">
        <f aca="false">E64-F64</f>
        <v>-1500092</v>
      </c>
      <c r="H64" s="5" t="n">
        <v>46052</v>
      </c>
      <c r="I64" s="16" t="s">
        <v>248</v>
      </c>
      <c r="J64" s="16" t="s">
        <v>251</v>
      </c>
      <c r="K64" s="16" t="s">
        <v>147</v>
      </c>
      <c r="L64" s="16" t="s">
        <v>252</v>
      </c>
      <c r="M64" s="16" t="s">
        <v>106</v>
      </c>
      <c r="N64" s="12" t="s">
        <v>149</v>
      </c>
      <c r="O64" s="4" t="s">
        <v>150</v>
      </c>
      <c r="P64" s="4" t="s">
        <v>150</v>
      </c>
    </row>
    <row r="65" customFormat="false" ht="15" hidden="false" customHeight="false" outlineLevel="0" collapsed="false">
      <c r="A65" s="16" t="n">
        <v>62</v>
      </c>
      <c r="B65" s="16" t="s">
        <v>143</v>
      </c>
      <c r="C65" s="16" t="s">
        <v>144</v>
      </c>
      <c r="D65" s="16" t="s">
        <v>247</v>
      </c>
      <c r="E65" s="17" t="n">
        <v>1950112.76</v>
      </c>
      <c r="F65" s="17" t="n">
        <v>0</v>
      </c>
      <c r="G65" s="11" t="n">
        <f aca="false">E65-F65</f>
        <v>1950112.76</v>
      </c>
      <c r="H65" s="5" t="n">
        <v>46052</v>
      </c>
      <c r="I65" s="16" t="s">
        <v>248</v>
      </c>
      <c r="J65" s="16" t="s">
        <v>253</v>
      </c>
      <c r="K65" s="16" t="s">
        <v>254</v>
      </c>
      <c r="L65" s="16" t="s">
        <v>255</v>
      </c>
      <c r="M65" s="16" t="s">
        <v>106</v>
      </c>
      <c r="N65" s="12" t="s">
        <v>149</v>
      </c>
      <c r="O65" s="4" t="s">
        <v>150</v>
      </c>
      <c r="P65" s="4" t="s">
        <v>150</v>
      </c>
    </row>
    <row r="66" customFormat="false" ht="15" hidden="false" customHeight="false" outlineLevel="0" collapsed="false">
      <c r="A66" s="16" t="n">
        <v>63</v>
      </c>
      <c r="B66" s="16" t="s">
        <v>143</v>
      </c>
      <c r="C66" s="16" t="s">
        <v>144</v>
      </c>
      <c r="D66" s="16" t="s">
        <v>247</v>
      </c>
      <c r="E66" s="17" t="n">
        <v>1388670.94</v>
      </c>
      <c r="F66" s="17" t="n">
        <v>0</v>
      </c>
      <c r="G66" s="11" t="n">
        <f aca="false">E66-F66</f>
        <v>1388670.94</v>
      </c>
      <c r="H66" s="5" t="n">
        <v>46052</v>
      </c>
      <c r="I66" s="16" t="s">
        <v>90</v>
      </c>
      <c r="J66" s="16" t="s">
        <v>192</v>
      </c>
      <c r="K66" s="16" t="s">
        <v>147</v>
      </c>
      <c r="L66" s="16" t="s">
        <v>193</v>
      </c>
      <c r="M66" s="16" t="s">
        <v>106</v>
      </c>
      <c r="N66" s="12" t="s">
        <v>149</v>
      </c>
      <c r="O66" s="4" t="s">
        <v>150</v>
      </c>
      <c r="P66" s="4" t="s">
        <v>150</v>
      </c>
    </row>
    <row r="67" customFormat="false" ht="15" hidden="false" customHeight="false" outlineLevel="0" collapsed="false">
      <c r="A67" s="16" t="n">
        <v>64</v>
      </c>
      <c r="B67" s="16" t="s">
        <v>143</v>
      </c>
      <c r="C67" s="16" t="s">
        <v>144</v>
      </c>
      <c r="D67" s="16" t="s">
        <v>247</v>
      </c>
      <c r="E67" s="17" t="n">
        <v>0</v>
      </c>
      <c r="F67" s="17" t="n">
        <v>1950111.76</v>
      </c>
      <c r="G67" s="11" t="n">
        <f aca="false">E67-F67</f>
        <v>-1950111.76</v>
      </c>
      <c r="H67" s="5" t="n">
        <v>46053</v>
      </c>
      <c r="I67" s="16" t="s">
        <v>248</v>
      </c>
      <c r="J67" s="16" t="s">
        <v>256</v>
      </c>
      <c r="K67" s="16" t="s">
        <v>147</v>
      </c>
      <c r="L67" s="16" t="s">
        <v>257</v>
      </c>
      <c r="M67" s="16" t="s">
        <v>106</v>
      </c>
      <c r="N67" s="12" t="s">
        <v>149</v>
      </c>
      <c r="O67" s="4" t="s">
        <v>150</v>
      </c>
      <c r="P67" s="4" t="s">
        <v>150</v>
      </c>
    </row>
    <row r="68" customFormat="false" ht="15" hidden="false" customHeight="false" outlineLevel="0" collapsed="false">
      <c r="A68" s="16" t="n">
        <v>65</v>
      </c>
      <c r="B68" s="16" t="s">
        <v>143</v>
      </c>
      <c r="C68" s="16" t="s">
        <v>144</v>
      </c>
      <c r="D68" s="16" t="s">
        <v>247</v>
      </c>
      <c r="E68" s="17" t="n">
        <v>0</v>
      </c>
      <c r="F68" s="17" t="n">
        <v>3717293.44</v>
      </c>
      <c r="G68" s="11" t="n">
        <f aca="false">E68-F68</f>
        <v>-3717293.44</v>
      </c>
      <c r="H68" s="5" t="n">
        <v>46066</v>
      </c>
      <c r="I68" s="16" t="s">
        <v>248</v>
      </c>
      <c r="J68" s="16" t="s">
        <v>258</v>
      </c>
      <c r="K68" s="16" t="s">
        <v>147</v>
      </c>
      <c r="L68" s="16" t="s">
        <v>259</v>
      </c>
      <c r="M68" s="16" t="s">
        <v>106</v>
      </c>
      <c r="N68" s="12" t="s">
        <v>149</v>
      </c>
      <c r="O68" s="4" t="s">
        <v>150</v>
      </c>
      <c r="P68" s="4" t="s">
        <v>150</v>
      </c>
    </row>
    <row r="69" customFormat="false" ht="15" hidden="false" customHeight="false" outlineLevel="0" collapsed="false">
      <c r="A69" s="16" t="n">
        <v>66</v>
      </c>
      <c r="B69" s="16" t="s">
        <v>143</v>
      </c>
      <c r="C69" s="16" t="s">
        <v>144</v>
      </c>
      <c r="D69" s="16" t="s">
        <v>247</v>
      </c>
      <c r="E69" s="17" t="n">
        <v>3717293</v>
      </c>
      <c r="F69" s="17" t="n">
        <v>0</v>
      </c>
      <c r="G69" s="11" t="n">
        <f aca="false">E69-F69</f>
        <v>3717293</v>
      </c>
      <c r="H69" s="5" t="n">
        <v>46071</v>
      </c>
      <c r="I69" s="16" t="s">
        <v>248</v>
      </c>
      <c r="J69" s="16" t="s">
        <v>260</v>
      </c>
      <c r="K69" s="16" t="s">
        <v>83</v>
      </c>
      <c r="L69" s="16" t="s">
        <v>259</v>
      </c>
      <c r="M69" s="16" t="s">
        <v>261</v>
      </c>
      <c r="N69" s="12" t="s">
        <v>149</v>
      </c>
      <c r="O69" s="4" t="s">
        <v>150</v>
      </c>
      <c r="P69" s="4" t="s">
        <v>150</v>
      </c>
    </row>
    <row r="70" customFormat="false" ht="15" hidden="false" customHeight="false" outlineLevel="0" collapsed="false">
      <c r="A70" s="16" t="n">
        <v>67</v>
      </c>
      <c r="B70" s="16" t="s">
        <v>143</v>
      </c>
      <c r="C70" s="16" t="s">
        <v>144</v>
      </c>
      <c r="D70" s="16" t="s">
        <v>247</v>
      </c>
      <c r="E70" s="17" t="n">
        <v>1960029.8</v>
      </c>
      <c r="F70" s="17" t="n">
        <v>0</v>
      </c>
      <c r="G70" s="11" t="n">
        <f aca="false">E70-F70</f>
        <v>1960029.8</v>
      </c>
      <c r="H70" s="5" t="n">
        <v>46072</v>
      </c>
      <c r="I70" s="16" t="s">
        <v>90</v>
      </c>
      <c r="J70" s="16" t="s">
        <v>196</v>
      </c>
      <c r="K70" s="16" t="s">
        <v>147</v>
      </c>
      <c r="L70" s="16" t="s">
        <v>197</v>
      </c>
      <c r="M70" s="16" t="s">
        <v>106</v>
      </c>
      <c r="N70" s="12" t="s">
        <v>149</v>
      </c>
      <c r="O70" s="4" t="s">
        <v>150</v>
      </c>
      <c r="P70" s="4" t="s">
        <v>150</v>
      </c>
    </row>
    <row r="71" customFormat="false" ht="15" hidden="false" customHeight="false" outlineLevel="0" collapsed="false">
      <c r="A71" s="16" t="n">
        <v>68</v>
      </c>
      <c r="B71" s="16" t="s">
        <v>143</v>
      </c>
      <c r="C71" s="16" t="s">
        <v>144</v>
      </c>
      <c r="D71" s="16" t="s">
        <v>247</v>
      </c>
      <c r="E71" s="17" t="n">
        <v>0</v>
      </c>
      <c r="F71" s="17" t="n">
        <v>1960029.8</v>
      </c>
      <c r="G71" s="11" t="n">
        <f aca="false">E71-F71</f>
        <v>-1960029.8</v>
      </c>
      <c r="H71" s="5" t="n">
        <v>46072</v>
      </c>
      <c r="I71" s="16" t="s">
        <v>90</v>
      </c>
      <c r="J71" s="16" t="s">
        <v>262</v>
      </c>
      <c r="K71" s="16" t="s">
        <v>160</v>
      </c>
      <c r="L71" s="16" t="s">
        <v>263</v>
      </c>
      <c r="M71" s="16" t="s">
        <v>106</v>
      </c>
      <c r="N71" s="12" t="s">
        <v>149</v>
      </c>
      <c r="O71" s="4" t="s">
        <v>150</v>
      </c>
      <c r="P71" s="4" t="s">
        <v>150</v>
      </c>
    </row>
    <row r="72" customFormat="false" ht="15" hidden="false" customHeight="false" outlineLevel="0" collapsed="false">
      <c r="A72" s="16" t="n">
        <v>69</v>
      </c>
      <c r="B72" s="16" t="s">
        <v>143</v>
      </c>
      <c r="C72" s="16" t="s">
        <v>144</v>
      </c>
      <c r="D72" s="16" t="s">
        <v>247</v>
      </c>
      <c r="E72" s="17" t="n">
        <v>0</v>
      </c>
      <c r="F72" s="17" t="n">
        <v>2107288.1</v>
      </c>
      <c r="G72" s="11" t="n">
        <f aca="false">E72-F72</f>
        <v>-2107288.1</v>
      </c>
      <c r="H72" s="5" t="n">
        <v>46073</v>
      </c>
      <c r="I72" s="16" t="s">
        <v>248</v>
      </c>
      <c r="J72" s="16" t="s">
        <v>264</v>
      </c>
      <c r="K72" s="16" t="s">
        <v>147</v>
      </c>
      <c r="L72" s="16" t="s">
        <v>265</v>
      </c>
      <c r="M72" s="16" t="s">
        <v>106</v>
      </c>
      <c r="N72" s="12" t="s">
        <v>149</v>
      </c>
      <c r="O72" s="4" t="s">
        <v>150</v>
      </c>
      <c r="P72" s="4" t="s">
        <v>150</v>
      </c>
    </row>
    <row r="73" customFormat="false" ht="15" hidden="false" customHeight="false" outlineLevel="0" collapsed="false">
      <c r="A73" s="16" t="n">
        <v>70</v>
      </c>
      <c r="B73" s="16" t="s">
        <v>143</v>
      </c>
      <c r="C73" s="16" t="s">
        <v>144</v>
      </c>
      <c r="D73" s="16" t="s">
        <v>247</v>
      </c>
      <c r="E73" s="17" t="n">
        <v>0.44</v>
      </c>
      <c r="F73" s="17" t="n">
        <v>0</v>
      </c>
      <c r="G73" s="11" t="n">
        <f aca="false">E73-F73</f>
        <v>0.44</v>
      </c>
      <c r="H73" s="5" t="n">
        <v>46080</v>
      </c>
      <c r="I73" s="16" t="s">
        <v>266</v>
      </c>
      <c r="J73" s="16" t="s">
        <v>267</v>
      </c>
      <c r="K73" s="16" t="s">
        <v>160</v>
      </c>
      <c r="L73" s="16" t="s">
        <v>187</v>
      </c>
      <c r="M73" s="16" t="s">
        <v>176</v>
      </c>
      <c r="N73" s="12" t="s">
        <v>149</v>
      </c>
      <c r="O73" s="4" t="s">
        <v>150</v>
      </c>
      <c r="P73" s="4" t="s">
        <v>150</v>
      </c>
    </row>
    <row r="74" customFormat="false" ht="15" hidden="false" customHeight="false" outlineLevel="0" collapsed="false">
      <c r="A74" s="16" t="n">
        <v>71</v>
      </c>
      <c r="B74" s="16" t="s">
        <v>143</v>
      </c>
      <c r="C74" s="16" t="s">
        <v>144</v>
      </c>
      <c r="D74" s="16" t="s">
        <v>247</v>
      </c>
      <c r="E74" s="17" t="n">
        <v>0</v>
      </c>
      <c r="F74" s="17" t="n">
        <v>1457760</v>
      </c>
      <c r="G74" s="11" t="n">
        <f aca="false">E74-F74</f>
        <v>-1457760</v>
      </c>
      <c r="H74" s="5" t="n">
        <v>46081</v>
      </c>
      <c r="I74" s="16" t="s">
        <v>248</v>
      </c>
      <c r="J74" s="16" t="s">
        <v>268</v>
      </c>
      <c r="K74" s="16" t="s">
        <v>147</v>
      </c>
      <c r="L74" s="16" t="s">
        <v>269</v>
      </c>
      <c r="M74" s="16" t="s">
        <v>106</v>
      </c>
      <c r="N74" s="12" t="s">
        <v>149</v>
      </c>
      <c r="O74" s="4" t="s">
        <v>150</v>
      </c>
      <c r="P74" s="4" t="s">
        <v>150</v>
      </c>
    </row>
    <row r="75" customFormat="false" ht="15" hidden="false" customHeight="false" outlineLevel="0" collapsed="false">
      <c r="A75" s="16" t="n">
        <v>72</v>
      </c>
      <c r="B75" s="16" t="s">
        <v>143</v>
      </c>
      <c r="C75" s="16" t="s">
        <v>144</v>
      </c>
      <c r="D75" s="16" t="s">
        <v>247</v>
      </c>
      <c r="E75" s="17" t="n">
        <v>0</v>
      </c>
      <c r="F75" s="17" t="n">
        <v>1307801</v>
      </c>
      <c r="G75" s="11" t="n">
        <f aca="false">E75-F75</f>
        <v>-1307801</v>
      </c>
      <c r="H75" s="5" t="n">
        <v>46111</v>
      </c>
      <c r="I75" s="16" t="s">
        <v>248</v>
      </c>
      <c r="J75" s="16" t="s">
        <v>270</v>
      </c>
      <c r="K75" s="16" t="s">
        <v>147</v>
      </c>
      <c r="L75" s="16" t="s">
        <v>271</v>
      </c>
      <c r="M75" s="16" t="s">
        <v>106</v>
      </c>
      <c r="N75" s="12" t="s">
        <v>149</v>
      </c>
      <c r="O75" s="4" t="s">
        <v>150</v>
      </c>
      <c r="P75" s="4" t="s">
        <v>150</v>
      </c>
    </row>
    <row r="76" customFormat="false" ht="15" hidden="false" customHeight="false" outlineLevel="0" collapsed="false">
      <c r="A76" s="16" t="n">
        <v>73</v>
      </c>
      <c r="B76" s="16" t="s">
        <v>143</v>
      </c>
      <c r="C76" s="16" t="s">
        <v>144</v>
      </c>
      <c r="D76" s="16" t="s">
        <v>247</v>
      </c>
      <c r="E76" s="17" t="n">
        <v>0</v>
      </c>
      <c r="F76" s="17" t="n">
        <v>2097577.22</v>
      </c>
      <c r="G76" s="11" t="n">
        <f aca="false">E76-F76</f>
        <v>-2097577.22</v>
      </c>
      <c r="H76" s="5" t="n">
        <v>46111</v>
      </c>
      <c r="I76" s="16" t="s">
        <v>248</v>
      </c>
      <c r="J76" s="16" t="s">
        <v>272</v>
      </c>
      <c r="K76" s="16" t="s">
        <v>147</v>
      </c>
      <c r="L76" s="16" t="s">
        <v>273</v>
      </c>
      <c r="M76" s="16" t="s">
        <v>106</v>
      </c>
      <c r="N76" s="12" t="s">
        <v>149</v>
      </c>
      <c r="O76" s="4" t="s">
        <v>150</v>
      </c>
      <c r="P76" s="4" t="s">
        <v>150</v>
      </c>
    </row>
    <row r="77" customFormat="false" ht="15" hidden="false" customHeight="false" outlineLevel="0" collapsed="false">
      <c r="A77" s="16" t="n">
        <v>74</v>
      </c>
      <c r="B77" s="16" t="s">
        <v>143</v>
      </c>
      <c r="C77" s="16" t="s">
        <v>144</v>
      </c>
      <c r="D77" s="16" t="s">
        <v>247</v>
      </c>
      <c r="E77" s="17" t="n">
        <v>3450203.76</v>
      </c>
      <c r="F77" s="17" t="n">
        <v>0</v>
      </c>
      <c r="G77" s="11" t="n">
        <f aca="false">E77-F77</f>
        <v>3450203.76</v>
      </c>
      <c r="H77" s="5" t="n">
        <v>46129</v>
      </c>
      <c r="I77" s="16" t="s">
        <v>90</v>
      </c>
      <c r="J77" s="16" t="s">
        <v>202</v>
      </c>
      <c r="K77" s="16" t="s">
        <v>147</v>
      </c>
      <c r="L77" s="16" t="s">
        <v>203</v>
      </c>
      <c r="M77" s="16" t="s">
        <v>106</v>
      </c>
      <c r="N77" s="12" t="s">
        <v>149</v>
      </c>
      <c r="O77" s="4" t="s">
        <v>150</v>
      </c>
      <c r="P77" s="4" t="s">
        <v>150</v>
      </c>
    </row>
    <row r="78" customFormat="false" ht="15" hidden="false" customHeight="false" outlineLevel="0" collapsed="false">
      <c r="A78" s="16" t="n">
        <v>75</v>
      </c>
      <c r="B78" s="16" t="s">
        <v>143</v>
      </c>
      <c r="C78" s="16" t="s">
        <v>144</v>
      </c>
      <c r="D78" s="16" t="s">
        <v>247</v>
      </c>
      <c r="E78" s="17" t="n">
        <v>3565048.1</v>
      </c>
      <c r="F78" s="17" t="n">
        <v>0</v>
      </c>
      <c r="G78" s="11" t="n">
        <f aca="false">E78-F78</f>
        <v>3565048.1</v>
      </c>
      <c r="H78" s="5" t="n">
        <v>46135</v>
      </c>
      <c r="I78" s="16" t="s">
        <v>90</v>
      </c>
      <c r="J78" s="16" t="s">
        <v>204</v>
      </c>
      <c r="K78" s="16" t="s">
        <v>147</v>
      </c>
      <c r="L78" s="16" t="s">
        <v>205</v>
      </c>
      <c r="M78" s="16" t="s">
        <v>106</v>
      </c>
      <c r="N78" s="12" t="s">
        <v>149</v>
      </c>
      <c r="O78" s="4" t="s">
        <v>150</v>
      </c>
      <c r="P78" s="4" t="s">
        <v>150</v>
      </c>
    </row>
    <row r="79" customFormat="false" ht="15" hidden="false" customHeight="false" outlineLevel="0" collapsed="false">
      <c r="A79" s="16" t="n">
        <v>76</v>
      </c>
      <c r="B79" s="16" t="s">
        <v>143</v>
      </c>
      <c r="C79" s="16" t="s">
        <v>144</v>
      </c>
      <c r="D79" s="16" t="s">
        <v>247</v>
      </c>
      <c r="E79" s="17" t="n">
        <v>0</v>
      </c>
      <c r="F79" s="17" t="n">
        <v>1381414.76</v>
      </c>
      <c r="G79" s="11" t="n">
        <f aca="false">E79-F79</f>
        <v>-1381414.76</v>
      </c>
      <c r="H79" s="5" t="n">
        <v>46142</v>
      </c>
      <c r="I79" s="16" t="s">
        <v>248</v>
      </c>
      <c r="J79" s="16" t="s">
        <v>274</v>
      </c>
      <c r="K79" s="16" t="s">
        <v>147</v>
      </c>
      <c r="L79" s="16" t="s">
        <v>275</v>
      </c>
      <c r="M79" s="16" t="s">
        <v>106</v>
      </c>
      <c r="N79" s="12" t="s">
        <v>149</v>
      </c>
      <c r="O79" s="4" t="s">
        <v>150</v>
      </c>
      <c r="P79" s="4" t="s">
        <v>150</v>
      </c>
    </row>
    <row r="80" customFormat="false" ht="15" hidden="false" customHeight="false" outlineLevel="0" collapsed="false">
      <c r="A80" s="16" t="n">
        <v>77</v>
      </c>
      <c r="B80" s="16" t="s">
        <v>143</v>
      </c>
      <c r="C80" s="16" t="s">
        <v>144</v>
      </c>
      <c r="D80" s="16" t="s">
        <v>247</v>
      </c>
      <c r="E80" s="17" t="n">
        <v>0</v>
      </c>
      <c r="F80" s="17" t="n">
        <v>3717293.44</v>
      </c>
      <c r="G80" s="11" t="n">
        <f aca="false">E80-F80</f>
        <v>-3717293.44</v>
      </c>
      <c r="H80" s="5" t="n">
        <v>46157</v>
      </c>
      <c r="I80" s="16" t="s">
        <v>248</v>
      </c>
      <c r="J80" s="16" t="s">
        <v>276</v>
      </c>
      <c r="K80" s="16" t="s">
        <v>147</v>
      </c>
      <c r="L80" s="16" t="s">
        <v>277</v>
      </c>
      <c r="M80" s="16" t="s">
        <v>106</v>
      </c>
      <c r="N80" s="12" t="s">
        <v>149</v>
      </c>
      <c r="O80" s="4" t="s">
        <v>150</v>
      </c>
      <c r="P80" s="4" t="s">
        <v>150</v>
      </c>
    </row>
    <row r="81" customFormat="false" ht="15" hidden="false" customHeight="false" outlineLevel="0" collapsed="false">
      <c r="A81" s="16" t="n">
        <v>78</v>
      </c>
      <c r="B81" s="16" t="s">
        <v>143</v>
      </c>
      <c r="C81" s="16" t="s">
        <v>144</v>
      </c>
      <c r="D81" s="16" t="s">
        <v>247</v>
      </c>
      <c r="E81" s="17" t="n">
        <v>3405378.22</v>
      </c>
      <c r="F81" s="17" t="n">
        <v>0</v>
      </c>
      <c r="G81" s="11" t="n">
        <f aca="false">E81-F81</f>
        <v>3405378.22</v>
      </c>
      <c r="H81" s="5" t="n">
        <v>46163</v>
      </c>
      <c r="I81" s="16" t="s">
        <v>90</v>
      </c>
      <c r="J81" s="16" t="s">
        <v>208</v>
      </c>
      <c r="K81" s="16" t="s">
        <v>147</v>
      </c>
      <c r="L81" s="16" t="s">
        <v>209</v>
      </c>
      <c r="M81" s="16" t="s">
        <v>106</v>
      </c>
      <c r="N81" s="12" t="s">
        <v>149</v>
      </c>
      <c r="O81" s="4" t="s">
        <v>150</v>
      </c>
      <c r="P81" s="4" t="s">
        <v>150</v>
      </c>
    </row>
    <row r="82" customFormat="false" ht="15" hidden="false" customHeight="false" outlineLevel="0" collapsed="false">
      <c r="A82" s="16" t="n">
        <v>79</v>
      </c>
      <c r="B82" s="16" t="s">
        <v>143</v>
      </c>
      <c r="C82" s="16" t="s">
        <v>144</v>
      </c>
      <c r="D82" s="16" t="s">
        <v>247</v>
      </c>
      <c r="E82" s="17" t="n">
        <v>0</v>
      </c>
      <c r="F82" s="17" t="n">
        <v>1382561</v>
      </c>
      <c r="G82" s="11" t="n">
        <f aca="false">E82-F82</f>
        <v>-1382561</v>
      </c>
      <c r="H82" s="5" t="n">
        <v>46172</v>
      </c>
      <c r="I82" s="16" t="s">
        <v>248</v>
      </c>
      <c r="J82" s="16" t="s">
        <v>278</v>
      </c>
      <c r="K82" s="16" t="s">
        <v>147</v>
      </c>
      <c r="L82" s="16" t="s">
        <v>279</v>
      </c>
      <c r="M82" s="16" t="s">
        <v>106</v>
      </c>
      <c r="N82" s="12" t="s">
        <v>149</v>
      </c>
      <c r="O82" s="4" t="s">
        <v>150</v>
      </c>
      <c r="P82" s="4" t="s">
        <v>150</v>
      </c>
    </row>
    <row r="83" customFormat="false" ht="15" hidden="false" customHeight="false" outlineLevel="0" collapsed="false">
      <c r="A83" s="16" t="n">
        <v>80</v>
      </c>
      <c r="B83" s="16" t="s">
        <v>143</v>
      </c>
      <c r="C83" s="16" t="s">
        <v>144</v>
      </c>
      <c r="D83" s="16" t="s">
        <v>247</v>
      </c>
      <c r="E83" s="17" t="n">
        <v>0</v>
      </c>
      <c r="F83" s="17" t="n">
        <v>1999850.62</v>
      </c>
      <c r="G83" s="11" t="n">
        <f aca="false">E83-F83</f>
        <v>-1999850.62</v>
      </c>
      <c r="H83" s="5" t="n">
        <v>46172</v>
      </c>
      <c r="I83" s="16" t="s">
        <v>248</v>
      </c>
      <c r="J83" s="16" t="s">
        <v>280</v>
      </c>
      <c r="K83" s="16" t="s">
        <v>147</v>
      </c>
      <c r="L83" s="16" t="s">
        <v>281</v>
      </c>
      <c r="M83" s="16" t="s">
        <v>106</v>
      </c>
      <c r="N83" s="12" t="s">
        <v>149</v>
      </c>
      <c r="O83" s="4" t="s">
        <v>150</v>
      </c>
      <c r="P83" s="4" t="s">
        <v>150</v>
      </c>
    </row>
    <row r="84" customFormat="false" ht="15" hidden="false" customHeight="false" outlineLevel="0" collapsed="false">
      <c r="A84" s="16" t="n">
        <v>81</v>
      </c>
      <c r="B84" s="16" t="s">
        <v>143</v>
      </c>
      <c r="C84" s="16" t="s">
        <v>144</v>
      </c>
      <c r="D84" s="16" t="s">
        <v>247</v>
      </c>
      <c r="E84" s="17" t="n">
        <v>0</v>
      </c>
      <c r="F84" s="17" t="n">
        <v>2152877.48</v>
      </c>
      <c r="G84" s="11" t="n">
        <f aca="false">E84-F84</f>
        <v>-2152877.48</v>
      </c>
      <c r="H84" s="5" t="n">
        <v>46172</v>
      </c>
      <c r="I84" s="16" t="s">
        <v>210</v>
      </c>
      <c r="J84" s="16" t="s">
        <v>211</v>
      </c>
      <c r="K84" s="16" t="s">
        <v>147</v>
      </c>
      <c r="L84" s="16" t="s">
        <v>212</v>
      </c>
      <c r="M84" s="16" t="s">
        <v>106</v>
      </c>
      <c r="N84" s="12" t="s">
        <v>149</v>
      </c>
      <c r="O84" s="4" t="s">
        <v>150</v>
      </c>
      <c r="P84" s="4" t="s">
        <v>150</v>
      </c>
    </row>
    <row r="85" customFormat="false" ht="15" hidden="false" customHeight="false" outlineLevel="0" collapsed="false">
      <c r="A85" s="16" t="n">
        <v>82</v>
      </c>
      <c r="B85" s="16" t="s">
        <v>143</v>
      </c>
      <c r="C85" s="16" t="s">
        <v>144</v>
      </c>
      <c r="D85" s="16" t="s">
        <v>247</v>
      </c>
      <c r="E85" s="17" t="n">
        <v>0</v>
      </c>
      <c r="F85" s="17" t="n">
        <v>3717293.44</v>
      </c>
      <c r="G85" s="11" t="n">
        <f aca="false">E85-F85</f>
        <v>-3717293.44</v>
      </c>
      <c r="H85" s="5" t="n">
        <v>46191</v>
      </c>
      <c r="I85" s="16" t="s">
        <v>248</v>
      </c>
      <c r="J85" s="16" t="s">
        <v>282</v>
      </c>
      <c r="K85" s="16" t="s">
        <v>147</v>
      </c>
      <c r="L85" s="16" t="s">
        <v>283</v>
      </c>
      <c r="M85" s="16" t="s">
        <v>106</v>
      </c>
      <c r="N85" s="12" t="s">
        <v>149</v>
      </c>
      <c r="O85" s="4" t="s">
        <v>150</v>
      </c>
      <c r="P85" s="4" t="s">
        <v>150</v>
      </c>
    </row>
    <row r="86" customFormat="false" ht="15" hidden="false" customHeight="false" outlineLevel="0" collapsed="false">
      <c r="A86" s="16" t="n">
        <v>83</v>
      </c>
      <c r="B86" s="16" t="s">
        <v>143</v>
      </c>
      <c r="C86" s="16" t="s">
        <v>144</v>
      </c>
      <c r="D86" s="16" t="s">
        <v>247</v>
      </c>
      <c r="E86" s="17" t="n">
        <v>0</v>
      </c>
      <c r="F86" s="17" t="n">
        <v>2012362.93</v>
      </c>
      <c r="G86" s="11" t="n">
        <f aca="false">E86-F86</f>
        <v>-2012362.93</v>
      </c>
      <c r="H86" s="5" t="n">
        <v>46203</v>
      </c>
      <c r="I86" s="16" t="s">
        <v>248</v>
      </c>
      <c r="J86" s="16" t="s">
        <v>284</v>
      </c>
      <c r="K86" s="16" t="s">
        <v>147</v>
      </c>
      <c r="L86" s="16" t="s">
        <v>285</v>
      </c>
      <c r="M86" s="16" t="s">
        <v>106</v>
      </c>
      <c r="N86" s="12" t="s">
        <v>149</v>
      </c>
      <c r="O86" s="4" t="s">
        <v>150</v>
      </c>
      <c r="P86" s="4" t="s">
        <v>150</v>
      </c>
    </row>
    <row r="87" customFormat="false" ht="15" hidden="false" customHeight="false" outlineLevel="0" collapsed="false">
      <c r="A87" s="16" t="n">
        <v>84</v>
      </c>
      <c r="B87" s="16" t="s">
        <v>143</v>
      </c>
      <c r="C87" s="16" t="s">
        <v>144</v>
      </c>
      <c r="D87" s="16" t="s">
        <v>247</v>
      </c>
      <c r="E87" s="17" t="n">
        <v>0</v>
      </c>
      <c r="F87" s="17" t="n">
        <v>3717293.44</v>
      </c>
      <c r="G87" s="11" t="n">
        <f aca="false">E87-F87</f>
        <v>-3717293.44</v>
      </c>
      <c r="H87" s="5" t="n">
        <v>46213</v>
      </c>
      <c r="I87" s="16" t="s">
        <v>248</v>
      </c>
      <c r="J87" s="16" t="s">
        <v>286</v>
      </c>
      <c r="K87" s="16" t="s">
        <v>147</v>
      </c>
      <c r="L87" s="16" t="s">
        <v>287</v>
      </c>
      <c r="M87" s="16" t="s">
        <v>106</v>
      </c>
      <c r="N87" s="12" t="s">
        <v>149</v>
      </c>
      <c r="O87" s="4" t="s">
        <v>150</v>
      </c>
      <c r="P87" s="4" t="s">
        <v>150</v>
      </c>
    </row>
    <row r="88" customFormat="false" ht="15" hidden="false" customHeight="false" outlineLevel="0" collapsed="false">
      <c r="A88" s="16" t="n">
        <v>85</v>
      </c>
      <c r="B88" s="16" t="s">
        <v>143</v>
      </c>
      <c r="C88" s="16" t="s">
        <v>144</v>
      </c>
      <c r="D88" s="16" t="s">
        <v>247</v>
      </c>
      <c r="E88" s="17" t="n">
        <v>0</v>
      </c>
      <c r="F88" s="17" t="n">
        <v>2159083.25</v>
      </c>
      <c r="G88" s="11" t="n">
        <f aca="false">E88-F88</f>
        <v>-2159083.25</v>
      </c>
      <c r="H88" s="5" t="n">
        <v>46230</v>
      </c>
      <c r="I88" s="16" t="s">
        <v>248</v>
      </c>
      <c r="J88" s="16" t="s">
        <v>288</v>
      </c>
      <c r="K88" s="16" t="s">
        <v>147</v>
      </c>
      <c r="L88" s="16" t="s">
        <v>289</v>
      </c>
      <c r="M88" s="16" t="s">
        <v>106</v>
      </c>
      <c r="N88" s="12" t="s">
        <v>149</v>
      </c>
      <c r="O88" s="4" t="s">
        <v>150</v>
      </c>
      <c r="P88" s="4" t="s">
        <v>150</v>
      </c>
    </row>
    <row r="89" customFormat="false" ht="15" hidden="false" customHeight="false" outlineLevel="0" collapsed="false">
      <c r="A89" s="16" t="n">
        <v>86</v>
      </c>
      <c r="B89" s="16" t="s">
        <v>143</v>
      </c>
      <c r="C89" s="16" t="s">
        <v>144</v>
      </c>
      <c r="D89" s="16" t="s">
        <v>247</v>
      </c>
      <c r="E89" s="17" t="n">
        <v>0</v>
      </c>
      <c r="F89" s="17" t="n">
        <v>1381417</v>
      </c>
      <c r="G89" s="11" t="n">
        <f aca="false">E89-F89</f>
        <v>-1381417</v>
      </c>
      <c r="H89" s="5" t="n">
        <v>46234</v>
      </c>
      <c r="I89" s="16" t="s">
        <v>248</v>
      </c>
      <c r="J89" s="16" t="s">
        <v>290</v>
      </c>
      <c r="K89" s="16" t="s">
        <v>147</v>
      </c>
      <c r="L89" s="16" t="s">
        <v>291</v>
      </c>
      <c r="M89" s="16" t="s">
        <v>106</v>
      </c>
      <c r="N89" s="12" t="s">
        <v>149</v>
      </c>
      <c r="O89" s="4" t="s">
        <v>150</v>
      </c>
      <c r="P89" s="4" t="s">
        <v>150</v>
      </c>
    </row>
    <row r="90" customFormat="false" ht="15" hidden="false" customHeight="false" outlineLevel="0" collapsed="false">
      <c r="A90" s="16" t="n">
        <v>87</v>
      </c>
      <c r="B90" s="16" t="s">
        <v>143</v>
      </c>
      <c r="C90" s="16" t="s">
        <v>144</v>
      </c>
      <c r="D90" s="16" t="s">
        <v>247</v>
      </c>
      <c r="E90" s="17" t="n">
        <v>10633994</v>
      </c>
      <c r="F90" s="17" t="n">
        <v>0</v>
      </c>
      <c r="G90" s="11" t="n">
        <f aca="false">E90-F90</f>
        <v>10633994</v>
      </c>
      <c r="H90" s="5" t="n">
        <v>46234</v>
      </c>
      <c r="I90" s="16" t="s">
        <v>90</v>
      </c>
      <c r="J90" s="16" t="s">
        <v>219</v>
      </c>
      <c r="K90" s="16" t="s">
        <v>147</v>
      </c>
      <c r="L90" s="16" t="s">
        <v>220</v>
      </c>
      <c r="M90" s="16" t="s">
        <v>106</v>
      </c>
      <c r="N90" s="12" t="s">
        <v>149</v>
      </c>
      <c r="O90" s="4" t="s">
        <v>150</v>
      </c>
      <c r="P90" s="4" t="s">
        <v>150</v>
      </c>
    </row>
    <row r="91" customFormat="false" ht="15" hidden="false" customHeight="false" outlineLevel="0" collapsed="false">
      <c r="A91" s="16" t="n">
        <v>88</v>
      </c>
      <c r="B91" s="16" t="s">
        <v>143</v>
      </c>
      <c r="C91" s="16" t="s">
        <v>144</v>
      </c>
      <c r="D91" s="16" t="s">
        <v>292</v>
      </c>
      <c r="E91" s="17" t="n">
        <v>0</v>
      </c>
      <c r="F91" s="17" t="n">
        <v>301900</v>
      </c>
      <c r="G91" s="11" t="n">
        <f aca="false">E91-F91</f>
        <v>-301900</v>
      </c>
      <c r="H91" s="5" t="n">
        <v>46052</v>
      </c>
      <c r="I91" s="16" t="s">
        <v>293</v>
      </c>
      <c r="J91" s="16" t="s">
        <v>294</v>
      </c>
      <c r="K91" s="16" t="s">
        <v>160</v>
      </c>
      <c r="L91" s="16" t="s">
        <v>295</v>
      </c>
      <c r="M91" s="16" t="s">
        <v>106</v>
      </c>
      <c r="N91" s="12" t="s">
        <v>149</v>
      </c>
      <c r="O91" s="4" t="s">
        <v>150</v>
      </c>
      <c r="P91" s="4" t="s">
        <v>150</v>
      </c>
    </row>
    <row r="92" customFormat="false" ht="15" hidden="false" customHeight="false" outlineLevel="0" collapsed="false">
      <c r="A92" s="16" t="n">
        <v>89</v>
      </c>
      <c r="B92" s="16" t="s">
        <v>143</v>
      </c>
      <c r="C92" s="16" t="s">
        <v>144</v>
      </c>
      <c r="D92" s="16" t="s">
        <v>292</v>
      </c>
      <c r="E92" s="17" t="n">
        <v>301900</v>
      </c>
      <c r="F92" s="17" t="n">
        <v>0</v>
      </c>
      <c r="G92" s="11" t="n">
        <f aca="false">E92-F92</f>
        <v>301900</v>
      </c>
      <c r="H92" s="5" t="n">
        <v>46053</v>
      </c>
      <c r="I92" s="16" t="s">
        <v>90</v>
      </c>
      <c r="J92" s="16" t="s">
        <v>296</v>
      </c>
      <c r="K92" s="16" t="s">
        <v>147</v>
      </c>
      <c r="L92" s="16" t="s">
        <v>297</v>
      </c>
      <c r="M92" s="16" t="s">
        <v>106</v>
      </c>
      <c r="N92" s="12" t="s">
        <v>149</v>
      </c>
      <c r="O92" s="4" t="s">
        <v>150</v>
      </c>
      <c r="P92" s="4" t="s">
        <v>150</v>
      </c>
    </row>
    <row r="93" customFormat="false" ht="15" hidden="false" customHeight="false" outlineLevel="0" collapsed="false">
      <c r="A93" s="16" t="n">
        <v>90</v>
      </c>
      <c r="B93" s="16" t="s">
        <v>143</v>
      </c>
      <c r="C93" s="16" t="s">
        <v>144</v>
      </c>
      <c r="D93" s="16" t="s">
        <v>298</v>
      </c>
      <c r="E93" s="17" t="n">
        <v>547100</v>
      </c>
      <c r="F93" s="17" t="n">
        <v>0</v>
      </c>
      <c r="G93" s="11" t="n">
        <f aca="false">E93-F93</f>
        <v>547100</v>
      </c>
      <c r="H93" s="5" t="n">
        <v>46173</v>
      </c>
      <c r="I93" s="16" t="s">
        <v>90</v>
      </c>
      <c r="J93" s="16" t="s">
        <v>174</v>
      </c>
      <c r="K93" s="16" t="s">
        <v>160</v>
      </c>
      <c r="L93" s="16" t="s">
        <v>175</v>
      </c>
      <c r="M93" s="16" t="s">
        <v>176</v>
      </c>
      <c r="N93" s="12" t="s">
        <v>149</v>
      </c>
      <c r="O93" s="4" t="s">
        <v>150</v>
      </c>
      <c r="P93" s="4" t="s">
        <v>150</v>
      </c>
    </row>
    <row r="94" customFormat="false" ht="15" hidden="false" customHeight="false" outlineLevel="0" collapsed="false">
      <c r="A94" s="16" t="n">
        <v>91</v>
      </c>
      <c r="B94" s="16" t="s">
        <v>143</v>
      </c>
      <c r="C94" s="16" t="s">
        <v>144</v>
      </c>
      <c r="D94" s="16" t="s">
        <v>299</v>
      </c>
      <c r="E94" s="17" t="n">
        <v>4349883.43</v>
      </c>
      <c r="F94" s="17" t="n">
        <v>0</v>
      </c>
      <c r="G94" s="11" t="n">
        <f aca="false">E94-F94</f>
        <v>4349883.43</v>
      </c>
      <c r="H94" s="5" t="n">
        <v>46173</v>
      </c>
      <c r="I94" s="16" t="s">
        <v>90</v>
      </c>
      <c r="J94" s="16" t="s">
        <v>174</v>
      </c>
      <c r="K94" s="16" t="s">
        <v>160</v>
      </c>
      <c r="L94" s="16" t="s">
        <v>175</v>
      </c>
      <c r="M94" s="16" t="s">
        <v>176</v>
      </c>
      <c r="N94" s="12" t="s">
        <v>149</v>
      </c>
      <c r="O94" s="4" t="s">
        <v>150</v>
      </c>
      <c r="P94" s="4" t="s">
        <v>150</v>
      </c>
    </row>
    <row r="95" customFormat="false" ht="15" hidden="false" customHeight="false" outlineLevel="0" collapsed="false">
      <c r="A95" s="16" t="n">
        <v>92</v>
      </c>
      <c r="B95" s="16" t="s">
        <v>143</v>
      </c>
      <c r="C95" s="16" t="s">
        <v>144</v>
      </c>
      <c r="D95" s="16" t="s">
        <v>300</v>
      </c>
      <c r="E95" s="17" t="n">
        <v>5510003.45</v>
      </c>
      <c r="F95" s="17" t="n">
        <v>0</v>
      </c>
      <c r="G95" s="11" t="n">
        <f aca="false">E95-F95</f>
        <v>5510003.45</v>
      </c>
      <c r="H95" s="5" t="n">
        <v>46173</v>
      </c>
      <c r="I95" s="16" t="s">
        <v>90</v>
      </c>
      <c r="J95" s="16" t="s">
        <v>174</v>
      </c>
      <c r="K95" s="16" t="s">
        <v>160</v>
      </c>
      <c r="L95" s="16" t="s">
        <v>175</v>
      </c>
      <c r="M95" s="16" t="s">
        <v>176</v>
      </c>
      <c r="N95" s="12" t="s">
        <v>149</v>
      </c>
      <c r="O95" s="4" t="s">
        <v>150</v>
      </c>
      <c r="P95" s="4" t="s">
        <v>150</v>
      </c>
    </row>
    <row r="96" customFormat="false" ht="15" hidden="false" customHeight="false" outlineLevel="0" collapsed="false">
      <c r="A96" s="16" t="n">
        <v>93</v>
      </c>
      <c r="B96" s="16" t="s">
        <v>143</v>
      </c>
      <c r="C96" s="16" t="s">
        <v>144</v>
      </c>
      <c r="D96" s="16" t="s">
        <v>301</v>
      </c>
      <c r="E96" s="17" t="n">
        <v>190699.88</v>
      </c>
      <c r="F96" s="17" t="n">
        <v>0</v>
      </c>
      <c r="G96" s="11" t="n">
        <f aca="false">E96-F96</f>
        <v>190699.88</v>
      </c>
      <c r="H96" s="5" t="n">
        <v>46173</v>
      </c>
      <c r="I96" s="16" t="s">
        <v>90</v>
      </c>
      <c r="J96" s="16" t="s">
        <v>174</v>
      </c>
      <c r="K96" s="16" t="s">
        <v>160</v>
      </c>
      <c r="L96" s="16" t="s">
        <v>175</v>
      </c>
      <c r="M96" s="16" t="s">
        <v>176</v>
      </c>
      <c r="N96" s="12" t="s">
        <v>149</v>
      </c>
      <c r="O96" s="4" t="s">
        <v>150</v>
      </c>
      <c r="P96" s="4" t="s">
        <v>150</v>
      </c>
    </row>
    <row r="97" customFormat="false" ht="15" hidden="false" customHeight="false" outlineLevel="0" collapsed="false">
      <c r="A97" s="16" t="n">
        <v>94</v>
      </c>
      <c r="B97" s="16" t="s">
        <v>143</v>
      </c>
      <c r="C97" s="16" t="s">
        <v>144</v>
      </c>
      <c r="D97" s="16" t="s">
        <v>302</v>
      </c>
      <c r="E97" s="17" t="n">
        <v>0</v>
      </c>
      <c r="F97" s="17" t="n">
        <v>415900</v>
      </c>
      <c r="G97" s="11" t="n">
        <f aca="false">E97-F97</f>
        <v>-415900</v>
      </c>
      <c r="H97" s="5" t="n">
        <v>46041</v>
      </c>
      <c r="I97" s="16" t="s">
        <v>303</v>
      </c>
      <c r="J97" s="16" t="s">
        <v>304</v>
      </c>
      <c r="K97" s="16" t="s">
        <v>147</v>
      </c>
      <c r="L97" s="16" t="s">
        <v>305</v>
      </c>
      <c r="M97" s="16" t="s">
        <v>106</v>
      </c>
      <c r="N97" s="12" t="s">
        <v>149</v>
      </c>
      <c r="O97" s="4" t="s">
        <v>150</v>
      </c>
      <c r="P97" s="4" t="s">
        <v>150</v>
      </c>
    </row>
    <row r="98" customFormat="false" ht="15" hidden="false" customHeight="false" outlineLevel="0" collapsed="false">
      <c r="A98" s="16" t="n">
        <v>95</v>
      </c>
      <c r="B98" s="16" t="s">
        <v>143</v>
      </c>
      <c r="C98" s="16" t="s">
        <v>144</v>
      </c>
      <c r="D98" s="16" t="s">
        <v>302</v>
      </c>
      <c r="E98" s="17" t="n">
        <v>0</v>
      </c>
      <c r="F98" s="17" t="n">
        <v>304600</v>
      </c>
      <c r="G98" s="11" t="n">
        <f aca="false">E98-F98</f>
        <v>-304600</v>
      </c>
      <c r="H98" s="5" t="n">
        <v>46041</v>
      </c>
      <c r="I98" s="16" t="s">
        <v>303</v>
      </c>
      <c r="J98" s="16" t="s">
        <v>306</v>
      </c>
      <c r="K98" s="16" t="s">
        <v>147</v>
      </c>
      <c r="L98" s="16" t="s">
        <v>307</v>
      </c>
      <c r="M98" s="16" t="s">
        <v>106</v>
      </c>
      <c r="N98" s="12" t="s">
        <v>149</v>
      </c>
      <c r="O98" s="4" t="s">
        <v>150</v>
      </c>
      <c r="P98" s="4" t="s">
        <v>150</v>
      </c>
    </row>
    <row r="99" customFormat="false" ht="15" hidden="false" customHeight="false" outlineLevel="0" collapsed="false">
      <c r="A99" s="16" t="n">
        <v>96</v>
      </c>
      <c r="B99" s="16" t="s">
        <v>143</v>
      </c>
      <c r="C99" s="16" t="s">
        <v>144</v>
      </c>
      <c r="D99" s="16" t="s">
        <v>302</v>
      </c>
      <c r="E99" s="17" t="n">
        <v>0</v>
      </c>
      <c r="F99" s="17" t="n">
        <v>501700</v>
      </c>
      <c r="G99" s="11" t="n">
        <f aca="false">E99-F99</f>
        <v>-501700</v>
      </c>
      <c r="H99" s="5" t="n">
        <v>46043</v>
      </c>
      <c r="I99" s="16" t="s">
        <v>303</v>
      </c>
      <c r="J99" s="16" t="s">
        <v>308</v>
      </c>
      <c r="K99" s="16" t="s">
        <v>147</v>
      </c>
      <c r="L99" s="16" t="s">
        <v>309</v>
      </c>
      <c r="M99" s="16" t="s">
        <v>106</v>
      </c>
      <c r="N99" s="12" t="s">
        <v>149</v>
      </c>
      <c r="O99" s="4" t="s">
        <v>150</v>
      </c>
      <c r="P99" s="4" t="s">
        <v>150</v>
      </c>
    </row>
    <row r="100" customFormat="false" ht="15" hidden="false" customHeight="false" outlineLevel="0" collapsed="false">
      <c r="A100" s="16" t="n">
        <v>97</v>
      </c>
      <c r="B100" s="16" t="s">
        <v>143</v>
      </c>
      <c r="C100" s="16" t="s">
        <v>144</v>
      </c>
      <c r="D100" s="16" t="s">
        <v>302</v>
      </c>
      <c r="E100" s="17" t="n">
        <v>0</v>
      </c>
      <c r="F100" s="17" t="n">
        <v>285700</v>
      </c>
      <c r="G100" s="11" t="n">
        <f aca="false">E100-F100</f>
        <v>-285700</v>
      </c>
      <c r="H100" s="5" t="n">
        <v>46050</v>
      </c>
      <c r="I100" s="16" t="s">
        <v>303</v>
      </c>
      <c r="J100" s="16" t="s">
        <v>310</v>
      </c>
      <c r="K100" s="16" t="s">
        <v>147</v>
      </c>
      <c r="L100" s="16" t="s">
        <v>311</v>
      </c>
      <c r="M100" s="16" t="s">
        <v>106</v>
      </c>
      <c r="N100" s="12" t="s">
        <v>149</v>
      </c>
      <c r="O100" s="4" t="s">
        <v>150</v>
      </c>
      <c r="P100" s="4" t="s">
        <v>150</v>
      </c>
    </row>
    <row r="101" customFormat="false" ht="15" hidden="false" customHeight="false" outlineLevel="0" collapsed="false">
      <c r="A101" s="16" t="n">
        <v>98</v>
      </c>
      <c r="B101" s="16" t="s">
        <v>143</v>
      </c>
      <c r="C101" s="16" t="s">
        <v>144</v>
      </c>
      <c r="D101" s="16" t="s">
        <v>302</v>
      </c>
      <c r="E101" s="17" t="n">
        <v>0</v>
      </c>
      <c r="F101" s="17" t="n">
        <v>331700</v>
      </c>
      <c r="G101" s="11" t="n">
        <f aca="false">E101-F101</f>
        <v>-331700</v>
      </c>
      <c r="H101" s="5" t="n">
        <v>46050</v>
      </c>
      <c r="I101" s="16" t="s">
        <v>303</v>
      </c>
      <c r="J101" s="16" t="s">
        <v>312</v>
      </c>
      <c r="K101" s="16" t="s">
        <v>147</v>
      </c>
      <c r="L101" s="16" t="s">
        <v>313</v>
      </c>
      <c r="M101" s="16" t="s">
        <v>106</v>
      </c>
      <c r="N101" s="12" t="s">
        <v>149</v>
      </c>
      <c r="O101" s="4" t="s">
        <v>150</v>
      </c>
      <c r="P101" s="4" t="s">
        <v>150</v>
      </c>
    </row>
    <row r="102" customFormat="false" ht="15" hidden="false" customHeight="false" outlineLevel="0" collapsed="false">
      <c r="A102" s="16" t="n">
        <v>99</v>
      </c>
      <c r="B102" s="16" t="s">
        <v>143</v>
      </c>
      <c r="C102" s="16" t="s">
        <v>144</v>
      </c>
      <c r="D102" s="16" t="s">
        <v>302</v>
      </c>
      <c r="E102" s="17" t="n">
        <v>1531600</v>
      </c>
      <c r="F102" s="17" t="n">
        <v>0</v>
      </c>
      <c r="G102" s="11" t="n">
        <f aca="false">E102-F102</f>
        <v>1531600</v>
      </c>
      <c r="H102" s="5" t="n">
        <v>46052</v>
      </c>
      <c r="I102" s="16" t="s">
        <v>90</v>
      </c>
      <c r="J102" s="16" t="s">
        <v>192</v>
      </c>
      <c r="K102" s="16" t="s">
        <v>147</v>
      </c>
      <c r="L102" s="16" t="s">
        <v>193</v>
      </c>
      <c r="M102" s="16" t="s">
        <v>106</v>
      </c>
      <c r="N102" s="12" t="s">
        <v>149</v>
      </c>
      <c r="O102" s="4" t="s">
        <v>150</v>
      </c>
      <c r="P102" s="4" t="s">
        <v>150</v>
      </c>
    </row>
    <row r="103" customFormat="false" ht="15" hidden="false" customHeight="false" outlineLevel="0" collapsed="false">
      <c r="A103" s="16" t="n">
        <v>100</v>
      </c>
      <c r="B103" s="16" t="s">
        <v>143</v>
      </c>
      <c r="C103" s="16" t="s">
        <v>144</v>
      </c>
      <c r="D103" s="16" t="s">
        <v>302</v>
      </c>
      <c r="E103" s="17" t="n">
        <v>0</v>
      </c>
      <c r="F103" s="17" t="n">
        <v>216999.95</v>
      </c>
      <c r="G103" s="11" t="n">
        <f aca="false">E103-F103</f>
        <v>-216999.95</v>
      </c>
      <c r="H103" s="5" t="n">
        <v>46053</v>
      </c>
      <c r="I103" s="16" t="s">
        <v>303</v>
      </c>
      <c r="J103" s="16" t="s">
        <v>314</v>
      </c>
      <c r="K103" s="16" t="s">
        <v>147</v>
      </c>
      <c r="L103" s="16" t="s">
        <v>315</v>
      </c>
      <c r="M103" s="16" t="s">
        <v>106</v>
      </c>
      <c r="N103" s="12" t="s">
        <v>149</v>
      </c>
      <c r="O103" s="4" t="s">
        <v>150</v>
      </c>
      <c r="P103" s="4" t="s">
        <v>150</v>
      </c>
    </row>
    <row r="104" customFormat="false" ht="15" hidden="false" customHeight="false" outlineLevel="0" collapsed="false">
      <c r="A104" s="16" t="n">
        <v>101</v>
      </c>
      <c r="B104" s="16" t="s">
        <v>143</v>
      </c>
      <c r="C104" s="16" t="s">
        <v>144</v>
      </c>
      <c r="D104" s="16" t="s">
        <v>302</v>
      </c>
      <c r="E104" s="17" t="n">
        <v>0</v>
      </c>
      <c r="F104" s="17" t="n">
        <v>316100</v>
      </c>
      <c r="G104" s="11" t="n">
        <f aca="false">E104-F104</f>
        <v>-316100</v>
      </c>
      <c r="H104" s="5" t="n">
        <v>46069</v>
      </c>
      <c r="I104" s="16" t="s">
        <v>303</v>
      </c>
      <c r="J104" s="16" t="s">
        <v>316</v>
      </c>
      <c r="K104" s="16" t="s">
        <v>147</v>
      </c>
      <c r="L104" s="16" t="s">
        <v>317</v>
      </c>
      <c r="M104" s="16" t="s">
        <v>106</v>
      </c>
      <c r="N104" s="12" t="s">
        <v>149</v>
      </c>
      <c r="O104" s="4" t="s">
        <v>150</v>
      </c>
      <c r="P104" s="4" t="s">
        <v>150</v>
      </c>
    </row>
    <row r="105" customFormat="false" ht="15" hidden="false" customHeight="false" outlineLevel="0" collapsed="false">
      <c r="A105" s="16" t="n">
        <v>102</v>
      </c>
      <c r="B105" s="16" t="s">
        <v>143</v>
      </c>
      <c r="C105" s="16" t="s">
        <v>144</v>
      </c>
      <c r="D105" s="16" t="s">
        <v>302</v>
      </c>
      <c r="E105" s="17" t="n">
        <v>0</v>
      </c>
      <c r="F105" s="17" t="n">
        <v>434100</v>
      </c>
      <c r="G105" s="11" t="n">
        <f aca="false">E105-F105</f>
        <v>-434100</v>
      </c>
      <c r="H105" s="5" t="n">
        <v>46069</v>
      </c>
      <c r="I105" s="16" t="s">
        <v>303</v>
      </c>
      <c r="J105" s="16" t="s">
        <v>318</v>
      </c>
      <c r="K105" s="16" t="s">
        <v>147</v>
      </c>
      <c r="L105" s="16" t="s">
        <v>319</v>
      </c>
      <c r="M105" s="16" t="s">
        <v>106</v>
      </c>
      <c r="N105" s="12" t="s">
        <v>149</v>
      </c>
      <c r="O105" s="4" t="s">
        <v>150</v>
      </c>
      <c r="P105" s="4" t="s">
        <v>150</v>
      </c>
    </row>
    <row r="106" customFormat="false" ht="15" hidden="false" customHeight="false" outlineLevel="0" collapsed="false">
      <c r="A106" s="16" t="n">
        <v>103</v>
      </c>
      <c r="B106" s="16" t="s">
        <v>143</v>
      </c>
      <c r="C106" s="16" t="s">
        <v>144</v>
      </c>
      <c r="D106" s="16" t="s">
        <v>302</v>
      </c>
      <c r="E106" s="17" t="n">
        <v>0</v>
      </c>
      <c r="F106" s="17" t="n">
        <v>521200</v>
      </c>
      <c r="G106" s="11" t="n">
        <f aca="false">E106-F106</f>
        <v>-521200</v>
      </c>
      <c r="H106" s="5" t="n">
        <v>46070</v>
      </c>
      <c r="I106" s="16" t="s">
        <v>303</v>
      </c>
      <c r="J106" s="16" t="s">
        <v>320</v>
      </c>
      <c r="K106" s="16" t="s">
        <v>147</v>
      </c>
      <c r="L106" s="16" t="s">
        <v>321</v>
      </c>
      <c r="M106" s="16" t="s">
        <v>106</v>
      </c>
      <c r="N106" s="12" t="s">
        <v>149</v>
      </c>
      <c r="O106" s="4" t="s">
        <v>150</v>
      </c>
      <c r="P106" s="4" t="s">
        <v>150</v>
      </c>
    </row>
    <row r="107" customFormat="false" ht="15" hidden="false" customHeight="false" outlineLevel="0" collapsed="false">
      <c r="A107" s="16" t="n">
        <v>104</v>
      </c>
      <c r="B107" s="16" t="s">
        <v>143</v>
      </c>
      <c r="C107" s="16" t="s">
        <v>144</v>
      </c>
      <c r="D107" s="16" t="s">
        <v>302</v>
      </c>
      <c r="E107" s="17" t="n">
        <v>0</v>
      </c>
      <c r="F107" s="17" t="n">
        <v>227900</v>
      </c>
      <c r="G107" s="11" t="n">
        <f aca="false">E107-F107</f>
        <v>-227900</v>
      </c>
      <c r="H107" s="5" t="n">
        <v>46070</v>
      </c>
      <c r="I107" s="16" t="s">
        <v>303</v>
      </c>
      <c r="J107" s="16" t="s">
        <v>322</v>
      </c>
      <c r="K107" s="16" t="s">
        <v>147</v>
      </c>
      <c r="L107" s="16" t="s">
        <v>323</v>
      </c>
      <c r="M107" s="16" t="s">
        <v>106</v>
      </c>
      <c r="N107" s="12" t="s">
        <v>149</v>
      </c>
      <c r="O107" s="4" t="s">
        <v>150</v>
      </c>
      <c r="P107" s="4" t="s">
        <v>150</v>
      </c>
    </row>
    <row r="108" customFormat="false" ht="15" hidden="false" customHeight="false" outlineLevel="0" collapsed="false">
      <c r="A108" s="16" t="n">
        <v>105</v>
      </c>
      <c r="B108" s="16" t="s">
        <v>143</v>
      </c>
      <c r="C108" s="16" t="s">
        <v>144</v>
      </c>
      <c r="D108" s="16" t="s">
        <v>302</v>
      </c>
      <c r="E108" s="17" t="n">
        <v>594100</v>
      </c>
      <c r="F108" s="17" t="n">
        <v>0</v>
      </c>
      <c r="G108" s="11" t="n">
        <f aca="false">E108-F108</f>
        <v>594100</v>
      </c>
      <c r="H108" s="5" t="n">
        <v>46072</v>
      </c>
      <c r="I108" s="16" t="s">
        <v>90</v>
      </c>
      <c r="J108" s="16" t="s">
        <v>196</v>
      </c>
      <c r="K108" s="16" t="s">
        <v>147</v>
      </c>
      <c r="L108" s="16" t="s">
        <v>197</v>
      </c>
      <c r="M108" s="16" t="s">
        <v>106</v>
      </c>
      <c r="N108" s="12" t="s">
        <v>149</v>
      </c>
      <c r="O108" s="4" t="s">
        <v>150</v>
      </c>
      <c r="P108" s="4" t="s">
        <v>150</v>
      </c>
    </row>
    <row r="109" customFormat="false" ht="15" hidden="false" customHeight="false" outlineLevel="0" collapsed="false">
      <c r="A109" s="16" t="n">
        <v>106</v>
      </c>
      <c r="B109" s="16" t="s">
        <v>143</v>
      </c>
      <c r="C109" s="16" t="s">
        <v>144</v>
      </c>
      <c r="D109" s="16" t="s">
        <v>302</v>
      </c>
      <c r="E109" s="17" t="n">
        <v>0</v>
      </c>
      <c r="F109" s="17" t="n">
        <v>285700</v>
      </c>
      <c r="G109" s="11" t="n">
        <f aca="false">E109-F109</f>
        <v>-285700</v>
      </c>
      <c r="H109" s="5" t="n">
        <v>46081</v>
      </c>
      <c r="I109" s="16" t="s">
        <v>303</v>
      </c>
      <c r="J109" s="16" t="s">
        <v>324</v>
      </c>
      <c r="K109" s="16" t="s">
        <v>147</v>
      </c>
      <c r="L109" s="16" t="s">
        <v>325</v>
      </c>
      <c r="M109" s="16" t="s">
        <v>106</v>
      </c>
      <c r="N109" s="12" t="s">
        <v>149</v>
      </c>
      <c r="O109" s="4" t="s">
        <v>150</v>
      </c>
      <c r="P109" s="4" t="s">
        <v>150</v>
      </c>
    </row>
    <row r="110" customFormat="false" ht="15" hidden="false" customHeight="false" outlineLevel="0" collapsed="false">
      <c r="A110" s="16" t="n">
        <v>107</v>
      </c>
      <c r="B110" s="16" t="s">
        <v>143</v>
      </c>
      <c r="C110" s="16" t="s">
        <v>144</v>
      </c>
      <c r="D110" s="16" t="s">
        <v>302</v>
      </c>
      <c r="E110" s="17" t="n">
        <v>0</v>
      </c>
      <c r="F110" s="17" t="n">
        <v>331700</v>
      </c>
      <c r="G110" s="11" t="n">
        <f aca="false">E110-F110</f>
        <v>-331700</v>
      </c>
      <c r="H110" s="5" t="n">
        <v>46081</v>
      </c>
      <c r="I110" s="16" t="s">
        <v>303</v>
      </c>
      <c r="J110" s="16" t="s">
        <v>326</v>
      </c>
      <c r="K110" s="16" t="s">
        <v>147</v>
      </c>
      <c r="L110" s="16" t="s">
        <v>327</v>
      </c>
      <c r="M110" s="16" t="s">
        <v>106</v>
      </c>
      <c r="N110" s="12" t="s">
        <v>149</v>
      </c>
      <c r="O110" s="4" t="s">
        <v>150</v>
      </c>
      <c r="P110" s="4" t="s">
        <v>150</v>
      </c>
    </row>
    <row r="111" customFormat="false" ht="15" hidden="false" customHeight="false" outlineLevel="0" collapsed="false">
      <c r="A111" s="16" t="n">
        <v>108</v>
      </c>
      <c r="B111" s="16" t="s">
        <v>143</v>
      </c>
      <c r="C111" s="16" t="s">
        <v>144</v>
      </c>
      <c r="D111" s="16" t="s">
        <v>302</v>
      </c>
      <c r="E111" s="17" t="n">
        <v>0</v>
      </c>
      <c r="F111" s="17" t="n">
        <v>316100</v>
      </c>
      <c r="G111" s="11" t="n">
        <f aca="false">E111-F111</f>
        <v>-316100</v>
      </c>
      <c r="H111" s="5" t="n">
        <v>46098</v>
      </c>
      <c r="I111" s="16" t="s">
        <v>303</v>
      </c>
      <c r="J111" s="16" t="s">
        <v>328</v>
      </c>
      <c r="K111" s="16" t="s">
        <v>147</v>
      </c>
      <c r="L111" s="16" t="s">
        <v>329</v>
      </c>
      <c r="M111" s="16" t="s">
        <v>106</v>
      </c>
      <c r="N111" s="12" t="s">
        <v>149</v>
      </c>
      <c r="O111" s="4" t="s">
        <v>150</v>
      </c>
      <c r="P111" s="4" t="s">
        <v>150</v>
      </c>
    </row>
    <row r="112" customFormat="false" ht="15" hidden="false" customHeight="false" outlineLevel="0" collapsed="false">
      <c r="A112" s="16" t="n">
        <v>109</v>
      </c>
      <c r="B112" s="16" t="s">
        <v>143</v>
      </c>
      <c r="C112" s="16" t="s">
        <v>144</v>
      </c>
      <c r="D112" s="16" t="s">
        <v>302</v>
      </c>
      <c r="E112" s="17" t="n">
        <v>0</v>
      </c>
      <c r="F112" s="17" t="n">
        <v>434100</v>
      </c>
      <c r="G112" s="11" t="n">
        <f aca="false">E112-F112</f>
        <v>-434100</v>
      </c>
      <c r="H112" s="5" t="n">
        <v>46098</v>
      </c>
      <c r="I112" s="16" t="s">
        <v>303</v>
      </c>
      <c r="J112" s="16" t="s">
        <v>330</v>
      </c>
      <c r="K112" s="16" t="s">
        <v>147</v>
      </c>
      <c r="L112" s="16" t="s">
        <v>331</v>
      </c>
      <c r="M112" s="16" t="s">
        <v>106</v>
      </c>
      <c r="N112" s="12" t="s">
        <v>149</v>
      </c>
      <c r="O112" s="4" t="s">
        <v>150</v>
      </c>
      <c r="P112" s="4" t="s">
        <v>150</v>
      </c>
    </row>
    <row r="113" customFormat="false" ht="15" hidden="false" customHeight="false" outlineLevel="0" collapsed="false">
      <c r="A113" s="16" t="n">
        <v>110</v>
      </c>
      <c r="B113" s="16" t="s">
        <v>143</v>
      </c>
      <c r="C113" s="16" t="s">
        <v>144</v>
      </c>
      <c r="D113" s="16" t="s">
        <v>302</v>
      </c>
      <c r="E113" s="17" t="n">
        <v>0</v>
      </c>
      <c r="F113" s="17" t="n">
        <v>521200</v>
      </c>
      <c r="G113" s="11" t="n">
        <f aca="false">E113-F113</f>
        <v>-521200</v>
      </c>
      <c r="H113" s="5" t="n">
        <v>46107</v>
      </c>
      <c r="I113" s="16" t="s">
        <v>303</v>
      </c>
      <c r="J113" s="16" t="s">
        <v>332</v>
      </c>
      <c r="K113" s="16" t="s">
        <v>147</v>
      </c>
      <c r="L113" s="16" t="s">
        <v>333</v>
      </c>
      <c r="M113" s="16" t="s">
        <v>106</v>
      </c>
      <c r="N113" s="12" t="s">
        <v>149</v>
      </c>
      <c r="O113" s="4" t="s">
        <v>150</v>
      </c>
      <c r="P113" s="4" t="s">
        <v>150</v>
      </c>
    </row>
    <row r="114" customFormat="false" ht="15" hidden="false" customHeight="false" outlineLevel="0" collapsed="false">
      <c r="A114" s="16" t="n">
        <v>111</v>
      </c>
      <c r="B114" s="16" t="s">
        <v>143</v>
      </c>
      <c r="C114" s="16" t="s">
        <v>144</v>
      </c>
      <c r="D114" s="16" t="s">
        <v>302</v>
      </c>
      <c r="E114" s="17" t="n">
        <v>0</v>
      </c>
      <c r="F114" s="17" t="n">
        <v>227900</v>
      </c>
      <c r="G114" s="11" t="n">
        <f aca="false">E114-F114</f>
        <v>-227900</v>
      </c>
      <c r="H114" s="5" t="n">
        <v>46111</v>
      </c>
      <c r="I114" s="16" t="s">
        <v>303</v>
      </c>
      <c r="J114" s="16" t="s">
        <v>334</v>
      </c>
      <c r="K114" s="16" t="s">
        <v>147</v>
      </c>
      <c r="L114" s="16" t="s">
        <v>335</v>
      </c>
      <c r="M114" s="16" t="s">
        <v>106</v>
      </c>
      <c r="N114" s="12" t="s">
        <v>149</v>
      </c>
      <c r="O114" s="4" t="s">
        <v>150</v>
      </c>
      <c r="P114" s="4" t="s">
        <v>150</v>
      </c>
    </row>
    <row r="115" customFormat="false" ht="15" hidden="false" customHeight="false" outlineLevel="0" collapsed="false">
      <c r="A115" s="16" t="n">
        <v>112</v>
      </c>
      <c r="B115" s="16" t="s">
        <v>143</v>
      </c>
      <c r="C115" s="16" t="s">
        <v>144</v>
      </c>
      <c r="D115" s="16" t="s">
        <v>302</v>
      </c>
      <c r="E115" s="17" t="n">
        <v>0</v>
      </c>
      <c r="F115" s="17" t="n">
        <v>285700</v>
      </c>
      <c r="G115" s="11" t="n">
        <f aca="false">E115-F115</f>
        <v>-285700</v>
      </c>
      <c r="H115" s="5" t="n">
        <v>46112</v>
      </c>
      <c r="I115" s="16" t="s">
        <v>303</v>
      </c>
      <c r="J115" s="16" t="s">
        <v>336</v>
      </c>
      <c r="K115" s="16" t="s">
        <v>147</v>
      </c>
      <c r="L115" s="16" t="s">
        <v>337</v>
      </c>
      <c r="M115" s="16" t="s">
        <v>106</v>
      </c>
      <c r="N115" s="12" t="s">
        <v>149</v>
      </c>
      <c r="O115" s="4" t="s">
        <v>150</v>
      </c>
      <c r="P115" s="4" t="s">
        <v>150</v>
      </c>
    </row>
    <row r="116" customFormat="false" ht="15" hidden="false" customHeight="false" outlineLevel="0" collapsed="false">
      <c r="A116" s="16" t="n">
        <v>113</v>
      </c>
      <c r="B116" s="16" t="s">
        <v>143</v>
      </c>
      <c r="C116" s="16" t="s">
        <v>144</v>
      </c>
      <c r="D116" s="16" t="s">
        <v>302</v>
      </c>
      <c r="E116" s="17" t="n">
        <v>0</v>
      </c>
      <c r="F116" s="17" t="n">
        <v>331700</v>
      </c>
      <c r="G116" s="11" t="n">
        <f aca="false">E116-F116</f>
        <v>-331700</v>
      </c>
      <c r="H116" s="5" t="n">
        <v>46112</v>
      </c>
      <c r="I116" s="16" t="s">
        <v>303</v>
      </c>
      <c r="J116" s="16" t="s">
        <v>338</v>
      </c>
      <c r="K116" s="16" t="s">
        <v>147</v>
      </c>
      <c r="L116" s="16" t="s">
        <v>339</v>
      </c>
      <c r="M116" s="16" t="s">
        <v>106</v>
      </c>
      <c r="N116" s="12" t="s">
        <v>149</v>
      </c>
      <c r="O116" s="4" t="s">
        <v>150</v>
      </c>
      <c r="P116" s="4" t="s">
        <v>150</v>
      </c>
    </row>
    <row r="117" customFormat="false" ht="15" hidden="false" customHeight="false" outlineLevel="0" collapsed="false">
      <c r="A117" s="16" t="n">
        <v>114</v>
      </c>
      <c r="B117" s="16" t="s">
        <v>143</v>
      </c>
      <c r="C117" s="16" t="s">
        <v>144</v>
      </c>
      <c r="D117" s="16" t="s">
        <v>302</v>
      </c>
      <c r="E117" s="17" t="n">
        <v>2878399.95</v>
      </c>
      <c r="F117" s="17" t="n">
        <v>0</v>
      </c>
      <c r="G117" s="11" t="n">
        <f aca="false">E117-F117</f>
        <v>2878399.95</v>
      </c>
      <c r="H117" s="5" t="n">
        <v>46129</v>
      </c>
      <c r="I117" s="16" t="s">
        <v>90</v>
      </c>
      <c r="J117" s="16" t="s">
        <v>202</v>
      </c>
      <c r="K117" s="16" t="s">
        <v>147</v>
      </c>
      <c r="L117" s="16" t="s">
        <v>203</v>
      </c>
      <c r="M117" s="16" t="s">
        <v>106</v>
      </c>
      <c r="N117" s="12" t="s">
        <v>149</v>
      </c>
      <c r="O117" s="4" t="s">
        <v>150</v>
      </c>
      <c r="P117" s="4" t="s">
        <v>150</v>
      </c>
    </row>
    <row r="118" customFormat="false" ht="15" hidden="false" customHeight="false" outlineLevel="0" collapsed="false">
      <c r="A118" s="16" t="n">
        <v>115</v>
      </c>
      <c r="B118" s="16" t="s">
        <v>143</v>
      </c>
      <c r="C118" s="16" t="s">
        <v>144</v>
      </c>
      <c r="D118" s="16" t="s">
        <v>302</v>
      </c>
      <c r="E118" s="17" t="n">
        <v>0</v>
      </c>
      <c r="F118" s="17" t="n">
        <v>434100</v>
      </c>
      <c r="G118" s="11" t="n">
        <f aca="false">E118-F118</f>
        <v>-434100</v>
      </c>
      <c r="H118" s="5" t="n">
        <v>46132</v>
      </c>
      <c r="I118" s="16" t="s">
        <v>303</v>
      </c>
      <c r="J118" s="16" t="s">
        <v>340</v>
      </c>
      <c r="K118" s="16" t="s">
        <v>147</v>
      </c>
      <c r="L118" s="16" t="s">
        <v>341</v>
      </c>
      <c r="M118" s="16" t="s">
        <v>106</v>
      </c>
      <c r="N118" s="12" t="s">
        <v>149</v>
      </c>
      <c r="O118" s="4" t="s">
        <v>150</v>
      </c>
      <c r="P118" s="4" t="s">
        <v>150</v>
      </c>
    </row>
    <row r="119" customFormat="false" ht="15" hidden="false" customHeight="false" outlineLevel="0" collapsed="false">
      <c r="A119" s="16" t="n">
        <v>116</v>
      </c>
      <c r="B119" s="16" t="s">
        <v>143</v>
      </c>
      <c r="C119" s="16" t="s">
        <v>144</v>
      </c>
      <c r="D119" s="16" t="s">
        <v>302</v>
      </c>
      <c r="E119" s="17" t="n">
        <v>0</v>
      </c>
      <c r="F119" s="17" t="n">
        <v>521200</v>
      </c>
      <c r="G119" s="11" t="n">
        <f aca="false">E119-F119</f>
        <v>-521200</v>
      </c>
      <c r="H119" s="5" t="n">
        <v>46133</v>
      </c>
      <c r="I119" s="16" t="s">
        <v>303</v>
      </c>
      <c r="J119" s="16" t="s">
        <v>342</v>
      </c>
      <c r="K119" s="16" t="s">
        <v>147</v>
      </c>
      <c r="L119" s="16" t="s">
        <v>343</v>
      </c>
      <c r="M119" s="16" t="s">
        <v>106</v>
      </c>
      <c r="N119" s="12" t="s">
        <v>149</v>
      </c>
      <c r="O119" s="4" t="s">
        <v>150</v>
      </c>
      <c r="P119" s="4" t="s">
        <v>150</v>
      </c>
    </row>
    <row r="120" customFormat="false" ht="15" hidden="false" customHeight="false" outlineLevel="0" collapsed="false">
      <c r="A120" s="16" t="n">
        <v>117</v>
      </c>
      <c r="B120" s="16" t="s">
        <v>143</v>
      </c>
      <c r="C120" s="16" t="s">
        <v>144</v>
      </c>
      <c r="D120" s="16" t="s">
        <v>302</v>
      </c>
      <c r="E120" s="17" t="n">
        <v>0</v>
      </c>
      <c r="F120" s="17" t="n">
        <v>316100</v>
      </c>
      <c r="G120" s="11" t="n">
        <f aca="false">E120-F120</f>
        <v>-316100</v>
      </c>
      <c r="H120" s="5" t="n">
        <v>46133</v>
      </c>
      <c r="I120" s="16" t="s">
        <v>303</v>
      </c>
      <c r="J120" s="16" t="s">
        <v>344</v>
      </c>
      <c r="K120" s="16" t="s">
        <v>147</v>
      </c>
      <c r="L120" s="16" t="s">
        <v>345</v>
      </c>
      <c r="M120" s="16" t="s">
        <v>106</v>
      </c>
      <c r="N120" s="12" t="s">
        <v>149</v>
      </c>
      <c r="O120" s="4" t="s">
        <v>150</v>
      </c>
      <c r="P120" s="4" t="s">
        <v>150</v>
      </c>
    </row>
    <row r="121" customFormat="false" ht="15" hidden="false" customHeight="false" outlineLevel="0" collapsed="false">
      <c r="A121" s="16" t="n">
        <v>118</v>
      </c>
      <c r="B121" s="16" t="s">
        <v>143</v>
      </c>
      <c r="C121" s="16" t="s">
        <v>144</v>
      </c>
      <c r="D121" s="16" t="s">
        <v>302</v>
      </c>
      <c r="E121" s="17" t="n">
        <v>0</v>
      </c>
      <c r="F121" s="17" t="n">
        <v>227900</v>
      </c>
      <c r="G121" s="11" t="n">
        <f aca="false">E121-F121</f>
        <v>-227900</v>
      </c>
      <c r="H121" s="5" t="n">
        <v>46133</v>
      </c>
      <c r="I121" s="16" t="s">
        <v>303</v>
      </c>
      <c r="J121" s="16" t="s">
        <v>346</v>
      </c>
      <c r="K121" s="16" t="s">
        <v>147</v>
      </c>
      <c r="L121" s="16" t="s">
        <v>347</v>
      </c>
      <c r="M121" s="16" t="s">
        <v>106</v>
      </c>
      <c r="N121" s="12" t="s">
        <v>149</v>
      </c>
      <c r="O121" s="4" t="s">
        <v>150</v>
      </c>
      <c r="P121" s="4" t="s">
        <v>150</v>
      </c>
    </row>
    <row r="122" customFormat="false" ht="15" hidden="false" customHeight="false" outlineLevel="0" collapsed="false">
      <c r="A122" s="16" t="n">
        <v>119</v>
      </c>
      <c r="B122" s="16" t="s">
        <v>143</v>
      </c>
      <c r="C122" s="16" t="s">
        <v>144</v>
      </c>
      <c r="D122" s="16" t="s">
        <v>302</v>
      </c>
      <c r="E122" s="17" t="n">
        <v>2116700</v>
      </c>
      <c r="F122" s="17" t="n">
        <v>0</v>
      </c>
      <c r="G122" s="11" t="n">
        <f aca="false">E122-F122</f>
        <v>2116700</v>
      </c>
      <c r="H122" s="5" t="n">
        <v>46135</v>
      </c>
      <c r="I122" s="16" t="s">
        <v>90</v>
      </c>
      <c r="J122" s="16" t="s">
        <v>204</v>
      </c>
      <c r="K122" s="16" t="s">
        <v>147</v>
      </c>
      <c r="L122" s="16" t="s">
        <v>205</v>
      </c>
      <c r="M122" s="16" t="s">
        <v>106</v>
      </c>
      <c r="N122" s="12" t="s">
        <v>149</v>
      </c>
      <c r="O122" s="4" t="s">
        <v>150</v>
      </c>
      <c r="P122" s="4" t="s">
        <v>150</v>
      </c>
    </row>
    <row r="123" customFormat="false" ht="15" hidden="false" customHeight="false" outlineLevel="0" collapsed="false">
      <c r="A123" s="16" t="n">
        <v>120</v>
      </c>
      <c r="B123" s="16" t="s">
        <v>143</v>
      </c>
      <c r="C123" s="16" t="s">
        <v>144</v>
      </c>
      <c r="D123" s="16" t="s">
        <v>302</v>
      </c>
      <c r="E123" s="17" t="n">
        <v>0</v>
      </c>
      <c r="F123" s="17" t="n">
        <v>331700</v>
      </c>
      <c r="G123" s="11" t="n">
        <f aca="false">E123-F123</f>
        <v>-331700</v>
      </c>
      <c r="H123" s="5" t="n">
        <v>46142</v>
      </c>
      <c r="I123" s="16" t="s">
        <v>303</v>
      </c>
      <c r="J123" s="16" t="s">
        <v>348</v>
      </c>
      <c r="K123" s="16" t="s">
        <v>147</v>
      </c>
      <c r="L123" s="16" t="s">
        <v>349</v>
      </c>
      <c r="M123" s="16" t="s">
        <v>106</v>
      </c>
      <c r="N123" s="12" t="s">
        <v>149</v>
      </c>
      <c r="O123" s="4" t="s">
        <v>150</v>
      </c>
      <c r="P123" s="4" t="s">
        <v>150</v>
      </c>
    </row>
    <row r="124" customFormat="false" ht="15" hidden="false" customHeight="false" outlineLevel="0" collapsed="false">
      <c r="A124" s="16" t="n">
        <v>121</v>
      </c>
      <c r="B124" s="16" t="s">
        <v>143</v>
      </c>
      <c r="C124" s="16" t="s">
        <v>144</v>
      </c>
      <c r="D124" s="16" t="s">
        <v>302</v>
      </c>
      <c r="E124" s="17" t="n">
        <v>0</v>
      </c>
      <c r="F124" s="17" t="n">
        <v>285700</v>
      </c>
      <c r="G124" s="11" t="n">
        <f aca="false">E124-F124</f>
        <v>-285700</v>
      </c>
      <c r="H124" s="5" t="n">
        <v>46142</v>
      </c>
      <c r="I124" s="16" t="s">
        <v>303</v>
      </c>
      <c r="J124" s="16" t="s">
        <v>350</v>
      </c>
      <c r="K124" s="16" t="s">
        <v>147</v>
      </c>
      <c r="L124" s="16" t="s">
        <v>351</v>
      </c>
      <c r="M124" s="16" t="s">
        <v>106</v>
      </c>
      <c r="N124" s="12" t="s">
        <v>149</v>
      </c>
      <c r="O124" s="4" t="s">
        <v>150</v>
      </c>
      <c r="P124" s="4" t="s">
        <v>150</v>
      </c>
    </row>
    <row r="125" customFormat="false" ht="15" hidden="false" customHeight="false" outlineLevel="0" collapsed="false">
      <c r="A125" s="16" t="n">
        <v>122</v>
      </c>
      <c r="B125" s="16" t="s">
        <v>143</v>
      </c>
      <c r="C125" s="16" t="s">
        <v>144</v>
      </c>
      <c r="D125" s="16" t="s">
        <v>302</v>
      </c>
      <c r="E125" s="17" t="n">
        <v>0</v>
      </c>
      <c r="F125" s="17" t="n">
        <v>316100</v>
      </c>
      <c r="G125" s="11" t="n">
        <f aca="false">E125-F125</f>
        <v>-316100</v>
      </c>
      <c r="H125" s="5" t="n">
        <v>46157</v>
      </c>
      <c r="I125" s="16" t="s">
        <v>303</v>
      </c>
      <c r="J125" s="16" t="s">
        <v>352</v>
      </c>
      <c r="K125" s="16" t="s">
        <v>147</v>
      </c>
      <c r="L125" s="16" t="s">
        <v>353</v>
      </c>
      <c r="M125" s="16" t="s">
        <v>106</v>
      </c>
      <c r="N125" s="12" t="s">
        <v>149</v>
      </c>
      <c r="O125" s="4" t="s">
        <v>150</v>
      </c>
      <c r="P125" s="4" t="s">
        <v>150</v>
      </c>
    </row>
    <row r="126" customFormat="false" ht="15" hidden="false" customHeight="false" outlineLevel="0" collapsed="false">
      <c r="A126" s="16" t="n">
        <v>123</v>
      </c>
      <c r="B126" s="16" t="s">
        <v>143</v>
      </c>
      <c r="C126" s="16" t="s">
        <v>144</v>
      </c>
      <c r="D126" s="16" t="s">
        <v>302</v>
      </c>
      <c r="E126" s="17" t="n">
        <v>0</v>
      </c>
      <c r="F126" s="17" t="n">
        <v>434100</v>
      </c>
      <c r="G126" s="11" t="n">
        <f aca="false">E126-F126</f>
        <v>-434100</v>
      </c>
      <c r="H126" s="5" t="n">
        <v>46157</v>
      </c>
      <c r="I126" s="16" t="s">
        <v>303</v>
      </c>
      <c r="J126" s="16" t="s">
        <v>354</v>
      </c>
      <c r="K126" s="16" t="s">
        <v>147</v>
      </c>
      <c r="L126" s="16" t="s">
        <v>355</v>
      </c>
      <c r="M126" s="16" t="s">
        <v>106</v>
      </c>
      <c r="N126" s="12" t="s">
        <v>149</v>
      </c>
      <c r="O126" s="4" t="s">
        <v>150</v>
      </c>
      <c r="P126" s="4" t="s">
        <v>150</v>
      </c>
    </row>
    <row r="127" customFormat="false" ht="15" hidden="false" customHeight="false" outlineLevel="0" collapsed="false">
      <c r="A127" s="16" t="n">
        <v>124</v>
      </c>
      <c r="B127" s="16" t="s">
        <v>143</v>
      </c>
      <c r="C127" s="16" t="s">
        <v>144</v>
      </c>
      <c r="D127" s="16" t="s">
        <v>302</v>
      </c>
      <c r="E127" s="17" t="n">
        <v>2116700</v>
      </c>
      <c r="F127" s="17" t="n">
        <v>0</v>
      </c>
      <c r="G127" s="11" t="n">
        <f aca="false">E127-F127</f>
        <v>2116700</v>
      </c>
      <c r="H127" s="5" t="n">
        <v>46163</v>
      </c>
      <c r="I127" s="16" t="s">
        <v>90</v>
      </c>
      <c r="J127" s="16" t="s">
        <v>208</v>
      </c>
      <c r="K127" s="16" t="s">
        <v>147</v>
      </c>
      <c r="L127" s="16" t="s">
        <v>209</v>
      </c>
      <c r="M127" s="16" t="s">
        <v>106</v>
      </c>
      <c r="N127" s="12" t="s">
        <v>149</v>
      </c>
      <c r="O127" s="4" t="s">
        <v>150</v>
      </c>
      <c r="P127" s="4" t="s">
        <v>150</v>
      </c>
    </row>
    <row r="128" customFormat="false" ht="15" hidden="false" customHeight="false" outlineLevel="0" collapsed="false">
      <c r="A128" s="16" t="n">
        <v>125</v>
      </c>
      <c r="B128" s="16" t="s">
        <v>143</v>
      </c>
      <c r="C128" s="16" t="s">
        <v>144</v>
      </c>
      <c r="D128" s="16" t="s">
        <v>302</v>
      </c>
      <c r="E128" s="17" t="n">
        <v>0</v>
      </c>
      <c r="F128" s="17" t="n">
        <v>227900</v>
      </c>
      <c r="G128" s="11" t="n">
        <f aca="false">E128-F128</f>
        <v>-227900</v>
      </c>
      <c r="H128" s="5" t="n">
        <v>46172</v>
      </c>
      <c r="I128" s="16" t="s">
        <v>303</v>
      </c>
      <c r="J128" s="16" t="s">
        <v>356</v>
      </c>
      <c r="K128" s="16" t="s">
        <v>147</v>
      </c>
      <c r="L128" s="16" t="s">
        <v>357</v>
      </c>
      <c r="M128" s="16" t="s">
        <v>106</v>
      </c>
      <c r="N128" s="12" t="s">
        <v>149</v>
      </c>
      <c r="O128" s="4" t="s">
        <v>150</v>
      </c>
      <c r="P128" s="4" t="s">
        <v>150</v>
      </c>
    </row>
    <row r="129" customFormat="false" ht="15" hidden="false" customHeight="false" outlineLevel="0" collapsed="false">
      <c r="A129" s="16" t="n">
        <v>126</v>
      </c>
      <c r="B129" s="16" t="s">
        <v>143</v>
      </c>
      <c r="C129" s="16" t="s">
        <v>144</v>
      </c>
      <c r="D129" s="16" t="s">
        <v>302</v>
      </c>
      <c r="E129" s="17" t="n">
        <v>0</v>
      </c>
      <c r="F129" s="17" t="n">
        <v>521200</v>
      </c>
      <c r="G129" s="11" t="n">
        <f aca="false">E129-F129</f>
        <v>-521200</v>
      </c>
      <c r="H129" s="5" t="n">
        <v>46172</v>
      </c>
      <c r="I129" s="16" t="s">
        <v>303</v>
      </c>
      <c r="J129" s="16" t="s">
        <v>358</v>
      </c>
      <c r="K129" s="16" t="s">
        <v>147</v>
      </c>
      <c r="L129" s="16" t="s">
        <v>359</v>
      </c>
      <c r="M129" s="16" t="s">
        <v>106</v>
      </c>
      <c r="N129" s="12" t="s">
        <v>149</v>
      </c>
      <c r="O129" s="4" t="s">
        <v>150</v>
      </c>
      <c r="P129" s="4" t="s">
        <v>150</v>
      </c>
    </row>
    <row r="130" customFormat="false" ht="15" hidden="false" customHeight="false" outlineLevel="0" collapsed="false">
      <c r="A130" s="16" t="n">
        <v>127</v>
      </c>
      <c r="B130" s="16" t="s">
        <v>143</v>
      </c>
      <c r="C130" s="16" t="s">
        <v>144</v>
      </c>
      <c r="D130" s="16" t="s">
        <v>302</v>
      </c>
      <c r="E130" s="17" t="n">
        <v>0</v>
      </c>
      <c r="F130" s="17" t="n">
        <v>285700</v>
      </c>
      <c r="G130" s="11" t="n">
        <f aca="false">E130-F130</f>
        <v>-285700</v>
      </c>
      <c r="H130" s="5" t="n">
        <v>46173</v>
      </c>
      <c r="I130" s="16" t="s">
        <v>303</v>
      </c>
      <c r="J130" s="16" t="s">
        <v>360</v>
      </c>
      <c r="K130" s="16" t="s">
        <v>147</v>
      </c>
      <c r="L130" s="16" t="s">
        <v>361</v>
      </c>
      <c r="M130" s="16" t="s">
        <v>106</v>
      </c>
      <c r="N130" s="12" t="s">
        <v>149</v>
      </c>
      <c r="O130" s="4" t="s">
        <v>150</v>
      </c>
      <c r="P130" s="4" t="s">
        <v>150</v>
      </c>
    </row>
    <row r="131" customFormat="false" ht="15" hidden="false" customHeight="false" outlineLevel="0" collapsed="false">
      <c r="A131" s="16" t="n">
        <v>128</v>
      </c>
      <c r="B131" s="16" t="s">
        <v>143</v>
      </c>
      <c r="C131" s="16" t="s">
        <v>144</v>
      </c>
      <c r="D131" s="16" t="s">
        <v>302</v>
      </c>
      <c r="E131" s="17" t="n">
        <v>0</v>
      </c>
      <c r="F131" s="17" t="n">
        <v>331700</v>
      </c>
      <c r="G131" s="11" t="n">
        <f aca="false">E131-F131</f>
        <v>-331700</v>
      </c>
      <c r="H131" s="5" t="n">
        <v>46173</v>
      </c>
      <c r="I131" s="16" t="s">
        <v>303</v>
      </c>
      <c r="J131" s="16" t="s">
        <v>362</v>
      </c>
      <c r="K131" s="16" t="s">
        <v>147</v>
      </c>
      <c r="L131" s="16" t="s">
        <v>363</v>
      </c>
      <c r="M131" s="16" t="s">
        <v>106</v>
      </c>
      <c r="N131" s="12" t="s">
        <v>149</v>
      </c>
      <c r="O131" s="4" t="s">
        <v>150</v>
      </c>
      <c r="P131" s="4" t="s">
        <v>150</v>
      </c>
    </row>
    <row r="132" customFormat="false" ht="15" hidden="false" customHeight="false" outlineLevel="0" collapsed="false">
      <c r="A132" s="16" t="n">
        <v>129</v>
      </c>
      <c r="B132" s="16" t="s">
        <v>143</v>
      </c>
      <c r="C132" s="16" t="s">
        <v>144</v>
      </c>
      <c r="D132" s="16" t="s">
        <v>302</v>
      </c>
      <c r="E132" s="17" t="n">
        <v>0</v>
      </c>
      <c r="F132" s="17" t="n">
        <v>316100</v>
      </c>
      <c r="G132" s="11" t="n">
        <f aca="false">E132-F132</f>
        <v>-316100</v>
      </c>
      <c r="H132" s="5" t="n">
        <v>46191</v>
      </c>
      <c r="I132" s="16" t="s">
        <v>303</v>
      </c>
      <c r="J132" s="16" t="s">
        <v>364</v>
      </c>
      <c r="K132" s="16" t="s">
        <v>147</v>
      </c>
      <c r="L132" s="16" t="s">
        <v>365</v>
      </c>
      <c r="M132" s="16" t="s">
        <v>106</v>
      </c>
      <c r="N132" s="12" t="s">
        <v>149</v>
      </c>
      <c r="O132" s="4" t="s">
        <v>150</v>
      </c>
      <c r="P132" s="4" t="s">
        <v>150</v>
      </c>
    </row>
    <row r="133" customFormat="false" ht="15" hidden="false" customHeight="false" outlineLevel="0" collapsed="false">
      <c r="A133" s="16" t="n">
        <v>130</v>
      </c>
      <c r="B133" s="16" t="s">
        <v>143</v>
      </c>
      <c r="C133" s="16" t="s">
        <v>144</v>
      </c>
      <c r="D133" s="16" t="s">
        <v>302</v>
      </c>
      <c r="E133" s="17" t="n">
        <v>0</v>
      </c>
      <c r="F133" s="17" t="n">
        <v>521200</v>
      </c>
      <c r="G133" s="11" t="n">
        <f aca="false">E133-F133</f>
        <v>-521200</v>
      </c>
      <c r="H133" s="5" t="n">
        <v>46191</v>
      </c>
      <c r="I133" s="16" t="s">
        <v>303</v>
      </c>
      <c r="J133" s="16" t="s">
        <v>366</v>
      </c>
      <c r="K133" s="16" t="s">
        <v>147</v>
      </c>
      <c r="L133" s="16" t="s">
        <v>367</v>
      </c>
      <c r="M133" s="16" t="s">
        <v>106</v>
      </c>
      <c r="N133" s="12" t="s">
        <v>149</v>
      </c>
      <c r="O133" s="4" t="s">
        <v>150</v>
      </c>
      <c r="P133" s="4" t="s">
        <v>150</v>
      </c>
    </row>
    <row r="134" customFormat="false" ht="15" hidden="false" customHeight="false" outlineLevel="0" collapsed="false">
      <c r="A134" s="16" t="n">
        <v>131</v>
      </c>
      <c r="B134" s="16" t="s">
        <v>143</v>
      </c>
      <c r="C134" s="16" t="s">
        <v>144</v>
      </c>
      <c r="D134" s="16" t="s">
        <v>302</v>
      </c>
      <c r="E134" s="17" t="n">
        <v>0</v>
      </c>
      <c r="F134" s="17" t="n">
        <v>434100</v>
      </c>
      <c r="G134" s="11" t="n">
        <f aca="false">E134-F134</f>
        <v>-434100</v>
      </c>
      <c r="H134" s="5" t="n">
        <v>46191</v>
      </c>
      <c r="I134" s="16" t="s">
        <v>303</v>
      </c>
      <c r="J134" s="16" t="s">
        <v>368</v>
      </c>
      <c r="K134" s="16" t="s">
        <v>147</v>
      </c>
      <c r="L134" s="16" t="s">
        <v>369</v>
      </c>
      <c r="M134" s="16" t="s">
        <v>106</v>
      </c>
      <c r="N134" s="12" t="s">
        <v>149</v>
      </c>
      <c r="O134" s="4" t="s">
        <v>150</v>
      </c>
      <c r="P134" s="4" t="s">
        <v>150</v>
      </c>
    </row>
    <row r="135" customFormat="false" ht="15" hidden="false" customHeight="false" outlineLevel="0" collapsed="false">
      <c r="A135" s="16" t="n">
        <v>132</v>
      </c>
      <c r="B135" s="16" t="s">
        <v>143</v>
      </c>
      <c r="C135" s="16" t="s">
        <v>144</v>
      </c>
      <c r="D135" s="16" t="s">
        <v>302</v>
      </c>
      <c r="E135" s="17" t="n">
        <v>0</v>
      </c>
      <c r="F135" s="17" t="n">
        <v>227900</v>
      </c>
      <c r="G135" s="11" t="n">
        <f aca="false">E135-F135</f>
        <v>-227900</v>
      </c>
      <c r="H135" s="5" t="n">
        <v>46191</v>
      </c>
      <c r="I135" s="16" t="s">
        <v>303</v>
      </c>
      <c r="J135" s="16" t="s">
        <v>370</v>
      </c>
      <c r="K135" s="16" t="s">
        <v>147</v>
      </c>
      <c r="L135" s="16" t="s">
        <v>371</v>
      </c>
      <c r="M135" s="16" t="s">
        <v>106</v>
      </c>
      <c r="N135" s="12" t="s">
        <v>149</v>
      </c>
      <c r="O135" s="4" t="s">
        <v>150</v>
      </c>
      <c r="P135" s="4" t="s">
        <v>150</v>
      </c>
    </row>
    <row r="136" customFormat="false" ht="15" hidden="false" customHeight="false" outlineLevel="0" collapsed="false">
      <c r="A136" s="16" t="n">
        <v>133</v>
      </c>
      <c r="B136" s="16" t="s">
        <v>143</v>
      </c>
      <c r="C136" s="16" t="s">
        <v>144</v>
      </c>
      <c r="D136" s="16" t="s">
        <v>302</v>
      </c>
      <c r="E136" s="17" t="n">
        <v>0</v>
      </c>
      <c r="F136" s="17" t="n">
        <v>331700</v>
      </c>
      <c r="G136" s="11" t="n">
        <f aca="false">E136-F136</f>
        <v>-331700</v>
      </c>
      <c r="H136" s="5" t="n">
        <v>46203</v>
      </c>
      <c r="I136" s="16" t="s">
        <v>303</v>
      </c>
      <c r="J136" s="16" t="s">
        <v>372</v>
      </c>
      <c r="K136" s="16" t="s">
        <v>147</v>
      </c>
      <c r="L136" s="16" t="s">
        <v>373</v>
      </c>
      <c r="M136" s="16" t="s">
        <v>106</v>
      </c>
      <c r="N136" s="12" t="s">
        <v>149</v>
      </c>
      <c r="O136" s="4" t="s">
        <v>150</v>
      </c>
      <c r="P136" s="4" t="s">
        <v>150</v>
      </c>
    </row>
    <row r="137" customFormat="false" ht="15" hidden="false" customHeight="false" outlineLevel="0" collapsed="false">
      <c r="A137" s="16" t="n">
        <v>134</v>
      </c>
      <c r="B137" s="16" t="s">
        <v>143</v>
      </c>
      <c r="C137" s="16" t="s">
        <v>144</v>
      </c>
      <c r="D137" s="16" t="s">
        <v>302</v>
      </c>
      <c r="E137" s="17" t="n">
        <v>0</v>
      </c>
      <c r="F137" s="17" t="n">
        <v>285700</v>
      </c>
      <c r="G137" s="11" t="n">
        <f aca="false">E137-F137</f>
        <v>-285700</v>
      </c>
      <c r="H137" s="5" t="n">
        <v>46203</v>
      </c>
      <c r="I137" s="16" t="s">
        <v>303</v>
      </c>
      <c r="J137" s="16" t="s">
        <v>374</v>
      </c>
      <c r="K137" s="16" t="s">
        <v>147</v>
      </c>
      <c r="L137" s="16" t="s">
        <v>375</v>
      </c>
      <c r="M137" s="16" t="s">
        <v>106</v>
      </c>
      <c r="N137" s="12" t="s">
        <v>149</v>
      </c>
      <c r="O137" s="4" t="s">
        <v>150</v>
      </c>
      <c r="P137" s="4" t="s">
        <v>150</v>
      </c>
    </row>
    <row r="138" customFormat="false" ht="15" hidden="false" customHeight="false" outlineLevel="0" collapsed="false">
      <c r="A138" s="16" t="n">
        <v>135</v>
      </c>
      <c r="B138" s="16" t="s">
        <v>143</v>
      </c>
      <c r="C138" s="16" t="s">
        <v>144</v>
      </c>
      <c r="D138" s="16" t="s">
        <v>302</v>
      </c>
      <c r="E138" s="17" t="n">
        <v>2116700</v>
      </c>
      <c r="F138" s="17" t="n">
        <v>0</v>
      </c>
      <c r="G138" s="11" t="n">
        <f aca="false">E138-F138</f>
        <v>2116700</v>
      </c>
      <c r="H138" s="5" t="n">
        <v>46203</v>
      </c>
      <c r="I138" s="16" t="s">
        <v>90</v>
      </c>
      <c r="J138" s="16" t="s">
        <v>215</v>
      </c>
      <c r="K138" s="16" t="s">
        <v>147</v>
      </c>
      <c r="L138" s="16" t="s">
        <v>216</v>
      </c>
      <c r="M138" s="16" t="s">
        <v>106</v>
      </c>
      <c r="N138" s="12" t="s">
        <v>149</v>
      </c>
      <c r="O138" s="4" t="s">
        <v>150</v>
      </c>
      <c r="P138" s="4" t="s">
        <v>150</v>
      </c>
    </row>
    <row r="139" customFormat="false" ht="15" hidden="false" customHeight="false" outlineLevel="0" collapsed="false">
      <c r="A139" s="16" t="n">
        <v>136</v>
      </c>
      <c r="B139" s="16" t="s">
        <v>143</v>
      </c>
      <c r="C139" s="16" t="s">
        <v>144</v>
      </c>
      <c r="D139" s="16" t="s">
        <v>302</v>
      </c>
      <c r="E139" s="17" t="n">
        <v>0</v>
      </c>
      <c r="F139" s="17" t="n">
        <v>434100</v>
      </c>
      <c r="G139" s="11" t="n">
        <f aca="false">E139-F139</f>
        <v>-434100</v>
      </c>
      <c r="H139" s="5" t="n">
        <v>46221</v>
      </c>
      <c r="I139" s="16" t="s">
        <v>303</v>
      </c>
      <c r="J139" s="16" t="s">
        <v>376</v>
      </c>
      <c r="K139" s="16" t="s">
        <v>147</v>
      </c>
      <c r="L139" s="16" t="s">
        <v>377</v>
      </c>
      <c r="M139" s="16" t="s">
        <v>106</v>
      </c>
      <c r="N139" s="12" t="s">
        <v>149</v>
      </c>
      <c r="O139" s="4" t="s">
        <v>150</v>
      </c>
      <c r="P139" s="4" t="s">
        <v>150</v>
      </c>
    </row>
    <row r="140" customFormat="false" ht="15" hidden="false" customHeight="false" outlineLevel="0" collapsed="false">
      <c r="A140" s="16" t="n">
        <v>137</v>
      </c>
      <c r="B140" s="16" t="s">
        <v>143</v>
      </c>
      <c r="C140" s="16" t="s">
        <v>144</v>
      </c>
      <c r="D140" s="16" t="s">
        <v>302</v>
      </c>
      <c r="E140" s="17" t="n">
        <v>0</v>
      </c>
      <c r="F140" s="17" t="n">
        <v>316100</v>
      </c>
      <c r="G140" s="11" t="n">
        <f aca="false">E140-F140</f>
        <v>-316100</v>
      </c>
      <c r="H140" s="5" t="n">
        <v>46221</v>
      </c>
      <c r="I140" s="16" t="s">
        <v>303</v>
      </c>
      <c r="J140" s="16" t="s">
        <v>378</v>
      </c>
      <c r="K140" s="16" t="s">
        <v>147</v>
      </c>
      <c r="L140" s="16" t="s">
        <v>379</v>
      </c>
      <c r="M140" s="16" t="s">
        <v>106</v>
      </c>
      <c r="N140" s="12" t="s">
        <v>149</v>
      </c>
      <c r="O140" s="4" t="s">
        <v>150</v>
      </c>
      <c r="P140" s="4" t="s">
        <v>150</v>
      </c>
    </row>
    <row r="141" customFormat="false" ht="15" hidden="false" customHeight="false" outlineLevel="0" collapsed="false">
      <c r="A141" s="16" t="n">
        <v>138</v>
      </c>
      <c r="B141" s="16" t="s">
        <v>143</v>
      </c>
      <c r="C141" s="16" t="s">
        <v>144</v>
      </c>
      <c r="D141" s="16" t="s">
        <v>302</v>
      </c>
      <c r="E141" s="17" t="n">
        <v>0</v>
      </c>
      <c r="F141" s="17" t="n">
        <v>285700</v>
      </c>
      <c r="G141" s="11" t="n">
        <f aca="false">E141-F141</f>
        <v>-285700</v>
      </c>
      <c r="H141" s="5" t="n">
        <v>46234</v>
      </c>
      <c r="I141" s="16" t="s">
        <v>303</v>
      </c>
      <c r="J141" s="16" t="s">
        <v>380</v>
      </c>
      <c r="K141" s="16" t="s">
        <v>147</v>
      </c>
      <c r="L141" s="16" t="s">
        <v>381</v>
      </c>
      <c r="M141" s="16" t="s">
        <v>106</v>
      </c>
      <c r="N141" s="12" t="s">
        <v>149</v>
      </c>
      <c r="O141" s="4" t="s">
        <v>150</v>
      </c>
      <c r="P141" s="4" t="s">
        <v>150</v>
      </c>
    </row>
    <row r="142" customFormat="false" ht="15" hidden="false" customHeight="false" outlineLevel="0" collapsed="false">
      <c r="A142" s="16" t="n">
        <v>139</v>
      </c>
      <c r="B142" s="16" t="s">
        <v>143</v>
      </c>
      <c r="C142" s="16" t="s">
        <v>144</v>
      </c>
      <c r="D142" s="16" t="s">
        <v>302</v>
      </c>
      <c r="E142" s="17" t="n">
        <v>0</v>
      </c>
      <c r="F142" s="17" t="n">
        <v>331700</v>
      </c>
      <c r="G142" s="11" t="n">
        <f aca="false">E142-F142</f>
        <v>-331700</v>
      </c>
      <c r="H142" s="5" t="n">
        <v>46234</v>
      </c>
      <c r="I142" s="16" t="s">
        <v>303</v>
      </c>
      <c r="J142" s="16" t="s">
        <v>382</v>
      </c>
      <c r="K142" s="16" t="s">
        <v>147</v>
      </c>
      <c r="L142" s="16" t="s">
        <v>383</v>
      </c>
      <c r="M142" s="16" t="s">
        <v>106</v>
      </c>
      <c r="N142" s="12" t="s">
        <v>149</v>
      </c>
      <c r="O142" s="4" t="s">
        <v>150</v>
      </c>
      <c r="P142" s="4" t="s">
        <v>150</v>
      </c>
    </row>
    <row r="143" customFormat="false" ht="15" hidden="false" customHeight="false" outlineLevel="0" collapsed="false">
      <c r="A143" s="16" t="n">
        <v>140</v>
      </c>
      <c r="B143" s="16" t="s">
        <v>143</v>
      </c>
      <c r="C143" s="16" t="s">
        <v>144</v>
      </c>
      <c r="D143" s="16" t="s">
        <v>302</v>
      </c>
      <c r="E143" s="17" t="n">
        <v>0</v>
      </c>
      <c r="F143" s="17" t="n">
        <v>521200</v>
      </c>
      <c r="G143" s="11" t="n">
        <f aca="false">E143-F143</f>
        <v>-521200</v>
      </c>
      <c r="H143" s="5" t="n">
        <v>46234</v>
      </c>
      <c r="I143" s="16" t="s">
        <v>303</v>
      </c>
      <c r="J143" s="16" t="s">
        <v>384</v>
      </c>
      <c r="K143" s="16" t="s">
        <v>147</v>
      </c>
      <c r="L143" s="16" t="s">
        <v>385</v>
      </c>
      <c r="M143" s="16" t="s">
        <v>106</v>
      </c>
      <c r="N143" s="12" t="s">
        <v>149</v>
      </c>
      <c r="O143" s="4" t="s">
        <v>150</v>
      </c>
      <c r="P143" s="4" t="s">
        <v>150</v>
      </c>
    </row>
    <row r="144" customFormat="false" ht="15" hidden="false" customHeight="false" outlineLevel="0" collapsed="false">
      <c r="A144" s="16" t="n">
        <v>141</v>
      </c>
      <c r="B144" s="16" t="s">
        <v>143</v>
      </c>
      <c r="C144" s="16" t="s">
        <v>144</v>
      </c>
      <c r="D144" s="16" t="s">
        <v>302</v>
      </c>
      <c r="E144" s="17" t="n">
        <v>0</v>
      </c>
      <c r="F144" s="17" t="n">
        <v>227900</v>
      </c>
      <c r="G144" s="11" t="n">
        <f aca="false">E144-F144</f>
        <v>-227900</v>
      </c>
      <c r="H144" s="5" t="n">
        <v>46234</v>
      </c>
      <c r="I144" s="16" t="s">
        <v>303</v>
      </c>
      <c r="J144" s="16" t="s">
        <v>386</v>
      </c>
      <c r="K144" s="16" t="s">
        <v>147</v>
      </c>
      <c r="L144" s="16" t="s">
        <v>387</v>
      </c>
      <c r="M144" s="16" t="s">
        <v>106</v>
      </c>
      <c r="N144" s="12" t="s">
        <v>149</v>
      </c>
      <c r="O144" s="4" t="s">
        <v>150</v>
      </c>
      <c r="P144" s="4" t="s">
        <v>150</v>
      </c>
    </row>
    <row r="145" customFormat="false" ht="15" hidden="false" customHeight="false" outlineLevel="0" collapsed="false">
      <c r="A145" s="16" t="n">
        <v>142</v>
      </c>
      <c r="B145" s="16" t="s">
        <v>143</v>
      </c>
      <c r="C145" s="16" t="s">
        <v>144</v>
      </c>
      <c r="D145" s="16" t="s">
        <v>302</v>
      </c>
      <c r="E145" s="17" t="n">
        <v>2116700</v>
      </c>
      <c r="F145" s="17" t="n">
        <v>0</v>
      </c>
      <c r="G145" s="11" t="n">
        <f aca="false">E145-F145</f>
        <v>2116700</v>
      </c>
      <c r="H145" s="5" t="n">
        <v>46234</v>
      </c>
      <c r="I145" s="16" t="s">
        <v>90</v>
      </c>
      <c r="J145" s="16" t="s">
        <v>219</v>
      </c>
      <c r="K145" s="16" t="s">
        <v>147</v>
      </c>
      <c r="L145" s="16" t="s">
        <v>220</v>
      </c>
      <c r="M145" s="16" t="s">
        <v>106</v>
      </c>
      <c r="N145" s="12" t="s">
        <v>149</v>
      </c>
      <c r="O145" s="4" t="s">
        <v>150</v>
      </c>
      <c r="P145" s="4" t="s">
        <v>150</v>
      </c>
    </row>
    <row r="146" customFormat="false" ht="15" hidden="false" customHeight="false" outlineLevel="0" collapsed="false">
      <c r="A146" s="16" t="n">
        <v>143</v>
      </c>
      <c r="B146" s="16" t="s">
        <v>143</v>
      </c>
      <c r="C146" s="16" t="s">
        <v>144</v>
      </c>
      <c r="D146" s="16" t="s">
        <v>388</v>
      </c>
      <c r="E146" s="17" t="n">
        <v>309341</v>
      </c>
      <c r="F146" s="17" t="n">
        <v>0</v>
      </c>
      <c r="G146" s="11" t="n">
        <f aca="false">E146-F146</f>
        <v>309341</v>
      </c>
      <c r="H146" s="5" t="n">
        <v>46135</v>
      </c>
      <c r="I146" s="16" t="s">
        <v>90</v>
      </c>
      <c r="J146" s="16" t="s">
        <v>241</v>
      </c>
      <c r="K146" s="16" t="s">
        <v>147</v>
      </c>
      <c r="L146" s="16" t="s">
        <v>242</v>
      </c>
      <c r="M146" s="16" t="s">
        <v>106</v>
      </c>
      <c r="N146" s="12" t="s">
        <v>149</v>
      </c>
      <c r="O146" s="4" t="s">
        <v>150</v>
      </c>
      <c r="P146" s="4" t="s">
        <v>150</v>
      </c>
    </row>
    <row r="147" customFormat="false" ht="15" hidden="false" customHeight="false" outlineLevel="0" collapsed="false">
      <c r="A147" s="16" t="n">
        <v>144</v>
      </c>
      <c r="B147" s="16" t="s">
        <v>143</v>
      </c>
      <c r="C147" s="16" t="s">
        <v>144</v>
      </c>
      <c r="D147" s="16" t="s">
        <v>388</v>
      </c>
      <c r="E147" s="17" t="n">
        <v>0</v>
      </c>
      <c r="F147" s="17" t="n">
        <v>309341</v>
      </c>
      <c r="G147" s="11" t="n">
        <f aca="false">E147-F147</f>
        <v>-309341</v>
      </c>
      <c r="H147" s="5" t="n">
        <v>46135</v>
      </c>
      <c r="I147" s="16" t="s">
        <v>389</v>
      </c>
      <c r="J147" s="16" t="s">
        <v>390</v>
      </c>
      <c r="K147" s="16" t="s">
        <v>147</v>
      </c>
      <c r="L147" s="16" t="s">
        <v>391</v>
      </c>
      <c r="M147" s="16" t="s">
        <v>106</v>
      </c>
      <c r="N147" s="12" t="s">
        <v>149</v>
      </c>
      <c r="O147" s="4" t="s">
        <v>150</v>
      </c>
      <c r="P147" s="4" t="s">
        <v>150</v>
      </c>
    </row>
    <row r="148" customFormat="false" ht="15" hidden="false" customHeight="false" outlineLevel="0" collapsed="false">
      <c r="A148" s="16" t="n">
        <v>145</v>
      </c>
      <c r="B148" s="16" t="s">
        <v>143</v>
      </c>
      <c r="C148" s="16" t="s">
        <v>144</v>
      </c>
      <c r="D148" s="16" t="s">
        <v>392</v>
      </c>
      <c r="E148" s="17" t="n">
        <v>0</v>
      </c>
      <c r="F148" s="17" t="n">
        <v>315302</v>
      </c>
      <c r="G148" s="11" t="n">
        <f aca="false">E148-F148</f>
        <v>-315302</v>
      </c>
      <c r="H148" s="5" t="n">
        <v>46081</v>
      </c>
      <c r="I148" s="16" t="s">
        <v>393</v>
      </c>
      <c r="J148" s="16" t="s">
        <v>394</v>
      </c>
      <c r="K148" s="16" t="s">
        <v>147</v>
      </c>
      <c r="L148" s="16" t="s">
        <v>395</v>
      </c>
      <c r="M148" s="16" t="s">
        <v>106</v>
      </c>
      <c r="N148" s="12" t="s">
        <v>149</v>
      </c>
      <c r="O148" s="4" t="s">
        <v>150</v>
      </c>
      <c r="P148" s="4" t="s">
        <v>150</v>
      </c>
    </row>
    <row r="149" customFormat="false" ht="15" hidden="false" customHeight="false" outlineLevel="0" collapsed="false">
      <c r="A149" s="16" t="n">
        <v>146</v>
      </c>
      <c r="B149" s="16" t="s">
        <v>143</v>
      </c>
      <c r="C149" s="16" t="s">
        <v>144</v>
      </c>
      <c r="D149" s="16" t="s">
        <v>392</v>
      </c>
      <c r="E149" s="17" t="n">
        <v>315302</v>
      </c>
      <c r="F149" s="17" t="n">
        <v>0</v>
      </c>
      <c r="G149" s="11" t="n">
        <f aca="false">E149-F149</f>
        <v>315302</v>
      </c>
      <c r="H149" s="5" t="n">
        <v>46081</v>
      </c>
      <c r="I149" s="16" t="s">
        <v>90</v>
      </c>
      <c r="J149" s="16" t="s">
        <v>228</v>
      </c>
      <c r="K149" s="16" t="s">
        <v>147</v>
      </c>
      <c r="L149" s="16" t="s">
        <v>229</v>
      </c>
      <c r="M149" s="16" t="s">
        <v>106</v>
      </c>
      <c r="N149" s="12" t="s">
        <v>149</v>
      </c>
      <c r="O149" s="4" t="s">
        <v>150</v>
      </c>
      <c r="P149" s="4" t="s">
        <v>150</v>
      </c>
    </row>
    <row r="150" customFormat="false" ht="15" hidden="false" customHeight="false" outlineLevel="0" collapsed="false">
      <c r="A150" s="16" t="n">
        <v>147</v>
      </c>
      <c r="B150" s="16" t="s">
        <v>143</v>
      </c>
      <c r="C150" s="16" t="s">
        <v>144</v>
      </c>
      <c r="D150" s="16" t="s">
        <v>396</v>
      </c>
      <c r="E150" s="17" t="n">
        <v>190500</v>
      </c>
      <c r="F150" s="17" t="n">
        <v>0</v>
      </c>
      <c r="G150" s="11" t="n">
        <f aca="false">E150-F150</f>
        <v>190500</v>
      </c>
      <c r="H150" s="5" t="n">
        <v>46173</v>
      </c>
      <c r="I150" s="16" t="s">
        <v>90</v>
      </c>
      <c r="J150" s="16" t="s">
        <v>174</v>
      </c>
      <c r="K150" s="16" t="s">
        <v>160</v>
      </c>
      <c r="L150" s="16" t="s">
        <v>175</v>
      </c>
      <c r="M150" s="16" t="s">
        <v>176</v>
      </c>
      <c r="N150" s="12" t="s">
        <v>149</v>
      </c>
      <c r="O150" s="4" t="s">
        <v>150</v>
      </c>
      <c r="P150" s="4" t="s">
        <v>150</v>
      </c>
    </row>
    <row r="151" customFormat="false" ht="15" hidden="false" customHeight="false" outlineLevel="0" collapsed="false">
      <c r="A151" s="16" t="n">
        <v>148</v>
      </c>
      <c r="B151" s="16" t="s">
        <v>143</v>
      </c>
      <c r="C151" s="16" t="s">
        <v>144</v>
      </c>
      <c r="D151" s="16" t="s">
        <v>397</v>
      </c>
      <c r="E151" s="17" t="n">
        <v>0</v>
      </c>
      <c r="F151" s="17" t="n">
        <v>69962</v>
      </c>
      <c r="G151" s="11" t="n">
        <f aca="false">E151-F151</f>
        <v>-69962</v>
      </c>
      <c r="H151" s="5" t="n">
        <v>46191</v>
      </c>
      <c r="I151" s="16" t="s">
        <v>398</v>
      </c>
      <c r="J151" s="16" t="s">
        <v>399</v>
      </c>
      <c r="K151" s="16" t="s">
        <v>147</v>
      </c>
      <c r="L151" s="16" t="s">
        <v>400</v>
      </c>
      <c r="M151" s="16" t="s">
        <v>106</v>
      </c>
      <c r="N151" s="12" t="s">
        <v>149</v>
      </c>
      <c r="O151" s="4" t="s">
        <v>150</v>
      </c>
      <c r="P151" s="4" t="s">
        <v>150</v>
      </c>
    </row>
    <row r="152" customFormat="false" ht="15" hidden="false" customHeight="false" outlineLevel="0" collapsed="false">
      <c r="A152" s="16" t="n">
        <v>149</v>
      </c>
      <c r="B152" s="16" t="s">
        <v>143</v>
      </c>
      <c r="C152" s="16" t="s">
        <v>144</v>
      </c>
      <c r="D152" s="16" t="s">
        <v>401</v>
      </c>
      <c r="E152" s="17" t="n">
        <v>405339</v>
      </c>
      <c r="F152" s="17" t="n">
        <v>0</v>
      </c>
      <c r="G152" s="11" t="n">
        <f aca="false">E152-F152</f>
        <v>405339</v>
      </c>
      <c r="H152" s="5" t="n">
        <v>46053</v>
      </c>
      <c r="I152" s="16" t="s">
        <v>90</v>
      </c>
      <c r="J152" s="16" t="s">
        <v>402</v>
      </c>
      <c r="K152" s="16" t="s">
        <v>147</v>
      </c>
      <c r="L152" s="16" t="s">
        <v>403</v>
      </c>
      <c r="M152" s="16" t="s">
        <v>106</v>
      </c>
      <c r="N152" s="12" t="s">
        <v>149</v>
      </c>
      <c r="O152" s="4" t="s">
        <v>150</v>
      </c>
      <c r="P152" s="4" t="s">
        <v>150</v>
      </c>
    </row>
    <row r="153" customFormat="false" ht="15" hidden="false" customHeight="false" outlineLevel="0" collapsed="false">
      <c r="A153" s="16" t="n">
        <v>150</v>
      </c>
      <c r="B153" s="16" t="s">
        <v>143</v>
      </c>
      <c r="C153" s="16" t="s">
        <v>144</v>
      </c>
      <c r="D153" s="16" t="s">
        <v>401</v>
      </c>
      <c r="E153" s="17" t="n">
        <v>0</v>
      </c>
      <c r="F153" s="17" t="n">
        <v>405339</v>
      </c>
      <c r="G153" s="11" t="n">
        <f aca="false">E153-F153</f>
        <v>-405339</v>
      </c>
      <c r="H153" s="5" t="n">
        <v>46053</v>
      </c>
      <c r="I153" s="16" t="s">
        <v>404</v>
      </c>
      <c r="J153" s="16" t="s">
        <v>405</v>
      </c>
      <c r="K153" s="16" t="s">
        <v>147</v>
      </c>
      <c r="L153" s="16" t="s">
        <v>406</v>
      </c>
      <c r="M153" s="16" t="s">
        <v>106</v>
      </c>
      <c r="N153" s="12" t="s">
        <v>149</v>
      </c>
      <c r="O153" s="4" t="s">
        <v>150</v>
      </c>
      <c r="P153" s="4" t="s">
        <v>150</v>
      </c>
    </row>
    <row r="154" customFormat="false" ht="15" hidden="false" customHeight="false" outlineLevel="0" collapsed="false">
      <c r="A154" s="16" t="n">
        <v>151</v>
      </c>
      <c r="B154" s="16" t="s">
        <v>143</v>
      </c>
      <c r="C154" s="16" t="s">
        <v>144</v>
      </c>
      <c r="D154" s="16" t="s">
        <v>401</v>
      </c>
      <c r="E154" s="17" t="n">
        <v>263288</v>
      </c>
      <c r="F154" s="17" t="n">
        <v>0</v>
      </c>
      <c r="G154" s="11" t="n">
        <f aca="false">E154-F154</f>
        <v>263288</v>
      </c>
      <c r="H154" s="5" t="n">
        <v>46081</v>
      </c>
      <c r="I154" s="16" t="s">
        <v>90</v>
      </c>
      <c r="J154" s="16" t="s">
        <v>228</v>
      </c>
      <c r="K154" s="16" t="s">
        <v>147</v>
      </c>
      <c r="L154" s="16" t="s">
        <v>229</v>
      </c>
      <c r="M154" s="16" t="s">
        <v>106</v>
      </c>
      <c r="N154" s="12" t="s">
        <v>149</v>
      </c>
      <c r="O154" s="4" t="s">
        <v>150</v>
      </c>
      <c r="P154" s="4" t="s">
        <v>150</v>
      </c>
    </row>
    <row r="155" customFormat="false" ht="15" hidden="false" customHeight="false" outlineLevel="0" collapsed="false">
      <c r="A155" s="16" t="n">
        <v>152</v>
      </c>
      <c r="B155" s="16" t="s">
        <v>143</v>
      </c>
      <c r="C155" s="16" t="s">
        <v>144</v>
      </c>
      <c r="D155" s="16" t="s">
        <v>401</v>
      </c>
      <c r="E155" s="17" t="n">
        <v>0</v>
      </c>
      <c r="F155" s="17" t="n">
        <v>263288</v>
      </c>
      <c r="G155" s="11" t="n">
        <f aca="false">E155-F155</f>
        <v>-263288</v>
      </c>
      <c r="H155" s="5" t="n">
        <v>46081</v>
      </c>
      <c r="I155" s="16" t="s">
        <v>404</v>
      </c>
      <c r="J155" s="16" t="s">
        <v>407</v>
      </c>
      <c r="K155" s="16" t="s">
        <v>147</v>
      </c>
      <c r="L155" s="16" t="s">
        <v>408</v>
      </c>
      <c r="M155" s="16" t="s">
        <v>106</v>
      </c>
      <c r="N155" s="12" t="s">
        <v>149</v>
      </c>
      <c r="O155" s="4" t="s">
        <v>150</v>
      </c>
      <c r="P155" s="4" t="s">
        <v>150</v>
      </c>
    </row>
    <row r="156" customFormat="false" ht="15" hidden="false" customHeight="false" outlineLevel="0" collapsed="false">
      <c r="A156" s="16" t="n">
        <v>153</v>
      </c>
      <c r="B156" s="16" t="s">
        <v>143</v>
      </c>
      <c r="C156" s="16" t="s">
        <v>144</v>
      </c>
      <c r="D156" s="16" t="s">
        <v>401</v>
      </c>
      <c r="E156" s="17" t="n">
        <v>0</v>
      </c>
      <c r="F156" s="17" t="n">
        <v>307043</v>
      </c>
      <c r="G156" s="11" t="n">
        <f aca="false">E156-F156</f>
        <v>-307043</v>
      </c>
      <c r="H156" s="5" t="n">
        <v>46142</v>
      </c>
      <c r="I156" s="16" t="s">
        <v>404</v>
      </c>
      <c r="J156" s="16" t="s">
        <v>409</v>
      </c>
      <c r="K156" s="16" t="s">
        <v>147</v>
      </c>
      <c r="L156" s="16" t="s">
        <v>410</v>
      </c>
      <c r="M156" s="16" t="s">
        <v>106</v>
      </c>
      <c r="N156" s="12" t="s">
        <v>149</v>
      </c>
      <c r="O156" s="4" t="s">
        <v>150</v>
      </c>
      <c r="P156" s="4" t="s">
        <v>150</v>
      </c>
    </row>
    <row r="157" customFormat="false" ht="15" hidden="false" customHeight="false" outlineLevel="0" collapsed="false">
      <c r="A157" s="16" t="n">
        <v>154</v>
      </c>
      <c r="B157" s="16" t="s">
        <v>143</v>
      </c>
      <c r="C157" s="16" t="s">
        <v>144</v>
      </c>
      <c r="D157" s="16" t="s">
        <v>401</v>
      </c>
      <c r="E157" s="17" t="n">
        <v>603854</v>
      </c>
      <c r="F157" s="17" t="n">
        <v>296811</v>
      </c>
      <c r="G157" s="11" t="n">
        <f aca="false">E157-F157</f>
        <v>307043</v>
      </c>
      <c r="H157" s="5" t="n">
        <v>46167</v>
      </c>
      <c r="I157" s="16" t="s">
        <v>90</v>
      </c>
      <c r="J157" s="16" t="s">
        <v>411</v>
      </c>
      <c r="K157" s="16" t="s">
        <v>147</v>
      </c>
      <c r="L157" s="16" t="s">
        <v>412</v>
      </c>
      <c r="M157" s="16" t="s">
        <v>106</v>
      </c>
      <c r="N157" s="12" t="s">
        <v>149</v>
      </c>
      <c r="O157" s="4" t="s">
        <v>150</v>
      </c>
      <c r="P157" s="4" t="s">
        <v>150</v>
      </c>
    </row>
    <row r="158" customFormat="false" ht="15" hidden="false" customHeight="false" outlineLevel="0" collapsed="false">
      <c r="A158" s="16" t="n">
        <v>155</v>
      </c>
      <c r="B158" s="16" t="s">
        <v>143</v>
      </c>
      <c r="C158" s="16" t="s">
        <v>144</v>
      </c>
      <c r="D158" s="16" t="s">
        <v>401</v>
      </c>
      <c r="E158" s="17" t="n">
        <v>0</v>
      </c>
      <c r="F158" s="17" t="n">
        <v>316383</v>
      </c>
      <c r="G158" s="11" t="n">
        <f aca="false">E158-F158</f>
        <v>-316383</v>
      </c>
      <c r="H158" s="5" t="n">
        <v>46203</v>
      </c>
      <c r="I158" s="16" t="s">
        <v>404</v>
      </c>
      <c r="J158" s="16" t="s">
        <v>413</v>
      </c>
      <c r="K158" s="16" t="s">
        <v>147</v>
      </c>
      <c r="L158" s="16" t="s">
        <v>414</v>
      </c>
      <c r="M158" s="16" t="s">
        <v>106</v>
      </c>
      <c r="N158" s="12" t="s">
        <v>149</v>
      </c>
      <c r="O158" s="4" t="s">
        <v>150</v>
      </c>
      <c r="P158" s="4" t="s">
        <v>150</v>
      </c>
    </row>
    <row r="159" customFormat="false" ht="15" hidden="false" customHeight="false" outlineLevel="0" collapsed="false">
      <c r="A159" s="16" t="n">
        <v>156</v>
      </c>
      <c r="B159" s="16" t="s">
        <v>143</v>
      </c>
      <c r="C159" s="16" t="s">
        <v>144</v>
      </c>
      <c r="D159" s="16" t="s">
        <v>401</v>
      </c>
      <c r="E159" s="17" t="n">
        <v>0</v>
      </c>
      <c r="F159" s="17" t="n">
        <v>229142</v>
      </c>
      <c r="G159" s="11" t="n">
        <f aca="false">E159-F159</f>
        <v>-229142</v>
      </c>
      <c r="H159" s="5" t="n">
        <v>46203</v>
      </c>
      <c r="I159" s="16" t="s">
        <v>404</v>
      </c>
      <c r="J159" s="16" t="s">
        <v>415</v>
      </c>
      <c r="K159" s="16" t="s">
        <v>160</v>
      </c>
      <c r="L159" s="16" t="s">
        <v>416</v>
      </c>
      <c r="M159" s="16" t="s">
        <v>106</v>
      </c>
      <c r="N159" s="12" t="s">
        <v>149</v>
      </c>
      <c r="O159" s="4" t="s">
        <v>150</v>
      </c>
      <c r="P159" s="4" t="s">
        <v>150</v>
      </c>
    </row>
    <row r="160" customFormat="false" ht="15" hidden="false" customHeight="false" outlineLevel="0" collapsed="false">
      <c r="A160" s="16" t="n">
        <v>157</v>
      </c>
      <c r="B160" s="16" t="s">
        <v>143</v>
      </c>
      <c r="C160" s="16" t="s">
        <v>144</v>
      </c>
      <c r="D160" s="16" t="s">
        <v>401</v>
      </c>
      <c r="E160" s="17" t="n">
        <v>545525</v>
      </c>
      <c r="F160" s="17" t="n">
        <v>0</v>
      </c>
      <c r="G160" s="11" t="n">
        <f aca="false">E160-F160</f>
        <v>545525</v>
      </c>
      <c r="H160" s="5" t="n">
        <v>46234</v>
      </c>
      <c r="I160" s="16" t="s">
        <v>90</v>
      </c>
      <c r="J160" s="16" t="s">
        <v>245</v>
      </c>
      <c r="K160" s="16" t="s">
        <v>147</v>
      </c>
      <c r="L160" s="16" t="s">
        <v>246</v>
      </c>
      <c r="M160" s="16" t="s">
        <v>106</v>
      </c>
      <c r="N160" s="12" t="s">
        <v>149</v>
      </c>
      <c r="O160" s="4" t="s">
        <v>150</v>
      </c>
      <c r="P160" s="4" t="s">
        <v>150</v>
      </c>
    </row>
    <row r="161" customFormat="false" ht="15" hidden="false" customHeight="false" outlineLevel="0" collapsed="false">
      <c r="A161" s="16" t="n">
        <v>158</v>
      </c>
      <c r="B161" s="16" t="s">
        <v>143</v>
      </c>
      <c r="C161" s="16" t="s">
        <v>144</v>
      </c>
      <c r="D161" s="16" t="s">
        <v>417</v>
      </c>
      <c r="E161" s="17" t="n">
        <v>0</v>
      </c>
      <c r="F161" s="17" t="n">
        <v>250000</v>
      </c>
      <c r="G161" s="11" t="n">
        <f aca="false">E161-F161</f>
        <v>-250000</v>
      </c>
      <c r="H161" s="5" t="n">
        <v>46134</v>
      </c>
      <c r="I161" s="16" t="s">
        <v>418</v>
      </c>
      <c r="J161" s="16" t="s">
        <v>419</v>
      </c>
      <c r="K161" s="16" t="s">
        <v>147</v>
      </c>
      <c r="L161" s="16" t="s">
        <v>420</v>
      </c>
      <c r="M161" s="16" t="s">
        <v>106</v>
      </c>
      <c r="N161" s="12" t="s">
        <v>149</v>
      </c>
      <c r="O161" s="4" t="s">
        <v>150</v>
      </c>
      <c r="P161" s="4" t="s">
        <v>150</v>
      </c>
    </row>
    <row r="162" customFormat="false" ht="15" hidden="false" customHeight="false" outlineLevel="0" collapsed="false">
      <c r="A162" s="16" t="n">
        <v>159</v>
      </c>
      <c r="B162" s="16" t="s">
        <v>143</v>
      </c>
      <c r="C162" s="16" t="s">
        <v>144</v>
      </c>
      <c r="D162" s="16" t="s">
        <v>417</v>
      </c>
      <c r="E162" s="17" t="n">
        <v>250000</v>
      </c>
      <c r="F162" s="17" t="n">
        <v>0</v>
      </c>
      <c r="G162" s="11" t="n">
        <f aca="false">E162-F162</f>
        <v>250000</v>
      </c>
      <c r="H162" s="5" t="n">
        <v>46203</v>
      </c>
      <c r="I162" s="16" t="s">
        <v>90</v>
      </c>
      <c r="J162" s="16" t="s">
        <v>215</v>
      </c>
      <c r="K162" s="16" t="s">
        <v>147</v>
      </c>
      <c r="L162" s="16" t="s">
        <v>216</v>
      </c>
      <c r="M162" s="16" t="s">
        <v>106</v>
      </c>
      <c r="N162" s="12" t="s">
        <v>149</v>
      </c>
      <c r="O162" s="4" t="s">
        <v>150</v>
      </c>
      <c r="P162" s="4" t="s">
        <v>150</v>
      </c>
    </row>
    <row r="163" customFormat="false" ht="15" hidden="false" customHeight="false" outlineLevel="0" collapsed="false">
      <c r="A163" s="16" t="n">
        <v>160</v>
      </c>
      <c r="B163" s="16" t="s">
        <v>143</v>
      </c>
      <c r="C163" s="16" t="s">
        <v>144</v>
      </c>
      <c r="D163" s="16" t="s">
        <v>417</v>
      </c>
      <c r="E163" s="17" t="n">
        <v>0</v>
      </c>
      <c r="F163" s="17" t="n">
        <v>250000</v>
      </c>
      <c r="G163" s="11" t="n">
        <f aca="false">E163-F163</f>
        <v>-250000</v>
      </c>
      <c r="H163" s="5" t="n">
        <v>46203</v>
      </c>
      <c r="I163" s="16" t="s">
        <v>418</v>
      </c>
      <c r="J163" s="16" t="s">
        <v>421</v>
      </c>
      <c r="K163" s="16" t="s">
        <v>147</v>
      </c>
      <c r="L163" s="16" t="s">
        <v>422</v>
      </c>
      <c r="M163" s="16" t="s">
        <v>106</v>
      </c>
      <c r="N163" s="12" t="s">
        <v>149</v>
      </c>
      <c r="O163" s="4" t="s">
        <v>150</v>
      </c>
      <c r="P163" s="4" t="s">
        <v>150</v>
      </c>
    </row>
    <row r="164" customFormat="false" ht="15" hidden="false" customHeight="false" outlineLevel="0" collapsed="false">
      <c r="A164" s="16" t="n">
        <v>161</v>
      </c>
      <c r="B164" s="16" t="s">
        <v>143</v>
      </c>
      <c r="C164" s="16" t="s">
        <v>144</v>
      </c>
      <c r="D164" s="16" t="s">
        <v>423</v>
      </c>
      <c r="E164" s="17" t="n">
        <v>0</v>
      </c>
      <c r="F164" s="17" t="n">
        <v>592106</v>
      </c>
      <c r="G164" s="11" t="n">
        <f aca="false">E164-F164</f>
        <v>-592106</v>
      </c>
      <c r="H164" s="5" t="n">
        <v>46049</v>
      </c>
      <c r="I164" s="16" t="s">
        <v>424</v>
      </c>
      <c r="J164" s="16" t="s">
        <v>425</v>
      </c>
      <c r="K164" s="16" t="s">
        <v>147</v>
      </c>
      <c r="L164" s="16" t="s">
        <v>426</v>
      </c>
      <c r="M164" s="16" t="s">
        <v>106</v>
      </c>
      <c r="N164" s="12" t="s">
        <v>149</v>
      </c>
      <c r="O164" s="4" t="s">
        <v>150</v>
      </c>
      <c r="P164" s="4" t="s">
        <v>150</v>
      </c>
    </row>
    <row r="165" customFormat="false" ht="15" hidden="false" customHeight="false" outlineLevel="0" collapsed="false">
      <c r="A165" s="16" t="n">
        <v>162</v>
      </c>
      <c r="B165" s="16" t="s">
        <v>143</v>
      </c>
      <c r="C165" s="16" t="s">
        <v>144</v>
      </c>
      <c r="D165" s="16" t="s">
        <v>423</v>
      </c>
      <c r="E165" s="17" t="n">
        <v>0</v>
      </c>
      <c r="F165" s="17" t="n">
        <v>98770</v>
      </c>
      <c r="G165" s="11" t="n">
        <f aca="false">E165-F165</f>
        <v>-98770</v>
      </c>
      <c r="H165" s="5" t="n">
        <v>46049</v>
      </c>
      <c r="I165" s="16" t="s">
        <v>424</v>
      </c>
      <c r="J165" s="16" t="s">
        <v>427</v>
      </c>
      <c r="K165" s="16" t="s">
        <v>147</v>
      </c>
      <c r="L165" s="16" t="s">
        <v>428</v>
      </c>
      <c r="M165" s="16" t="s">
        <v>106</v>
      </c>
      <c r="N165" s="12" t="s">
        <v>149</v>
      </c>
      <c r="O165" s="4" t="s">
        <v>150</v>
      </c>
      <c r="P165" s="4" t="s">
        <v>150</v>
      </c>
    </row>
    <row r="166" customFormat="false" ht="15" hidden="false" customHeight="false" outlineLevel="0" collapsed="false">
      <c r="A166" s="16" t="n">
        <v>163</v>
      </c>
      <c r="B166" s="16" t="s">
        <v>143</v>
      </c>
      <c r="C166" s="16" t="s">
        <v>144</v>
      </c>
      <c r="D166" s="16" t="s">
        <v>423</v>
      </c>
      <c r="E166" s="17" t="n">
        <v>0</v>
      </c>
      <c r="F166" s="17" t="n">
        <v>1166719</v>
      </c>
      <c r="G166" s="11" t="n">
        <f aca="false">E166-F166</f>
        <v>-1166719</v>
      </c>
      <c r="H166" s="5" t="n">
        <v>46049</v>
      </c>
      <c r="I166" s="16" t="s">
        <v>424</v>
      </c>
      <c r="J166" s="16" t="s">
        <v>429</v>
      </c>
      <c r="K166" s="16" t="s">
        <v>147</v>
      </c>
      <c r="L166" s="16" t="s">
        <v>430</v>
      </c>
      <c r="M166" s="16" t="s">
        <v>106</v>
      </c>
      <c r="N166" s="12" t="s">
        <v>149</v>
      </c>
      <c r="O166" s="4" t="s">
        <v>150</v>
      </c>
      <c r="P166" s="4" t="s">
        <v>150</v>
      </c>
    </row>
    <row r="167" customFormat="false" ht="15" hidden="false" customHeight="false" outlineLevel="0" collapsed="false">
      <c r="A167" s="16" t="n">
        <v>164</v>
      </c>
      <c r="B167" s="16" t="s">
        <v>143</v>
      </c>
      <c r="C167" s="16" t="s">
        <v>144</v>
      </c>
      <c r="D167" s="16" t="s">
        <v>423</v>
      </c>
      <c r="E167" s="17" t="n">
        <v>0</v>
      </c>
      <c r="F167" s="17" t="n">
        <v>1237067</v>
      </c>
      <c r="G167" s="11" t="n">
        <f aca="false">E167-F167</f>
        <v>-1237067</v>
      </c>
      <c r="H167" s="5" t="n">
        <v>46049</v>
      </c>
      <c r="I167" s="16" t="s">
        <v>424</v>
      </c>
      <c r="J167" s="16" t="s">
        <v>431</v>
      </c>
      <c r="K167" s="16" t="s">
        <v>147</v>
      </c>
      <c r="L167" s="16" t="s">
        <v>432</v>
      </c>
      <c r="M167" s="16" t="s">
        <v>106</v>
      </c>
      <c r="N167" s="12" t="s">
        <v>149</v>
      </c>
      <c r="O167" s="4" t="s">
        <v>150</v>
      </c>
      <c r="P167" s="4" t="s">
        <v>150</v>
      </c>
    </row>
    <row r="168" customFormat="false" ht="15" hidden="false" customHeight="false" outlineLevel="0" collapsed="false">
      <c r="A168" s="16" t="n">
        <v>165</v>
      </c>
      <c r="B168" s="16" t="s">
        <v>143</v>
      </c>
      <c r="C168" s="16" t="s">
        <v>144</v>
      </c>
      <c r="D168" s="16" t="s">
        <v>423</v>
      </c>
      <c r="E168" s="17" t="n">
        <v>0</v>
      </c>
      <c r="F168" s="17" t="n">
        <v>927186</v>
      </c>
      <c r="G168" s="11" t="n">
        <f aca="false">E168-F168</f>
        <v>-927186</v>
      </c>
      <c r="H168" s="5" t="n">
        <v>46052</v>
      </c>
      <c r="I168" s="16" t="s">
        <v>424</v>
      </c>
      <c r="J168" s="16" t="s">
        <v>433</v>
      </c>
      <c r="K168" s="16" t="s">
        <v>147</v>
      </c>
      <c r="L168" s="16" t="s">
        <v>434</v>
      </c>
      <c r="M168" s="16" t="s">
        <v>106</v>
      </c>
      <c r="N168" s="12" t="s">
        <v>149</v>
      </c>
      <c r="O168" s="4" t="s">
        <v>150</v>
      </c>
      <c r="P168" s="4" t="s">
        <v>150</v>
      </c>
    </row>
    <row r="169" customFormat="false" ht="15" hidden="false" customHeight="false" outlineLevel="0" collapsed="false">
      <c r="A169" s="16" t="n">
        <v>166</v>
      </c>
      <c r="B169" s="16" t="s">
        <v>143</v>
      </c>
      <c r="C169" s="16" t="s">
        <v>144</v>
      </c>
      <c r="D169" s="16" t="s">
        <v>423</v>
      </c>
      <c r="E169" s="17" t="n">
        <v>0</v>
      </c>
      <c r="F169" s="17" t="n">
        <v>647189</v>
      </c>
      <c r="G169" s="11" t="n">
        <f aca="false">E169-F169</f>
        <v>-647189</v>
      </c>
      <c r="H169" s="5" t="n">
        <v>46063</v>
      </c>
      <c r="I169" s="16" t="s">
        <v>424</v>
      </c>
      <c r="J169" s="16" t="s">
        <v>435</v>
      </c>
      <c r="K169" s="16" t="s">
        <v>147</v>
      </c>
      <c r="L169" s="16" t="s">
        <v>436</v>
      </c>
      <c r="M169" s="16" t="s">
        <v>106</v>
      </c>
      <c r="N169" s="12" t="s">
        <v>149</v>
      </c>
      <c r="O169" s="4" t="s">
        <v>150</v>
      </c>
      <c r="P169" s="4" t="s">
        <v>150</v>
      </c>
    </row>
    <row r="170" customFormat="false" ht="15" hidden="false" customHeight="false" outlineLevel="0" collapsed="false">
      <c r="A170" s="16" t="n">
        <v>167</v>
      </c>
      <c r="B170" s="16" t="s">
        <v>143</v>
      </c>
      <c r="C170" s="16" t="s">
        <v>144</v>
      </c>
      <c r="D170" s="16" t="s">
        <v>423</v>
      </c>
      <c r="E170" s="17" t="n">
        <v>0</v>
      </c>
      <c r="F170" s="17" t="n">
        <v>2160887</v>
      </c>
      <c r="G170" s="11" t="n">
        <f aca="false">E170-F170</f>
        <v>-2160887</v>
      </c>
      <c r="H170" s="5" t="n">
        <v>46073</v>
      </c>
      <c r="I170" s="16" t="s">
        <v>424</v>
      </c>
      <c r="J170" s="16" t="s">
        <v>437</v>
      </c>
      <c r="K170" s="16" t="s">
        <v>147</v>
      </c>
      <c r="L170" s="16" t="s">
        <v>438</v>
      </c>
      <c r="M170" s="16" t="s">
        <v>106</v>
      </c>
      <c r="N170" s="12" t="s">
        <v>149</v>
      </c>
      <c r="O170" s="4" t="s">
        <v>150</v>
      </c>
      <c r="P170" s="4" t="s">
        <v>150</v>
      </c>
    </row>
    <row r="171" customFormat="false" ht="15" hidden="false" customHeight="false" outlineLevel="0" collapsed="false">
      <c r="A171" s="16" t="n">
        <v>168</v>
      </c>
      <c r="B171" s="16" t="s">
        <v>143</v>
      </c>
      <c r="C171" s="16" t="s">
        <v>144</v>
      </c>
      <c r="D171" s="16" t="s">
        <v>423</v>
      </c>
      <c r="E171" s="17" t="n">
        <v>0</v>
      </c>
      <c r="F171" s="17" t="n">
        <v>4789492.16</v>
      </c>
      <c r="G171" s="11" t="n">
        <f aca="false">E171-F171</f>
        <v>-4789492.16</v>
      </c>
      <c r="H171" s="5" t="n">
        <v>46076</v>
      </c>
      <c r="I171" s="16" t="s">
        <v>424</v>
      </c>
      <c r="J171" s="16" t="s">
        <v>439</v>
      </c>
      <c r="K171" s="16" t="s">
        <v>147</v>
      </c>
      <c r="L171" s="16" t="s">
        <v>440</v>
      </c>
      <c r="M171" s="16" t="s">
        <v>106</v>
      </c>
      <c r="N171" s="12" t="s">
        <v>149</v>
      </c>
      <c r="O171" s="4" t="s">
        <v>150</v>
      </c>
      <c r="P171" s="4" t="s">
        <v>150</v>
      </c>
    </row>
    <row r="172" customFormat="false" ht="15" hidden="false" customHeight="false" outlineLevel="0" collapsed="false">
      <c r="A172" s="16" t="n">
        <v>169</v>
      </c>
      <c r="B172" s="16" t="s">
        <v>143</v>
      </c>
      <c r="C172" s="16" t="s">
        <v>144</v>
      </c>
      <c r="D172" s="16" t="s">
        <v>423</v>
      </c>
      <c r="E172" s="17" t="n">
        <v>2160887</v>
      </c>
      <c r="F172" s="17" t="n">
        <v>0</v>
      </c>
      <c r="G172" s="11" t="n">
        <f aca="false">E172-F172</f>
        <v>2160887</v>
      </c>
      <c r="H172" s="5" t="n">
        <v>46079</v>
      </c>
      <c r="I172" s="16" t="s">
        <v>424</v>
      </c>
      <c r="J172" s="16" t="s">
        <v>441</v>
      </c>
      <c r="K172" s="16" t="s">
        <v>83</v>
      </c>
      <c r="L172" s="16" t="s">
        <v>438</v>
      </c>
      <c r="M172" s="16" t="s">
        <v>261</v>
      </c>
      <c r="N172" s="12" t="s">
        <v>149</v>
      </c>
      <c r="O172" s="4" t="s">
        <v>150</v>
      </c>
      <c r="P172" s="4" t="s">
        <v>150</v>
      </c>
    </row>
    <row r="173" customFormat="false" ht="15" hidden="false" customHeight="false" outlineLevel="0" collapsed="false">
      <c r="A173" s="16" t="n">
        <v>170</v>
      </c>
      <c r="B173" s="16" t="s">
        <v>143</v>
      </c>
      <c r="C173" s="16" t="s">
        <v>144</v>
      </c>
      <c r="D173" s="16" t="s">
        <v>423</v>
      </c>
      <c r="E173" s="17" t="n">
        <v>0</v>
      </c>
      <c r="F173" s="17" t="n">
        <v>1460992</v>
      </c>
      <c r="G173" s="11" t="n">
        <f aca="false">E173-F173</f>
        <v>-1460992</v>
      </c>
      <c r="H173" s="5" t="n">
        <v>46098</v>
      </c>
      <c r="I173" s="16" t="s">
        <v>424</v>
      </c>
      <c r="J173" s="16" t="s">
        <v>442</v>
      </c>
      <c r="K173" s="16" t="s">
        <v>147</v>
      </c>
      <c r="L173" s="16" t="s">
        <v>443</v>
      </c>
      <c r="M173" s="16" t="s">
        <v>106</v>
      </c>
      <c r="N173" s="12" t="s">
        <v>149</v>
      </c>
      <c r="O173" s="4" t="s">
        <v>150</v>
      </c>
      <c r="P173" s="4" t="s">
        <v>150</v>
      </c>
    </row>
    <row r="174" customFormat="false" ht="15" hidden="false" customHeight="false" outlineLevel="0" collapsed="false">
      <c r="A174" s="16" t="n">
        <v>171</v>
      </c>
      <c r="B174" s="16" t="s">
        <v>143</v>
      </c>
      <c r="C174" s="16" t="s">
        <v>144</v>
      </c>
      <c r="D174" s="16" t="s">
        <v>423</v>
      </c>
      <c r="E174" s="17" t="n">
        <v>0</v>
      </c>
      <c r="F174" s="17" t="n">
        <v>1188372</v>
      </c>
      <c r="G174" s="11" t="n">
        <f aca="false">E174-F174</f>
        <v>-1188372</v>
      </c>
      <c r="H174" s="5" t="n">
        <v>46108</v>
      </c>
      <c r="I174" s="16" t="s">
        <v>424</v>
      </c>
      <c r="J174" s="16" t="s">
        <v>444</v>
      </c>
      <c r="K174" s="16" t="s">
        <v>147</v>
      </c>
      <c r="L174" s="16" t="s">
        <v>445</v>
      </c>
      <c r="M174" s="16" t="s">
        <v>106</v>
      </c>
      <c r="N174" s="12" t="s">
        <v>149</v>
      </c>
      <c r="O174" s="4" t="s">
        <v>150</v>
      </c>
      <c r="P174" s="4" t="s">
        <v>150</v>
      </c>
    </row>
    <row r="175" customFormat="false" ht="15" hidden="false" customHeight="false" outlineLevel="0" collapsed="false">
      <c r="A175" s="16" t="n">
        <v>172</v>
      </c>
      <c r="B175" s="16" t="s">
        <v>143</v>
      </c>
      <c r="C175" s="16" t="s">
        <v>144</v>
      </c>
      <c r="D175" s="16" t="s">
        <v>423</v>
      </c>
      <c r="E175" s="17" t="n">
        <v>4669037</v>
      </c>
      <c r="F175" s="17" t="n">
        <v>0</v>
      </c>
      <c r="G175" s="11" t="n">
        <f aca="false">E175-F175</f>
        <v>4669037</v>
      </c>
      <c r="H175" s="5" t="n">
        <v>46129</v>
      </c>
      <c r="I175" s="16" t="s">
        <v>90</v>
      </c>
      <c r="J175" s="16" t="s">
        <v>202</v>
      </c>
      <c r="K175" s="16" t="s">
        <v>147</v>
      </c>
      <c r="L175" s="16" t="s">
        <v>203</v>
      </c>
      <c r="M175" s="16" t="s">
        <v>106</v>
      </c>
      <c r="N175" s="12" t="s">
        <v>149</v>
      </c>
      <c r="O175" s="4" t="s">
        <v>150</v>
      </c>
      <c r="P175" s="4" t="s">
        <v>150</v>
      </c>
    </row>
    <row r="176" customFormat="false" ht="15" hidden="false" customHeight="false" outlineLevel="0" collapsed="false">
      <c r="A176" s="16" t="n">
        <v>173</v>
      </c>
      <c r="B176" s="16" t="s">
        <v>143</v>
      </c>
      <c r="C176" s="16" t="s">
        <v>144</v>
      </c>
      <c r="D176" s="16" t="s">
        <v>423</v>
      </c>
      <c r="E176" s="17" t="n">
        <v>7438856.16</v>
      </c>
      <c r="F176" s="17" t="n">
        <v>0</v>
      </c>
      <c r="G176" s="11" t="n">
        <f aca="false">E176-F176</f>
        <v>7438856.16</v>
      </c>
      <c r="H176" s="5" t="n">
        <v>46135</v>
      </c>
      <c r="I176" s="16" t="s">
        <v>90</v>
      </c>
      <c r="J176" s="16" t="s">
        <v>204</v>
      </c>
      <c r="K176" s="16" t="s">
        <v>147</v>
      </c>
      <c r="L176" s="16" t="s">
        <v>205</v>
      </c>
      <c r="M176" s="16" t="s">
        <v>106</v>
      </c>
      <c r="N176" s="12" t="s">
        <v>149</v>
      </c>
      <c r="O176" s="4" t="s">
        <v>150</v>
      </c>
      <c r="P176" s="4" t="s">
        <v>150</v>
      </c>
    </row>
    <row r="177" customFormat="false" ht="15" hidden="false" customHeight="false" outlineLevel="0" collapsed="false">
      <c r="A177" s="16" t="n">
        <v>174</v>
      </c>
      <c r="B177" s="16" t="s">
        <v>143</v>
      </c>
      <c r="C177" s="16" t="s">
        <v>144</v>
      </c>
      <c r="D177" s="16" t="s">
        <v>423</v>
      </c>
      <c r="E177" s="17" t="n">
        <v>0</v>
      </c>
      <c r="F177" s="17" t="n">
        <v>1152872</v>
      </c>
      <c r="G177" s="11" t="n">
        <f aca="false">E177-F177</f>
        <v>-1152872</v>
      </c>
      <c r="H177" s="5" t="n">
        <v>46135</v>
      </c>
      <c r="I177" s="16" t="s">
        <v>424</v>
      </c>
      <c r="J177" s="16" t="s">
        <v>446</v>
      </c>
      <c r="K177" s="16" t="s">
        <v>147</v>
      </c>
      <c r="L177" s="16" t="s">
        <v>447</v>
      </c>
      <c r="M177" s="16" t="s">
        <v>106</v>
      </c>
      <c r="N177" s="12" t="s">
        <v>149</v>
      </c>
      <c r="O177" s="4" t="s">
        <v>150</v>
      </c>
      <c r="P177" s="4" t="s">
        <v>150</v>
      </c>
    </row>
    <row r="178" customFormat="false" ht="15" hidden="false" customHeight="false" outlineLevel="0" collapsed="false">
      <c r="A178" s="16" t="n">
        <v>175</v>
      </c>
      <c r="B178" s="16" t="s">
        <v>143</v>
      </c>
      <c r="C178" s="16" t="s">
        <v>144</v>
      </c>
      <c r="D178" s="16" t="s">
        <v>423</v>
      </c>
      <c r="E178" s="17" t="n">
        <v>0</v>
      </c>
      <c r="F178" s="17" t="n">
        <v>527546</v>
      </c>
      <c r="G178" s="11" t="n">
        <f aca="false">E178-F178</f>
        <v>-527546</v>
      </c>
      <c r="H178" s="5" t="n">
        <v>46167</v>
      </c>
      <c r="I178" s="16" t="s">
        <v>424</v>
      </c>
      <c r="J178" s="16" t="s">
        <v>448</v>
      </c>
      <c r="K178" s="16" t="s">
        <v>147</v>
      </c>
      <c r="L178" s="16" t="s">
        <v>449</v>
      </c>
      <c r="M178" s="16" t="s">
        <v>106</v>
      </c>
      <c r="N178" s="12" t="s">
        <v>149</v>
      </c>
      <c r="O178" s="4" t="s">
        <v>150</v>
      </c>
      <c r="P178" s="4" t="s">
        <v>150</v>
      </c>
    </row>
    <row r="179" customFormat="false" ht="15" hidden="false" customHeight="false" outlineLevel="0" collapsed="false">
      <c r="A179" s="16" t="n">
        <v>176</v>
      </c>
      <c r="B179" s="16" t="s">
        <v>143</v>
      </c>
      <c r="C179" s="16" t="s">
        <v>144</v>
      </c>
      <c r="D179" s="16" t="s">
        <v>423</v>
      </c>
      <c r="E179" s="17" t="n">
        <v>0</v>
      </c>
      <c r="F179" s="17" t="n">
        <v>1556203.96</v>
      </c>
      <c r="G179" s="11" t="n">
        <f aca="false">E179-F179</f>
        <v>-1556203.96</v>
      </c>
      <c r="H179" s="5" t="n">
        <v>46172</v>
      </c>
      <c r="I179" s="16" t="s">
        <v>424</v>
      </c>
      <c r="J179" s="16" t="s">
        <v>450</v>
      </c>
      <c r="K179" s="16" t="s">
        <v>147</v>
      </c>
      <c r="L179" s="16" t="s">
        <v>451</v>
      </c>
      <c r="M179" s="16" t="s">
        <v>106</v>
      </c>
      <c r="N179" s="12" t="s">
        <v>149</v>
      </c>
      <c r="O179" s="4" t="s">
        <v>150</v>
      </c>
      <c r="P179" s="4" t="s">
        <v>150</v>
      </c>
    </row>
    <row r="180" customFormat="false" ht="15" hidden="false" customHeight="false" outlineLevel="0" collapsed="false">
      <c r="A180" s="16" t="n">
        <v>177</v>
      </c>
      <c r="B180" s="16" t="s">
        <v>143</v>
      </c>
      <c r="C180" s="16" t="s">
        <v>144</v>
      </c>
      <c r="D180" s="16" t="s">
        <v>423</v>
      </c>
      <c r="E180" s="17" t="n">
        <v>0</v>
      </c>
      <c r="F180" s="17" t="n">
        <v>2625505.96</v>
      </c>
      <c r="G180" s="11" t="n">
        <f aca="false">E180-F180</f>
        <v>-2625505.96</v>
      </c>
      <c r="H180" s="5" t="n">
        <v>46172</v>
      </c>
      <c r="I180" s="16" t="s">
        <v>424</v>
      </c>
      <c r="J180" s="16" t="s">
        <v>452</v>
      </c>
      <c r="K180" s="16" t="s">
        <v>147</v>
      </c>
      <c r="L180" s="16" t="s">
        <v>453</v>
      </c>
      <c r="M180" s="16" t="s">
        <v>106</v>
      </c>
      <c r="N180" s="12" t="s">
        <v>149</v>
      </c>
      <c r="O180" s="4" t="s">
        <v>150</v>
      </c>
      <c r="P180" s="4" t="s">
        <v>150</v>
      </c>
    </row>
    <row r="181" customFormat="false" ht="15" hidden="false" customHeight="false" outlineLevel="0" collapsed="false">
      <c r="A181" s="16" t="n">
        <v>178</v>
      </c>
      <c r="B181" s="16" t="s">
        <v>143</v>
      </c>
      <c r="C181" s="16" t="s">
        <v>144</v>
      </c>
      <c r="D181" s="16" t="s">
        <v>423</v>
      </c>
      <c r="E181" s="17" t="n">
        <v>0</v>
      </c>
      <c r="F181" s="17" t="n">
        <v>2397832</v>
      </c>
      <c r="G181" s="11" t="n">
        <f aca="false">E181-F181</f>
        <v>-2397832</v>
      </c>
      <c r="H181" s="5" t="n">
        <v>46185</v>
      </c>
      <c r="I181" s="16" t="s">
        <v>424</v>
      </c>
      <c r="J181" s="16" t="s">
        <v>454</v>
      </c>
      <c r="K181" s="16" t="s">
        <v>147</v>
      </c>
      <c r="L181" s="16" t="s">
        <v>455</v>
      </c>
      <c r="M181" s="16" t="s">
        <v>106</v>
      </c>
      <c r="N181" s="12" t="s">
        <v>149</v>
      </c>
      <c r="O181" s="4" t="s">
        <v>150</v>
      </c>
      <c r="P181" s="4" t="s">
        <v>150</v>
      </c>
    </row>
    <row r="182" customFormat="false" ht="15" hidden="false" customHeight="false" outlineLevel="0" collapsed="false">
      <c r="A182" s="16" t="n">
        <v>179</v>
      </c>
      <c r="B182" s="16" t="s">
        <v>143</v>
      </c>
      <c r="C182" s="16" t="s">
        <v>144</v>
      </c>
      <c r="D182" s="16" t="s">
        <v>423</v>
      </c>
      <c r="E182" s="17" t="n">
        <v>0</v>
      </c>
      <c r="F182" s="17" t="n">
        <v>668276</v>
      </c>
      <c r="G182" s="11" t="n">
        <f aca="false">E182-F182</f>
        <v>-668276</v>
      </c>
      <c r="H182" s="5" t="n">
        <v>46191</v>
      </c>
      <c r="I182" s="16" t="s">
        <v>424</v>
      </c>
      <c r="J182" s="16" t="s">
        <v>456</v>
      </c>
      <c r="K182" s="16" t="s">
        <v>147</v>
      </c>
      <c r="L182" s="16" t="s">
        <v>457</v>
      </c>
      <c r="M182" s="16" t="s">
        <v>106</v>
      </c>
      <c r="N182" s="12" t="s">
        <v>149</v>
      </c>
      <c r="O182" s="4" t="s">
        <v>150</v>
      </c>
      <c r="P182" s="4" t="s">
        <v>150</v>
      </c>
    </row>
    <row r="183" customFormat="false" ht="15" hidden="false" customHeight="false" outlineLevel="0" collapsed="false">
      <c r="A183" s="16" t="n">
        <v>180</v>
      </c>
      <c r="B183" s="16" t="s">
        <v>143</v>
      </c>
      <c r="C183" s="16" t="s">
        <v>144</v>
      </c>
      <c r="D183" s="16" t="s">
        <v>423</v>
      </c>
      <c r="E183" s="17" t="n">
        <v>0</v>
      </c>
      <c r="F183" s="17" t="n">
        <v>196350</v>
      </c>
      <c r="G183" s="11" t="n">
        <f aca="false">E183-F183</f>
        <v>-196350</v>
      </c>
      <c r="H183" s="5" t="n">
        <v>46191</v>
      </c>
      <c r="I183" s="16" t="s">
        <v>424</v>
      </c>
      <c r="J183" s="16" t="s">
        <v>458</v>
      </c>
      <c r="K183" s="16" t="s">
        <v>147</v>
      </c>
      <c r="L183" s="16" t="s">
        <v>459</v>
      </c>
      <c r="M183" s="16" t="s">
        <v>106</v>
      </c>
      <c r="N183" s="12" t="s">
        <v>149</v>
      </c>
      <c r="O183" s="4" t="s">
        <v>150</v>
      </c>
      <c r="P183" s="4" t="s">
        <v>150</v>
      </c>
    </row>
    <row r="184" customFormat="false" ht="15" hidden="false" customHeight="false" outlineLevel="0" collapsed="false">
      <c r="A184" s="16" t="n">
        <v>181</v>
      </c>
      <c r="B184" s="16" t="s">
        <v>143</v>
      </c>
      <c r="C184" s="16" t="s">
        <v>144</v>
      </c>
      <c r="D184" s="16" t="s">
        <v>423</v>
      </c>
      <c r="E184" s="17" t="n">
        <v>0</v>
      </c>
      <c r="F184" s="17" t="n">
        <v>196350</v>
      </c>
      <c r="G184" s="11" t="n">
        <f aca="false">E184-F184</f>
        <v>-196350</v>
      </c>
      <c r="H184" s="5" t="n">
        <v>46191</v>
      </c>
      <c r="I184" s="16" t="s">
        <v>424</v>
      </c>
      <c r="J184" s="16" t="s">
        <v>460</v>
      </c>
      <c r="K184" s="16" t="s">
        <v>147</v>
      </c>
      <c r="L184" s="16" t="s">
        <v>461</v>
      </c>
      <c r="M184" s="16" t="s">
        <v>106</v>
      </c>
      <c r="N184" s="12" t="s">
        <v>149</v>
      </c>
      <c r="O184" s="4" t="s">
        <v>150</v>
      </c>
      <c r="P184" s="4" t="s">
        <v>150</v>
      </c>
    </row>
    <row r="185" customFormat="false" ht="15" hidden="false" customHeight="false" outlineLevel="0" collapsed="false">
      <c r="A185" s="16" t="n">
        <v>182</v>
      </c>
      <c r="B185" s="16" t="s">
        <v>143</v>
      </c>
      <c r="C185" s="16" t="s">
        <v>144</v>
      </c>
      <c r="D185" s="16" t="s">
        <v>423</v>
      </c>
      <c r="E185" s="17" t="n">
        <v>1152872</v>
      </c>
      <c r="F185" s="17" t="n">
        <v>0</v>
      </c>
      <c r="G185" s="11" t="n">
        <f aca="false">E185-F185</f>
        <v>1152872</v>
      </c>
      <c r="H185" s="5" t="n">
        <v>46203</v>
      </c>
      <c r="I185" s="16" t="s">
        <v>90</v>
      </c>
      <c r="J185" s="16" t="s">
        <v>215</v>
      </c>
      <c r="K185" s="16" t="s">
        <v>147</v>
      </c>
      <c r="L185" s="16" t="s">
        <v>216</v>
      </c>
      <c r="M185" s="16" t="s">
        <v>106</v>
      </c>
      <c r="N185" s="12" t="s">
        <v>149</v>
      </c>
      <c r="O185" s="4" t="s">
        <v>150</v>
      </c>
      <c r="P185" s="4" t="s">
        <v>150</v>
      </c>
    </row>
    <row r="186" customFormat="false" ht="15" hidden="false" customHeight="false" outlineLevel="0" collapsed="false">
      <c r="A186" s="16" t="n">
        <v>183</v>
      </c>
      <c r="B186" s="16" t="s">
        <v>143</v>
      </c>
      <c r="C186" s="16" t="s">
        <v>144</v>
      </c>
      <c r="D186" s="16" t="s">
        <v>423</v>
      </c>
      <c r="E186" s="17" t="n">
        <v>0</v>
      </c>
      <c r="F186" s="17" t="n">
        <v>1301642</v>
      </c>
      <c r="G186" s="11" t="n">
        <f aca="false">E186-F186</f>
        <v>-1301642</v>
      </c>
      <c r="H186" s="5" t="n">
        <v>46203</v>
      </c>
      <c r="I186" s="16" t="s">
        <v>424</v>
      </c>
      <c r="J186" s="16" t="s">
        <v>462</v>
      </c>
      <c r="K186" s="16" t="s">
        <v>147</v>
      </c>
      <c r="L186" s="16" t="s">
        <v>463</v>
      </c>
      <c r="M186" s="16" t="s">
        <v>106</v>
      </c>
      <c r="N186" s="12" t="s">
        <v>149</v>
      </c>
      <c r="O186" s="4" t="s">
        <v>150</v>
      </c>
      <c r="P186" s="4" t="s">
        <v>150</v>
      </c>
    </row>
    <row r="187" customFormat="false" ht="15" hidden="false" customHeight="false" outlineLevel="0" collapsed="false">
      <c r="A187" s="16" t="n">
        <v>184</v>
      </c>
      <c r="B187" s="16" t="s">
        <v>143</v>
      </c>
      <c r="C187" s="16" t="s">
        <v>144</v>
      </c>
      <c r="D187" s="16" t="s">
        <v>423</v>
      </c>
      <c r="E187" s="17" t="n">
        <v>6611859.96</v>
      </c>
      <c r="F187" s="17" t="n">
        <v>0</v>
      </c>
      <c r="G187" s="11" t="n">
        <f aca="false">E187-F187</f>
        <v>6611859.96</v>
      </c>
      <c r="H187" s="5" t="n">
        <v>46234</v>
      </c>
      <c r="I187" s="16" t="s">
        <v>90</v>
      </c>
      <c r="J187" s="16" t="s">
        <v>219</v>
      </c>
      <c r="K187" s="16" t="s">
        <v>147</v>
      </c>
      <c r="L187" s="16" t="s">
        <v>220</v>
      </c>
      <c r="M187" s="16" t="s">
        <v>106</v>
      </c>
      <c r="N187" s="12" t="s">
        <v>149</v>
      </c>
      <c r="O187" s="4" t="s">
        <v>150</v>
      </c>
      <c r="P187" s="4" t="s">
        <v>150</v>
      </c>
    </row>
    <row r="188" customFormat="false" ht="15" hidden="false" customHeight="false" outlineLevel="0" collapsed="false">
      <c r="A188" s="16" t="n">
        <v>185</v>
      </c>
      <c r="B188" s="16" t="s">
        <v>143</v>
      </c>
      <c r="C188" s="16" t="s">
        <v>144</v>
      </c>
      <c r="D188" s="16" t="s">
        <v>423</v>
      </c>
      <c r="E188" s="17" t="n">
        <v>0</v>
      </c>
      <c r="F188" s="17" t="n">
        <v>1426849</v>
      </c>
      <c r="G188" s="11" t="n">
        <f aca="false">E188-F188</f>
        <v>-1426849</v>
      </c>
      <c r="H188" s="5" t="n">
        <v>46234</v>
      </c>
      <c r="I188" s="16" t="s">
        <v>424</v>
      </c>
      <c r="J188" s="16" t="s">
        <v>464</v>
      </c>
      <c r="K188" s="16" t="s">
        <v>147</v>
      </c>
      <c r="L188" s="16" t="s">
        <v>465</v>
      </c>
      <c r="M188" s="16" t="s">
        <v>106</v>
      </c>
      <c r="N188" s="12" t="s">
        <v>149</v>
      </c>
      <c r="O188" s="4" t="s">
        <v>150</v>
      </c>
      <c r="P188" s="4" t="s">
        <v>150</v>
      </c>
    </row>
    <row r="189" customFormat="false" ht="15" hidden="false" customHeight="false" outlineLevel="0" collapsed="false">
      <c r="A189" s="16" t="n">
        <v>186</v>
      </c>
      <c r="B189" s="16" t="s">
        <v>143</v>
      </c>
      <c r="C189" s="16" t="s">
        <v>144</v>
      </c>
      <c r="D189" s="16" t="s">
        <v>466</v>
      </c>
      <c r="E189" s="17" t="n">
        <v>0</v>
      </c>
      <c r="F189" s="17" t="n">
        <v>839111</v>
      </c>
      <c r="G189" s="11" t="n">
        <f aca="false">E189-F189</f>
        <v>-839111</v>
      </c>
      <c r="H189" s="5" t="n">
        <v>46168</v>
      </c>
      <c r="I189" s="16" t="s">
        <v>467</v>
      </c>
      <c r="J189" s="16" t="s">
        <v>468</v>
      </c>
      <c r="K189" s="16" t="s">
        <v>147</v>
      </c>
      <c r="L189" s="16" t="s">
        <v>469</v>
      </c>
      <c r="M189" s="16" t="s">
        <v>106</v>
      </c>
      <c r="N189" s="12" t="s">
        <v>149</v>
      </c>
      <c r="O189" s="4" t="s">
        <v>150</v>
      </c>
      <c r="P189" s="4" t="s">
        <v>150</v>
      </c>
    </row>
    <row r="190" customFormat="false" ht="15" hidden="false" customHeight="false" outlineLevel="0" collapsed="false">
      <c r="A190" s="16" t="n">
        <v>187</v>
      </c>
      <c r="B190" s="16" t="s">
        <v>143</v>
      </c>
      <c r="C190" s="16" t="s">
        <v>144</v>
      </c>
      <c r="D190" s="16" t="s">
        <v>466</v>
      </c>
      <c r="E190" s="17" t="n">
        <v>0</v>
      </c>
      <c r="F190" s="17" t="n">
        <v>1027037</v>
      </c>
      <c r="G190" s="11" t="n">
        <f aca="false">E190-F190</f>
        <v>-1027037</v>
      </c>
      <c r="H190" s="5" t="n">
        <v>46191</v>
      </c>
      <c r="I190" s="16" t="s">
        <v>467</v>
      </c>
      <c r="J190" s="16" t="s">
        <v>470</v>
      </c>
      <c r="K190" s="16" t="s">
        <v>147</v>
      </c>
      <c r="L190" s="16" t="s">
        <v>471</v>
      </c>
      <c r="M190" s="16" t="s">
        <v>106</v>
      </c>
      <c r="N190" s="12" t="s">
        <v>149</v>
      </c>
      <c r="O190" s="4" t="s">
        <v>150</v>
      </c>
      <c r="P190" s="4" t="s">
        <v>150</v>
      </c>
    </row>
    <row r="191" customFormat="false" ht="15" hidden="false" customHeight="false" outlineLevel="0" collapsed="false">
      <c r="A191" s="16" t="n">
        <v>188</v>
      </c>
      <c r="B191" s="16" t="s">
        <v>143</v>
      </c>
      <c r="C191" s="16" t="s">
        <v>144</v>
      </c>
      <c r="D191" s="16" t="s">
        <v>466</v>
      </c>
      <c r="E191" s="17" t="n">
        <v>839111</v>
      </c>
      <c r="F191" s="17" t="n">
        <v>0</v>
      </c>
      <c r="G191" s="11" t="n">
        <f aca="false">E191-F191</f>
        <v>839111</v>
      </c>
      <c r="H191" s="5" t="n">
        <v>46198</v>
      </c>
      <c r="I191" s="16" t="s">
        <v>90</v>
      </c>
      <c r="J191" s="16" t="s">
        <v>146</v>
      </c>
      <c r="K191" s="16" t="s">
        <v>147</v>
      </c>
      <c r="L191" s="16" t="s">
        <v>148</v>
      </c>
      <c r="M191" s="16" t="s">
        <v>106</v>
      </c>
      <c r="N191" s="12" t="s">
        <v>149</v>
      </c>
      <c r="O191" s="4" t="s">
        <v>150</v>
      </c>
      <c r="P191" s="4" t="s">
        <v>150</v>
      </c>
    </row>
    <row r="192" customFormat="false" ht="15" hidden="false" customHeight="false" outlineLevel="0" collapsed="false">
      <c r="A192" s="16" t="n">
        <v>189</v>
      </c>
      <c r="B192" s="16" t="s">
        <v>143</v>
      </c>
      <c r="C192" s="16" t="s">
        <v>144</v>
      </c>
      <c r="D192" s="16" t="s">
        <v>472</v>
      </c>
      <c r="E192" s="17" t="n">
        <v>389899.93</v>
      </c>
      <c r="F192" s="17" t="n">
        <v>0</v>
      </c>
      <c r="G192" s="11" t="n">
        <f aca="false">E192-F192</f>
        <v>389899.93</v>
      </c>
      <c r="H192" s="5" t="n">
        <v>46173</v>
      </c>
      <c r="I192" s="16" t="s">
        <v>90</v>
      </c>
      <c r="J192" s="16" t="s">
        <v>174</v>
      </c>
      <c r="K192" s="16" t="s">
        <v>160</v>
      </c>
      <c r="L192" s="16" t="s">
        <v>175</v>
      </c>
      <c r="M192" s="16" t="s">
        <v>176</v>
      </c>
      <c r="N192" s="12" t="s">
        <v>149</v>
      </c>
      <c r="O192" s="4" t="s">
        <v>150</v>
      </c>
      <c r="P192" s="4" t="s">
        <v>150</v>
      </c>
    </row>
    <row r="193" customFormat="false" ht="15" hidden="false" customHeight="false" outlineLevel="0" collapsed="false">
      <c r="A193" s="16" t="n">
        <v>190</v>
      </c>
      <c r="B193" s="16" t="s">
        <v>143</v>
      </c>
      <c r="C193" s="16" t="s">
        <v>144</v>
      </c>
      <c r="D193" s="16" t="s">
        <v>473</v>
      </c>
      <c r="E193" s="17" t="n">
        <v>1100000.3</v>
      </c>
      <c r="F193" s="17" t="n">
        <v>0</v>
      </c>
      <c r="G193" s="11" t="n">
        <f aca="false">E193-F193</f>
        <v>1100000.3</v>
      </c>
      <c r="H193" s="5" t="n">
        <v>46173</v>
      </c>
      <c r="I193" s="16" t="s">
        <v>90</v>
      </c>
      <c r="J193" s="16" t="s">
        <v>174</v>
      </c>
      <c r="K193" s="16" t="s">
        <v>160</v>
      </c>
      <c r="L193" s="16" t="s">
        <v>175</v>
      </c>
      <c r="M193" s="16" t="s">
        <v>176</v>
      </c>
      <c r="N193" s="12" t="s">
        <v>149</v>
      </c>
      <c r="O193" s="4" t="s">
        <v>150</v>
      </c>
      <c r="P193" s="4" t="s">
        <v>150</v>
      </c>
    </row>
    <row r="194" customFormat="false" ht="15" hidden="false" customHeight="false" outlineLevel="0" collapsed="false">
      <c r="A194" s="16" t="n">
        <v>191</v>
      </c>
      <c r="B194" s="16" t="s">
        <v>143</v>
      </c>
      <c r="C194" s="16" t="s">
        <v>144</v>
      </c>
      <c r="D194" s="16" t="s">
        <v>474</v>
      </c>
      <c r="E194" s="17" t="n">
        <v>241902</v>
      </c>
      <c r="F194" s="17" t="n">
        <v>0</v>
      </c>
      <c r="G194" s="11" t="n">
        <f aca="false">E194-F194</f>
        <v>241902</v>
      </c>
      <c r="H194" s="5" t="n">
        <v>46129</v>
      </c>
      <c r="I194" s="16" t="s">
        <v>90</v>
      </c>
      <c r="J194" s="16" t="s">
        <v>475</v>
      </c>
      <c r="K194" s="16" t="s">
        <v>147</v>
      </c>
      <c r="L194" s="16" t="s">
        <v>476</v>
      </c>
      <c r="M194" s="16" t="s">
        <v>106</v>
      </c>
      <c r="N194" s="12" t="s">
        <v>149</v>
      </c>
      <c r="O194" s="4" t="s">
        <v>150</v>
      </c>
      <c r="P194" s="4" t="s">
        <v>150</v>
      </c>
    </row>
    <row r="195" customFormat="false" ht="15" hidden="false" customHeight="false" outlineLevel="0" collapsed="false">
      <c r="A195" s="16" t="n">
        <v>192</v>
      </c>
      <c r="B195" s="16" t="s">
        <v>143</v>
      </c>
      <c r="C195" s="16" t="s">
        <v>144</v>
      </c>
      <c r="D195" s="16" t="s">
        <v>474</v>
      </c>
      <c r="E195" s="17" t="n">
        <v>0</v>
      </c>
      <c r="F195" s="17" t="n">
        <v>241902</v>
      </c>
      <c r="G195" s="11" t="n">
        <f aca="false">E195-F195</f>
        <v>-241902</v>
      </c>
      <c r="H195" s="5" t="n">
        <v>46129</v>
      </c>
      <c r="I195" s="16" t="s">
        <v>477</v>
      </c>
      <c r="J195" s="16" t="s">
        <v>478</v>
      </c>
      <c r="K195" s="16" t="s">
        <v>147</v>
      </c>
      <c r="L195" s="16" t="s">
        <v>479</v>
      </c>
      <c r="M195" s="16" t="s">
        <v>106</v>
      </c>
      <c r="N195" s="12" t="s">
        <v>149</v>
      </c>
      <c r="O195" s="4" t="s">
        <v>150</v>
      </c>
      <c r="P195" s="4" t="s">
        <v>150</v>
      </c>
    </row>
    <row r="196" customFormat="false" ht="15" hidden="false" customHeight="false" outlineLevel="0" collapsed="false">
      <c r="A196" s="16" t="n">
        <v>193</v>
      </c>
      <c r="B196" s="16" t="s">
        <v>143</v>
      </c>
      <c r="C196" s="16" t="s">
        <v>144</v>
      </c>
      <c r="D196" s="16" t="s">
        <v>480</v>
      </c>
      <c r="E196" s="17" t="n">
        <v>0</v>
      </c>
      <c r="F196" s="17" t="n">
        <v>309569</v>
      </c>
      <c r="G196" s="11" t="n">
        <f aca="false">E196-F196</f>
        <v>-309569</v>
      </c>
      <c r="H196" s="5" t="n">
        <v>46081</v>
      </c>
      <c r="I196" s="16" t="s">
        <v>481</v>
      </c>
      <c r="J196" s="16" t="s">
        <v>482</v>
      </c>
      <c r="K196" s="16" t="s">
        <v>147</v>
      </c>
      <c r="L196" s="16" t="s">
        <v>483</v>
      </c>
      <c r="M196" s="16" t="s">
        <v>106</v>
      </c>
      <c r="N196" s="12" t="s">
        <v>149</v>
      </c>
      <c r="O196" s="4" t="s">
        <v>150</v>
      </c>
      <c r="P196" s="4" t="s">
        <v>150</v>
      </c>
    </row>
    <row r="197" customFormat="false" ht="15" hidden="false" customHeight="false" outlineLevel="0" collapsed="false">
      <c r="A197" s="16" t="n">
        <v>194</v>
      </c>
      <c r="B197" s="16" t="s">
        <v>143</v>
      </c>
      <c r="C197" s="16" t="s">
        <v>144</v>
      </c>
      <c r="D197" s="16" t="s">
        <v>480</v>
      </c>
      <c r="E197" s="17" t="n">
        <v>309569</v>
      </c>
      <c r="F197" s="17" t="n">
        <v>0</v>
      </c>
      <c r="G197" s="11" t="n">
        <f aca="false">E197-F197</f>
        <v>309569</v>
      </c>
      <c r="H197" s="5" t="n">
        <v>46129</v>
      </c>
      <c r="I197" s="16" t="s">
        <v>90</v>
      </c>
      <c r="J197" s="16" t="s">
        <v>475</v>
      </c>
      <c r="K197" s="16" t="s">
        <v>147</v>
      </c>
      <c r="L197" s="16" t="s">
        <v>476</v>
      </c>
      <c r="M197" s="16" t="s">
        <v>106</v>
      </c>
      <c r="N197" s="12" t="s">
        <v>149</v>
      </c>
      <c r="O197" s="4" t="s">
        <v>150</v>
      </c>
      <c r="P197" s="4" t="s">
        <v>150</v>
      </c>
    </row>
    <row r="198" customFormat="false" ht="15" hidden="false" customHeight="false" outlineLevel="0" collapsed="false">
      <c r="A198" s="16" t="n">
        <v>195</v>
      </c>
      <c r="B198" s="16" t="s">
        <v>143</v>
      </c>
      <c r="C198" s="16" t="s">
        <v>144</v>
      </c>
      <c r="D198" s="16" t="s">
        <v>484</v>
      </c>
      <c r="E198" s="17" t="n">
        <v>0</v>
      </c>
      <c r="F198" s="17" t="n">
        <v>281483</v>
      </c>
      <c r="G198" s="11" t="n">
        <f aca="false">E198-F198</f>
        <v>-281483</v>
      </c>
      <c r="H198" s="5" t="n">
        <v>46134</v>
      </c>
      <c r="I198" s="16" t="s">
        <v>485</v>
      </c>
      <c r="J198" s="16" t="s">
        <v>486</v>
      </c>
      <c r="K198" s="16" t="s">
        <v>147</v>
      </c>
      <c r="L198" s="16" t="s">
        <v>487</v>
      </c>
      <c r="M198" s="16" t="s">
        <v>106</v>
      </c>
      <c r="N198" s="12" t="s">
        <v>149</v>
      </c>
      <c r="O198" s="4" t="s">
        <v>150</v>
      </c>
      <c r="P198" s="4" t="s">
        <v>150</v>
      </c>
    </row>
    <row r="199" customFormat="false" ht="15" hidden="false" customHeight="false" outlineLevel="0" collapsed="false">
      <c r="A199" s="16" t="n">
        <v>196</v>
      </c>
      <c r="B199" s="16" t="s">
        <v>143</v>
      </c>
      <c r="C199" s="16" t="s">
        <v>144</v>
      </c>
      <c r="D199" s="16" t="s">
        <v>484</v>
      </c>
      <c r="E199" s="17" t="n">
        <v>281483</v>
      </c>
      <c r="F199" s="17" t="n">
        <v>0</v>
      </c>
      <c r="G199" s="11" t="n">
        <f aca="false">E199-F199</f>
        <v>281483</v>
      </c>
      <c r="H199" s="5" t="n">
        <v>46135</v>
      </c>
      <c r="I199" s="16" t="s">
        <v>90</v>
      </c>
      <c r="J199" s="16" t="s">
        <v>241</v>
      </c>
      <c r="K199" s="16" t="s">
        <v>147</v>
      </c>
      <c r="L199" s="16" t="s">
        <v>242</v>
      </c>
      <c r="M199" s="16" t="s">
        <v>106</v>
      </c>
      <c r="N199" s="12" t="s">
        <v>149</v>
      </c>
      <c r="O199" s="4" t="s">
        <v>150</v>
      </c>
      <c r="P199" s="4" t="s">
        <v>150</v>
      </c>
    </row>
    <row r="200" customFormat="false" ht="15" hidden="false" customHeight="false" outlineLevel="0" collapsed="false">
      <c r="A200" s="16" t="n">
        <v>197</v>
      </c>
      <c r="B200" s="16" t="s">
        <v>143</v>
      </c>
      <c r="C200" s="16" t="s">
        <v>144</v>
      </c>
      <c r="D200" s="16" t="s">
        <v>484</v>
      </c>
      <c r="E200" s="17" t="n">
        <v>0</v>
      </c>
      <c r="F200" s="17" t="n">
        <v>280240</v>
      </c>
      <c r="G200" s="11" t="n">
        <f aca="false">E200-F200</f>
        <v>-280240</v>
      </c>
      <c r="H200" s="5" t="n">
        <v>46142</v>
      </c>
      <c r="I200" s="16" t="s">
        <v>485</v>
      </c>
      <c r="J200" s="16" t="s">
        <v>488</v>
      </c>
      <c r="K200" s="16" t="s">
        <v>147</v>
      </c>
      <c r="L200" s="16" t="s">
        <v>489</v>
      </c>
      <c r="M200" s="16" t="s">
        <v>106</v>
      </c>
      <c r="N200" s="12" t="s">
        <v>149</v>
      </c>
      <c r="O200" s="4" t="s">
        <v>150</v>
      </c>
      <c r="P200" s="4" t="s">
        <v>150</v>
      </c>
    </row>
    <row r="201" customFormat="false" ht="15" hidden="false" customHeight="false" outlineLevel="0" collapsed="false">
      <c r="A201" s="16" t="n">
        <v>198</v>
      </c>
      <c r="B201" s="16" t="s">
        <v>143</v>
      </c>
      <c r="C201" s="16" t="s">
        <v>144</v>
      </c>
      <c r="D201" s="16" t="s">
        <v>484</v>
      </c>
      <c r="E201" s="17" t="n">
        <v>280240</v>
      </c>
      <c r="F201" s="17" t="n">
        <v>0</v>
      </c>
      <c r="G201" s="11" t="n">
        <f aca="false">E201-F201</f>
        <v>280240</v>
      </c>
      <c r="H201" s="5" t="n">
        <v>46167</v>
      </c>
      <c r="I201" s="16" t="s">
        <v>90</v>
      </c>
      <c r="J201" s="16" t="s">
        <v>411</v>
      </c>
      <c r="K201" s="16" t="s">
        <v>147</v>
      </c>
      <c r="L201" s="16" t="s">
        <v>412</v>
      </c>
      <c r="M201" s="16" t="s">
        <v>106</v>
      </c>
      <c r="N201" s="12" t="s">
        <v>149</v>
      </c>
      <c r="O201" s="4" t="s">
        <v>150</v>
      </c>
      <c r="P201" s="4" t="s">
        <v>150</v>
      </c>
    </row>
    <row r="202" customFormat="false" ht="15" hidden="false" customHeight="false" outlineLevel="0" collapsed="false">
      <c r="A202" s="16" t="n">
        <v>199</v>
      </c>
      <c r="B202" s="16" t="s">
        <v>143</v>
      </c>
      <c r="C202" s="16" t="s">
        <v>144</v>
      </c>
      <c r="D202" s="16" t="s">
        <v>490</v>
      </c>
      <c r="E202" s="17" t="n">
        <v>0</v>
      </c>
      <c r="F202" s="17" t="n">
        <v>396000</v>
      </c>
      <c r="G202" s="11" t="n">
        <f aca="false">E202-F202</f>
        <v>-396000</v>
      </c>
      <c r="H202" s="5" t="n">
        <v>46191</v>
      </c>
      <c r="I202" s="16" t="s">
        <v>491</v>
      </c>
      <c r="J202" s="16" t="s">
        <v>492</v>
      </c>
      <c r="K202" s="16" t="s">
        <v>147</v>
      </c>
      <c r="L202" s="16" t="s">
        <v>493</v>
      </c>
      <c r="M202" s="16" t="s">
        <v>106</v>
      </c>
      <c r="N202" s="12" t="s">
        <v>149</v>
      </c>
      <c r="O202" s="4" t="s">
        <v>150</v>
      </c>
      <c r="P202" s="4" t="s">
        <v>150</v>
      </c>
    </row>
    <row r="203" customFormat="false" ht="15" hidden="false" customHeight="false" outlineLevel="0" collapsed="false">
      <c r="A203" s="16" t="n">
        <v>200</v>
      </c>
      <c r="B203" s="16" t="s">
        <v>143</v>
      </c>
      <c r="C203" s="16" t="s">
        <v>144</v>
      </c>
      <c r="D203" s="16" t="s">
        <v>494</v>
      </c>
      <c r="E203" s="17" t="n">
        <v>177500</v>
      </c>
      <c r="F203" s="17" t="n">
        <v>0</v>
      </c>
      <c r="G203" s="11" t="n">
        <f aca="false">E203-F203</f>
        <v>177500</v>
      </c>
      <c r="H203" s="5" t="n">
        <v>46173</v>
      </c>
      <c r="I203" s="16" t="s">
        <v>90</v>
      </c>
      <c r="J203" s="16" t="s">
        <v>174</v>
      </c>
      <c r="K203" s="16" t="s">
        <v>160</v>
      </c>
      <c r="L203" s="16" t="s">
        <v>175</v>
      </c>
      <c r="M203" s="16" t="s">
        <v>176</v>
      </c>
      <c r="N203" s="12" t="s">
        <v>149</v>
      </c>
      <c r="O203" s="4" t="s">
        <v>150</v>
      </c>
      <c r="P203" s="4" t="s">
        <v>150</v>
      </c>
    </row>
    <row r="204" customFormat="false" ht="15" hidden="false" customHeight="false" outlineLevel="0" collapsed="false">
      <c r="A204" s="16" t="n">
        <v>201</v>
      </c>
      <c r="B204" s="16" t="s">
        <v>143</v>
      </c>
      <c r="C204" s="16" t="s">
        <v>144</v>
      </c>
      <c r="D204" s="16" t="s">
        <v>495</v>
      </c>
      <c r="E204" s="17" t="n">
        <v>0</v>
      </c>
      <c r="F204" s="17" t="n">
        <v>490528.36</v>
      </c>
      <c r="G204" s="11" t="n">
        <f aca="false">E204-F204</f>
        <v>-490528.36</v>
      </c>
      <c r="H204" s="5" t="n">
        <v>46064</v>
      </c>
      <c r="I204" s="16" t="s">
        <v>496</v>
      </c>
      <c r="J204" s="16" t="s">
        <v>497</v>
      </c>
      <c r="K204" s="16" t="s">
        <v>147</v>
      </c>
      <c r="L204" s="16" t="s">
        <v>498</v>
      </c>
      <c r="M204" s="16" t="s">
        <v>106</v>
      </c>
      <c r="N204" s="12" t="s">
        <v>149</v>
      </c>
      <c r="O204" s="4" t="s">
        <v>150</v>
      </c>
      <c r="P204" s="4" t="s">
        <v>150</v>
      </c>
    </row>
    <row r="205" customFormat="false" ht="15" hidden="false" customHeight="false" outlineLevel="0" collapsed="false">
      <c r="A205" s="16" t="n">
        <v>202</v>
      </c>
      <c r="B205" s="16" t="s">
        <v>143</v>
      </c>
      <c r="C205" s="16" t="s">
        <v>144</v>
      </c>
      <c r="D205" s="16" t="s">
        <v>495</v>
      </c>
      <c r="E205" s="17" t="n">
        <v>0</v>
      </c>
      <c r="F205" s="17" t="n">
        <v>355309.8</v>
      </c>
      <c r="G205" s="11" t="n">
        <f aca="false">E205-F205</f>
        <v>-355309.8</v>
      </c>
      <c r="H205" s="5" t="n">
        <v>46066</v>
      </c>
      <c r="I205" s="16" t="s">
        <v>496</v>
      </c>
      <c r="J205" s="16" t="s">
        <v>499</v>
      </c>
      <c r="K205" s="16" t="s">
        <v>147</v>
      </c>
      <c r="L205" s="16" t="s">
        <v>500</v>
      </c>
      <c r="M205" s="16" t="s">
        <v>106</v>
      </c>
      <c r="N205" s="12" t="s">
        <v>149</v>
      </c>
      <c r="O205" s="4" t="s">
        <v>150</v>
      </c>
      <c r="P205" s="4" t="s">
        <v>150</v>
      </c>
    </row>
    <row r="206" customFormat="false" ht="15" hidden="false" customHeight="false" outlineLevel="0" collapsed="false">
      <c r="A206" s="16" t="n">
        <v>203</v>
      </c>
      <c r="B206" s="16" t="s">
        <v>143</v>
      </c>
      <c r="C206" s="16" t="s">
        <v>144</v>
      </c>
      <c r="D206" s="16" t="s">
        <v>495</v>
      </c>
      <c r="E206" s="17" t="n">
        <v>355309.8</v>
      </c>
      <c r="F206" s="17" t="n">
        <v>0</v>
      </c>
      <c r="G206" s="11" t="n">
        <f aca="false">E206-F206</f>
        <v>355309.8</v>
      </c>
      <c r="H206" s="5" t="n">
        <v>46129</v>
      </c>
      <c r="I206" s="16" t="s">
        <v>90</v>
      </c>
      <c r="J206" s="16" t="s">
        <v>501</v>
      </c>
      <c r="K206" s="16" t="s">
        <v>147</v>
      </c>
      <c r="L206" s="16" t="s">
        <v>502</v>
      </c>
      <c r="M206" s="16" t="s">
        <v>106</v>
      </c>
      <c r="N206" s="12" t="s">
        <v>149</v>
      </c>
      <c r="O206" s="4" t="s">
        <v>150</v>
      </c>
      <c r="P206" s="4" t="s">
        <v>150</v>
      </c>
    </row>
    <row r="207" customFormat="false" ht="15" hidden="false" customHeight="false" outlineLevel="0" collapsed="false">
      <c r="A207" s="16" t="n">
        <v>204</v>
      </c>
      <c r="B207" s="16" t="s">
        <v>143</v>
      </c>
      <c r="C207" s="16" t="s">
        <v>144</v>
      </c>
      <c r="D207" s="16" t="s">
        <v>495</v>
      </c>
      <c r="E207" s="17" t="n">
        <v>490528.36</v>
      </c>
      <c r="F207" s="17" t="n">
        <v>0</v>
      </c>
      <c r="G207" s="11" t="n">
        <f aca="false">E207-F207</f>
        <v>490528.36</v>
      </c>
      <c r="H207" s="5" t="n">
        <v>46129</v>
      </c>
      <c r="I207" s="16" t="s">
        <v>90</v>
      </c>
      <c r="J207" s="16" t="s">
        <v>503</v>
      </c>
      <c r="K207" s="16" t="s">
        <v>147</v>
      </c>
      <c r="L207" s="16" t="s">
        <v>504</v>
      </c>
      <c r="M207" s="16" t="s">
        <v>106</v>
      </c>
      <c r="N207" s="12" t="s">
        <v>149</v>
      </c>
      <c r="O207" s="4" t="s">
        <v>150</v>
      </c>
      <c r="P207" s="4" t="s">
        <v>150</v>
      </c>
    </row>
    <row r="208" customFormat="false" ht="15" hidden="false" customHeight="false" outlineLevel="0" collapsed="false">
      <c r="A208" s="16" t="n">
        <v>205</v>
      </c>
      <c r="B208" s="16" t="s">
        <v>143</v>
      </c>
      <c r="C208" s="16" t="s">
        <v>144</v>
      </c>
      <c r="D208" s="16" t="s">
        <v>505</v>
      </c>
      <c r="E208" s="17" t="n">
        <v>0</v>
      </c>
      <c r="F208" s="17" t="n">
        <v>857764.76</v>
      </c>
      <c r="G208" s="11" t="n">
        <f aca="false">E208-F208</f>
        <v>-857764.76</v>
      </c>
      <c r="H208" s="5" t="n">
        <v>46052</v>
      </c>
      <c r="I208" s="16" t="s">
        <v>506</v>
      </c>
      <c r="J208" s="16" t="s">
        <v>507</v>
      </c>
      <c r="K208" s="16" t="s">
        <v>147</v>
      </c>
      <c r="L208" s="16" t="s">
        <v>508</v>
      </c>
      <c r="M208" s="16" t="s">
        <v>106</v>
      </c>
      <c r="N208" s="12" t="s">
        <v>149</v>
      </c>
      <c r="O208" s="4" t="s">
        <v>150</v>
      </c>
      <c r="P208" s="4" t="s">
        <v>150</v>
      </c>
    </row>
    <row r="209" customFormat="false" ht="15" hidden="false" customHeight="false" outlineLevel="0" collapsed="false">
      <c r="A209" s="16" t="n">
        <v>206</v>
      </c>
      <c r="B209" s="16" t="s">
        <v>143</v>
      </c>
      <c r="C209" s="16" t="s">
        <v>144</v>
      </c>
      <c r="D209" s="16" t="s">
        <v>505</v>
      </c>
      <c r="E209" s="17" t="n">
        <v>857764.76</v>
      </c>
      <c r="F209" s="17" t="n">
        <v>0</v>
      </c>
      <c r="G209" s="11" t="n">
        <f aca="false">E209-F209</f>
        <v>857764.76</v>
      </c>
      <c r="H209" s="5" t="n">
        <v>46072</v>
      </c>
      <c r="I209" s="16" t="s">
        <v>90</v>
      </c>
      <c r="J209" s="16" t="s">
        <v>509</v>
      </c>
      <c r="K209" s="16" t="s">
        <v>147</v>
      </c>
      <c r="L209" s="16" t="s">
        <v>510</v>
      </c>
      <c r="M209" s="16" t="s">
        <v>106</v>
      </c>
      <c r="N209" s="12" t="s">
        <v>149</v>
      </c>
      <c r="O209" s="4" t="s">
        <v>150</v>
      </c>
      <c r="P209" s="4" t="s">
        <v>150</v>
      </c>
    </row>
    <row r="210" customFormat="false" ht="15" hidden="false" customHeight="false" outlineLevel="0" collapsed="false">
      <c r="A210" s="16" t="n">
        <v>207</v>
      </c>
      <c r="B210" s="16" t="s">
        <v>143</v>
      </c>
      <c r="C210" s="16" t="s">
        <v>144</v>
      </c>
      <c r="D210" s="16" t="s">
        <v>511</v>
      </c>
      <c r="E210" s="17" t="n">
        <v>521382.47</v>
      </c>
      <c r="F210" s="17" t="n">
        <v>0</v>
      </c>
      <c r="G210" s="11" t="n">
        <f aca="false">E210-F210</f>
        <v>521382.47</v>
      </c>
      <c r="H210" s="5" t="n">
        <v>46173</v>
      </c>
      <c r="I210" s="16" t="s">
        <v>90</v>
      </c>
      <c r="J210" s="16" t="s">
        <v>174</v>
      </c>
      <c r="K210" s="16" t="s">
        <v>160</v>
      </c>
      <c r="L210" s="16" t="s">
        <v>175</v>
      </c>
      <c r="M210" s="16" t="s">
        <v>176</v>
      </c>
      <c r="N210" s="12" t="s">
        <v>149</v>
      </c>
      <c r="O210" s="4" t="s">
        <v>150</v>
      </c>
      <c r="P210" s="4" t="s">
        <v>150</v>
      </c>
    </row>
    <row r="211" customFormat="false" ht="15" hidden="false" customHeight="false" outlineLevel="0" collapsed="false">
      <c r="A211" s="16" t="n">
        <v>208</v>
      </c>
      <c r="B211" s="16" t="s">
        <v>143</v>
      </c>
      <c r="C211" s="16" t="s">
        <v>144</v>
      </c>
      <c r="D211" s="16" t="s">
        <v>512</v>
      </c>
      <c r="E211" s="17" t="n">
        <v>0</v>
      </c>
      <c r="F211" s="17" t="n">
        <v>290582</v>
      </c>
      <c r="G211" s="11" t="n">
        <f aca="false">E211-F211</f>
        <v>-290582</v>
      </c>
      <c r="H211" s="5" t="n">
        <v>46081</v>
      </c>
      <c r="I211" s="16" t="s">
        <v>513</v>
      </c>
      <c r="J211" s="16" t="s">
        <v>514</v>
      </c>
      <c r="K211" s="16" t="s">
        <v>147</v>
      </c>
      <c r="L211" s="16" t="s">
        <v>515</v>
      </c>
      <c r="M211" s="16" t="s">
        <v>106</v>
      </c>
      <c r="N211" s="12" t="s">
        <v>149</v>
      </c>
      <c r="O211" s="4" t="s">
        <v>150</v>
      </c>
      <c r="P211" s="4" t="s">
        <v>150</v>
      </c>
    </row>
    <row r="212" customFormat="false" ht="15" hidden="false" customHeight="false" outlineLevel="0" collapsed="false">
      <c r="A212" s="16" t="n">
        <v>209</v>
      </c>
      <c r="B212" s="16" t="s">
        <v>143</v>
      </c>
      <c r="C212" s="16" t="s">
        <v>144</v>
      </c>
      <c r="D212" s="16" t="s">
        <v>512</v>
      </c>
      <c r="E212" s="17" t="n">
        <v>290582</v>
      </c>
      <c r="F212" s="17" t="n">
        <v>0</v>
      </c>
      <c r="G212" s="11" t="n">
        <f aca="false">E212-F212</f>
        <v>290582</v>
      </c>
      <c r="H212" s="5" t="n">
        <v>46081</v>
      </c>
      <c r="I212" s="16" t="s">
        <v>90</v>
      </c>
      <c r="J212" s="16" t="s">
        <v>228</v>
      </c>
      <c r="K212" s="16" t="s">
        <v>147</v>
      </c>
      <c r="L212" s="16" t="s">
        <v>229</v>
      </c>
      <c r="M212" s="16" t="s">
        <v>106</v>
      </c>
      <c r="N212" s="12" t="s">
        <v>149</v>
      </c>
      <c r="O212" s="4" t="s">
        <v>150</v>
      </c>
      <c r="P212" s="4" t="s">
        <v>150</v>
      </c>
    </row>
    <row r="213" customFormat="false" ht="15" hidden="false" customHeight="false" outlineLevel="0" collapsed="false">
      <c r="A213" s="16" t="n">
        <v>210</v>
      </c>
      <c r="B213" s="16" t="s">
        <v>143</v>
      </c>
      <c r="C213" s="16" t="s">
        <v>144</v>
      </c>
      <c r="D213" s="16" t="s">
        <v>512</v>
      </c>
      <c r="E213" s="17" t="n">
        <v>0</v>
      </c>
      <c r="F213" s="17" t="n">
        <v>302387</v>
      </c>
      <c r="G213" s="11" t="n">
        <f aca="false">E213-F213</f>
        <v>-302387</v>
      </c>
      <c r="H213" s="5" t="n">
        <v>46234</v>
      </c>
      <c r="I213" s="16" t="s">
        <v>513</v>
      </c>
      <c r="J213" s="16" t="s">
        <v>516</v>
      </c>
      <c r="K213" s="16" t="s">
        <v>147</v>
      </c>
      <c r="L213" s="16" t="s">
        <v>517</v>
      </c>
      <c r="M213" s="16" t="s">
        <v>106</v>
      </c>
      <c r="N213" s="12" t="s">
        <v>149</v>
      </c>
      <c r="O213" s="4" t="s">
        <v>150</v>
      </c>
      <c r="P213" s="4" t="s">
        <v>150</v>
      </c>
    </row>
    <row r="214" customFormat="false" ht="15" hidden="false" customHeight="false" outlineLevel="0" collapsed="false">
      <c r="A214" s="16" t="n">
        <v>211</v>
      </c>
      <c r="B214" s="16" t="s">
        <v>143</v>
      </c>
      <c r="C214" s="16" t="s">
        <v>144</v>
      </c>
      <c r="D214" s="16" t="s">
        <v>512</v>
      </c>
      <c r="E214" s="17" t="n">
        <v>0</v>
      </c>
      <c r="F214" s="17" t="n">
        <v>300089</v>
      </c>
      <c r="G214" s="11" t="n">
        <f aca="false">E214-F214</f>
        <v>-300089</v>
      </c>
      <c r="H214" s="5" t="n">
        <v>46234</v>
      </c>
      <c r="I214" s="16" t="s">
        <v>513</v>
      </c>
      <c r="J214" s="16" t="s">
        <v>518</v>
      </c>
      <c r="K214" s="16" t="s">
        <v>147</v>
      </c>
      <c r="L214" s="16" t="s">
        <v>519</v>
      </c>
      <c r="M214" s="16" t="s">
        <v>106</v>
      </c>
      <c r="N214" s="12" t="s">
        <v>149</v>
      </c>
      <c r="O214" s="4" t="s">
        <v>150</v>
      </c>
      <c r="P214" s="4" t="s">
        <v>150</v>
      </c>
    </row>
    <row r="215" customFormat="false" ht="15" hidden="false" customHeight="false" outlineLevel="0" collapsed="false">
      <c r="A215" s="16" t="n">
        <v>212</v>
      </c>
      <c r="B215" s="16" t="s">
        <v>143</v>
      </c>
      <c r="C215" s="16" t="s">
        <v>144</v>
      </c>
      <c r="D215" s="16" t="s">
        <v>512</v>
      </c>
      <c r="E215" s="17" t="n">
        <v>602476</v>
      </c>
      <c r="F215" s="17" t="n">
        <v>0</v>
      </c>
      <c r="G215" s="11" t="n">
        <f aca="false">E215-F215</f>
        <v>602476</v>
      </c>
      <c r="H215" s="5" t="n">
        <v>46234</v>
      </c>
      <c r="I215" s="16" t="s">
        <v>90</v>
      </c>
      <c r="J215" s="16" t="s">
        <v>245</v>
      </c>
      <c r="K215" s="16" t="s">
        <v>147</v>
      </c>
      <c r="L215" s="16" t="s">
        <v>246</v>
      </c>
      <c r="M215" s="16" t="s">
        <v>106</v>
      </c>
      <c r="N215" s="12" t="s">
        <v>149</v>
      </c>
      <c r="O215" s="4" t="s">
        <v>150</v>
      </c>
      <c r="P215" s="4" t="s">
        <v>150</v>
      </c>
    </row>
    <row r="216" customFormat="false" ht="15" hidden="false" customHeight="false" outlineLevel="0" collapsed="false">
      <c r="A216" s="16" t="n">
        <v>213</v>
      </c>
      <c r="B216" s="16" t="s">
        <v>143</v>
      </c>
      <c r="C216" s="16" t="s">
        <v>144</v>
      </c>
      <c r="D216" s="16" t="s">
        <v>520</v>
      </c>
      <c r="E216" s="17" t="n">
        <v>0</v>
      </c>
      <c r="F216" s="17" t="n">
        <v>258926.3</v>
      </c>
      <c r="G216" s="11" t="n">
        <f aca="false">E216-F216</f>
        <v>-258926.3</v>
      </c>
      <c r="H216" s="5" t="n">
        <v>46102</v>
      </c>
      <c r="I216" s="16" t="s">
        <v>521</v>
      </c>
      <c r="J216" s="16" t="s">
        <v>522</v>
      </c>
      <c r="K216" s="16" t="s">
        <v>147</v>
      </c>
      <c r="L216" s="16" t="s">
        <v>523</v>
      </c>
      <c r="M216" s="16" t="s">
        <v>106</v>
      </c>
      <c r="N216" s="12" t="s">
        <v>149</v>
      </c>
      <c r="O216" s="4" t="s">
        <v>150</v>
      </c>
      <c r="P216" s="4" t="s">
        <v>150</v>
      </c>
    </row>
    <row r="217" customFormat="false" ht="15" hidden="false" customHeight="false" outlineLevel="0" collapsed="false">
      <c r="A217" s="16" t="n">
        <v>214</v>
      </c>
      <c r="B217" s="16" t="s">
        <v>143</v>
      </c>
      <c r="C217" s="16" t="s">
        <v>144</v>
      </c>
      <c r="D217" s="16" t="s">
        <v>520</v>
      </c>
      <c r="E217" s="17" t="n">
        <v>258926.3</v>
      </c>
      <c r="F217" s="17" t="n">
        <v>0</v>
      </c>
      <c r="G217" s="11" t="n">
        <f aca="false">E217-F217</f>
        <v>258926.3</v>
      </c>
      <c r="H217" s="5" t="n">
        <v>46134</v>
      </c>
      <c r="I217" s="16" t="s">
        <v>90</v>
      </c>
      <c r="J217" s="16" t="s">
        <v>524</v>
      </c>
      <c r="K217" s="16" t="s">
        <v>147</v>
      </c>
      <c r="L217" s="16" t="s">
        <v>525</v>
      </c>
      <c r="M217" s="16" t="s">
        <v>106</v>
      </c>
      <c r="N217" s="12" t="s">
        <v>149</v>
      </c>
      <c r="O217" s="4" t="s">
        <v>150</v>
      </c>
      <c r="P217" s="4" t="s">
        <v>150</v>
      </c>
    </row>
    <row r="218" customFormat="false" ht="15" hidden="false" customHeight="false" outlineLevel="0" collapsed="false">
      <c r="A218" s="16" t="n">
        <v>215</v>
      </c>
      <c r="B218" s="16" t="s">
        <v>143</v>
      </c>
      <c r="C218" s="16" t="s">
        <v>144</v>
      </c>
      <c r="D218" s="16" t="s">
        <v>526</v>
      </c>
      <c r="E218" s="17" t="n">
        <v>2480005.22</v>
      </c>
      <c r="F218" s="17" t="n">
        <v>0</v>
      </c>
      <c r="G218" s="11" t="n">
        <f aca="false">E218-F218</f>
        <v>2480005.22</v>
      </c>
      <c r="H218" s="5" t="n">
        <v>46173</v>
      </c>
      <c r="I218" s="16" t="s">
        <v>90</v>
      </c>
      <c r="J218" s="16" t="s">
        <v>174</v>
      </c>
      <c r="K218" s="16" t="s">
        <v>160</v>
      </c>
      <c r="L218" s="16" t="s">
        <v>175</v>
      </c>
      <c r="M218" s="16" t="s">
        <v>176</v>
      </c>
      <c r="N218" s="12" t="s">
        <v>149</v>
      </c>
      <c r="O218" s="4" t="s">
        <v>150</v>
      </c>
      <c r="P218" s="4" t="s">
        <v>150</v>
      </c>
    </row>
    <row r="219" customFormat="false" ht="15" hidden="false" customHeight="false" outlineLevel="0" collapsed="false">
      <c r="A219" s="16" t="n">
        <v>216</v>
      </c>
      <c r="B219" s="16" t="s">
        <v>143</v>
      </c>
      <c r="C219" s="16" t="s">
        <v>144</v>
      </c>
      <c r="D219" s="16" t="s">
        <v>527</v>
      </c>
      <c r="E219" s="17" t="n">
        <v>0</v>
      </c>
      <c r="F219" s="17" t="n">
        <v>485899</v>
      </c>
      <c r="G219" s="11" t="n">
        <f aca="false">E219-F219</f>
        <v>-485899</v>
      </c>
      <c r="H219" s="5" t="n">
        <v>46111</v>
      </c>
      <c r="I219" s="16" t="s">
        <v>528</v>
      </c>
      <c r="J219" s="16" t="s">
        <v>529</v>
      </c>
      <c r="K219" s="16" t="s">
        <v>147</v>
      </c>
      <c r="L219" s="16" t="s">
        <v>530</v>
      </c>
      <c r="M219" s="16" t="s">
        <v>106</v>
      </c>
      <c r="N219" s="12" t="s">
        <v>149</v>
      </c>
      <c r="O219" s="4" t="s">
        <v>150</v>
      </c>
      <c r="P219" s="4" t="s">
        <v>150</v>
      </c>
    </row>
    <row r="220" customFormat="false" ht="15" hidden="false" customHeight="false" outlineLevel="0" collapsed="false">
      <c r="A220" s="16" t="n">
        <v>217</v>
      </c>
      <c r="B220" s="16" t="s">
        <v>143</v>
      </c>
      <c r="C220" s="16" t="s">
        <v>144</v>
      </c>
      <c r="D220" s="16" t="s">
        <v>527</v>
      </c>
      <c r="E220" s="17" t="n">
        <v>485899</v>
      </c>
      <c r="F220" s="17" t="n">
        <v>0</v>
      </c>
      <c r="G220" s="11" t="n">
        <f aca="false">E220-F220</f>
        <v>485899</v>
      </c>
      <c r="H220" s="5" t="n">
        <v>46163</v>
      </c>
      <c r="I220" s="16" t="s">
        <v>90</v>
      </c>
      <c r="J220" s="16" t="s">
        <v>155</v>
      </c>
      <c r="K220" s="16" t="s">
        <v>147</v>
      </c>
      <c r="L220" s="16" t="s">
        <v>156</v>
      </c>
      <c r="M220" s="16" t="s">
        <v>106</v>
      </c>
      <c r="N220" s="12" t="s">
        <v>149</v>
      </c>
      <c r="O220" s="4" t="s">
        <v>150</v>
      </c>
      <c r="P220" s="4" t="s">
        <v>150</v>
      </c>
    </row>
    <row r="221" customFormat="false" ht="15" hidden="false" customHeight="false" outlineLevel="0" collapsed="false">
      <c r="A221" s="16" t="n">
        <v>218</v>
      </c>
      <c r="B221" s="16" t="s">
        <v>143</v>
      </c>
      <c r="C221" s="16" t="s">
        <v>144</v>
      </c>
      <c r="D221" s="16" t="s">
        <v>531</v>
      </c>
      <c r="E221" s="17" t="n">
        <v>1046849.43</v>
      </c>
      <c r="F221" s="17" t="n">
        <v>0</v>
      </c>
      <c r="G221" s="11" t="n">
        <f aca="false">E221-F221</f>
        <v>1046849.43</v>
      </c>
      <c r="H221" s="5" t="n">
        <v>46052</v>
      </c>
      <c r="I221" s="16" t="s">
        <v>90</v>
      </c>
      <c r="J221" s="16" t="s">
        <v>192</v>
      </c>
      <c r="K221" s="16" t="s">
        <v>147</v>
      </c>
      <c r="L221" s="16" t="s">
        <v>193</v>
      </c>
      <c r="M221" s="16" t="s">
        <v>106</v>
      </c>
      <c r="N221" s="12" t="s">
        <v>149</v>
      </c>
      <c r="O221" s="4" t="s">
        <v>150</v>
      </c>
      <c r="P221" s="4" t="s">
        <v>150</v>
      </c>
    </row>
    <row r="222" customFormat="false" ht="15" hidden="false" customHeight="false" outlineLevel="0" collapsed="false">
      <c r="A222" s="16" t="n">
        <v>219</v>
      </c>
      <c r="B222" s="16" t="s">
        <v>143</v>
      </c>
      <c r="C222" s="16" t="s">
        <v>144</v>
      </c>
      <c r="D222" s="16" t="s">
        <v>532</v>
      </c>
      <c r="E222" s="17" t="n">
        <v>290912.57</v>
      </c>
      <c r="F222" s="17" t="n">
        <v>0</v>
      </c>
      <c r="G222" s="11" t="n">
        <f aca="false">E222-F222</f>
        <v>290912.57</v>
      </c>
      <c r="H222" s="5" t="n">
        <v>46173</v>
      </c>
      <c r="I222" s="16" t="s">
        <v>90</v>
      </c>
      <c r="J222" s="16" t="s">
        <v>174</v>
      </c>
      <c r="K222" s="16" t="s">
        <v>160</v>
      </c>
      <c r="L222" s="16" t="s">
        <v>175</v>
      </c>
      <c r="M222" s="16" t="s">
        <v>176</v>
      </c>
      <c r="N222" s="12" t="s">
        <v>149</v>
      </c>
      <c r="O222" s="4" t="s">
        <v>150</v>
      </c>
      <c r="P222" s="4" t="s">
        <v>150</v>
      </c>
    </row>
    <row r="223" customFormat="false" ht="15" hidden="false" customHeight="false" outlineLevel="0" collapsed="false">
      <c r="A223" s="16" t="n">
        <v>220</v>
      </c>
      <c r="B223" s="16" t="s">
        <v>143</v>
      </c>
      <c r="C223" s="16" t="s">
        <v>144</v>
      </c>
      <c r="D223" s="16" t="s">
        <v>533</v>
      </c>
      <c r="E223" s="17" t="n">
        <v>0</v>
      </c>
      <c r="F223" s="17" t="n">
        <v>164500</v>
      </c>
      <c r="G223" s="11" t="n">
        <f aca="false">E223-F223</f>
        <v>-164500</v>
      </c>
      <c r="H223" s="5" t="n">
        <v>46053</v>
      </c>
      <c r="I223" s="16" t="s">
        <v>534</v>
      </c>
      <c r="J223" s="16" t="s">
        <v>535</v>
      </c>
      <c r="K223" s="16" t="s">
        <v>147</v>
      </c>
      <c r="L223" s="16" t="s">
        <v>536</v>
      </c>
      <c r="M223" s="16" t="s">
        <v>106</v>
      </c>
      <c r="N223" s="12" t="s">
        <v>149</v>
      </c>
      <c r="O223" s="4" t="s">
        <v>150</v>
      </c>
      <c r="P223" s="4" t="s">
        <v>150</v>
      </c>
    </row>
    <row r="224" customFormat="false" ht="15" hidden="false" customHeight="false" outlineLevel="0" collapsed="false">
      <c r="A224" s="16" t="n">
        <v>221</v>
      </c>
      <c r="B224" s="16" t="s">
        <v>143</v>
      </c>
      <c r="C224" s="16" t="s">
        <v>144</v>
      </c>
      <c r="D224" s="16" t="s">
        <v>533</v>
      </c>
      <c r="E224" s="17" t="n">
        <v>164500</v>
      </c>
      <c r="F224" s="17" t="n">
        <v>0</v>
      </c>
      <c r="G224" s="11" t="n">
        <f aca="false">E224-F224</f>
        <v>164500</v>
      </c>
      <c r="H224" s="5" t="n">
        <v>46053</v>
      </c>
      <c r="I224" s="16" t="s">
        <v>90</v>
      </c>
      <c r="J224" s="16" t="s">
        <v>402</v>
      </c>
      <c r="K224" s="16" t="s">
        <v>147</v>
      </c>
      <c r="L224" s="16" t="s">
        <v>403</v>
      </c>
      <c r="M224" s="16" t="s">
        <v>106</v>
      </c>
      <c r="N224" s="12" t="s">
        <v>149</v>
      </c>
      <c r="O224" s="4" t="s">
        <v>150</v>
      </c>
      <c r="P224" s="4" t="s">
        <v>150</v>
      </c>
    </row>
    <row r="225" customFormat="false" ht="15" hidden="false" customHeight="false" outlineLevel="0" collapsed="false">
      <c r="A225" s="16" t="n">
        <v>222</v>
      </c>
      <c r="B225" s="16" t="s">
        <v>143</v>
      </c>
      <c r="C225" s="16" t="s">
        <v>144</v>
      </c>
      <c r="D225" s="16" t="s">
        <v>533</v>
      </c>
      <c r="E225" s="17" t="n">
        <v>0</v>
      </c>
      <c r="F225" s="17" t="n">
        <v>459900</v>
      </c>
      <c r="G225" s="11" t="n">
        <f aca="false">E225-F225</f>
        <v>-459900</v>
      </c>
      <c r="H225" s="5" t="n">
        <v>46233</v>
      </c>
      <c r="I225" s="16" t="s">
        <v>537</v>
      </c>
      <c r="J225" s="16" t="s">
        <v>538</v>
      </c>
      <c r="K225" s="16" t="s">
        <v>539</v>
      </c>
      <c r="L225" s="16" t="s">
        <v>540</v>
      </c>
      <c r="M225" s="16" t="s">
        <v>85</v>
      </c>
      <c r="N225" s="12" t="s">
        <v>149</v>
      </c>
      <c r="O225" s="4" t="s">
        <v>150</v>
      </c>
      <c r="P225" s="4" t="s">
        <v>150</v>
      </c>
    </row>
    <row r="226" customFormat="false" ht="15" hidden="false" customHeight="false" outlineLevel="0" collapsed="false">
      <c r="A226" s="16" t="n">
        <v>223</v>
      </c>
      <c r="B226" s="16" t="s">
        <v>143</v>
      </c>
      <c r="C226" s="16" t="s">
        <v>144</v>
      </c>
      <c r="D226" s="16" t="s">
        <v>541</v>
      </c>
      <c r="E226" s="17" t="n">
        <v>77286</v>
      </c>
      <c r="F226" s="17" t="n">
        <v>77286</v>
      </c>
      <c r="G226" s="11" t="n">
        <f aca="false">E226-F226</f>
        <v>0</v>
      </c>
      <c r="H226" s="5" t="n">
        <v>46198</v>
      </c>
      <c r="I226" s="16" t="s">
        <v>90</v>
      </c>
      <c r="J226" s="16" t="s">
        <v>146</v>
      </c>
      <c r="K226" s="16" t="s">
        <v>147</v>
      </c>
      <c r="L226" s="16" t="s">
        <v>148</v>
      </c>
      <c r="M226" s="16" t="s">
        <v>106</v>
      </c>
      <c r="N226" s="12" t="s">
        <v>149</v>
      </c>
      <c r="O226" s="4" t="s">
        <v>150</v>
      </c>
      <c r="P226" s="4" t="s">
        <v>150</v>
      </c>
    </row>
    <row r="227" customFormat="false" ht="15" hidden="false" customHeight="false" outlineLevel="0" collapsed="false">
      <c r="A227" s="16" t="n">
        <v>224</v>
      </c>
      <c r="B227" s="16" t="s">
        <v>143</v>
      </c>
      <c r="C227" s="16" t="s">
        <v>144</v>
      </c>
      <c r="D227" s="16" t="s">
        <v>542</v>
      </c>
      <c r="E227" s="17" t="n">
        <v>933400</v>
      </c>
      <c r="F227" s="17" t="n">
        <v>0</v>
      </c>
      <c r="G227" s="11" t="n">
        <f aca="false">E227-F227</f>
        <v>933400</v>
      </c>
      <c r="H227" s="5" t="n">
        <v>46173</v>
      </c>
      <c r="I227" s="16" t="s">
        <v>90</v>
      </c>
      <c r="J227" s="16" t="s">
        <v>174</v>
      </c>
      <c r="K227" s="16" t="s">
        <v>160</v>
      </c>
      <c r="L227" s="16" t="s">
        <v>175</v>
      </c>
      <c r="M227" s="16" t="s">
        <v>176</v>
      </c>
      <c r="N227" s="12" t="s">
        <v>149</v>
      </c>
      <c r="O227" s="4" t="s">
        <v>150</v>
      </c>
      <c r="P227" s="4" t="s">
        <v>150</v>
      </c>
    </row>
    <row r="228" customFormat="false" ht="15" hidden="false" customHeight="false" outlineLevel="0" collapsed="false">
      <c r="A228" s="16" t="n">
        <v>225</v>
      </c>
      <c r="B228" s="16" t="s">
        <v>543</v>
      </c>
      <c r="C228" s="16" t="s">
        <v>544</v>
      </c>
      <c r="D228" s="16" t="s">
        <v>138</v>
      </c>
      <c r="E228" s="17" t="n">
        <v>0</v>
      </c>
      <c r="F228" s="17" t="n">
        <v>572363196</v>
      </c>
      <c r="G228" s="11" t="n">
        <f aca="false">E228-F228</f>
        <v>-572363196</v>
      </c>
      <c r="H228" s="5" t="n">
        <v>46231</v>
      </c>
      <c r="I228" s="16" t="s">
        <v>139</v>
      </c>
      <c r="J228" s="16" t="s">
        <v>545</v>
      </c>
      <c r="K228" s="16" t="s">
        <v>92</v>
      </c>
      <c r="L228" s="16" t="s">
        <v>546</v>
      </c>
      <c r="M228" s="16" t="s">
        <v>85</v>
      </c>
      <c r="N228" s="12" t="s">
        <v>547</v>
      </c>
      <c r="O228" s="4" t="s">
        <v>548</v>
      </c>
      <c r="P228" s="4" t="s">
        <v>98</v>
      </c>
    </row>
    <row r="229" customFormat="false" ht="15" hidden="false" customHeight="false" outlineLevel="0" collapsed="false">
      <c r="A229" s="16" t="n">
        <v>226</v>
      </c>
      <c r="B229" s="16" t="s">
        <v>543</v>
      </c>
      <c r="C229" s="16" t="s">
        <v>544</v>
      </c>
      <c r="D229" s="16" t="s">
        <v>549</v>
      </c>
      <c r="E229" s="17" t="n">
        <v>4068134</v>
      </c>
      <c r="F229" s="17" t="n">
        <v>0</v>
      </c>
      <c r="G229" s="11" t="n">
        <f aca="false">E229-F229</f>
        <v>4068134</v>
      </c>
      <c r="H229" s="5" t="n">
        <v>46172</v>
      </c>
      <c r="I229" s="16" t="s">
        <v>210</v>
      </c>
      <c r="J229" s="16" t="s">
        <v>550</v>
      </c>
      <c r="K229" s="16" t="s">
        <v>551</v>
      </c>
      <c r="L229" s="16" t="s">
        <v>552</v>
      </c>
      <c r="M229" s="16" t="s">
        <v>106</v>
      </c>
      <c r="N229" s="12" t="s">
        <v>553</v>
      </c>
      <c r="O229" s="4" t="s">
        <v>548</v>
      </c>
      <c r="P229" s="4" t="s">
        <v>554</v>
      </c>
    </row>
    <row r="230" customFormat="false" ht="15" hidden="false" customHeight="false" outlineLevel="0" collapsed="false">
      <c r="A230" s="16" t="n">
        <v>227</v>
      </c>
      <c r="B230" s="16" t="s">
        <v>543</v>
      </c>
      <c r="C230" s="16" t="s">
        <v>544</v>
      </c>
      <c r="D230" s="16" t="s">
        <v>549</v>
      </c>
      <c r="E230" s="17" t="n">
        <v>0</v>
      </c>
      <c r="F230" s="17" t="n">
        <v>4068134</v>
      </c>
      <c r="G230" s="11" t="n">
        <f aca="false">E230-F230</f>
        <v>-4068134</v>
      </c>
      <c r="H230" s="5" t="n">
        <v>46172</v>
      </c>
      <c r="I230" s="16" t="s">
        <v>555</v>
      </c>
      <c r="J230" s="16" t="s">
        <v>556</v>
      </c>
      <c r="K230" s="16" t="s">
        <v>147</v>
      </c>
      <c r="L230" s="16" t="s">
        <v>557</v>
      </c>
      <c r="M230" s="16" t="s">
        <v>106</v>
      </c>
      <c r="N230" s="12" t="s">
        <v>553</v>
      </c>
      <c r="O230" s="4" t="s">
        <v>548</v>
      </c>
      <c r="P230" s="4" t="s">
        <v>554</v>
      </c>
    </row>
    <row r="231" customFormat="false" ht="15" hidden="false" customHeight="false" outlineLevel="0" collapsed="false">
      <c r="A231" s="16" t="n">
        <v>228</v>
      </c>
      <c r="B231" s="16" t="s">
        <v>543</v>
      </c>
      <c r="C231" s="16" t="s">
        <v>544</v>
      </c>
      <c r="D231" s="16" t="s">
        <v>549</v>
      </c>
      <c r="E231" s="17" t="n">
        <v>0</v>
      </c>
      <c r="F231" s="17" t="n">
        <v>31360500</v>
      </c>
      <c r="G231" s="11" t="n">
        <f aca="false">E231-F231</f>
        <v>-31360500</v>
      </c>
      <c r="H231" s="5" t="n">
        <v>46234</v>
      </c>
      <c r="I231" s="16" t="s">
        <v>555</v>
      </c>
      <c r="J231" s="16" t="s">
        <v>558</v>
      </c>
      <c r="K231" s="16" t="s">
        <v>147</v>
      </c>
      <c r="L231" s="16" t="s">
        <v>559</v>
      </c>
      <c r="M231" s="16" t="s">
        <v>106</v>
      </c>
      <c r="N231" s="12" t="s">
        <v>553</v>
      </c>
      <c r="O231" s="4" t="s">
        <v>548</v>
      </c>
      <c r="P231" s="4" t="s">
        <v>554</v>
      </c>
    </row>
    <row r="232" customFormat="false" ht="15" hidden="false" customHeight="false" outlineLevel="0" collapsed="false">
      <c r="A232" s="16" t="n">
        <v>229</v>
      </c>
      <c r="B232" s="16" t="s">
        <v>543</v>
      </c>
      <c r="C232" s="16" t="s">
        <v>544</v>
      </c>
      <c r="D232" s="16" t="s">
        <v>549</v>
      </c>
      <c r="E232" s="17" t="n">
        <v>31360500</v>
      </c>
      <c r="F232" s="17" t="n">
        <v>0</v>
      </c>
      <c r="G232" s="11" t="n">
        <f aca="false">E232-F232</f>
        <v>31360500</v>
      </c>
      <c r="H232" s="5" t="n">
        <v>46234</v>
      </c>
      <c r="I232" s="16" t="s">
        <v>555</v>
      </c>
      <c r="J232" s="16" t="s">
        <v>560</v>
      </c>
      <c r="K232" s="16" t="s">
        <v>160</v>
      </c>
      <c r="L232" s="16" t="s">
        <v>561</v>
      </c>
      <c r="M232" s="16" t="s">
        <v>106</v>
      </c>
      <c r="N232" s="12" t="s">
        <v>553</v>
      </c>
      <c r="O232" s="4" t="s">
        <v>548</v>
      </c>
      <c r="P232" s="4" t="s">
        <v>554</v>
      </c>
    </row>
    <row r="233" customFormat="false" ht="15" hidden="false" customHeight="false" outlineLevel="0" collapsed="false">
      <c r="A233" s="16" t="n">
        <v>230</v>
      </c>
      <c r="B233" s="16" t="s">
        <v>562</v>
      </c>
      <c r="C233" s="16" t="s">
        <v>563</v>
      </c>
      <c r="D233" s="16" t="s">
        <v>89</v>
      </c>
      <c r="E233" s="17" t="n">
        <v>8322590</v>
      </c>
      <c r="F233" s="17" t="n">
        <v>0</v>
      </c>
      <c r="G233" s="11" t="n">
        <f aca="false">E233-F233</f>
        <v>8322590</v>
      </c>
      <c r="H233" s="5" t="n">
        <v>46050</v>
      </c>
      <c r="I233" s="16" t="s">
        <v>564</v>
      </c>
      <c r="J233" s="16" t="s">
        <v>565</v>
      </c>
      <c r="K233" s="16" t="s">
        <v>104</v>
      </c>
      <c r="L233" s="16" t="s">
        <v>566</v>
      </c>
      <c r="M233" s="16" t="s">
        <v>106</v>
      </c>
      <c r="N233" s="12" t="s">
        <v>567</v>
      </c>
      <c r="O233" s="4" t="s">
        <v>568</v>
      </c>
      <c r="P233" s="4" t="s">
        <v>95</v>
      </c>
    </row>
    <row r="234" customFormat="false" ht="15" hidden="false" customHeight="false" outlineLevel="0" collapsed="false">
      <c r="A234" s="16" t="n">
        <v>231</v>
      </c>
      <c r="B234" s="16" t="s">
        <v>562</v>
      </c>
      <c r="C234" s="16" t="s">
        <v>563</v>
      </c>
      <c r="D234" s="16" t="s">
        <v>89</v>
      </c>
      <c r="E234" s="17" t="n">
        <v>11155627</v>
      </c>
      <c r="F234" s="17" t="n">
        <v>0</v>
      </c>
      <c r="G234" s="11" t="n">
        <f aca="false">E234-F234</f>
        <v>11155627</v>
      </c>
      <c r="H234" s="5" t="n">
        <v>46050</v>
      </c>
      <c r="I234" s="16" t="s">
        <v>564</v>
      </c>
      <c r="J234" s="16" t="s">
        <v>569</v>
      </c>
      <c r="K234" s="16" t="s">
        <v>104</v>
      </c>
      <c r="L234" s="16" t="s">
        <v>570</v>
      </c>
      <c r="M234" s="16" t="s">
        <v>106</v>
      </c>
      <c r="N234" s="12" t="s">
        <v>571</v>
      </c>
      <c r="O234" s="4" t="s">
        <v>568</v>
      </c>
      <c r="P234" s="4" t="s">
        <v>95</v>
      </c>
    </row>
    <row r="235" customFormat="false" ht="15" hidden="false" customHeight="false" outlineLevel="0" collapsed="false">
      <c r="A235" s="16" t="n">
        <v>232</v>
      </c>
      <c r="B235" s="16" t="s">
        <v>562</v>
      </c>
      <c r="C235" s="16" t="s">
        <v>563</v>
      </c>
      <c r="D235" s="16" t="s">
        <v>89</v>
      </c>
      <c r="E235" s="17" t="n">
        <v>11524297</v>
      </c>
      <c r="F235" s="17" t="n">
        <v>0</v>
      </c>
      <c r="G235" s="11" t="n">
        <f aca="false">E235-F235</f>
        <v>11524297</v>
      </c>
      <c r="H235" s="5" t="n">
        <v>46071</v>
      </c>
      <c r="I235" s="16" t="s">
        <v>564</v>
      </c>
      <c r="J235" s="16" t="s">
        <v>572</v>
      </c>
      <c r="K235" s="16" t="s">
        <v>104</v>
      </c>
      <c r="L235" s="16" t="s">
        <v>573</v>
      </c>
      <c r="M235" s="16" t="s">
        <v>106</v>
      </c>
      <c r="N235" s="12" t="s">
        <v>571</v>
      </c>
      <c r="O235" s="4" t="s">
        <v>568</v>
      </c>
      <c r="P235" s="4" t="s">
        <v>95</v>
      </c>
    </row>
    <row r="236" customFormat="false" ht="15" hidden="false" customHeight="false" outlineLevel="0" collapsed="false">
      <c r="A236" s="16" t="n">
        <v>233</v>
      </c>
      <c r="B236" s="16" t="s">
        <v>562</v>
      </c>
      <c r="C236" s="16" t="s">
        <v>563</v>
      </c>
      <c r="D236" s="16" t="s">
        <v>89</v>
      </c>
      <c r="E236" s="17" t="n">
        <v>8261283</v>
      </c>
      <c r="F236" s="17" t="n">
        <v>0</v>
      </c>
      <c r="G236" s="11" t="n">
        <f aca="false">E236-F236</f>
        <v>8261283</v>
      </c>
      <c r="H236" s="5" t="n">
        <v>46071</v>
      </c>
      <c r="I236" s="16" t="s">
        <v>564</v>
      </c>
      <c r="J236" s="16" t="s">
        <v>574</v>
      </c>
      <c r="K236" s="16" t="s">
        <v>104</v>
      </c>
      <c r="L236" s="16" t="s">
        <v>575</v>
      </c>
      <c r="M236" s="16" t="s">
        <v>106</v>
      </c>
      <c r="N236" s="12" t="s">
        <v>567</v>
      </c>
      <c r="O236" s="4" t="s">
        <v>568</v>
      </c>
      <c r="P236" s="4" t="s">
        <v>95</v>
      </c>
    </row>
    <row r="237" customFormat="false" ht="15" hidden="false" customHeight="false" outlineLevel="0" collapsed="false">
      <c r="A237" s="16" t="n">
        <v>234</v>
      </c>
      <c r="B237" s="16" t="s">
        <v>562</v>
      </c>
      <c r="C237" s="16" t="s">
        <v>563</v>
      </c>
      <c r="D237" s="16" t="s">
        <v>89</v>
      </c>
      <c r="E237" s="17" t="n">
        <v>8547937</v>
      </c>
      <c r="F237" s="17" t="n">
        <v>0</v>
      </c>
      <c r="G237" s="11" t="n">
        <f aca="false">E237-F237</f>
        <v>8547937</v>
      </c>
      <c r="H237" s="5" t="n">
        <v>46095</v>
      </c>
      <c r="I237" s="16" t="s">
        <v>564</v>
      </c>
      <c r="J237" s="16" t="s">
        <v>576</v>
      </c>
      <c r="K237" s="16" t="s">
        <v>104</v>
      </c>
      <c r="L237" s="16" t="s">
        <v>577</v>
      </c>
      <c r="M237" s="16" t="s">
        <v>106</v>
      </c>
      <c r="N237" s="12" t="s">
        <v>567</v>
      </c>
      <c r="O237" s="4" t="s">
        <v>568</v>
      </c>
      <c r="P237" s="4" t="s">
        <v>95</v>
      </c>
    </row>
    <row r="238" customFormat="false" ht="15" hidden="false" customHeight="false" outlineLevel="0" collapsed="false">
      <c r="A238" s="16" t="n">
        <v>235</v>
      </c>
      <c r="B238" s="16" t="s">
        <v>562</v>
      </c>
      <c r="C238" s="16" t="s">
        <v>563</v>
      </c>
      <c r="D238" s="16" t="s">
        <v>89</v>
      </c>
      <c r="E238" s="17" t="n">
        <v>11474507</v>
      </c>
      <c r="F238" s="17" t="n">
        <v>0</v>
      </c>
      <c r="G238" s="11" t="n">
        <f aca="false">E238-F238</f>
        <v>11474507</v>
      </c>
      <c r="H238" s="5" t="n">
        <v>46095</v>
      </c>
      <c r="I238" s="16" t="s">
        <v>564</v>
      </c>
      <c r="J238" s="16" t="s">
        <v>578</v>
      </c>
      <c r="K238" s="16" t="s">
        <v>104</v>
      </c>
      <c r="L238" s="16" t="s">
        <v>579</v>
      </c>
      <c r="M238" s="16" t="s">
        <v>106</v>
      </c>
      <c r="N238" s="12" t="s">
        <v>571</v>
      </c>
      <c r="O238" s="4" t="s">
        <v>568</v>
      </c>
      <c r="P238" s="4" t="s">
        <v>95</v>
      </c>
    </row>
    <row r="239" customFormat="false" ht="15" hidden="false" customHeight="false" outlineLevel="0" collapsed="false">
      <c r="A239" s="16" t="n">
        <v>236</v>
      </c>
      <c r="B239" s="16" t="s">
        <v>562</v>
      </c>
      <c r="C239" s="16" t="s">
        <v>563</v>
      </c>
      <c r="D239" s="16" t="s">
        <v>89</v>
      </c>
      <c r="E239" s="17" t="n">
        <v>11635838</v>
      </c>
      <c r="F239" s="17" t="n">
        <v>0</v>
      </c>
      <c r="G239" s="11" t="n">
        <f aca="false">E239-F239</f>
        <v>11635838</v>
      </c>
      <c r="H239" s="5" t="n">
        <v>46136</v>
      </c>
      <c r="I239" s="16" t="s">
        <v>564</v>
      </c>
      <c r="J239" s="16" t="s">
        <v>580</v>
      </c>
      <c r="K239" s="16" t="s">
        <v>104</v>
      </c>
      <c r="L239" s="16" t="s">
        <v>581</v>
      </c>
      <c r="M239" s="16" t="s">
        <v>106</v>
      </c>
      <c r="N239" s="12" t="s">
        <v>571</v>
      </c>
      <c r="O239" s="4" t="s">
        <v>568</v>
      </c>
      <c r="P239" s="4" t="s">
        <v>95</v>
      </c>
    </row>
    <row r="240" customFormat="false" ht="15" hidden="false" customHeight="false" outlineLevel="0" collapsed="false">
      <c r="A240" s="16" t="n">
        <v>237</v>
      </c>
      <c r="B240" s="16" t="s">
        <v>562</v>
      </c>
      <c r="C240" s="16" t="s">
        <v>563</v>
      </c>
      <c r="D240" s="16" t="s">
        <v>89</v>
      </c>
      <c r="E240" s="17" t="n">
        <v>8830873</v>
      </c>
      <c r="F240" s="17" t="n">
        <v>0</v>
      </c>
      <c r="G240" s="11" t="n">
        <f aca="false">E240-F240</f>
        <v>8830873</v>
      </c>
      <c r="H240" s="5" t="n">
        <v>46136</v>
      </c>
      <c r="I240" s="16" t="s">
        <v>564</v>
      </c>
      <c r="J240" s="16" t="s">
        <v>582</v>
      </c>
      <c r="K240" s="16" t="s">
        <v>104</v>
      </c>
      <c r="L240" s="16" t="s">
        <v>583</v>
      </c>
      <c r="M240" s="16" t="s">
        <v>106</v>
      </c>
      <c r="N240" s="12" t="s">
        <v>567</v>
      </c>
      <c r="O240" s="4" t="s">
        <v>568</v>
      </c>
      <c r="P240" s="4" t="s">
        <v>95</v>
      </c>
    </row>
    <row r="241" customFormat="false" ht="15" hidden="false" customHeight="false" outlineLevel="0" collapsed="false">
      <c r="A241" s="16" t="n">
        <v>238</v>
      </c>
      <c r="B241" s="16" t="s">
        <v>562</v>
      </c>
      <c r="C241" s="16" t="s">
        <v>563</v>
      </c>
      <c r="D241" s="16" t="s">
        <v>89</v>
      </c>
      <c r="E241" s="17" t="n">
        <v>8621303</v>
      </c>
      <c r="F241" s="17" t="n">
        <v>0</v>
      </c>
      <c r="G241" s="11" t="n">
        <f aca="false">E241-F241</f>
        <v>8621303</v>
      </c>
      <c r="H241" s="5" t="n">
        <v>46164</v>
      </c>
      <c r="I241" s="16" t="s">
        <v>564</v>
      </c>
      <c r="J241" s="16" t="s">
        <v>584</v>
      </c>
      <c r="K241" s="16" t="s">
        <v>104</v>
      </c>
      <c r="L241" s="16" t="s">
        <v>585</v>
      </c>
      <c r="M241" s="16" t="s">
        <v>106</v>
      </c>
      <c r="N241" s="12" t="s">
        <v>567</v>
      </c>
      <c r="O241" s="4" t="s">
        <v>568</v>
      </c>
      <c r="P241" s="4" t="s">
        <v>95</v>
      </c>
    </row>
    <row r="242" customFormat="false" ht="15" hidden="false" customHeight="false" outlineLevel="0" collapsed="false">
      <c r="A242" s="16" t="n">
        <v>239</v>
      </c>
      <c r="B242" s="16" t="s">
        <v>562</v>
      </c>
      <c r="C242" s="16" t="s">
        <v>563</v>
      </c>
      <c r="D242" s="16" t="s">
        <v>89</v>
      </c>
      <c r="E242" s="17" t="n">
        <v>12392508</v>
      </c>
      <c r="F242" s="17" t="n">
        <v>0</v>
      </c>
      <c r="G242" s="11" t="n">
        <f aca="false">E242-F242</f>
        <v>12392508</v>
      </c>
      <c r="H242" s="5" t="n">
        <v>46164</v>
      </c>
      <c r="I242" s="16" t="s">
        <v>564</v>
      </c>
      <c r="J242" s="16" t="s">
        <v>586</v>
      </c>
      <c r="K242" s="16" t="s">
        <v>104</v>
      </c>
      <c r="L242" s="16" t="s">
        <v>587</v>
      </c>
      <c r="M242" s="16" t="s">
        <v>106</v>
      </c>
      <c r="N242" s="12" t="s">
        <v>571</v>
      </c>
      <c r="O242" s="4" t="s">
        <v>568</v>
      </c>
      <c r="P242" s="4" t="s">
        <v>95</v>
      </c>
    </row>
    <row r="243" customFormat="false" ht="15" hidden="false" customHeight="false" outlineLevel="0" collapsed="false">
      <c r="A243" s="16" t="n">
        <v>240</v>
      </c>
      <c r="B243" s="16" t="s">
        <v>562</v>
      </c>
      <c r="C243" s="16" t="s">
        <v>563</v>
      </c>
      <c r="D243" s="16" t="s">
        <v>89</v>
      </c>
      <c r="E243" s="17" t="n">
        <v>8901235</v>
      </c>
      <c r="F243" s="17" t="n">
        <v>0</v>
      </c>
      <c r="G243" s="11" t="n">
        <f aca="false">E243-F243</f>
        <v>8901235</v>
      </c>
      <c r="H243" s="5" t="n">
        <v>46203</v>
      </c>
      <c r="I243" s="16" t="s">
        <v>564</v>
      </c>
      <c r="J243" s="16" t="s">
        <v>588</v>
      </c>
      <c r="K243" s="16" t="s">
        <v>104</v>
      </c>
      <c r="L243" s="16" t="s">
        <v>589</v>
      </c>
      <c r="M243" s="16" t="s">
        <v>106</v>
      </c>
      <c r="N243" s="12" t="s">
        <v>567</v>
      </c>
      <c r="O243" s="4" t="s">
        <v>568</v>
      </c>
      <c r="P243" s="4" t="s">
        <v>95</v>
      </c>
    </row>
    <row r="244" customFormat="false" ht="15" hidden="false" customHeight="false" outlineLevel="0" collapsed="false">
      <c r="A244" s="16" t="n">
        <v>241</v>
      </c>
      <c r="B244" s="16" t="s">
        <v>562</v>
      </c>
      <c r="C244" s="16" t="s">
        <v>563</v>
      </c>
      <c r="D244" s="16" t="s">
        <v>89</v>
      </c>
      <c r="E244" s="17" t="n">
        <v>11973677</v>
      </c>
      <c r="F244" s="17" t="n">
        <v>0</v>
      </c>
      <c r="G244" s="11" t="n">
        <f aca="false">E244-F244</f>
        <v>11973677</v>
      </c>
      <c r="H244" s="5" t="n">
        <v>46203</v>
      </c>
      <c r="I244" s="16" t="s">
        <v>564</v>
      </c>
      <c r="J244" s="16" t="s">
        <v>590</v>
      </c>
      <c r="K244" s="16" t="s">
        <v>104</v>
      </c>
      <c r="L244" s="16" t="s">
        <v>591</v>
      </c>
      <c r="M244" s="16" t="s">
        <v>106</v>
      </c>
      <c r="N244" s="12" t="s">
        <v>571</v>
      </c>
      <c r="O244" s="4" t="s">
        <v>568</v>
      </c>
      <c r="P244" s="4" t="s">
        <v>95</v>
      </c>
    </row>
    <row r="245" customFormat="false" ht="15" hidden="false" customHeight="false" outlineLevel="0" collapsed="false">
      <c r="A245" s="16" t="n">
        <v>242</v>
      </c>
      <c r="B245" s="16" t="s">
        <v>562</v>
      </c>
      <c r="C245" s="16" t="s">
        <v>563</v>
      </c>
      <c r="D245" s="16" t="s">
        <v>89</v>
      </c>
      <c r="E245" s="17" t="n">
        <v>8261283</v>
      </c>
      <c r="F245" s="17" t="n">
        <v>8261283</v>
      </c>
      <c r="G245" s="11" t="n">
        <f aca="false">E245-F245</f>
        <v>0</v>
      </c>
      <c r="H245" s="5" t="n">
        <v>46225</v>
      </c>
      <c r="I245" s="16" t="s">
        <v>564</v>
      </c>
      <c r="J245" s="16" t="s">
        <v>592</v>
      </c>
      <c r="K245" s="16" t="s">
        <v>160</v>
      </c>
      <c r="L245" s="16" t="s">
        <v>593</v>
      </c>
      <c r="M245" s="16" t="s">
        <v>176</v>
      </c>
      <c r="N245" s="12" t="s">
        <v>594</v>
      </c>
      <c r="O245" s="4" t="s">
        <v>568</v>
      </c>
      <c r="P245" s="4" t="s">
        <v>554</v>
      </c>
    </row>
    <row r="246" customFormat="false" ht="15" hidden="false" customHeight="false" outlineLevel="0" collapsed="false">
      <c r="A246" s="16" t="n">
        <v>243</v>
      </c>
      <c r="B246" s="16" t="s">
        <v>562</v>
      </c>
      <c r="C246" s="16" t="s">
        <v>563</v>
      </c>
      <c r="D246" s="16" t="s">
        <v>89</v>
      </c>
      <c r="E246" s="17" t="n">
        <v>8867342</v>
      </c>
      <c r="F246" s="17" t="n">
        <v>0</v>
      </c>
      <c r="G246" s="11" t="n">
        <f aca="false">E246-F246</f>
        <v>8867342</v>
      </c>
      <c r="H246" s="5" t="n">
        <v>46231</v>
      </c>
      <c r="I246" s="16" t="s">
        <v>564</v>
      </c>
      <c r="J246" s="16" t="s">
        <v>595</v>
      </c>
      <c r="K246" s="16" t="s">
        <v>104</v>
      </c>
      <c r="L246" s="16" t="s">
        <v>596</v>
      </c>
      <c r="M246" s="16" t="s">
        <v>106</v>
      </c>
      <c r="N246" s="12" t="s">
        <v>567</v>
      </c>
      <c r="O246" s="4" t="s">
        <v>568</v>
      </c>
      <c r="P246" s="4" t="s">
        <v>95</v>
      </c>
    </row>
    <row r="247" customFormat="false" ht="15" hidden="false" customHeight="false" outlineLevel="0" collapsed="false">
      <c r="A247" s="16" t="n">
        <v>244</v>
      </c>
      <c r="B247" s="16" t="s">
        <v>562</v>
      </c>
      <c r="C247" s="16" t="s">
        <v>563</v>
      </c>
      <c r="D247" s="16" t="s">
        <v>89</v>
      </c>
      <c r="E247" s="17" t="n">
        <v>12327298</v>
      </c>
      <c r="F247" s="17" t="n">
        <v>0</v>
      </c>
      <c r="G247" s="11" t="n">
        <f aca="false">E247-F247</f>
        <v>12327298</v>
      </c>
      <c r="H247" s="5" t="n">
        <v>46231</v>
      </c>
      <c r="I247" s="16" t="s">
        <v>564</v>
      </c>
      <c r="J247" s="16" t="s">
        <v>597</v>
      </c>
      <c r="K247" s="16" t="s">
        <v>104</v>
      </c>
      <c r="L247" s="16" t="s">
        <v>598</v>
      </c>
      <c r="M247" s="16" t="s">
        <v>106</v>
      </c>
      <c r="N247" s="12" t="s">
        <v>571</v>
      </c>
      <c r="O247" s="4" t="s">
        <v>568</v>
      </c>
      <c r="P247" s="4" t="s">
        <v>95</v>
      </c>
    </row>
    <row r="248" customFormat="false" ht="15" hidden="false" customHeight="false" outlineLevel="0" collapsed="false">
      <c r="A248" s="16" t="n">
        <v>245</v>
      </c>
      <c r="B248" s="16" t="s">
        <v>562</v>
      </c>
      <c r="C248" s="16" t="s">
        <v>563</v>
      </c>
      <c r="D248" s="16" t="s">
        <v>96</v>
      </c>
      <c r="E248" s="17" t="n">
        <v>25421164.99</v>
      </c>
      <c r="F248" s="17" t="n">
        <v>0</v>
      </c>
      <c r="G248" s="11" t="n">
        <f aca="false">E248-F248</f>
        <v>25421164.99</v>
      </c>
      <c r="H248" s="5" t="n">
        <v>46050</v>
      </c>
      <c r="I248" s="16" t="s">
        <v>90</v>
      </c>
      <c r="J248" s="16" t="s">
        <v>599</v>
      </c>
      <c r="K248" s="16" t="s">
        <v>104</v>
      </c>
      <c r="L248" s="16" t="s">
        <v>600</v>
      </c>
      <c r="M248" s="16" t="s">
        <v>106</v>
      </c>
      <c r="N248" s="12" t="s">
        <v>601</v>
      </c>
      <c r="O248" s="4" t="s">
        <v>568</v>
      </c>
      <c r="P248" s="4" t="s">
        <v>95</v>
      </c>
    </row>
    <row r="249" customFormat="false" ht="15" hidden="false" customHeight="false" outlineLevel="0" collapsed="false">
      <c r="A249" s="16" t="n">
        <v>246</v>
      </c>
      <c r="B249" s="16" t="s">
        <v>562</v>
      </c>
      <c r="C249" s="16" t="s">
        <v>563</v>
      </c>
      <c r="D249" s="16" t="s">
        <v>96</v>
      </c>
      <c r="E249" s="17" t="n">
        <v>25421164.99</v>
      </c>
      <c r="F249" s="17" t="n">
        <v>0</v>
      </c>
      <c r="G249" s="11" t="n">
        <f aca="false">E249-F249</f>
        <v>25421164.99</v>
      </c>
      <c r="H249" s="5" t="n">
        <v>46050</v>
      </c>
      <c r="I249" s="16" t="s">
        <v>90</v>
      </c>
      <c r="J249" s="16" t="s">
        <v>602</v>
      </c>
      <c r="K249" s="16" t="s">
        <v>104</v>
      </c>
      <c r="L249" s="16" t="s">
        <v>603</v>
      </c>
      <c r="M249" s="16" t="s">
        <v>106</v>
      </c>
      <c r="N249" s="12" t="s">
        <v>604</v>
      </c>
      <c r="O249" s="4" t="s">
        <v>568</v>
      </c>
      <c r="P249" s="4" t="s">
        <v>95</v>
      </c>
    </row>
    <row r="250" customFormat="false" ht="15" hidden="false" customHeight="false" outlineLevel="0" collapsed="false">
      <c r="A250" s="16" t="n">
        <v>247</v>
      </c>
      <c r="B250" s="16" t="s">
        <v>562</v>
      </c>
      <c r="C250" s="16" t="s">
        <v>563</v>
      </c>
      <c r="D250" s="16" t="s">
        <v>96</v>
      </c>
      <c r="E250" s="17" t="n">
        <v>20809569.69</v>
      </c>
      <c r="F250" s="17" t="n">
        <v>0</v>
      </c>
      <c r="G250" s="11" t="n">
        <f aca="false">E250-F250</f>
        <v>20809569.69</v>
      </c>
      <c r="H250" s="5" t="n">
        <v>46051</v>
      </c>
      <c r="I250" s="16" t="s">
        <v>90</v>
      </c>
      <c r="J250" s="16" t="s">
        <v>605</v>
      </c>
      <c r="K250" s="16" t="s">
        <v>104</v>
      </c>
      <c r="L250" s="16" t="s">
        <v>606</v>
      </c>
      <c r="M250" s="16" t="s">
        <v>106</v>
      </c>
      <c r="N250" s="12" t="s">
        <v>607</v>
      </c>
      <c r="O250" s="4" t="s">
        <v>568</v>
      </c>
      <c r="P250" s="4" t="s">
        <v>95</v>
      </c>
    </row>
    <row r="251" customFormat="false" ht="15" hidden="false" customHeight="false" outlineLevel="0" collapsed="false">
      <c r="A251" s="16" t="n">
        <v>248</v>
      </c>
      <c r="B251" s="16" t="s">
        <v>562</v>
      </c>
      <c r="C251" s="16" t="s">
        <v>563</v>
      </c>
      <c r="D251" s="16" t="s">
        <v>96</v>
      </c>
      <c r="E251" s="17" t="n">
        <v>61077245.67</v>
      </c>
      <c r="F251" s="17" t="n">
        <v>0</v>
      </c>
      <c r="G251" s="11" t="n">
        <f aca="false">E251-F251</f>
        <v>61077245.67</v>
      </c>
      <c r="H251" s="5" t="n">
        <v>46051</v>
      </c>
      <c r="I251" s="16" t="s">
        <v>90</v>
      </c>
      <c r="J251" s="16" t="s">
        <v>608</v>
      </c>
      <c r="K251" s="16" t="s">
        <v>104</v>
      </c>
      <c r="L251" s="16" t="s">
        <v>609</v>
      </c>
      <c r="M251" s="16" t="s">
        <v>106</v>
      </c>
      <c r="N251" s="12" t="s">
        <v>610</v>
      </c>
      <c r="O251" s="4" t="s">
        <v>568</v>
      </c>
      <c r="P251" s="4" t="s">
        <v>95</v>
      </c>
    </row>
    <row r="252" customFormat="false" ht="15" hidden="false" customHeight="false" outlineLevel="0" collapsed="false">
      <c r="A252" s="16" t="n">
        <v>249</v>
      </c>
      <c r="B252" s="16" t="s">
        <v>562</v>
      </c>
      <c r="C252" s="16" t="s">
        <v>563</v>
      </c>
      <c r="D252" s="16" t="s">
        <v>96</v>
      </c>
      <c r="E252" s="17" t="n">
        <v>20805204.47</v>
      </c>
      <c r="F252" s="17" t="n">
        <v>0</v>
      </c>
      <c r="G252" s="11" t="n">
        <f aca="false">E252-F252</f>
        <v>20805204.47</v>
      </c>
      <c r="H252" s="5" t="n">
        <v>46051</v>
      </c>
      <c r="I252" s="16" t="s">
        <v>90</v>
      </c>
      <c r="J252" s="16" t="s">
        <v>611</v>
      </c>
      <c r="K252" s="16" t="s">
        <v>104</v>
      </c>
      <c r="L252" s="16" t="s">
        <v>612</v>
      </c>
      <c r="M252" s="16" t="s">
        <v>106</v>
      </c>
      <c r="N252" s="12" t="s">
        <v>613</v>
      </c>
      <c r="O252" s="4" t="s">
        <v>568</v>
      </c>
      <c r="P252" s="4" t="s">
        <v>95</v>
      </c>
    </row>
    <row r="253" customFormat="false" ht="15" hidden="false" customHeight="false" outlineLevel="0" collapsed="false">
      <c r="A253" s="16" t="n">
        <v>250</v>
      </c>
      <c r="B253" s="16" t="s">
        <v>562</v>
      </c>
      <c r="C253" s="16" t="s">
        <v>563</v>
      </c>
      <c r="D253" s="16" t="s">
        <v>96</v>
      </c>
      <c r="E253" s="17" t="n">
        <v>20805204.47</v>
      </c>
      <c r="F253" s="17" t="n">
        <v>0</v>
      </c>
      <c r="G253" s="11" t="n">
        <f aca="false">E253-F253</f>
        <v>20805204.47</v>
      </c>
      <c r="H253" s="5" t="n">
        <v>46051</v>
      </c>
      <c r="I253" s="16" t="s">
        <v>90</v>
      </c>
      <c r="J253" s="16" t="s">
        <v>614</v>
      </c>
      <c r="K253" s="16" t="s">
        <v>104</v>
      </c>
      <c r="L253" s="16" t="s">
        <v>615</v>
      </c>
      <c r="M253" s="16" t="s">
        <v>106</v>
      </c>
      <c r="N253" s="12" t="s">
        <v>616</v>
      </c>
      <c r="O253" s="4" t="s">
        <v>568</v>
      </c>
      <c r="P253" s="4" t="s">
        <v>95</v>
      </c>
    </row>
    <row r="254" customFormat="false" ht="15" hidden="false" customHeight="false" outlineLevel="0" collapsed="false">
      <c r="A254" s="16" t="n">
        <v>251</v>
      </c>
      <c r="B254" s="16" t="s">
        <v>562</v>
      </c>
      <c r="C254" s="16" t="s">
        <v>563</v>
      </c>
      <c r="D254" s="16" t="s">
        <v>96</v>
      </c>
      <c r="E254" s="17" t="n">
        <v>26079255.16</v>
      </c>
      <c r="F254" s="17" t="n">
        <v>0</v>
      </c>
      <c r="G254" s="11" t="n">
        <f aca="false">E254-F254</f>
        <v>26079255.16</v>
      </c>
      <c r="H254" s="5" t="n">
        <v>46136</v>
      </c>
      <c r="I254" s="16" t="s">
        <v>90</v>
      </c>
      <c r="J254" s="16" t="s">
        <v>617</v>
      </c>
      <c r="K254" s="16" t="s">
        <v>104</v>
      </c>
      <c r="L254" s="16" t="s">
        <v>618</v>
      </c>
      <c r="M254" s="16" t="s">
        <v>106</v>
      </c>
      <c r="N254" s="12" t="s">
        <v>601</v>
      </c>
      <c r="O254" s="4" t="s">
        <v>568</v>
      </c>
      <c r="P254" s="4" t="s">
        <v>95</v>
      </c>
    </row>
    <row r="255" customFormat="false" ht="15" hidden="false" customHeight="false" outlineLevel="0" collapsed="false">
      <c r="A255" s="16" t="n">
        <v>252</v>
      </c>
      <c r="B255" s="16" t="s">
        <v>562</v>
      </c>
      <c r="C255" s="16" t="s">
        <v>563</v>
      </c>
      <c r="D255" s="16" t="s">
        <v>96</v>
      </c>
      <c r="E255" s="17" t="n">
        <v>21319941.88</v>
      </c>
      <c r="F255" s="17" t="n">
        <v>0</v>
      </c>
      <c r="G255" s="11" t="n">
        <f aca="false">E255-F255</f>
        <v>21319941.88</v>
      </c>
      <c r="H255" s="5" t="n">
        <v>46136</v>
      </c>
      <c r="I255" s="16" t="s">
        <v>90</v>
      </c>
      <c r="J255" s="16" t="s">
        <v>619</v>
      </c>
      <c r="K255" s="16" t="s">
        <v>104</v>
      </c>
      <c r="L255" s="16" t="s">
        <v>620</v>
      </c>
      <c r="M255" s="16" t="s">
        <v>106</v>
      </c>
      <c r="N255" s="12" t="s">
        <v>607</v>
      </c>
      <c r="O255" s="4" t="s">
        <v>568</v>
      </c>
      <c r="P255" s="4" t="s">
        <v>95</v>
      </c>
    </row>
    <row r="256" customFormat="false" ht="15" hidden="false" customHeight="false" outlineLevel="0" collapsed="false">
      <c r="A256" s="16" t="n">
        <v>253</v>
      </c>
      <c r="B256" s="16" t="s">
        <v>562</v>
      </c>
      <c r="C256" s="16" t="s">
        <v>563</v>
      </c>
      <c r="D256" s="16" t="s">
        <v>96</v>
      </c>
      <c r="E256" s="17" t="n">
        <v>62648860.03</v>
      </c>
      <c r="F256" s="17" t="n">
        <v>0</v>
      </c>
      <c r="G256" s="11" t="n">
        <f aca="false">E256-F256</f>
        <v>62648860.03</v>
      </c>
      <c r="H256" s="5" t="n">
        <v>46136</v>
      </c>
      <c r="I256" s="16" t="s">
        <v>90</v>
      </c>
      <c r="J256" s="16" t="s">
        <v>621</v>
      </c>
      <c r="K256" s="16" t="s">
        <v>104</v>
      </c>
      <c r="L256" s="16" t="s">
        <v>622</v>
      </c>
      <c r="M256" s="16" t="s">
        <v>106</v>
      </c>
      <c r="N256" s="12" t="s">
        <v>610</v>
      </c>
      <c r="O256" s="4" t="s">
        <v>568</v>
      </c>
      <c r="P256" s="4" t="s">
        <v>95</v>
      </c>
    </row>
    <row r="257" customFormat="false" ht="15" hidden="false" customHeight="false" outlineLevel="0" collapsed="false">
      <c r="A257" s="16" t="n">
        <v>254</v>
      </c>
      <c r="B257" s="16" t="s">
        <v>562</v>
      </c>
      <c r="C257" s="16" t="s">
        <v>563</v>
      </c>
      <c r="D257" s="16" t="s">
        <v>96</v>
      </c>
      <c r="E257" s="17" t="n">
        <v>21315470.38</v>
      </c>
      <c r="F257" s="17" t="n">
        <v>0</v>
      </c>
      <c r="G257" s="11" t="n">
        <f aca="false">E257-F257</f>
        <v>21315470.38</v>
      </c>
      <c r="H257" s="5" t="n">
        <v>46136</v>
      </c>
      <c r="I257" s="16" t="s">
        <v>90</v>
      </c>
      <c r="J257" s="16" t="s">
        <v>623</v>
      </c>
      <c r="K257" s="16" t="s">
        <v>104</v>
      </c>
      <c r="L257" s="16" t="s">
        <v>624</v>
      </c>
      <c r="M257" s="16" t="s">
        <v>106</v>
      </c>
      <c r="N257" s="12" t="s">
        <v>613</v>
      </c>
      <c r="O257" s="4" t="s">
        <v>568</v>
      </c>
      <c r="P257" s="4" t="s">
        <v>95</v>
      </c>
    </row>
    <row r="258" customFormat="false" ht="15" hidden="false" customHeight="false" outlineLevel="0" collapsed="false">
      <c r="A258" s="16" t="n">
        <v>255</v>
      </c>
      <c r="B258" s="16" t="s">
        <v>562</v>
      </c>
      <c r="C258" s="16" t="s">
        <v>563</v>
      </c>
      <c r="D258" s="16" t="s">
        <v>96</v>
      </c>
      <c r="E258" s="17" t="n">
        <v>21315470.39</v>
      </c>
      <c r="F258" s="17" t="n">
        <v>0</v>
      </c>
      <c r="G258" s="11" t="n">
        <f aca="false">E258-F258</f>
        <v>21315470.39</v>
      </c>
      <c r="H258" s="5" t="n">
        <v>46136</v>
      </c>
      <c r="I258" s="16" t="s">
        <v>90</v>
      </c>
      <c r="J258" s="16" t="s">
        <v>625</v>
      </c>
      <c r="K258" s="16" t="s">
        <v>104</v>
      </c>
      <c r="L258" s="16" t="s">
        <v>626</v>
      </c>
      <c r="M258" s="16" t="s">
        <v>106</v>
      </c>
      <c r="N258" s="12" t="s">
        <v>616</v>
      </c>
      <c r="O258" s="4" t="s">
        <v>568</v>
      </c>
      <c r="P258" s="4" t="s">
        <v>95</v>
      </c>
    </row>
    <row r="259" customFormat="false" ht="15" hidden="false" customHeight="false" outlineLevel="0" collapsed="false">
      <c r="A259" s="16" t="n">
        <v>256</v>
      </c>
      <c r="B259" s="16" t="s">
        <v>562</v>
      </c>
      <c r="C259" s="16" t="s">
        <v>563</v>
      </c>
      <c r="D259" s="16" t="s">
        <v>96</v>
      </c>
      <c r="E259" s="17" t="n">
        <v>26079255.17</v>
      </c>
      <c r="F259" s="17" t="n">
        <v>0</v>
      </c>
      <c r="G259" s="11" t="n">
        <f aca="false">E259-F259</f>
        <v>26079255.17</v>
      </c>
      <c r="H259" s="5" t="n">
        <v>46136</v>
      </c>
      <c r="I259" s="16" t="s">
        <v>90</v>
      </c>
      <c r="J259" s="16" t="s">
        <v>627</v>
      </c>
      <c r="K259" s="16" t="s">
        <v>104</v>
      </c>
      <c r="L259" s="16" t="s">
        <v>628</v>
      </c>
      <c r="M259" s="16" t="s">
        <v>106</v>
      </c>
      <c r="N259" s="12" t="s">
        <v>604</v>
      </c>
      <c r="O259" s="4" t="s">
        <v>568</v>
      </c>
      <c r="P259" s="4" t="s">
        <v>95</v>
      </c>
    </row>
    <row r="260" customFormat="false" ht="15" hidden="false" customHeight="false" outlineLevel="0" collapsed="false">
      <c r="A260" s="16" t="n">
        <v>257</v>
      </c>
      <c r="B260" s="16" t="s">
        <v>562</v>
      </c>
      <c r="C260" s="16" t="s">
        <v>563</v>
      </c>
      <c r="D260" s="16" t="s">
        <v>96</v>
      </c>
      <c r="E260" s="17" t="n">
        <v>26602533.71</v>
      </c>
      <c r="F260" s="17" t="n">
        <v>0</v>
      </c>
      <c r="G260" s="11" t="n">
        <f aca="false">E260-F260</f>
        <v>26602533.71</v>
      </c>
      <c r="H260" s="5" t="n">
        <v>46230</v>
      </c>
      <c r="I260" s="16" t="s">
        <v>90</v>
      </c>
      <c r="J260" s="16" t="s">
        <v>629</v>
      </c>
      <c r="K260" s="16" t="s">
        <v>104</v>
      </c>
      <c r="L260" s="16" t="s">
        <v>630</v>
      </c>
      <c r="M260" s="16" t="s">
        <v>106</v>
      </c>
      <c r="N260" s="12" t="s">
        <v>601</v>
      </c>
      <c r="O260" s="4" t="s">
        <v>568</v>
      </c>
      <c r="P260" s="4" t="s">
        <v>95</v>
      </c>
    </row>
    <row r="261" customFormat="false" ht="15" hidden="false" customHeight="false" outlineLevel="0" collapsed="false">
      <c r="A261" s="16" t="n">
        <v>258</v>
      </c>
      <c r="B261" s="16" t="s">
        <v>562</v>
      </c>
      <c r="C261" s="16" t="s">
        <v>563</v>
      </c>
      <c r="D261" s="16" t="s">
        <v>96</v>
      </c>
      <c r="E261" s="17" t="n">
        <v>26602533.7</v>
      </c>
      <c r="F261" s="17" t="n">
        <v>0</v>
      </c>
      <c r="G261" s="11" t="n">
        <f aca="false">E261-F261</f>
        <v>26602533.7</v>
      </c>
      <c r="H261" s="5" t="n">
        <v>46230</v>
      </c>
      <c r="I261" s="16" t="s">
        <v>90</v>
      </c>
      <c r="J261" s="16" t="s">
        <v>631</v>
      </c>
      <c r="K261" s="16" t="s">
        <v>104</v>
      </c>
      <c r="L261" s="16" t="s">
        <v>632</v>
      </c>
      <c r="M261" s="16" t="s">
        <v>106</v>
      </c>
      <c r="N261" s="12" t="s">
        <v>604</v>
      </c>
      <c r="O261" s="4" t="s">
        <v>568</v>
      </c>
      <c r="P261" s="4" t="s">
        <v>95</v>
      </c>
    </row>
    <row r="262" customFormat="false" ht="15" hidden="false" customHeight="false" outlineLevel="0" collapsed="false">
      <c r="A262" s="16" t="n">
        <v>259</v>
      </c>
      <c r="B262" s="16" t="s">
        <v>562</v>
      </c>
      <c r="C262" s="16" t="s">
        <v>563</v>
      </c>
      <c r="D262" s="16" t="s">
        <v>96</v>
      </c>
      <c r="E262" s="17" t="n">
        <v>21538319.02</v>
      </c>
      <c r="F262" s="17" t="n">
        <v>0</v>
      </c>
      <c r="G262" s="11" t="n">
        <f aca="false">E262-F262</f>
        <v>21538319.02</v>
      </c>
      <c r="H262" s="5" t="n">
        <v>46231</v>
      </c>
      <c r="I262" s="16" t="s">
        <v>90</v>
      </c>
      <c r="J262" s="16" t="s">
        <v>633</v>
      </c>
      <c r="K262" s="16" t="s">
        <v>104</v>
      </c>
      <c r="L262" s="16" t="s">
        <v>634</v>
      </c>
      <c r="M262" s="16" t="s">
        <v>106</v>
      </c>
      <c r="N262" s="12" t="s">
        <v>616</v>
      </c>
      <c r="O262" s="4" t="s">
        <v>568</v>
      </c>
      <c r="P262" s="4" t="s">
        <v>95</v>
      </c>
    </row>
    <row r="263" customFormat="false" ht="15" hidden="false" customHeight="false" outlineLevel="0" collapsed="false">
      <c r="A263" s="16" t="n">
        <v>260</v>
      </c>
      <c r="B263" s="16" t="s">
        <v>562</v>
      </c>
      <c r="C263" s="16" t="s">
        <v>563</v>
      </c>
      <c r="D263" s="16" t="s">
        <v>96</v>
      </c>
      <c r="E263" s="17" t="n">
        <v>21538319.01</v>
      </c>
      <c r="F263" s="17" t="n">
        <v>0</v>
      </c>
      <c r="G263" s="11" t="n">
        <f aca="false">E263-F263</f>
        <v>21538319.01</v>
      </c>
      <c r="H263" s="5" t="n">
        <v>46231</v>
      </c>
      <c r="I263" s="16" t="s">
        <v>90</v>
      </c>
      <c r="J263" s="16" t="s">
        <v>635</v>
      </c>
      <c r="K263" s="16" t="s">
        <v>104</v>
      </c>
      <c r="L263" s="16" t="s">
        <v>636</v>
      </c>
      <c r="M263" s="16" t="s">
        <v>106</v>
      </c>
      <c r="N263" s="12" t="s">
        <v>613</v>
      </c>
      <c r="O263" s="4" t="s">
        <v>568</v>
      </c>
      <c r="P263" s="4" t="s">
        <v>95</v>
      </c>
    </row>
    <row r="264" customFormat="false" ht="15" hidden="false" customHeight="false" outlineLevel="0" collapsed="false">
      <c r="A264" s="16" t="n">
        <v>261</v>
      </c>
      <c r="B264" s="16" t="s">
        <v>562</v>
      </c>
      <c r="C264" s="16" t="s">
        <v>563</v>
      </c>
      <c r="D264" s="16" t="s">
        <v>96</v>
      </c>
      <c r="E264" s="17" t="n">
        <v>62866117.12</v>
      </c>
      <c r="F264" s="17" t="n">
        <v>0</v>
      </c>
      <c r="G264" s="11" t="n">
        <f aca="false">E264-F264</f>
        <v>62866117.12</v>
      </c>
      <c r="H264" s="5" t="n">
        <v>46231</v>
      </c>
      <c r="I264" s="16" t="s">
        <v>90</v>
      </c>
      <c r="J264" s="16" t="s">
        <v>637</v>
      </c>
      <c r="K264" s="16" t="s">
        <v>104</v>
      </c>
      <c r="L264" s="16" t="s">
        <v>638</v>
      </c>
      <c r="M264" s="16" t="s">
        <v>106</v>
      </c>
      <c r="N264" s="12" t="s">
        <v>610</v>
      </c>
      <c r="O264" s="4" t="s">
        <v>568</v>
      </c>
      <c r="P264" s="4" t="s">
        <v>95</v>
      </c>
    </row>
    <row r="265" customFormat="false" ht="15" hidden="false" customHeight="false" outlineLevel="0" collapsed="false">
      <c r="A265" s="16" t="n">
        <v>262</v>
      </c>
      <c r="B265" s="16" t="s">
        <v>562</v>
      </c>
      <c r="C265" s="16" t="s">
        <v>563</v>
      </c>
      <c r="D265" s="16" t="s">
        <v>96</v>
      </c>
      <c r="E265" s="17" t="n">
        <v>21542838.16</v>
      </c>
      <c r="F265" s="17" t="n">
        <v>0</v>
      </c>
      <c r="G265" s="11" t="n">
        <f aca="false">E265-F265</f>
        <v>21542838.16</v>
      </c>
      <c r="H265" s="5" t="n">
        <v>46231</v>
      </c>
      <c r="I265" s="16" t="s">
        <v>90</v>
      </c>
      <c r="J265" s="16" t="s">
        <v>639</v>
      </c>
      <c r="K265" s="16" t="s">
        <v>104</v>
      </c>
      <c r="L265" s="16" t="s">
        <v>640</v>
      </c>
      <c r="M265" s="16" t="s">
        <v>106</v>
      </c>
      <c r="N265" s="12" t="s">
        <v>607</v>
      </c>
      <c r="O265" s="4" t="s">
        <v>568</v>
      </c>
      <c r="P265" s="4" t="s">
        <v>95</v>
      </c>
    </row>
    <row r="266" customFormat="false" ht="15" hidden="false" customHeight="false" outlineLevel="0" collapsed="false">
      <c r="A266" s="16" t="n">
        <v>263</v>
      </c>
      <c r="B266" s="16" t="s">
        <v>562</v>
      </c>
      <c r="C266" s="16" t="s">
        <v>563</v>
      </c>
      <c r="D266" s="16" t="s">
        <v>138</v>
      </c>
      <c r="E266" s="17" t="n">
        <v>14586381</v>
      </c>
      <c r="F266" s="17" t="n">
        <v>0</v>
      </c>
      <c r="G266" s="11" t="n">
        <f aca="false">E266-F266</f>
        <v>14586381</v>
      </c>
      <c r="H266" s="5" t="n">
        <v>46041</v>
      </c>
      <c r="I266" s="16" t="s">
        <v>139</v>
      </c>
      <c r="J266" s="16" t="s">
        <v>641</v>
      </c>
      <c r="K266" s="16" t="s">
        <v>104</v>
      </c>
      <c r="L266" s="16" t="s">
        <v>642</v>
      </c>
      <c r="M266" s="16" t="s">
        <v>106</v>
      </c>
      <c r="N266" s="12" t="s">
        <v>643</v>
      </c>
      <c r="O266" s="4" t="s">
        <v>568</v>
      </c>
      <c r="P266" s="4" t="s">
        <v>95</v>
      </c>
    </row>
    <row r="267" customFormat="false" ht="15" hidden="false" customHeight="false" outlineLevel="0" collapsed="false">
      <c r="A267" s="16" t="n">
        <v>264</v>
      </c>
      <c r="B267" s="16" t="s">
        <v>562</v>
      </c>
      <c r="C267" s="16" t="s">
        <v>563</v>
      </c>
      <c r="D267" s="16" t="s">
        <v>138</v>
      </c>
      <c r="E267" s="17" t="n">
        <v>8838594</v>
      </c>
      <c r="F267" s="17" t="n">
        <v>0</v>
      </c>
      <c r="G267" s="11" t="n">
        <f aca="false">E267-F267</f>
        <v>8838594</v>
      </c>
      <c r="H267" s="5" t="n">
        <v>46041</v>
      </c>
      <c r="I267" s="16" t="s">
        <v>139</v>
      </c>
      <c r="J267" s="16" t="s">
        <v>644</v>
      </c>
      <c r="K267" s="16" t="s">
        <v>104</v>
      </c>
      <c r="L267" s="16" t="s">
        <v>645</v>
      </c>
      <c r="M267" s="16" t="s">
        <v>106</v>
      </c>
      <c r="N267" s="12" t="s">
        <v>646</v>
      </c>
      <c r="O267" s="4" t="s">
        <v>568</v>
      </c>
      <c r="P267" s="4" t="s">
        <v>95</v>
      </c>
    </row>
    <row r="268" customFormat="false" ht="15" hidden="false" customHeight="false" outlineLevel="0" collapsed="false">
      <c r="A268" s="16" t="n">
        <v>265</v>
      </c>
      <c r="B268" s="16" t="s">
        <v>562</v>
      </c>
      <c r="C268" s="16" t="s">
        <v>563</v>
      </c>
      <c r="D268" s="16" t="s">
        <v>138</v>
      </c>
      <c r="E268" s="17" t="n">
        <v>8838594</v>
      </c>
      <c r="F268" s="17" t="n">
        <v>0</v>
      </c>
      <c r="G268" s="11" t="n">
        <f aca="false">E268-F268</f>
        <v>8838594</v>
      </c>
      <c r="H268" s="5" t="n">
        <v>46066</v>
      </c>
      <c r="I268" s="16" t="s">
        <v>139</v>
      </c>
      <c r="J268" s="16" t="s">
        <v>647</v>
      </c>
      <c r="K268" s="16" t="s">
        <v>104</v>
      </c>
      <c r="L268" s="16" t="s">
        <v>648</v>
      </c>
      <c r="M268" s="16" t="s">
        <v>106</v>
      </c>
      <c r="N268" s="12" t="s">
        <v>646</v>
      </c>
      <c r="O268" s="4" t="s">
        <v>568</v>
      </c>
      <c r="P268" s="4" t="s">
        <v>95</v>
      </c>
    </row>
    <row r="269" customFormat="false" ht="15" hidden="false" customHeight="false" outlineLevel="0" collapsed="false">
      <c r="A269" s="16" t="n">
        <v>266</v>
      </c>
      <c r="B269" s="16" t="s">
        <v>562</v>
      </c>
      <c r="C269" s="16" t="s">
        <v>563</v>
      </c>
      <c r="D269" s="16" t="s">
        <v>138</v>
      </c>
      <c r="E269" s="17" t="n">
        <v>17114382</v>
      </c>
      <c r="F269" s="17" t="n">
        <v>0</v>
      </c>
      <c r="G269" s="11" t="n">
        <f aca="false">E269-F269</f>
        <v>17114382</v>
      </c>
      <c r="H269" s="5" t="n">
        <v>46066</v>
      </c>
      <c r="I269" s="16" t="s">
        <v>139</v>
      </c>
      <c r="J269" s="16" t="s">
        <v>649</v>
      </c>
      <c r="K269" s="16" t="s">
        <v>104</v>
      </c>
      <c r="L269" s="16" t="s">
        <v>650</v>
      </c>
      <c r="M269" s="16" t="s">
        <v>106</v>
      </c>
      <c r="N269" s="12" t="s">
        <v>643</v>
      </c>
      <c r="O269" s="4" t="s">
        <v>568</v>
      </c>
      <c r="P269" s="4" t="s">
        <v>95</v>
      </c>
    </row>
    <row r="270" customFormat="false" ht="15" hidden="false" customHeight="false" outlineLevel="0" collapsed="false">
      <c r="A270" s="16" t="n">
        <v>267</v>
      </c>
      <c r="B270" s="16" t="s">
        <v>562</v>
      </c>
      <c r="C270" s="16" t="s">
        <v>563</v>
      </c>
      <c r="D270" s="16" t="s">
        <v>138</v>
      </c>
      <c r="E270" s="17" t="n">
        <v>17114382</v>
      </c>
      <c r="F270" s="17" t="n">
        <v>0</v>
      </c>
      <c r="G270" s="11" t="n">
        <f aca="false">E270-F270</f>
        <v>17114382</v>
      </c>
      <c r="H270" s="5" t="n">
        <v>46094</v>
      </c>
      <c r="I270" s="16" t="s">
        <v>139</v>
      </c>
      <c r="J270" s="16" t="s">
        <v>651</v>
      </c>
      <c r="K270" s="16" t="s">
        <v>104</v>
      </c>
      <c r="L270" s="16" t="s">
        <v>652</v>
      </c>
      <c r="M270" s="16" t="s">
        <v>106</v>
      </c>
      <c r="N270" s="12" t="s">
        <v>643</v>
      </c>
      <c r="O270" s="4" t="s">
        <v>568</v>
      </c>
      <c r="P270" s="4" t="s">
        <v>95</v>
      </c>
    </row>
    <row r="271" customFormat="false" ht="15" hidden="false" customHeight="false" outlineLevel="0" collapsed="false">
      <c r="A271" s="16" t="n">
        <v>268</v>
      </c>
      <c r="B271" s="16" t="s">
        <v>562</v>
      </c>
      <c r="C271" s="16" t="s">
        <v>563</v>
      </c>
      <c r="D271" s="16" t="s">
        <v>138</v>
      </c>
      <c r="E271" s="17" t="n">
        <v>8838594</v>
      </c>
      <c r="F271" s="17" t="n">
        <v>0</v>
      </c>
      <c r="G271" s="11" t="n">
        <f aca="false">E271-F271</f>
        <v>8838594</v>
      </c>
      <c r="H271" s="5" t="n">
        <v>46094</v>
      </c>
      <c r="I271" s="16" t="s">
        <v>139</v>
      </c>
      <c r="J271" s="16" t="s">
        <v>653</v>
      </c>
      <c r="K271" s="16" t="s">
        <v>104</v>
      </c>
      <c r="L271" s="16" t="s">
        <v>654</v>
      </c>
      <c r="M271" s="16" t="s">
        <v>106</v>
      </c>
      <c r="N271" s="12" t="s">
        <v>646</v>
      </c>
      <c r="O271" s="4" t="s">
        <v>568</v>
      </c>
      <c r="P271" s="4" t="s">
        <v>95</v>
      </c>
    </row>
    <row r="272" customFormat="false" ht="15" hidden="false" customHeight="false" outlineLevel="0" collapsed="false">
      <c r="A272" s="16" t="n">
        <v>269</v>
      </c>
      <c r="B272" s="16" t="s">
        <v>562</v>
      </c>
      <c r="C272" s="16" t="s">
        <v>563</v>
      </c>
      <c r="D272" s="16" t="s">
        <v>138</v>
      </c>
      <c r="E272" s="17" t="n">
        <v>23220856</v>
      </c>
      <c r="F272" s="17" t="n">
        <v>0</v>
      </c>
      <c r="G272" s="11" t="n">
        <f aca="false">E272-F272</f>
        <v>23220856</v>
      </c>
      <c r="H272" s="5" t="n">
        <v>46100</v>
      </c>
      <c r="I272" s="16" t="s">
        <v>139</v>
      </c>
      <c r="J272" s="16" t="s">
        <v>655</v>
      </c>
      <c r="K272" s="16" t="s">
        <v>104</v>
      </c>
      <c r="L272" s="16" t="s">
        <v>656</v>
      </c>
      <c r="M272" s="16" t="s">
        <v>106</v>
      </c>
      <c r="N272" s="12" t="s">
        <v>657</v>
      </c>
      <c r="O272" s="4" t="s">
        <v>568</v>
      </c>
      <c r="P272" s="4" t="s">
        <v>95</v>
      </c>
    </row>
    <row r="273" customFormat="false" ht="15" hidden="false" customHeight="false" outlineLevel="0" collapsed="false">
      <c r="A273" s="16" t="n">
        <v>270</v>
      </c>
      <c r="B273" s="16" t="s">
        <v>562</v>
      </c>
      <c r="C273" s="16" t="s">
        <v>563</v>
      </c>
      <c r="D273" s="16" t="s">
        <v>138</v>
      </c>
      <c r="E273" s="17" t="n">
        <v>17114382</v>
      </c>
      <c r="F273" s="17" t="n">
        <v>0</v>
      </c>
      <c r="G273" s="11" t="n">
        <f aca="false">E273-F273</f>
        <v>17114382</v>
      </c>
      <c r="H273" s="5" t="n">
        <v>46127</v>
      </c>
      <c r="I273" s="16" t="s">
        <v>139</v>
      </c>
      <c r="J273" s="16" t="s">
        <v>658</v>
      </c>
      <c r="K273" s="16" t="s">
        <v>104</v>
      </c>
      <c r="L273" s="16" t="s">
        <v>659</v>
      </c>
      <c r="M273" s="16" t="s">
        <v>106</v>
      </c>
      <c r="N273" s="12" t="s">
        <v>643</v>
      </c>
      <c r="O273" s="4" t="s">
        <v>568</v>
      </c>
      <c r="P273" s="4" t="s">
        <v>95</v>
      </c>
    </row>
    <row r="274" customFormat="false" ht="15" hidden="false" customHeight="false" outlineLevel="0" collapsed="false">
      <c r="A274" s="16" t="n">
        <v>271</v>
      </c>
      <c r="B274" s="16" t="s">
        <v>562</v>
      </c>
      <c r="C274" s="16" t="s">
        <v>563</v>
      </c>
      <c r="D274" s="16" t="s">
        <v>138</v>
      </c>
      <c r="E274" s="17" t="n">
        <v>8838594</v>
      </c>
      <c r="F274" s="17" t="n">
        <v>0</v>
      </c>
      <c r="G274" s="11" t="n">
        <f aca="false">E274-F274</f>
        <v>8838594</v>
      </c>
      <c r="H274" s="5" t="n">
        <v>46132</v>
      </c>
      <c r="I274" s="16" t="s">
        <v>139</v>
      </c>
      <c r="J274" s="16" t="s">
        <v>660</v>
      </c>
      <c r="K274" s="16" t="s">
        <v>104</v>
      </c>
      <c r="L274" s="16" t="s">
        <v>661</v>
      </c>
      <c r="M274" s="16" t="s">
        <v>106</v>
      </c>
      <c r="N274" s="12" t="s">
        <v>646</v>
      </c>
      <c r="O274" s="4" t="s">
        <v>568</v>
      </c>
      <c r="P274" s="4" t="s">
        <v>95</v>
      </c>
    </row>
    <row r="275" customFormat="false" ht="15" hidden="false" customHeight="false" outlineLevel="0" collapsed="false">
      <c r="A275" s="16" t="n">
        <v>272</v>
      </c>
      <c r="B275" s="16" t="s">
        <v>562</v>
      </c>
      <c r="C275" s="16" t="s">
        <v>563</v>
      </c>
      <c r="D275" s="16" t="s">
        <v>138</v>
      </c>
      <c r="E275" s="17" t="n">
        <v>8838594</v>
      </c>
      <c r="F275" s="17" t="n">
        <v>0</v>
      </c>
      <c r="G275" s="11" t="n">
        <f aca="false">E275-F275</f>
        <v>8838594</v>
      </c>
      <c r="H275" s="5" t="n">
        <v>46157</v>
      </c>
      <c r="I275" s="16" t="s">
        <v>139</v>
      </c>
      <c r="J275" s="16" t="s">
        <v>662</v>
      </c>
      <c r="K275" s="16" t="s">
        <v>104</v>
      </c>
      <c r="L275" s="16" t="s">
        <v>663</v>
      </c>
      <c r="M275" s="16" t="s">
        <v>106</v>
      </c>
      <c r="N275" s="12" t="s">
        <v>646</v>
      </c>
      <c r="O275" s="4" t="s">
        <v>568</v>
      </c>
      <c r="P275" s="4" t="s">
        <v>95</v>
      </c>
    </row>
    <row r="276" customFormat="false" ht="15" hidden="false" customHeight="false" outlineLevel="0" collapsed="false">
      <c r="A276" s="16" t="n">
        <v>273</v>
      </c>
      <c r="B276" s="16" t="s">
        <v>562</v>
      </c>
      <c r="C276" s="16" t="s">
        <v>563</v>
      </c>
      <c r="D276" s="16" t="s">
        <v>138</v>
      </c>
      <c r="E276" s="17" t="n">
        <v>17114382</v>
      </c>
      <c r="F276" s="17" t="n">
        <v>0</v>
      </c>
      <c r="G276" s="11" t="n">
        <f aca="false">E276-F276</f>
        <v>17114382</v>
      </c>
      <c r="H276" s="5" t="n">
        <v>46157</v>
      </c>
      <c r="I276" s="16" t="s">
        <v>139</v>
      </c>
      <c r="J276" s="16" t="s">
        <v>664</v>
      </c>
      <c r="K276" s="16" t="s">
        <v>104</v>
      </c>
      <c r="L276" s="16" t="s">
        <v>665</v>
      </c>
      <c r="M276" s="16" t="s">
        <v>106</v>
      </c>
      <c r="N276" s="12" t="s">
        <v>643</v>
      </c>
      <c r="O276" s="4" t="s">
        <v>568</v>
      </c>
      <c r="P276" s="4" t="s">
        <v>95</v>
      </c>
    </row>
    <row r="277" customFormat="false" ht="15" hidden="false" customHeight="false" outlineLevel="0" collapsed="false">
      <c r="A277" s="16" t="n">
        <v>274</v>
      </c>
      <c r="B277" s="16" t="s">
        <v>562</v>
      </c>
      <c r="C277" s="16" t="s">
        <v>563</v>
      </c>
      <c r="D277" s="16" t="s">
        <v>138</v>
      </c>
      <c r="E277" s="17" t="n">
        <v>8838594</v>
      </c>
      <c r="F277" s="17" t="n">
        <v>0</v>
      </c>
      <c r="G277" s="11" t="n">
        <f aca="false">E277-F277</f>
        <v>8838594</v>
      </c>
      <c r="H277" s="5" t="n">
        <v>46203</v>
      </c>
      <c r="I277" s="16" t="s">
        <v>139</v>
      </c>
      <c r="J277" s="16" t="s">
        <v>666</v>
      </c>
      <c r="K277" s="16" t="s">
        <v>104</v>
      </c>
      <c r="L277" s="16" t="s">
        <v>667</v>
      </c>
      <c r="M277" s="16" t="s">
        <v>106</v>
      </c>
      <c r="N277" s="12" t="s">
        <v>646</v>
      </c>
      <c r="O277" s="4" t="s">
        <v>568</v>
      </c>
      <c r="P277" s="4" t="s">
        <v>95</v>
      </c>
    </row>
    <row r="278" customFormat="false" ht="15" hidden="false" customHeight="false" outlineLevel="0" collapsed="false">
      <c r="A278" s="16" t="n">
        <v>275</v>
      </c>
      <c r="B278" s="16" t="s">
        <v>562</v>
      </c>
      <c r="C278" s="16" t="s">
        <v>563</v>
      </c>
      <c r="D278" s="16" t="s">
        <v>138</v>
      </c>
      <c r="E278" s="17" t="n">
        <v>23832145</v>
      </c>
      <c r="F278" s="17" t="n">
        <v>0</v>
      </c>
      <c r="G278" s="11" t="n">
        <f aca="false">E278-F278</f>
        <v>23832145</v>
      </c>
      <c r="H278" s="5" t="n">
        <v>46203</v>
      </c>
      <c r="I278" s="16" t="s">
        <v>139</v>
      </c>
      <c r="J278" s="16" t="s">
        <v>668</v>
      </c>
      <c r="K278" s="16" t="s">
        <v>104</v>
      </c>
      <c r="L278" s="16" t="s">
        <v>669</v>
      </c>
      <c r="M278" s="16" t="s">
        <v>106</v>
      </c>
      <c r="N278" s="12" t="s">
        <v>657</v>
      </c>
      <c r="O278" s="4" t="s">
        <v>568</v>
      </c>
      <c r="P278" s="4" t="s">
        <v>95</v>
      </c>
    </row>
    <row r="279" customFormat="false" ht="15" hidden="false" customHeight="false" outlineLevel="0" collapsed="false">
      <c r="A279" s="16" t="n">
        <v>276</v>
      </c>
      <c r="B279" s="16" t="s">
        <v>562</v>
      </c>
      <c r="C279" s="16" t="s">
        <v>563</v>
      </c>
      <c r="D279" s="16" t="s">
        <v>138</v>
      </c>
      <c r="E279" s="17" t="n">
        <v>17114382</v>
      </c>
      <c r="F279" s="17" t="n">
        <v>0</v>
      </c>
      <c r="G279" s="11" t="n">
        <f aca="false">E279-F279</f>
        <v>17114382</v>
      </c>
      <c r="H279" s="5" t="n">
        <v>46203</v>
      </c>
      <c r="I279" s="16" t="s">
        <v>139</v>
      </c>
      <c r="J279" s="16" t="s">
        <v>670</v>
      </c>
      <c r="K279" s="16" t="s">
        <v>104</v>
      </c>
      <c r="L279" s="16" t="s">
        <v>671</v>
      </c>
      <c r="M279" s="16" t="s">
        <v>106</v>
      </c>
      <c r="N279" s="12" t="s">
        <v>643</v>
      </c>
      <c r="O279" s="4" t="s">
        <v>568</v>
      </c>
      <c r="P279" s="4" t="s">
        <v>95</v>
      </c>
    </row>
    <row r="280" customFormat="false" ht="15" hidden="false" customHeight="false" outlineLevel="0" collapsed="false">
      <c r="A280" s="16" t="n">
        <v>277</v>
      </c>
      <c r="B280" s="16" t="s">
        <v>562</v>
      </c>
      <c r="C280" s="16" t="s">
        <v>563</v>
      </c>
      <c r="D280" s="16" t="s">
        <v>138</v>
      </c>
      <c r="E280" s="17" t="n">
        <v>17114382</v>
      </c>
      <c r="F280" s="17" t="n">
        <v>0</v>
      </c>
      <c r="G280" s="11" t="n">
        <f aca="false">E280-F280</f>
        <v>17114382</v>
      </c>
      <c r="H280" s="5" t="n">
        <v>46212</v>
      </c>
      <c r="I280" s="16" t="s">
        <v>139</v>
      </c>
      <c r="J280" s="16" t="s">
        <v>672</v>
      </c>
      <c r="K280" s="16" t="s">
        <v>104</v>
      </c>
      <c r="L280" s="16" t="s">
        <v>673</v>
      </c>
      <c r="M280" s="16" t="s">
        <v>106</v>
      </c>
      <c r="N280" s="12" t="s">
        <v>643</v>
      </c>
      <c r="O280" s="4" t="s">
        <v>568</v>
      </c>
      <c r="P280" s="4" t="s">
        <v>95</v>
      </c>
    </row>
    <row r="281" customFormat="false" ht="15" hidden="false" customHeight="false" outlineLevel="0" collapsed="false">
      <c r="A281" s="16" t="n">
        <v>278</v>
      </c>
      <c r="B281" s="16" t="s">
        <v>562</v>
      </c>
      <c r="C281" s="16" t="s">
        <v>563</v>
      </c>
      <c r="D281" s="16" t="s">
        <v>138</v>
      </c>
      <c r="E281" s="17" t="n">
        <v>8838594</v>
      </c>
      <c r="F281" s="17" t="n">
        <v>0</v>
      </c>
      <c r="G281" s="11" t="n">
        <f aca="false">E281-F281</f>
        <v>8838594</v>
      </c>
      <c r="H281" s="5" t="n">
        <v>46222</v>
      </c>
      <c r="I281" s="16" t="s">
        <v>139</v>
      </c>
      <c r="J281" s="16" t="s">
        <v>674</v>
      </c>
      <c r="K281" s="16" t="s">
        <v>104</v>
      </c>
      <c r="L281" s="16" t="s">
        <v>675</v>
      </c>
      <c r="M281" s="16" t="s">
        <v>106</v>
      </c>
      <c r="N281" s="12" t="s">
        <v>646</v>
      </c>
      <c r="O281" s="4" t="s">
        <v>568</v>
      </c>
      <c r="P281" s="4" t="s">
        <v>95</v>
      </c>
    </row>
    <row r="282" customFormat="false" ht="15" hidden="false" customHeight="false" outlineLevel="0" collapsed="false">
      <c r="A282" s="16" t="n">
        <v>279</v>
      </c>
      <c r="B282" s="16" t="s">
        <v>562</v>
      </c>
      <c r="C282" s="16" t="s">
        <v>563</v>
      </c>
      <c r="D282" s="16" t="s">
        <v>138</v>
      </c>
      <c r="E282" s="17" t="n">
        <v>0</v>
      </c>
      <c r="F282" s="17" t="n">
        <v>103474304</v>
      </c>
      <c r="G282" s="11" t="n">
        <f aca="false">E282-F282</f>
        <v>-103474304</v>
      </c>
      <c r="H282" s="5" t="n">
        <v>46231</v>
      </c>
      <c r="I282" s="16" t="s">
        <v>139</v>
      </c>
      <c r="J282" s="16" t="s">
        <v>545</v>
      </c>
      <c r="K282" s="16" t="s">
        <v>92</v>
      </c>
      <c r="L282" s="16" t="s">
        <v>546</v>
      </c>
      <c r="M282" s="16" t="s">
        <v>85</v>
      </c>
      <c r="N282" s="12" t="s">
        <v>547</v>
      </c>
      <c r="O282" s="4" t="s">
        <v>568</v>
      </c>
      <c r="P282" s="4" t="s">
        <v>98</v>
      </c>
    </row>
    <row r="283" customFormat="false" ht="15" hidden="false" customHeight="false" outlineLevel="0" collapsed="false">
      <c r="A283" s="16" t="n">
        <v>280</v>
      </c>
      <c r="B283" s="16" t="s">
        <v>676</v>
      </c>
      <c r="C283" s="16" t="s">
        <v>677</v>
      </c>
      <c r="D283" s="16" t="s">
        <v>80</v>
      </c>
      <c r="E283" s="17" t="n">
        <v>0</v>
      </c>
      <c r="F283" s="17" t="n">
        <v>37459000</v>
      </c>
      <c r="G283" s="11" t="n">
        <f aca="false">E283-F283</f>
        <v>-37459000</v>
      </c>
      <c r="H283" s="5" t="n">
        <v>46050</v>
      </c>
      <c r="I283" s="16" t="s">
        <v>210</v>
      </c>
      <c r="J283" s="16" t="s">
        <v>678</v>
      </c>
      <c r="K283" s="16" t="s">
        <v>92</v>
      </c>
      <c r="L283" s="16" t="s">
        <v>679</v>
      </c>
      <c r="M283" s="16" t="s">
        <v>85</v>
      </c>
      <c r="N283" s="12" t="s">
        <v>86</v>
      </c>
      <c r="O283" s="4" t="s">
        <v>680</v>
      </c>
      <c r="P283" s="4" t="s">
        <v>681</v>
      </c>
    </row>
    <row r="284" customFormat="false" ht="15" hidden="false" customHeight="false" outlineLevel="0" collapsed="false">
      <c r="A284" s="16" t="n">
        <v>281</v>
      </c>
      <c r="B284" s="16" t="s">
        <v>676</v>
      </c>
      <c r="C284" s="16" t="s">
        <v>677</v>
      </c>
      <c r="D284" s="16" t="s">
        <v>80</v>
      </c>
      <c r="E284" s="17" t="n">
        <v>0</v>
      </c>
      <c r="F284" s="17" t="n">
        <v>41262083</v>
      </c>
      <c r="G284" s="11" t="n">
        <f aca="false">E284-F284</f>
        <v>-41262083</v>
      </c>
      <c r="H284" s="5" t="n">
        <v>46072</v>
      </c>
      <c r="I284" s="16" t="s">
        <v>210</v>
      </c>
      <c r="J284" s="16" t="s">
        <v>682</v>
      </c>
      <c r="K284" s="16" t="s">
        <v>92</v>
      </c>
      <c r="L284" s="16" t="s">
        <v>683</v>
      </c>
      <c r="M284" s="16" t="s">
        <v>85</v>
      </c>
      <c r="N284" s="12" t="s">
        <v>86</v>
      </c>
      <c r="O284" s="4" t="s">
        <v>680</v>
      </c>
      <c r="P284" s="4" t="s">
        <v>681</v>
      </c>
    </row>
    <row r="285" customFormat="false" ht="15" hidden="false" customHeight="false" outlineLevel="0" collapsed="false">
      <c r="A285" s="16" t="n">
        <v>282</v>
      </c>
      <c r="B285" s="16" t="s">
        <v>676</v>
      </c>
      <c r="C285" s="16" t="s">
        <v>677</v>
      </c>
      <c r="D285" s="16" t="s">
        <v>80</v>
      </c>
      <c r="E285" s="17" t="n">
        <v>0</v>
      </c>
      <c r="F285" s="17" t="n">
        <v>38520417</v>
      </c>
      <c r="G285" s="11" t="n">
        <f aca="false">E285-F285</f>
        <v>-38520417</v>
      </c>
      <c r="H285" s="5" t="n">
        <v>46099</v>
      </c>
      <c r="I285" s="16" t="s">
        <v>210</v>
      </c>
      <c r="J285" s="16" t="s">
        <v>684</v>
      </c>
      <c r="K285" s="16" t="s">
        <v>92</v>
      </c>
      <c r="L285" s="16" t="s">
        <v>685</v>
      </c>
      <c r="M285" s="16" t="s">
        <v>85</v>
      </c>
      <c r="N285" s="12" t="s">
        <v>86</v>
      </c>
      <c r="O285" s="4" t="s">
        <v>680</v>
      </c>
      <c r="P285" s="4" t="s">
        <v>681</v>
      </c>
    </row>
    <row r="286" customFormat="false" ht="15" hidden="false" customHeight="false" outlineLevel="0" collapsed="false">
      <c r="A286" s="16" t="n">
        <v>283</v>
      </c>
      <c r="B286" s="16" t="s">
        <v>676</v>
      </c>
      <c r="C286" s="16" t="s">
        <v>677</v>
      </c>
      <c r="D286" s="16" t="s">
        <v>80</v>
      </c>
      <c r="E286" s="17" t="n">
        <v>117241500</v>
      </c>
      <c r="F286" s="17" t="n">
        <v>0</v>
      </c>
      <c r="G286" s="11" t="n">
        <f aca="false">E286-F286</f>
        <v>117241500</v>
      </c>
      <c r="H286" s="5" t="n">
        <v>46108</v>
      </c>
      <c r="I286" s="16" t="s">
        <v>81</v>
      </c>
      <c r="J286" s="16" t="s">
        <v>686</v>
      </c>
      <c r="K286" s="16" t="s">
        <v>160</v>
      </c>
      <c r="L286" s="16" t="s">
        <v>687</v>
      </c>
      <c r="M286" s="16" t="s">
        <v>106</v>
      </c>
      <c r="N286" s="12" t="s">
        <v>86</v>
      </c>
      <c r="O286" s="4" t="s">
        <v>680</v>
      </c>
      <c r="P286" s="4" t="s">
        <v>688</v>
      </c>
    </row>
    <row r="287" customFormat="false" ht="15" hidden="false" customHeight="false" outlineLevel="0" collapsed="false">
      <c r="A287" s="16" t="n">
        <v>284</v>
      </c>
      <c r="B287" s="16" t="s">
        <v>676</v>
      </c>
      <c r="C287" s="16" t="s">
        <v>677</v>
      </c>
      <c r="D287" s="16" t="s">
        <v>80</v>
      </c>
      <c r="E287" s="17" t="n">
        <v>0</v>
      </c>
      <c r="F287" s="17" t="n">
        <v>46894250</v>
      </c>
      <c r="G287" s="11" t="n">
        <f aca="false">E287-F287</f>
        <v>-46894250</v>
      </c>
      <c r="H287" s="5" t="n">
        <v>46134</v>
      </c>
      <c r="I287" s="16" t="s">
        <v>210</v>
      </c>
      <c r="J287" s="16" t="s">
        <v>689</v>
      </c>
      <c r="K287" s="16" t="s">
        <v>92</v>
      </c>
      <c r="L287" s="16" t="s">
        <v>690</v>
      </c>
      <c r="M287" s="16" t="s">
        <v>85</v>
      </c>
      <c r="N287" s="12" t="s">
        <v>86</v>
      </c>
      <c r="O287" s="4" t="s">
        <v>680</v>
      </c>
      <c r="P287" s="4" t="s">
        <v>681</v>
      </c>
    </row>
    <row r="288" customFormat="false" ht="15" hidden="false" customHeight="false" outlineLevel="0" collapsed="false">
      <c r="A288" s="16" t="n">
        <v>285</v>
      </c>
      <c r="B288" s="16" t="s">
        <v>676</v>
      </c>
      <c r="C288" s="16" t="s">
        <v>677</v>
      </c>
      <c r="D288" s="16" t="s">
        <v>80</v>
      </c>
      <c r="E288" s="17" t="n">
        <v>0</v>
      </c>
      <c r="F288" s="17" t="n">
        <v>48554917</v>
      </c>
      <c r="G288" s="11" t="n">
        <f aca="false">E288-F288</f>
        <v>-48554917</v>
      </c>
      <c r="H288" s="5" t="n">
        <v>46162</v>
      </c>
      <c r="I288" s="16" t="s">
        <v>210</v>
      </c>
      <c r="J288" s="16" t="s">
        <v>691</v>
      </c>
      <c r="K288" s="16" t="s">
        <v>92</v>
      </c>
      <c r="L288" s="16" t="s">
        <v>692</v>
      </c>
      <c r="M288" s="16" t="s">
        <v>85</v>
      </c>
      <c r="N288" s="12" t="s">
        <v>86</v>
      </c>
      <c r="O288" s="4" t="s">
        <v>680</v>
      </c>
      <c r="P288" s="4" t="s">
        <v>681</v>
      </c>
    </row>
    <row r="289" customFormat="false" ht="15" hidden="false" customHeight="false" outlineLevel="0" collapsed="false">
      <c r="A289" s="16" t="n">
        <v>286</v>
      </c>
      <c r="B289" s="16" t="s">
        <v>676</v>
      </c>
      <c r="C289" s="16" t="s">
        <v>677</v>
      </c>
      <c r="D289" s="16" t="s">
        <v>80</v>
      </c>
      <c r="E289" s="17" t="n">
        <v>141154577.78</v>
      </c>
      <c r="F289" s="17" t="n">
        <v>0</v>
      </c>
      <c r="G289" s="11" t="n">
        <f aca="false">E289-F289</f>
        <v>141154577.78</v>
      </c>
      <c r="H289" s="5" t="n">
        <v>46203</v>
      </c>
      <c r="I289" s="16" t="s">
        <v>81</v>
      </c>
      <c r="J289" s="16" t="s">
        <v>693</v>
      </c>
      <c r="K289" s="16" t="s">
        <v>160</v>
      </c>
      <c r="L289" s="16" t="s">
        <v>694</v>
      </c>
      <c r="M289" s="16" t="s">
        <v>106</v>
      </c>
      <c r="N289" s="12" t="s">
        <v>86</v>
      </c>
      <c r="O289" s="4" t="s">
        <v>680</v>
      </c>
      <c r="P289" s="4" t="s">
        <v>688</v>
      </c>
    </row>
    <row r="290" customFormat="false" ht="15" hidden="false" customHeight="false" outlineLevel="0" collapsed="false">
      <c r="A290" s="16" t="n">
        <v>287</v>
      </c>
      <c r="B290" s="16" t="s">
        <v>676</v>
      </c>
      <c r="C290" s="16" t="s">
        <v>677</v>
      </c>
      <c r="D290" s="16" t="s">
        <v>80</v>
      </c>
      <c r="E290" s="17" t="n">
        <v>0.22</v>
      </c>
      <c r="F290" s="17" t="n">
        <v>0</v>
      </c>
      <c r="G290" s="11" t="n">
        <f aca="false">E290-F290</f>
        <v>0.22</v>
      </c>
      <c r="H290" s="5" t="n">
        <v>46203</v>
      </c>
      <c r="I290" s="16" t="s">
        <v>81</v>
      </c>
      <c r="J290" s="16" t="s">
        <v>695</v>
      </c>
      <c r="K290" s="16" t="s">
        <v>160</v>
      </c>
      <c r="L290" s="16" t="s">
        <v>696</v>
      </c>
      <c r="M290" s="16" t="s">
        <v>176</v>
      </c>
      <c r="N290" s="12" t="s">
        <v>697</v>
      </c>
      <c r="O290" s="4" t="s">
        <v>680</v>
      </c>
      <c r="P290" s="4" t="s">
        <v>698</v>
      </c>
    </row>
    <row r="291" customFormat="false" ht="15" hidden="false" customHeight="false" outlineLevel="0" collapsed="false">
      <c r="A291" s="16" t="n">
        <v>288</v>
      </c>
      <c r="B291" s="16" t="s">
        <v>676</v>
      </c>
      <c r="C291" s="16" t="s">
        <v>677</v>
      </c>
      <c r="D291" s="16" t="s">
        <v>80</v>
      </c>
      <c r="E291" s="17" t="n">
        <v>0</v>
      </c>
      <c r="F291" s="17" t="n">
        <v>45705411</v>
      </c>
      <c r="G291" s="11" t="n">
        <f aca="false">E291-F291</f>
        <v>-45705411</v>
      </c>
      <c r="H291" s="5" t="n">
        <v>46203</v>
      </c>
      <c r="I291" s="16" t="s">
        <v>210</v>
      </c>
      <c r="J291" s="16" t="s">
        <v>699</v>
      </c>
      <c r="K291" s="16" t="s">
        <v>92</v>
      </c>
      <c r="L291" s="16" t="s">
        <v>700</v>
      </c>
      <c r="M291" s="16" t="s">
        <v>85</v>
      </c>
      <c r="N291" s="12" t="s">
        <v>86</v>
      </c>
      <c r="O291" s="4" t="s">
        <v>680</v>
      </c>
      <c r="P291" s="4" t="s">
        <v>681</v>
      </c>
    </row>
    <row r="292" customFormat="false" ht="15" hidden="false" customHeight="false" outlineLevel="0" collapsed="false">
      <c r="A292" s="16" t="n">
        <v>289</v>
      </c>
      <c r="B292" s="16" t="s">
        <v>676</v>
      </c>
      <c r="C292" s="16" t="s">
        <v>677</v>
      </c>
      <c r="D292" s="16" t="s">
        <v>89</v>
      </c>
      <c r="E292" s="17" t="n">
        <v>0</v>
      </c>
      <c r="F292" s="17" t="n">
        <v>82268750</v>
      </c>
      <c r="G292" s="11" t="n">
        <f aca="false">E292-F292</f>
        <v>-82268750</v>
      </c>
      <c r="H292" s="5" t="n">
        <v>46050</v>
      </c>
      <c r="I292" s="16" t="s">
        <v>210</v>
      </c>
      <c r="J292" s="16" t="s">
        <v>678</v>
      </c>
      <c r="K292" s="16" t="s">
        <v>92</v>
      </c>
      <c r="L292" s="16" t="s">
        <v>701</v>
      </c>
      <c r="M292" s="16" t="s">
        <v>85</v>
      </c>
      <c r="N292" s="12" t="s">
        <v>702</v>
      </c>
      <c r="O292" s="4" t="s">
        <v>680</v>
      </c>
      <c r="P292" s="4" t="s">
        <v>681</v>
      </c>
    </row>
    <row r="293" customFormat="false" ht="15" hidden="false" customHeight="false" outlineLevel="0" collapsed="false">
      <c r="A293" s="16" t="n">
        <v>290</v>
      </c>
      <c r="B293" s="16" t="s">
        <v>676</v>
      </c>
      <c r="C293" s="16" t="s">
        <v>677</v>
      </c>
      <c r="D293" s="16" t="s">
        <v>89</v>
      </c>
      <c r="E293" s="17" t="n">
        <v>0</v>
      </c>
      <c r="F293" s="17" t="n">
        <v>37346400</v>
      </c>
      <c r="G293" s="11" t="n">
        <f aca="false">E293-F293</f>
        <v>-37346400</v>
      </c>
      <c r="H293" s="5" t="n">
        <v>46050</v>
      </c>
      <c r="I293" s="16" t="s">
        <v>210</v>
      </c>
      <c r="J293" s="16" t="s">
        <v>678</v>
      </c>
      <c r="K293" s="16" t="s">
        <v>92</v>
      </c>
      <c r="L293" s="16" t="s">
        <v>703</v>
      </c>
      <c r="M293" s="16" t="s">
        <v>85</v>
      </c>
      <c r="N293" s="12" t="s">
        <v>704</v>
      </c>
      <c r="O293" s="4" t="s">
        <v>680</v>
      </c>
      <c r="P293" s="4" t="s">
        <v>681</v>
      </c>
    </row>
    <row r="294" customFormat="false" ht="15" hidden="false" customHeight="false" outlineLevel="0" collapsed="false">
      <c r="A294" s="16" t="n">
        <v>291</v>
      </c>
      <c r="B294" s="16" t="s">
        <v>676</v>
      </c>
      <c r="C294" s="16" t="s">
        <v>677</v>
      </c>
      <c r="D294" s="16" t="s">
        <v>89</v>
      </c>
      <c r="E294" s="17" t="n">
        <v>0</v>
      </c>
      <c r="F294" s="17" t="n">
        <v>19576667</v>
      </c>
      <c r="G294" s="11" t="n">
        <f aca="false">E294-F294</f>
        <v>-19576667</v>
      </c>
      <c r="H294" s="5" t="n">
        <v>46050</v>
      </c>
      <c r="I294" s="16" t="s">
        <v>210</v>
      </c>
      <c r="J294" s="16" t="s">
        <v>678</v>
      </c>
      <c r="K294" s="16" t="s">
        <v>92</v>
      </c>
      <c r="L294" s="16" t="s">
        <v>705</v>
      </c>
      <c r="M294" s="16" t="s">
        <v>85</v>
      </c>
      <c r="N294" s="12" t="s">
        <v>94</v>
      </c>
      <c r="O294" s="4" t="s">
        <v>680</v>
      </c>
      <c r="P294" s="4" t="s">
        <v>681</v>
      </c>
    </row>
    <row r="295" customFormat="false" ht="15" hidden="false" customHeight="false" outlineLevel="0" collapsed="false">
      <c r="A295" s="16" t="n">
        <v>292</v>
      </c>
      <c r="B295" s="16" t="s">
        <v>676</v>
      </c>
      <c r="C295" s="16" t="s">
        <v>677</v>
      </c>
      <c r="D295" s="16" t="s">
        <v>89</v>
      </c>
      <c r="E295" s="17" t="n">
        <v>0</v>
      </c>
      <c r="F295" s="17" t="n">
        <v>28293000</v>
      </c>
      <c r="G295" s="11" t="n">
        <f aca="false">E295-F295</f>
        <v>-28293000</v>
      </c>
      <c r="H295" s="5" t="n">
        <v>46050</v>
      </c>
      <c r="I295" s="16" t="s">
        <v>210</v>
      </c>
      <c r="J295" s="16" t="s">
        <v>678</v>
      </c>
      <c r="K295" s="16" t="s">
        <v>92</v>
      </c>
      <c r="L295" s="16" t="s">
        <v>706</v>
      </c>
      <c r="M295" s="16" t="s">
        <v>85</v>
      </c>
      <c r="N295" s="12" t="s">
        <v>707</v>
      </c>
      <c r="O295" s="4" t="s">
        <v>680</v>
      </c>
      <c r="P295" s="4" t="s">
        <v>681</v>
      </c>
    </row>
    <row r="296" customFormat="false" ht="15" hidden="false" customHeight="false" outlineLevel="0" collapsed="false">
      <c r="A296" s="16" t="n">
        <v>293</v>
      </c>
      <c r="B296" s="16" t="s">
        <v>676</v>
      </c>
      <c r="C296" s="16" t="s">
        <v>677</v>
      </c>
      <c r="D296" s="16" t="s">
        <v>89</v>
      </c>
      <c r="E296" s="17" t="n">
        <v>243933000</v>
      </c>
      <c r="F296" s="17" t="n">
        <v>0</v>
      </c>
      <c r="G296" s="11" t="n">
        <f aca="false">E296-F296</f>
        <v>243933000</v>
      </c>
      <c r="H296" s="5" t="n">
        <v>46051</v>
      </c>
      <c r="I296" s="16" t="s">
        <v>564</v>
      </c>
      <c r="J296" s="16" t="s">
        <v>708</v>
      </c>
      <c r="K296" s="16" t="s">
        <v>160</v>
      </c>
      <c r="L296" s="16" t="s">
        <v>709</v>
      </c>
      <c r="M296" s="16" t="s">
        <v>106</v>
      </c>
      <c r="N296" s="12" t="s">
        <v>704</v>
      </c>
      <c r="O296" s="4" t="s">
        <v>680</v>
      </c>
      <c r="P296" s="4" t="s">
        <v>688</v>
      </c>
    </row>
    <row r="297" customFormat="false" ht="15" hidden="false" customHeight="false" outlineLevel="0" collapsed="false">
      <c r="A297" s="16" t="n">
        <v>294</v>
      </c>
      <c r="B297" s="16" t="s">
        <v>676</v>
      </c>
      <c r="C297" s="16" t="s">
        <v>677</v>
      </c>
      <c r="D297" s="16" t="s">
        <v>89</v>
      </c>
      <c r="E297" s="17" t="n">
        <v>184798000</v>
      </c>
      <c r="F297" s="17" t="n">
        <v>0</v>
      </c>
      <c r="G297" s="11" t="n">
        <f aca="false">E297-F297</f>
        <v>184798000</v>
      </c>
      <c r="H297" s="5" t="n">
        <v>46051</v>
      </c>
      <c r="I297" s="16" t="s">
        <v>564</v>
      </c>
      <c r="J297" s="16" t="s">
        <v>710</v>
      </c>
      <c r="K297" s="16" t="s">
        <v>160</v>
      </c>
      <c r="L297" s="16" t="s">
        <v>711</v>
      </c>
      <c r="M297" s="16" t="s">
        <v>106</v>
      </c>
      <c r="N297" s="12" t="s">
        <v>707</v>
      </c>
      <c r="O297" s="4" t="s">
        <v>680</v>
      </c>
      <c r="P297" s="4" t="s">
        <v>688</v>
      </c>
    </row>
    <row r="298" customFormat="false" ht="15" hidden="false" customHeight="false" outlineLevel="0" collapsed="false">
      <c r="A298" s="16" t="n">
        <v>295</v>
      </c>
      <c r="B298" s="16" t="s">
        <v>676</v>
      </c>
      <c r="C298" s="16" t="s">
        <v>677</v>
      </c>
      <c r="D298" s="16" t="s">
        <v>89</v>
      </c>
      <c r="E298" s="17" t="n">
        <v>475210000</v>
      </c>
      <c r="F298" s="17" t="n">
        <v>0</v>
      </c>
      <c r="G298" s="11" t="n">
        <f aca="false">E298-F298</f>
        <v>475210000</v>
      </c>
      <c r="H298" s="5" t="n">
        <v>46053</v>
      </c>
      <c r="I298" s="16" t="s">
        <v>564</v>
      </c>
      <c r="J298" s="16" t="s">
        <v>712</v>
      </c>
      <c r="K298" s="16" t="s">
        <v>551</v>
      </c>
      <c r="L298" s="16" t="s">
        <v>713</v>
      </c>
      <c r="M298" s="16" t="s">
        <v>106</v>
      </c>
      <c r="N298" s="12" t="s">
        <v>94</v>
      </c>
      <c r="O298" s="4" t="s">
        <v>680</v>
      </c>
      <c r="P298" s="4" t="s">
        <v>688</v>
      </c>
    </row>
    <row r="299" customFormat="false" ht="15" hidden="false" customHeight="false" outlineLevel="0" collapsed="false">
      <c r="A299" s="16" t="n">
        <v>296</v>
      </c>
      <c r="B299" s="16" t="s">
        <v>676</v>
      </c>
      <c r="C299" s="16" t="s">
        <v>677</v>
      </c>
      <c r="D299" s="16" t="s">
        <v>89</v>
      </c>
      <c r="E299" s="17" t="n">
        <v>0</v>
      </c>
      <c r="F299" s="17" t="n">
        <v>46450000</v>
      </c>
      <c r="G299" s="11" t="n">
        <f aca="false">E299-F299</f>
        <v>-46450000</v>
      </c>
      <c r="H299" s="5" t="n">
        <v>46053</v>
      </c>
      <c r="I299" s="16" t="s">
        <v>210</v>
      </c>
      <c r="J299" s="16" t="s">
        <v>714</v>
      </c>
      <c r="K299" s="16" t="s">
        <v>92</v>
      </c>
      <c r="L299" s="16" t="s">
        <v>715</v>
      </c>
      <c r="M299" s="16" t="s">
        <v>85</v>
      </c>
      <c r="N299" s="12" t="s">
        <v>94</v>
      </c>
      <c r="O299" s="4" t="s">
        <v>680</v>
      </c>
      <c r="P299" s="4" t="s">
        <v>681</v>
      </c>
    </row>
    <row r="300" customFormat="false" ht="15" hidden="false" customHeight="false" outlineLevel="0" collapsed="false">
      <c r="A300" s="16" t="n">
        <v>297</v>
      </c>
      <c r="B300" s="16" t="s">
        <v>676</v>
      </c>
      <c r="C300" s="16" t="s">
        <v>677</v>
      </c>
      <c r="D300" s="16" t="s">
        <v>89</v>
      </c>
      <c r="E300" s="17" t="n">
        <v>0</v>
      </c>
      <c r="F300" s="17" t="n">
        <v>83125000</v>
      </c>
      <c r="G300" s="11" t="n">
        <f aca="false">E300-F300</f>
        <v>-83125000</v>
      </c>
      <c r="H300" s="5" t="n">
        <v>46072</v>
      </c>
      <c r="I300" s="16" t="s">
        <v>210</v>
      </c>
      <c r="J300" s="16" t="s">
        <v>682</v>
      </c>
      <c r="K300" s="16" t="s">
        <v>92</v>
      </c>
      <c r="L300" s="16" t="s">
        <v>716</v>
      </c>
      <c r="M300" s="16" t="s">
        <v>85</v>
      </c>
      <c r="N300" s="12" t="s">
        <v>702</v>
      </c>
      <c r="O300" s="4" t="s">
        <v>680</v>
      </c>
      <c r="P300" s="4" t="s">
        <v>681</v>
      </c>
    </row>
    <row r="301" customFormat="false" ht="15" hidden="false" customHeight="false" outlineLevel="0" collapsed="false">
      <c r="A301" s="16" t="n">
        <v>298</v>
      </c>
      <c r="B301" s="16" t="s">
        <v>676</v>
      </c>
      <c r="C301" s="16" t="s">
        <v>677</v>
      </c>
      <c r="D301" s="16" t="s">
        <v>89</v>
      </c>
      <c r="E301" s="17" t="n">
        <v>0</v>
      </c>
      <c r="F301" s="17" t="n">
        <v>45210000</v>
      </c>
      <c r="G301" s="11" t="n">
        <f aca="false">E301-F301</f>
        <v>-45210000</v>
      </c>
      <c r="H301" s="5" t="n">
        <v>46072</v>
      </c>
      <c r="I301" s="16" t="s">
        <v>210</v>
      </c>
      <c r="J301" s="16" t="s">
        <v>682</v>
      </c>
      <c r="K301" s="16" t="s">
        <v>92</v>
      </c>
      <c r="L301" s="16" t="s">
        <v>717</v>
      </c>
      <c r="M301" s="16" t="s">
        <v>85</v>
      </c>
      <c r="N301" s="12" t="s">
        <v>704</v>
      </c>
      <c r="O301" s="4" t="s">
        <v>680</v>
      </c>
      <c r="P301" s="4" t="s">
        <v>681</v>
      </c>
    </row>
    <row r="302" customFormat="false" ht="15" hidden="false" customHeight="false" outlineLevel="0" collapsed="false">
      <c r="A302" s="16" t="n">
        <v>299</v>
      </c>
      <c r="B302" s="16" t="s">
        <v>676</v>
      </c>
      <c r="C302" s="16" t="s">
        <v>677</v>
      </c>
      <c r="D302" s="16" t="s">
        <v>89</v>
      </c>
      <c r="E302" s="17" t="n">
        <v>0</v>
      </c>
      <c r="F302" s="17" t="n">
        <v>34250000</v>
      </c>
      <c r="G302" s="11" t="n">
        <f aca="false">E302-F302</f>
        <v>-34250000</v>
      </c>
      <c r="H302" s="5" t="n">
        <v>46072</v>
      </c>
      <c r="I302" s="16" t="s">
        <v>210</v>
      </c>
      <c r="J302" s="16" t="s">
        <v>682</v>
      </c>
      <c r="K302" s="16" t="s">
        <v>92</v>
      </c>
      <c r="L302" s="16" t="s">
        <v>718</v>
      </c>
      <c r="M302" s="16" t="s">
        <v>85</v>
      </c>
      <c r="N302" s="12" t="s">
        <v>707</v>
      </c>
      <c r="O302" s="4" t="s">
        <v>680</v>
      </c>
      <c r="P302" s="4" t="s">
        <v>681</v>
      </c>
    </row>
    <row r="303" customFormat="false" ht="15" hidden="false" customHeight="false" outlineLevel="0" collapsed="false">
      <c r="A303" s="16" t="n">
        <v>300</v>
      </c>
      <c r="B303" s="16" t="s">
        <v>676</v>
      </c>
      <c r="C303" s="16" t="s">
        <v>677</v>
      </c>
      <c r="D303" s="16" t="s">
        <v>89</v>
      </c>
      <c r="E303" s="17" t="n">
        <v>0</v>
      </c>
      <c r="F303" s="17" t="n">
        <v>48458000</v>
      </c>
      <c r="G303" s="11" t="n">
        <f aca="false">E303-F303</f>
        <v>-48458000</v>
      </c>
      <c r="H303" s="5" t="n">
        <v>46099</v>
      </c>
      <c r="I303" s="16" t="s">
        <v>210</v>
      </c>
      <c r="J303" s="16" t="s">
        <v>684</v>
      </c>
      <c r="K303" s="16" t="s">
        <v>92</v>
      </c>
      <c r="L303" s="16" t="s">
        <v>719</v>
      </c>
      <c r="M303" s="16" t="s">
        <v>85</v>
      </c>
      <c r="N303" s="12" t="s">
        <v>702</v>
      </c>
      <c r="O303" s="4" t="s">
        <v>680</v>
      </c>
      <c r="P303" s="4" t="s">
        <v>681</v>
      </c>
    </row>
    <row r="304" customFormat="false" ht="15" hidden="false" customHeight="false" outlineLevel="0" collapsed="false">
      <c r="A304" s="16" t="n">
        <v>301</v>
      </c>
      <c r="B304" s="16" t="s">
        <v>676</v>
      </c>
      <c r="C304" s="16" t="s">
        <v>677</v>
      </c>
      <c r="D304" s="16" t="s">
        <v>89</v>
      </c>
      <c r="E304" s="17" t="n">
        <v>0</v>
      </c>
      <c r="F304" s="17" t="n">
        <v>48741000</v>
      </c>
      <c r="G304" s="11" t="n">
        <f aca="false">E304-F304</f>
        <v>-48741000</v>
      </c>
      <c r="H304" s="5" t="n">
        <v>46099</v>
      </c>
      <c r="I304" s="16" t="s">
        <v>210</v>
      </c>
      <c r="J304" s="16" t="s">
        <v>684</v>
      </c>
      <c r="K304" s="16" t="s">
        <v>92</v>
      </c>
      <c r="L304" s="16" t="s">
        <v>720</v>
      </c>
      <c r="M304" s="16" t="s">
        <v>85</v>
      </c>
      <c r="N304" s="12" t="s">
        <v>704</v>
      </c>
      <c r="O304" s="4" t="s">
        <v>680</v>
      </c>
      <c r="P304" s="4" t="s">
        <v>681</v>
      </c>
    </row>
    <row r="305" customFormat="false" ht="15" hidden="false" customHeight="false" outlineLevel="0" collapsed="false">
      <c r="A305" s="16" t="n">
        <v>302</v>
      </c>
      <c r="B305" s="16" t="s">
        <v>676</v>
      </c>
      <c r="C305" s="16" t="s">
        <v>677</v>
      </c>
      <c r="D305" s="16" t="s">
        <v>89</v>
      </c>
      <c r="E305" s="17" t="n">
        <v>0</v>
      </c>
      <c r="F305" s="17" t="n">
        <v>36925000</v>
      </c>
      <c r="G305" s="11" t="n">
        <f aca="false">E305-F305</f>
        <v>-36925000</v>
      </c>
      <c r="H305" s="5" t="n">
        <v>46099</v>
      </c>
      <c r="I305" s="16" t="s">
        <v>210</v>
      </c>
      <c r="J305" s="16" t="s">
        <v>684</v>
      </c>
      <c r="K305" s="16" t="s">
        <v>92</v>
      </c>
      <c r="L305" s="16" t="s">
        <v>721</v>
      </c>
      <c r="M305" s="16" t="s">
        <v>85</v>
      </c>
      <c r="N305" s="12" t="s">
        <v>707</v>
      </c>
      <c r="O305" s="4" t="s">
        <v>680</v>
      </c>
      <c r="P305" s="4" t="s">
        <v>681</v>
      </c>
    </row>
    <row r="306" customFormat="false" ht="15" hidden="false" customHeight="false" outlineLevel="0" collapsed="false">
      <c r="A306" s="16" t="n">
        <v>303</v>
      </c>
      <c r="B306" s="16" t="s">
        <v>676</v>
      </c>
      <c r="C306" s="16" t="s">
        <v>677</v>
      </c>
      <c r="D306" s="16" t="s">
        <v>89</v>
      </c>
      <c r="E306" s="17" t="n">
        <v>445208000</v>
      </c>
      <c r="F306" s="17" t="n">
        <v>0</v>
      </c>
      <c r="G306" s="11" t="n">
        <f aca="false">E306-F306</f>
        <v>445208000</v>
      </c>
      <c r="H306" s="5" t="n">
        <v>46105</v>
      </c>
      <c r="I306" s="16" t="s">
        <v>564</v>
      </c>
      <c r="J306" s="16" t="s">
        <v>722</v>
      </c>
      <c r="K306" s="16" t="s">
        <v>160</v>
      </c>
      <c r="L306" s="16" t="s">
        <v>723</v>
      </c>
      <c r="M306" s="16" t="s">
        <v>106</v>
      </c>
      <c r="N306" s="12" t="s">
        <v>702</v>
      </c>
      <c r="O306" s="4" t="s">
        <v>680</v>
      </c>
      <c r="P306" s="4" t="s">
        <v>688</v>
      </c>
    </row>
    <row r="307" customFormat="false" ht="15" hidden="false" customHeight="false" outlineLevel="0" collapsed="false">
      <c r="A307" s="16" t="n">
        <v>304</v>
      </c>
      <c r="B307" s="16" t="s">
        <v>676</v>
      </c>
      <c r="C307" s="16" t="s">
        <v>677</v>
      </c>
      <c r="D307" s="16" t="s">
        <v>89</v>
      </c>
      <c r="E307" s="17" t="n">
        <v>0</v>
      </c>
      <c r="F307" s="17" t="n">
        <v>91937500</v>
      </c>
      <c r="G307" s="11" t="n">
        <f aca="false">E307-F307</f>
        <v>-91937500</v>
      </c>
      <c r="H307" s="5" t="n">
        <v>46134</v>
      </c>
      <c r="I307" s="16" t="s">
        <v>210</v>
      </c>
      <c r="J307" s="16" t="s">
        <v>689</v>
      </c>
      <c r="K307" s="16" t="s">
        <v>92</v>
      </c>
      <c r="L307" s="16" t="s">
        <v>724</v>
      </c>
      <c r="M307" s="16" t="s">
        <v>85</v>
      </c>
      <c r="N307" s="12" t="s">
        <v>702</v>
      </c>
      <c r="O307" s="4" t="s">
        <v>680</v>
      </c>
      <c r="P307" s="4" t="s">
        <v>681</v>
      </c>
    </row>
    <row r="308" customFormat="false" ht="15" hidden="false" customHeight="false" outlineLevel="0" collapsed="false">
      <c r="A308" s="16" t="n">
        <v>305</v>
      </c>
      <c r="B308" s="16" t="s">
        <v>676</v>
      </c>
      <c r="C308" s="16" t="s">
        <v>677</v>
      </c>
      <c r="D308" s="16" t="s">
        <v>89</v>
      </c>
      <c r="E308" s="17" t="n">
        <v>0</v>
      </c>
      <c r="F308" s="17" t="n">
        <v>49863000</v>
      </c>
      <c r="G308" s="11" t="n">
        <f aca="false">E308-F308</f>
        <v>-49863000</v>
      </c>
      <c r="H308" s="5" t="n">
        <v>46134</v>
      </c>
      <c r="I308" s="16" t="s">
        <v>210</v>
      </c>
      <c r="J308" s="16" t="s">
        <v>689</v>
      </c>
      <c r="K308" s="16" t="s">
        <v>92</v>
      </c>
      <c r="L308" s="16" t="s">
        <v>725</v>
      </c>
      <c r="M308" s="16" t="s">
        <v>85</v>
      </c>
      <c r="N308" s="12" t="s">
        <v>704</v>
      </c>
      <c r="O308" s="4" t="s">
        <v>680</v>
      </c>
      <c r="P308" s="4" t="s">
        <v>681</v>
      </c>
    </row>
    <row r="309" customFormat="false" ht="15" hidden="false" customHeight="false" outlineLevel="0" collapsed="false">
      <c r="A309" s="16" t="n">
        <v>306</v>
      </c>
      <c r="B309" s="16" t="s">
        <v>676</v>
      </c>
      <c r="C309" s="16" t="s">
        <v>677</v>
      </c>
      <c r="D309" s="16" t="s">
        <v>89</v>
      </c>
      <c r="E309" s="17" t="n">
        <v>0</v>
      </c>
      <c r="F309" s="17" t="n">
        <v>37775000</v>
      </c>
      <c r="G309" s="11" t="n">
        <f aca="false">E309-F309</f>
        <v>-37775000</v>
      </c>
      <c r="H309" s="5" t="n">
        <v>46134</v>
      </c>
      <c r="I309" s="16" t="s">
        <v>210</v>
      </c>
      <c r="J309" s="16" t="s">
        <v>689</v>
      </c>
      <c r="K309" s="16" t="s">
        <v>92</v>
      </c>
      <c r="L309" s="16" t="s">
        <v>726</v>
      </c>
      <c r="M309" s="16" t="s">
        <v>85</v>
      </c>
      <c r="N309" s="12" t="s">
        <v>707</v>
      </c>
      <c r="O309" s="4" t="s">
        <v>680</v>
      </c>
      <c r="P309" s="4" t="s">
        <v>681</v>
      </c>
    </row>
    <row r="310" customFormat="false" ht="15" hidden="false" customHeight="false" outlineLevel="0" collapsed="false">
      <c r="A310" s="16" t="n">
        <v>307</v>
      </c>
      <c r="B310" s="16" t="s">
        <v>676</v>
      </c>
      <c r="C310" s="16" t="s">
        <v>677</v>
      </c>
      <c r="D310" s="16" t="s">
        <v>89</v>
      </c>
      <c r="E310" s="17" t="n">
        <v>0</v>
      </c>
      <c r="F310" s="17" t="n">
        <v>94043750</v>
      </c>
      <c r="G310" s="11" t="n">
        <f aca="false">E310-F310</f>
        <v>-94043750</v>
      </c>
      <c r="H310" s="5" t="n">
        <v>46162</v>
      </c>
      <c r="I310" s="16" t="s">
        <v>210</v>
      </c>
      <c r="J310" s="16" t="s">
        <v>691</v>
      </c>
      <c r="K310" s="16" t="s">
        <v>92</v>
      </c>
      <c r="L310" s="16" t="s">
        <v>727</v>
      </c>
      <c r="M310" s="16" t="s">
        <v>85</v>
      </c>
      <c r="N310" s="12" t="s">
        <v>702</v>
      </c>
      <c r="O310" s="4" t="s">
        <v>680</v>
      </c>
      <c r="P310" s="4" t="s">
        <v>681</v>
      </c>
    </row>
    <row r="311" customFormat="false" ht="15" hidden="false" customHeight="false" outlineLevel="0" collapsed="false">
      <c r="A311" s="16" t="n">
        <v>308</v>
      </c>
      <c r="B311" s="16" t="s">
        <v>676</v>
      </c>
      <c r="C311" s="16" t="s">
        <v>677</v>
      </c>
      <c r="D311" s="16" t="s">
        <v>89</v>
      </c>
      <c r="E311" s="17" t="n">
        <v>0</v>
      </c>
      <c r="F311" s="17" t="n">
        <v>50975100</v>
      </c>
      <c r="G311" s="11" t="n">
        <f aca="false">E311-F311</f>
        <v>-50975100</v>
      </c>
      <c r="H311" s="5" t="n">
        <v>46162</v>
      </c>
      <c r="I311" s="16" t="s">
        <v>210</v>
      </c>
      <c r="J311" s="16" t="s">
        <v>691</v>
      </c>
      <c r="K311" s="16" t="s">
        <v>92</v>
      </c>
      <c r="L311" s="16" t="s">
        <v>728</v>
      </c>
      <c r="M311" s="16" t="s">
        <v>85</v>
      </c>
      <c r="N311" s="12" t="s">
        <v>704</v>
      </c>
      <c r="O311" s="4" t="s">
        <v>680</v>
      </c>
      <c r="P311" s="4" t="s">
        <v>681</v>
      </c>
    </row>
    <row r="312" customFormat="false" ht="15" hidden="false" customHeight="false" outlineLevel="0" collapsed="false">
      <c r="A312" s="16" t="n">
        <v>309</v>
      </c>
      <c r="B312" s="16" t="s">
        <v>676</v>
      </c>
      <c r="C312" s="16" t="s">
        <v>677</v>
      </c>
      <c r="D312" s="16" t="s">
        <v>89</v>
      </c>
      <c r="E312" s="17" t="n">
        <v>0</v>
      </c>
      <c r="F312" s="17" t="n">
        <v>38617500</v>
      </c>
      <c r="G312" s="11" t="n">
        <f aca="false">E312-F312</f>
        <v>-38617500</v>
      </c>
      <c r="H312" s="5" t="n">
        <v>46162</v>
      </c>
      <c r="I312" s="16" t="s">
        <v>210</v>
      </c>
      <c r="J312" s="16" t="s">
        <v>691</v>
      </c>
      <c r="K312" s="16" t="s">
        <v>92</v>
      </c>
      <c r="L312" s="16" t="s">
        <v>729</v>
      </c>
      <c r="M312" s="16" t="s">
        <v>85</v>
      </c>
      <c r="N312" s="12" t="s">
        <v>707</v>
      </c>
      <c r="O312" s="4" t="s">
        <v>680</v>
      </c>
      <c r="P312" s="4" t="s">
        <v>681</v>
      </c>
    </row>
    <row r="313" customFormat="false" ht="15" hidden="false" customHeight="false" outlineLevel="0" collapsed="false">
      <c r="A313" s="16" t="n">
        <v>310</v>
      </c>
      <c r="B313" s="16" t="s">
        <v>676</v>
      </c>
      <c r="C313" s="16" t="s">
        <v>677</v>
      </c>
      <c r="D313" s="16" t="s">
        <v>89</v>
      </c>
      <c r="E313" s="17" t="n">
        <v>0</v>
      </c>
      <c r="F313" s="17" t="n">
        <v>94043750</v>
      </c>
      <c r="G313" s="11" t="n">
        <f aca="false">E313-F313</f>
        <v>-94043750</v>
      </c>
      <c r="H313" s="5" t="n">
        <v>46203</v>
      </c>
      <c r="I313" s="16" t="s">
        <v>210</v>
      </c>
      <c r="J313" s="16" t="s">
        <v>699</v>
      </c>
      <c r="K313" s="16" t="s">
        <v>92</v>
      </c>
      <c r="L313" s="16" t="s">
        <v>730</v>
      </c>
      <c r="M313" s="16" t="s">
        <v>85</v>
      </c>
      <c r="N313" s="12" t="s">
        <v>702</v>
      </c>
      <c r="O313" s="4" t="s">
        <v>680</v>
      </c>
      <c r="P313" s="4" t="s">
        <v>681</v>
      </c>
    </row>
    <row r="314" customFormat="false" ht="15" hidden="false" customHeight="false" outlineLevel="0" collapsed="false">
      <c r="A314" s="16" t="n">
        <v>311</v>
      </c>
      <c r="B314" s="16" t="s">
        <v>676</v>
      </c>
      <c r="C314" s="16" t="s">
        <v>677</v>
      </c>
      <c r="D314" s="16" t="s">
        <v>89</v>
      </c>
      <c r="E314" s="17" t="n">
        <v>0</v>
      </c>
      <c r="F314" s="17" t="n">
        <v>50975100</v>
      </c>
      <c r="G314" s="11" t="n">
        <f aca="false">E314-F314</f>
        <v>-50975100</v>
      </c>
      <c r="H314" s="5" t="n">
        <v>46203</v>
      </c>
      <c r="I314" s="16" t="s">
        <v>210</v>
      </c>
      <c r="J314" s="16" t="s">
        <v>699</v>
      </c>
      <c r="K314" s="16" t="s">
        <v>92</v>
      </c>
      <c r="L314" s="16" t="s">
        <v>731</v>
      </c>
      <c r="M314" s="16" t="s">
        <v>85</v>
      </c>
      <c r="N314" s="12" t="s">
        <v>704</v>
      </c>
      <c r="O314" s="4" t="s">
        <v>680</v>
      </c>
      <c r="P314" s="4" t="s">
        <v>681</v>
      </c>
    </row>
    <row r="315" customFormat="false" ht="15" hidden="false" customHeight="false" outlineLevel="0" collapsed="false">
      <c r="A315" s="16" t="n">
        <v>312</v>
      </c>
      <c r="B315" s="16" t="s">
        <v>676</v>
      </c>
      <c r="C315" s="16" t="s">
        <v>677</v>
      </c>
      <c r="D315" s="16" t="s">
        <v>89</v>
      </c>
      <c r="E315" s="17" t="n">
        <v>0</v>
      </c>
      <c r="F315" s="17" t="n">
        <v>38617500</v>
      </c>
      <c r="G315" s="11" t="n">
        <f aca="false">E315-F315</f>
        <v>-38617500</v>
      </c>
      <c r="H315" s="5" t="n">
        <v>46203</v>
      </c>
      <c r="I315" s="16" t="s">
        <v>210</v>
      </c>
      <c r="J315" s="16" t="s">
        <v>699</v>
      </c>
      <c r="K315" s="16" t="s">
        <v>92</v>
      </c>
      <c r="L315" s="16" t="s">
        <v>732</v>
      </c>
      <c r="M315" s="16" t="s">
        <v>85</v>
      </c>
      <c r="N315" s="12" t="s">
        <v>707</v>
      </c>
      <c r="O315" s="4" t="s">
        <v>680</v>
      </c>
      <c r="P315" s="4" t="s">
        <v>681</v>
      </c>
    </row>
    <row r="316" customFormat="false" ht="15" hidden="false" customHeight="false" outlineLevel="0" collapsed="false">
      <c r="A316" s="16" t="n">
        <v>313</v>
      </c>
      <c r="B316" s="16" t="s">
        <v>676</v>
      </c>
      <c r="C316" s="16" t="s">
        <v>677</v>
      </c>
      <c r="D316" s="16" t="s">
        <v>89</v>
      </c>
      <c r="E316" s="17" t="n">
        <v>0</v>
      </c>
      <c r="F316" s="17" t="n">
        <v>92375000</v>
      </c>
      <c r="G316" s="11" t="n">
        <f aca="false">E316-F316</f>
        <v>-92375000</v>
      </c>
      <c r="H316" s="5" t="n">
        <v>46227</v>
      </c>
      <c r="I316" s="16" t="s">
        <v>210</v>
      </c>
      <c r="J316" s="16" t="s">
        <v>733</v>
      </c>
      <c r="K316" s="16" t="s">
        <v>92</v>
      </c>
      <c r="L316" s="16" t="s">
        <v>734</v>
      </c>
      <c r="M316" s="16" t="s">
        <v>85</v>
      </c>
      <c r="N316" s="12" t="s">
        <v>702</v>
      </c>
      <c r="O316" s="4" t="s">
        <v>680</v>
      </c>
      <c r="P316" s="4" t="s">
        <v>681</v>
      </c>
    </row>
    <row r="317" customFormat="false" ht="15" hidden="false" customHeight="false" outlineLevel="0" collapsed="false">
      <c r="A317" s="16" t="n">
        <v>314</v>
      </c>
      <c r="B317" s="16" t="s">
        <v>676</v>
      </c>
      <c r="C317" s="16" t="s">
        <v>677</v>
      </c>
      <c r="D317" s="16" t="s">
        <v>89</v>
      </c>
      <c r="E317" s="17" t="n">
        <v>0</v>
      </c>
      <c r="F317" s="17" t="n">
        <v>26535800</v>
      </c>
      <c r="G317" s="11" t="n">
        <f aca="false">E317-F317</f>
        <v>-26535800</v>
      </c>
      <c r="H317" s="5" t="n">
        <v>46227</v>
      </c>
      <c r="I317" s="16" t="s">
        <v>210</v>
      </c>
      <c r="J317" s="16" t="s">
        <v>733</v>
      </c>
      <c r="K317" s="16" t="s">
        <v>92</v>
      </c>
      <c r="L317" s="16" t="s">
        <v>735</v>
      </c>
      <c r="M317" s="16" t="s">
        <v>85</v>
      </c>
      <c r="N317" s="12" t="s">
        <v>704</v>
      </c>
      <c r="O317" s="4" t="s">
        <v>680</v>
      </c>
      <c r="P317" s="4" t="s">
        <v>681</v>
      </c>
    </row>
    <row r="318" customFormat="false" ht="15" hidden="false" customHeight="false" outlineLevel="0" collapsed="false">
      <c r="A318" s="16" t="n">
        <v>315</v>
      </c>
      <c r="B318" s="16" t="s">
        <v>676</v>
      </c>
      <c r="C318" s="16" t="s">
        <v>677</v>
      </c>
      <c r="D318" s="16" t="s">
        <v>89</v>
      </c>
      <c r="E318" s="17" t="n">
        <v>0</v>
      </c>
      <c r="F318" s="17" t="n">
        <v>20103000</v>
      </c>
      <c r="G318" s="11" t="n">
        <f aca="false">E318-F318</f>
        <v>-20103000</v>
      </c>
      <c r="H318" s="5" t="n">
        <v>46227</v>
      </c>
      <c r="I318" s="16" t="s">
        <v>210</v>
      </c>
      <c r="J318" s="16" t="s">
        <v>733</v>
      </c>
      <c r="K318" s="16" t="s">
        <v>92</v>
      </c>
      <c r="L318" s="16" t="s">
        <v>736</v>
      </c>
      <c r="M318" s="16" t="s">
        <v>85</v>
      </c>
      <c r="N318" s="12" t="s">
        <v>707</v>
      </c>
      <c r="O318" s="4" t="s">
        <v>680</v>
      </c>
      <c r="P318" s="4" t="s">
        <v>681</v>
      </c>
    </row>
    <row r="319" customFormat="false" ht="15" hidden="false" customHeight="false" outlineLevel="0" collapsed="false">
      <c r="A319" s="16" t="n">
        <v>316</v>
      </c>
      <c r="B319" s="16" t="s">
        <v>676</v>
      </c>
      <c r="C319" s="16" t="s">
        <v>677</v>
      </c>
      <c r="D319" s="16" t="s">
        <v>89</v>
      </c>
      <c r="E319" s="17" t="n">
        <v>272300000</v>
      </c>
      <c r="F319" s="17" t="n">
        <v>0</v>
      </c>
      <c r="G319" s="11" t="n">
        <f aca="false">E319-F319</f>
        <v>272300000</v>
      </c>
      <c r="H319" s="5" t="n">
        <v>46231</v>
      </c>
      <c r="I319" s="16" t="s">
        <v>564</v>
      </c>
      <c r="J319" s="16" t="s">
        <v>737</v>
      </c>
      <c r="K319" s="16" t="s">
        <v>160</v>
      </c>
      <c r="L319" s="16" t="s">
        <v>738</v>
      </c>
      <c r="M319" s="16" t="s">
        <v>106</v>
      </c>
      <c r="N319" s="12" t="s">
        <v>704</v>
      </c>
      <c r="O319" s="4" t="s">
        <v>680</v>
      </c>
      <c r="P319" s="4" t="s">
        <v>688</v>
      </c>
    </row>
    <row r="320" customFormat="false" ht="15" hidden="false" customHeight="false" outlineLevel="0" collapsed="false">
      <c r="A320" s="16" t="n">
        <v>317</v>
      </c>
      <c r="B320" s="16" t="s">
        <v>676</v>
      </c>
      <c r="C320" s="16" t="s">
        <v>677</v>
      </c>
      <c r="D320" s="16" t="s">
        <v>89</v>
      </c>
      <c r="E320" s="17" t="n">
        <v>206288000</v>
      </c>
      <c r="F320" s="17" t="n">
        <v>0</v>
      </c>
      <c r="G320" s="11" t="n">
        <f aca="false">E320-F320</f>
        <v>206288000</v>
      </c>
      <c r="H320" s="5" t="n">
        <v>46231</v>
      </c>
      <c r="I320" s="16" t="s">
        <v>564</v>
      </c>
      <c r="J320" s="16" t="s">
        <v>739</v>
      </c>
      <c r="K320" s="16" t="s">
        <v>160</v>
      </c>
      <c r="L320" s="16" t="s">
        <v>740</v>
      </c>
      <c r="M320" s="16" t="s">
        <v>106</v>
      </c>
      <c r="N320" s="12" t="s">
        <v>707</v>
      </c>
      <c r="O320" s="4" t="s">
        <v>680</v>
      </c>
      <c r="P320" s="4" t="s">
        <v>688</v>
      </c>
    </row>
    <row r="321" customFormat="false" ht="15" hidden="false" customHeight="false" outlineLevel="0" collapsed="false">
      <c r="A321" s="16" t="n">
        <v>318</v>
      </c>
      <c r="B321" s="16" t="s">
        <v>676</v>
      </c>
      <c r="C321" s="16" t="s">
        <v>677</v>
      </c>
      <c r="D321" s="16" t="s">
        <v>96</v>
      </c>
      <c r="E321" s="17" t="n">
        <v>0</v>
      </c>
      <c r="F321" s="17" t="n">
        <v>19129018</v>
      </c>
      <c r="G321" s="11" t="n">
        <f aca="false">E321-F321</f>
        <v>-19129018</v>
      </c>
      <c r="H321" s="5" t="n">
        <v>46050</v>
      </c>
      <c r="I321" s="16" t="s">
        <v>210</v>
      </c>
      <c r="J321" s="16" t="s">
        <v>678</v>
      </c>
      <c r="K321" s="16" t="s">
        <v>92</v>
      </c>
      <c r="L321" s="16" t="s">
        <v>741</v>
      </c>
      <c r="M321" s="16" t="s">
        <v>85</v>
      </c>
      <c r="N321" s="12" t="s">
        <v>116</v>
      </c>
      <c r="O321" s="4" t="s">
        <v>680</v>
      </c>
      <c r="P321" s="4" t="s">
        <v>681</v>
      </c>
    </row>
    <row r="322" customFormat="false" ht="15" hidden="false" customHeight="false" outlineLevel="0" collapsed="false">
      <c r="A322" s="16" t="n">
        <v>319</v>
      </c>
      <c r="B322" s="16" t="s">
        <v>676</v>
      </c>
      <c r="C322" s="16" t="s">
        <v>677</v>
      </c>
      <c r="D322" s="16" t="s">
        <v>96</v>
      </c>
      <c r="E322" s="17" t="n">
        <v>0</v>
      </c>
      <c r="F322" s="17" t="n">
        <v>15609688</v>
      </c>
      <c r="G322" s="11" t="n">
        <f aca="false">E322-F322</f>
        <v>-15609688</v>
      </c>
      <c r="H322" s="5" t="n">
        <v>46050</v>
      </c>
      <c r="I322" s="16" t="s">
        <v>210</v>
      </c>
      <c r="J322" s="16" t="s">
        <v>678</v>
      </c>
      <c r="K322" s="16" t="s">
        <v>92</v>
      </c>
      <c r="L322" s="16" t="s">
        <v>742</v>
      </c>
      <c r="M322" s="16" t="s">
        <v>85</v>
      </c>
      <c r="N322" s="12" t="s">
        <v>113</v>
      </c>
      <c r="O322" s="4" t="s">
        <v>680</v>
      </c>
      <c r="P322" s="4" t="s">
        <v>681</v>
      </c>
    </row>
    <row r="323" customFormat="false" ht="15" hidden="false" customHeight="false" outlineLevel="0" collapsed="false">
      <c r="A323" s="16" t="n">
        <v>320</v>
      </c>
      <c r="B323" s="16" t="s">
        <v>676</v>
      </c>
      <c r="C323" s="16" t="s">
        <v>677</v>
      </c>
      <c r="D323" s="16" t="s">
        <v>96</v>
      </c>
      <c r="E323" s="17" t="n">
        <v>47641306</v>
      </c>
      <c r="F323" s="17" t="n">
        <v>0</v>
      </c>
      <c r="G323" s="11" t="n">
        <f aca="false">E323-F323</f>
        <v>47641306</v>
      </c>
      <c r="H323" s="5" t="n">
        <v>46072</v>
      </c>
      <c r="I323" s="16" t="s">
        <v>90</v>
      </c>
      <c r="J323" s="16" t="s">
        <v>743</v>
      </c>
      <c r="K323" s="16" t="s">
        <v>160</v>
      </c>
      <c r="L323" s="16" t="s">
        <v>744</v>
      </c>
      <c r="M323" s="16" t="s">
        <v>106</v>
      </c>
      <c r="N323" s="12" t="s">
        <v>113</v>
      </c>
      <c r="O323" s="4" t="s">
        <v>680</v>
      </c>
      <c r="P323" s="4" t="s">
        <v>688</v>
      </c>
    </row>
    <row r="324" customFormat="false" ht="15" hidden="false" customHeight="false" outlineLevel="0" collapsed="false">
      <c r="A324" s="16" t="n">
        <v>321</v>
      </c>
      <c r="B324" s="16" t="s">
        <v>676</v>
      </c>
      <c r="C324" s="16" t="s">
        <v>677</v>
      </c>
      <c r="D324" s="16" t="s">
        <v>96</v>
      </c>
      <c r="E324" s="17" t="n">
        <v>0</v>
      </c>
      <c r="F324" s="17" t="n">
        <v>19408340</v>
      </c>
      <c r="G324" s="11" t="n">
        <f aca="false">E324-F324</f>
        <v>-19408340</v>
      </c>
      <c r="H324" s="5" t="n">
        <v>46072</v>
      </c>
      <c r="I324" s="16" t="s">
        <v>210</v>
      </c>
      <c r="J324" s="16" t="s">
        <v>682</v>
      </c>
      <c r="K324" s="16" t="s">
        <v>92</v>
      </c>
      <c r="L324" s="16" t="s">
        <v>745</v>
      </c>
      <c r="M324" s="16" t="s">
        <v>85</v>
      </c>
      <c r="N324" s="12" t="s">
        <v>116</v>
      </c>
      <c r="O324" s="4" t="s">
        <v>680</v>
      </c>
      <c r="P324" s="4" t="s">
        <v>681</v>
      </c>
    </row>
    <row r="325" customFormat="false" ht="15" hidden="false" customHeight="false" outlineLevel="0" collapsed="false">
      <c r="A325" s="16" t="n">
        <v>322</v>
      </c>
      <c r="B325" s="16" t="s">
        <v>676</v>
      </c>
      <c r="C325" s="16" t="s">
        <v>677</v>
      </c>
      <c r="D325" s="16" t="s">
        <v>96</v>
      </c>
      <c r="E325" s="17" t="n">
        <v>0</v>
      </c>
      <c r="F325" s="17" t="n">
        <v>16623597</v>
      </c>
      <c r="G325" s="11" t="n">
        <f aca="false">E325-F325</f>
        <v>-16623597</v>
      </c>
      <c r="H325" s="5" t="n">
        <v>46072</v>
      </c>
      <c r="I325" s="16" t="s">
        <v>210</v>
      </c>
      <c r="J325" s="16" t="s">
        <v>682</v>
      </c>
      <c r="K325" s="16" t="s">
        <v>92</v>
      </c>
      <c r="L325" s="16" t="s">
        <v>746</v>
      </c>
      <c r="M325" s="16" t="s">
        <v>85</v>
      </c>
      <c r="N325" s="12" t="s">
        <v>113</v>
      </c>
      <c r="O325" s="4" t="s">
        <v>680</v>
      </c>
      <c r="P325" s="4" t="s">
        <v>681</v>
      </c>
    </row>
    <row r="326" customFormat="false" ht="15" hidden="false" customHeight="false" outlineLevel="0" collapsed="false">
      <c r="A326" s="16" t="n">
        <v>323</v>
      </c>
      <c r="B326" s="16" t="s">
        <v>676</v>
      </c>
      <c r="C326" s="16" t="s">
        <v>677</v>
      </c>
      <c r="D326" s="16" t="s">
        <v>96</v>
      </c>
      <c r="E326" s="17" t="n">
        <v>0</v>
      </c>
      <c r="F326" s="17" t="n">
        <v>86541667</v>
      </c>
      <c r="G326" s="11" t="n">
        <f aca="false">E326-F326</f>
        <v>-86541667</v>
      </c>
      <c r="H326" s="5" t="n">
        <v>46072</v>
      </c>
      <c r="I326" s="16" t="s">
        <v>210</v>
      </c>
      <c r="J326" s="16" t="s">
        <v>682</v>
      </c>
      <c r="K326" s="16" t="s">
        <v>92</v>
      </c>
      <c r="L326" s="16" t="s">
        <v>747</v>
      </c>
      <c r="M326" s="16" t="s">
        <v>85</v>
      </c>
      <c r="N326" s="12" t="s">
        <v>97</v>
      </c>
      <c r="O326" s="4" t="s">
        <v>680</v>
      </c>
      <c r="P326" s="4" t="s">
        <v>681</v>
      </c>
    </row>
    <row r="327" customFormat="false" ht="15" hidden="false" customHeight="false" outlineLevel="0" collapsed="false">
      <c r="A327" s="16" t="n">
        <v>324</v>
      </c>
      <c r="B327" s="16" t="s">
        <v>676</v>
      </c>
      <c r="C327" s="16" t="s">
        <v>677</v>
      </c>
      <c r="D327" s="16" t="s">
        <v>96</v>
      </c>
      <c r="E327" s="17" t="n">
        <v>0</v>
      </c>
      <c r="F327" s="17" t="n">
        <v>17551758</v>
      </c>
      <c r="G327" s="11" t="n">
        <f aca="false">E327-F327</f>
        <v>-17551758</v>
      </c>
      <c r="H327" s="5" t="n">
        <v>46099</v>
      </c>
      <c r="I327" s="16" t="s">
        <v>210</v>
      </c>
      <c r="J327" s="16" t="s">
        <v>684</v>
      </c>
      <c r="K327" s="16" t="s">
        <v>92</v>
      </c>
      <c r="L327" s="16" t="s">
        <v>748</v>
      </c>
      <c r="M327" s="16" t="s">
        <v>85</v>
      </c>
      <c r="N327" s="12" t="s">
        <v>116</v>
      </c>
      <c r="O327" s="4" t="s">
        <v>680</v>
      </c>
      <c r="P327" s="4" t="s">
        <v>681</v>
      </c>
    </row>
    <row r="328" customFormat="false" ht="15" hidden="false" customHeight="false" outlineLevel="0" collapsed="false">
      <c r="A328" s="16" t="n">
        <v>325</v>
      </c>
      <c r="B328" s="16" t="s">
        <v>676</v>
      </c>
      <c r="C328" s="16" t="s">
        <v>677</v>
      </c>
      <c r="D328" s="16" t="s">
        <v>96</v>
      </c>
      <c r="E328" s="17" t="n">
        <v>0</v>
      </c>
      <c r="F328" s="17" t="n">
        <v>14776042</v>
      </c>
      <c r="G328" s="11" t="n">
        <f aca="false">E328-F328</f>
        <v>-14776042</v>
      </c>
      <c r="H328" s="5" t="n">
        <v>46099</v>
      </c>
      <c r="I328" s="16" t="s">
        <v>210</v>
      </c>
      <c r="J328" s="16" t="s">
        <v>684</v>
      </c>
      <c r="K328" s="16" t="s">
        <v>92</v>
      </c>
      <c r="L328" s="16" t="s">
        <v>749</v>
      </c>
      <c r="M328" s="16" t="s">
        <v>85</v>
      </c>
      <c r="N328" s="12" t="s">
        <v>113</v>
      </c>
      <c r="O328" s="4" t="s">
        <v>680</v>
      </c>
      <c r="P328" s="4" t="s">
        <v>681</v>
      </c>
    </row>
    <row r="329" customFormat="false" ht="15" hidden="false" customHeight="false" outlineLevel="0" collapsed="false">
      <c r="A329" s="16" t="n">
        <v>326</v>
      </c>
      <c r="B329" s="16" t="s">
        <v>676</v>
      </c>
      <c r="C329" s="16" t="s">
        <v>677</v>
      </c>
      <c r="D329" s="16" t="s">
        <v>96</v>
      </c>
      <c r="E329" s="17" t="n">
        <v>0</v>
      </c>
      <c r="F329" s="17" t="n">
        <v>94608333</v>
      </c>
      <c r="G329" s="11" t="n">
        <f aca="false">E329-F329</f>
        <v>-94608333</v>
      </c>
      <c r="H329" s="5" t="n">
        <v>46099</v>
      </c>
      <c r="I329" s="16" t="s">
        <v>210</v>
      </c>
      <c r="J329" s="16" t="s">
        <v>684</v>
      </c>
      <c r="K329" s="16" t="s">
        <v>92</v>
      </c>
      <c r="L329" s="16" t="s">
        <v>750</v>
      </c>
      <c r="M329" s="16" t="s">
        <v>85</v>
      </c>
      <c r="N329" s="12" t="s">
        <v>97</v>
      </c>
      <c r="O329" s="4" t="s">
        <v>680</v>
      </c>
      <c r="P329" s="4" t="s">
        <v>681</v>
      </c>
    </row>
    <row r="330" customFormat="false" ht="15" hidden="false" customHeight="false" outlineLevel="0" collapsed="false">
      <c r="A330" s="16" t="n">
        <v>327</v>
      </c>
      <c r="B330" s="16" t="s">
        <v>676</v>
      </c>
      <c r="C330" s="16" t="s">
        <v>677</v>
      </c>
      <c r="D330" s="16" t="s">
        <v>96</v>
      </c>
      <c r="E330" s="17" t="n">
        <v>56089116</v>
      </c>
      <c r="F330" s="17" t="n">
        <v>0</v>
      </c>
      <c r="G330" s="11" t="n">
        <f aca="false">E330-F330</f>
        <v>56089116</v>
      </c>
      <c r="H330" s="5" t="n">
        <v>46100</v>
      </c>
      <c r="I330" s="16" t="s">
        <v>90</v>
      </c>
      <c r="J330" s="16" t="s">
        <v>751</v>
      </c>
      <c r="K330" s="16" t="s">
        <v>160</v>
      </c>
      <c r="L330" s="16" t="s">
        <v>752</v>
      </c>
      <c r="M330" s="16" t="s">
        <v>106</v>
      </c>
      <c r="N330" s="12" t="s">
        <v>116</v>
      </c>
      <c r="O330" s="4" t="s">
        <v>680</v>
      </c>
      <c r="P330" s="4" t="s">
        <v>688</v>
      </c>
    </row>
    <row r="331" customFormat="false" ht="15" hidden="false" customHeight="false" outlineLevel="0" collapsed="false">
      <c r="A331" s="16" t="n">
        <v>328</v>
      </c>
      <c r="B331" s="16" t="s">
        <v>676</v>
      </c>
      <c r="C331" s="16" t="s">
        <v>677</v>
      </c>
      <c r="D331" s="16" t="s">
        <v>96</v>
      </c>
      <c r="E331" s="17" t="n">
        <v>0</v>
      </c>
      <c r="F331" s="17" t="n">
        <v>19432174</v>
      </c>
      <c r="G331" s="11" t="n">
        <f aca="false">E331-F331</f>
        <v>-19432174</v>
      </c>
      <c r="H331" s="5" t="n">
        <v>46134</v>
      </c>
      <c r="I331" s="16" t="s">
        <v>210</v>
      </c>
      <c r="J331" s="16" t="s">
        <v>689</v>
      </c>
      <c r="K331" s="16" t="s">
        <v>92</v>
      </c>
      <c r="L331" s="16" t="s">
        <v>753</v>
      </c>
      <c r="M331" s="16" t="s">
        <v>85</v>
      </c>
      <c r="N331" s="12" t="s">
        <v>116</v>
      </c>
      <c r="O331" s="4" t="s">
        <v>680</v>
      </c>
      <c r="P331" s="4" t="s">
        <v>681</v>
      </c>
    </row>
    <row r="332" customFormat="false" ht="15" hidden="false" customHeight="false" outlineLevel="0" collapsed="false">
      <c r="A332" s="16" t="n">
        <v>329</v>
      </c>
      <c r="B332" s="16" t="s">
        <v>676</v>
      </c>
      <c r="C332" s="16" t="s">
        <v>677</v>
      </c>
      <c r="D332" s="16" t="s">
        <v>96</v>
      </c>
      <c r="E332" s="17" t="n">
        <v>0</v>
      </c>
      <c r="F332" s="17" t="n">
        <v>15784375</v>
      </c>
      <c r="G332" s="11" t="n">
        <f aca="false">E332-F332</f>
        <v>-15784375</v>
      </c>
      <c r="H332" s="5" t="n">
        <v>46134</v>
      </c>
      <c r="I332" s="16" t="s">
        <v>210</v>
      </c>
      <c r="J332" s="16" t="s">
        <v>689</v>
      </c>
      <c r="K332" s="16" t="s">
        <v>92</v>
      </c>
      <c r="L332" s="16" t="s">
        <v>754</v>
      </c>
      <c r="M332" s="16" t="s">
        <v>85</v>
      </c>
      <c r="N332" s="12" t="s">
        <v>113</v>
      </c>
      <c r="O332" s="4" t="s">
        <v>680</v>
      </c>
      <c r="P332" s="4" t="s">
        <v>681</v>
      </c>
    </row>
    <row r="333" customFormat="false" ht="15" hidden="false" customHeight="false" outlineLevel="0" collapsed="false">
      <c r="A333" s="16" t="n">
        <v>330</v>
      </c>
      <c r="B333" s="16" t="s">
        <v>676</v>
      </c>
      <c r="C333" s="16" t="s">
        <v>677</v>
      </c>
      <c r="D333" s="16" t="s">
        <v>96</v>
      </c>
      <c r="E333" s="17" t="n">
        <v>0</v>
      </c>
      <c r="F333" s="17" t="n">
        <v>73460556</v>
      </c>
      <c r="G333" s="11" t="n">
        <f aca="false">E333-F333</f>
        <v>-73460556</v>
      </c>
      <c r="H333" s="5" t="n">
        <v>46134</v>
      </c>
      <c r="I333" s="16" t="s">
        <v>210</v>
      </c>
      <c r="J333" s="16" t="s">
        <v>689</v>
      </c>
      <c r="K333" s="16" t="s">
        <v>92</v>
      </c>
      <c r="L333" s="16" t="s">
        <v>755</v>
      </c>
      <c r="M333" s="16" t="s">
        <v>85</v>
      </c>
      <c r="N333" s="12" t="s">
        <v>97</v>
      </c>
      <c r="O333" s="4" t="s">
        <v>680</v>
      </c>
      <c r="P333" s="4" t="s">
        <v>681</v>
      </c>
    </row>
    <row r="334" customFormat="false" ht="15" hidden="false" customHeight="false" outlineLevel="0" collapsed="false">
      <c r="A334" s="16" t="n">
        <v>331</v>
      </c>
      <c r="B334" s="16" t="s">
        <v>676</v>
      </c>
      <c r="C334" s="16" t="s">
        <v>677</v>
      </c>
      <c r="D334" s="16" t="s">
        <v>96</v>
      </c>
      <c r="E334" s="17" t="n">
        <v>254610556</v>
      </c>
      <c r="F334" s="17" t="n">
        <v>0</v>
      </c>
      <c r="G334" s="11" t="n">
        <f aca="false">E334-F334</f>
        <v>254610556</v>
      </c>
      <c r="H334" s="5" t="n">
        <v>46136</v>
      </c>
      <c r="I334" s="16" t="s">
        <v>90</v>
      </c>
      <c r="J334" s="16" t="s">
        <v>756</v>
      </c>
      <c r="K334" s="16" t="s">
        <v>160</v>
      </c>
      <c r="L334" s="16" t="s">
        <v>757</v>
      </c>
      <c r="M334" s="16" t="s">
        <v>106</v>
      </c>
      <c r="N334" s="12" t="s">
        <v>97</v>
      </c>
      <c r="O334" s="4" t="s">
        <v>680</v>
      </c>
      <c r="P334" s="4" t="s">
        <v>688</v>
      </c>
    </row>
    <row r="335" customFormat="false" ht="15" hidden="false" customHeight="false" outlineLevel="0" collapsed="false">
      <c r="A335" s="16" t="n">
        <v>332</v>
      </c>
      <c r="B335" s="16" t="s">
        <v>676</v>
      </c>
      <c r="C335" s="16" t="s">
        <v>677</v>
      </c>
      <c r="D335" s="16" t="s">
        <v>96</v>
      </c>
      <c r="E335" s="17" t="n">
        <v>0</v>
      </c>
      <c r="F335" s="17" t="n">
        <v>20011464</v>
      </c>
      <c r="G335" s="11" t="n">
        <f aca="false">E335-F335</f>
        <v>-20011464</v>
      </c>
      <c r="H335" s="5" t="n">
        <v>46162</v>
      </c>
      <c r="I335" s="16" t="s">
        <v>210</v>
      </c>
      <c r="J335" s="16" t="s">
        <v>691</v>
      </c>
      <c r="K335" s="16" t="s">
        <v>92</v>
      </c>
      <c r="L335" s="16" t="s">
        <v>758</v>
      </c>
      <c r="M335" s="16" t="s">
        <v>85</v>
      </c>
      <c r="N335" s="12" t="s">
        <v>116</v>
      </c>
      <c r="O335" s="4" t="s">
        <v>680</v>
      </c>
      <c r="P335" s="4" t="s">
        <v>681</v>
      </c>
    </row>
    <row r="336" customFormat="false" ht="15" hidden="false" customHeight="false" outlineLevel="0" collapsed="false">
      <c r="A336" s="16" t="n">
        <v>333</v>
      </c>
      <c r="B336" s="16" t="s">
        <v>676</v>
      </c>
      <c r="C336" s="16" t="s">
        <v>677</v>
      </c>
      <c r="D336" s="16" t="s">
        <v>96</v>
      </c>
      <c r="E336" s="17" t="n">
        <v>0</v>
      </c>
      <c r="F336" s="17" t="n">
        <v>16059513</v>
      </c>
      <c r="G336" s="11" t="n">
        <f aca="false">E336-F336</f>
        <v>-16059513</v>
      </c>
      <c r="H336" s="5" t="n">
        <v>46162</v>
      </c>
      <c r="I336" s="16" t="s">
        <v>210</v>
      </c>
      <c r="J336" s="16" t="s">
        <v>691</v>
      </c>
      <c r="K336" s="16" t="s">
        <v>92</v>
      </c>
      <c r="L336" s="16" t="s">
        <v>759</v>
      </c>
      <c r="M336" s="16" t="s">
        <v>85</v>
      </c>
      <c r="N336" s="12" t="s">
        <v>113</v>
      </c>
      <c r="O336" s="4" t="s">
        <v>680</v>
      </c>
      <c r="P336" s="4" t="s">
        <v>681</v>
      </c>
    </row>
    <row r="337" customFormat="false" ht="15" hidden="false" customHeight="false" outlineLevel="0" collapsed="false">
      <c r="A337" s="16" t="n">
        <v>334</v>
      </c>
      <c r="B337" s="16" t="s">
        <v>676</v>
      </c>
      <c r="C337" s="16" t="s">
        <v>677</v>
      </c>
      <c r="D337" s="16" t="s">
        <v>96</v>
      </c>
      <c r="E337" s="17" t="n">
        <v>0</v>
      </c>
      <c r="F337" s="17" t="n">
        <v>102058333</v>
      </c>
      <c r="G337" s="11" t="n">
        <f aca="false">E337-F337</f>
        <v>-102058333</v>
      </c>
      <c r="H337" s="5" t="n">
        <v>46162</v>
      </c>
      <c r="I337" s="16" t="s">
        <v>210</v>
      </c>
      <c r="J337" s="16" t="s">
        <v>691</v>
      </c>
      <c r="K337" s="16" t="s">
        <v>92</v>
      </c>
      <c r="L337" s="16" t="s">
        <v>760</v>
      </c>
      <c r="M337" s="16" t="s">
        <v>85</v>
      </c>
      <c r="N337" s="12" t="s">
        <v>97</v>
      </c>
      <c r="O337" s="4" t="s">
        <v>680</v>
      </c>
      <c r="P337" s="4" t="s">
        <v>681</v>
      </c>
    </row>
    <row r="338" customFormat="false" ht="15" hidden="false" customHeight="false" outlineLevel="0" collapsed="false">
      <c r="A338" s="16" t="n">
        <v>335</v>
      </c>
      <c r="B338" s="16" t="s">
        <v>676</v>
      </c>
      <c r="C338" s="16" t="s">
        <v>677</v>
      </c>
      <c r="D338" s="16" t="s">
        <v>96</v>
      </c>
      <c r="E338" s="17" t="n">
        <v>46619930</v>
      </c>
      <c r="F338" s="17" t="n">
        <v>0</v>
      </c>
      <c r="G338" s="11" t="n">
        <f aca="false">E338-F338</f>
        <v>46619930</v>
      </c>
      <c r="H338" s="5" t="n">
        <v>46164</v>
      </c>
      <c r="I338" s="16" t="s">
        <v>90</v>
      </c>
      <c r="J338" s="16" t="s">
        <v>761</v>
      </c>
      <c r="K338" s="16" t="s">
        <v>160</v>
      </c>
      <c r="L338" s="16" t="s">
        <v>762</v>
      </c>
      <c r="M338" s="16" t="s">
        <v>106</v>
      </c>
      <c r="N338" s="12" t="s">
        <v>113</v>
      </c>
      <c r="O338" s="4" t="s">
        <v>680</v>
      </c>
      <c r="P338" s="4" t="s">
        <v>688</v>
      </c>
    </row>
    <row r="339" customFormat="false" ht="15" hidden="false" customHeight="false" outlineLevel="0" collapsed="false">
      <c r="A339" s="16" t="n">
        <v>336</v>
      </c>
      <c r="B339" s="16" t="s">
        <v>676</v>
      </c>
      <c r="C339" s="16" t="s">
        <v>677</v>
      </c>
      <c r="D339" s="16" t="s">
        <v>96</v>
      </c>
      <c r="E339" s="17" t="n">
        <v>59390887</v>
      </c>
      <c r="F339" s="17" t="n">
        <v>0</v>
      </c>
      <c r="G339" s="11" t="n">
        <f aca="false">E339-F339</f>
        <v>59390887</v>
      </c>
      <c r="H339" s="5" t="n">
        <v>46203</v>
      </c>
      <c r="I339" s="16" t="s">
        <v>90</v>
      </c>
      <c r="J339" s="16" t="s">
        <v>763</v>
      </c>
      <c r="K339" s="16" t="s">
        <v>160</v>
      </c>
      <c r="L339" s="16" t="s">
        <v>764</v>
      </c>
      <c r="M339" s="16" t="s">
        <v>106</v>
      </c>
      <c r="N339" s="12" t="s">
        <v>116</v>
      </c>
      <c r="O339" s="4" t="s">
        <v>680</v>
      </c>
      <c r="P339" s="4" t="s">
        <v>688</v>
      </c>
    </row>
    <row r="340" customFormat="false" ht="15" hidden="false" customHeight="false" outlineLevel="0" collapsed="false">
      <c r="A340" s="16" t="n">
        <v>337</v>
      </c>
      <c r="B340" s="16" t="s">
        <v>676</v>
      </c>
      <c r="C340" s="16" t="s">
        <v>677</v>
      </c>
      <c r="D340" s="16" t="s">
        <v>96</v>
      </c>
      <c r="E340" s="17" t="n">
        <v>0</v>
      </c>
      <c r="F340" s="17" t="n">
        <v>19947249</v>
      </c>
      <c r="G340" s="11" t="n">
        <f aca="false">E340-F340</f>
        <v>-19947249</v>
      </c>
      <c r="H340" s="5" t="n">
        <v>46203</v>
      </c>
      <c r="I340" s="16" t="s">
        <v>210</v>
      </c>
      <c r="J340" s="16" t="s">
        <v>699</v>
      </c>
      <c r="K340" s="16" t="s">
        <v>92</v>
      </c>
      <c r="L340" s="16" t="s">
        <v>765</v>
      </c>
      <c r="M340" s="16" t="s">
        <v>85</v>
      </c>
      <c r="N340" s="12" t="s">
        <v>116</v>
      </c>
      <c r="O340" s="4" t="s">
        <v>680</v>
      </c>
      <c r="P340" s="4" t="s">
        <v>681</v>
      </c>
    </row>
    <row r="341" customFormat="false" ht="15" hidden="false" customHeight="false" outlineLevel="0" collapsed="false">
      <c r="A341" s="16" t="n">
        <v>338</v>
      </c>
      <c r="B341" s="16" t="s">
        <v>676</v>
      </c>
      <c r="C341" s="16" t="s">
        <v>677</v>
      </c>
      <c r="D341" s="16" t="s">
        <v>96</v>
      </c>
      <c r="E341" s="17" t="n">
        <v>0</v>
      </c>
      <c r="F341" s="17" t="n">
        <v>15044063</v>
      </c>
      <c r="G341" s="11" t="n">
        <f aca="false">E341-F341</f>
        <v>-15044063</v>
      </c>
      <c r="H341" s="5" t="n">
        <v>46203</v>
      </c>
      <c r="I341" s="16" t="s">
        <v>210</v>
      </c>
      <c r="J341" s="16" t="s">
        <v>699</v>
      </c>
      <c r="K341" s="16" t="s">
        <v>92</v>
      </c>
      <c r="L341" s="16" t="s">
        <v>766</v>
      </c>
      <c r="M341" s="16" t="s">
        <v>85</v>
      </c>
      <c r="N341" s="12" t="s">
        <v>113</v>
      </c>
      <c r="O341" s="4" t="s">
        <v>680</v>
      </c>
      <c r="P341" s="4" t="s">
        <v>681</v>
      </c>
    </row>
    <row r="342" customFormat="false" ht="15" hidden="false" customHeight="false" outlineLevel="0" collapsed="false">
      <c r="A342" s="16" t="n">
        <v>339</v>
      </c>
      <c r="B342" s="16" t="s">
        <v>676</v>
      </c>
      <c r="C342" s="16" t="s">
        <v>677</v>
      </c>
      <c r="D342" s="16" t="s">
        <v>96</v>
      </c>
      <c r="E342" s="17" t="n">
        <v>0</v>
      </c>
      <c r="F342" s="17" t="n">
        <v>102058333</v>
      </c>
      <c r="G342" s="11" t="n">
        <f aca="false">E342-F342</f>
        <v>-102058333</v>
      </c>
      <c r="H342" s="5" t="n">
        <v>46203</v>
      </c>
      <c r="I342" s="16" t="s">
        <v>210</v>
      </c>
      <c r="J342" s="16" t="s">
        <v>699</v>
      </c>
      <c r="K342" s="16" t="s">
        <v>92</v>
      </c>
      <c r="L342" s="16" t="s">
        <v>767</v>
      </c>
      <c r="M342" s="16" t="s">
        <v>85</v>
      </c>
      <c r="N342" s="12" t="s">
        <v>97</v>
      </c>
      <c r="O342" s="4" t="s">
        <v>680</v>
      </c>
      <c r="P342" s="4" t="s">
        <v>681</v>
      </c>
    </row>
    <row r="343" customFormat="false" ht="15" hidden="false" customHeight="false" outlineLevel="0" collapsed="false">
      <c r="A343" s="16" t="n">
        <v>340</v>
      </c>
      <c r="B343" s="16" t="s">
        <v>676</v>
      </c>
      <c r="C343" s="16" t="s">
        <v>677</v>
      </c>
      <c r="D343" s="16" t="s">
        <v>96</v>
      </c>
      <c r="E343" s="17" t="n">
        <v>0</v>
      </c>
      <c r="F343" s="17" t="n">
        <v>17825616</v>
      </c>
      <c r="G343" s="11" t="n">
        <f aca="false">E343-F343</f>
        <v>-17825616</v>
      </c>
      <c r="H343" s="5" t="n">
        <v>46227</v>
      </c>
      <c r="I343" s="16" t="s">
        <v>210</v>
      </c>
      <c r="J343" s="16" t="s">
        <v>733</v>
      </c>
      <c r="K343" s="16" t="s">
        <v>92</v>
      </c>
      <c r="L343" s="16" t="s">
        <v>768</v>
      </c>
      <c r="M343" s="16" t="s">
        <v>85</v>
      </c>
      <c r="N343" s="12" t="s">
        <v>116</v>
      </c>
      <c r="O343" s="4" t="s">
        <v>680</v>
      </c>
      <c r="P343" s="4" t="s">
        <v>681</v>
      </c>
    </row>
    <row r="344" customFormat="false" ht="15" hidden="false" customHeight="false" outlineLevel="0" collapsed="false">
      <c r="A344" s="16" t="n">
        <v>341</v>
      </c>
      <c r="B344" s="16" t="s">
        <v>676</v>
      </c>
      <c r="C344" s="16" t="s">
        <v>677</v>
      </c>
      <c r="D344" s="16" t="s">
        <v>96</v>
      </c>
      <c r="E344" s="17" t="n">
        <v>0</v>
      </c>
      <c r="F344" s="17" t="n">
        <v>15044063</v>
      </c>
      <c r="G344" s="11" t="n">
        <f aca="false">E344-F344</f>
        <v>-15044063</v>
      </c>
      <c r="H344" s="5" t="n">
        <v>46227</v>
      </c>
      <c r="I344" s="16" t="s">
        <v>210</v>
      </c>
      <c r="J344" s="16" t="s">
        <v>733</v>
      </c>
      <c r="K344" s="16" t="s">
        <v>92</v>
      </c>
      <c r="L344" s="16" t="s">
        <v>769</v>
      </c>
      <c r="M344" s="16" t="s">
        <v>85</v>
      </c>
      <c r="N344" s="12" t="s">
        <v>113</v>
      </c>
      <c r="O344" s="4" t="s">
        <v>680</v>
      </c>
      <c r="P344" s="4" t="s">
        <v>681</v>
      </c>
    </row>
    <row r="345" customFormat="false" ht="15" hidden="false" customHeight="false" outlineLevel="0" collapsed="false">
      <c r="A345" s="16" t="n">
        <v>342</v>
      </c>
      <c r="B345" s="16" t="s">
        <v>676</v>
      </c>
      <c r="C345" s="16" t="s">
        <v>677</v>
      </c>
      <c r="D345" s="16" t="s">
        <v>96</v>
      </c>
      <c r="E345" s="17" t="n">
        <v>0</v>
      </c>
      <c r="F345" s="17" t="n">
        <v>95500833</v>
      </c>
      <c r="G345" s="11" t="n">
        <f aca="false">E345-F345</f>
        <v>-95500833</v>
      </c>
      <c r="H345" s="5" t="n">
        <v>46227</v>
      </c>
      <c r="I345" s="16" t="s">
        <v>210</v>
      </c>
      <c r="J345" s="16" t="s">
        <v>733</v>
      </c>
      <c r="K345" s="16" t="s">
        <v>92</v>
      </c>
      <c r="L345" s="16" t="s">
        <v>770</v>
      </c>
      <c r="M345" s="16" t="s">
        <v>85</v>
      </c>
      <c r="N345" s="12" t="s">
        <v>97</v>
      </c>
      <c r="O345" s="4" t="s">
        <v>680</v>
      </c>
      <c r="P345" s="4" t="s">
        <v>681</v>
      </c>
    </row>
    <row r="346" customFormat="false" ht="15" hidden="false" customHeight="false" outlineLevel="0" collapsed="false">
      <c r="A346" s="16" t="n">
        <v>343</v>
      </c>
      <c r="B346" s="16" t="s">
        <v>676</v>
      </c>
      <c r="C346" s="16" t="s">
        <v>677</v>
      </c>
      <c r="D346" s="16" t="s">
        <v>96</v>
      </c>
      <c r="E346" s="17" t="n">
        <v>299617499</v>
      </c>
      <c r="F346" s="17" t="n">
        <v>0</v>
      </c>
      <c r="G346" s="11" t="n">
        <f aca="false">E346-F346</f>
        <v>299617499</v>
      </c>
      <c r="H346" s="5" t="n">
        <v>46230</v>
      </c>
      <c r="I346" s="16" t="s">
        <v>90</v>
      </c>
      <c r="J346" s="16" t="s">
        <v>771</v>
      </c>
      <c r="K346" s="16" t="s">
        <v>160</v>
      </c>
      <c r="L346" s="16" t="s">
        <v>772</v>
      </c>
      <c r="M346" s="16" t="s">
        <v>106</v>
      </c>
      <c r="N346" s="12" t="s">
        <v>97</v>
      </c>
      <c r="O346" s="4" t="s">
        <v>680</v>
      </c>
      <c r="P346" s="4" t="s">
        <v>688</v>
      </c>
    </row>
    <row r="347" customFormat="false" ht="15" hidden="false" customHeight="false" outlineLevel="0" collapsed="false">
      <c r="A347" s="16" t="n">
        <v>344</v>
      </c>
      <c r="B347" s="16" t="s">
        <v>676</v>
      </c>
      <c r="C347" s="16" t="s">
        <v>677</v>
      </c>
      <c r="D347" s="16" t="s">
        <v>131</v>
      </c>
      <c r="E347" s="17" t="n">
        <v>0</v>
      </c>
      <c r="F347" s="17" t="n">
        <v>5654646</v>
      </c>
      <c r="G347" s="11" t="n">
        <f aca="false">E347-F347</f>
        <v>-5654646</v>
      </c>
      <c r="H347" s="5" t="n">
        <v>46050</v>
      </c>
      <c r="I347" s="16" t="s">
        <v>210</v>
      </c>
      <c r="J347" s="16" t="s">
        <v>678</v>
      </c>
      <c r="K347" s="16" t="s">
        <v>92</v>
      </c>
      <c r="L347" s="16" t="s">
        <v>773</v>
      </c>
      <c r="M347" s="16" t="s">
        <v>85</v>
      </c>
      <c r="N347" s="12" t="s">
        <v>135</v>
      </c>
      <c r="O347" s="4" t="s">
        <v>680</v>
      </c>
      <c r="P347" s="4" t="s">
        <v>681</v>
      </c>
    </row>
    <row r="348" customFormat="false" ht="15" hidden="false" customHeight="false" outlineLevel="0" collapsed="false">
      <c r="A348" s="16" t="n">
        <v>345</v>
      </c>
      <c r="B348" s="16" t="s">
        <v>676</v>
      </c>
      <c r="C348" s="16" t="s">
        <v>677</v>
      </c>
      <c r="D348" s="16" t="s">
        <v>131</v>
      </c>
      <c r="E348" s="17" t="n">
        <v>0</v>
      </c>
      <c r="F348" s="17" t="n">
        <v>5742813</v>
      </c>
      <c r="G348" s="11" t="n">
        <f aca="false">E348-F348</f>
        <v>-5742813</v>
      </c>
      <c r="H348" s="5" t="n">
        <v>46072</v>
      </c>
      <c r="I348" s="16" t="s">
        <v>210</v>
      </c>
      <c r="J348" s="16" t="s">
        <v>682</v>
      </c>
      <c r="K348" s="16" t="s">
        <v>92</v>
      </c>
      <c r="L348" s="16" t="s">
        <v>774</v>
      </c>
      <c r="M348" s="16" t="s">
        <v>85</v>
      </c>
      <c r="N348" s="12" t="s">
        <v>135</v>
      </c>
      <c r="O348" s="4" t="s">
        <v>680</v>
      </c>
      <c r="P348" s="4" t="s">
        <v>681</v>
      </c>
    </row>
    <row r="349" customFormat="false" ht="15" hidden="false" customHeight="false" outlineLevel="0" collapsed="false">
      <c r="A349" s="16" t="n">
        <v>346</v>
      </c>
      <c r="B349" s="16" t="s">
        <v>676</v>
      </c>
      <c r="C349" s="16" t="s">
        <v>677</v>
      </c>
      <c r="D349" s="16" t="s">
        <v>131</v>
      </c>
      <c r="E349" s="17" t="n">
        <v>0</v>
      </c>
      <c r="F349" s="17" t="n">
        <v>5162542</v>
      </c>
      <c r="G349" s="11" t="n">
        <f aca="false">E349-F349</f>
        <v>-5162542</v>
      </c>
      <c r="H349" s="5" t="n">
        <v>46099</v>
      </c>
      <c r="I349" s="16" t="s">
        <v>210</v>
      </c>
      <c r="J349" s="16" t="s">
        <v>684</v>
      </c>
      <c r="K349" s="16" t="s">
        <v>92</v>
      </c>
      <c r="L349" s="16" t="s">
        <v>775</v>
      </c>
      <c r="M349" s="16" t="s">
        <v>85</v>
      </c>
      <c r="N349" s="12" t="s">
        <v>135</v>
      </c>
      <c r="O349" s="4" t="s">
        <v>680</v>
      </c>
      <c r="P349" s="4" t="s">
        <v>681</v>
      </c>
    </row>
    <row r="350" customFormat="false" ht="15" hidden="false" customHeight="false" outlineLevel="0" collapsed="false">
      <c r="A350" s="16" t="n">
        <v>347</v>
      </c>
      <c r="B350" s="16" t="s">
        <v>676</v>
      </c>
      <c r="C350" s="16" t="s">
        <v>677</v>
      </c>
      <c r="D350" s="16" t="s">
        <v>131</v>
      </c>
      <c r="E350" s="17" t="n">
        <v>16560001</v>
      </c>
      <c r="F350" s="17" t="n">
        <v>0</v>
      </c>
      <c r="G350" s="11" t="n">
        <f aca="false">E350-F350</f>
        <v>16560001</v>
      </c>
      <c r="H350" s="5" t="n">
        <v>46100</v>
      </c>
      <c r="I350" s="16" t="s">
        <v>132</v>
      </c>
      <c r="J350" s="16" t="s">
        <v>776</v>
      </c>
      <c r="K350" s="16" t="s">
        <v>160</v>
      </c>
      <c r="L350" s="16" t="s">
        <v>777</v>
      </c>
      <c r="M350" s="16" t="s">
        <v>106</v>
      </c>
      <c r="N350" s="12" t="s">
        <v>135</v>
      </c>
      <c r="O350" s="4" t="s">
        <v>680</v>
      </c>
      <c r="P350" s="4" t="s">
        <v>688</v>
      </c>
    </row>
    <row r="351" customFormat="false" ht="15" hidden="false" customHeight="false" outlineLevel="0" collapsed="false">
      <c r="A351" s="16" t="n">
        <v>348</v>
      </c>
      <c r="B351" s="16" t="s">
        <v>676</v>
      </c>
      <c r="C351" s="16" t="s">
        <v>677</v>
      </c>
      <c r="D351" s="16" t="s">
        <v>131</v>
      </c>
      <c r="E351" s="17" t="n">
        <v>0</v>
      </c>
      <c r="F351" s="17" t="n">
        <v>4823891</v>
      </c>
      <c r="G351" s="11" t="n">
        <f aca="false">E351-F351</f>
        <v>-4823891</v>
      </c>
      <c r="H351" s="5" t="n">
        <v>46134</v>
      </c>
      <c r="I351" s="16" t="s">
        <v>210</v>
      </c>
      <c r="J351" s="16" t="s">
        <v>689</v>
      </c>
      <c r="K351" s="16" t="s">
        <v>92</v>
      </c>
      <c r="L351" s="16" t="s">
        <v>778</v>
      </c>
      <c r="M351" s="16" t="s">
        <v>85</v>
      </c>
      <c r="N351" s="12" t="s">
        <v>135</v>
      </c>
      <c r="O351" s="4" t="s">
        <v>680</v>
      </c>
      <c r="P351" s="4" t="s">
        <v>681</v>
      </c>
    </row>
    <row r="352" customFormat="false" ht="15" hidden="false" customHeight="false" outlineLevel="0" collapsed="false">
      <c r="A352" s="16" t="n">
        <v>349</v>
      </c>
      <c r="B352" s="16" t="s">
        <v>676</v>
      </c>
      <c r="C352" s="16" t="s">
        <v>677</v>
      </c>
      <c r="D352" s="16" t="s">
        <v>131</v>
      </c>
      <c r="E352" s="17" t="n">
        <v>0</v>
      </c>
      <c r="F352" s="17" t="n">
        <v>4976266</v>
      </c>
      <c r="G352" s="11" t="n">
        <f aca="false">E352-F352</f>
        <v>-4976266</v>
      </c>
      <c r="H352" s="5" t="n">
        <v>46162</v>
      </c>
      <c r="I352" s="16" t="s">
        <v>210</v>
      </c>
      <c r="J352" s="16" t="s">
        <v>691</v>
      </c>
      <c r="K352" s="16" t="s">
        <v>92</v>
      </c>
      <c r="L352" s="16" t="s">
        <v>779</v>
      </c>
      <c r="M352" s="16" t="s">
        <v>85</v>
      </c>
      <c r="N352" s="12" t="s">
        <v>135</v>
      </c>
      <c r="O352" s="4" t="s">
        <v>680</v>
      </c>
      <c r="P352" s="4" t="s">
        <v>681</v>
      </c>
    </row>
    <row r="353" customFormat="false" ht="15" hidden="false" customHeight="false" outlineLevel="0" collapsed="false">
      <c r="A353" s="16" t="n">
        <v>350</v>
      </c>
      <c r="B353" s="16" t="s">
        <v>676</v>
      </c>
      <c r="C353" s="16" t="s">
        <v>677</v>
      </c>
      <c r="D353" s="16" t="s">
        <v>131</v>
      </c>
      <c r="E353" s="17" t="n">
        <v>1</v>
      </c>
      <c r="F353" s="17" t="n">
        <v>0</v>
      </c>
      <c r="G353" s="11" t="n">
        <f aca="false">E353-F353</f>
        <v>1</v>
      </c>
      <c r="H353" s="5" t="n">
        <v>46203</v>
      </c>
      <c r="I353" s="16" t="s">
        <v>81</v>
      </c>
      <c r="J353" s="16" t="s">
        <v>695</v>
      </c>
      <c r="K353" s="16" t="s">
        <v>160</v>
      </c>
      <c r="L353" s="16" t="s">
        <v>696</v>
      </c>
      <c r="M353" s="16" t="s">
        <v>176</v>
      </c>
      <c r="N353" s="12" t="s">
        <v>697</v>
      </c>
      <c r="O353" s="4" t="s">
        <v>680</v>
      </c>
      <c r="P353" s="4" t="s">
        <v>698</v>
      </c>
    </row>
    <row r="354" customFormat="false" ht="15" hidden="false" customHeight="false" outlineLevel="0" collapsed="false">
      <c r="A354" s="16" t="n">
        <v>351</v>
      </c>
      <c r="B354" s="16" t="s">
        <v>676</v>
      </c>
      <c r="C354" s="16" t="s">
        <v>677</v>
      </c>
      <c r="D354" s="16" t="s">
        <v>131</v>
      </c>
      <c r="E354" s="17" t="n">
        <v>14419922</v>
      </c>
      <c r="F354" s="17" t="n">
        <v>0</v>
      </c>
      <c r="G354" s="11" t="n">
        <f aca="false">E354-F354</f>
        <v>14419922</v>
      </c>
      <c r="H354" s="5" t="n">
        <v>46203</v>
      </c>
      <c r="I354" s="16" t="s">
        <v>132</v>
      </c>
      <c r="J354" s="16" t="s">
        <v>780</v>
      </c>
      <c r="K354" s="16" t="s">
        <v>160</v>
      </c>
      <c r="L354" s="16" t="s">
        <v>781</v>
      </c>
      <c r="M354" s="16" t="s">
        <v>106</v>
      </c>
      <c r="N354" s="12" t="s">
        <v>135</v>
      </c>
      <c r="O354" s="4" t="s">
        <v>680</v>
      </c>
      <c r="P354" s="4" t="s">
        <v>688</v>
      </c>
    </row>
    <row r="355" customFormat="false" ht="15" hidden="false" customHeight="false" outlineLevel="0" collapsed="false">
      <c r="A355" s="16" t="n">
        <v>352</v>
      </c>
      <c r="B355" s="16" t="s">
        <v>676</v>
      </c>
      <c r="C355" s="16" t="s">
        <v>677</v>
      </c>
      <c r="D355" s="16" t="s">
        <v>131</v>
      </c>
      <c r="E355" s="17" t="n">
        <v>0</v>
      </c>
      <c r="F355" s="17" t="n">
        <v>4619766</v>
      </c>
      <c r="G355" s="11" t="n">
        <f aca="false">E355-F355</f>
        <v>-4619766</v>
      </c>
      <c r="H355" s="5" t="n">
        <v>46203</v>
      </c>
      <c r="I355" s="16" t="s">
        <v>210</v>
      </c>
      <c r="J355" s="16" t="s">
        <v>699</v>
      </c>
      <c r="K355" s="16" t="s">
        <v>92</v>
      </c>
      <c r="L355" s="16" t="s">
        <v>782</v>
      </c>
      <c r="M355" s="16" t="s">
        <v>85</v>
      </c>
      <c r="N355" s="12" t="s">
        <v>135</v>
      </c>
      <c r="O355" s="4" t="s">
        <v>680</v>
      </c>
      <c r="P355" s="4" t="s">
        <v>681</v>
      </c>
    </row>
    <row r="356" customFormat="false" ht="15" hidden="false" customHeight="false" outlineLevel="0" collapsed="false">
      <c r="A356" s="16" t="n">
        <v>353</v>
      </c>
      <c r="B356" s="16" t="s">
        <v>676</v>
      </c>
      <c r="C356" s="16" t="s">
        <v>677</v>
      </c>
      <c r="D356" s="16" t="s">
        <v>131</v>
      </c>
      <c r="E356" s="17" t="n">
        <v>0</v>
      </c>
      <c r="F356" s="17" t="n">
        <v>3324938</v>
      </c>
      <c r="G356" s="11" t="n">
        <f aca="false">E356-F356</f>
        <v>-3324938</v>
      </c>
      <c r="H356" s="5" t="n">
        <v>46227</v>
      </c>
      <c r="I356" s="16" t="s">
        <v>210</v>
      </c>
      <c r="J356" s="16" t="s">
        <v>733</v>
      </c>
      <c r="K356" s="16" t="s">
        <v>92</v>
      </c>
      <c r="L356" s="16" t="s">
        <v>783</v>
      </c>
      <c r="M356" s="16" t="s">
        <v>85</v>
      </c>
      <c r="N356" s="12" t="s">
        <v>135</v>
      </c>
      <c r="O356" s="4" t="s">
        <v>680</v>
      </c>
      <c r="P356" s="4" t="s">
        <v>681</v>
      </c>
    </row>
    <row r="357" customFormat="false" ht="15" hidden="false" customHeight="false" outlineLevel="0" collapsed="false">
      <c r="A357" s="16" t="n">
        <v>354</v>
      </c>
      <c r="B357" s="16" t="s">
        <v>676</v>
      </c>
      <c r="C357" s="16" t="s">
        <v>677</v>
      </c>
      <c r="D357" s="16" t="s">
        <v>138</v>
      </c>
      <c r="E357" s="17" t="n">
        <v>0</v>
      </c>
      <c r="F357" s="17" t="n">
        <v>43826944</v>
      </c>
      <c r="G357" s="11" t="n">
        <f aca="false">E357-F357</f>
        <v>-43826944</v>
      </c>
      <c r="H357" s="5" t="n">
        <v>46050</v>
      </c>
      <c r="I357" s="16" t="s">
        <v>210</v>
      </c>
      <c r="J357" s="16" t="s">
        <v>678</v>
      </c>
      <c r="K357" s="16" t="s">
        <v>92</v>
      </c>
      <c r="L357" s="16" t="s">
        <v>784</v>
      </c>
      <c r="M357" s="16" t="s">
        <v>85</v>
      </c>
      <c r="N357" s="12" t="s">
        <v>142</v>
      </c>
      <c r="O357" s="4" t="s">
        <v>680</v>
      </c>
      <c r="P357" s="4" t="s">
        <v>681</v>
      </c>
    </row>
    <row r="358" customFormat="false" ht="15" hidden="false" customHeight="false" outlineLevel="0" collapsed="false">
      <c r="A358" s="16" t="n">
        <v>355</v>
      </c>
      <c r="B358" s="16" t="s">
        <v>676</v>
      </c>
      <c r="C358" s="16" t="s">
        <v>677</v>
      </c>
      <c r="D358" s="16" t="s">
        <v>138</v>
      </c>
      <c r="E358" s="17" t="n">
        <v>131956110</v>
      </c>
      <c r="F358" s="17" t="n">
        <v>0</v>
      </c>
      <c r="G358" s="11" t="n">
        <f aca="false">E358-F358</f>
        <v>131956110</v>
      </c>
      <c r="H358" s="5" t="n">
        <v>46053</v>
      </c>
      <c r="I358" s="16" t="s">
        <v>139</v>
      </c>
      <c r="J358" s="16" t="s">
        <v>785</v>
      </c>
      <c r="K358" s="16" t="s">
        <v>551</v>
      </c>
      <c r="L358" s="16" t="s">
        <v>786</v>
      </c>
      <c r="M358" s="16" t="s">
        <v>106</v>
      </c>
      <c r="N358" s="12" t="s">
        <v>142</v>
      </c>
      <c r="O358" s="4" t="s">
        <v>680</v>
      </c>
      <c r="P358" s="4" t="s">
        <v>688</v>
      </c>
    </row>
    <row r="359" customFormat="false" ht="15" hidden="false" customHeight="false" outlineLevel="0" collapsed="false">
      <c r="A359" s="16" t="n">
        <v>356</v>
      </c>
      <c r="B359" s="16" t="s">
        <v>676</v>
      </c>
      <c r="C359" s="16" t="s">
        <v>677</v>
      </c>
      <c r="D359" s="16" t="s">
        <v>138</v>
      </c>
      <c r="E359" s="17" t="n">
        <v>0</v>
      </c>
      <c r="F359" s="17" t="n">
        <v>46187500</v>
      </c>
      <c r="G359" s="11" t="n">
        <f aca="false">E359-F359</f>
        <v>-46187500</v>
      </c>
      <c r="H359" s="5" t="n">
        <v>46072</v>
      </c>
      <c r="I359" s="16" t="s">
        <v>210</v>
      </c>
      <c r="J359" s="16" t="s">
        <v>682</v>
      </c>
      <c r="K359" s="16" t="s">
        <v>92</v>
      </c>
      <c r="L359" s="16" t="s">
        <v>787</v>
      </c>
      <c r="M359" s="16" t="s">
        <v>85</v>
      </c>
      <c r="N359" s="12" t="s">
        <v>142</v>
      </c>
      <c r="O359" s="4" t="s">
        <v>680</v>
      </c>
      <c r="P359" s="4" t="s">
        <v>681</v>
      </c>
    </row>
    <row r="360" customFormat="false" ht="15" hidden="false" customHeight="false" outlineLevel="0" collapsed="false">
      <c r="A360" s="16" t="n">
        <v>357</v>
      </c>
      <c r="B360" s="16" t="s">
        <v>676</v>
      </c>
      <c r="C360" s="16" t="s">
        <v>677</v>
      </c>
      <c r="D360" s="16" t="s">
        <v>138</v>
      </c>
      <c r="E360" s="17" t="n">
        <v>0</v>
      </c>
      <c r="F360" s="17" t="n">
        <v>50220833</v>
      </c>
      <c r="G360" s="11" t="n">
        <f aca="false">E360-F360</f>
        <v>-50220833</v>
      </c>
      <c r="H360" s="5" t="n">
        <v>46099</v>
      </c>
      <c r="I360" s="16" t="s">
        <v>210</v>
      </c>
      <c r="J360" s="16" t="s">
        <v>684</v>
      </c>
      <c r="K360" s="16" t="s">
        <v>92</v>
      </c>
      <c r="L360" s="16" t="s">
        <v>788</v>
      </c>
      <c r="M360" s="16" t="s">
        <v>85</v>
      </c>
      <c r="N360" s="12" t="s">
        <v>142</v>
      </c>
      <c r="O360" s="4" t="s">
        <v>680</v>
      </c>
      <c r="P360" s="4" t="s">
        <v>681</v>
      </c>
    </row>
    <row r="361" customFormat="false" ht="15" hidden="false" customHeight="false" outlineLevel="0" collapsed="false">
      <c r="A361" s="16" t="n">
        <v>358</v>
      </c>
      <c r="B361" s="16" t="s">
        <v>676</v>
      </c>
      <c r="C361" s="16" t="s">
        <v>677</v>
      </c>
      <c r="D361" s="16" t="s">
        <v>138</v>
      </c>
      <c r="E361" s="17" t="n">
        <v>0</v>
      </c>
      <c r="F361" s="17" t="n">
        <v>40816667</v>
      </c>
      <c r="G361" s="11" t="n">
        <f aca="false">E361-F361</f>
        <v>-40816667</v>
      </c>
      <c r="H361" s="5" t="n">
        <v>46134</v>
      </c>
      <c r="I361" s="16" t="s">
        <v>210</v>
      </c>
      <c r="J361" s="16" t="s">
        <v>689</v>
      </c>
      <c r="K361" s="16" t="s">
        <v>92</v>
      </c>
      <c r="L361" s="16" t="s">
        <v>789</v>
      </c>
      <c r="M361" s="16" t="s">
        <v>85</v>
      </c>
      <c r="N361" s="12" t="s">
        <v>142</v>
      </c>
      <c r="O361" s="4" t="s">
        <v>680</v>
      </c>
      <c r="P361" s="4" t="s">
        <v>681</v>
      </c>
    </row>
    <row r="362" customFormat="false" ht="15" hidden="false" customHeight="false" outlineLevel="0" collapsed="false">
      <c r="A362" s="16" t="n">
        <v>359</v>
      </c>
      <c r="B362" s="16" t="s">
        <v>676</v>
      </c>
      <c r="C362" s="16" t="s">
        <v>677</v>
      </c>
      <c r="D362" s="16" t="s">
        <v>138</v>
      </c>
      <c r="E362" s="17" t="n">
        <v>137225000</v>
      </c>
      <c r="F362" s="17" t="n">
        <v>0</v>
      </c>
      <c r="G362" s="11" t="n">
        <f aca="false">E362-F362</f>
        <v>137225000</v>
      </c>
      <c r="H362" s="5" t="n">
        <v>46136</v>
      </c>
      <c r="I362" s="16" t="s">
        <v>139</v>
      </c>
      <c r="J362" s="16" t="s">
        <v>790</v>
      </c>
      <c r="K362" s="16" t="s">
        <v>160</v>
      </c>
      <c r="L362" s="16" t="s">
        <v>791</v>
      </c>
      <c r="M362" s="16" t="s">
        <v>106</v>
      </c>
      <c r="N362" s="12" t="s">
        <v>142</v>
      </c>
      <c r="O362" s="4" t="s">
        <v>680</v>
      </c>
      <c r="P362" s="4" t="s">
        <v>688</v>
      </c>
    </row>
    <row r="363" customFormat="false" ht="15" hidden="false" customHeight="false" outlineLevel="0" collapsed="false">
      <c r="A363" s="16" t="n">
        <v>360</v>
      </c>
      <c r="B363" s="16" t="s">
        <v>676</v>
      </c>
      <c r="C363" s="16" t="s">
        <v>677</v>
      </c>
      <c r="D363" s="16" t="s">
        <v>138</v>
      </c>
      <c r="E363" s="17" t="n">
        <v>0</v>
      </c>
      <c r="F363" s="17" t="n">
        <v>35963889</v>
      </c>
      <c r="G363" s="11" t="n">
        <f aca="false">E363-F363</f>
        <v>-35963889</v>
      </c>
      <c r="H363" s="5" t="n">
        <v>46162</v>
      </c>
      <c r="I363" s="16" t="s">
        <v>210</v>
      </c>
      <c r="J363" s="16" t="s">
        <v>691</v>
      </c>
      <c r="K363" s="16" t="s">
        <v>92</v>
      </c>
      <c r="L363" s="16" t="s">
        <v>792</v>
      </c>
      <c r="M363" s="16" t="s">
        <v>85</v>
      </c>
      <c r="N363" s="12" t="s">
        <v>142</v>
      </c>
      <c r="O363" s="4" t="s">
        <v>680</v>
      </c>
      <c r="P363" s="4" t="s">
        <v>681</v>
      </c>
    </row>
    <row r="364" customFormat="false" ht="15" hidden="false" customHeight="false" outlineLevel="0" collapsed="false">
      <c r="A364" s="16" t="n">
        <v>361</v>
      </c>
      <c r="B364" s="16" t="s">
        <v>676</v>
      </c>
      <c r="C364" s="16" t="s">
        <v>677</v>
      </c>
      <c r="D364" s="16" t="s">
        <v>138</v>
      </c>
      <c r="E364" s="17" t="n">
        <v>0</v>
      </c>
      <c r="F364" s="17" t="n">
        <v>35963889</v>
      </c>
      <c r="G364" s="11" t="n">
        <f aca="false">E364-F364</f>
        <v>-35963889</v>
      </c>
      <c r="H364" s="5" t="n">
        <v>46203</v>
      </c>
      <c r="I364" s="16" t="s">
        <v>210</v>
      </c>
      <c r="J364" s="16" t="s">
        <v>699</v>
      </c>
      <c r="K364" s="16" t="s">
        <v>92</v>
      </c>
      <c r="L364" s="16" t="s">
        <v>793</v>
      </c>
      <c r="M364" s="16" t="s">
        <v>85</v>
      </c>
      <c r="N364" s="12" t="s">
        <v>142</v>
      </c>
      <c r="O364" s="4" t="s">
        <v>680</v>
      </c>
      <c r="P364" s="4" t="s">
        <v>681</v>
      </c>
    </row>
    <row r="365" customFormat="false" ht="15" hidden="false" customHeight="false" outlineLevel="0" collapsed="false">
      <c r="A365" s="16" t="n">
        <v>362</v>
      </c>
      <c r="B365" s="16" t="s">
        <v>676</v>
      </c>
      <c r="C365" s="16" t="s">
        <v>677</v>
      </c>
      <c r="D365" s="16" t="s">
        <v>138</v>
      </c>
      <c r="E365" s="17" t="n">
        <v>0</v>
      </c>
      <c r="F365" s="17" t="n">
        <v>34853982</v>
      </c>
      <c r="G365" s="11" t="n">
        <f aca="false">E365-F365</f>
        <v>-34853982</v>
      </c>
      <c r="H365" s="5" t="n">
        <v>46227</v>
      </c>
      <c r="I365" s="16" t="s">
        <v>210</v>
      </c>
      <c r="J365" s="16" t="s">
        <v>733</v>
      </c>
      <c r="K365" s="16" t="s">
        <v>92</v>
      </c>
      <c r="L365" s="16" t="s">
        <v>794</v>
      </c>
      <c r="M365" s="16" t="s">
        <v>85</v>
      </c>
      <c r="N365" s="12" t="s">
        <v>142</v>
      </c>
      <c r="O365" s="4" t="s">
        <v>680</v>
      </c>
      <c r="P365" s="4" t="s">
        <v>681</v>
      </c>
    </row>
    <row r="366" customFormat="false" ht="15" hidden="false" customHeight="false" outlineLevel="0" collapsed="false">
      <c r="A366" s="16" t="n">
        <v>363</v>
      </c>
      <c r="B366" s="16" t="s">
        <v>676</v>
      </c>
      <c r="C366" s="16" t="s">
        <v>677</v>
      </c>
      <c r="D366" s="16" t="s">
        <v>138</v>
      </c>
      <c r="E366" s="17" t="n">
        <v>106781760</v>
      </c>
      <c r="F366" s="17" t="n">
        <v>0</v>
      </c>
      <c r="G366" s="11" t="n">
        <f aca="false">E366-F366</f>
        <v>106781760</v>
      </c>
      <c r="H366" s="5" t="n">
        <v>46231</v>
      </c>
      <c r="I366" s="16" t="s">
        <v>139</v>
      </c>
      <c r="J366" s="16" t="s">
        <v>795</v>
      </c>
      <c r="K366" s="16" t="s">
        <v>160</v>
      </c>
      <c r="L366" s="16" t="s">
        <v>796</v>
      </c>
      <c r="M366" s="16" t="s">
        <v>106</v>
      </c>
      <c r="N366" s="12" t="s">
        <v>142</v>
      </c>
      <c r="O366" s="4" t="s">
        <v>680</v>
      </c>
      <c r="P366" s="4" t="s">
        <v>688</v>
      </c>
    </row>
    <row r="367" customFormat="false" ht="15" hidden="false" customHeight="false" outlineLevel="0" collapsed="false">
      <c r="A367" s="16" t="n">
        <v>364</v>
      </c>
      <c r="B367" s="16" t="s">
        <v>797</v>
      </c>
      <c r="C367" s="16" t="s">
        <v>798</v>
      </c>
      <c r="D367" s="16" t="s">
        <v>89</v>
      </c>
      <c r="E367" s="17" t="n">
        <v>0</v>
      </c>
      <c r="F367" s="17" t="n">
        <v>19069144</v>
      </c>
      <c r="G367" s="11" t="n">
        <f aca="false">E367-F367</f>
        <v>-19069144</v>
      </c>
      <c r="H367" s="5" t="n">
        <v>46050</v>
      </c>
      <c r="I367" s="16" t="s">
        <v>210</v>
      </c>
      <c r="J367" s="16" t="s">
        <v>678</v>
      </c>
      <c r="K367" s="16" t="s">
        <v>92</v>
      </c>
      <c r="L367" s="16" t="s">
        <v>799</v>
      </c>
      <c r="M367" s="16" t="s">
        <v>85</v>
      </c>
      <c r="N367" s="12" t="s">
        <v>800</v>
      </c>
      <c r="O367" s="4" t="s">
        <v>801</v>
      </c>
      <c r="P367" s="4" t="s">
        <v>681</v>
      </c>
    </row>
    <row r="368" customFormat="false" ht="15" hidden="false" customHeight="false" outlineLevel="0" collapsed="false">
      <c r="A368" s="16" t="n">
        <v>365</v>
      </c>
      <c r="B368" s="16" t="s">
        <v>797</v>
      </c>
      <c r="C368" s="16" t="s">
        <v>798</v>
      </c>
      <c r="D368" s="16" t="s">
        <v>89</v>
      </c>
      <c r="E368" s="17" t="n">
        <v>53364768</v>
      </c>
      <c r="F368" s="17" t="n">
        <v>0</v>
      </c>
      <c r="G368" s="11" t="n">
        <f aca="false">E368-F368</f>
        <v>53364768</v>
      </c>
      <c r="H368" s="5" t="n">
        <v>46051</v>
      </c>
      <c r="I368" s="16" t="s">
        <v>564</v>
      </c>
      <c r="J368" s="16" t="s">
        <v>802</v>
      </c>
      <c r="K368" s="16" t="s">
        <v>160</v>
      </c>
      <c r="L368" s="16" t="s">
        <v>803</v>
      </c>
      <c r="M368" s="16" t="s">
        <v>106</v>
      </c>
      <c r="N368" s="12" t="s">
        <v>800</v>
      </c>
      <c r="O368" s="4" t="s">
        <v>801</v>
      </c>
      <c r="P368" s="4" t="s">
        <v>688</v>
      </c>
    </row>
    <row r="369" customFormat="false" ht="15" hidden="false" customHeight="false" outlineLevel="0" collapsed="false">
      <c r="A369" s="16" t="n">
        <v>366</v>
      </c>
      <c r="B369" s="16" t="s">
        <v>797</v>
      </c>
      <c r="C369" s="16" t="s">
        <v>798</v>
      </c>
      <c r="D369" s="16" t="s">
        <v>89</v>
      </c>
      <c r="E369" s="17" t="n">
        <v>0</v>
      </c>
      <c r="F369" s="17" t="n">
        <v>17158629</v>
      </c>
      <c r="G369" s="11" t="n">
        <f aca="false">E369-F369</f>
        <v>-17158629</v>
      </c>
      <c r="H369" s="5" t="n">
        <v>46072</v>
      </c>
      <c r="I369" s="16" t="s">
        <v>210</v>
      </c>
      <c r="J369" s="16" t="s">
        <v>682</v>
      </c>
      <c r="K369" s="16" t="s">
        <v>92</v>
      </c>
      <c r="L369" s="16" t="s">
        <v>804</v>
      </c>
      <c r="M369" s="16" t="s">
        <v>85</v>
      </c>
      <c r="N369" s="12" t="s">
        <v>800</v>
      </c>
      <c r="O369" s="4" t="s">
        <v>801</v>
      </c>
      <c r="P369" s="4" t="s">
        <v>681</v>
      </c>
    </row>
    <row r="370" customFormat="false" ht="15" hidden="false" customHeight="false" outlineLevel="0" collapsed="false">
      <c r="A370" s="16" t="n">
        <v>367</v>
      </c>
      <c r="B370" s="16" t="s">
        <v>797</v>
      </c>
      <c r="C370" s="16" t="s">
        <v>798</v>
      </c>
      <c r="D370" s="16" t="s">
        <v>89</v>
      </c>
      <c r="E370" s="17" t="n">
        <v>0</v>
      </c>
      <c r="F370" s="17" t="n">
        <v>17158629</v>
      </c>
      <c r="G370" s="11" t="n">
        <f aca="false">E370-F370</f>
        <v>-17158629</v>
      </c>
      <c r="H370" s="5" t="n">
        <v>46099</v>
      </c>
      <c r="I370" s="16" t="s">
        <v>210</v>
      </c>
      <c r="J370" s="16" t="s">
        <v>684</v>
      </c>
      <c r="K370" s="16" t="s">
        <v>92</v>
      </c>
      <c r="L370" s="16" t="s">
        <v>805</v>
      </c>
      <c r="M370" s="16" t="s">
        <v>85</v>
      </c>
      <c r="N370" s="12" t="s">
        <v>800</v>
      </c>
      <c r="O370" s="4" t="s">
        <v>801</v>
      </c>
      <c r="P370" s="4" t="s">
        <v>681</v>
      </c>
    </row>
    <row r="371" customFormat="false" ht="15" hidden="false" customHeight="false" outlineLevel="0" collapsed="false">
      <c r="A371" s="16" t="n">
        <v>368</v>
      </c>
      <c r="B371" s="16" t="s">
        <v>797</v>
      </c>
      <c r="C371" s="16" t="s">
        <v>798</v>
      </c>
      <c r="D371" s="16" t="s">
        <v>89</v>
      </c>
      <c r="E371" s="17" t="n">
        <v>0</v>
      </c>
      <c r="F371" s="17" t="n">
        <v>21110612</v>
      </c>
      <c r="G371" s="11" t="n">
        <f aca="false">E371-F371</f>
        <v>-21110612</v>
      </c>
      <c r="H371" s="5" t="n">
        <v>46134</v>
      </c>
      <c r="I371" s="16" t="s">
        <v>210</v>
      </c>
      <c r="J371" s="16" t="s">
        <v>689</v>
      </c>
      <c r="K371" s="16" t="s">
        <v>92</v>
      </c>
      <c r="L371" s="16" t="s">
        <v>806</v>
      </c>
      <c r="M371" s="16" t="s">
        <v>85</v>
      </c>
      <c r="N371" s="12" t="s">
        <v>800</v>
      </c>
      <c r="O371" s="4" t="s">
        <v>801</v>
      </c>
      <c r="P371" s="4" t="s">
        <v>681</v>
      </c>
    </row>
    <row r="372" customFormat="false" ht="15" hidden="false" customHeight="false" outlineLevel="0" collapsed="false">
      <c r="A372" s="16" t="n">
        <v>369</v>
      </c>
      <c r="B372" s="16" t="s">
        <v>797</v>
      </c>
      <c r="C372" s="16" t="s">
        <v>798</v>
      </c>
      <c r="D372" s="16" t="s">
        <v>89</v>
      </c>
      <c r="E372" s="17" t="n">
        <v>55427870</v>
      </c>
      <c r="F372" s="17" t="n">
        <v>0</v>
      </c>
      <c r="G372" s="11" t="n">
        <f aca="false">E372-F372</f>
        <v>55427870</v>
      </c>
      <c r="H372" s="5" t="n">
        <v>46136</v>
      </c>
      <c r="I372" s="16" t="s">
        <v>564</v>
      </c>
      <c r="J372" s="16" t="s">
        <v>807</v>
      </c>
      <c r="K372" s="16" t="s">
        <v>160</v>
      </c>
      <c r="L372" s="16" t="s">
        <v>808</v>
      </c>
      <c r="M372" s="16" t="s">
        <v>106</v>
      </c>
      <c r="N372" s="12" t="s">
        <v>800</v>
      </c>
      <c r="O372" s="4" t="s">
        <v>801</v>
      </c>
      <c r="P372" s="4" t="s">
        <v>688</v>
      </c>
    </row>
    <row r="373" customFormat="false" ht="15" hidden="false" customHeight="false" outlineLevel="0" collapsed="false">
      <c r="A373" s="16" t="n">
        <v>370</v>
      </c>
      <c r="B373" s="16" t="s">
        <v>797</v>
      </c>
      <c r="C373" s="16" t="s">
        <v>798</v>
      </c>
      <c r="D373" s="16" t="s">
        <v>89</v>
      </c>
      <c r="E373" s="17" t="n">
        <v>0</v>
      </c>
      <c r="F373" s="17" t="n">
        <v>17169742</v>
      </c>
      <c r="G373" s="11" t="n">
        <f aca="false">E373-F373</f>
        <v>-17169742</v>
      </c>
      <c r="H373" s="5" t="n">
        <v>46162</v>
      </c>
      <c r="I373" s="16" t="s">
        <v>210</v>
      </c>
      <c r="J373" s="16" t="s">
        <v>691</v>
      </c>
      <c r="K373" s="16" t="s">
        <v>92</v>
      </c>
      <c r="L373" s="16" t="s">
        <v>809</v>
      </c>
      <c r="M373" s="16" t="s">
        <v>85</v>
      </c>
      <c r="N373" s="12" t="s">
        <v>800</v>
      </c>
      <c r="O373" s="4" t="s">
        <v>801</v>
      </c>
      <c r="P373" s="4" t="s">
        <v>681</v>
      </c>
    </row>
    <row r="374" customFormat="false" ht="15" hidden="false" customHeight="false" outlineLevel="0" collapsed="false">
      <c r="A374" s="16" t="n">
        <v>371</v>
      </c>
      <c r="B374" s="16" t="s">
        <v>797</v>
      </c>
      <c r="C374" s="16" t="s">
        <v>798</v>
      </c>
      <c r="D374" s="16" t="s">
        <v>89</v>
      </c>
      <c r="E374" s="17" t="n">
        <v>0</v>
      </c>
      <c r="F374" s="17" t="n">
        <v>17169742</v>
      </c>
      <c r="G374" s="11" t="n">
        <f aca="false">E374-F374</f>
        <v>-17169742</v>
      </c>
      <c r="H374" s="5" t="n">
        <v>46203</v>
      </c>
      <c r="I374" s="16" t="s">
        <v>210</v>
      </c>
      <c r="J374" s="16" t="s">
        <v>699</v>
      </c>
      <c r="K374" s="16" t="s">
        <v>92</v>
      </c>
      <c r="L374" s="16" t="s">
        <v>810</v>
      </c>
      <c r="M374" s="16" t="s">
        <v>85</v>
      </c>
      <c r="N374" s="12" t="s">
        <v>800</v>
      </c>
      <c r="O374" s="4" t="s">
        <v>801</v>
      </c>
      <c r="P374" s="4" t="s">
        <v>681</v>
      </c>
    </row>
    <row r="375" customFormat="false" ht="15" hidden="false" customHeight="false" outlineLevel="0" collapsed="false">
      <c r="A375" s="16" t="n">
        <v>372</v>
      </c>
      <c r="B375" s="16" t="s">
        <v>797</v>
      </c>
      <c r="C375" s="16" t="s">
        <v>798</v>
      </c>
      <c r="D375" s="16" t="s">
        <v>89</v>
      </c>
      <c r="E375" s="17" t="n">
        <v>0</v>
      </c>
      <c r="F375" s="17" t="n">
        <v>29702366</v>
      </c>
      <c r="G375" s="11" t="n">
        <f aca="false">E375-F375</f>
        <v>-29702366</v>
      </c>
      <c r="H375" s="5" t="n">
        <v>46227</v>
      </c>
      <c r="I375" s="16" t="s">
        <v>210</v>
      </c>
      <c r="J375" s="16" t="s">
        <v>733</v>
      </c>
      <c r="K375" s="16" t="s">
        <v>92</v>
      </c>
      <c r="L375" s="16" t="s">
        <v>811</v>
      </c>
      <c r="M375" s="16" t="s">
        <v>85</v>
      </c>
      <c r="N375" s="12" t="s">
        <v>800</v>
      </c>
      <c r="O375" s="4" t="s">
        <v>801</v>
      </c>
      <c r="P375" s="4" t="s">
        <v>681</v>
      </c>
    </row>
    <row r="376" customFormat="false" ht="15" hidden="false" customHeight="false" outlineLevel="0" collapsed="false">
      <c r="A376" s="16" t="n">
        <v>373</v>
      </c>
      <c r="B376" s="16" t="s">
        <v>797</v>
      </c>
      <c r="C376" s="16" t="s">
        <v>798</v>
      </c>
      <c r="D376" s="16" t="s">
        <v>89</v>
      </c>
      <c r="E376" s="17" t="n">
        <v>64041850</v>
      </c>
      <c r="F376" s="17" t="n">
        <v>0</v>
      </c>
      <c r="G376" s="11" t="n">
        <f aca="false">E376-F376</f>
        <v>64041850</v>
      </c>
      <c r="H376" s="5" t="n">
        <v>46231</v>
      </c>
      <c r="I376" s="16" t="s">
        <v>564</v>
      </c>
      <c r="J376" s="16" t="s">
        <v>812</v>
      </c>
      <c r="K376" s="16" t="s">
        <v>160</v>
      </c>
      <c r="L376" s="16" t="s">
        <v>813</v>
      </c>
      <c r="M376" s="16" t="s">
        <v>106</v>
      </c>
      <c r="N376" s="12" t="s">
        <v>800</v>
      </c>
      <c r="O376" s="4" t="s">
        <v>801</v>
      </c>
      <c r="P376" s="4" t="s">
        <v>688</v>
      </c>
    </row>
    <row r="377" customFormat="false" ht="15" hidden="false" customHeight="false" outlineLevel="0" collapsed="false">
      <c r="A377" s="16" t="n">
        <v>374</v>
      </c>
      <c r="B377" s="16" t="s">
        <v>797</v>
      </c>
      <c r="C377" s="16" t="s">
        <v>798</v>
      </c>
      <c r="D377" s="16" t="s">
        <v>96</v>
      </c>
      <c r="E377" s="17" t="n">
        <v>0</v>
      </c>
      <c r="F377" s="17" t="n">
        <v>13150699</v>
      </c>
      <c r="G377" s="11" t="n">
        <f aca="false">E377-F377</f>
        <v>-13150699</v>
      </c>
      <c r="H377" s="5" t="n">
        <v>46050</v>
      </c>
      <c r="I377" s="16" t="s">
        <v>210</v>
      </c>
      <c r="J377" s="16" t="s">
        <v>678</v>
      </c>
      <c r="K377" s="16" t="s">
        <v>92</v>
      </c>
      <c r="L377" s="16" t="s">
        <v>814</v>
      </c>
      <c r="M377" s="16" t="s">
        <v>85</v>
      </c>
      <c r="N377" s="12" t="s">
        <v>610</v>
      </c>
      <c r="O377" s="4" t="s">
        <v>801</v>
      </c>
      <c r="P377" s="4" t="s">
        <v>681</v>
      </c>
    </row>
    <row r="378" customFormat="false" ht="15" hidden="false" customHeight="false" outlineLevel="0" collapsed="false">
      <c r="A378" s="16" t="n">
        <v>375</v>
      </c>
      <c r="B378" s="16" t="s">
        <v>797</v>
      </c>
      <c r="C378" s="16" t="s">
        <v>798</v>
      </c>
      <c r="D378" s="16" t="s">
        <v>96</v>
      </c>
      <c r="E378" s="17" t="n">
        <v>0</v>
      </c>
      <c r="F378" s="17" t="n">
        <v>8996851</v>
      </c>
      <c r="G378" s="11" t="n">
        <f aca="false">E378-F378</f>
        <v>-8996851</v>
      </c>
      <c r="H378" s="5" t="n">
        <v>46050</v>
      </c>
      <c r="I378" s="16" t="s">
        <v>210</v>
      </c>
      <c r="J378" s="16" t="s">
        <v>678</v>
      </c>
      <c r="K378" s="16" t="s">
        <v>92</v>
      </c>
      <c r="L378" s="16" t="s">
        <v>815</v>
      </c>
      <c r="M378" s="16" t="s">
        <v>85</v>
      </c>
      <c r="N378" s="12" t="s">
        <v>604</v>
      </c>
      <c r="O378" s="4" t="s">
        <v>801</v>
      </c>
      <c r="P378" s="4" t="s">
        <v>681</v>
      </c>
    </row>
    <row r="379" customFormat="false" ht="15" hidden="false" customHeight="false" outlineLevel="0" collapsed="false">
      <c r="A379" s="16" t="n">
        <v>376</v>
      </c>
      <c r="B379" s="16" t="s">
        <v>797</v>
      </c>
      <c r="C379" s="16" t="s">
        <v>798</v>
      </c>
      <c r="D379" s="16" t="s">
        <v>96</v>
      </c>
      <c r="E379" s="17" t="n">
        <v>0</v>
      </c>
      <c r="F379" s="17" t="n">
        <v>8996851</v>
      </c>
      <c r="G379" s="11" t="n">
        <f aca="false">E379-F379</f>
        <v>-8996851</v>
      </c>
      <c r="H379" s="5" t="n">
        <v>46050</v>
      </c>
      <c r="I379" s="16" t="s">
        <v>210</v>
      </c>
      <c r="J379" s="16" t="s">
        <v>678</v>
      </c>
      <c r="K379" s="16" t="s">
        <v>92</v>
      </c>
      <c r="L379" s="16" t="s">
        <v>816</v>
      </c>
      <c r="M379" s="16" t="s">
        <v>85</v>
      </c>
      <c r="N379" s="12" t="s">
        <v>601</v>
      </c>
      <c r="O379" s="4" t="s">
        <v>801</v>
      </c>
      <c r="P379" s="4" t="s">
        <v>681</v>
      </c>
    </row>
    <row r="380" customFormat="false" ht="15" hidden="false" customHeight="false" outlineLevel="0" collapsed="false">
      <c r="A380" s="16" t="n">
        <v>377</v>
      </c>
      <c r="B380" s="16" t="s">
        <v>797</v>
      </c>
      <c r="C380" s="16" t="s">
        <v>798</v>
      </c>
      <c r="D380" s="16" t="s">
        <v>96</v>
      </c>
      <c r="E380" s="17" t="n">
        <v>0</v>
      </c>
      <c r="F380" s="17" t="n">
        <v>3315230</v>
      </c>
      <c r="G380" s="11" t="n">
        <f aca="false">E380-F380</f>
        <v>-3315230</v>
      </c>
      <c r="H380" s="5" t="n">
        <v>46050</v>
      </c>
      <c r="I380" s="16" t="s">
        <v>210</v>
      </c>
      <c r="J380" s="16" t="s">
        <v>678</v>
      </c>
      <c r="K380" s="16" t="s">
        <v>92</v>
      </c>
      <c r="L380" s="16" t="s">
        <v>817</v>
      </c>
      <c r="M380" s="16" t="s">
        <v>85</v>
      </c>
      <c r="N380" s="12" t="s">
        <v>613</v>
      </c>
      <c r="O380" s="4" t="s">
        <v>801</v>
      </c>
      <c r="P380" s="4" t="s">
        <v>681</v>
      </c>
    </row>
    <row r="381" customFormat="false" ht="15" hidden="false" customHeight="false" outlineLevel="0" collapsed="false">
      <c r="A381" s="16" t="n">
        <v>378</v>
      </c>
      <c r="B381" s="16" t="s">
        <v>797</v>
      </c>
      <c r="C381" s="16" t="s">
        <v>798</v>
      </c>
      <c r="D381" s="16" t="s">
        <v>96</v>
      </c>
      <c r="E381" s="17" t="n">
        <v>0</v>
      </c>
      <c r="F381" s="17" t="n">
        <v>3315230</v>
      </c>
      <c r="G381" s="11" t="n">
        <f aca="false">E381-F381</f>
        <v>-3315230</v>
      </c>
      <c r="H381" s="5" t="n">
        <v>46050</v>
      </c>
      <c r="I381" s="16" t="s">
        <v>210</v>
      </c>
      <c r="J381" s="16" t="s">
        <v>678</v>
      </c>
      <c r="K381" s="16" t="s">
        <v>92</v>
      </c>
      <c r="L381" s="16" t="s">
        <v>818</v>
      </c>
      <c r="M381" s="16" t="s">
        <v>85</v>
      </c>
      <c r="N381" s="12" t="s">
        <v>616</v>
      </c>
      <c r="O381" s="4" t="s">
        <v>801</v>
      </c>
      <c r="P381" s="4" t="s">
        <v>681</v>
      </c>
    </row>
    <row r="382" customFormat="false" ht="15" hidden="false" customHeight="false" outlineLevel="0" collapsed="false">
      <c r="A382" s="16" t="n">
        <v>379</v>
      </c>
      <c r="B382" s="16" t="s">
        <v>797</v>
      </c>
      <c r="C382" s="16" t="s">
        <v>798</v>
      </c>
      <c r="D382" s="16" t="s">
        <v>96</v>
      </c>
      <c r="E382" s="17" t="n">
        <v>0</v>
      </c>
      <c r="F382" s="17" t="n">
        <v>3143760</v>
      </c>
      <c r="G382" s="11" t="n">
        <f aca="false">E382-F382</f>
        <v>-3143760</v>
      </c>
      <c r="H382" s="5" t="n">
        <v>46050</v>
      </c>
      <c r="I382" s="16" t="s">
        <v>210</v>
      </c>
      <c r="J382" s="16" t="s">
        <v>678</v>
      </c>
      <c r="K382" s="16" t="s">
        <v>92</v>
      </c>
      <c r="L382" s="16" t="s">
        <v>819</v>
      </c>
      <c r="M382" s="16" t="s">
        <v>85</v>
      </c>
      <c r="N382" s="12" t="s">
        <v>607</v>
      </c>
      <c r="O382" s="4" t="s">
        <v>801</v>
      </c>
      <c r="P382" s="4" t="s">
        <v>681</v>
      </c>
    </row>
    <row r="383" customFormat="false" ht="15" hidden="false" customHeight="false" outlineLevel="0" collapsed="false">
      <c r="A383" s="16" t="n">
        <v>380</v>
      </c>
      <c r="B383" s="16" t="s">
        <v>797</v>
      </c>
      <c r="C383" s="16" t="s">
        <v>798</v>
      </c>
      <c r="D383" s="16" t="s">
        <v>96</v>
      </c>
      <c r="E383" s="17" t="n">
        <v>13954010</v>
      </c>
      <c r="F383" s="17" t="n">
        <v>0</v>
      </c>
      <c r="G383" s="11" t="n">
        <f aca="false">E383-F383</f>
        <v>13954010</v>
      </c>
      <c r="H383" s="5" t="n">
        <v>46051</v>
      </c>
      <c r="I383" s="16" t="s">
        <v>90</v>
      </c>
      <c r="J383" s="16" t="s">
        <v>820</v>
      </c>
      <c r="K383" s="16" t="s">
        <v>160</v>
      </c>
      <c r="L383" s="16" t="s">
        <v>821</v>
      </c>
      <c r="M383" s="16" t="s">
        <v>106</v>
      </c>
      <c r="N383" s="12" t="s">
        <v>607</v>
      </c>
      <c r="O383" s="4" t="s">
        <v>801</v>
      </c>
      <c r="P383" s="4" t="s">
        <v>688</v>
      </c>
    </row>
    <row r="384" customFormat="false" ht="15" hidden="false" customHeight="false" outlineLevel="0" collapsed="false">
      <c r="A384" s="16" t="n">
        <v>381</v>
      </c>
      <c r="B384" s="16" t="s">
        <v>797</v>
      </c>
      <c r="C384" s="16" t="s">
        <v>798</v>
      </c>
      <c r="D384" s="16" t="s">
        <v>96</v>
      </c>
      <c r="E384" s="17" t="n">
        <v>37721963</v>
      </c>
      <c r="F384" s="17" t="n">
        <v>0</v>
      </c>
      <c r="G384" s="11" t="n">
        <f aca="false">E384-F384</f>
        <v>37721963</v>
      </c>
      <c r="H384" s="5" t="n">
        <v>46051</v>
      </c>
      <c r="I384" s="16" t="s">
        <v>90</v>
      </c>
      <c r="J384" s="16" t="s">
        <v>822</v>
      </c>
      <c r="K384" s="16" t="s">
        <v>160</v>
      </c>
      <c r="L384" s="16" t="s">
        <v>823</v>
      </c>
      <c r="M384" s="16" t="s">
        <v>106</v>
      </c>
      <c r="N384" s="12" t="s">
        <v>610</v>
      </c>
      <c r="O384" s="4" t="s">
        <v>801</v>
      </c>
      <c r="P384" s="4" t="s">
        <v>688</v>
      </c>
    </row>
    <row r="385" customFormat="false" ht="15" hidden="false" customHeight="false" outlineLevel="0" collapsed="false">
      <c r="A385" s="16" t="n">
        <v>382</v>
      </c>
      <c r="B385" s="16" t="s">
        <v>797</v>
      </c>
      <c r="C385" s="16" t="s">
        <v>798</v>
      </c>
      <c r="D385" s="16" t="s">
        <v>96</v>
      </c>
      <c r="E385" s="17" t="n">
        <v>13951120</v>
      </c>
      <c r="F385" s="17" t="n">
        <v>0</v>
      </c>
      <c r="G385" s="11" t="n">
        <f aca="false">E385-F385</f>
        <v>13951120</v>
      </c>
      <c r="H385" s="5" t="n">
        <v>46051</v>
      </c>
      <c r="I385" s="16" t="s">
        <v>90</v>
      </c>
      <c r="J385" s="16" t="s">
        <v>824</v>
      </c>
      <c r="K385" s="16" t="s">
        <v>160</v>
      </c>
      <c r="L385" s="16" t="s">
        <v>825</v>
      </c>
      <c r="M385" s="16" t="s">
        <v>106</v>
      </c>
      <c r="N385" s="12" t="s">
        <v>613</v>
      </c>
      <c r="O385" s="4" t="s">
        <v>801</v>
      </c>
      <c r="P385" s="4" t="s">
        <v>688</v>
      </c>
    </row>
    <row r="386" customFormat="false" ht="15" hidden="false" customHeight="false" outlineLevel="0" collapsed="false">
      <c r="A386" s="16" t="n">
        <v>383</v>
      </c>
      <c r="B386" s="16" t="s">
        <v>797</v>
      </c>
      <c r="C386" s="16" t="s">
        <v>798</v>
      </c>
      <c r="D386" s="16" t="s">
        <v>96</v>
      </c>
      <c r="E386" s="17" t="n">
        <v>13951120</v>
      </c>
      <c r="F386" s="17" t="n">
        <v>0</v>
      </c>
      <c r="G386" s="11" t="n">
        <f aca="false">E386-F386</f>
        <v>13951120</v>
      </c>
      <c r="H386" s="5" t="n">
        <v>46051</v>
      </c>
      <c r="I386" s="16" t="s">
        <v>90</v>
      </c>
      <c r="J386" s="16" t="s">
        <v>826</v>
      </c>
      <c r="K386" s="16" t="s">
        <v>160</v>
      </c>
      <c r="L386" s="16" t="s">
        <v>827</v>
      </c>
      <c r="M386" s="16" t="s">
        <v>106</v>
      </c>
      <c r="N386" s="12" t="s">
        <v>616</v>
      </c>
      <c r="O386" s="4" t="s">
        <v>801</v>
      </c>
      <c r="P386" s="4" t="s">
        <v>688</v>
      </c>
    </row>
    <row r="387" customFormat="false" ht="15" hidden="false" customHeight="false" outlineLevel="0" collapsed="false">
      <c r="A387" s="16" t="n">
        <v>384</v>
      </c>
      <c r="B387" s="16" t="s">
        <v>797</v>
      </c>
      <c r="C387" s="16" t="s">
        <v>798</v>
      </c>
      <c r="D387" s="16" t="s">
        <v>96</v>
      </c>
      <c r="E387" s="17" t="n">
        <v>10049649</v>
      </c>
      <c r="F387" s="17" t="n">
        <v>0</v>
      </c>
      <c r="G387" s="11" t="n">
        <f aca="false">E387-F387</f>
        <v>10049649</v>
      </c>
      <c r="H387" s="5" t="n">
        <v>46051</v>
      </c>
      <c r="I387" s="16" t="s">
        <v>90</v>
      </c>
      <c r="J387" s="16" t="s">
        <v>828</v>
      </c>
      <c r="K387" s="16" t="s">
        <v>160</v>
      </c>
      <c r="L387" s="16" t="s">
        <v>829</v>
      </c>
      <c r="M387" s="16" t="s">
        <v>106</v>
      </c>
      <c r="N387" s="12" t="s">
        <v>604</v>
      </c>
      <c r="O387" s="4" t="s">
        <v>801</v>
      </c>
      <c r="P387" s="4" t="s">
        <v>688</v>
      </c>
    </row>
    <row r="388" customFormat="false" ht="15" hidden="false" customHeight="false" outlineLevel="0" collapsed="false">
      <c r="A388" s="16" t="n">
        <v>385</v>
      </c>
      <c r="B388" s="16" t="s">
        <v>797</v>
      </c>
      <c r="C388" s="16" t="s">
        <v>798</v>
      </c>
      <c r="D388" s="16" t="s">
        <v>96</v>
      </c>
      <c r="E388" s="17" t="n">
        <v>10049649</v>
      </c>
      <c r="F388" s="17" t="n">
        <v>0</v>
      </c>
      <c r="G388" s="11" t="n">
        <f aca="false">E388-F388</f>
        <v>10049649</v>
      </c>
      <c r="H388" s="5" t="n">
        <v>46051</v>
      </c>
      <c r="I388" s="16" t="s">
        <v>90</v>
      </c>
      <c r="J388" s="16" t="s">
        <v>830</v>
      </c>
      <c r="K388" s="16" t="s">
        <v>160</v>
      </c>
      <c r="L388" s="16" t="s">
        <v>831</v>
      </c>
      <c r="M388" s="16" t="s">
        <v>106</v>
      </c>
      <c r="N388" s="12" t="s">
        <v>601</v>
      </c>
      <c r="O388" s="4" t="s">
        <v>801</v>
      </c>
      <c r="P388" s="4" t="s">
        <v>688</v>
      </c>
    </row>
    <row r="389" customFormat="false" ht="15" hidden="false" customHeight="false" outlineLevel="0" collapsed="false">
      <c r="A389" s="16" t="n">
        <v>386</v>
      </c>
      <c r="B389" s="16" t="s">
        <v>797</v>
      </c>
      <c r="C389" s="16" t="s">
        <v>798</v>
      </c>
      <c r="D389" s="16" t="s">
        <v>96</v>
      </c>
      <c r="E389" s="17" t="n">
        <v>0</v>
      </c>
      <c r="F389" s="17" t="n">
        <v>11643321</v>
      </c>
      <c r="G389" s="11" t="n">
        <f aca="false">E389-F389</f>
        <v>-11643321</v>
      </c>
      <c r="H389" s="5" t="n">
        <v>46072</v>
      </c>
      <c r="I389" s="16" t="s">
        <v>210</v>
      </c>
      <c r="J389" s="16" t="s">
        <v>682</v>
      </c>
      <c r="K389" s="16" t="s">
        <v>92</v>
      </c>
      <c r="L389" s="16" t="s">
        <v>832</v>
      </c>
      <c r="M389" s="16" t="s">
        <v>85</v>
      </c>
      <c r="N389" s="12" t="s">
        <v>610</v>
      </c>
      <c r="O389" s="4" t="s">
        <v>801</v>
      </c>
      <c r="P389" s="4" t="s">
        <v>681</v>
      </c>
    </row>
    <row r="390" customFormat="false" ht="15" hidden="false" customHeight="false" outlineLevel="0" collapsed="false">
      <c r="A390" s="16" t="n">
        <v>387</v>
      </c>
      <c r="B390" s="16" t="s">
        <v>797</v>
      </c>
      <c r="C390" s="16" t="s">
        <v>798</v>
      </c>
      <c r="D390" s="16" t="s">
        <v>96</v>
      </c>
      <c r="E390" s="17" t="n">
        <v>0</v>
      </c>
      <c r="F390" s="17" t="n">
        <v>480943</v>
      </c>
      <c r="G390" s="11" t="n">
        <f aca="false">E390-F390</f>
        <v>-480943</v>
      </c>
      <c r="H390" s="5" t="n">
        <v>46072</v>
      </c>
      <c r="I390" s="16" t="s">
        <v>210</v>
      </c>
      <c r="J390" s="16" t="s">
        <v>682</v>
      </c>
      <c r="K390" s="16" t="s">
        <v>92</v>
      </c>
      <c r="L390" s="16" t="s">
        <v>833</v>
      </c>
      <c r="M390" s="16" t="s">
        <v>85</v>
      </c>
      <c r="N390" s="12" t="s">
        <v>604</v>
      </c>
      <c r="O390" s="4" t="s">
        <v>801</v>
      </c>
      <c r="P390" s="4" t="s">
        <v>681</v>
      </c>
    </row>
    <row r="391" customFormat="false" ht="15" hidden="false" customHeight="false" outlineLevel="0" collapsed="false">
      <c r="A391" s="16" t="n">
        <v>388</v>
      </c>
      <c r="B391" s="16" t="s">
        <v>797</v>
      </c>
      <c r="C391" s="16" t="s">
        <v>798</v>
      </c>
      <c r="D391" s="16" t="s">
        <v>96</v>
      </c>
      <c r="E391" s="17" t="n">
        <v>0</v>
      </c>
      <c r="F391" s="17" t="n">
        <v>480943</v>
      </c>
      <c r="G391" s="11" t="n">
        <f aca="false">E391-F391</f>
        <v>-480943</v>
      </c>
      <c r="H391" s="5" t="n">
        <v>46072</v>
      </c>
      <c r="I391" s="16" t="s">
        <v>210</v>
      </c>
      <c r="J391" s="16" t="s">
        <v>682</v>
      </c>
      <c r="K391" s="16" t="s">
        <v>92</v>
      </c>
      <c r="L391" s="16" t="s">
        <v>834</v>
      </c>
      <c r="M391" s="16" t="s">
        <v>85</v>
      </c>
      <c r="N391" s="12" t="s">
        <v>601</v>
      </c>
      <c r="O391" s="4" t="s">
        <v>801</v>
      </c>
      <c r="P391" s="4" t="s">
        <v>681</v>
      </c>
    </row>
    <row r="392" customFormat="false" ht="15" hidden="false" customHeight="false" outlineLevel="0" collapsed="false">
      <c r="A392" s="16" t="n">
        <v>389</v>
      </c>
      <c r="B392" s="16" t="s">
        <v>797</v>
      </c>
      <c r="C392" s="16" t="s">
        <v>798</v>
      </c>
      <c r="D392" s="16" t="s">
        <v>96</v>
      </c>
      <c r="E392" s="17" t="n">
        <v>0</v>
      </c>
      <c r="F392" s="17" t="n">
        <v>5089087</v>
      </c>
      <c r="G392" s="11" t="n">
        <f aca="false">E392-F392</f>
        <v>-5089087</v>
      </c>
      <c r="H392" s="5" t="n">
        <v>46072</v>
      </c>
      <c r="I392" s="16" t="s">
        <v>210</v>
      </c>
      <c r="J392" s="16" t="s">
        <v>682</v>
      </c>
      <c r="K392" s="16" t="s">
        <v>92</v>
      </c>
      <c r="L392" s="16" t="s">
        <v>835</v>
      </c>
      <c r="M392" s="16" t="s">
        <v>85</v>
      </c>
      <c r="N392" s="12" t="s">
        <v>613</v>
      </c>
      <c r="O392" s="4" t="s">
        <v>801</v>
      </c>
      <c r="P392" s="4" t="s">
        <v>681</v>
      </c>
    </row>
    <row r="393" customFormat="false" ht="15" hidden="false" customHeight="false" outlineLevel="0" collapsed="false">
      <c r="A393" s="16" t="n">
        <v>390</v>
      </c>
      <c r="B393" s="16" t="s">
        <v>797</v>
      </c>
      <c r="C393" s="16" t="s">
        <v>798</v>
      </c>
      <c r="D393" s="16" t="s">
        <v>96</v>
      </c>
      <c r="E393" s="17" t="n">
        <v>0</v>
      </c>
      <c r="F393" s="17" t="n">
        <v>5089087</v>
      </c>
      <c r="G393" s="11" t="n">
        <f aca="false">E393-F393</f>
        <v>-5089087</v>
      </c>
      <c r="H393" s="5" t="n">
        <v>46072</v>
      </c>
      <c r="I393" s="16" t="s">
        <v>210</v>
      </c>
      <c r="J393" s="16" t="s">
        <v>682</v>
      </c>
      <c r="K393" s="16" t="s">
        <v>92</v>
      </c>
      <c r="L393" s="16" t="s">
        <v>836</v>
      </c>
      <c r="M393" s="16" t="s">
        <v>85</v>
      </c>
      <c r="N393" s="12" t="s">
        <v>616</v>
      </c>
      <c r="O393" s="4" t="s">
        <v>801</v>
      </c>
      <c r="P393" s="4" t="s">
        <v>681</v>
      </c>
    </row>
    <row r="394" customFormat="false" ht="15" hidden="false" customHeight="false" outlineLevel="0" collapsed="false">
      <c r="A394" s="16" t="n">
        <v>391</v>
      </c>
      <c r="B394" s="16" t="s">
        <v>797</v>
      </c>
      <c r="C394" s="16" t="s">
        <v>798</v>
      </c>
      <c r="D394" s="16" t="s">
        <v>96</v>
      </c>
      <c r="E394" s="17" t="n">
        <v>0</v>
      </c>
      <c r="F394" s="17" t="n">
        <v>5173580</v>
      </c>
      <c r="G394" s="11" t="n">
        <f aca="false">E394-F394</f>
        <v>-5173580</v>
      </c>
      <c r="H394" s="5" t="n">
        <v>46072</v>
      </c>
      <c r="I394" s="16" t="s">
        <v>210</v>
      </c>
      <c r="J394" s="16" t="s">
        <v>682</v>
      </c>
      <c r="K394" s="16" t="s">
        <v>92</v>
      </c>
      <c r="L394" s="16" t="s">
        <v>837</v>
      </c>
      <c r="M394" s="16" t="s">
        <v>85</v>
      </c>
      <c r="N394" s="12" t="s">
        <v>607</v>
      </c>
      <c r="O394" s="4" t="s">
        <v>801</v>
      </c>
      <c r="P394" s="4" t="s">
        <v>681</v>
      </c>
    </row>
    <row r="395" customFormat="false" ht="15" hidden="false" customHeight="false" outlineLevel="0" collapsed="false">
      <c r="A395" s="16" t="n">
        <v>392</v>
      </c>
      <c r="B395" s="16" t="s">
        <v>797</v>
      </c>
      <c r="C395" s="16" t="s">
        <v>798</v>
      </c>
      <c r="D395" s="16" t="s">
        <v>96</v>
      </c>
      <c r="E395" s="17" t="n">
        <v>0</v>
      </c>
      <c r="F395" s="17" t="n">
        <v>11643321</v>
      </c>
      <c r="G395" s="11" t="n">
        <f aca="false">E395-F395</f>
        <v>-11643321</v>
      </c>
      <c r="H395" s="5" t="n">
        <v>46099</v>
      </c>
      <c r="I395" s="16" t="s">
        <v>210</v>
      </c>
      <c r="J395" s="16" t="s">
        <v>684</v>
      </c>
      <c r="K395" s="16" t="s">
        <v>92</v>
      </c>
      <c r="L395" s="16" t="s">
        <v>838</v>
      </c>
      <c r="M395" s="16" t="s">
        <v>85</v>
      </c>
      <c r="N395" s="12" t="s">
        <v>610</v>
      </c>
      <c r="O395" s="4" t="s">
        <v>801</v>
      </c>
      <c r="P395" s="4" t="s">
        <v>681</v>
      </c>
    </row>
    <row r="396" customFormat="false" ht="15" hidden="false" customHeight="false" outlineLevel="0" collapsed="false">
      <c r="A396" s="16" t="n">
        <v>393</v>
      </c>
      <c r="B396" s="16" t="s">
        <v>797</v>
      </c>
      <c r="C396" s="16" t="s">
        <v>798</v>
      </c>
      <c r="D396" s="16" t="s">
        <v>96</v>
      </c>
      <c r="E396" s="17" t="n">
        <v>0</v>
      </c>
      <c r="F396" s="17" t="n">
        <v>480943</v>
      </c>
      <c r="G396" s="11" t="n">
        <f aca="false">E396-F396</f>
        <v>-480943</v>
      </c>
      <c r="H396" s="5" t="n">
        <v>46099</v>
      </c>
      <c r="I396" s="16" t="s">
        <v>210</v>
      </c>
      <c r="J396" s="16" t="s">
        <v>684</v>
      </c>
      <c r="K396" s="16" t="s">
        <v>92</v>
      </c>
      <c r="L396" s="16" t="s">
        <v>839</v>
      </c>
      <c r="M396" s="16" t="s">
        <v>85</v>
      </c>
      <c r="N396" s="12" t="s">
        <v>604</v>
      </c>
      <c r="O396" s="4" t="s">
        <v>801</v>
      </c>
      <c r="P396" s="4" t="s">
        <v>681</v>
      </c>
    </row>
    <row r="397" customFormat="false" ht="15" hidden="false" customHeight="false" outlineLevel="0" collapsed="false">
      <c r="A397" s="16" t="n">
        <v>394</v>
      </c>
      <c r="B397" s="16" t="s">
        <v>797</v>
      </c>
      <c r="C397" s="16" t="s">
        <v>798</v>
      </c>
      <c r="D397" s="16" t="s">
        <v>96</v>
      </c>
      <c r="E397" s="17" t="n">
        <v>0</v>
      </c>
      <c r="F397" s="17" t="n">
        <v>480943</v>
      </c>
      <c r="G397" s="11" t="n">
        <f aca="false">E397-F397</f>
        <v>-480943</v>
      </c>
      <c r="H397" s="5" t="n">
        <v>46099</v>
      </c>
      <c r="I397" s="16" t="s">
        <v>210</v>
      </c>
      <c r="J397" s="16" t="s">
        <v>684</v>
      </c>
      <c r="K397" s="16" t="s">
        <v>92</v>
      </c>
      <c r="L397" s="16" t="s">
        <v>840</v>
      </c>
      <c r="M397" s="16" t="s">
        <v>85</v>
      </c>
      <c r="N397" s="12" t="s">
        <v>601</v>
      </c>
      <c r="O397" s="4" t="s">
        <v>801</v>
      </c>
      <c r="P397" s="4" t="s">
        <v>681</v>
      </c>
    </row>
    <row r="398" customFormat="false" ht="15" hidden="false" customHeight="false" outlineLevel="0" collapsed="false">
      <c r="A398" s="16" t="n">
        <v>395</v>
      </c>
      <c r="B398" s="16" t="s">
        <v>797</v>
      </c>
      <c r="C398" s="16" t="s">
        <v>798</v>
      </c>
      <c r="D398" s="16" t="s">
        <v>96</v>
      </c>
      <c r="E398" s="17" t="n">
        <v>0</v>
      </c>
      <c r="F398" s="17" t="n">
        <v>5089087</v>
      </c>
      <c r="G398" s="11" t="n">
        <f aca="false">E398-F398</f>
        <v>-5089087</v>
      </c>
      <c r="H398" s="5" t="n">
        <v>46099</v>
      </c>
      <c r="I398" s="16" t="s">
        <v>210</v>
      </c>
      <c r="J398" s="16" t="s">
        <v>684</v>
      </c>
      <c r="K398" s="16" t="s">
        <v>92</v>
      </c>
      <c r="L398" s="16" t="s">
        <v>841</v>
      </c>
      <c r="M398" s="16" t="s">
        <v>85</v>
      </c>
      <c r="N398" s="12" t="s">
        <v>613</v>
      </c>
      <c r="O398" s="4" t="s">
        <v>801</v>
      </c>
      <c r="P398" s="4" t="s">
        <v>681</v>
      </c>
    </row>
    <row r="399" customFormat="false" ht="15" hidden="false" customHeight="false" outlineLevel="0" collapsed="false">
      <c r="A399" s="16" t="n">
        <v>396</v>
      </c>
      <c r="B399" s="16" t="s">
        <v>797</v>
      </c>
      <c r="C399" s="16" t="s">
        <v>798</v>
      </c>
      <c r="D399" s="16" t="s">
        <v>96</v>
      </c>
      <c r="E399" s="17" t="n">
        <v>0</v>
      </c>
      <c r="F399" s="17" t="n">
        <v>5089087</v>
      </c>
      <c r="G399" s="11" t="n">
        <f aca="false">E399-F399</f>
        <v>-5089087</v>
      </c>
      <c r="H399" s="5" t="n">
        <v>46099</v>
      </c>
      <c r="I399" s="16" t="s">
        <v>210</v>
      </c>
      <c r="J399" s="16" t="s">
        <v>684</v>
      </c>
      <c r="K399" s="16" t="s">
        <v>92</v>
      </c>
      <c r="L399" s="16" t="s">
        <v>842</v>
      </c>
      <c r="M399" s="16" t="s">
        <v>85</v>
      </c>
      <c r="N399" s="12" t="s">
        <v>616</v>
      </c>
      <c r="O399" s="4" t="s">
        <v>801</v>
      </c>
      <c r="P399" s="4" t="s">
        <v>681</v>
      </c>
    </row>
    <row r="400" customFormat="false" ht="15" hidden="false" customHeight="false" outlineLevel="0" collapsed="false">
      <c r="A400" s="16" t="n">
        <v>397</v>
      </c>
      <c r="B400" s="16" t="s">
        <v>797</v>
      </c>
      <c r="C400" s="16" t="s">
        <v>798</v>
      </c>
      <c r="D400" s="16" t="s">
        <v>96</v>
      </c>
      <c r="E400" s="17" t="n">
        <v>0</v>
      </c>
      <c r="F400" s="17" t="n">
        <v>5173580</v>
      </c>
      <c r="G400" s="11" t="n">
        <f aca="false">E400-F400</f>
        <v>-5173580</v>
      </c>
      <c r="H400" s="5" t="n">
        <v>46099</v>
      </c>
      <c r="I400" s="16" t="s">
        <v>210</v>
      </c>
      <c r="J400" s="16" t="s">
        <v>684</v>
      </c>
      <c r="K400" s="16" t="s">
        <v>92</v>
      </c>
      <c r="L400" s="16" t="s">
        <v>843</v>
      </c>
      <c r="M400" s="16" t="s">
        <v>85</v>
      </c>
      <c r="N400" s="12" t="s">
        <v>607</v>
      </c>
      <c r="O400" s="4" t="s">
        <v>801</v>
      </c>
      <c r="P400" s="4" t="s">
        <v>681</v>
      </c>
    </row>
    <row r="401" customFormat="false" ht="15" hidden="false" customHeight="false" outlineLevel="0" collapsed="false">
      <c r="A401" s="16" t="n">
        <v>398</v>
      </c>
      <c r="B401" s="16" t="s">
        <v>797</v>
      </c>
      <c r="C401" s="16" t="s">
        <v>798</v>
      </c>
      <c r="D401" s="16" t="s">
        <v>96</v>
      </c>
      <c r="E401" s="17" t="n">
        <v>0</v>
      </c>
      <c r="F401" s="17" t="n">
        <v>13496414</v>
      </c>
      <c r="G401" s="11" t="n">
        <f aca="false">E401-F401</f>
        <v>-13496414</v>
      </c>
      <c r="H401" s="5" t="n">
        <v>46134</v>
      </c>
      <c r="I401" s="16" t="s">
        <v>210</v>
      </c>
      <c r="J401" s="16" t="s">
        <v>689</v>
      </c>
      <c r="K401" s="16" t="s">
        <v>92</v>
      </c>
      <c r="L401" s="16" t="s">
        <v>844</v>
      </c>
      <c r="M401" s="16" t="s">
        <v>85</v>
      </c>
      <c r="N401" s="12" t="s">
        <v>610</v>
      </c>
      <c r="O401" s="4" t="s">
        <v>801</v>
      </c>
      <c r="P401" s="4" t="s">
        <v>681</v>
      </c>
    </row>
    <row r="402" customFormat="false" ht="15" hidden="false" customHeight="false" outlineLevel="0" collapsed="false">
      <c r="A402" s="16" t="n">
        <v>399</v>
      </c>
      <c r="B402" s="16" t="s">
        <v>797</v>
      </c>
      <c r="C402" s="16" t="s">
        <v>798</v>
      </c>
      <c r="D402" s="16" t="s">
        <v>96</v>
      </c>
      <c r="E402" s="17" t="n">
        <v>0</v>
      </c>
      <c r="F402" s="17" t="n">
        <v>8602544</v>
      </c>
      <c r="G402" s="11" t="n">
        <f aca="false">E402-F402</f>
        <v>-8602544</v>
      </c>
      <c r="H402" s="5" t="n">
        <v>46134</v>
      </c>
      <c r="I402" s="16" t="s">
        <v>210</v>
      </c>
      <c r="J402" s="16" t="s">
        <v>689</v>
      </c>
      <c r="K402" s="16" t="s">
        <v>92</v>
      </c>
      <c r="L402" s="16" t="s">
        <v>845</v>
      </c>
      <c r="M402" s="16" t="s">
        <v>85</v>
      </c>
      <c r="N402" s="12" t="s">
        <v>604</v>
      </c>
      <c r="O402" s="4" t="s">
        <v>801</v>
      </c>
      <c r="P402" s="4" t="s">
        <v>681</v>
      </c>
    </row>
    <row r="403" customFormat="false" ht="15" hidden="false" customHeight="false" outlineLevel="0" collapsed="false">
      <c r="A403" s="16" t="n">
        <v>400</v>
      </c>
      <c r="B403" s="16" t="s">
        <v>797</v>
      </c>
      <c r="C403" s="16" t="s">
        <v>798</v>
      </c>
      <c r="D403" s="16" t="s">
        <v>96</v>
      </c>
      <c r="E403" s="17" t="n">
        <v>0</v>
      </c>
      <c r="F403" s="17" t="n">
        <v>8602544</v>
      </c>
      <c r="G403" s="11" t="n">
        <f aca="false">E403-F403</f>
        <v>-8602544</v>
      </c>
      <c r="H403" s="5" t="n">
        <v>46134</v>
      </c>
      <c r="I403" s="16" t="s">
        <v>210</v>
      </c>
      <c r="J403" s="16" t="s">
        <v>689</v>
      </c>
      <c r="K403" s="16" t="s">
        <v>92</v>
      </c>
      <c r="L403" s="16" t="s">
        <v>846</v>
      </c>
      <c r="M403" s="16" t="s">
        <v>85</v>
      </c>
      <c r="N403" s="12" t="s">
        <v>601</v>
      </c>
      <c r="O403" s="4" t="s">
        <v>801</v>
      </c>
      <c r="P403" s="4" t="s">
        <v>681</v>
      </c>
    </row>
    <row r="404" customFormat="false" ht="15" hidden="false" customHeight="false" outlineLevel="0" collapsed="false">
      <c r="A404" s="16" t="n">
        <v>401</v>
      </c>
      <c r="B404" s="16" t="s">
        <v>797</v>
      </c>
      <c r="C404" s="16" t="s">
        <v>798</v>
      </c>
      <c r="D404" s="16" t="s">
        <v>96</v>
      </c>
      <c r="E404" s="17" t="n">
        <v>0</v>
      </c>
      <c r="F404" s="17" t="n">
        <v>3456411</v>
      </c>
      <c r="G404" s="11" t="n">
        <f aca="false">E404-F404</f>
        <v>-3456411</v>
      </c>
      <c r="H404" s="5" t="n">
        <v>46134</v>
      </c>
      <c r="I404" s="16" t="s">
        <v>210</v>
      </c>
      <c r="J404" s="16" t="s">
        <v>689</v>
      </c>
      <c r="K404" s="16" t="s">
        <v>92</v>
      </c>
      <c r="L404" s="16" t="s">
        <v>847</v>
      </c>
      <c r="M404" s="16" t="s">
        <v>85</v>
      </c>
      <c r="N404" s="12" t="s">
        <v>613</v>
      </c>
      <c r="O404" s="4" t="s">
        <v>801</v>
      </c>
      <c r="P404" s="4" t="s">
        <v>681</v>
      </c>
    </row>
    <row r="405" customFormat="false" ht="15" hidden="false" customHeight="false" outlineLevel="0" collapsed="false">
      <c r="A405" s="16" t="n">
        <v>402</v>
      </c>
      <c r="B405" s="16" t="s">
        <v>797</v>
      </c>
      <c r="C405" s="16" t="s">
        <v>798</v>
      </c>
      <c r="D405" s="16" t="s">
        <v>96</v>
      </c>
      <c r="E405" s="17" t="n">
        <v>0</v>
      </c>
      <c r="F405" s="17" t="n">
        <v>3456411</v>
      </c>
      <c r="G405" s="11" t="n">
        <f aca="false">E405-F405</f>
        <v>-3456411</v>
      </c>
      <c r="H405" s="5" t="n">
        <v>46134</v>
      </c>
      <c r="I405" s="16" t="s">
        <v>210</v>
      </c>
      <c r="J405" s="16" t="s">
        <v>689</v>
      </c>
      <c r="K405" s="16" t="s">
        <v>92</v>
      </c>
      <c r="L405" s="16" t="s">
        <v>848</v>
      </c>
      <c r="M405" s="16" t="s">
        <v>85</v>
      </c>
      <c r="N405" s="12" t="s">
        <v>616</v>
      </c>
      <c r="O405" s="4" t="s">
        <v>801</v>
      </c>
      <c r="P405" s="4" t="s">
        <v>681</v>
      </c>
    </row>
    <row r="406" customFormat="false" ht="15" hidden="false" customHeight="false" outlineLevel="0" collapsed="false">
      <c r="A406" s="16" t="n">
        <v>403</v>
      </c>
      <c r="B406" s="16" t="s">
        <v>797</v>
      </c>
      <c r="C406" s="16" t="s">
        <v>798</v>
      </c>
      <c r="D406" s="16" t="s">
        <v>96</v>
      </c>
      <c r="E406" s="17" t="n">
        <v>0</v>
      </c>
      <c r="F406" s="17" t="n">
        <v>3290250</v>
      </c>
      <c r="G406" s="11" t="n">
        <f aca="false">E406-F406</f>
        <v>-3290250</v>
      </c>
      <c r="H406" s="5" t="n">
        <v>46134</v>
      </c>
      <c r="I406" s="16" t="s">
        <v>210</v>
      </c>
      <c r="J406" s="16" t="s">
        <v>689</v>
      </c>
      <c r="K406" s="16" t="s">
        <v>92</v>
      </c>
      <c r="L406" s="16" t="s">
        <v>849</v>
      </c>
      <c r="M406" s="16" t="s">
        <v>85</v>
      </c>
      <c r="N406" s="12" t="s">
        <v>607</v>
      </c>
      <c r="O406" s="4" t="s">
        <v>801</v>
      </c>
      <c r="P406" s="4" t="s">
        <v>681</v>
      </c>
    </row>
    <row r="407" customFormat="false" ht="15" hidden="false" customHeight="false" outlineLevel="0" collapsed="false">
      <c r="A407" s="16" t="n">
        <v>404</v>
      </c>
      <c r="B407" s="16" t="s">
        <v>797</v>
      </c>
      <c r="C407" s="16" t="s">
        <v>798</v>
      </c>
      <c r="D407" s="16" t="s">
        <v>96</v>
      </c>
      <c r="E407" s="17" t="n">
        <v>9564430</v>
      </c>
      <c r="F407" s="17" t="n">
        <v>0</v>
      </c>
      <c r="G407" s="11" t="n">
        <f aca="false">E407-F407</f>
        <v>9564430</v>
      </c>
      <c r="H407" s="5" t="n">
        <v>46136</v>
      </c>
      <c r="I407" s="16" t="s">
        <v>90</v>
      </c>
      <c r="J407" s="16" t="s">
        <v>850</v>
      </c>
      <c r="K407" s="16" t="s">
        <v>160</v>
      </c>
      <c r="L407" s="16" t="s">
        <v>851</v>
      </c>
      <c r="M407" s="16" t="s">
        <v>106</v>
      </c>
      <c r="N407" s="12" t="s">
        <v>601</v>
      </c>
      <c r="O407" s="4" t="s">
        <v>801</v>
      </c>
      <c r="P407" s="4" t="s">
        <v>688</v>
      </c>
    </row>
    <row r="408" customFormat="false" ht="15" hidden="false" customHeight="false" outlineLevel="0" collapsed="false">
      <c r="A408" s="16" t="n">
        <v>405</v>
      </c>
      <c r="B408" s="16" t="s">
        <v>797</v>
      </c>
      <c r="C408" s="16" t="s">
        <v>798</v>
      </c>
      <c r="D408" s="16" t="s">
        <v>96</v>
      </c>
      <c r="E408" s="17" t="n">
        <v>13637410</v>
      </c>
      <c r="F408" s="17" t="n">
        <v>0</v>
      </c>
      <c r="G408" s="11" t="n">
        <f aca="false">E408-F408</f>
        <v>13637410</v>
      </c>
      <c r="H408" s="5" t="n">
        <v>46136</v>
      </c>
      <c r="I408" s="16" t="s">
        <v>90</v>
      </c>
      <c r="J408" s="16" t="s">
        <v>852</v>
      </c>
      <c r="K408" s="16" t="s">
        <v>160</v>
      </c>
      <c r="L408" s="16" t="s">
        <v>853</v>
      </c>
      <c r="M408" s="16" t="s">
        <v>106</v>
      </c>
      <c r="N408" s="12" t="s">
        <v>607</v>
      </c>
      <c r="O408" s="4" t="s">
        <v>801</v>
      </c>
      <c r="P408" s="4" t="s">
        <v>688</v>
      </c>
    </row>
    <row r="409" customFormat="false" ht="15" hidden="false" customHeight="false" outlineLevel="0" collapsed="false">
      <c r="A409" s="16" t="n">
        <v>406</v>
      </c>
      <c r="B409" s="16" t="s">
        <v>797</v>
      </c>
      <c r="C409" s="16" t="s">
        <v>798</v>
      </c>
      <c r="D409" s="16" t="s">
        <v>96</v>
      </c>
      <c r="E409" s="17" t="n">
        <v>36783056</v>
      </c>
      <c r="F409" s="17" t="n">
        <v>0</v>
      </c>
      <c r="G409" s="11" t="n">
        <f aca="false">E409-F409</f>
        <v>36783056</v>
      </c>
      <c r="H409" s="5" t="n">
        <v>46136</v>
      </c>
      <c r="I409" s="16" t="s">
        <v>90</v>
      </c>
      <c r="J409" s="16" t="s">
        <v>854</v>
      </c>
      <c r="K409" s="16" t="s">
        <v>160</v>
      </c>
      <c r="L409" s="16" t="s">
        <v>855</v>
      </c>
      <c r="M409" s="16" t="s">
        <v>106</v>
      </c>
      <c r="N409" s="12" t="s">
        <v>610</v>
      </c>
      <c r="O409" s="4" t="s">
        <v>801</v>
      </c>
      <c r="P409" s="4" t="s">
        <v>688</v>
      </c>
    </row>
    <row r="410" customFormat="false" ht="15" hidden="false" customHeight="false" outlineLevel="0" collapsed="false">
      <c r="A410" s="16" t="n">
        <v>407</v>
      </c>
      <c r="B410" s="16" t="s">
        <v>797</v>
      </c>
      <c r="C410" s="16" t="s">
        <v>798</v>
      </c>
      <c r="D410" s="16" t="s">
        <v>96</v>
      </c>
      <c r="E410" s="17" t="n">
        <v>13634585</v>
      </c>
      <c r="F410" s="17" t="n">
        <v>0</v>
      </c>
      <c r="G410" s="11" t="n">
        <f aca="false">E410-F410</f>
        <v>13634585</v>
      </c>
      <c r="H410" s="5" t="n">
        <v>46136</v>
      </c>
      <c r="I410" s="16" t="s">
        <v>90</v>
      </c>
      <c r="J410" s="16" t="s">
        <v>856</v>
      </c>
      <c r="K410" s="16" t="s">
        <v>160</v>
      </c>
      <c r="L410" s="16" t="s">
        <v>857</v>
      </c>
      <c r="M410" s="16" t="s">
        <v>106</v>
      </c>
      <c r="N410" s="12" t="s">
        <v>613</v>
      </c>
      <c r="O410" s="4" t="s">
        <v>801</v>
      </c>
      <c r="P410" s="4" t="s">
        <v>688</v>
      </c>
    </row>
    <row r="411" customFormat="false" ht="15" hidden="false" customHeight="false" outlineLevel="0" collapsed="false">
      <c r="A411" s="16" t="n">
        <v>408</v>
      </c>
      <c r="B411" s="16" t="s">
        <v>797</v>
      </c>
      <c r="C411" s="16" t="s">
        <v>798</v>
      </c>
      <c r="D411" s="16" t="s">
        <v>96</v>
      </c>
      <c r="E411" s="17" t="n">
        <v>13634585</v>
      </c>
      <c r="F411" s="17" t="n">
        <v>0</v>
      </c>
      <c r="G411" s="11" t="n">
        <f aca="false">E411-F411</f>
        <v>13634585</v>
      </c>
      <c r="H411" s="5" t="n">
        <v>46136</v>
      </c>
      <c r="I411" s="16" t="s">
        <v>90</v>
      </c>
      <c r="J411" s="16" t="s">
        <v>858</v>
      </c>
      <c r="K411" s="16" t="s">
        <v>160</v>
      </c>
      <c r="L411" s="16" t="s">
        <v>859</v>
      </c>
      <c r="M411" s="16" t="s">
        <v>106</v>
      </c>
      <c r="N411" s="12" t="s">
        <v>616</v>
      </c>
      <c r="O411" s="4" t="s">
        <v>801</v>
      </c>
      <c r="P411" s="4" t="s">
        <v>688</v>
      </c>
    </row>
    <row r="412" customFormat="false" ht="15" hidden="false" customHeight="false" outlineLevel="0" collapsed="false">
      <c r="A412" s="16" t="n">
        <v>409</v>
      </c>
      <c r="B412" s="16" t="s">
        <v>797</v>
      </c>
      <c r="C412" s="16" t="s">
        <v>798</v>
      </c>
      <c r="D412" s="16" t="s">
        <v>96</v>
      </c>
      <c r="E412" s="17" t="n">
        <v>9564430</v>
      </c>
      <c r="F412" s="17" t="n">
        <v>0</v>
      </c>
      <c r="G412" s="11" t="n">
        <f aca="false">E412-F412</f>
        <v>9564430</v>
      </c>
      <c r="H412" s="5" t="n">
        <v>46136</v>
      </c>
      <c r="I412" s="16" t="s">
        <v>90</v>
      </c>
      <c r="J412" s="16" t="s">
        <v>860</v>
      </c>
      <c r="K412" s="16" t="s">
        <v>160</v>
      </c>
      <c r="L412" s="16" t="s">
        <v>861</v>
      </c>
      <c r="M412" s="16" t="s">
        <v>106</v>
      </c>
      <c r="N412" s="12" t="s">
        <v>604</v>
      </c>
      <c r="O412" s="4" t="s">
        <v>801</v>
      </c>
      <c r="P412" s="4" t="s">
        <v>688</v>
      </c>
    </row>
    <row r="413" customFormat="false" ht="15" hidden="false" customHeight="false" outlineLevel="0" collapsed="false">
      <c r="A413" s="16" t="n">
        <v>410</v>
      </c>
      <c r="B413" s="16" t="s">
        <v>797</v>
      </c>
      <c r="C413" s="16" t="s">
        <v>798</v>
      </c>
      <c r="D413" s="16" t="s">
        <v>96</v>
      </c>
      <c r="E413" s="17" t="n">
        <v>0</v>
      </c>
      <c r="F413" s="17" t="n">
        <v>10980527</v>
      </c>
      <c r="G413" s="11" t="n">
        <f aca="false">E413-F413</f>
        <v>-10980527</v>
      </c>
      <c r="H413" s="5" t="n">
        <v>46162</v>
      </c>
      <c r="I413" s="16" t="s">
        <v>210</v>
      </c>
      <c r="J413" s="16" t="s">
        <v>691</v>
      </c>
      <c r="K413" s="16" t="s">
        <v>92</v>
      </c>
      <c r="L413" s="16" t="s">
        <v>862</v>
      </c>
      <c r="M413" s="16" t="s">
        <v>85</v>
      </c>
      <c r="N413" s="12" t="s">
        <v>610</v>
      </c>
      <c r="O413" s="4" t="s">
        <v>801</v>
      </c>
      <c r="P413" s="4" t="s">
        <v>681</v>
      </c>
    </row>
    <row r="414" customFormat="false" ht="15" hidden="false" customHeight="false" outlineLevel="0" collapsed="false">
      <c r="A414" s="16" t="n">
        <v>411</v>
      </c>
      <c r="B414" s="16" t="s">
        <v>797</v>
      </c>
      <c r="C414" s="16" t="s">
        <v>798</v>
      </c>
      <c r="D414" s="16" t="s">
        <v>96</v>
      </c>
      <c r="E414" s="17" t="n">
        <v>0</v>
      </c>
      <c r="F414" s="17" t="n">
        <v>435217</v>
      </c>
      <c r="G414" s="11" t="n">
        <f aca="false">E414-F414</f>
        <v>-435217</v>
      </c>
      <c r="H414" s="5" t="n">
        <v>46162</v>
      </c>
      <c r="I414" s="16" t="s">
        <v>210</v>
      </c>
      <c r="J414" s="16" t="s">
        <v>691</v>
      </c>
      <c r="K414" s="16" t="s">
        <v>92</v>
      </c>
      <c r="L414" s="16" t="s">
        <v>863</v>
      </c>
      <c r="M414" s="16" t="s">
        <v>85</v>
      </c>
      <c r="N414" s="12" t="s">
        <v>604</v>
      </c>
      <c r="O414" s="4" t="s">
        <v>801</v>
      </c>
      <c r="P414" s="4" t="s">
        <v>681</v>
      </c>
    </row>
    <row r="415" customFormat="false" ht="15" hidden="false" customHeight="false" outlineLevel="0" collapsed="false">
      <c r="A415" s="16" t="n">
        <v>412</v>
      </c>
      <c r="B415" s="16" t="s">
        <v>797</v>
      </c>
      <c r="C415" s="16" t="s">
        <v>798</v>
      </c>
      <c r="D415" s="16" t="s">
        <v>96</v>
      </c>
      <c r="E415" s="17" t="n">
        <v>0</v>
      </c>
      <c r="F415" s="17" t="n">
        <v>435217</v>
      </c>
      <c r="G415" s="11" t="n">
        <f aca="false">E415-F415</f>
        <v>-435217</v>
      </c>
      <c r="H415" s="5" t="n">
        <v>46162</v>
      </c>
      <c r="I415" s="16" t="s">
        <v>210</v>
      </c>
      <c r="J415" s="16" t="s">
        <v>691</v>
      </c>
      <c r="K415" s="16" t="s">
        <v>92</v>
      </c>
      <c r="L415" s="16" t="s">
        <v>864</v>
      </c>
      <c r="M415" s="16" t="s">
        <v>85</v>
      </c>
      <c r="N415" s="12" t="s">
        <v>601</v>
      </c>
      <c r="O415" s="4" t="s">
        <v>801</v>
      </c>
      <c r="P415" s="4" t="s">
        <v>681</v>
      </c>
    </row>
    <row r="416" customFormat="false" ht="15" hidden="false" customHeight="false" outlineLevel="0" collapsed="false">
      <c r="A416" s="16" t="n">
        <v>413</v>
      </c>
      <c r="B416" s="16" t="s">
        <v>797</v>
      </c>
      <c r="C416" s="16" t="s">
        <v>798</v>
      </c>
      <c r="D416" s="16" t="s">
        <v>96</v>
      </c>
      <c r="E416" s="17" t="n">
        <v>0</v>
      </c>
      <c r="F416" s="17" t="n">
        <v>4851947</v>
      </c>
      <c r="G416" s="11" t="n">
        <f aca="false">E416-F416</f>
        <v>-4851947</v>
      </c>
      <c r="H416" s="5" t="n">
        <v>46162</v>
      </c>
      <c r="I416" s="16" t="s">
        <v>210</v>
      </c>
      <c r="J416" s="16" t="s">
        <v>691</v>
      </c>
      <c r="K416" s="16" t="s">
        <v>92</v>
      </c>
      <c r="L416" s="16" t="s">
        <v>865</v>
      </c>
      <c r="M416" s="16" t="s">
        <v>85</v>
      </c>
      <c r="N416" s="12" t="s">
        <v>613</v>
      </c>
      <c r="O416" s="4" t="s">
        <v>801</v>
      </c>
      <c r="P416" s="4" t="s">
        <v>681</v>
      </c>
    </row>
    <row r="417" customFormat="false" ht="15" hidden="false" customHeight="false" outlineLevel="0" collapsed="false">
      <c r="A417" s="16" t="n">
        <v>414</v>
      </c>
      <c r="B417" s="16" t="s">
        <v>797</v>
      </c>
      <c r="C417" s="16" t="s">
        <v>798</v>
      </c>
      <c r="D417" s="16" t="s">
        <v>96</v>
      </c>
      <c r="E417" s="17" t="n">
        <v>0</v>
      </c>
      <c r="F417" s="17" t="n">
        <v>4851947</v>
      </c>
      <c r="G417" s="11" t="n">
        <f aca="false">E417-F417</f>
        <v>-4851947</v>
      </c>
      <c r="H417" s="5" t="n">
        <v>46162</v>
      </c>
      <c r="I417" s="16" t="s">
        <v>210</v>
      </c>
      <c r="J417" s="16" t="s">
        <v>691</v>
      </c>
      <c r="K417" s="16" t="s">
        <v>92</v>
      </c>
      <c r="L417" s="16" t="s">
        <v>866</v>
      </c>
      <c r="M417" s="16" t="s">
        <v>85</v>
      </c>
      <c r="N417" s="12" t="s">
        <v>616</v>
      </c>
      <c r="O417" s="4" t="s">
        <v>801</v>
      </c>
      <c r="P417" s="4" t="s">
        <v>681</v>
      </c>
    </row>
    <row r="418" customFormat="false" ht="15" hidden="false" customHeight="false" outlineLevel="0" collapsed="false">
      <c r="A418" s="16" t="n">
        <v>415</v>
      </c>
      <c r="B418" s="16" t="s">
        <v>797</v>
      </c>
      <c r="C418" s="16" t="s">
        <v>798</v>
      </c>
      <c r="D418" s="16" t="s">
        <v>96</v>
      </c>
      <c r="E418" s="17" t="n">
        <v>0</v>
      </c>
      <c r="F418" s="17" t="n">
        <v>4933530</v>
      </c>
      <c r="G418" s="11" t="n">
        <f aca="false">E418-F418</f>
        <v>-4933530</v>
      </c>
      <c r="H418" s="5" t="n">
        <v>46162</v>
      </c>
      <c r="I418" s="16" t="s">
        <v>210</v>
      </c>
      <c r="J418" s="16" t="s">
        <v>691</v>
      </c>
      <c r="K418" s="16" t="s">
        <v>92</v>
      </c>
      <c r="L418" s="16" t="s">
        <v>867</v>
      </c>
      <c r="M418" s="16" t="s">
        <v>85</v>
      </c>
      <c r="N418" s="12" t="s">
        <v>607</v>
      </c>
      <c r="O418" s="4" t="s">
        <v>801</v>
      </c>
      <c r="P418" s="4" t="s">
        <v>681</v>
      </c>
    </row>
    <row r="419" customFormat="false" ht="15" hidden="false" customHeight="false" outlineLevel="0" collapsed="false">
      <c r="A419" s="16" t="n">
        <v>416</v>
      </c>
      <c r="B419" s="16" t="s">
        <v>797</v>
      </c>
      <c r="C419" s="16" t="s">
        <v>798</v>
      </c>
      <c r="D419" s="16" t="s">
        <v>96</v>
      </c>
      <c r="E419" s="17" t="n">
        <v>0</v>
      </c>
      <c r="F419" s="17" t="n">
        <v>10980527</v>
      </c>
      <c r="G419" s="11" t="n">
        <f aca="false">E419-F419</f>
        <v>-10980527</v>
      </c>
      <c r="H419" s="5" t="n">
        <v>46203</v>
      </c>
      <c r="I419" s="16" t="s">
        <v>210</v>
      </c>
      <c r="J419" s="16" t="s">
        <v>699</v>
      </c>
      <c r="K419" s="16" t="s">
        <v>92</v>
      </c>
      <c r="L419" s="16" t="s">
        <v>868</v>
      </c>
      <c r="M419" s="16" t="s">
        <v>85</v>
      </c>
      <c r="N419" s="12" t="s">
        <v>610</v>
      </c>
      <c r="O419" s="4" t="s">
        <v>801</v>
      </c>
      <c r="P419" s="4" t="s">
        <v>681</v>
      </c>
    </row>
    <row r="420" customFormat="false" ht="15" hidden="false" customHeight="false" outlineLevel="0" collapsed="false">
      <c r="A420" s="16" t="n">
        <v>417</v>
      </c>
      <c r="B420" s="16" t="s">
        <v>797</v>
      </c>
      <c r="C420" s="16" t="s">
        <v>798</v>
      </c>
      <c r="D420" s="16" t="s">
        <v>96</v>
      </c>
      <c r="E420" s="17" t="n">
        <v>0</v>
      </c>
      <c r="F420" s="17" t="n">
        <v>435217</v>
      </c>
      <c r="G420" s="11" t="n">
        <f aca="false">E420-F420</f>
        <v>-435217</v>
      </c>
      <c r="H420" s="5" t="n">
        <v>46203</v>
      </c>
      <c r="I420" s="16" t="s">
        <v>210</v>
      </c>
      <c r="J420" s="16" t="s">
        <v>699</v>
      </c>
      <c r="K420" s="16" t="s">
        <v>92</v>
      </c>
      <c r="L420" s="16" t="s">
        <v>869</v>
      </c>
      <c r="M420" s="16" t="s">
        <v>85</v>
      </c>
      <c r="N420" s="12" t="s">
        <v>604</v>
      </c>
      <c r="O420" s="4" t="s">
        <v>801</v>
      </c>
      <c r="P420" s="4" t="s">
        <v>681</v>
      </c>
    </row>
    <row r="421" customFormat="false" ht="15" hidden="false" customHeight="false" outlineLevel="0" collapsed="false">
      <c r="A421" s="16" t="n">
        <v>418</v>
      </c>
      <c r="B421" s="16" t="s">
        <v>797</v>
      </c>
      <c r="C421" s="16" t="s">
        <v>798</v>
      </c>
      <c r="D421" s="16" t="s">
        <v>96</v>
      </c>
      <c r="E421" s="17" t="n">
        <v>0</v>
      </c>
      <c r="F421" s="17" t="n">
        <v>435217</v>
      </c>
      <c r="G421" s="11" t="n">
        <f aca="false">E421-F421</f>
        <v>-435217</v>
      </c>
      <c r="H421" s="5" t="n">
        <v>46203</v>
      </c>
      <c r="I421" s="16" t="s">
        <v>210</v>
      </c>
      <c r="J421" s="16" t="s">
        <v>699</v>
      </c>
      <c r="K421" s="16" t="s">
        <v>92</v>
      </c>
      <c r="L421" s="16" t="s">
        <v>870</v>
      </c>
      <c r="M421" s="16" t="s">
        <v>85</v>
      </c>
      <c r="N421" s="12" t="s">
        <v>601</v>
      </c>
      <c r="O421" s="4" t="s">
        <v>801</v>
      </c>
      <c r="P421" s="4" t="s">
        <v>681</v>
      </c>
    </row>
    <row r="422" customFormat="false" ht="15" hidden="false" customHeight="false" outlineLevel="0" collapsed="false">
      <c r="A422" s="16" t="n">
        <v>419</v>
      </c>
      <c r="B422" s="16" t="s">
        <v>797</v>
      </c>
      <c r="C422" s="16" t="s">
        <v>798</v>
      </c>
      <c r="D422" s="16" t="s">
        <v>96</v>
      </c>
      <c r="E422" s="17" t="n">
        <v>0</v>
      </c>
      <c r="F422" s="17" t="n">
        <v>4851947</v>
      </c>
      <c r="G422" s="11" t="n">
        <f aca="false">E422-F422</f>
        <v>-4851947</v>
      </c>
      <c r="H422" s="5" t="n">
        <v>46203</v>
      </c>
      <c r="I422" s="16" t="s">
        <v>210</v>
      </c>
      <c r="J422" s="16" t="s">
        <v>699</v>
      </c>
      <c r="K422" s="16" t="s">
        <v>92</v>
      </c>
      <c r="L422" s="16" t="s">
        <v>871</v>
      </c>
      <c r="M422" s="16" t="s">
        <v>85</v>
      </c>
      <c r="N422" s="12" t="s">
        <v>613</v>
      </c>
      <c r="O422" s="4" t="s">
        <v>801</v>
      </c>
      <c r="P422" s="4" t="s">
        <v>681</v>
      </c>
    </row>
    <row r="423" customFormat="false" ht="15" hidden="false" customHeight="false" outlineLevel="0" collapsed="false">
      <c r="A423" s="16" t="n">
        <v>420</v>
      </c>
      <c r="B423" s="16" t="s">
        <v>797</v>
      </c>
      <c r="C423" s="16" t="s">
        <v>798</v>
      </c>
      <c r="D423" s="16" t="s">
        <v>96</v>
      </c>
      <c r="E423" s="17" t="n">
        <v>0</v>
      </c>
      <c r="F423" s="17" t="n">
        <v>4851947</v>
      </c>
      <c r="G423" s="11" t="n">
        <f aca="false">E423-F423</f>
        <v>-4851947</v>
      </c>
      <c r="H423" s="5" t="n">
        <v>46203</v>
      </c>
      <c r="I423" s="16" t="s">
        <v>210</v>
      </c>
      <c r="J423" s="16" t="s">
        <v>699</v>
      </c>
      <c r="K423" s="16" t="s">
        <v>92</v>
      </c>
      <c r="L423" s="16" t="s">
        <v>872</v>
      </c>
      <c r="M423" s="16" t="s">
        <v>85</v>
      </c>
      <c r="N423" s="12" t="s">
        <v>616</v>
      </c>
      <c r="O423" s="4" t="s">
        <v>801</v>
      </c>
      <c r="P423" s="4" t="s">
        <v>681</v>
      </c>
    </row>
    <row r="424" customFormat="false" ht="15" hidden="false" customHeight="false" outlineLevel="0" collapsed="false">
      <c r="A424" s="16" t="n">
        <v>421</v>
      </c>
      <c r="B424" s="16" t="s">
        <v>797</v>
      </c>
      <c r="C424" s="16" t="s">
        <v>798</v>
      </c>
      <c r="D424" s="16" t="s">
        <v>96</v>
      </c>
      <c r="E424" s="17" t="n">
        <v>0</v>
      </c>
      <c r="F424" s="17" t="n">
        <v>4933530</v>
      </c>
      <c r="G424" s="11" t="n">
        <f aca="false">E424-F424</f>
        <v>-4933530</v>
      </c>
      <c r="H424" s="5" t="n">
        <v>46203</v>
      </c>
      <c r="I424" s="16" t="s">
        <v>210</v>
      </c>
      <c r="J424" s="16" t="s">
        <v>699</v>
      </c>
      <c r="K424" s="16" t="s">
        <v>92</v>
      </c>
      <c r="L424" s="16" t="s">
        <v>873</v>
      </c>
      <c r="M424" s="16" t="s">
        <v>85</v>
      </c>
      <c r="N424" s="12" t="s">
        <v>607</v>
      </c>
      <c r="O424" s="4" t="s">
        <v>801</v>
      </c>
      <c r="P424" s="4" t="s">
        <v>681</v>
      </c>
    </row>
    <row r="425" customFormat="false" ht="15" hidden="false" customHeight="false" outlineLevel="0" collapsed="false">
      <c r="A425" s="16" t="n">
        <v>422</v>
      </c>
      <c r="B425" s="16" t="s">
        <v>797</v>
      </c>
      <c r="C425" s="16" t="s">
        <v>798</v>
      </c>
      <c r="D425" s="16" t="s">
        <v>96</v>
      </c>
      <c r="E425" s="17" t="n">
        <v>0</v>
      </c>
      <c r="F425" s="17" t="n">
        <v>17617577</v>
      </c>
      <c r="G425" s="11" t="n">
        <f aca="false">E425-F425</f>
        <v>-17617577</v>
      </c>
      <c r="H425" s="5" t="n">
        <v>46227</v>
      </c>
      <c r="I425" s="16" t="s">
        <v>210</v>
      </c>
      <c r="J425" s="16" t="s">
        <v>733</v>
      </c>
      <c r="K425" s="16" t="s">
        <v>92</v>
      </c>
      <c r="L425" s="16" t="s">
        <v>874</v>
      </c>
      <c r="M425" s="16" t="s">
        <v>85</v>
      </c>
      <c r="N425" s="12" t="s">
        <v>610</v>
      </c>
      <c r="O425" s="4" t="s">
        <v>801</v>
      </c>
      <c r="P425" s="4" t="s">
        <v>681</v>
      </c>
    </row>
    <row r="426" customFormat="false" ht="15" hidden="false" customHeight="false" outlineLevel="0" collapsed="false">
      <c r="A426" s="16" t="n">
        <v>423</v>
      </c>
      <c r="B426" s="16" t="s">
        <v>797</v>
      </c>
      <c r="C426" s="16" t="s">
        <v>798</v>
      </c>
      <c r="D426" s="16" t="s">
        <v>96</v>
      </c>
      <c r="E426" s="17" t="n">
        <v>0</v>
      </c>
      <c r="F426" s="17" t="n">
        <v>8626840</v>
      </c>
      <c r="G426" s="11" t="n">
        <f aca="false">E426-F426</f>
        <v>-8626840</v>
      </c>
      <c r="H426" s="5" t="n">
        <v>46227</v>
      </c>
      <c r="I426" s="16" t="s">
        <v>210</v>
      </c>
      <c r="J426" s="16" t="s">
        <v>733</v>
      </c>
      <c r="K426" s="16" t="s">
        <v>92</v>
      </c>
      <c r="L426" s="16" t="s">
        <v>875</v>
      </c>
      <c r="M426" s="16" t="s">
        <v>85</v>
      </c>
      <c r="N426" s="12" t="s">
        <v>604</v>
      </c>
      <c r="O426" s="4" t="s">
        <v>801</v>
      </c>
      <c r="P426" s="4" t="s">
        <v>681</v>
      </c>
    </row>
    <row r="427" customFormat="false" ht="15" hidden="false" customHeight="false" outlineLevel="0" collapsed="false">
      <c r="A427" s="16" t="n">
        <v>424</v>
      </c>
      <c r="B427" s="16" t="s">
        <v>797</v>
      </c>
      <c r="C427" s="16" t="s">
        <v>798</v>
      </c>
      <c r="D427" s="16" t="s">
        <v>96</v>
      </c>
      <c r="E427" s="17" t="n">
        <v>0</v>
      </c>
      <c r="F427" s="17" t="n">
        <v>8626840</v>
      </c>
      <c r="G427" s="11" t="n">
        <f aca="false">E427-F427</f>
        <v>-8626840</v>
      </c>
      <c r="H427" s="5" t="n">
        <v>46227</v>
      </c>
      <c r="I427" s="16" t="s">
        <v>210</v>
      </c>
      <c r="J427" s="16" t="s">
        <v>733</v>
      </c>
      <c r="K427" s="16" t="s">
        <v>92</v>
      </c>
      <c r="L427" s="16" t="s">
        <v>876</v>
      </c>
      <c r="M427" s="16" t="s">
        <v>85</v>
      </c>
      <c r="N427" s="12" t="s">
        <v>601</v>
      </c>
      <c r="O427" s="4" t="s">
        <v>801</v>
      </c>
      <c r="P427" s="4" t="s">
        <v>681</v>
      </c>
    </row>
    <row r="428" customFormat="false" ht="15" hidden="false" customHeight="false" outlineLevel="0" collapsed="false">
      <c r="A428" s="16" t="n">
        <v>425</v>
      </c>
      <c r="B428" s="16" t="s">
        <v>797</v>
      </c>
      <c r="C428" s="16" t="s">
        <v>798</v>
      </c>
      <c r="D428" s="16" t="s">
        <v>96</v>
      </c>
      <c r="E428" s="17" t="n">
        <v>0</v>
      </c>
      <c r="F428" s="17" t="n">
        <v>4414963</v>
      </c>
      <c r="G428" s="11" t="n">
        <f aca="false">E428-F428</f>
        <v>-4414963</v>
      </c>
      <c r="H428" s="5" t="n">
        <v>46227</v>
      </c>
      <c r="I428" s="16" t="s">
        <v>210</v>
      </c>
      <c r="J428" s="16" t="s">
        <v>733</v>
      </c>
      <c r="K428" s="16" t="s">
        <v>92</v>
      </c>
      <c r="L428" s="16" t="s">
        <v>877</v>
      </c>
      <c r="M428" s="16" t="s">
        <v>85</v>
      </c>
      <c r="N428" s="12" t="s">
        <v>613</v>
      </c>
      <c r="O428" s="4" t="s">
        <v>801</v>
      </c>
      <c r="P428" s="4" t="s">
        <v>681</v>
      </c>
    </row>
    <row r="429" customFormat="false" ht="15" hidden="false" customHeight="false" outlineLevel="0" collapsed="false">
      <c r="A429" s="16" t="n">
        <v>426</v>
      </c>
      <c r="B429" s="16" t="s">
        <v>797</v>
      </c>
      <c r="C429" s="16" t="s">
        <v>798</v>
      </c>
      <c r="D429" s="16" t="s">
        <v>96</v>
      </c>
      <c r="E429" s="17" t="n">
        <v>0</v>
      </c>
      <c r="F429" s="17" t="n">
        <v>4414962</v>
      </c>
      <c r="G429" s="11" t="n">
        <f aca="false">E429-F429</f>
        <v>-4414962</v>
      </c>
      <c r="H429" s="5" t="n">
        <v>46227</v>
      </c>
      <c r="I429" s="16" t="s">
        <v>210</v>
      </c>
      <c r="J429" s="16" t="s">
        <v>733</v>
      </c>
      <c r="K429" s="16" t="s">
        <v>92</v>
      </c>
      <c r="L429" s="16" t="s">
        <v>878</v>
      </c>
      <c r="M429" s="16" t="s">
        <v>85</v>
      </c>
      <c r="N429" s="12" t="s">
        <v>616</v>
      </c>
      <c r="O429" s="4" t="s">
        <v>801</v>
      </c>
      <c r="P429" s="4" t="s">
        <v>681</v>
      </c>
    </row>
    <row r="430" customFormat="false" ht="15" hidden="false" customHeight="false" outlineLevel="0" collapsed="false">
      <c r="A430" s="16" t="n">
        <v>427</v>
      </c>
      <c r="B430" s="16" t="s">
        <v>797</v>
      </c>
      <c r="C430" s="16" t="s">
        <v>798</v>
      </c>
      <c r="D430" s="16" t="s">
        <v>96</v>
      </c>
      <c r="E430" s="17" t="n">
        <v>0</v>
      </c>
      <c r="F430" s="17" t="n">
        <v>4254720</v>
      </c>
      <c r="G430" s="11" t="n">
        <f aca="false">E430-F430</f>
        <v>-4254720</v>
      </c>
      <c r="H430" s="5" t="n">
        <v>46227</v>
      </c>
      <c r="I430" s="16" t="s">
        <v>210</v>
      </c>
      <c r="J430" s="16" t="s">
        <v>733</v>
      </c>
      <c r="K430" s="16" t="s">
        <v>92</v>
      </c>
      <c r="L430" s="16" t="s">
        <v>879</v>
      </c>
      <c r="M430" s="16" t="s">
        <v>85</v>
      </c>
      <c r="N430" s="12" t="s">
        <v>607</v>
      </c>
      <c r="O430" s="4" t="s">
        <v>801</v>
      </c>
      <c r="P430" s="4" t="s">
        <v>681</v>
      </c>
    </row>
    <row r="431" customFormat="false" ht="15" hidden="false" customHeight="false" outlineLevel="0" collapsed="false">
      <c r="A431" s="16" t="n">
        <v>428</v>
      </c>
      <c r="B431" s="16" t="s">
        <v>797</v>
      </c>
      <c r="C431" s="16" t="s">
        <v>798</v>
      </c>
      <c r="D431" s="16" t="s">
        <v>96</v>
      </c>
      <c r="E431" s="17" t="n">
        <v>9497274</v>
      </c>
      <c r="F431" s="17" t="n">
        <v>0</v>
      </c>
      <c r="G431" s="11" t="n">
        <f aca="false">E431-F431</f>
        <v>9497274</v>
      </c>
      <c r="H431" s="5" t="n">
        <v>46230</v>
      </c>
      <c r="I431" s="16" t="s">
        <v>90</v>
      </c>
      <c r="J431" s="16" t="s">
        <v>880</v>
      </c>
      <c r="K431" s="16" t="s">
        <v>160</v>
      </c>
      <c r="L431" s="16" t="s">
        <v>881</v>
      </c>
      <c r="M431" s="16" t="s">
        <v>106</v>
      </c>
      <c r="N431" s="12" t="s">
        <v>601</v>
      </c>
      <c r="O431" s="4" t="s">
        <v>801</v>
      </c>
      <c r="P431" s="4" t="s">
        <v>688</v>
      </c>
    </row>
    <row r="432" customFormat="false" ht="15" hidden="false" customHeight="false" outlineLevel="0" collapsed="false">
      <c r="A432" s="16" t="n">
        <v>429</v>
      </c>
      <c r="B432" s="16" t="s">
        <v>797</v>
      </c>
      <c r="C432" s="16" t="s">
        <v>798</v>
      </c>
      <c r="D432" s="16" t="s">
        <v>96</v>
      </c>
      <c r="E432" s="17" t="n">
        <v>9497274</v>
      </c>
      <c r="F432" s="17" t="n">
        <v>0</v>
      </c>
      <c r="G432" s="11" t="n">
        <f aca="false">E432-F432</f>
        <v>9497274</v>
      </c>
      <c r="H432" s="5" t="n">
        <v>46230</v>
      </c>
      <c r="I432" s="16" t="s">
        <v>90</v>
      </c>
      <c r="J432" s="16" t="s">
        <v>882</v>
      </c>
      <c r="K432" s="16" t="s">
        <v>160</v>
      </c>
      <c r="L432" s="16" t="s">
        <v>883</v>
      </c>
      <c r="M432" s="16" t="s">
        <v>106</v>
      </c>
      <c r="N432" s="12" t="s">
        <v>604</v>
      </c>
      <c r="O432" s="4" t="s">
        <v>801</v>
      </c>
      <c r="P432" s="4" t="s">
        <v>688</v>
      </c>
    </row>
    <row r="433" customFormat="false" ht="15" hidden="false" customHeight="false" outlineLevel="0" collapsed="false">
      <c r="A433" s="16" t="n">
        <v>430</v>
      </c>
      <c r="B433" s="16" t="s">
        <v>797</v>
      </c>
      <c r="C433" s="16" t="s">
        <v>798</v>
      </c>
      <c r="D433" s="16" t="s">
        <v>96</v>
      </c>
      <c r="E433" s="17" t="n">
        <v>14118856</v>
      </c>
      <c r="F433" s="17" t="n">
        <v>0</v>
      </c>
      <c r="G433" s="11" t="n">
        <f aca="false">E433-F433</f>
        <v>14118856</v>
      </c>
      <c r="H433" s="5" t="n">
        <v>46231</v>
      </c>
      <c r="I433" s="16" t="s">
        <v>90</v>
      </c>
      <c r="J433" s="16" t="s">
        <v>884</v>
      </c>
      <c r="K433" s="16" t="s">
        <v>160</v>
      </c>
      <c r="L433" s="16" t="s">
        <v>885</v>
      </c>
      <c r="M433" s="16" t="s">
        <v>106</v>
      </c>
      <c r="N433" s="12" t="s">
        <v>616</v>
      </c>
      <c r="O433" s="4" t="s">
        <v>801</v>
      </c>
      <c r="P433" s="4" t="s">
        <v>688</v>
      </c>
    </row>
    <row r="434" customFormat="false" ht="15" hidden="false" customHeight="false" outlineLevel="0" collapsed="false">
      <c r="A434" s="16" t="n">
        <v>431</v>
      </c>
      <c r="B434" s="16" t="s">
        <v>797</v>
      </c>
      <c r="C434" s="16" t="s">
        <v>798</v>
      </c>
      <c r="D434" s="16" t="s">
        <v>96</v>
      </c>
      <c r="E434" s="17" t="n">
        <v>14118857</v>
      </c>
      <c r="F434" s="17" t="n">
        <v>0</v>
      </c>
      <c r="G434" s="11" t="n">
        <f aca="false">E434-F434</f>
        <v>14118857</v>
      </c>
      <c r="H434" s="5" t="n">
        <v>46231</v>
      </c>
      <c r="I434" s="16" t="s">
        <v>90</v>
      </c>
      <c r="J434" s="16" t="s">
        <v>886</v>
      </c>
      <c r="K434" s="16" t="s">
        <v>160</v>
      </c>
      <c r="L434" s="16" t="s">
        <v>887</v>
      </c>
      <c r="M434" s="16" t="s">
        <v>106</v>
      </c>
      <c r="N434" s="12" t="s">
        <v>613</v>
      </c>
      <c r="O434" s="4" t="s">
        <v>801</v>
      </c>
      <c r="P434" s="4" t="s">
        <v>688</v>
      </c>
    </row>
    <row r="435" customFormat="false" ht="15" hidden="false" customHeight="false" outlineLevel="0" collapsed="false">
      <c r="A435" s="16" t="n">
        <v>432</v>
      </c>
      <c r="B435" s="16" t="s">
        <v>797</v>
      </c>
      <c r="C435" s="16" t="s">
        <v>798</v>
      </c>
      <c r="D435" s="16" t="s">
        <v>96</v>
      </c>
      <c r="E435" s="17" t="n">
        <v>39578631</v>
      </c>
      <c r="F435" s="17" t="n">
        <v>0</v>
      </c>
      <c r="G435" s="11" t="n">
        <f aca="false">E435-F435</f>
        <v>39578631</v>
      </c>
      <c r="H435" s="5" t="n">
        <v>46231</v>
      </c>
      <c r="I435" s="16" t="s">
        <v>90</v>
      </c>
      <c r="J435" s="16" t="s">
        <v>888</v>
      </c>
      <c r="K435" s="16" t="s">
        <v>160</v>
      </c>
      <c r="L435" s="16" t="s">
        <v>889</v>
      </c>
      <c r="M435" s="16" t="s">
        <v>106</v>
      </c>
      <c r="N435" s="12" t="s">
        <v>610</v>
      </c>
      <c r="O435" s="4" t="s">
        <v>801</v>
      </c>
      <c r="P435" s="4" t="s">
        <v>688</v>
      </c>
    </row>
    <row r="436" customFormat="false" ht="15" hidden="false" customHeight="false" outlineLevel="0" collapsed="false">
      <c r="A436" s="16" t="n">
        <v>433</v>
      </c>
      <c r="B436" s="16" t="s">
        <v>797</v>
      </c>
      <c r="C436" s="16" t="s">
        <v>798</v>
      </c>
      <c r="D436" s="16" t="s">
        <v>96</v>
      </c>
      <c r="E436" s="17" t="n">
        <v>14121779.84</v>
      </c>
      <c r="F436" s="17" t="n">
        <v>0</v>
      </c>
      <c r="G436" s="11" t="n">
        <f aca="false">E436-F436</f>
        <v>14121779.84</v>
      </c>
      <c r="H436" s="5" t="n">
        <v>46231</v>
      </c>
      <c r="I436" s="16" t="s">
        <v>90</v>
      </c>
      <c r="J436" s="16" t="s">
        <v>890</v>
      </c>
      <c r="K436" s="16" t="s">
        <v>160</v>
      </c>
      <c r="L436" s="16" t="s">
        <v>891</v>
      </c>
      <c r="M436" s="16" t="s">
        <v>106</v>
      </c>
      <c r="N436" s="12" t="s">
        <v>607</v>
      </c>
      <c r="O436" s="4" t="s">
        <v>801</v>
      </c>
      <c r="P436" s="4" t="s">
        <v>688</v>
      </c>
    </row>
    <row r="437" customFormat="false" ht="15" hidden="false" customHeight="false" outlineLevel="0" collapsed="false">
      <c r="A437" s="16" t="n">
        <v>434</v>
      </c>
      <c r="B437" s="16" t="s">
        <v>797</v>
      </c>
      <c r="C437" s="16" t="s">
        <v>798</v>
      </c>
      <c r="D437" s="16" t="s">
        <v>138</v>
      </c>
      <c r="E437" s="17" t="n">
        <v>0</v>
      </c>
      <c r="F437" s="17" t="n">
        <v>3555301</v>
      </c>
      <c r="G437" s="11" t="n">
        <f aca="false">E437-F437</f>
        <v>-3555301</v>
      </c>
      <c r="H437" s="5" t="n">
        <v>46050</v>
      </c>
      <c r="I437" s="16" t="s">
        <v>210</v>
      </c>
      <c r="J437" s="16" t="s">
        <v>678</v>
      </c>
      <c r="K437" s="16" t="s">
        <v>92</v>
      </c>
      <c r="L437" s="16" t="s">
        <v>892</v>
      </c>
      <c r="M437" s="16" t="s">
        <v>85</v>
      </c>
      <c r="N437" s="12" t="s">
        <v>657</v>
      </c>
      <c r="O437" s="4" t="s">
        <v>801</v>
      </c>
      <c r="P437" s="4" t="s">
        <v>681</v>
      </c>
    </row>
    <row r="438" customFormat="false" ht="15" hidden="false" customHeight="false" outlineLevel="0" collapsed="false">
      <c r="A438" s="16" t="n">
        <v>435</v>
      </c>
      <c r="B438" s="16" t="s">
        <v>797</v>
      </c>
      <c r="C438" s="16" t="s">
        <v>798</v>
      </c>
      <c r="D438" s="16" t="s">
        <v>138</v>
      </c>
      <c r="E438" s="17" t="n">
        <v>0</v>
      </c>
      <c r="F438" s="17" t="n">
        <v>3555301</v>
      </c>
      <c r="G438" s="11" t="n">
        <f aca="false">E438-F438</f>
        <v>-3555301</v>
      </c>
      <c r="H438" s="5" t="n">
        <v>46072</v>
      </c>
      <c r="I438" s="16" t="s">
        <v>210</v>
      </c>
      <c r="J438" s="16" t="s">
        <v>682</v>
      </c>
      <c r="K438" s="16" t="s">
        <v>92</v>
      </c>
      <c r="L438" s="16" t="s">
        <v>893</v>
      </c>
      <c r="M438" s="16" t="s">
        <v>85</v>
      </c>
      <c r="N438" s="12" t="s">
        <v>657</v>
      </c>
      <c r="O438" s="4" t="s">
        <v>801</v>
      </c>
      <c r="P438" s="4" t="s">
        <v>681</v>
      </c>
    </row>
    <row r="439" customFormat="false" ht="15" hidden="false" customHeight="false" outlineLevel="0" collapsed="false">
      <c r="A439" s="16" t="n">
        <v>436</v>
      </c>
      <c r="B439" s="16" t="s">
        <v>797</v>
      </c>
      <c r="C439" s="16" t="s">
        <v>798</v>
      </c>
      <c r="D439" s="16" t="s">
        <v>138</v>
      </c>
      <c r="E439" s="17" t="n">
        <v>0</v>
      </c>
      <c r="F439" s="17" t="n">
        <v>6295973</v>
      </c>
      <c r="G439" s="11" t="n">
        <f aca="false">E439-F439</f>
        <v>-6295973</v>
      </c>
      <c r="H439" s="5" t="n">
        <v>46099</v>
      </c>
      <c r="I439" s="16" t="s">
        <v>210</v>
      </c>
      <c r="J439" s="16" t="s">
        <v>684</v>
      </c>
      <c r="K439" s="16" t="s">
        <v>92</v>
      </c>
      <c r="L439" s="16" t="s">
        <v>894</v>
      </c>
      <c r="M439" s="16" t="s">
        <v>85</v>
      </c>
      <c r="N439" s="12" t="s">
        <v>657</v>
      </c>
      <c r="O439" s="4" t="s">
        <v>801</v>
      </c>
      <c r="P439" s="4" t="s">
        <v>681</v>
      </c>
    </row>
    <row r="440" customFormat="false" ht="15" hidden="false" customHeight="false" outlineLevel="0" collapsed="false">
      <c r="A440" s="16" t="n">
        <v>437</v>
      </c>
      <c r="B440" s="16" t="s">
        <v>797</v>
      </c>
      <c r="C440" s="16" t="s">
        <v>798</v>
      </c>
      <c r="D440" s="16" t="s">
        <v>138</v>
      </c>
      <c r="E440" s="17" t="n">
        <v>13406575</v>
      </c>
      <c r="F440" s="17" t="n">
        <v>0</v>
      </c>
      <c r="G440" s="11" t="n">
        <f aca="false">E440-F440</f>
        <v>13406575</v>
      </c>
      <c r="H440" s="5" t="n">
        <v>46100</v>
      </c>
      <c r="I440" s="16" t="s">
        <v>139</v>
      </c>
      <c r="J440" s="16" t="s">
        <v>895</v>
      </c>
      <c r="K440" s="16" t="s">
        <v>160</v>
      </c>
      <c r="L440" s="16" t="s">
        <v>896</v>
      </c>
      <c r="M440" s="16" t="s">
        <v>106</v>
      </c>
      <c r="N440" s="12" t="s">
        <v>657</v>
      </c>
      <c r="O440" s="4" t="s">
        <v>801</v>
      </c>
      <c r="P440" s="4" t="s">
        <v>688</v>
      </c>
    </row>
    <row r="441" customFormat="false" ht="15" hidden="false" customHeight="false" outlineLevel="0" collapsed="false">
      <c r="A441" s="16" t="n">
        <v>438</v>
      </c>
      <c r="B441" s="16" t="s">
        <v>797</v>
      </c>
      <c r="C441" s="16" t="s">
        <v>798</v>
      </c>
      <c r="D441" s="16" t="s">
        <v>138</v>
      </c>
      <c r="E441" s="17" t="n">
        <v>0</v>
      </c>
      <c r="F441" s="17" t="n">
        <v>3401721</v>
      </c>
      <c r="G441" s="11" t="n">
        <f aca="false">E441-F441</f>
        <v>-3401721</v>
      </c>
      <c r="H441" s="5" t="n">
        <v>46134</v>
      </c>
      <c r="I441" s="16" t="s">
        <v>210</v>
      </c>
      <c r="J441" s="16" t="s">
        <v>689</v>
      </c>
      <c r="K441" s="16" t="s">
        <v>92</v>
      </c>
      <c r="L441" s="16" t="s">
        <v>897</v>
      </c>
      <c r="M441" s="16" t="s">
        <v>85</v>
      </c>
      <c r="N441" s="12" t="s">
        <v>657</v>
      </c>
      <c r="O441" s="4" t="s">
        <v>801</v>
      </c>
      <c r="P441" s="4" t="s">
        <v>681</v>
      </c>
    </row>
    <row r="442" customFormat="false" ht="15" hidden="false" customHeight="false" outlineLevel="0" collapsed="false">
      <c r="A442" s="16" t="n">
        <v>439</v>
      </c>
      <c r="B442" s="16" t="s">
        <v>797</v>
      </c>
      <c r="C442" s="16" t="s">
        <v>798</v>
      </c>
      <c r="D442" s="16" t="s">
        <v>138</v>
      </c>
      <c r="E442" s="17" t="n">
        <v>0</v>
      </c>
      <c r="F442" s="17" t="n">
        <v>3401721</v>
      </c>
      <c r="G442" s="11" t="n">
        <f aca="false">E442-F442</f>
        <v>-3401721</v>
      </c>
      <c r="H442" s="5" t="n">
        <v>46162</v>
      </c>
      <c r="I442" s="16" t="s">
        <v>210</v>
      </c>
      <c r="J442" s="16" t="s">
        <v>691</v>
      </c>
      <c r="K442" s="16" t="s">
        <v>92</v>
      </c>
      <c r="L442" s="16" t="s">
        <v>898</v>
      </c>
      <c r="M442" s="16" t="s">
        <v>85</v>
      </c>
      <c r="N442" s="12" t="s">
        <v>657</v>
      </c>
      <c r="O442" s="4" t="s">
        <v>801</v>
      </c>
      <c r="P442" s="4" t="s">
        <v>681</v>
      </c>
    </row>
    <row r="443" customFormat="false" ht="15" hidden="false" customHeight="false" outlineLevel="0" collapsed="false">
      <c r="A443" s="16" t="n">
        <v>440</v>
      </c>
      <c r="B443" s="16" t="s">
        <v>797</v>
      </c>
      <c r="C443" s="16" t="s">
        <v>798</v>
      </c>
      <c r="D443" s="16" t="s">
        <v>138</v>
      </c>
      <c r="E443" s="17" t="n">
        <v>0</v>
      </c>
      <c r="F443" s="17" t="n">
        <v>8239564</v>
      </c>
      <c r="G443" s="11" t="n">
        <f aca="false">E443-F443</f>
        <v>-8239564</v>
      </c>
      <c r="H443" s="5" t="n">
        <v>46203</v>
      </c>
      <c r="I443" s="16" t="s">
        <v>210</v>
      </c>
      <c r="J443" s="16" t="s">
        <v>699</v>
      </c>
      <c r="K443" s="16" t="s">
        <v>92</v>
      </c>
      <c r="L443" s="16" t="s">
        <v>899</v>
      </c>
      <c r="M443" s="16" t="s">
        <v>85</v>
      </c>
      <c r="N443" s="12" t="s">
        <v>657</v>
      </c>
      <c r="O443" s="4" t="s">
        <v>801</v>
      </c>
      <c r="P443" s="4" t="s">
        <v>681</v>
      </c>
    </row>
    <row r="444" customFormat="false" ht="15" hidden="false" customHeight="false" outlineLevel="0" collapsed="false">
      <c r="A444" s="16" t="n">
        <v>441</v>
      </c>
      <c r="B444" s="16" t="s">
        <v>797</v>
      </c>
      <c r="C444" s="16" t="s">
        <v>798</v>
      </c>
      <c r="D444" s="16" t="s">
        <v>138</v>
      </c>
      <c r="E444" s="17" t="n">
        <v>15043006</v>
      </c>
      <c r="F444" s="17" t="n">
        <v>0</v>
      </c>
      <c r="G444" s="11" t="n">
        <f aca="false">E444-F444</f>
        <v>15043006</v>
      </c>
      <c r="H444" s="5" t="n">
        <v>46203</v>
      </c>
      <c r="I444" s="16" t="s">
        <v>139</v>
      </c>
      <c r="J444" s="16" t="s">
        <v>900</v>
      </c>
      <c r="K444" s="16" t="s">
        <v>160</v>
      </c>
      <c r="L444" s="16" t="s">
        <v>901</v>
      </c>
      <c r="M444" s="16" t="s">
        <v>106</v>
      </c>
      <c r="N444" s="12" t="s">
        <v>657</v>
      </c>
      <c r="O444" s="4" t="s">
        <v>801</v>
      </c>
      <c r="P444" s="4" t="s">
        <v>688</v>
      </c>
    </row>
    <row r="445" customFormat="false" ht="15" hidden="false" customHeight="false" outlineLevel="0" collapsed="false">
      <c r="A445" s="16" t="n">
        <v>442</v>
      </c>
      <c r="B445" s="16" t="s">
        <v>797</v>
      </c>
      <c r="C445" s="16" t="s">
        <v>798</v>
      </c>
      <c r="D445" s="16" t="s">
        <v>138</v>
      </c>
      <c r="E445" s="17" t="n">
        <v>0</v>
      </c>
      <c r="F445" s="17" t="n">
        <v>3750337</v>
      </c>
      <c r="G445" s="11" t="n">
        <f aca="false">E445-F445</f>
        <v>-3750337</v>
      </c>
      <c r="H445" s="5" t="n">
        <v>46227</v>
      </c>
      <c r="I445" s="16" t="s">
        <v>210</v>
      </c>
      <c r="J445" s="16" t="s">
        <v>733</v>
      </c>
      <c r="K445" s="16" t="s">
        <v>92</v>
      </c>
      <c r="L445" s="16" t="s">
        <v>902</v>
      </c>
      <c r="M445" s="16" t="s">
        <v>85</v>
      </c>
      <c r="N445" s="12" t="s">
        <v>657</v>
      </c>
      <c r="O445" s="4" t="s">
        <v>801</v>
      </c>
      <c r="P445" s="4" t="s">
        <v>681</v>
      </c>
    </row>
    <row r="446" customFormat="false" ht="15" hidden="false" customHeight="false" outlineLevel="0" collapsed="false">
      <c r="D446" s="18" t="s">
        <v>903</v>
      </c>
      <c r="E446" s="19" t="n">
        <f aca="false">SUM(E5:E445)</f>
        <v>32526204015.96</v>
      </c>
      <c r="F446" s="19" t="n">
        <f aca="false">SUM(F5:F445)</f>
        <v>28526158183.42</v>
      </c>
      <c r="G446" s="19" t="n">
        <f aca="false">SUM(G5:G445)</f>
        <v>4000045832.54</v>
      </c>
    </row>
  </sheetData>
  <autoFilter ref="A4:P4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10" min="3" style="0" width="18"/>
    <col collapsed="false" customWidth="true" hidden="false" outlineLevel="0" max="14" min="11" style="0" width="14"/>
  </cols>
  <sheetData>
    <row r="1" customFormat="false" ht="16.15" hidden="false" customHeight="false" outlineLevel="0" collapsed="false">
      <c r="A1" s="1" t="s">
        <v>904</v>
      </c>
    </row>
    <row r="2" customFormat="false" ht="15" hidden="false" customHeight="false" outlineLevel="0" collapsed="false">
      <c r="A2" s="2" t="s">
        <v>905</v>
      </c>
    </row>
    <row r="4" customFormat="false" ht="15" hidden="false" customHeight="false" outlineLevel="0" collapsed="false">
      <c r="C4" s="20" t="s">
        <v>906</v>
      </c>
      <c r="G4" s="20" t="s">
        <v>907</v>
      </c>
      <c r="K4" s="20" t="s">
        <v>908</v>
      </c>
    </row>
    <row r="5" customFormat="false" ht="30" hidden="false" customHeight="true" outlineLevel="0" collapsed="false">
      <c r="A5" s="8" t="s">
        <v>63</v>
      </c>
      <c r="B5" s="8" t="s">
        <v>73</v>
      </c>
      <c r="C5" s="8" t="s">
        <v>909</v>
      </c>
      <c r="D5" s="8" t="s">
        <v>910</v>
      </c>
      <c r="E5" s="8" t="s">
        <v>911</v>
      </c>
      <c r="F5" s="8" t="s">
        <v>912</v>
      </c>
      <c r="G5" s="8" t="s">
        <v>909</v>
      </c>
      <c r="H5" s="8" t="s">
        <v>910</v>
      </c>
      <c r="I5" s="8" t="s">
        <v>911</v>
      </c>
      <c r="J5" s="8" t="s">
        <v>912</v>
      </c>
      <c r="K5" s="8" t="s">
        <v>913</v>
      </c>
      <c r="L5" s="8" t="s">
        <v>914</v>
      </c>
      <c r="M5" s="8" t="s">
        <v>915</v>
      </c>
      <c r="N5" s="8" t="s">
        <v>916</v>
      </c>
    </row>
    <row r="6" customFormat="false" ht="15" hidden="false" customHeight="false" outlineLevel="0" collapsed="false">
      <c r="A6" s="16" t="s">
        <v>917</v>
      </c>
      <c r="B6" s="16" t="s">
        <v>918</v>
      </c>
      <c r="C6" s="17" t="n">
        <v>567550782875.32</v>
      </c>
      <c r="D6" s="17" t="n">
        <v>892765661780.59</v>
      </c>
      <c r="E6" s="17" t="n">
        <v>869848302323.96</v>
      </c>
      <c r="F6" s="17" t="n">
        <v>590468142331.95</v>
      </c>
      <c r="G6" s="17" t="n">
        <v>567550782875.32</v>
      </c>
      <c r="H6" s="17" t="n">
        <v>892765661780.59</v>
      </c>
      <c r="I6" s="17" t="n">
        <v>869848302323.96</v>
      </c>
      <c r="J6" s="17" t="n">
        <v>590468142331.95</v>
      </c>
      <c r="K6" s="11" t="n">
        <f aca="false">C6-G6</f>
        <v>0</v>
      </c>
      <c r="L6" s="11" t="n">
        <f aca="false">D6-H6</f>
        <v>0</v>
      </c>
      <c r="M6" s="11" t="n">
        <f aca="false">E6-I6</f>
        <v>0</v>
      </c>
      <c r="N6" s="11" t="n">
        <f aca="false">F6-J6</f>
        <v>0</v>
      </c>
    </row>
    <row r="7" customFormat="false" ht="15" hidden="false" customHeight="false" outlineLevel="0" collapsed="false">
      <c r="A7" s="16" t="s">
        <v>919</v>
      </c>
      <c r="B7" s="16" t="s">
        <v>920</v>
      </c>
      <c r="C7" s="17" t="n">
        <v>-191093585574.66</v>
      </c>
      <c r="D7" s="17" t="n">
        <v>362253540767.02</v>
      </c>
      <c r="E7" s="17" t="n">
        <v>368574294172.28</v>
      </c>
      <c r="F7" s="17" t="n">
        <v>-197414338979.92</v>
      </c>
      <c r="G7" s="17" t="n">
        <v>-191093585574.66</v>
      </c>
      <c r="H7" s="17" t="n">
        <v>362253540767.02</v>
      </c>
      <c r="I7" s="17" t="n">
        <v>368574294172.28</v>
      </c>
      <c r="J7" s="17" t="n">
        <v>-197414338979.92</v>
      </c>
      <c r="K7" s="11" t="n">
        <f aca="false">C7-G7</f>
        <v>0</v>
      </c>
      <c r="L7" s="11" t="n">
        <f aca="false">D7-H7</f>
        <v>0</v>
      </c>
      <c r="M7" s="11" t="n">
        <f aca="false">E7-I7</f>
        <v>0</v>
      </c>
      <c r="N7" s="11" t="n">
        <f aca="false">F7-J7</f>
        <v>0</v>
      </c>
    </row>
    <row r="8" customFormat="false" ht="15" hidden="false" customHeight="false" outlineLevel="0" collapsed="false">
      <c r="A8" s="16" t="s">
        <v>921</v>
      </c>
      <c r="B8" s="16" t="s">
        <v>922</v>
      </c>
      <c r="C8" s="17" t="n">
        <v>-376457197300.66</v>
      </c>
      <c r="D8" s="17" t="n">
        <v>73328494704.41</v>
      </c>
      <c r="E8" s="17" t="n">
        <v>71525661482.41</v>
      </c>
      <c r="F8" s="17" t="n">
        <v>-374654364078.66</v>
      </c>
      <c r="G8" s="17" t="n">
        <v>-376457197300.66</v>
      </c>
      <c r="H8" s="17" t="n">
        <v>73328494704.41</v>
      </c>
      <c r="I8" s="17" t="n">
        <v>71525661482.41</v>
      </c>
      <c r="J8" s="17" t="n">
        <v>-374654364078.66</v>
      </c>
      <c r="K8" s="11" t="n">
        <f aca="false">C8-G8</f>
        <v>0</v>
      </c>
      <c r="L8" s="11" t="n">
        <f aca="false">D8-H8</f>
        <v>0</v>
      </c>
      <c r="M8" s="11" t="n">
        <f aca="false">E8-I8</f>
        <v>0</v>
      </c>
      <c r="N8" s="11" t="n">
        <f aca="false">F8-J8</f>
        <v>0</v>
      </c>
    </row>
    <row r="9" customFormat="false" ht="15" hidden="false" customHeight="false" outlineLevel="0" collapsed="false">
      <c r="A9" s="16" t="s">
        <v>923</v>
      </c>
      <c r="B9" s="16" t="s">
        <v>924</v>
      </c>
      <c r="C9" s="17" t="n">
        <v>0</v>
      </c>
      <c r="D9" s="17" t="n">
        <v>32747696517.79</v>
      </c>
      <c r="E9" s="17" t="n">
        <v>200283851847.59</v>
      </c>
      <c r="F9" s="17" t="n">
        <v>-167536155329.8</v>
      </c>
      <c r="G9" s="17" t="n">
        <v>0</v>
      </c>
      <c r="H9" s="17" t="n">
        <v>32747696517.79</v>
      </c>
      <c r="I9" s="17" t="n">
        <v>200283851847.59</v>
      </c>
      <c r="J9" s="17" t="n">
        <v>-167536155329.8</v>
      </c>
      <c r="K9" s="11" t="n">
        <f aca="false">C9-G9</f>
        <v>0</v>
      </c>
      <c r="L9" s="11" t="n">
        <f aca="false">D9-H9</f>
        <v>0</v>
      </c>
      <c r="M9" s="11" t="n">
        <f aca="false">E9-I9</f>
        <v>0</v>
      </c>
      <c r="N9" s="11" t="n">
        <f aca="false">F9-J9</f>
        <v>0</v>
      </c>
    </row>
    <row r="10" customFormat="false" ht="15" hidden="false" customHeight="false" outlineLevel="0" collapsed="false">
      <c r="A10" s="16" t="s">
        <v>925</v>
      </c>
      <c r="B10" s="16" t="s">
        <v>926</v>
      </c>
      <c r="C10" s="17" t="n">
        <v>0</v>
      </c>
      <c r="D10" s="17" t="n">
        <v>61606987834.29</v>
      </c>
      <c r="E10" s="17" t="n">
        <v>8199599409.86</v>
      </c>
      <c r="F10" s="17" t="n">
        <v>53407388424.43</v>
      </c>
      <c r="G10" s="17" t="n">
        <v>0</v>
      </c>
      <c r="H10" s="17" t="n">
        <v>61606987834.29</v>
      </c>
      <c r="I10" s="17" t="n">
        <v>8199599409.86</v>
      </c>
      <c r="J10" s="17" t="n">
        <v>53407388424.43</v>
      </c>
      <c r="K10" s="11" t="n">
        <f aca="false">C10-G10</f>
        <v>0</v>
      </c>
      <c r="L10" s="11" t="n">
        <f aca="false">D10-H10</f>
        <v>0</v>
      </c>
      <c r="M10" s="11" t="n">
        <f aca="false">E10-I10</f>
        <v>0</v>
      </c>
      <c r="N10" s="11" t="n">
        <f aca="false">F10-J10</f>
        <v>0</v>
      </c>
    </row>
    <row r="11" customFormat="false" ht="15" hidden="false" customHeight="false" outlineLevel="0" collapsed="false">
      <c r="A11" s="16" t="s">
        <v>927</v>
      </c>
      <c r="B11" s="16" t="s">
        <v>928</v>
      </c>
      <c r="C11" s="17" t="n">
        <v>0</v>
      </c>
      <c r="D11" s="17" t="n">
        <v>126317363653.97</v>
      </c>
      <c r="E11" s="17" t="n">
        <v>30588036021.97</v>
      </c>
      <c r="F11" s="17" t="n">
        <v>95729327632</v>
      </c>
      <c r="G11" s="17" t="n">
        <v>0</v>
      </c>
      <c r="H11" s="17" t="n">
        <v>126317363653.97</v>
      </c>
      <c r="I11" s="17" t="n">
        <v>30588036021.97</v>
      </c>
      <c r="J11" s="17" t="n">
        <v>95729327632</v>
      </c>
      <c r="K11" s="11" t="n">
        <f aca="false">C11-G11</f>
        <v>0</v>
      </c>
      <c r="L11" s="11" t="n">
        <f aca="false">D11-H11</f>
        <v>0</v>
      </c>
      <c r="M11" s="11" t="n">
        <f aca="false">E11-I11</f>
        <v>0</v>
      </c>
      <c r="N11" s="11" t="n">
        <f aca="false">F11-J11</f>
        <v>0</v>
      </c>
    </row>
    <row r="12" customFormat="false" ht="15" hidden="false" customHeight="false" outlineLevel="0" collapsed="false">
      <c r="A12" s="16" t="s">
        <v>929</v>
      </c>
      <c r="B12" s="16" t="s">
        <v>930</v>
      </c>
      <c r="C12" s="17" t="n">
        <v>0</v>
      </c>
      <c r="D12" s="17" t="n">
        <v>280013808025.94</v>
      </c>
      <c r="E12" s="17" t="n">
        <v>280013808025.94</v>
      </c>
      <c r="F12" s="17" t="n">
        <v>0</v>
      </c>
      <c r="G12" s="17" t="n">
        <v>0</v>
      </c>
      <c r="H12" s="17" t="n">
        <v>280013808025.94</v>
      </c>
      <c r="I12" s="17" t="n">
        <v>280013808025.94</v>
      </c>
      <c r="J12" s="17" t="n">
        <v>0</v>
      </c>
      <c r="K12" s="11" t="n">
        <f aca="false">C12-G12</f>
        <v>0</v>
      </c>
      <c r="L12" s="11" t="n">
        <f aca="false">D12-H12</f>
        <v>0</v>
      </c>
      <c r="M12" s="11" t="n">
        <f aca="false">E12-I12</f>
        <v>0</v>
      </c>
      <c r="N12" s="11" t="n">
        <f aca="false">F12-J12</f>
        <v>0</v>
      </c>
    </row>
    <row r="13" customFormat="false" ht="15" hidden="false" customHeight="false" outlineLevel="0" collapsed="false">
      <c r="A13" s="16" t="s">
        <v>931</v>
      </c>
      <c r="B13" s="16" t="s">
        <v>932</v>
      </c>
      <c r="C13" s="17" t="n">
        <v>-50662748875.76</v>
      </c>
      <c r="D13" s="17" t="n">
        <v>32526204015.96</v>
      </c>
      <c r="E13" s="17" t="n">
        <v>28526158183.42</v>
      </c>
      <c r="F13" s="17" t="n">
        <v>-46662703043.22</v>
      </c>
      <c r="G13" s="17" t="n">
        <v>-50662748875.76</v>
      </c>
      <c r="H13" s="17" t="n">
        <v>32526204015.96</v>
      </c>
      <c r="I13" s="17" t="n">
        <v>28526158183.42</v>
      </c>
      <c r="J13" s="17" t="n">
        <v>-46662703043.22</v>
      </c>
      <c r="K13" s="11" t="n">
        <f aca="false">C13-G13</f>
        <v>0</v>
      </c>
      <c r="L13" s="11" t="n">
        <f aca="false">D13-H13</f>
        <v>0</v>
      </c>
      <c r="M13" s="11" t="n">
        <f aca="false">E13-I13</f>
        <v>0</v>
      </c>
      <c r="N13" s="11" t="n">
        <f aca="false">F13-J13</f>
        <v>0</v>
      </c>
    </row>
    <row r="14" customFormat="false" ht="15" hidden="false" customHeight="false" outlineLevel="0" collapsed="false">
      <c r="A14" s="16" t="s">
        <v>933</v>
      </c>
      <c r="B14" s="16" t="s">
        <v>932</v>
      </c>
      <c r="C14" s="17" t="n">
        <v>-41332031248.42</v>
      </c>
      <c r="D14" s="17" t="n">
        <v>27823935570.11</v>
      </c>
      <c r="E14" s="17" t="n">
        <v>24823706719.42</v>
      </c>
      <c r="F14" s="17" t="n">
        <v>-38331802397.73</v>
      </c>
      <c r="G14" s="17" t="n">
        <v>-41332031248.42</v>
      </c>
      <c r="H14" s="17" t="n">
        <v>27823935570.11</v>
      </c>
      <c r="I14" s="17" t="n">
        <v>24823706719.42</v>
      </c>
      <c r="J14" s="17" t="n">
        <v>-38331802397.73</v>
      </c>
      <c r="K14" s="11" t="n">
        <f aca="false">C14-G14</f>
        <v>0</v>
      </c>
      <c r="L14" s="11" t="n">
        <f aca="false">D14-H14</f>
        <v>0</v>
      </c>
      <c r="M14" s="11" t="n">
        <f aca="false">E14-I14</f>
        <v>0</v>
      </c>
      <c r="N14" s="11" t="n">
        <f aca="false">F14-J14</f>
        <v>0</v>
      </c>
    </row>
    <row r="15" customFormat="false" ht="15" hidden="false" customHeight="false" outlineLevel="0" collapsed="false">
      <c r="A15" s="16" t="s">
        <v>934</v>
      </c>
      <c r="B15" s="16" t="s">
        <v>935</v>
      </c>
      <c r="C15" s="17" t="n">
        <v>-17938333333</v>
      </c>
      <c r="D15" s="17" t="n">
        <v>24700000000</v>
      </c>
      <c r="E15" s="17" t="n">
        <v>24700000000</v>
      </c>
      <c r="F15" s="17" t="n">
        <v>-17938333333</v>
      </c>
      <c r="G15" s="17" t="n">
        <v>-17938333333</v>
      </c>
      <c r="H15" s="17" t="n">
        <v>24700000000</v>
      </c>
      <c r="I15" s="17" t="n">
        <v>24700000000</v>
      </c>
      <c r="J15" s="17" t="n">
        <v>-17938333333</v>
      </c>
      <c r="K15" s="11" t="n">
        <f aca="false">C15-G15</f>
        <v>0</v>
      </c>
      <c r="L15" s="11" t="n">
        <f aca="false">D15-H15</f>
        <v>0</v>
      </c>
      <c r="M15" s="11" t="n">
        <f aca="false">E15-I15</f>
        <v>0</v>
      </c>
      <c r="N15" s="11" t="n">
        <f aca="false">F15-J15</f>
        <v>0</v>
      </c>
    </row>
    <row r="16" customFormat="false" ht="15" hidden="false" customHeight="false" outlineLevel="0" collapsed="false">
      <c r="A16" s="16" t="s">
        <v>78</v>
      </c>
      <c r="B16" s="16" t="s">
        <v>79</v>
      </c>
      <c r="C16" s="17" t="n">
        <v>-17938333333</v>
      </c>
      <c r="D16" s="17" t="n">
        <v>24700000000</v>
      </c>
      <c r="E16" s="17" t="n">
        <v>24700000000</v>
      </c>
      <c r="F16" s="17" t="n">
        <v>-17938333333</v>
      </c>
      <c r="G16" s="17" t="n">
        <v>-17938333333</v>
      </c>
      <c r="H16" s="17" t="n">
        <v>24700000000</v>
      </c>
      <c r="I16" s="17" t="n">
        <v>24700000000</v>
      </c>
      <c r="J16" s="17" t="n">
        <v>-17938333333</v>
      </c>
      <c r="K16" s="11" t="n">
        <f aca="false">C16-G16</f>
        <v>0</v>
      </c>
      <c r="L16" s="11" t="n">
        <f aca="false">D16-H16</f>
        <v>0</v>
      </c>
      <c r="M16" s="11" t="n">
        <f aca="false">E16-I16</f>
        <v>0</v>
      </c>
      <c r="N16" s="11" t="n">
        <f aca="false">F16-J16</f>
        <v>0</v>
      </c>
    </row>
    <row r="17" customFormat="false" ht="15" hidden="false" customHeight="false" outlineLevel="0" collapsed="false">
      <c r="A17" s="16" t="s">
        <v>936</v>
      </c>
      <c r="B17" s="16" t="s">
        <v>937</v>
      </c>
      <c r="C17" s="17" t="n">
        <v>-23393697915.42</v>
      </c>
      <c r="D17" s="17" t="n">
        <v>3123935570.11</v>
      </c>
      <c r="E17" s="17" t="n">
        <v>123706719.42</v>
      </c>
      <c r="F17" s="17" t="n">
        <v>-20393469064.73</v>
      </c>
      <c r="G17" s="17" t="n">
        <v>-23393697915.42</v>
      </c>
      <c r="H17" s="17" t="n">
        <v>3123935570.11</v>
      </c>
      <c r="I17" s="17" t="n">
        <v>123706719.42</v>
      </c>
      <c r="J17" s="17" t="n">
        <v>-20393469064.73</v>
      </c>
      <c r="K17" s="11" t="n">
        <f aca="false">C17-G17</f>
        <v>0</v>
      </c>
      <c r="L17" s="11" t="n">
        <f aca="false">D17-H17</f>
        <v>0</v>
      </c>
      <c r="M17" s="11" t="n">
        <f aca="false">E17-I17</f>
        <v>0</v>
      </c>
      <c r="N17" s="11" t="n">
        <f aca="false">F17-J17</f>
        <v>0</v>
      </c>
    </row>
    <row r="18" customFormat="false" ht="15" hidden="false" customHeight="false" outlineLevel="0" collapsed="false">
      <c r="A18" s="16" t="s">
        <v>101</v>
      </c>
      <c r="B18" s="16" t="s">
        <v>102</v>
      </c>
      <c r="C18" s="17" t="n">
        <v>-23368333333</v>
      </c>
      <c r="D18" s="17" t="n">
        <v>3006000000</v>
      </c>
      <c r="E18" s="17" t="n">
        <v>0</v>
      </c>
      <c r="F18" s="17" t="n">
        <v>-20362333333</v>
      </c>
      <c r="G18" s="17" t="n">
        <v>-23368333333</v>
      </c>
      <c r="H18" s="17" t="n">
        <v>3006000000</v>
      </c>
      <c r="I18" s="17" t="n">
        <v>0</v>
      </c>
      <c r="J18" s="17" t="n">
        <v>-20362333333</v>
      </c>
      <c r="K18" s="11" t="n">
        <f aca="false">C18-G18</f>
        <v>0</v>
      </c>
      <c r="L18" s="11" t="n">
        <f aca="false">D18-H18</f>
        <v>0</v>
      </c>
      <c r="M18" s="11" t="n">
        <f aca="false">E18-I18</f>
        <v>0</v>
      </c>
      <c r="N18" s="11" t="n">
        <f aca="false">F18-J18</f>
        <v>0</v>
      </c>
    </row>
    <row r="19" customFormat="false" ht="15" hidden="false" customHeight="false" outlineLevel="0" collapsed="false">
      <c r="A19" s="16" t="s">
        <v>143</v>
      </c>
      <c r="B19" s="16" t="s">
        <v>144</v>
      </c>
      <c r="C19" s="17" t="n">
        <v>-25364582.42</v>
      </c>
      <c r="D19" s="17" t="n">
        <v>117935570.11</v>
      </c>
      <c r="E19" s="17" t="n">
        <v>123706719.42</v>
      </c>
      <c r="F19" s="17" t="n">
        <v>-31135731.73</v>
      </c>
      <c r="G19" s="17" t="n">
        <v>-25364582.42</v>
      </c>
      <c r="H19" s="17" t="n">
        <v>117935570.11</v>
      </c>
      <c r="I19" s="17" t="n">
        <v>123706719.42</v>
      </c>
      <c r="J19" s="17" t="n">
        <v>-31135731.73</v>
      </c>
      <c r="K19" s="11" t="n">
        <f aca="false">C19-G19</f>
        <v>0</v>
      </c>
      <c r="L19" s="11" t="n">
        <f aca="false">D19-H19</f>
        <v>0</v>
      </c>
      <c r="M19" s="11" t="n">
        <f aca="false">E19-I19</f>
        <v>0</v>
      </c>
      <c r="N19" s="11" t="n">
        <f aca="false">F19-J19</f>
        <v>0</v>
      </c>
    </row>
    <row r="20" customFormat="false" ht="15" hidden="false" customHeight="false" outlineLevel="0" collapsed="false">
      <c r="A20" s="16" t="s">
        <v>938</v>
      </c>
      <c r="B20" s="16" t="s">
        <v>939</v>
      </c>
      <c r="C20" s="17" t="n">
        <v>-8130494743.34</v>
      </c>
      <c r="D20" s="17" t="n">
        <v>946510532.01</v>
      </c>
      <c r="E20" s="17" t="n">
        <v>719527417</v>
      </c>
      <c r="F20" s="17" t="n">
        <v>-7903511628.33</v>
      </c>
      <c r="G20" s="17" t="n">
        <v>-8130494743.34</v>
      </c>
      <c r="H20" s="17" t="n">
        <v>946510532.01</v>
      </c>
      <c r="I20" s="17" t="n">
        <v>719527417</v>
      </c>
      <c r="J20" s="17" t="n">
        <v>-7903511628.33</v>
      </c>
      <c r="K20" s="11" t="n">
        <f aca="false">C20-G20</f>
        <v>0</v>
      </c>
      <c r="L20" s="11" t="n">
        <f aca="false">D20-H20</f>
        <v>0</v>
      </c>
      <c r="M20" s="11" t="n">
        <f aca="false">E20-I20</f>
        <v>0</v>
      </c>
      <c r="N20" s="11" t="n">
        <f aca="false">F20-J20</f>
        <v>0</v>
      </c>
    </row>
    <row r="21" customFormat="false" ht="15" hidden="false" customHeight="false" outlineLevel="0" collapsed="false">
      <c r="A21" s="16" t="s">
        <v>940</v>
      </c>
      <c r="B21" s="16" t="s">
        <v>544</v>
      </c>
      <c r="C21" s="17" t="n">
        <v>-585880191.4</v>
      </c>
      <c r="D21" s="17" t="n">
        <v>35428634</v>
      </c>
      <c r="E21" s="17" t="n">
        <v>607791830</v>
      </c>
      <c r="F21" s="17" t="n">
        <v>-1158243387.4</v>
      </c>
      <c r="G21" s="17" t="n">
        <v>-585880191.4</v>
      </c>
      <c r="H21" s="17" t="n">
        <v>35428634</v>
      </c>
      <c r="I21" s="17" t="n">
        <v>607791830</v>
      </c>
      <c r="J21" s="17" t="n">
        <v>-1158243387.4</v>
      </c>
      <c r="K21" s="11" t="n">
        <f aca="false">C21-G21</f>
        <v>0</v>
      </c>
      <c r="L21" s="11" t="n">
        <f aca="false">D21-H21</f>
        <v>0</v>
      </c>
      <c r="M21" s="11" t="n">
        <f aca="false">E21-I21</f>
        <v>0</v>
      </c>
      <c r="N21" s="11" t="n">
        <f aca="false">F21-J21</f>
        <v>0</v>
      </c>
    </row>
    <row r="22" customFormat="false" ht="15" hidden="false" customHeight="false" outlineLevel="0" collapsed="false">
      <c r="A22" s="16" t="s">
        <v>543</v>
      </c>
      <c r="B22" s="16" t="s">
        <v>544</v>
      </c>
      <c r="C22" s="17" t="n">
        <v>-585880191.4</v>
      </c>
      <c r="D22" s="17" t="n">
        <v>35428634</v>
      </c>
      <c r="E22" s="17" t="n">
        <v>607791830</v>
      </c>
      <c r="F22" s="17" t="n">
        <v>-1158243387.4</v>
      </c>
      <c r="G22" s="17" t="n">
        <v>-585880191.4</v>
      </c>
      <c r="H22" s="17" t="n">
        <v>35428634</v>
      </c>
      <c r="I22" s="17" t="n">
        <v>607791830</v>
      </c>
      <c r="J22" s="17" t="n">
        <v>-1158243387.4</v>
      </c>
      <c r="K22" s="11" t="n">
        <f aca="false">C22-G22</f>
        <v>0</v>
      </c>
      <c r="L22" s="11" t="n">
        <f aca="false">D22-H22</f>
        <v>0</v>
      </c>
      <c r="M22" s="11" t="n">
        <f aca="false">E22-I22</f>
        <v>0</v>
      </c>
      <c r="N22" s="11" t="n">
        <f aca="false">F22-J22</f>
        <v>0</v>
      </c>
    </row>
    <row r="23" customFormat="false" ht="15" hidden="false" customHeight="false" outlineLevel="0" collapsed="false">
      <c r="A23" s="16" t="s">
        <v>941</v>
      </c>
      <c r="B23" s="16" t="s">
        <v>942</v>
      </c>
      <c r="C23" s="17" t="n">
        <v>-7544614551.94</v>
      </c>
      <c r="D23" s="17" t="n">
        <v>911081898.01</v>
      </c>
      <c r="E23" s="17" t="n">
        <v>111735587</v>
      </c>
      <c r="F23" s="17" t="n">
        <v>-6745268240.93</v>
      </c>
      <c r="G23" s="17" t="n">
        <v>-7544614551.94</v>
      </c>
      <c r="H23" s="17" t="n">
        <v>911081898.01</v>
      </c>
      <c r="I23" s="17" t="n">
        <v>111735587</v>
      </c>
      <c r="J23" s="17" t="n">
        <v>-6745268240.93</v>
      </c>
      <c r="K23" s="11" t="n">
        <f aca="false">C23-G23</f>
        <v>0</v>
      </c>
      <c r="L23" s="11" t="n">
        <f aca="false">D23-H23</f>
        <v>0</v>
      </c>
      <c r="M23" s="11" t="n">
        <f aca="false">E23-I23</f>
        <v>0</v>
      </c>
      <c r="N23" s="11" t="n">
        <f aca="false">F23-J23</f>
        <v>0</v>
      </c>
    </row>
    <row r="24" customFormat="false" ht="15" hidden="false" customHeight="false" outlineLevel="0" collapsed="false">
      <c r="A24" s="16" t="s">
        <v>562</v>
      </c>
      <c r="B24" s="16" t="s">
        <v>563</v>
      </c>
      <c r="C24" s="17" t="n">
        <v>-7544614551.94</v>
      </c>
      <c r="D24" s="17" t="n">
        <v>911081898.01</v>
      </c>
      <c r="E24" s="17" t="n">
        <v>111735587</v>
      </c>
      <c r="F24" s="17" t="n">
        <v>-6745268240.93</v>
      </c>
      <c r="G24" s="17" t="n">
        <v>-7544614551.94</v>
      </c>
      <c r="H24" s="17" t="n">
        <v>911081898.01</v>
      </c>
      <c r="I24" s="17" t="n">
        <v>111735587</v>
      </c>
      <c r="J24" s="17" t="n">
        <v>-6745268240.93</v>
      </c>
      <c r="K24" s="11" t="n">
        <f aca="false">C24-G24</f>
        <v>0</v>
      </c>
      <c r="L24" s="11" t="n">
        <f aca="false">D24-H24</f>
        <v>0</v>
      </c>
      <c r="M24" s="11" t="n">
        <f aca="false">E24-I24</f>
        <v>0</v>
      </c>
      <c r="N24" s="11" t="n">
        <f aca="false">F24-J24</f>
        <v>0</v>
      </c>
    </row>
    <row r="25" customFormat="false" ht="15" hidden="false" customHeight="false" outlineLevel="0" collapsed="false">
      <c r="A25" s="16" t="s">
        <v>943</v>
      </c>
      <c r="B25" s="16" t="s">
        <v>944</v>
      </c>
      <c r="C25" s="17" t="n">
        <v>-1200222884</v>
      </c>
      <c r="D25" s="17" t="n">
        <v>3755757913.84</v>
      </c>
      <c r="E25" s="17" t="n">
        <v>2982924047</v>
      </c>
      <c r="F25" s="17" t="n">
        <v>-427389017.16</v>
      </c>
      <c r="G25" s="17" t="n">
        <v>-1200222884</v>
      </c>
      <c r="H25" s="17" t="n">
        <v>3755757913.84</v>
      </c>
      <c r="I25" s="17" t="n">
        <v>2982924047</v>
      </c>
      <c r="J25" s="17" t="n">
        <v>-427389017.16</v>
      </c>
      <c r="K25" s="11" t="n">
        <f aca="false">C25-G25</f>
        <v>0</v>
      </c>
      <c r="L25" s="11" t="n">
        <f aca="false">D25-H25</f>
        <v>0</v>
      </c>
      <c r="M25" s="11" t="n">
        <f aca="false">E25-I25</f>
        <v>0</v>
      </c>
      <c r="N25" s="11" t="n">
        <f aca="false">F25-J25</f>
        <v>0</v>
      </c>
    </row>
    <row r="26" customFormat="false" ht="15" hidden="false" customHeight="false" outlineLevel="0" collapsed="false">
      <c r="A26" s="16" t="s">
        <v>945</v>
      </c>
      <c r="B26" s="16" t="s">
        <v>946</v>
      </c>
      <c r="C26" s="17" t="n">
        <v>-1200222884</v>
      </c>
      <c r="D26" s="17" t="n">
        <v>3755757913.84</v>
      </c>
      <c r="E26" s="17" t="n">
        <v>2982924047</v>
      </c>
      <c r="F26" s="17" t="n">
        <v>-427389017.16</v>
      </c>
      <c r="G26" s="17" t="n">
        <v>-1200222884</v>
      </c>
      <c r="H26" s="17" t="n">
        <v>3755757913.84</v>
      </c>
      <c r="I26" s="17" t="n">
        <v>2982924047</v>
      </c>
      <c r="J26" s="17" t="n">
        <v>-427389017.16</v>
      </c>
      <c r="K26" s="11" t="n">
        <f aca="false">C26-G26</f>
        <v>0</v>
      </c>
      <c r="L26" s="11" t="n">
        <f aca="false">D26-H26</f>
        <v>0</v>
      </c>
      <c r="M26" s="11" t="n">
        <f aca="false">E26-I26</f>
        <v>0</v>
      </c>
      <c r="N26" s="11" t="n">
        <f aca="false">F26-J26</f>
        <v>0</v>
      </c>
    </row>
    <row r="27" customFormat="false" ht="15" hidden="false" customHeight="false" outlineLevel="0" collapsed="false">
      <c r="A27" s="16" t="s">
        <v>676</v>
      </c>
      <c r="B27" s="16" t="s">
        <v>677</v>
      </c>
      <c r="C27" s="17" t="n">
        <v>-1107168370</v>
      </c>
      <c r="D27" s="17" t="n">
        <v>3257045166</v>
      </c>
      <c r="E27" s="17" t="n">
        <v>2573515476</v>
      </c>
      <c r="F27" s="17" t="n">
        <v>-423638680</v>
      </c>
      <c r="G27" s="17" t="n">
        <v>-1107168370</v>
      </c>
      <c r="H27" s="17" t="n">
        <v>3257045166</v>
      </c>
      <c r="I27" s="17" t="n">
        <v>2573515476</v>
      </c>
      <c r="J27" s="17" t="n">
        <v>-423638680</v>
      </c>
      <c r="K27" s="11" t="n">
        <f aca="false">C27-G27</f>
        <v>0</v>
      </c>
      <c r="L27" s="11" t="n">
        <f aca="false">D27-H27</f>
        <v>0</v>
      </c>
      <c r="M27" s="11" t="n">
        <f aca="false">E27-I27</f>
        <v>0</v>
      </c>
      <c r="N27" s="11" t="n">
        <f aca="false">F27-J27</f>
        <v>0</v>
      </c>
    </row>
    <row r="28" customFormat="false" ht="15" hidden="false" customHeight="false" outlineLevel="0" collapsed="false">
      <c r="A28" s="16" t="s">
        <v>797</v>
      </c>
      <c r="B28" s="16" t="s">
        <v>798</v>
      </c>
      <c r="C28" s="17" t="n">
        <v>-93054514</v>
      </c>
      <c r="D28" s="17" t="n">
        <v>498712747.84</v>
      </c>
      <c r="E28" s="17" t="n">
        <v>409408571</v>
      </c>
      <c r="F28" s="17" t="n">
        <v>-3750337.16</v>
      </c>
      <c r="G28" s="17" t="n">
        <v>-93054514</v>
      </c>
      <c r="H28" s="17" t="n">
        <v>498712747.84</v>
      </c>
      <c r="I28" s="17" t="n">
        <v>409408571</v>
      </c>
      <c r="J28" s="17" t="n">
        <v>-3750337.16</v>
      </c>
      <c r="K28" s="11" t="n">
        <f aca="false">C28-G28</f>
        <v>0</v>
      </c>
      <c r="L28" s="11" t="n">
        <f aca="false">D28-H28</f>
        <v>0</v>
      </c>
      <c r="M28" s="11" t="n">
        <f aca="false">E28-I28</f>
        <v>0</v>
      </c>
      <c r="N28" s="11" t="n">
        <f aca="false">F28-J28</f>
        <v>0</v>
      </c>
    </row>
    <row r="29" customFormat="false" ht="15" hidden="false" customHeight="false" outlineLevel="0" collapsed="false">
      <c r="A29" s="16" t="s">
        <v>947</v>
      </c>
      <c r="B29" s="16" t="s">
        <v>948</v>
      </c>
      <c r="C29" s="17" t="n">
        <v>0</v>
      </c>
      <c r="D29" s="17" t="n">
        <v>17530527480.05</v>
      </c>
      <c r="E29" s="17" t="n">
        <v>5184717456.81</v>
      </c>
      <c r="F29" s="17" t="n">
        <v>12345810023.24</v>
      </c>
      <c r="G29" s="17" t="n">
        <v>0</v>
      </c>
      <c r="H29" s="17" t="n">
        <v>17530527480.05</v>
      </c>
      <c r="I29" s="17" t="n">
        <v>5184717456.81</v>
      </c>
      <c r="J29" s="17" t="n">
        <v>12345810023.24</v>
      </c>
      <c r="K29" s="11" t="n">
        <f aca="false">C29-G29</f>
        <v>0</v>
      </c>
      <c r="L29" s="11" t="n">
        <f aca="false">D29-H29</f>
        <v>0</v>
      </c>
      <c r="M29" s="11" t="n">
        <f aca="false">E29-I29</f>
        <v>0</v>
      </c>
      <c r="N29" s="11" t="n">
        <f aca="false">F29-J29</f>
        <v>0</v>
      </c>
    </row>
    <row r="30" customFormat="false" ht="15" hidden="false" customHeight="false" outlineLevel="0" collapsed="false">
      <c r="A30" s="16" t="s">
        <v>949</v>
      </c>
      <c r="B30" s="16" t="s">
        <v>950</v>
      </c>
      <c r="C30" s="17" t="n">
        <v>0</v>
      </c>
      <c r="D30" s="17" t="n">
        <v>8523549605.4</v>
      </c>
      <c r="E30" s="17" t="n">
        <v>4956199893.81</v>
      </c>
      <c r="F30" s="17" t="n">
        <v>3567349711.59</v>
      </c>
      <c r="G30" s="17" t="n">
        <v>0</v>
      </c>
      <c r="H30" s="17" t="n">
        <v>8523549605.4</v>
      </c>
      <c r="I30" s="17" t="n">
        <v>4956199893.81</v>
      </c>
      <c r="J30" s="17" t="n">
        <v>3567349711.59</v>
      </c>
      <c r="K30" s="11" t="n">
        <f aca="false">C30-G30</f>
        <v>0</v>
      </c>
      <c r="L30" s="11" t="n">
        <f aca="false">D30-H30</f>
        <v>0</v>
      </c>
      <c r="M30" s="11" t="n">
        <f aca="false">E30-I30</f>
        <v>0</v>
      </c>
      <c r="N30" s="11" t="n">
        <f aca="false">F30-J30</f>
        <v>0</v>
      </c>
    </row>
    <row r="31" customFormat="false" ht="15" hidden="false" customHeight="false" outlineLevel="0" collapsed="false">
      <c r="A31" s="16" t="s">
        <v>951</v>
      </c>
      <c r="B31" s="16" t="s">
        <v>952</v>
      </c>
      <c r="C31" s="17" t="n">
        <v>0</v>
      </c>
      <c r="D31" s="17" t="n">
        <v>6733778</v>
      </c>
      <c r="E31" s="17" t="n">
        <v>0</v>
      </c>
      <c r="F31" s="17" t="n">
        <v>6733778</v>
      </c>
      <c r="G31" s="17" t="n">
        <v>0</v>
      </c>
      <c r="H31" s="17" t="n">
        <v>6733778</v>
      </c>
      <c r="I31" s="17" t="n">
        <v>0</v>
      </c>
      <c r="J31" s="17" t="n">
        <v>6733778</v>
      </c>
      <c r="K31" s="11" t="n">
        <f aca="false">C31-G31</f>
        <v>0</v>
      </c>
      <c r="L31" s="11" t="n">
        <f aca="false">D31-H31</f>
        <v>0</v>
      </c>
      <c r="M31" s="11" t="n">
        <f aca="false">E31-I31</f>
        <v>0</v>
      </c>
      <c r="N31" s="11" t="n">
        <f aca="false">F31-J31</f>
        <v>0</v>
      </c>
    </row>
    <row r="32" customFormat="false" ht="15" hidden="false" customHeight="false" outlineLevel="0" collapsed="false">
      <c r="A32" s="16" t="s">
        <v>953</v>
      </c>
      <c r="B32" s="16" t="s">
        <v>954</v>
      </c>
      <c r="C32" s="17" t="n">
        <v>0</v>
      </c>
      <c r="D32" s="17" t="n">
        <v>14942096.52</v>
      </c>
      <c r="E32" s="17" t="n">
        <v>219096.13</v>
      </c>
      <c r="F32" s="17" t="n">
        <v>14723000.39</v>
      </c>
      <c r="G32" s="17" t="n">
        <v>0</v>
      </c>
      <c r="H32" s="17" t="n">
        <v>14942096.52</v>
      </c>
      <c r="I32" s="17" t="n">
        <v>219096.13</v>
      </c>
      <c r="J32" s="17" t="n">
        <v>14723000.39</v>
      </c>
      <c r="K32" s="11" t="n">
        <f aca="false">C32-G32</f>
        <v>0</v>
      </c>
      <c r="L32" s="11" t="n">
        <f aca="false">D32-H32</f>
        <v>0</v>
      </c>
      <c r="M32" s="11" t="n">
        <f aca="false">E32-I32</f>
        <v>0</v>
      </c>
      <c r="N32" s="11" t="n">
        <f aca="false">F32-J32</f>
        <v>0</v>
      </c>
    </row>
    <row r="33" customFormat="false" ht="15" hidden="false" customHeight="false" outlineLevel="0" collapsed="false">
      <c r="A33" s="16" t="s">
        <v>955</v>
      </c>
      <c r="B33" s="16" t="s">
        <v>956</v>
      </c>
      <c r="C33" s="17" t="n">
        <v>0</v>
      </c>
      <c r="D33" s="17" t="n">
        <v>708087053.99</v>
      </c>
      <c r="E33" s="17" t="n">
        <v>93054514</v>
      </c>
      <c r="F33" s="17" t="n">
        <v>615032539.99</v>
      </c>
      <c r="G33" s="17" t="n">
        <v>0</v>
      </c>
      <c r="H33" s="17" t="n">
        <v>708087053.99</v>
      </c>
      <c r="I33" s="17" t="n">
        <v>93054514</v>
      </c>
      <c r="J33" s="17" t="n">
        <v>615032539.99</v>
      </c>
      <c r="K33" s="11" t="n">
        <f aca="false">C33-G33</f>
        <v>0</v>
      </c>
      <c r="L33" s="11" t="n">
        <f aca="false">D33-H33</f>
        <v>0</v>
      </c>
      <c r="M33" s="11" t="n">
        <f aca="false">E33-I33</f>
        <v>0</v>
      </c>
      <c r="N33" s="11" t="n">
        <f aca="false">F33-J33</f>
        <v>0</v>
      </c>
    </row>
    <row r="34" customFormat="false" ht="15" hidden="false" customHeight="false" outlineLevel="0" collapsed="false">
      <c r="A34" s="16" t="s">
        <v>957</v>
      </c>
      <c r="B34" s="16" t="s">
        <v>958</v>
      </c>
      <c r="C34" s="17" t="n">
        <v>0</v>
      </c>
      <c r="D34" s="17" t="n">
        <v>3610639745.89</v>
      </c>
      <c r="E34" s="17" t="n">
        <v>1107168370</v>
      </c>
      <c r="F34" s="17" t="n">
        <v>2503471375.89</v>
      </c>
      <c r="G34" s="17" t="n">
        <v>0</v>
      </c>
      <c r="H34" s="17" t="n">
        <v>3610639745.89</v>
      </c>
      <c r="I34" s="17" t="n">
        <v>1107168370</v>
      </c>
      <c r="J34" s="17" t="n">
        <v>2503471375.89</v>
      </c>
      <c r="K34" s="11" t="n">
        <f aca="false">C34-G34</f>
        <v>0</v>
      </c>
      <c r="L34" s="11" t="n">
        <f aca="false">D34-H34</f>
        <v>0</v>
      </c>
      <c r="M34" s="11" t="n">
        <f aca="false">E34-I34</f>
        <v>0</v>
      </c>
      <c r="N34" s="11" t="n">
        <f aca="false">F34-J34</f>
        <v>0</v>
      </c>
    </row>
    <row r="35" customFormat="false" ht="15" hidden="false" customHeight="false" outlineLevel="0" collapsed="false">
      <c r="A35" s="16" t="s">
        <v>959</v>
      </c>
      <c r="B35" s="16" t="s">
        <v>960</v>
      </c>
      <c r="C35" s="17" t="n">
        <v>0</v>
      </c>
      <c r="D35" s="17" t="n">
        <v>3680683846</v>
      </c>
      <c r="E35" s="17" t="n">
        <v>3257045166</v>
      </c>
      <c r="F35" s="17" t="n">
        <v>423638680</v>
      </c>
      <c r="G35" s="17" t="n">
        <v>0</v>
      </c>
      <c r="H35" s="17" t="n">
        <v>3680683846</v>
      </c>
      <c r="I35" s="17" t="n">
        <v>3257045166</v>
      </c>
      <c r="J35" s="17" t="n">
        <v>423638680</v>
      </c>
      <c r="K35" s="11" t="n">
        <f aca="false">C35-G35</f>
        <v>0</v>
      </c>
      <c r="L35" s="11" t="n">
        <f aca="false">D35-H35</f>
        <v>0</v>
      </c>
      <c r="M35" s="11" t="n">
        <f aca="false">E35-I35</f>
        <v>0</v>
      </c>
      <c r="N35" s="11" t="n">
        <f aca="false">F35-J35</f>
        <v>0</v>
      </c>
    </row>
    <row r="36" customFormat="false" ht="15" hidden="false" customHeight="false" outlineLevel="0" collapsed="false">
      <c r="A36" s="16" t="s">
        <v>961</v>
      </c>
      <c r="B36" s="16" t="s">
        <v>962</v>
      </c>
      <c r="C36" s="17" t="n">
        <v>0</v>
      </c>
      <c r="D36" s="17" t="n">
        <v>502463085</v>
      </c>
      <c r="E36" s="17" t="n">
        <v>498712747.68</v>
      </c>
      <c r="F36" s="17" t="n">
        <v>3750337.32</v>
      </c>
      <c r="G36" s="17" t="n">
        <v>0</v>
      </c>
      <c r="H36" s="17" t="n">
        <v>502463085</v>
      </c>
      <c r="I36" s="17" t="n">
        <v>498712747.68</v>
      </c>
      <c r="J36" s="17" t="n">
        <v>3750337.32</v>
      </c>
      <c r="K36" s="11" t="n">
        <f aca="false">C36-G36</f>
        <v>0</v>
      </c>
      <c r="L36" s="11" t="n">
        <f aca="false">D36-H36</f>
        <v>0</v>
      </c>
      <c r="M36" s="11" t="n">
        <f aca="false">E36-I36</f>
        <v>0</v>
      </c>
      <c r="N36" s="11" t="n">
        <f aca="false">F36-J36</f>
        <v>0</v>
      </c>
    </row>
    <row r="38" customFormat="false" ht="15" hidden="false" customHeight="false" outlineLevel="0" collapsed="false">
      <c r="A38" s="20" t="s">
        <v>963</v>
      </c>
    </row>
    <row r="39" customFormat="false" ht="15" hidden="false" customHeight="false" outlineLevel="0" collapsed="false">
      <c r="A39" s="4" t="s">
        <v>964</v>
      </c>
      <c r="C39" s="21" t="n">
        <v>1268</v>
      </c>
    </row>
    <row r="40" customFormat="false" ht="15" hidden="false" customHeight="false" outlineLevel="0" collapsed="false">
      <c r="A40" s="4" t="s">
        <v>965</v>
      </c>
      <c r="C40" s="2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7" min="3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16.15" hidden="false" customHeight="false" outlineLevel="0" collapsed="false">
      <c r="A1" s="1" t="s">
        <v>966</v>
      </c>
    </row>
    <row r="2" customFormat="false" ht="15" hidden="false" customHeight="false" outlineLevel="0" collapsed="false">
      <c r="A2" s="2" t="s">
        <v>967</v>
      </c>
    </row>
    <row r="4" customFormat="false" ht="30" hidden="false" customHeight="true" outlineLevel="0" collapsed="false">
      <c r="A4" s="8" t="s">
        <v>63</v>
      </c>
      <c r="B4" s="8" t="s">
        <v>73</v>
      </c>
      <c r="C4" s="8" t="s">
        <v>968</v>
      </c>
      <c r="D4" s="8" t="s">
        <v>969</v>
      </c>
      <c r="E4" s="8" t="s">
        <v>970</v>
      </c>
      <c r="F4" s="8" t="s">
        <v>971</v>
      </c>
      <c r="G4" s="8" t="s">
        <v>972</v>
      </c>
      <c r="H4" s="8" t="s">
        <v>973</v>
      </c>
      <c r="I4" s="8" t="s">
        <v>974</v>
      </c>
      <c r="J4" s="8" t="s">
        <v>975</v>
      </c>
      <c r="K4" s="8" t="s">
        <v>976</v>
      </c>
      <c r="L4" s="8" t="s">
        <v>977</v>
      </c>
      <c r="M4" s="8" t="s">
        <v>11</v>
      </c>
    </row>
    <row r="5" customFormat="false" ht="15" hidden="false" customHeight="false" outlineLevel="0" collapsed="false">
      <c r="A5" s="16" t="s">
        <v>78</v>
      </c>
      <c r="B5" s="22" t="str">
        <f aca="false">INDEX(Balance_21!$B$6:$B$36,MATCH(A5,Balance_21!$A$6:$A$36,0))</f>
        <v>Obl.Financiera Corto Plazo</v>
      </c>
      <c r="C5" s="10" t="n">
        <f aca="false">Balance_21!$C$16</f>
        <v>-17938333333</v>
      </c>
      <c r="D5" s="10" t="n">
        <f aca="false">SUMIFS(Mayor_Mov!$E$5:$E$445,Mayor_Mov!$B$5:$B$445,A5)</f>
        <v>24700000000</v>
      </c>
      <c r="E5" s="10" t="n">
        <f aca="false">SUMIFS(Mayor_Mov!$F$5:$F$445,Mayor_Mov!$B$5:$B$445,A5)</f>
        <v>24700000000</v>
      </c>
      <c r="F5" s="11" t="n">
        <f aca="false">C5+D5-E5</f>
        <v>-17938333333</v>
      </c>
      <c r="G5" s="10" t="n">
        <f aca="false">Balance_21!$F$16</f>
        <v>-17938333333</v>
      </c>
      <c r="H5" s="11" t="n">
        <f aca="false">F5-G5</f>
        <v>0</v>
      </c>
      <c r="I5" s="10" t="n">
        <f aca="false">Balance_21!$D$16</f>
        <v>24700000000</v>
      </c>
      <c r="J5" s="11" t="n">
        <f aca="false">D5-I5</f>
        <v>0</v>
      </c>
      <c r="K5" s="10" t="n">
        <f aca="false">Balance_21!$E$16</f>
        <v>24700000000</v>
      </c>
      <c r="L5" s="11" t="n">
        <f aca="false">E5-K5</f>
        <v>0</v>
      </c>
      <c r="M5" s="22" t="str">
        <f aca="false">IF(MAX(ABS(H5),ABS(J5),ABS(L5))&lt;=Resumen!$C$6,"OK","DIFERENCIA")</f>
        <v>OK</v>
      </c>
    </row>
    <row r="6" customFormat="false" ht="15" hidden="false" customHeight="false" outlineLevel="0" collapsed="false">
      <c r="A6" s="16" t="s">
        <v>101</v>
      </c>
      <c r="B6" s="22" t="str">
        <f aca="false">INDEX(Balance_21!$B$6:$B$36,MATCH(A6,Balance_21!$A$6:$A$36,0))</f>
        <v>Obg.Financiera Largo Plazo</v>
      </c>
      <c r="C6" s="10" t="n">
        <f aca="false">Balance_21!$C$18</f>
        <v>-23368333333</v>
      </c>
      <c r="D6" s="10" t="n">
        <f aca="false">SUMIFS(Mayor_Mov!$E$5:$E$445,Mayor_Mov!$B$5:$B$445,A6)</f>
        <v>3006000000</v>
      </c>
      <c r="E6" s="10" t="n">
        <f aca="false">SUMIFS(Mayor_Mov!$F$5:$F$445,Mayor_Mov!$B$5:$B$445,A6)</f>
        <v>0</v>
      </c>
      <c r="F6" s="11" t="n">
        <f aca="false">C6+D6-E6</f>
        <v>-20362333333</v>
      </c>
      <c r="G6" s="10" t="n">
        <f aca="false">Balance_21!$F$18</f>
        <v>-20362333333</v>
      </c>
      <c r="H6" s="11" t="n">
        <f aca="false">F6-G6</f>
        <v>0</v>
      </c>
      <c r="I6" s="10" t="n">
        <f aca="false">Balance_21!$D$18</f>
        <v>3006000000</v>
      </c>
      <c r="J6" s="11" t="n">
        <f aca="false">D6-I6</f>
        <v>0</v>
      </c>
      <c r="K6" s="10" t="n">
        <f aca="false">Balance_21!$E$18</f>
        <v>0</v>
      </c>
      <c r="L6" s="11" t="n">
        <f aca="false">E6-K6</f>
        <v>0</v>
      </c>
      <c r="M6" s="22" t="str">
        <f aca="false">IF(MAX(ABS(H6),ABS(J6),ABS(L6))&lt;=Resumen!$C$6,"OK","DIFERENCIA")</f>
        <v>OK</v>
      </c>
    </row>
    <row r="7" customFormat="false" ht="15" hidden="false" customHeight="false" outlineLevel="0" collapsed="false">
      <c r="A7" s="16" t="s">
        <v>143</v>
      </c>
      <c r="B7" s="22" t="str">
        <f aca="false">INDEX(Balance_21!$B$6:$B$36,MATCH(A7,Balance_21!$A$6:$A$36,0))</f>
        <v>Tarjeta de Credito por Pagar</v>
      </c>
      <c r="C7" s="10" t="n">
        <f aca="false">Balance_21!$C$19</f>
        <v>-25364582.42</v>
      </c>
      <c r="D7" s="10" t="n">
        <f aca="false">SUMIFS(Mayor_Mov!$E$5:$E$445,Mayor_Mov!$B$5:$B$445,A7)</f>
        <v>117935570.11</v>
      </c>
      <c r="E7" s="10" t="n">
        <f aca="false">SUMIFS(Mayor_Mov!$F$5:$F$445,Mayor_Mov!$B$5:$B$445,A7)</f>
        <v>123706719.42</v>
      </c>
      <c r="F7" s="11" t="n">
        <f aca="false">C7+D7-E7</f>
        <v>-31135731.73</v>
      </c>
      <c r="G7" s="10" t="n">
        <f aca="false">Balance_21!$F$19</f>
        <v>-31135731.73</v>
      </c>
      <c r="H7" s="11" t="n">
        <f aca="false">F7-G7</f>
        <v>0</v>
      </c>
      <c r="I7" s="10" t="n">
        <f aca="false">Balance_21!$D$19</f>
        <v>117935570.11</v>
      </c>
      <c r="J7" s="11" t="n">
        <f aca="false">D7-I7</f>
        <v>0</v>
      </c>
      <c r="K7" s="10" t="n">
        <f aca="false">Balance_21!$E$19</f>
        <v>123706719.42</v>
      </c>
      <c r="L7" s="11" t="n">
        <f aca="false">E7-K7</f>
        <v>0</v>
      </c>
      <c r="M7" s="22" t="str">
        <f aca="false">IF(MAX(ABS(H7),ABS(J7),ABS(L7))&lt;=Resumen!$C$6,"OK","DIFERENCIA")</f>
        <v>OK</v>
      </c>
    </row>
    <row r="8" customFormat="false" ht="15" hidden="false" customHeight="false" outlineLevel="0" collapsed="false">
      <c r="A8" s="16" t="s">
        <v>543</v>
      </c>
      <c r="B8" s="22" t="str">
        <f aca="false">INDEX(Balance_21!$B$6:$B$36,MATCH(A8,Balance_21!$A$6:$A$36,0))</f>
        <v>Leasing Corto Plazo</v>
      </c>
      <c r="C8" s="10" t="n">
        <f aca="false">Balance_21!$C$22</f>
        <v>-585880191.4</v>
      </c>
      <c r="D8" s="10" t="n">
        <f aca="false">SUMIFS(Mayor_Mov!$E$5:$E$445,Mayor_Mov!$B$5:$B$445,A8)</f>
        <v>35428634</v>
      </c>
      <c r="E8" s="10" t="n">
        <f aca="false">SUMIFS(Mayor_Mov!$F$5:$F$445,Mayor_Mov!$B$5:$B$445,A8)</f>
        <v>607791830</v>
      </c>
      <c r="F8" s="11" t="n">
        <f aca="false">C8+D8-E8</f>
        <v>-1158243387.4</v>
      </c>
      <c r="G8" s="10" t="n">
        <f aca="false">Balance_21!$F$22</f>
        <v>-1158243387.4</v>
      </c>
      <c r="H8" s="11" t="n">
        <f aca="false">F8-G8</f>
        <v>0</v>
      </c>
      <c r="I8" s="10" t="n">
        <f aca="false">Balance_21!$D$22</f>
        <v>35428634</v>
      </c>
      <c r="J8" s="11" t="n">
        <f aca="false">D8-I8</f>
        <v>0</v>
      </c>
      <c r="K8" s="10" t="n">
        <f aca="false">Balance_21!$E$22</f>
        <v>607791830</v>
      </c>
      <c r="L8" s="11" t="n">
        <f aca="false">E8-K8</f>
        <v>0</v>
      </c>
      <c r="M8" s="22" t="str">
        <f aca="false">IF(MAX(ABS(H8),ABS(J8),ABS(L8))&lt;=Resumen!$C$6,"OK","DIFERENCIA")</f>
        <v>OK</v>
      </c>
    </row>
    <row r="9" customFormat="false" ht="15" hidden="false" customHeight="false" outlineLevel="0" collapsed="false">
      <c r="A9" s="16" t="s">
        <v>562</v>
      </c>
      <c r="B9" s="22" t="str">
        <f aca="false">INDEX(Balance_21!$B$6:$B$36,MATCH(A9,Balance_21!$A$6:$A$36,0))</f>
        <v>Leasing Largo Plazo</v>
      </c>
      <c r="C9" s="10" t="n">
        <f aca="false">Balance_21!$C$24</f>
        <v>-7544614551.94</v>
      </c>
      <c r="D9" s="10" t="n">
        <f aca="false">SUMIFS(Mayor_Mov!$E$5:$E$445,Mayor_Mov!$B$5:$B$445,A9)</f>
        <v>911081898.01</v>
      </c>
      <c r="E9" s="10" t="n">
        <f aca="false">SUMIFS(Mayor_Mov!$F$5:$F$445,Mayor_Mov!$B$5:$B$445,A9)</f>
        <v>111735587</v>
      </c>
      <c r="F9" s="11" t="n">
        <f aca="false">C9+D9-E9</f>
        <v>-6745268240.93</v>
      </c>
      <c r="G9" s="10" t="n">
        <f aca="false">Balance_21!$F$24</f>
        <v>-6745268240.93</v>
      </c>
      <c r="H9" s="11" t="n">
        <f aca="false">F9-G9</f>
        <v>0</v>
      </c>
      <c r="I9" s="10" t="n">
        <f aca="false">Balance_21!$D$24</f>
        <v>911081898.01</v>
      </c>
      <c r="J9" s="11" t="n">
        <f aca="false">D9-I9</f>
        <v>0</v>
      </c>
      <c r="K9" s="10" t="n">
        <f aca="false">Balance_21!$E$24</f>
        <v>111735587</v>
      </c>
      <c r="L9" s="11" t="n">
        <f aca="false">E9-K9</f>
        <v>0</v>
      </c>
      <c r="M9" s="22" t="str">
        <f aca="false">IF(MAX(ABS(H9),ABS(J9),ABS(L9))&lt;=Resumen!$C$6,"OK","DIFERENCIA")</f>
        <v>OK</v>
      </c>
    </row>
    <row r="10" customFormat="false" ht="15" hidden="false" customHeight="false" outlineLevel="0" collapsed="false">
      <c r="A10" s="16" t="s">
        <v>676</v>
      </c>
      <c r="B10" s="22" t="str">
        <f aca="false">INDEX(Balance_21!$B$6:$B$36,MATCH(A10,Balance_21!$A$6:$A$36,0))</f>
        <v>Intereses Financieros por Pagar O.F.</v>
      </c>
      <c r="C10" s="10" t="n">
        <f aca="false">Balance_21!$C$27</f>
        <v>-1107168370</v>
      </c>
      <c r="D10" s="10" t="n">
        <f aca="false">SUMIFS(Mayor_Mov!$E$5:$E$445,Mayor_Mov!$B$5:$B$445,A10)</f>
        <v>3257045166</v>
      </c>
      <c r="E10" s="10" t="n">
        <f aca="false">SUMIFS(Mayor_Mov!$F$5:$F$445,Mayor_Mov!$B$5:$B$445,A10)</f>
        <v>2573515476</v>
      </c>
      <c r="F10" s="11" t="n">
        <f aca="false">C10+D10-E10</f>
        <v>-423638680</v>
      </c>
      <c r="G10" s="10" t="n">
        <f aca="false">Balance_21!$F$27</f>
        <v>-423638680</v>
      </c>
      <c r="H10" s="11" t="n">
        <f aca="false">F10-G10</f>
        <v>0</v>
      </c>
      <c r="I10" s="10" t="n">
        <f aca="false">Balance_21!$D$27</f>
        <v>3257045166</v>
      </c>
      <c r="J10" s="11" t="n">
        <f aca="false">D10-I10</f>
        <v>0</v>
      </c>
      <c r="K10" s="10" t="n">
        <f aca="false">Balance_21!$E$27</f>
        <v>2573515476</v>
      </c>
      <c r="L10" s="11" t="n">
        <f aca="false">E10-K10</f>
        <v>0</v>
      </c>
      <c r="M10" s="22" t="str">
        <f aca="false">IF(MAX(ABS(H10),ABS(J10),ABS(L10))&lt;=Resumen!$C$6,"OK","DIFERENCIA")</f>
        <v>OK</v>
      </c>
    </row>
    <row r="11" customFormat="false" ht="15" hidden="false" customHeight="false" outlineLevel="0" collapsed="false">
      <c r="A11" s="16" t="s">
        <v>797</v>
      </c>
      <c r="B11" s="22" t="str">
        <f aca="false">INDEX(Balance_21!$B$6:$B$36,MATCH(A11,Balance_21!$A$6:$A$36,0))</f>
        <v>Intereses Leasing por Pagar</v>
      </c>
      <c r="C11" s="10" t="n">
        <f aca="false">Balance_21!$C$28</f>
        <v>-93054514</v>
      </c>
      <c r="D11" s="10" t="n">
        <f aca="false">SUMIFS(Mayor_Mov!$E$5:$E$445,Mayor_Mov!$B$5:$B$445,A11)</f>
        <v>498712747.84</v>
      </c>
      <c r="E11" s="10" t="n">
        <f aca="false">SUMIFS(Mayor_Mov!$F$5:$F$445,Mayor_Mov!$B$5:$B$445,A11)</f>
        <v>409408571</v>
      </c>
      <c r="F11" s="11" t="n">
        <f aca="false">C11+D11-E11</f>
        <v>-3750337.16000003</v>
      </c>
      <c r="G11" s="10" t="n">
        <f aca="false">Balance_21!$F$28</f>
        <v>-3750337.16</v>
      </c>
      <c r="H11" s="11" t="n">
        <f aca="false">F11-G11</f>
        <v>-2.60770320892334E-008</v>
      </c>
      <c r="I11" s="10" t="n">
        <f aca="false">Balance_21!$D$28</f>
        <v>498712747.84</v>
      </c>
      <c r="J11" s="11" t="n">
        <f aca="false">D11-I11</f>
        <v>0</v>
      </c>
      <c r="K11" s="10" t="n">
        <f aca="false">Balance_21!$E$28</f>
        <v>409408571</v>
      </c>
      <c r="L11" s="11" t="n">
        <f aca="false">E11-K11</f>
        <v>0</v>
      </c>
      <c r="M11" s="22" t="str">
        <f aca="false">IF(MAX(ABS(H11),ABS(J11),ABS(L11))&lt;=Resumen!$C$6,"OK","DIFERENCIA")</f>
        <v>OK</v>
      </c>
    </row>
    <row r="12" customFormat="false" ht="15" hidden="false" customHeight="false" outlineLevel="0" collapsed="false">
      <c r="B12" s="18" t="s">
        <v>978</v>
      </c>
      <c r="C12" s="19" t="n">
        <f aca="false">SUM(C5:C11)</f>
        <v>-50662748875.76</v>
      </c>
      <c r="D12" s="19" t="n">
        <f aca="false">SUM(D5:D11)</f>
        <v>32526204015.96</v>
      </c>
      <c r="E12" s="19" t="n">
        <f aca="false">SUM(E5:E11)</f>
        <v>28526158183.42</v>
      </c>
      <c r="F12" s="19" t="n">
        <f aca="false">SUM(F5:F11)</f>
        <v>-46662703043.22</v>
      </c>
      <c r="G12" s="19" t="n">
        <f aca="false">SUM(G5:G11)</f>
        <v>-46662703043.22</v>
      </c>
      <c r="H12" s="19" t="n">
        <f aca="false">SUM(H5:H11)</f>
        <v>-2.60770320892334E-008</v>
      </c>
      <c r="I12" s="19" t="n">
        <f aca="false">SUM(I5:I11)</f>
        <v>32526204015.96</v>
      </c>
      <c r="J12" s="19" t="n">
        <f aca="false">SUM(J5:J11)</f>
        <v>0</v>
      </c>
      <c r="K12" s="19" t="n">
        <f aca="false">SUM(K5:K11)</f>
        <v>28526158183.42</v>
      </c>
      <c r="L12" s="19" t="n">
        <f aca="false">SUM(L5:L11)</f>
        <v>0</v>
      </c>
      <c r="M12" s="23" t="str">
        <f aca="false">IF(MAX(ABS(H12),ABS(J12),ABS(L12))&lt;=Resumen!$C$6,"OK","DIFERENCIA")</f>
        <v>OK</v>
      </c>
    </row>
    <row r="13" customFormat="false" ht="15" hidden="false" customHeight="false" outlineLevel="0" collapsed="false">
      <c r="B13" s="4" t="s">
        <v>979</v>
      </c>
      <c r="C13" s="10" t="n">
        <f aca="false">Balance_21!$C$13</f>
        <v>-50662748875.76</v>
      </c>
      <c r="G13" s="10" t="n">
        <f aca="false">Balance_21!$F$13</f>
        <v>-46662703043.22</v>
      </c>
      <c r="I13" s="10" t="n">
        <f aca="false">Balance_21!$D$13</f>
        <v>32526204015.96</v>
      </c>
      <c r="K13" s="10" t="n">
        <f aca="false">Balance_21!$E$13</f>
        <v>28526158183.42</v>
      </c>
    </row>
    <row r="14" customFormat="false" ht="15" hidden="false" customHeight="false" outlineLevel="0" collapsed="false">
      <c r="B14" s="4" t="s">
        <v>980</v>
      </c>
      <c r="C14" s="11" t="n">
        <f aca="false">C12-C13</f>
        <v>0</v>
      </c>
      <c r="G14" s="11" t="n">
        <f aca="false">G12-G13</f>
        <v>0</v>
      </c>
      <c r="I14" s="11" t="n">
        <f aca="false">I12-I13</f>
        <v>0</v>
      </c>
      <c r="K14" s="11" t="n">
        <f aca="false">K12-K13</f>
        <v>0</v>
      </c>
    </row>
    <row r="16" customFormat="false" ht="15" hidden="false" customHeight="false" outlineLevel="0" collapsed="false">
      <c r="A16" s="24" t="s">
        <v>981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customFormat="false" ht="30" hidden="false" customHeight="true" outlineLevel="0" collapsed="false">
      <c r="A17" s="8"/>
      <c r="B17" s="8" t="s">
        <v>982</v>
      </c>
      <c r="C17" s="8" t="s">
        <v>983</v>
      </c>
      <c r="D17" s="8" t="s">
        <v>984</v>
      </c>
      <c r="E17" s="8" t="s">
        <v>10</v>
      </c>
    </row>
    <row r="18" customFormat="false" ht="15" hidden="false" customHeight="false" outlineLevel="0" collapsed="false">
      <c r="B18" s="4" t="s">
        <v>910</v>
      </c>
      <c r="C18" s="17" t="n">
        <v>32526204015.96</v>
      </c>
      <c r="D18" s="10" t="n">
        <f aca="false">Mayor_Mov!E446</f>
        <v>32526204015.96</v>
      </c>
      <c r="E18" s="11" t="n">
        <f aca="false">C18-D18</f>
        <v>0</v>
      </c>
    </row>
    <row r="19" customFormat="false" ht="15" hidden="false" customHeight="false" outlineLevel="0" collapsed="false">
      <c r="B19" s="4" t="s">
        <v>911</v>
      </c>
      <c r="C19" s="17" t="n">
        <v>28526158183.42</v>
      </c>
      <c r="D19" s="10" t="n">
        <f aca="false">Mayor_Mov!F446</f>
        <v>28526158183.42</v>
      </c>
      <c r="E19" s="11" t="n">
        <f aca="false">C19-D19</f>
        <v>0</v>
      </c>
    </row>
    <row r="20" customFormat="false" ht="15" hidden="false" customHeight="false" outlineLevel="0" collapsed="false">
      <c r="B20" s="4" t="s">
        <v>985</v>
      </c>
      <c r="C20" s="17" t="n">
        <v>4000045832.54</v>
      </c>
      <c r="D20" s="10" t="n">
        <f aca="false">Mayor_Mov!G446</f>
        <v>4000045832.54</v>
      </c>
      <c r="E20" s="11" t="n">
        <f aca="false">C20-D20</f>
        <v>0</v>
      </c>
    </row>
    <row r="21" customFormat="false" ht="15" hidden="false" customHeight="false" outlineLevel="0" collapsed="false">
      <c r="B21" s="4" t="s">
        <v>986</v>
      </c>
      <c r="D21" s="26" t="n">
        <f aca="false">COUNTA(Mayor_Mov!$B$5:$B$445)</f>
        <v>441</v>
      </c>
    </row>
    <row r="23" customFormat="false" ht="15" hidden="false" customHeight="false" outlineLevel="0" collapsed="false">
      <c r="A23" s="24" t="s">
        <v>987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customFormat="false" ht="30" hidden="false" customHeight="true" outlineLevel="0" collapsed="false">
      <c r="A24" s="8"/>
      <c r="B24" s="8" t="s">
        <v>7</v>
      </c>
      <c r="C24" s="8" t="s">
        <v>8</v>
      </c>
      <c r="D24" s="8" t="s">
        <v>9</v>
      </c>
      <c r="E24" s="8" t="s">
        <v>10</v>
      </c>
      <c r="F24" s="8"/>
      <c r="G24" s="8" t="s">
        <v>988</v>
      </c>
    </row>
    <row r="25" customFormat="false" ht="25.5" hidden="false" customHeight="true" outlineLevel="0" collapsed="false">
      <c r="B25" s="9" t="s">
        <v>989</v>
      </c>
      <c r="C25" s="10" t="n">
        <f aca="false">Balance_21!$F$13</f>
        <v>-46662703043.22</v>
      </c>
      <c r="D25" s="10" t="n">
        <f aca="false">Balance_21!$F$14+Balance_21!$F$20+Balance_21!$F$25</f>
        <v>-46662703043.22</v>
      </c>
      <c r="E25" s="11" t="n">
        <f aca="false">C25-D25</f>
        <v>0</v>
      </c>
      <c r="G25" s="9"/>
      <c r="H25" s="9"/>
      <c r="I25" s="9"/>
      <c r="J25" s="9"/>
      <c r="K25" s="9"/>
      <c r="L25" s="9"/>
      <c r="M25" s="9"/>
    </row>
    <row r="26" customFormat="false" ht="25.5" hidden="false" customHeight="true" outlineLevel="0" collapsed="false">
      <c r="B26" s="9" t="s">
        <v>990</v>
      </c>
      <c r="C26" s="10" t="n">
        <f aca="false">Balance_21!$F$14</f>
        <v>-38331802397.73</v>
      </c>
      <c r="D26" s="10" t="n">
        <f aca="false">Balance_21!$F$15+Balance_21!$F$17</f>
        <v>-38331802397.73</v>
      </c>
      <c r="E26" s="11" t="n">
        <f aca="false">C26-D26</f>
        <v>0</v>
      </c>
      <c r="G26" s="9"/>
      <c r="H26" s="9"/>
      <c r="I26" s="9"/>
      <c r="J26" s="9"/>
      <c r="K26" s="9"/>
      <c r="L26" s="9"/>
      <c r="M26" s="9"/>
    </row>
    <row r="27" customFormat="false" ht="25.5" hidden="false" customHeight="true" outlineLevel="0" collapsed="false">
      <c r="B27" s="9" t="s">
        <v>991</v>
      </c>
      <c r="C27" s="10" t="n">
        <f aca="false">Balance_21!$F$17</f>
        <v>-20393469064.73</v>
      </c>
      <c r="D27" s="10" t="n">
        <f aca="false">Balance_21!$F$18+Balance_21!$F$19</f>
        <v>-20393469064.73</v>
      </c>
      <c r="E27" s="11" t="n">
        <f aca="false">C27-D27</f>
        <v>0</v>
      </c>
      <c r="G27" s="9" t="s">
        <v>992</v>
      </c>
      <c r="H27" s="9"/>
      <c r="I27" s="9"/>
      <c r="J27" s="9"/>
      <c r="K27" s="9"/>
      <c r="L27" s="9"/>
      <c r="M27" s="9"/>
    </row>
    <row r="28" customFormat="false" ht="25.5" hidden="false" customHeight="true" outlineLevel="0" collapsed="false">
      <c r="B28" s="9" t="s">
        <v>993</v>
      </c>
      <c r="C28" s="10" t="n">
        <f aca="false">Balance_21!$F$20</f>
        <v>-7903511628.33</v>
      </c>
      <c r="D28" s="10" t="n">
        <f aca="false">Balance_21!$F$22+Balance_21!$F$24</f>
        <v>-7903511628.33</v>
      </c>
      <c r="E28" s="11" t="n">
        <f aca="false">C28-D28</f>
        <v>0</v>
      </c>
      <c r="G28" s="9"/>
      <c r="H28" s="9"/>
      <c r="I28" s="9"/>
      <c r="J28" s="9"/>
      <c r="K28" s="9"/>
      <c r="L28" s="9"/>
      <c r="M28" s="9"/>
    </row>
    <row r="29" customFormat="false" ht="25.5" hidden="false" customHeight="true" outlineLevel="0" collapsed="false">
      <c r="B29" s="9" t="s">
        <v>994</v>
      </c>
      <c r="C29" s="10" t="n">
        <f aca="false">Balance_21!$F$25</f>
        <v>-427389017.16</v>
      </c>
      <c r="D29" s="10" t="n">
        <f aca="false">Balance_21!$F$27+Balance_21!$F$28</f>
        <v>-427389017.16</v>
      </c>
      <c r="E29" s="11" t="n">
        <f aca="false">C29-D29</f>
        <v>0</v>
      </c>
      <c r="G29" s="9"/>
      <c r="H29" s="9"/>
      <c r="I29" s="9"/>
      <c r="J29" s="9"/>
      <c r="K29" s="9"/>
      <c r="L29" s="9"/>
      <c r="M29" s="9"/>
    </row>
    <row r="30" customFormat="false" ht="25.5" hidden="false" customHeight="true" outlineLevel="0" collapsed="false">
      <c r="B30" s="9" t="s">
        <v>995</v>
      </c>
      <c r="C30" s="10" t="n">
        <f aca="false">Balance_21!$F$6+Balance_21!$F$7+Balance_21!$F$8</f>
        <v>18399439273.3699</v>
      </c>
      <c r="D30" s="10" t="n">
        <f aca="false">-(Balance_21!$F$9+Balance_21!$F$10+Balance_21!$F$11+Balance_21!$F$12)</f>
        <v>18399439273.37</v>
      </c>
      <c r="E30" s="11" t="n">
        <f aca="false">C30-D30</f>
        <v>0</v>
      </c>
      <c r="G30" s="9" t="s">
        <v>996</v>
      </c>
      <c r="H30" s="9"/>
      <c r="I30" s="9"/>
      <c r="J30" s="9"/>
      <c r="K30" s="9"/>
      <c r="L30" s="9"/>
      <c r="M30" s="9"/>
    </row>
    <row r="31" customFormat="false" ht="25.5" hidden="false" customHeight="true" outlineLevel="0" collapsed="false">
      <c r="B31" s="9" t="s">
        <v>997</v>
      </c>
      <c r="C31" s="10" t="n">
        <f aca="false">-Balance_21!$F$27</f>
        <v>423638680</v>
      </c>
      <c r="D31" s="10" t="n">
        <f aca="false">Balance_21!$F$35</f>
        <v>423638680</v>
      </c>
      <c r="E31" s="11" t="n">
        <f aca="false">C31-D31</f>
        <v>0</v>
      </c>
      <c r="G31" s="9" t="s">
        <v>998</v>
      </c>
      <c r="H31" s="9"/>
      <c r="I31" s="9"/>
      <c r="J31" s="9"/>
      <c r="K31" s="9"/>
      <c r="L31" s="9"/>
      <c r="M31" s="9"/>
    </row>
    <row r="32" customFormat="false" ht="25.5" hidden="false" customHeight="true" outlineLevel="0" collapsed="false">
      <c r="B32" s="9" t="s">
        <v>999</v>
      </c>
      <c r="C32" s="10" t="n">
        <f aca="false">-Balance_21!$F$28</f>
        <v>3750337.16</v>
      </c>
      <c r="D32" s="10" t="n">
        <f aca="false">Balance_21!$F$36</f>
        <v>3750337.32</v>
      </c>
      <c r="E32" s="11" t="n">
        <f aca="false">C32-D32</f>
        <v>-0.15999999968335</v>
      </c>
      <c r="G32" s="9"/>
      <c r="H32" s="9"/>
      <c r="I32" s="9"/>
      <c r="J32" s="9"/>
      <c r="K32" s="9"/>
      <c r="L32" s="9"/>
      <c r="M32" s="9"/>
    </row>
    <row r="33" customFormat="false" ht="25.5" hidden="false" customHeight="true" outlineLevel="0" collapsed="false">
      <c r="B33" s="9" t="s">
        <v>1000</v>
      </c>
      <c r="C33" s="10" t="n">
        <f aca="false">-Balance_21!$C$27</f>
        <v>1107168370</v>
      </c>
      <c r="D33" s="10" t="n">
        <f aca="false">Balance_21!$E$34</f>
        <v>1107168370</v>
      </c>
      <c r="E33" s="11" t="n">
        <f aca="false">C33-D33</f>
        <v>0</v>
      </c>
      <c r="G33" s="9" t="s">
        <v>1001</v>
      </c>
      <c r="H33" s="9"/>
      <c r="I33" s="9"/>
      <c r="J33" s="9"/>
      <c r="K33" s="9"/>
      <c r="L33" s="9"/>
      <c r="M33" s="9"/>
    </row>
    <row r="34" customFormat="false" ht="25.5" hidden="false" customHeight="true" outlineLevel="0" collapsed="false">
      <c r="B34" s="9" t="s">
        <v>1002</v>
      </c>
      <c r="C34" s="10" t="n">
        <f aca="false">-Balance_21!$C$28</f>
        <v>93054514</v>
      </c>
      <c r="D34" s="10" t="n">
        <f aca="false">Balance_21!$E$33</f>
        <v>93054514</v>
      </c>
      <c r="E34" s="11" t="n">
        <f aca="false">C34-D34</f>
        <v>0</v>
      </c>
      <c r="G34" s="9"/>
      <c r="H34" s="9"/>
      <c r="I34" s="9"/>
      <c r="J34" s="9"/>
      <c r="K34" s="9"/>
      <c r="L34" s="9"/>
      <c r="M34" s="9"/>
    </row>
    <row r="36" customFormat="false" ht="15" hidden="false" customHeight="false" outlineLevel="0" collapsed="false">
      <c r="A36" s="24" t="s">
        <v>1003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customFormat="false" ht="15" hidden="false" customHeight="false" outlineLevel="0" collapsed="false">
      <c r="B37" s="4" t="s">
        <v>1004</v>
      </c>
      <c r="C37" s="26" t="n">
        <f aca="false">Balance_21!$C$40</f>
        <v>0</v>
      </c>
      <c r="D37" s="4" t="str">
        <f aca="false">IF(C37=0,"Sin cambios posteriores al cierre de jul-26","Revisar ajustes posteriores")</f>
        <v>Sin cambios posteriores al cierre de jul-26</v>
      </c>
      <c r="E37" s="4"/>
      <c r="F37" s="4"/>
      <c r="G37" s="4"/>
      <c r="H37" s="4"/>
    </row>
  </sheetData>
  <mergeCells count="11">
    <mergeCell ref="G25:M25"/>
    <mergeCell ref="G26:M26"/>
    <mergeCell ref="G27:M27"/>
    <mergeCell ref="G28:M28"/>
    <mergeCell ref="G29:M29"/>
    <mergeCell ref="G30:M30"/>
    <mergeCell ref="G31:M31"/>
    <mergeCell ref="G32:M32"/>
    <mergeCell ref="G33:M33"/>
    <mergeCell ref="G34:M34"/>
    <mergeCell ref="D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Y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7"/>
    <col collapsed="false" customWidth="true" hidden="false" outlineLevel="0" max="7" min="7" style="0" width="9"/>
    <col collapsed="false" customWidth="true" hidden="false" outlineLevel="0" max="8" min="8" style="0" width="17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11"/>
    <col collapsed="false" customWidth="true" hidden="false" outlineLevel="0" max="14" min="13" style="0" width="16"/>
    <col collapsed="false" customWidth="true" hidden="false" outlineLevel="0" max="15" min="15" style="0" width="8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9" min="18" style="0" width="11"/>
    <col collapsed="false" customWidth="true" hidden="false" outlineLevel="0" max="20" min="20" style="0" width="10"/>
    <col collapsed="false" customWidth="true" hidden="false" outlineLevel="0" max="21" min="21" style="0" width="15"/>
    <col collapsed="false" customWidth="true" hidden="false" outlineLevel="0" max="22" min="22" style="0" width="11"/>
    <col collapsed="false" customWidth="true" hidden="false" outlineLevel="0" max="24" min="23" style="0" width="16"/>
    <col collapsed="false" customWidth="true" hidden="false" outlineLevel="0" max="25" min="25" style="0" width="10"/>
  </cols>
  <sheetData>
    <row r="1" customFormat="false" ht="16.15" hidden="false" customHeight="false" outlineLevel="0" collapsed="false">
      <c r="A1" s="1" t="s">
        <v>1005</v>
      </c>
    </row>
    <row r="2" customFormat="false" ht="15" hidden="false" customHeight="false" outlineLevel="0" collapsed="false">
      <c r="A2" s="2" t="s">
        <v>1006</v>
      </c>
    </row>
    <row r="4" customFormat="false" ht="15" hidden="false" customHeight="false" outlineLevel="0" collapsed="false">
      <c r="A4" s="20" t="s">
        <v>1007</v>
      </c>
    </row>
    <row r="5" customFormat="false" ht="15" hidden="false" customHeight="false" outlineLevel="0" collapsed="false">
      <c r="A5" s="16" t="s">
        <v>1008</v>
      </c>
      <c r="B5" s="27" t="n">
        <v>0.11555</v>
      </c>
    </row>
    <row r="6" customFormat="false" ht="15" hidden="false" customHeight="false" outlineLevel="0" collapsed="false">
      <c r="A6" s="16" t="s">
        <v>1009</v>
      </c>
      <c r="B6" s="27" t="n">
        <v>0.11768</v>
      </c>
    </row>
    <row r="7" customFormat="false" ht="15" hidden="false" customHeight="false" outlineLevel="0" collapsed="false">
      <c r="A7" s="16" t="s">
        <v>1010</v>
      </c>
      <c r="B7" s="27" t="n">
        <v>0.12025</v>
      </c>
    </row>
    <row r="8" customFormat="false" ht="15" hidden="false" customHeight="false" outlineLevel="0" collapsed="false">
      <c r="A8" s="16" t="s">
        <v>1011</v>
      </c>
      <c r="B8" s="27" t="n">
        <v>0.1024</v>
      </c>
    </row>
    <row r="9" customFormat="false" ht="15" hidden="false" customHeight="false" outlineLevel="0" collapsed="false">
      <c r="A9" s="16" t="s">
        <v>1012</v>
      </c>
      <c r="B9" s="27" t="n">
        <v>0.0362541</v>
      </c>
    </row>
    <row r="10" customFormat="false" ht="15" hidden="false" customHeight="false" outlineLevel="0" collapsed="false">
      <c r="A10" s="16" t="s">
        <v>1013</v>
      </c>
      <c r="B10" s="17" t="n">
        <v>3132.42</v>
      </c>
    </row>
    <row r="13" customFormat="false" ht="39.75" hidden="false" customHeight="true" outlineLevel="0" collapsed="false">
      <c r="A13" s="8" t="s">
        <v>1014</v>
      </c>
      <c r="B13" s="8" t="s">
        <v>1015</v>
      </c>
      <c r="C13" s="8" t="s">
        <v>1016</v>
      </c>
      <c r="D13" s="8" t="s">
        <v>1017</v>
      </c>
      <c r="E13" s="8" t="s">
        <v>73</v>
      </c>
      <c r="F13" s="8" t="s">
        <v>1018</v>
      </c>
      <c r="G13" s="8" t="s">
        <v>1019</v>
      </c>
      <c r="H13" s="8" t="s">
        <v>1020</v>
      </c>
      <c r="I13" s="8" t="s">
        <v>1021</v>
      </c>
      <c r="J13" s="8" t="s">
        <v>1022</v>
      </c>
      <c r="K13" s="8" t="s">
        <v>1023</v>
      </c>
      <c r="L13" s="8" t="s">
        <v>1024</v>
      </c>
      <c r="M13" s="8" t="s">
        <v>1025</v>
      </c>
      <c r="N13" s="8" t="s">
        <v>1026</v>
      </c>
      <c r="O13" s="8" t="s">
        <v>1027</v>
      </c>
      <c r="P13" s="8" t="s">
        <v>1028</v>
      </c>
      <c r="Q13" s="8" t="s">
        <v>1029</v>
      </c>
      <c r="R13" s="8" t="s">
        <v>1030</v>
      </c>
      <c r="S13" s="8" t="s">
        <v>1031</v>
      </c>
      <c r="T13" s="8" t="s">
        <v>1032</v>
      </c>
      <c r="U13" s="8" t="s">
        <v>1033</v>
      </c>
      <c r="V13" s="8" t="s">
        <v>1034</v>
      </c>
      <c r="W13" s="8" t="s">
        <v>1035</v>
      </c>
      <c r="X13" s="8" t="s">
        <v>1036</v>
      </c>
      <c r="Y13" s="8" t="s">
        <v>1037</v>
      </c>
    </row>
    <row r="14" customFormat="false" ht="15" hidden="false" customHeight="false" outlineLevel="0" collapsed="false">
      <c r="A14" s="16" t="s">
        <v>1038</v>
      </c>
      <c r="B14" s="16" t="s">
        <v>1039</v>
      </c>
      <c r="C14" s="12" t="s">
        <v>571</v>
      </c>
      <c r="D14" s="16" t="s">
        <v>1040</v>
      </c>
      <c r="E14" s="16" t="s">
        <v>1041</v>
      </c>
      <c r="F14" s="17" t="n">
        <v>398582167.21439</v>
      </c>
      <c r="G14" s="28" t="n">
        <v>0.0233555769407866</v>
      </c>
      <c r="H14" s="16" t="s">
        <v>1008</v>
      </c>
      <c r="I14" s="28" t="n">
        <v>0.04</v>
      </c>
      <c r="J14" s="28" t="n">
        <v>0.167133181668336</v>
      </c>
      <c r="K14" s="16" t="n">
        <v>12</v>
      </c>
      <c r="L14" s="16" t="s">
        <v>1042</v>
      </c>
      <c r="M14" s="17" t="n">
        <v>194846536</v>
      </c>
      <c r="N14" s="17" t="n">
        <v>203735631.21439</v>
      </c>
      <c r="O14" s="16" t="n">
        <v>27</v>
      </c>
      <c r="P14" s="5" t="n">
        <v>47037</v>
      </c>
      <c r="Q14" s="28" t="n">
        <v>0.00390349188381327</v>
      </c>
      <c r="R14" s="29" t="n">
        <f aca="false">IF(LEFT(H14,11)="IBR 6 MESES",Detalle_62!$B$7,IF(LEFT(H14,11)="IBR 3 MESES",Detalle_62!$B$6,IF(H14="DTF",Detalle_62!$B$8,Detalle_62!$B$5)))</f>
        <v>0.11555</v>
      </c>
      <c r="S14" s="30" t="n">
        <f aca="false">(1+(R14+I14)/K14)^K14-1</f>
        <v>0.167133181668335</v>
      </c>
      <c r="T14" s="31" t="n">
        <f aca="false">(J14-S14)*10000</f>
        <v>0</v>
      </c>
      <c r="U14" s="11" t="n">
        <f aca="false">M14+N14-F14</f>
        <v>0</v>
      </c>
      <c r="V14" s="22" t="str">
        <f aca="false">IF(ABS(U14)&gt;Resumen!$C$6,"ERROR",IF(OR(M14&lt;0,N14&lt;0),"ERROR","OK"))</f>
        <v>OK</v>
      </c>
      <c r="W14" s="11" t="n">
        <f aca="false">MIN(MAX(M14,0),F14)</f>
        <v>194846536</v>
      </c>
      <c r="X14" s="11" t="n">
        <f aca="false">F14-W14</f>
        <v>203735631.21439</v>
      </c>
      <c r="Y14" s="32" t="n">
        <f aca="false">F14/SUMIFS($F$14:$F$35,$A$14:$A$35,A14)</f>
        <v>0.0233555769407866</v>
      </c>
    </row>
    <row r="15" customFormat="false" ht="15" hidden="false" customHeight="false" outlineLevel="0" collapsed="false">
      <c r="A15" s="16" t="s">
        <v>1038</v>
      </c>
      <c r="B15" s="16" t="s">
        <v>1043</v>
      </c>
      <c r="C15" s="12" t="s">
        <v>567</v>
      </c>
      <c r="D15" s="16" t="s">
        <v>1040</v>
      </c>
      <c r="E15" s="16" t="s">
        <v>1044</v>
      </c>
      <c r="F15" s="17" t="n">
        <v>323529688.533944</v>
      </c>
      <c r="G15" s="28" t="n">
        <v>0.0189577536446052</v>
      </c>
      <c r="H15" s="16" t="s">
        <v>1008</v>
      </c>
      <c r="I15" s="28" t="n">
        <v>0.04</v>
      </c>
      <c r="J15" s="28" t="n">
        <v>0.167133181668336</v>
      </c>
      <c r="K15" s="16" t="n">
        <v>12</v>
      </c>
      <c r="L15" s="16" t="s">
        <v>1042</v>
      </c>
      <c r="M15" s="17" t="n">
        <v>142014647.455294</v>
      </c>
      <c r="N15" s="17" t="n">
        <v>181515041.07865</v>
      </c>
      <c r="O15" s="16" t="n">
        <v>29</v>
      </c>
      <c r="P15" s="5" t="n">
        <v>47098</v>
      </c>
      <c r="Q15" s="28" t="n">
        <v>0.00316846968390735</v>
      </c>
      <c r="R15" s="29" t="n">
        <f aca="false">IF(LEFT(H15,11)="IBR 6 MESES",Detalle_62!$B$7,IF(LEFT(H15,11)="IBR 3 MESES",Detalle_62!$B$6,IF(H15="DTF",Detalle_62!$B$8,Detalle_62!$B$5)))</f>
        <v>0.11555</v>
      </c>
      <c r="S15" s="30" t="n">
        <f aca="false">(1+(R15+I15)/K15)^K15-1</f>
        <v>0.167133181668335</v>
      </c>
      <c r="T15" s="31" t="n">
        <f aca="false">(J15-S15)*10000</f>
        <v>0</v>
      </c>
      <c r="U15" s="11" t="n">
        <f aca="false">M15+N15-F15</f>
        <v>0</v>
      </c>
      <c r="V15" s="22" t="str">
        <f aca="false">IF(ABS(U15)&gt;Resumen!$C$6,"ERROR",IF(OR(M15&lt;0,N15&lt;0),"ERROR","OK"))</f>
        <v>OK</v>
      </c>
      <c r="W15" s="11" t="n">
        <f aca="false">MIN(MAX(M15,0),F15)</f>
        <v>142014647.455294</v>
      </c>
      <c r="X15" s="11" t="n">
        <f aca="false">F15-W15</f>
        <v>181515041.07865</v>
      </c>
      <c r="Y15" s="32" t="n">
        <f aca="false">F15/SUMIFS($F$14:$F$35,$A$14:$A$35,A15)</f>
        <v>0.0189577536446052</v>
      </c>
    </row>
    <row r="16" customFormat="false" ht="15" hidden="false" customHeight="false" outlineLevel="0" collapsed="false">
      <c r="A16" s="16" t="s">
        <v>1038</v>
      </c>
      <c r="B16" s="16" t="s">
        <v>1045</v>
      </c>
      <c r="C16" s="12" t="s">
        <v>800</v>
      </c>
      <c r="D16" s="16" t="s">
        <v>1040</v>
      </c>
      <c r="E16" s="16" t="s">
        <v>1046</v>
      </c>
      <c r="F16" s="17" t="n">
        <v>1883712218.08706</v>
      </c>
      <c r="G16" s="28" t="n">
        <v>0.110379212274612</v>
      </c>
      <c r="H16" s="16" t="s">
        <v>1009</v>
      </c>
      <c r="I16" s="28" t="n">
        <v>0.023</v>
      </c>
      <c r="J16" s="28" t="n">
        <v>0.148277114550755</v>
      </c>
      <c r="K16" s="16" t="n">
        <v>4</v>
      </c>
      <c r="L16" s="16" t="s">
        <v>1047</v>
      </c>
      <c r="M16" s="17" t="n">
        <v>0</v>
      </c>
      <c r="N16" s="17" t="n">
        <v>1883712218.08706</v>
      </c>
      <c r="O16" s="16" t="n">
        <v>22</v>
      </c>
      <c r="P16" s="5" t="n">
        <v>48235</v>
      </c>
      <c r="Q16" s="28" t="n">
        <v>0.0163667111024648</v>
      </c>
      <c r="R16" s="29" t="n">
        <f aca="false">IF(LEFT(H16,11)="IBR 6 MESES",Detalle_62!$B$7,IF(LEFT(H16,11)="IBR 3 MESES",Detalle_62!$B$6,IF(H16="DTF",Detalle_62!$B$8,Detalle_62!$B$5)))</f>
        <v>0.11768</v>
      </c>
      <c r="S16" s="30" t="n">
        <f aca="false">(1+(R16+I16)/K16)^K16-1</f>
        <v>0.148277114550755</v>
      </c>
      <c r="T16" s="31" t="n">
        <f aca="false">(J16-S16)*10000</f>
        <v>0</v>
      </c>
      <c r="U16" s="11" t="n">
        <f aca="false">M16+N16-F16</f>
        <v>0</v>
      </c>
      <c r="V16" s="22" t="str">
        <f aca="false">IF(ABS(U16)&gt;Resumen!$C$6,"ERROR",IF(OR(M16&lt;0,N16&lt;0),"ERROR","OK"))</f>
        <v>OK</v>
      </c>
      <c r="W16" s="11" t="n">
        <f aca="false">MIN(MAX(M16,0),F16)</f>
        <v>0</v>
      </c>
      <c r="X16" s="11" t="n">
        <f aca="false">F16-W16</f>
        <v>1883712218.08706</v>
      </c>
      <c r="Y16" s="32" t="n">
        <f aca="false">F16/SUMIFS($F$14:$F$35,$A$14:$A$35,A16)</f>
        <v>0.110379212274612</v>
      </c>
    </row>
    <row r="17" customFormat="false" ht="15" hidden="false" customHeight="false" outlineLevel="0" collapsed="false">
      <c r="A17" s="16" t="s">
        <v>1038</v>
      </c>
      <c r="B17" s="16" t="n">
        <v>457300569032</v>
      </c>
      <c r="C17" s="12" t="s">
        <v>707</v>
      </c>
      <c r="D17" s="16" t="s">
        <v>67</v>
      </c>
      <c r="E17" s="16" t="s">
        <v>1048</v>
      </c>
      <c r="F17" s="17" t="n">
        <v>3000000000</v>
      </c>
      <c r="G17" s="28" t="n">
        <v>0.175789928867219</v>
      </c>
      <c r="H17" s="16" t="s">
        <v>1010</v>
      </c>
      <c r="I17" s="28" t="n">
        <v>0.034</v>
      </c>
      <c r="J17" s="28" t="n">
        <v>0.160198265625</v>
      </c>
      <c r="K17" s="16" t="n">
        <v>2</v>
      </c>
      <c r="L17" s="16" t="s">
        <v>1049</v>
      </c>
      <c r="M17" s="17" t="n">
        <v>0</v>
      </c>
      <c r="N17" s="17" t="n">
        <v>3000000000</v>
      </c>
      <c r="O17" s="16" t="n">
        <v>30</v>
      </c>
      <c r="P17" s="5" t="n">
        <v>51710</v>
      </c>
      <c r="Q17" s="28" t="n">
        <v>0.0281612417188707</v>
      </c>
      <c r="R17" s="29" t="n">
        <f aca="false">IF(LEFT(H17,11)="IBR 6 MESES",Detalle_62!$B$7,IF(LEFT(H17,11)="IBR 3 MESES",Detalle_62!$B$6,IF(H17="DTF",Detalle_62!$B$8,Detalle_62!$B$5)))</f>
        <v>0.12025</v>
      </c>
      <c r="S17" s="30" t="n">
        <f aca="false">(1+(R17+I17)/K17)^K17-1</f>
        <v>0.160198265625</v>
      </c>
      <c r="T17" s="31" t="n">
        <f aca="false">(J17-S17)*10000</f>
        <v>0</v>
      </c>
      <c r="U17" s="11" t="n">
        <f aca="false">M17+N17-F17</f>
        <v>0</v>
      </c>
      <c r="V17" s="22" t="str">
        <f aca="false">IF(ABS(U17)&gt;Resumen!$C$6,"ERROR",IF(OR(M17&lt;0,N17&lt;0),"ERROR","OK"))</f>
        <v>OK</v>
      </c>
      <c r="W17" s="11" t="n">
        <f aca="false">MIN(MAX(M17,0),F17)</f>
        <v>0</v>
      </c>
      <c r="X17" s="11" t="n">
        <f aca="false">F17-W17</f>
        <v>3000000000</v>
      </c>
      <c r="Y17" s="32" t="n">
        <f aca="false">F17/SUMIFS($F$14:$F$35,$A$14:$A$35,A17)</f>
        <v>0.175789928867219</v>
      </c>
    </row>
    <row r="18" customFormat="false" ht="15" hidden="false" customHeight="false" outlineLevel="0" collapsed="false">
      <c r="A18" s="16" t="s">
        <v>1038</v>
      </c>
      <c r="B18" s="16" t="s">
        <v>1050</v>
      </c>
      <c r="C18" s="12" t="s">
        <v>702</v>
      </c>
      <c r="D18" s="16" t="s">
        <v>67</v>
      </c>
      <c r="E18" s="16" t="s">
        <v>1048</v>
      </c>
      <c r="F18" s="17" t="n">
        <v>7500000000</v>
      </c>
      <c r="G18" s="28" t="n">
        <v>0.439474822168048</v>
      </c>
      <c r="H18" s="16" t="s">
        <v>1010</v>
      </c>
      <c r="I18" s="28" t="n">
        <v>0.03</v>
      </c>
      <c r="J18" s="28" t="n">
        <v>0.155893765625</v>
      </c>
      <c r="K18" s="16" t="n">
        <v>2</v>
      </c>
      <c r="L18" s="16" t="s">
        <v>1049</v>
      </c>
      <c r="M18" s="17" t="n">
        <v>0</v>
      </c>
      <c r="N18" s="17" t="n">
        <v>7500000000</v>
      </c>
      <c r="O18" s="16" t="n">
        <v>36</v>
      </c>
      <c r="P18" s="5" t="n">
        <v>52677</v>
      </c>
      <c r="Q18" s="28" t="n">
        <v>0.0685113849251541</v>
      </c>
      <c r="R18" s="29" t="n">
        <f aca="false">IF(LEFT(H18,11)="IBR 6 MESES",Detalle_62!$B$7,IF(LEFT(H18,11)="IBR 3 MESES",Detalle_62!$B$6,IF(H18="DTF",Detalle_62!$B$8,Detalle_62!$B$5)))</f>
        <v>0.12025</v>
      </c>
      <c r="S18" s="30" t="n">
        <f aca="false">(1+(R18+I18)/K18)^K18-1</f>
        <v>0.155893765625</v>
      </c>
      <c r="T18" s="31" t="n">
        <f aca="false">(J18-S18)*10000</f>
        <v>0</v>
      </c>
      <c r="U18" s="11" t="n">
        <f aca="false">M18+N18-F18</f>
        <v>0</v>
      </c>
      <c r="V18" s="22" t="str">
        <f aca="false">IF(ABS(U18)&gt;Resumen!$C$6,"ERROR",IF(OR(M18&lt;0,N18&lt;0),"ERROR","OK"))</f>
        <v>OK</v>
      </c>
      <c r="W18" s="11" t="n">
        <f aca="false">MIN(MAX(M18,0),F18)</f>
        <v>0</v>
      </c>
      <c r="X18" s="11" t="n">
        <f aca="false">F18-W18</f>
        <v>7500000000</v>
      </c>
      <c r="Y18" s="32" t="n">
        <f aca="false">F18/SUMIFS($F$14:$F$35,$A$14:$A$35,A18)</f>
        <v>0.439474822168048</v>
      </c>
    </row>
    <row r="19" customFormat="false" ht="15" hidden="false" customHeight="false" outlineLevel="0" collapsed="false">
      <c r="A19" s="16" t="s">
        <v>1038</v>
      </c>
      <c r="B19" s="16" t="s">
        <v>1051</v>
      </c>
      <c r="C19" s="12" t="s">
        <v>704</v>
      </c>
      <c r="D19" s="16" t="s">
        <v>67</v>
      </c>
      <c r="E19" s="16" t="s">
        <v>1048</v>
      </c>
      <c r="F19" s="17" t="n">
        <v>3960000000</v>
      </c>
      <c r="G19" s="28" t="n">
        <v>0.232042706104729</v>
      </c>
      <c r="H19" s="16" t="s">
        <v>1010</v>
      </c>
      <c r="I19" s="28" t="n">
        <v>0.034</v>
      </c>
      <c r="J19" s="28" t="n">
        <v>0.160198265625</v>
      </c>
      <c r="K19" s="16" t="n">
        <v>2</v>
      </c>
      <c r="L19" s="16" t="s">
        <v>1049</v>
      </c>
      <c r="M19" s="17" t="n">
        <v>0</v>
      </c>
      <c r="N19" s="17" t="n">
        <v>3960000000</v>
      </c>
      <c r="O19" s="16" t="n">
        <v>30</v>
      </c>
      <c r="P19" s="5" t="n">
        <v>51710</v>
      </c>
      <c r="Q19" s="28" t="n">
        <v>0.0371728390689093</v>
      </c>
      <c r="R19" s="29" t="n">
        <f aca="false">IF(LEFT(H19,11)="IBR 6 MESES",Detalle_62!$B$7,IF(LEFT(H19,11)="IBR 3 MESES",Detalle_62!$B$6,IF(H19="DTF",Detalle_62!$B$8,Detalle_62!$B$5)))</f>
        <v>0.12025</v>
      </c>
      <c r="S19" s="30" t="n">
        <f aca="false">(1+(R19+I19)/K19)^K19-1</f>
        <v>0.160198265625</v>
      </c>
      <c r="T19" s="31" t="n">
        <f aca="false">(J19-S19)*10000</f>
        <v>0</v>
      </c>
      <c r="U19" s="11" t="n">
        <f aca="false">M19+N19-F19</f>
        <v>0</v>
      </c>
      <c r="V19" s="22" t="str">
        <f aca="false">IF(ABS(U19)&gt;Resumen!$C$6,"ERROR",IF(OR(M19&lt;0,N19&lt;0),"ERROR","OK"))</f>
        <v>OK</v>
      </c>
      <c r="W19" s="11" t="n">
        <f aca="false">MIN(MAX(M19,0),F19)</f>
        <v>0</v>
      </c>
      <c r="X19" s="11" t="n">
        <f aca="false">F19-W19</f>
        <v>3960000000</v>
      </c>
      <c r="Y19" s="32" t="n">
        <f aca="false">F19/SUMIFS($F$14:$F$35,$A$14:$A$35,A19)</f>
        <v>0.232042706104729</v>
      </c>
    </row>
    <row r="20" customFormat="false" ht="15" hidden="false" customHeight="false" outlineLevel="0" collapsed="false">
      <c r="A20" s="16" t="s">
        <v>96</v>
      </c>
      <c r="B20" s="16" t="s">
        <v>1052</v>
      </c>
      <c r="C20" s="12" t="s">
        <v>107</v>
      </c>
      <c r="D20" s="16" t="s">
        <v>67</v>
      </c>
      <c r="E20" s="16" t="s">
        <v>1048</v>
      </c>
      <c r="F20" s="17" t="n">
        <v>2937500000</v>
      </c>
      <c r="G20" s="28" t="n">
        <v>0.162938864193917</v>
      </c>
      <c r="H20" s="16" t="s">
        <v>1008</v>
      </c>
      <c r="I20" s="28" t="n">
        <v>0.047</v>
      </c>
      <c r="J20" s="28" t="n">
        <v>0.175224160801509</v>
      </c>
      <c r="K20" s="16" t="n">
        <v>12</v>
      </c>
      <c r="L20" s="16" t="s">
        <v>1042</v>
      </c>
      <c r="M20" s="17" t="n">
        <v>750000000</v>
      </c>
      <c r="N20" s="17" t="n">
        <v>2187500000</v>
      </c>
      <c r="O20" s="16" t="n">
        <v>47</v>
      </c>
      <c r="P20" s="5" t="n">
        <v>47651</v>
      </c>
      <c r="Q20" s="28" t="n">
        <v>0.0285508257403301</v>
      </c>
      <c r="R20" s="29" t="n">
        <f aca="false">IF(LEFT(H20,11)="IBR 6 MESES",Detalle_62!$B$7,IF(LEFT(H20,11)="IBR 3 MESES",Detalle_62!$B$6,IF(H20="DTF",Detalle_62!$B$8,Detalle_62!$B$5)))</f>
        <v>0.11555</v>
      </c>
      <c r="S20" s="30" t="n">
        <f aca="false">(1+(R20+I20)/K20)^K20-1</f>
        <v>0.175224160801509</v>
      </c>
      <c r="T20" s="31" t="n">
        <f aca="false">(J20-S20)*10000</f>
        <v>0</v>
      </c>
      <c r="U20" s="11" t="n">
        <f aca="false">M20+N20-F20</f>
        <v>0</v>
      </c>
      <c r="V20" s="22" t="str">
        <f aca="false">IF(ABS(U20)&gt;Resumen!$C$6,"ERROR",IF(OR(M20&lt;0,N20&lt;0),"ERROR","OK"))</f>
        <v>OK</v>
      </c>
      <c r="W20" s="11" t="n">
        <f aca="false">MIN(MAX(M20,0),F20)</f>
        <v>750000000</v>
      </c>
      <c r="X20" s="11" t="n">
        <f aca="false">F20-W20</f>
        <v>2187500000</v>
      </c>
      <c r="Y20" s="32" t="n">
        <f aca="false">F20/SUMIFS($F$14:$F$35,$A$14:$A$35,A20)</f>
        <v>0.162938864193917</v>
      </c>
    </row>
    <row r="21" customFormat="false" ht="15" hidden="false" customHeight="false" outlineLevel="0" collapsed="false">
      <c r="A21" s="16" t="s">
        <v>96</v>
      </c>
      <c r="B21" s="16" t="s">
        <v>1053</v>
      </c>
      <c r="C21" s="12" t="s">
        <v>116</v>
      </c>
      <c r="D21" s="16" t="s">
        <v>67</v>
      </c>
      <c r="E21" s="16" t="s">
        <v>1048</v>
      </c>
      <c r="F21" s="17" t="n">
        <v>1457333332</v>
      </c>
      <c r="G21" s="28" t="n">
        <v>0.0808361660827291</v>
      </c>
      <c r="H21" s="16" t="s">
        <v>1009</v>
      </c>
      <c r="I21" s="28" t="n">
        <v>0.032</v>
      </c>
      <c r="J21" s="28" t="n">
        <v>0.158293089495938</v>
      </c>
      <c r="K21" s="16" t="n">
        <v>4</v>
      </c>
      <c r="L21" s="16" t="s">
        <v>1047</v>
      </c>
      <c r="M21" s="17" t="n">
        <v>750000000</v>
      </c>
      <c r="N21" s="17" t="n">
        <v>707333332</v>
      </c>
      <c r="O21" s="16" t="n">
        <v>8</v>
      </c>
      <c r="P21" s="5" t="n">
        <v>46925</v>
      </c>
      <c r="Q21" s="28" t="n">
        <v>0.0127958064722419</v>
      </c>
      <c r="R21" s="29" t="n">
        <f aca="false">IF(LEFT(H21,11)="IBR 6 MESES",Detalle_62!$B$7,IF(LEFT(H21,11)="IBR 3 MESES",Detalle_62!$B$6,IF(H21="DTF",Detalle_62!$B$8,Detalle_62!$B$5)))</f>
        <v>0.11768</v>
      </c>
      <c r="S21" s="30" t="n">
        <f aca="false">(1+(R21+I21)/K21)^K21-1</f>
        <v>0.158293089495938</v>
      </c>
      <c r="T21" s="31" t="n">
        <f aca="false">(J21-S21)*10000</f>
        <v>0</v>
      </c>
      <c r="U21" s="11" t="n">
        <f aca="false">M21+N21-F21</f>
        <v>0</v>
      </c>
      <c r="V21" s="22" t="str">
        <f aca="false">IF(ABS(U21)&gt;Resumen!$C$6,"ERROR",IF(OR(M21&lt;0,N21&lt;0),"ERROR","OK"))</f>
        <v>OK</v>
      </c>
      <c r="W21" s="11" t="n">
        <f aca="false">MIN(MAX(M21,0),F21)</f>
        <v>750000000</v>
      </c>
      <c r="X21" s="11" t="n">
        <f aca="false">F21-W21</f>
        <v>707333332</v>
      </c>
      <c r="Y21" s="32" t="n">
        <f aca="false">F21/SUMIFS($F$14:$F$35,$A$14:$A$35,A21)</f>
        <v>0.0808361660827291</v>
      </c>
    </row>
    <row r="22" customFormat="false" ht="15" hidden="false" customHeight="false" outlineLevel="0" collapsed="false">
      <c r="A22" s="16" t="s">
        <v>96</v>
      </c>
      <c r="B22" s="16" t="s">
        <v>1054</v>
      </c>
      <c r="C22" s="12" t="s">
        <v>113</v>
      </c>
      <c r="D22" s="16" t="s">
        <v>67</v>
      </c>
      <c r="E22" s="16" t="s">
        <v>1048</v>
      </c>
      <c r="F22" s="17" t="n">
        <v>1125000000</v>
      </c>
      <c r="G22" s="28" t="n">
        <v>0.0624021182019257</v>
      </c>
      <c r="H22" s="16" t="s">
        <v>1009</v>
      </c>
      <c r="I22" s="28" t="n">
        <v>0.046</v>
      </c>
      <c r="J22" s="28" t="n">
        <v>0.174003555557499</v>
      </c>
      <c r="K22" s="16" t="n">
        <v>4</v>
      </c>
      <c r="L22" s="16" t="s">
        <v>1047</v>
      </c>
      <c r="M22" s="17" t="n">
        <v>500000000</v>
      </c>
      <c r="N22" s="17" t="n">
        <v>625000000</v>
      </c>
      <c r="O22" s="16" t="n">
        <v>9</v>
      </c>
      <c r="P22" s="5" t="n">
        <v>46990</v>
      </c>
      <c r="Q22" s="28" t="n">
        <v>0.0108581904414544</v>
      </c>
      <c r="R22" s="29" t="n">
        <f aca="false">IF(LEFT(H22,11)="IBR 6 MESES",Detalle_62!$B$7,IF(LEFT(H22,11)="IBR 3 MESES",Detalle_62!$B$6,IF(H22="DTF",Detalle_62!$B$8,Detalle_62!$B$5)))</f>
        <v>0.11768</v>
      </c>
      <c r="S22" s="30" t="n">
        <f aca="false">(1+(R22+I22)/K22)^K22-1</f>
        <v>0.174003555557499</v>
      </c>
      <c r="T22" s="31" t="n">
        <f aca="false">(J22-S22)*10000</f>
        <v>0</v>
      </c>
      <c r="U22" s="11" t="n">
        <f aca="false">M22+N22-F22</f>
        <v>0</v>
      </c>
      <c r="V22" s="22" t="str">
        <f aca="false">IF(ABS(U22)&gt;Resumen!$C$6,"ERROR",IF(OR(M22&lt;0,N22&lt;0),"ERROR","OK"))</f>
        <v>OK</v>
      </c>
      <c r="W22" s="11" t="n">
        <f aca="false">MIN(MAX(M22,0),F22)</f>
        <v>500000000</v>
      </c>
      <c r="X22" s="11" t="n">
        <f aca="false">F22-W22</f>
        <v>625000000</v>
      </c>
      <c r="Y22" s="32" t="n">
        <f aca="false">F22/SUMIFS($F$14:$F$35,$A$14:$A$35,A22)</f>
        <v>0.0624021182019257</v>
      </c>
    </row>
    <row r="23" customFormat="false" ht="15" hidden="false" customHeight="false" outlineLevel="0" collapsed="false">
      <c r="A23" s="16" t="s">
        <v>96</v>
      </c>
      <c r="B23" s="16" t="n">
        <v>1159383796</v>
      </c>
      <c r="C23" s="12" t="s">
        <v>97</v>
      </c>
      <c r="D23" s="16" t="s">
        <v>67</v>
      </c>
      <c r="E23" s="16" t="s">
        <v>1048</v>
      </c>
      <c r="F23" s="17" t="n">
        <v>10000000000</v>
      </c>
      <c r="G23" s="28" t="n">
        <v>0.554685495128229</v>
      </c>
      <c r="H23" s="16" t="s">
        <v>1009</v>
      </c>
      <c r="I23" s="28" t="n">
        <v>0.008</v>
      </c>
      <c r="J23" s="28" t="n">
        <v>0.1296288656</v>
      </c>
      <c r="K23" s="16" t="n">
        <v>2</v>
      </c>
      <c r="L23" s="16" t="s">
        <v>1049</v>
      </c>
      <c r="M23" s="17" t="n">
        <v>10000000000</v>
      </c>
      <c r="N23" s="17" t="n">
        <v>0</v>
      </c>
      <c r="O23" s="16" t="n">
        <v>1</v>
      </c>
      <c r="P23" s="5" t="n">
        <v>46409</v>
      </c>
      <c r="Q23" s="28" t="n">
        <v>0.0719032514982466</v>
      </c>
      <c r="R23" s="29" t="n">
        <f aca="false">IF(LEFT(H23,11)="IBR 6 MESES",Detalle_62!$B$7,IF(LEFT(H23,11)="IBR 3 MESES",Detalle_62!$B$6,IF(H23="DTF",Detalle_62!$B$8,Detalle_62!$B$5)))</f>
        <v>0.11768</v>
      </c>
      <c r="S23" s="30" t="n">
        <f aca="false">(1+(R23+I23)/K23)^K23-1</f>
        <v>0.1296288656</v>
      </c>
      <c r="T23" s="31" t="n">
        <f aca="false">(J23-S23)*10000</f>
        <v>0</v>
      </c>
      <c r="U23" s="11" t="n">
        <f aca="false">M23+N23-F23</f>
        <v>0</v>
      </c>
      <c r="V23" s="22" t="str">
        <f aca="false">IF(ABS(U23)&gt;Resumen!$C$6,"ERROR",IF(OR(M23&lt;0,N23&lt;0),"ERROR","OK"))</f>
        <v>OK</v>
      </c>
      <c r="W23" s="11" t="n">
        <f aca="false">MIN(MAX(M23,0),F23)</f>
        <v>10000000000</v>
      </c>
      <c r="X23" s="11" t="n">
        <f aca="false">F23-W23</f>
        <v>0</v>
      </c>
      <c r="Y23" s="32" t="n">
        <f aca="false">F23/SUMIFS($F$14:$F$35,$A$14:$A$35,A23)</f>
        <v>0.554685495128229</v>
      </c>
    </row>
    <row r="24" customFormat="false" ht="15" hidden="false" customHeight="false" outlineLevel="0" collapsed="false">
      <c r="A24" s="16" t="s">
        <v>96</v>
      </c>
      <c r="B24" s="16" t="s">
        <v>1055</v>
      </c>
      <c r="C24" s="12" t="s">
        <v>616</v>
      </c>
      <c r="D24" s="16" t="s">
        <v>1040</v>
      </c>
      <c r="E24" s="16" t="s">
        <v>1056</v>
      </c>
      <c r="F24" s="17" t="n">
        <v>381845387.419314</v>
      </c>
      <c r="G24" s="28" t="n">
        <v>0.0211804097783112</v>
      </c>
      <c r="H24" s="16" t="s">
        <v>1011</v>
      </c>
      <c r="I24" s="28" t="n">
        <v>0.0357</v>
      </c>
      <c r="J24" s="28" t="n">
        <v>0.145417886389703</v>
      </c>
      <c r="K24" s="16" t="n">
        <v>4</v>
      </c>
      <c r="L24" s="16" t="s">
        <v>1047</v>
      </c>
      <c r="M24" s="17" t="n">
        <v>175631569.283009</v>
      </c>
      <c r="N24" s="17" t="n">
        <v>206213818.136305</v>
      </c>
      <c r="O24" s="16" t="n">
        <v>14</v>
      </c>
      <c r="P24" s="5" t="n">
        <v>47503</v>
      </c>
      <c r="Q24" s="28" t="n">
        <v>0.00308001042282982</v>
      </c>
      <c r="R24" s="29" t="n">
        <f aca="false">IF(LEFT(H24,11)="IBR 6 MESES",Detalle_62!$B$7,IF(LEFT(H24,11)="IBR 3 MESES",Detalle_62!$B$6,IF(H24="DTF",Detalle_62!$B$8,Detalle_62!$B$5)))</f>
        <v>0.1024</v>
      </c>
      <c r="S24" s="30" t="n">
        <f aca="false">(1+(R24+I24)/K24)^K24-1</f>
        <v>0.145417886389703</v>
      </c>
      <c r="T24" s="31" t="n">
        <f aca="false">(J24-S24)*10000</f>
        <v>0</v>
      </c>
      <c r="U24" s="11" t="n">
        <f aca="false">M24+N24-F24</f>
        <v>0</v>
      </c>
      <c r="V24" s="22" t="str">
        <f aca="false">IF(ABS(U24)&gt;Resumen!$C$6,"ERROR",IF(OR(M24&lt;0,N24&lt;0),"ERROR","OK"))</f>
        <v>OK</v>
      </c>
      <c r="W24" s="11" t="n">
        <f aca="false">MIN(MAX(M24,0),F24)</f>
        <v>175631569.283009</v>
      </c>
      <c r="X24" s="11" t="n">
        <f aca="false">F24-W24</f>
        <v>206213818.136305</v>
      </c>
      <c r="Y24" s="32" t="n">
        <f aca="false">F24/SUMIFS($F$14:$F$35,$A$14:$A$35,A24)</f>
        <v>0.0211804097783112</v>
      </c>
    </row>
    <row r="25" customFormat="false" ht="15" hidden="false" customHeight="false" outlineLevel="0" collapsed="false">
      <c r="A25" s="16" t="s">
        <v>96</v>
      </c>
      <c r="B25" s="16" t="s">
        <v>1057</v>
      </c>
      <c r="C25" s="12" t="s">
        <v>613</v>
      </c>
      <c r="D25" s="16" t="s">
        <v>1040</v>
      </c>
      <c r="E25" s="16" t="s">
        <v>1058</v>
      </c>
      <c r="F25" s="17" t="n">
        <v>381845387.419314</v>
      </c>
      <c r="G25" s="28" t="n">
        <v>0.0211804097783112</v>
      </c>
      <c r="H25" s="16" t="s">
        <v>1011</v>
      </c>
      <c r="I25" s="28" t="n">
        <v>0.0357</v>
      </c>
      <c r="J25" s="28" t="n">
        <v>0.145417886389703</v>
      </c>
      <c r="K25" s="16" t="n">
        <v>4</v>
      </c>
      <c r="L25" s="16" t="s">
        <v>1047</v>
      </c>
      <c r="M25" s="17" t="n">
        <v>175631569.283009</v>
      </c>
      <c r="N25" s="17" t="n">
        <v>459154383.928047</v>
      </c>
      <c r="O25" s="16" t="n">
        <v>14</v>
      </c>
      <c r="P25" s="5" t="n">
        <v>47503</v>
      </c>
      <c r="Q25" s="28" t="n">
        <v>0.00308001042282982</v>
      </c>
      <c r="R25" s="29" t="n">
        <f aca="false">IF(LEFT(H25,11)="IBR 6 MESES",Detalle_62!$B$7,IF(LEFT(H25,11)="IBR 3 MESES",Detalle_62!$B$6,IF(H25="DTF",Detalle_62!$B$8,Detalle_62!$B$5)))</f>
        <v>0.1024</v>
      </c>
      <c r="S25" s="30" t="n">
        <f aca="false">(1+(R25+I25)/K25)^K25-1</f>
        <v>0.145417886389703</v>
      </c>
      <c r="T25" s="31" t="n">
        <f aca="false">(J25-S25)*10000</f>
        <v>0</v>
      </c>
      <c r="U25" s="11" t="n">
        <f aca="false">M25+N25-F25</f>
        <v>252940565.791742</v>
      </c>
      <c r="V25" s="22" t="str">
        <f aca="false">IF(ABS(U25)&gt;Resumen!$C$6,"ERROR",IF(OR(M25&lt;0,N25&lt;0),"ERROR","OK"))</f>
        <v>ERROR</v>
      </c>
      <c r="W25" s="11" t="n">
        <f aca="false">MIN(MAX(M25,0),F25)</f>
        <v>175631569.283009</v>
      </c>
      <c r="X25" s="11" t="n">
        <f aca="false">F25-W25</f>
        <v>206213818.136305</v>
      </c>
      <c r="Y25" s="32" t="n">
        <f aca="false">F25/SUMIFS($F$14:$F$35,$A$14:$A$35,A25)</f>
        <v>0.0211804097783112</v>
      </c>
    </row>
    <row r="26" customFormat="false" ht="15" hidden="false" customHeight="false" outlineLevel="0" collapsed="false">
      <c r="A26" s="16" t="s">
        <v>96</v>
      </c>
      <c r="B26" s="16" t="s">
        <v>1059</v>
      </c>
      <c r="C26" s="12" t="s">
        <v>601</v>
      </c>
      <c r="D26" s="16" t="s">
        <v>1040</v>
      </c>
      <c r="E26" s="16" t="s">
        <v>1060</v>
      </c>
      <c r="F26" s="17" t="n">
        <v>196720178.445431</v>
      </c>
      <c r="G26" s="28" t="n">
        <v>0.0109117829582718</v>
      </c>
      <c r="H26" s="16" t="s">
        <v>1011</v>
      </c>
      <c r="I26" s="28" t="n">
        <v>0.0357</v>
      </c>
      <c r="J26" s="28" t="n">
        <v>0.145417886389703</v>
      </c>
      <c r="K26" s="16" t="n">
        <v>4</v>
      </c>
      <c r="L26" s="16" t="s">
        <v>1047</v>
      </c>
      <c r="M26" s="17" t="n">
        <v>175631569.283009</v>
      </c>
      <c r="N26" s="17" t="n">
        <v>21088609.1624229</v>
      </c>
      <c r="O26" s="16" t="n">
        <v>8</v>
      </c>
      <c r="P26" s="5" t="n">
        <v>46870</v>
      </c>
      <c r="Q26" s="28" t="n">
        <v>0.00158676841453506</v>
      </c>
      <c r="R26" s="29" t="n">
        <f aca="false">IF(LEFT(H26,11)="IBR 6 MESES",Detalle_62!$B$7,IF(LEFT(H26,11)="IBR 3 MESES",Detalle_62!$B$6,IF(H26="DTF",Detalle_62!$B$8,Detalle_62!$B$5)))</f>
        <v>0.1024</v>
      </c>
      <c r="S26" s="30" t="n">
        <f aca="false">(1+(R26+I26)/K26)^K26-1</f>
        <v>0.145417886389703</v>
      </c>
      <c r="T26" s="31" t="n">
        <f aca="false">(J26-S26)*10000</f>
        <v>0</v>
      </c>
      <c r="U26" s="11" t="n">
        <f aca="false">M26+N26-F26</f>
        <v>0</v>
      </c>
      <c r="V26" s="22" t="str">
        <f aca="false">IF(ABS(U26)&gt;Resumen!$C$6,"ERROR",IF(OR(M26&lt;0,N26&lt;0),"ERROR","OK"))</f>
        <v>OK</v>
      </c>
      <c r="W26" s="11" t="n">
        <f aca="false">MIN(MAX(M26,0),F26)</f>
        <v>175631569.283009</v>
      </c>
      <c r="X26" s="11" t="n">
        <f aca="false">F26-W26</f>
        <v>21088609.1624228</v>
      </c>
      <c r="Y26" s="32" t="n">
        <f aca="false">F26/SUMIFS($F$14:$F$35,$A$14:$A$35,A26)</f>
        <v>0.0109117829582718</v>
      </c>
    </row>
    <row r="27" customFormat="false" ht="15" hidden="false" customHeight="false" outlineLevel="0" collapsed="false">
      <c r="A27" s="16" t="s">
        <v>96</v>
      </c>
      <c r="B27" s="16" t="s">
        <v>1061</v>
      </c>
      <c r="C27" s="12" t="s">
        <v>604</v>
      </c>
      <c r="D27" s="16" t="s">
        <v>1040</v>
      </c>
      <c r="E27" s="16" t="s">
        <v>1062</v>
      </c>
      <c r="F27" s="17" t="n">
        <v>196720178.445431</v>
      </c>
      <c r="G27" s="28" t="n">
        <v>0.0109117829582718</v>
      </c>
      <c r="H27" s="16" t="s">
        <v>1011</v>
      </c>
      <c r="I27" s="28" t="n">
        <v>0.0357</v>
      </c>
      <c r="J27" s="28" t="n">
        <v>0.145417886389703</v>
      </c>
      <c r="K27" s="16" t="n">
        <v>4</v>
      </c>
      <c r="L27" s="16" t="s">
        <v>1047</v>
      </c>
      <c r="M27" s="17" t="n">
        <v>175631569.283009</v>
      </c>
      <c r="N27" s="17" t="n">
        <v>21088609.1624229</v>
      </c>
      <c r="O27" s="16" t="n">
        <v>8</v>
      </c>
      <c r="P27" s="5" t="n">
        <v>46870</v>
      </c>
      <c r="Q27" s="28" t="n">
        <v>0.00158676841453506</v>
      </c>
      <c r="R27" s="29" t="n">
        <f aca="false">IF(LEFT(H27,11)="IBR 6 MESES",Detalle_62!$B$7,IF(LEFT(H27,11)="IBR 3 MESES",Detalle_62!$B$6,IF(H27="DTF",Detalle_62!$B$8,Detalle_62!$B$5)))</f>
        <v>0.1024</v>
      </c>
      <c r="S27" s="30" t="n">
        <f aca="false">(1+(R27+I27)/K27)^K27-1</f>
        <v>0.145417886389703</v>
      </c>
      <c r="T27" s="31" t="n">
        <f aca="false">(J27-S27)*10000</f>
        <v>0</v>
      </c>
      <c r="U27" s="11" t="n">
        <f aca="false">M27+N27-F27</f>
        <v>0</v>
      </c>
      <c r="V27" s="22" t="str">
        <f aca="false">IF(ABS(U27)&gt;Resumen!$C$6,"ERROR",IF(OR(M27&lt;0,N27&lt;0),"ERROR","OK"))</f>
        <v>OK</v>
      </c>
      <c r="W27" s="11" t="n">
        <f aca="false">MIN(MAX(M27,0),F27)</f>
        <v>175631569.283009</v>
      </c>
      <c r="X27" s="11" t="n">
        <f aca="false">F27-W27</f>
        <v>21088609.1624228</v>
      </c>
      <c r="Y27" s="32" t="n">
        <f aca="false">F27/SUMIFS($F$14:$F$35,$A$14:$A$35,A27)</f>
        <v>0.0109117829582718</v>
      </c>
    </row>
    <row r="28" customFormat="false" ht="15" hidden="false" customHeight="false" outlineLevel="0" collapsed="false">
      <c r="A28" s="16" t="s">
        <v>96</v>
      </c>
      <c r="B28" s="16" t="s">
        <v>1063</v>
      </c>
      <c r="C28" s="12" t="s">
        <v>607</v>
      </c>
      <c r="D28" s="16" t="s">
        <v>1040</v>
      </c>
      <c r="E28" s="16" t="s">
        <v>1064</v>
      </c>
      <c r="F28" s="17" t="n">
        <v>382649239.487494</v>
      </c>
      <c r="G28" s="28" t="n">
        <v>0.0212249982865561</v>
      </c>
      <c r="H28" s="16" t="s">
        <v>1011</v>
      </c>
      <c r="I28" s="28" t="n">
        <v>0.0357</v>
      </c>
      <c r="J28" s="28" t="n">
        <v>0.145417886389703</v>
      </c>
      <c r="K28" s="16" t="n">
        <v>4</v>
      </c>
      <c r="L28" s="16" t="s">
        <v>1047</v>
      </c>
      <c r="M28" s="17" t="n">
        <v>175631569.283009</v>
      </c>
      <c r="N28" s="17" t="n">
        <v>207017670.204485</v>
      </c>
      <c r="O28" s="16" t="n">
        <v>14</v>
      </c>
      <c r="P28" s="5" t="n">
        <v>47503</v>
      </c>
      <c r="Q28" s="28" t="n">
        <v>0.00308649438945605</v>
      </c>
      <c r="R28" s="29" t="n">
        <f aca="false">IF(LEFT(H28,11)="IBR 6 MESES",Detalle_62!$B$7,IF(LEFT(H28,11)="IBR 3 MESES",Detalle_62!$B$6,IF(H28="DTF",Detalle_62!$B$8,Detalle_62!$B$5)))</f>
        <v>0.1024</v>
      </c>
      <c r="S28" s="30" t="n">
        <f aca="false">(1+(R28+I28)/K28)^K28-1</f>
        <v>0.145417886389703</v>
      </c>
      <c r="T28" s="31" t="n">
        <f aca="false">(J28-S28)*10000</f>
        <v>0</v>
      </c>
      <c r="U28" s="11" t="n">
        <f aca="false">M28+N28-F28</f>
        <v>0</v>
      </c>
      <c r="V28" s="22" t="str">
        <f aca="false">IF(ABS(U28)&gt;Resumen!$C$6,"ERROR",IF(OR(M28&lt;0,N28&lt;0),"ERROR","OK"))</f>
        <v>OK</v>
      </c>
      <c r="W28" s="11" t="n">
        <f aca="false">MIN(MAX(M28,0),F28)</f>
        <v>175631569.283009</v>
      </c>
      <c r="X28" s="11" t="n">
        <f aca="false">F28-W28</f>
        <v>207017670.204485</v>
      </c>
      <c r="Y28" s="32" t="n">
        <f aca="false">F28/SUMIFS($F$14:$F$35,$A$14:$A$35,A28)</f>
        <v>0.0212249982865561</v>
      </c>
    </row>
    <row r="29" customFormat="false" ht="15" hidden="false" customHeight="false" outlineLevel="0" collapsed="false">
      <c r="A29" s="16" t="s">
        <v>96</v>
      </c>
      <c r="B29" s="16" t="s">
        <v>1065</v>
      </c>
      <c r="C29" s="12" t="s">
        <v>610</v>
      </c>
      <c r="D29" s="16" t="s">
        <v>1040</v>
      </c>
      <c r="E29" s="16" t="s">
        <v>1066</v>
      </c>
      <c r="F29" s="17" t="n">
        <v>968620472.418459</v>
      </c>
      <c r="G29" s="28" t="n">
        <v>0.0537279726334772</v>
      </c>
      <c r="H29" s="16" t="s">
        <v>1009</v>
      </c>
      <c r="I29" s="28" t="n">
        <v>0.0378</v>
      </c>
      <c r="J29" s="28" t="n">
        <v>0.164782455289419</v>
      </c>
      <c r="K29" s="16" t="n">
        <v>4</v>
      </c>
      <c r="L29" s="16" t="s">
        <v>1047</v>
      </c>
      <c r="M29" s="17" t="n">
        <v>722980190</v>
      </c>
      <c r="N29" s="17" t="n">
        <v>245640282.418459</v>
      </c>
      <c r="O29" s="16" t="n">
        <v>12</v>
      </c>
      <c r="P29" s="5" t="n">
        <v>47321</v>
      </c>
      <c r="Q29" s="28" t="n">
        <v>0.00885342724826708</v>
      </c>
      <c r="R29" s="29" t="n">
        <f aca="false">IF(LEFT(H29,11)="IBR 6 MESES",Detalle_62!$B$7,IF(LEFT(H29,11)="IBR 3 MESES",Detalle_62!$B$6,IF(H29="DTF",Detalle_62!$B$8,Detalle_62!$B$5)))</f>
        <v>0.11768</v>
      </c>
      <c r="S29" s="30" t="n">
        <f aca="false">(1+(R29+I29)/K29)^K29-1</f>
        <v>0.164782455289419</v>
      </c>
      <c r="T29" s="31" t="n">
        <f aca="false">(J29-S29)*10000</f>
        <v>0</v>
      </c>
      <c r="U29" s="11" t="n">
        <f aca="false">M29+N29-F29</f>
        <v>0</v>
      </c>
      <c r="V29" s="22" t="str">
        <f aca="false">IF(ABS(U29)&gt;Resumen!$C$6,"ERROR",IF(OR(M29&lt;0,N29&lt;0),"ERROR","OK"))</f>
        <v>OK</v>
      </c>
      <c r="W29" s="11" t="n">
        <f aca="false">MIN(MAX(M29,0),F29)</f>
        <v>722980190</v>
      </c>
      <c r="X29" s="11" t="n">
        <f aca="false">F29-W29</f>
        <v>245640282.418459</v>
      </c>
      <c r="Y29" s="32" t="n">
        <f aca="false">F29/SUMIFS($F$14:$F$35,$A$14:$A$35,A29)</f>
        <v>0.0537279726334771</v>
      </c>
    </row>
    <row r="30" customFormat="false" ht="15" hidden="false" customHeight="false" outlineLevel="0" collapsed="false">
      <c r="A30" s="16" t="s">
        <v>1067</v>
      </c>
      <c r="B30" s="16" t="s">
        <v>1068</v>
      </c>
      <c r="C30" s="12" t="s">
        <v>135</v>
      </c>
      <c r="D30" s="16" t="s">
        <v>67</v>
      </c>
      <c r="E30" s="16" t="s">
        <v>1048</v>
      </c>
      <c r="F30" s="17" t="n">
        <v>287500000</v>
      </c>
      <c r="G30" s="28" t="n">
        <v>1</v>
      </c>
      <c r="H30" s="16" t="s">
        <v>1009</v>
      </c>
      <c r="I30" s="28" t="n">
        <v>0.024</v>
      </c>
      <c r="J30" s="28" t="n">
        <v>0.149386780746296</v>
      </c>
      <c r="K30" s="16" t="n">
        <v>4</v>
      </c>
      <c r="L30" s="16" t="s">
        <v>1047</v>
      </c>
      <c r="M30" s="17" t="n">
        <v>575000000</v>
      </c>
      <c r="N30" s="17" t="n">
        <v>-287500000</v>
      </c>
      <c r="O30" s="16" t="n">
        <v>2</v>
      </c>
      <c r="P30" s="5" t="n">
        <v>46373</v>
      </c>
      <c r="Q30" s="28" t="n">
        <v>0.149386780746296</v>
      </c>
      <c r="R30" s="29" t="n">
        <f aca="false">IF(LEFT(H30,11)="IBR 6 MESES",Detalle_62!$B$7,IF(LEFT(H30,11)="IBR 3 MESES",Detalle_62!$B$6,IF(H30="DTF",Detalle_62!$B$8,Detalle_62!$B$5)))</f>
        <v>0.11768</v>
      </c>
      <c r="S30" s="30" t="n">
        <f aca="false">(1+(R30+I30)/K30)^K30-1</f>
        <v>0.149386780746295</v>
      </c>
      <c r="T30" s="31" t="n">
        <f aca="false">(J30-S30)*10000</f>
        <v>0</v>
      </c>
      <c r="U30" s="11" t="n">
        <f aca="false">M30+N30-F30</f>
        <v>0</v>
      </c>
      <c r="V30" s="22" t="str">
        <f aca="false">IF(ABS(U30)&gt;Resumen!$C$6,"ERROR",IF(OR(M30&lt;0,N30&lt;0),"ERROR","OK"))</f>
        <v>ERROR</v>
      </c>
      <c r="W30" s="11" t="n">
        <f aca="false">MIN(MAX(M30,0),F30)</f>
        <v>287500000</v>
      </c>
      <c r="X30" s="11" t="n">
        <f aca="false">F30-W30</f>
        <v>0</v>
      </c>
      <c r="Y30" s="32" t="n">
        <f aca="false">F30/SUMIFS($F$14:$F$35,$A$14:$A$35,A30)</f>
        <v>1</v>
      </c>
    </row>
    <row r="31" customFormat="false" ht="15" hidden="false" customHeight="false" outlineLevel="0" collapsed="false">
      <c r="A31" s="16" t="s">
        <v>1069</v>
      </c>
      <c r="B31" s="16" t="n">
        <v>252059</v>
      </c>
      <c r="C31" s="12" t="s">
        <v>86</v>
      </c>
      <c r="D31" s="16" t="s">
        <v>67</v>
      </c>
      <c r="E31" s="16" t="s">
        <v>1048</v>
      </c>
      <c r="F31" s="17" t="n">
        <v>4700000000</v>
      </c>
      <c r="G31" s="28" t="n">
        <v>1</v>
      </c>
      <c r="H31" s="16" t="s">
        <v>1070</v>
      </c>
      <c r="I31" s="28" t="n">
        <v>0.01</v>
      </c>
      <c r="J31" s="28" t="n">
        <v>0.135423288111736</v>
      </c>
      <c r="K31" s="16" t="n">
        <v>2</v>
      </c>
      <c r="L31" s="16" t="s">
        <v>1049</v>
      </c>
      <c r="M31" s="17" t="n">
        <v>4700000000</v>
      </c>
      <c r="N31" s="17" t="n">
        <v>0</v>
      </c>
      <c r="O31" s="16" t="n">
        <v>1</v>
      </c>
      <c r="P31" s="5" t="n">
        <v>46367</v>
      </c>
      <c r="Q31" s="28" t="n">
        <v>0.135423288111736</v>
      </c>
      <c r="R31" s="29" t="n">
        <f aca="false">IF(LEFT(H31,11)="IBR 6 MESES",Detalle_62!$B$7,IF(LEFT(H31,11)="IBR 3 MESES",Detalle_62!$B$6,IF(H31="DTF",Detalle_62!$B$8,Detalle_62!$B$5)))</f>
        <v>0.12025</v>
      </c>
      <c r="S31" s="30" t="n">
        <f aca="false">(1+(R31+I31)/K31)^K31-1</f>
        <v>0.134491265625</v>
      </c>
      <c r="T31" s="31" t="n">
        <f aca="false">(J31-S31)*10000</f>
        <v>9.32022486735573</v>
      </c>
      <c r="U31" s="11" t="n">
        <f aca="false">M31+N31-F31</f>
        <v>0</v>
      </c>
      <c r="V31" s="22" t="str">
        <f aca="false">IF(ABS(U31)&gt;Resumen!$C$6,"ERROR",IF(OR(M31&lt;0,N31&lt;0),"ERROR","OK"))</f>
        <v>OK</v>
      </c>
      <c r="W31" s="11" t="n">
        <f aca="false">MIN(MAX(M31,0),F31)</f>
        <v>4700000000</v>
      </c>
      <c r="X31" s="11" t="n">
        <f aca="false">F31-W31</f>
        <v>0</v>
      </c>
      <c r="Y31" s="32" t="n">
        <f aca="false">F31/SUMIFS($F$14:$F$35,$A$14:$A$35,A31)</f>
        <v>1</v>
      </c>
    </row>
    <row r="32" customFormat="false" ht="15" hidden="false" customHeight="false" outlineLevel="0" collapsed="false">
      <c r="A32" s="16" t="s">
        <v>138</v>
      </c>
      <c r="B32" s="16" t="n">
        <v>1260105867</v>
      </c>
      <c r="C32" s="12" t="s">
        <v>142</v>
      </c>
      <c r="D32" s="16" t="s">
        <v>67</v>
      </c>
      <c r="E32" s="16" t="s">
        <v>1071</v>
      </c>
      <c r="F32" s="17" t="n">
        <v>3333333333.33333</v>
      </c>
      <c r="G32" s="28" t="n">
        <v>0.653037273642509</v>
      </c>
      <c r="H32" s="16" t="s">
        <v>1009</v>
      </c>
      <c r="I32" s="28" t="n">
        <v>0.015</v>
      </c>
      <c r="J32" s="28" t="n">
        <v>0.141053391053319</v>
      </c>
      <c r="K32" s="16" t="n">
        <v>4</v>
      </c>
      <c r="L32" s="16" t="s">
        <v>1047</v>
      </c>
      <c r="M32" s="17" t="n">
        <v>1666666666.67</v>
      </c>
      <c r="N32" s="17" t="n">
        <v>1666666666.66333</v>
      </c>
      <c r="O32" s="16" t="n">
        <v>7</v>
      </c>
      <c r="P32" s="5" t="n">
        <v>46864</v>
      </c>
      <c r="Q32" s="28" t="n">
        <v>0.0921131219314904</v>
      </c>
      <c r="R32" s="29" t="n">
        <f aca="false">IF(LEFT(H32,11)="IBR 6 MESES",Detalle_62!$B$7,IF(LEFT(H32,11)="IBR 3 MESES",Detalle_62!$B$6,IF(H32="DTF",Detalle_62!$B$8,Detalle_62!$B$5)))</f>
        <v>0.11768</v>
      </c>
      <c r="S32" s="30" t="n">
        <f aca="false">(1+(R32+I32)/K32)^K32-1</f>
        <v>0.139428684971694</v>
      </c>
      <c r="T32" s="31" t="n">
        <f aca="false">(J32-S32)*10000</f>
        <v>16.2470608162571</v>
      </c>
      <c r="U32" s="11" t="n">
        <f aca="false">M32+N32-F32</f>
        <v>0</v>
      </c>
      <c r="V32" s="22" t="str">
        <f aca="false">IF(ABS(U32)&gt;Resumen!$C$6,"ERROR",IF(OR(M32&lt;0,N32&lt;0),"ERROR","OK"))</f>
        <v>OK</v>
      </c>
      <c r="W32" s="11" t="n">
        <f aca="false">MIN(MAX(M32,0),F32)</f>
        <v>1666666666.67</v>
      </c>
      <c r="X32" s="11" t="n">
        <f aca="false">F32-W32</f>
        <v>1666666666.66333</v>
      </c>
      <c r="Y32" s="32" t="n">
        <f aca="false">F32/SUMIFS($F$14:$F$35,$A$14:$A$35,A32)</f>
        <v>0.653037273642509</v>
      </c>
    </row>
    <row r="33" customFormat="false" ht="15" hidden="false" customHeight="false" outlineLevel="0" collapsed="false">
      <c r="A33" s="16" t="s">
        <v>138</v>
      </c>
      <c r="B33" s="16" t="s">
        <v>1072</v>
      </c>
      <c r="C33" s="12" t="s">
        <v>657</v>
      </c>
      <c r="D33" s="16" t="s">
        <v>1040</v>
      </c>
      <c r="E33" s="16" t="s">
        <v>1073</v>
      </c>
      <c r="F33" s="17" t="n">
        <v>497241599</v>
      </c>
      <c r="G33" s="28" t="n">
        <v>0.0974151894457805</v>
      </c>
      <c r="H33" s="16" t="s">
        <v>1009</v>
      </c>
      <c r="I33" s="28" t="n">
        <v>0.0285</v>
      </c>
      <c r="J33" s="28" t="n">
        <v>0.156382742125655</v>
      </c>
      <c r="K33" s="16" t="n">
        <v>4</v>
      </c>
      <c r="L33" s="16" t="s">
        <v>1047</v>
      </c>
      <c r="M33" s="17" t="n">
        <v>154259653</v>
      </c>
      <c r="N33" s="17" t="n">
        <v>342981946</v>
      </c>
      <c r="O33" s="16" t="n">
        <v>15</v>
      </c>
      <c r="P33" s="5" t="n">
        <v>47528</v>
      </c>
      <c r="Q33" s="28" t="n">
        <v>0.0152340544502213</v>
      </c>
      <c r="R33" s="29" t="n">
        <f aca="false">IF(LEFT(H33,11)="IBR 6 MESES",Detalle_62!$B$7,IF(LEFT(H33,11)="IBR 3 MESES",Detalle_62!$B$6,IF(H33="DTF",Detalle_62!$B$8,Detalle_62!$B$5)))</f>
        <v>0.11768</v>
      </c>
      <c r="S33" s="30" t="n">
        <f aca="false">(1+(R33+I33)/K33)^K33-1</f>
        <v>0.15439023461146</v>
      </c>
      <c r="T33" s="31" t="n">
        <f aca="false">(J33-S33)*10000</f>
        <v>19.9250751419505</v>
      </c>
      <c r="U33" s="11" t="n">
        <f aca="false">M33+N33-F33</f>
        <v>0</v>
      </c>
      <c r="V33" s="22" t="str">
        <f aca="false">IF(ABS(U33)&gt;Resumen!$C$6,"ERROR",IF(OR(M33&lt;0,N33&lt;0),"ERROR","OK"))</f>
        <v>OK</v>
      </c>
      <c r="W33" s="11" t="n">
        <f aca="false">MIN(MAX(M33,0),F33)</f>
        <v>154259653</v>
      </c>
      <c r="X33" s="11" t="n">
        <f aca="false">F33-W33</f>
        <v>342981946</v>
      </c>
      <c r="Y33" s="32" t="n">
        <f aca="false">F33/SUMIFS($F$14:$F$35,$A$14:$A$35,A33)</f>
        <v>0.0974151894457805</v>
      </c>
    </row>
    <row r="34" customFormat="false" ht="15" hidden="false" customHeight="false" outlineLevel="0" collapsed="false">
      <c r="A34" s="16" t="s">
        <v>138</v>
      </c>
      <c r="B34" s="16" t="s">
        <v>1074</v>
      </c>
      <c r="C34" s="12" t="s">
        <v>646</v>
      </c>
      <c r="D34" s="16" t="s">
        <v>1040</v>
      </c>
      <c r="E34" s="16" t="s">
        <v>1075</v>
      </c>
      <c r="F34" s="17" t="n">
        <v>770085425.158301</v>
      </c>
      <c r="G34" s="28" t="n">
        <v>0.150868345955163</v>
      </c>
      <c r="H34" s="16" t="s">
        <v>1008</v>
      </c>
      <c r="I34" s="28" t="n">
        <v>0.032</v>
      </c>
      <c r="J34" s="28" t="n">
        <v>0.157948891345503</v>
      </c>
      <c r="K34" s="16" t="n">
        <v>12</v>
      </c>
      <c r="L34" s="16" t="s">
        <v>1042</v>
      </c>
      <c r="M34" s="17" t="n">
        <v>206513651</v>
      </c>
      <c r="N34" s="17" t="n">
        <v>563571774.158301</v>
      </c>
      <c r="O34" s="16" t="n">
        <v>58</v>
      </c>
      <c r="P34" s="5" t="n">
        <v>47995</v>
      </c>
      <c r="Q34" s="28" t="n">
        <v>0.0238294879827477</v>
      </c>
      <c r="R34" s="29" t="n">
        <f aca="false">IF(LEFT(H34,11)="IBR 6 MESES",Detalle_62!$B$7,IF(LEFT(H34,11)="IBR 3 MESES",Detalle_62!$B$6,IF(H34="DTF",Detalle_62!$B$8,Detalle_62!$B$5)))</f>
        <v>0.11555</v>
      </c>
      <c r="S34" s="30" t="n">
        <f aca="false">(1+(R34+I34)/K34)^K34-1</f>
        <v>0.157948891345502</v>
      </c>
      <c r="T34" s="31" t="n">
        <f aca="false">(J34-S34)*10000</f>
        <v>8.88178419700125E-012</v>
      </c>
      <c r="U34" s="11" t="n">
        <f aca="false">M34+N34-F34</f>
        <v>0</v>
      </c>
      <c r="V34" s="22" t="str">
        <f aca="false">IF(ABS(U34)&gt;Resumen!$C$6,"ERROR",IF(OR(M34&lt;0,N34&lt;0),"ERROR","OK"))</f>
        <v>OK</v>
      </c>
      <c r="W34" s="11" t="n">
        <f aca="false">MIN(MAX(M34,0),F34)</f>
        <v>206513651</v>
      </c>
      <c r="X34" s="11" t="n">
        <f aca="false">F34-W34</f>
        <v>563571774.158301</v>
      </c>
      <c r="Y34" s="32" t="n">
        <f aca="false">F34/SUMIFS($F$14:$F$35,$A$14:$A$35,A34)</f>
        <v>0.150868345955163</v>
      </c>
    </row>
    <row r="35" customFormat="false" ht="15" hidden="false" customHeight="false" outlineLevel="0" collapsed="false">
      <c r="A35" s="16" t="s">
        <v>138</v>
      </c>
      <c r="B35" s="16" t="s">
        <v>1076</v>
      </c>
      <c r="C35" s="12" t="s">
        <v>643</v>
      </c>
      <c r="D35" s="16" t="s">
        <v>1040</v>
      </c>
      <c r="E35" s="16" t="s">
        <v>1077</v>
      </c>
      <c r="F35" s="17" t="n">
        <v>503693510</v>
      </c>
      <c r="G35" s="28" t="n">
        <v>0.0986791909565478</v>
      </c>
      <c r="H35" s="16" t="s">
        <v>1008</v>
      </c>
      <c r="I35" s="28" t="n">
        <v>0.0375</v>
      </c>
      <c r="J35" s="28" t="n">
        <v>0.164255943222499</v>
      </c>
      <c r="K35" s="16" t="n">
        <v>12</v>
      </c>
      <c r="L35" s="16" t="s">
        <v>1042</v>
      </c>
      <c r="M35" s="17" t="n">
        <v>388559429</v>
      </c>
      <c r="N35" s="17" t="n">
        <v>115134081</v>
      </c>
      <c r="O35" s="16" t="n">
        <v>24</v>
      </c>
      <c r="P35" s="5" t="n">
        <v>46960</v>
      </c>
      <c r="Q35" s="28" t="n">
        <v>0.0162086435870009</v>
      </c>
      <c r="R35" s="29" t="n">
        <f aca="false">IF(LEFT(H35,11)="IBR 6 MESES",Detalle_62!$B$7,IF(LEFT(H35,11)="IBR 3 MESES",Detalle_62!$B$6,IF(H35="DTF",Detalle_62!$B$8,Detalle_62!$B$5)))</f>
        <v>0.11555</v>
      </c>
      <c r="S35" s="30" t="n">
        <f aca="false">(1+(R35+I35)/K35)^K35-1</f>
        <v>0.1642559432225</v>
      </c>
      <c r="T35" s="31" t="n">
        <f aca="false">(J35-S35)*10000</f>
        <v>0</v>
      </c>
      <c r="U35" s="11" t="n">
        <f aca="false">M35+N35-F35</f>
        <v>0</v>
      </c>
      <c r="V35" s="22" t="str">
        <f aca="false">IF(ABS(U35)&gt;Resumen!$C$6,"ERROR",IF(OR(M35&lt;0,N35&lt;0),"ERROR","OK"))</f>
        <v>OK</v>
      </c>
      <c r="W35" s="11" t="n">
        <f aca="false">MIN(MAX(M35,0),F35)</f>
        <v>388559429</v>
      </c>
      <c r="X35" s="11" t="n">
        <f aca="false">F35-W35</f>
        <v>115134081</v>
      </c>
      <c r="Y35" s="32" t="n">
        <f aca="false">F35/SUMIFS($F$14:$F$35,$A$14:$A$35,A35)</f>
        <v>0.0986791909565478</v>
      </c>
    </row>
    <row r="36" customFormat="false" ht="15" hidden="false" customHeight="false" outlineLevel="0" collapsed="false">
      <c r="E36" s="18" t="s">
        <v>1078</v>
      </c>
      <c r="F36" s="19" t="n">
        <f aca="false">SUM(F14:F35)</f>
        <v>45185912116.9625</v>
      </c>
      <c r="M36" s="19" t="n">
        <f aca="false">SUM(M14:M35)</f>
        <v>21628998619.5403</v>
      </c>
      <c r="N36" s="19" t="n">
        <f aca="false">SUM(N14:N35)</f>
        <v>23809854063.2139</v>
      </c>
      <c r="U36" s="19" t="n">
        <f aca="false">SUM(U14:U35)</f>
        <v>252940565.791742</v>
      </c>
      <c r="W36" s="19" t="n">
        <f aca="false">SUM(W14:W35)</f>
        <v>21341498619.5403</v>
      </c>
      <c r="X36" s="19" t="n">
        <f aca="false">SUM(X14:X35)</f>
        <v>23844413497.4221</v>
      </c>
    </row>
    <row r="37" customFormat="false" ht="15" hidden="false" customHeight="false" outlineLevel="0" collapsed="false">
      <c r="E37" s="4" t="s">
        <v>1079</v>
      </c>
      <c r="F37" s="17" t="n">
        <v>45185912116.9625</v>
      </c>
    </row>
    <row r="38" customFormat="false" ht="15" hidden="false" customHeight="false" outlineLevel="0" collapsed="false">
      <c r="E38" s="4" t="s">
        <v>1080</v>
      </c>
      <c r="F38" s="11" t="n">
        <f aca="false">F36-F37</f>
        <v>0</v>
      </c>
    </row>
    <row r="40" customFormat="false" ht="15" hidden="false" customHeight="false" outlineLevel="0" collapsed="false">
      <c r="A40" s="24" t="s">
        <v>1081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customFormat="false" ht="30" hidden="false" customHeight="true" outlineLevel="0" collapsed="false">
      <c r="A41" s="8" t="s">
        <v>1014</v>
      </c>
      <c r="B41" s="8"/>
      <c r="C41" s="8"/>
      <c r="D41" s="8"/>
      <c r="E41" s="8"/>
      <c r="F41" s="8" t="s">
        <v>1082</v>
      </c>
      <c r="G41" s="8"/>
      <c r="H41" s="8"/>
      <c r="I41" s="8"/>
      <c r="J41" s="8"/>
      <c r="K41" s="8"/>
      <c r="L41" s="8"/>
      <c r="M41" s="8" t="s">
        <v>1083</v>
      </c>
      <c r="N41" s="8" t="s">
        <v>10</v>
      </c>
      <c r="O41" s="8"/>
      <c r="P41" s="8"/>
      <c r="Q41" s="8" t="s">
        <v>1084</v>
      </c>
      <c r="R41" s="8" t="s">
        <v>1029</v>
      </c>
      <c r="S41" s="8" t="s">
        <v>1085</v>
      </c>
    </row>
    <row r="42" customFormat="false" ht="15" hidden="false" customHeight="false" outlineLevel="0" collapsed="false">
      <c r="A42" s="16" t="s">
        <v>1038</v>
      </c>
      <c r="F42" s="11" t="n">
        <f aca="false">SUMIFS($F$14:$F$35,$A$14:$A$35,A42)</f>
        <v>17065824073.8354</v>
      </c>
      <c r="M42" s="17" t="n">
        <v>17065824073.8354</v>
      </c>
      <c r="N42" s="11" t="n">
        <f aca="false">F42-M42</f>
        <v>0</v>
      </c>
      <c r="Q42" s="30" t="n">
        <f aca="false">SUMPRODUCT(($A$14:$A$35=A42)*$F$14:$F$35*$J$14:$J$35)/F42</f>
        <v>0.157284138383119</v>
      </c>
      <c r="R42" s="33" t="n">
        <v>0.157284138383119</v>
      </c>
      <c r="S42" s="31" t="n">
        <f aca="false">(R42-Q42)*10000</f>
        <v>0</v>
      </c>
    </row>
    <row r="43" customFormat="false" ht="15" hidden="false" customHeight="false" outlineLevel="0" collapsed="false">
      <c r="A43" s="16" t="s">
        <v>96</v>
      </c>
      <c r="F43" s="11" t="n">
        <f aca="false">SUMIFS($F$14:$F$35,$A$14:$A$35,A43)</f>
        <v>18028234175.6354</v>
      </c>
      <c r="M43" s="17" t="n">
        <v>18028234175.6354</v>
      </c>
      <c r="N43" s="11" t="n">
        <f aca="false">F43-M43</f>
        <v>0</v>
      </c>
      <c r="Q43" s="30" t="n">
        <f aca="false">SUMPRODUCT(($A$14:$A$35=A43)*$F$14:$F$35*$J$14:$J$35)/F43</f>
        <v>0.145381553464726</v>
      </c>
      <c r="R43" s="33" t="n">
        <v>0.145381553464726</v>
      </c>
      <c r="S43" s="31" t="n">
        <f aca="false">(R43-Q43)*10000</f>
        <v>0</v>
      </c>
    </row>
    <row r="44" customFormat="false" ht="15" hidden="false" customHeight="false" outlineLevel="0" collapsed="false">
      <c r="A44" s="16" t="s">
        <v>1067</v>
      </c>
      <c r="F44" s="11" t="n">
        <f aca="false">SUMIFS($F$14:$F$35,$A$14:$A$35,A44)</f>
        <v>287500000</v>
      </c>
      <c r="M44" s="17" t="n">
        <v>287500000</v>
      </c>
      <c r="N44" s="11" t="n">
        <f aca="false">F44-M44</f>
        <v>0</v>
      </c>
      <c r="Q44" s="30" t="n">
        <f aca="false">SUMPRODUCT(($A$14:$A$35=A44)*$F$14:$F$35*$J$14:$J$35)/F44</f>
        <v>0.149386780746296</v>
      </c>
      <c r="R44" s="33" t="n">
        <v>0.149386780746296</v>
      </c>
      <c r="S44" s="31" t="n">
        <f aca="false">(R44-Q44)*10000</f>
        <v>0</v>
      </c>
    </row>
    <row r="45" customFormat="false" ht="15" hidden="false" customHeight="false" outlineLevel="0" collapsed="false">
      <c r="A45" s="16" t="s">
        <v>1069</v>
      </c>
      <c r="F45" s="11" t="n">
        <f aca="false">SUMIFS($F$14:$F$35,$A$14:$A$35,A45)</f>
        <v>4700000000</v>
      </c>
      <c r="M45" s="17" t="n">
        <v>4700000000</v>
      </c>
      <c r="N45" s="11" t="n">
        <f aca="false">F45-M45</f>
        <v>0</v>
      </c>
      <c r="Q45" s="30" t="n">
        <f aca="false">SUMPRODUCT(($A$14:$A$35=A45)*$F$14:$F$35*$J$14:$J$35)/F45</f>
        <v>0.135423288111736</v>
      </c>
      <c r="R45" s="33" t="n">
        <v>0.135423288111736</v>
      </c>
      <c r="S45" s="31" t="n">
        <f aca="false">(R45-Q45)*10000</f>
        <v>0</v>
      </c>
    </row>
    <row r="46" customFormat="false" ht="15" hidden="false" customHeight="false" outlineLevel="0" collapsed="false">
      <c r="A46" s="16" t="s">
        <v>138</v>
      </c>
      <c r="F46" s="11" t="n">
        <f aca="false">SUMIFS($F$14:$F$35,$A$14:$A$35,A46)</f>
        <v>5104353867.49163</v>
      </c>
      <c r="M46" s="17" t="n">
        <v>5104353867.49163</v>
      </c>
      <c r="N46" s="11" t="n">
        <f aca="false">F46-M46</f>
        <v>0</v>
      </c>
      <c r="Q46" s="30" t="n">
        <f aca="false">SUMPRODUCT(($A$14:$A$35=A46)*$F$14:$F$35*$J$14:$J$35)/F46</f>
        <v>0.14738530795146</v>
      </c>
      <c r="R46" s="33" t="n">
        <v>0.14738530795146</v>
      </c>
      <c r="S46" s="31" t="n">
        <f aca="false">(R46-Q46)*10000</f>
        <v>0</v>
      </c>
    </row>
    <row r="48" customFormat="false" ht="15" hidden="false" customHeight="false" outlineLevel="0" collapsed="false">
      <c r="A48" s="12" t="s">
        <v>1086</v>
      </c>
      <c r="F48" s="29" t="n">
        <f aca="false">SUMPRODUCT(Detalle_62!$F$14:$F$35,Detalle_62!$J$14:$J$35)/F36</f>
        <v>0.149092952439153</v>
      </c>
    </row>
    <row r="49" customFormat="false" ht="15" hidden="false" customHeight="false" outlineLevel="0" collapsed="false">
      <c r="A49" s="12" t="s">
        <v>1087</v>
      </c>
      <c r="F49" s="29" t="n">
        <f aca="false">SUMPRODUCT(Detalle_62!$F$14:$F$35,Detalle_62!$S$14:$S$35)/F36</f>
        <v>0.148854228692228</v>
      </c>
    </row>
    <row r="50" customFormat="false" ht="15" hidden="false" customHeight="false" outlineLevel="0" collapsed="false">
      <c r="A50" s="2" t="s">
        <v>1088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S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1" min="10" style="0" width="17"/>
    <col collapsed="false" customWidth="true" hidden="false" outlineLevel="0" max="12" min="12" style="0" width="16"/>
    <col collapsed="false" customWidth="true" hidden="false" outlineLevel="0" max="15" min="13" style="0" width="10"/>
    <col collapsed="false" customWidth="true" hidden="false" outlineLevel="0" max="18" min="16" style="0" width="11"/>
    <col collapsed="false" customWidth="true" hidden="false" outlineLevel="0" max="19" min="19" style="0" width="70"/>
  </cols>
  <sheetData>
    <row r="1" customFormat="false" ht="16.15" hidden="false" customHeight="false" outlineLevel="0" collapsed="false">
      <c r="A1" s="1" t="s">
        <v>1089</v>
      </c>
    </row>
    <row r="2" customFormat="false" ht="15" hidden="false" customHeight="false" outlineLevel="0" collapsed="false">
      <c r="A2" s="2" t="s">
        <v>1090</v>
      </c>
    </row>
    <row r="4" customFormat="false" ht="48" hidden="false" customHeight="true" outlineLevel="0" collapsed="false">
      <c r="A4" s="8" t="s">
        <v>1091</v>
      </c>
      <c r="B4" s="8" t="s">
        <v>1092</v>
      </c>
      <c r="C4" s="8" t="s">
        <v>1014</v>
      </c>
      <c r="D4" s="8" t="s">
        <v>1093</v>
      </c>
      <c r="E4" s="8" t="s">
        <v>1016</v>
      </c>
      <c r="F4" s="8" t="s">
        <v>72</v>
      </c>
      <c r="G4" s="8" t="s">
        <v>1094</v>
      </c>
      <c r="H4" s="8" t="s">
        <v>1095</v>
      </c>
      <c r="I4" s="8" t="s">
        <v>1096</v>
      </c>
      <c r="J4" s="8" t="s">
        <v>1097</v>
      </c>
      <c r="K4" s="8" t="s">
        <v>1098</v>
      </c>
      <c r="L4" s="8" t="s">
        <v>1099</v>
      </c>
      <c r="M4" s="8" t="s">
        <v>1100</v>
      </c>
      <c r="N4" s="8" t="s">
        <v>1101</v>
      </c>
      <c r="O4" s="8" t="s">
        <v>1085</v>
      </c>
      <c r="P4" s="8" t="s">
        <v>1102</v>
      </c>
      <c r="Q4" s="8" t="s">
        <v>1103</v>
      </c>
      <c r="R4" s="8" t="s">
        <v>1104</v>
      </c>
      <c r="S4" s="8" t="s">
        <v>1105</v>
      </c>
    </row>
    <row r="5" customFormat="false" ht="36" hidden="false" customHeight="true" outlineLevel="0" collapsed="false">
      <c r="A5" s="4" t="n">
        <v>1</v>
      </c>
      <c r="B5" s="16" t="n">
        <v>1</v>
      </c>
      <c r="C5" s="16" t="s">
        <v>1106</v>
      </c>
      <c r="D5" s="16" t="s">
        <v>1107</v>
      </c>
      <c r="E5" s="12" t="s">
        <v>702</v>
      </c>
      <c r="F5" s="16" t="s">
        <v>1108</v>
      </c>
      <c r="G5" s="5" t="n">
        <v>46102</v>
      </c>
      <c r="H5" s="17" t="n">
        <f aca="false">7499998630.82-127.57</f>
        <v>7499998503.25</v>
      </c>
      <c r="I5" s="17" t="n">
        <v>0</v>
      </c>
      <c r="J5" s="11" t="n">
        <f aca="false">IF(H5="","N/D",H5-I5)</f>
        <v>7499998503.25</v>
      </c>
      <c r="K5" s="10" t="n">
        <f aca="false">SUMIFS(Detalle_62!$F$14:$F$35,Detalle_62!$C$14:$C$35,E5)</f>
        <v>7500000000</v>
      </c>
      <c r="L5" s="11" t="n">
        <f aca="false">IF(H5="","N/D",K5-J5)</f>
        <v>1496.75</v>
      </c>
      <c r="M5" s="28" t="n">
        <v>0.1551</v>
      </c>
      <c r="N5" s="34" t="n">
        <f aca="false">INDEX(Detalle_62!$J$14:$J$35,MATCH(E5,Detalle_62!$C$14:$C$35,0))</f>
        <v>0.155893765625</v>
      </c>
      <c r="O5" s="31" t="n">
        <f aca="false">(N5-M5)*10000</f>
        <v>7.93765624999721</v>
      </c>
      <c r="P5" s="5" t="n">
        <v>52677</v>
      </c>
      <c r="Q5" s="35" t="n">
        <f aca="false">INDEX(Detalle_62!$P$14:$P$35,MATCH(E5,Detalle_62!$C$14:$C$35,0))</f>
        <v>52677</v>
      </c>
      <c r="R5" s="4" t="str">
        <f aca="false">IF(P5="","N/D",IF(P5=Q5,"Sí","NO"))</f>
        <v>Sí</v>
      </c>
      <c r="S5" s="36" t="s">
        <v>1109</v>
      </c>
    </row>
    <row r="6" customFormat="false" ht="36" hidden="false" customHeight="true" outlineLevel="0" collapsed="false">
      <c r="A6" s="4" t="n">
        <v>2</v>
      </c>
      <c r="B6" s="16" t="n">
        <v>2</v>
      </c>
      <c r="C6" s="16" t="s">
        <v>1110</v>
      </c>
      <c r="D6" s="16" t="s">
        <v>1111</v>
      </c>
      <c r="E6" s="12" t="s">
        <v>116</v>
      </c>
      <c r="F6" s="16" t="s">
        <v>1112</v>
      </c>
      <c r="G6" s="5" t="n">
        <v>46169</v>
      </c>
      <c r="H6" s="17" t="n">
        <v>1639499992.59</v>
      </c>
      <c r="I6" s="17" t="n">
        <v>182166667</v>
      </c>
      <c r="J6" s="11" t="n">
        <f aca="false">IF(H6="","N/D",H6-I6)</f>
        <v>1457333325.59</v>
      </c>
      <c r="K6" s="10" t="n">
        <f aca="false">SUMIFS(Detalle_62!$F$14:$F$35,Detalle_62!$C$14:$C$35,E6)</f>
        <v>1457333332</v>
      </c>
      <c r="L6" s="11" t="n">
        <f aca="false">IF(H6="","N/D",K6-J6)</f>
        <v>6.41000008583069</v>
      </c>
      <c r="M6" s="28" t="n">
        <v>0.1494</v>
      </c>
      <c r="N6" s="34" t="n">
        <f aca="false">INDEX(Detalle_62!$J$14:$J$35,MATCH(E6,Detalle_62!$C$14:$C$35,0))</f>
        <v>0.158293089495938</v>
      </c>
      <c r="O6" s="31" t="n">
        <f aca="false">(N6-M6)*10000</f>
        <v>88.9308949593778</v>
      </c>
      <c r="P6" s="5"/>
      <c r="Q6" s="35" t="n">
        <f aca="false">INDEX(Detalle_62!$P$14:$P$35,MATCH(E6,Detalle_62!$C$14:$C$35,0))</f>
        <v>46925</v>
      </c>
      <c r="R6" s="4" t="str">
        <f aca="false">IF(P6="","N/D",IF(P6=Q6,"Sí","NO"))</f>
        <v>N/D</v>
      </c>
      <c r="S6" s="36" t="s">
        <v>1113</v>
      </c>
    </row>
    <row r="7" customFormat="false" ht="36" hidden="false" customHeight="true" outlineLevel="0" collapsed="false">
      <c r="A7" s="4" t="n">
        <v>3</v>
      </c>
      <c r="B7" s="16" t="n">
        <v>4</v>
      </c>
      <c r="C7" s="16" t="s">
        <v>1114</v>
      </c>
      <c r="D7" s="16" t="s">
        <v>1115</v>
      </c>
      <c r="E7" s="12" t="s">
        <v>142</v>
      </c>
      <c r="F7" s="16" t="s">
        <v>1116</v>
      </c>
      <c r="G7" s="5" t="n">
        <v>46245</v>
      </c>
      <c r="H7" s="17" t="n">
        <v>3333333334</v>
      </c>
      <c r="I7" s="17" t="n">
        <v>0</v>
      </c>
      <c r="J7" s="11" t="n">
        <f aca="false">IF(H7="","N/D",H7-I7)</f>
        <v>3333333334</v>
      </c>
      <c r="K7" s="10" t="n">
        <f aca="false">SUMIFS(Detalle_62!$F$14:$F$35,Detalle_62!$C$14:$C$35,E7)</f>
        <v>3333333333.33333</v>
      </c>
      <c r="L7" s="11" t="n">
        <f aca="false">IF(H7="","N/D",K7-J7)</f>
        <v>-0.666666984558106</v>
      </c>
      <c r="M7" s="28" t="n">
        <v>0.1417</v>
      </c>
      <c r="N7" s="34" t="n">
        <f aca="false">INDEX(Detalle_62!$J$14:$J$35,MATCH(E7,Detalle_62!$C$14:$C$35,0))</f>
        <v>0.141053391053319</v>
      </c>
      <c r="O7" s="31" t="n">
        <f aca="false">(N7-M7)*10000</f>
        <v>-6.46608946680588</v>
      </c>
      <c r="P7" s="5" t="n">
        <v>46865</v>
      </c>
      <c r="Q7" s="35" t="n">
        <f aca="false">INDEX(Detalle_62!$P$14:$P$35,MATCH(E7,Detalle_62!$C$14:$C$35,0))</f>
        <v>46864</v>
      </c>
      <c r="R7" s="4" t="str">
        <f aca="false">IF(P7="","N/D",IF(P7=Q7,"Sí","NO"))</f>
        <v>NO</v>
      </c>
      <c r="S7" s="36" t="s">
        <v>1117</v>
      </c>
    </row>
    <row r="8" customFormat="false" ht="36" hidden="false" customHeight="true" outlineLevel="0" collapsed="false">
      <c r="A8" s="4" t="n">
        <v>4</v>
      </c>
      <c r="B8" s="16" t="n">
        <v>6</v>
      </c>
      <c r="C8" s="16" t="s">
        <v>1110</v>
      </c>
      <c r="D8" s="16" t="s">
        <v>1118</v>
      </c>
      <c r="E8" s="12" t="s">
        <v>107</v>
      </c>
      <c r="F8" s="16" t="s">
        <v>1119</v>
      </c>
      <c r="G8" s="5" t="n">
        <v>46195</v>
      </c>
      <c r="H8" s="17" t="n">
        <v>2999999977.39</v>
      </c>
      <c r="I8" s="17" t="n">
        <v>62500000</v>
      </c>
      <c r="J8" s="11" t="n">
        <f aca="false">IF(H8="","N/D",H8-I8)</f>
        <v>2937499977.39</v>
      </c>
      <c r="K8" s="10" t="n">
        <f aca="false">SUMIFS(Detalle_62!$F$14:$F$35,Detalle_62!$C$14:$C$35,E8)</f>
        <v>2937500000</v>
      </c>
      <c r="L8" s="11" t="n">
        <f aca="false">IF(H8="","N/D",K8-J8)</f>
        <v>22.6100001335144</v>
      </c>
      <c r="M8" s="28" t="n">
        <v>0.1696</v>
      </c>
      <c r="N8" s="34" t="n">
        <f aca="false">INDEX(Detalle_62!$J$14:$J$35,MATCH(E8,Detalle_62!$C$14:$C$35,0))</f>
        <v>0.175224160801509</v>
      </c>
      <c r="O8" s="31" t="n">
        <f aca="false">(N8-M8)*10000</f>
        <v>56.241608015086</v>
      </c>
      <c r="P8" s="5"/>
      <c r="Q8" s="35" t="n">
        <f aca="false">INDEX(Detalle_62!$P$14:$P$35,MATCH(E8,Detalle_62!$C$14:$C$35,0))</f>
        <v>47651</v>
      </c>
      <c r="R8" s="4" t="str">
        <f aca="false">IF(P8="","N/D",IF(P8=Q8,"Sí","NO"))</f>
        <v>N/D</v>
      </c>
      <c r="S8" s="36" t="s">
        <v>1120</v>
      </c>
    </row>
    <row r="9" customFormat="false" ht="36" hidden="false" customHeight="true" outlineLevel="0" collapsed="false">
      <c r="A9" s="4" t="n">
        <v>5</v>
      </c>
      <c r="B9" s="16" t="n">
        <v>8</v>
      </c>
      <c r="C9" s="16" t="s">
        <v>1110</v>
      </c>
      <c r="D9" s="16" t="s">
        <v>1121</v>
      </c>
      <c r="E9" s="12" t="s">
        <v>113</v>
      </c>
      <c r="F9" s="16" t="s">
        <v>1112</v>
      </c>
      <c r="G9" s="5" t="n">
        <v>46234</v>
      </c>
      <c r="H9" s="17" t="n">
        <v>1124999996.41</v>
      </c>
      <c r="I9" s="17" t="n">
        <v>0</v>
      </c>
      <c r="J9" s="11" t="n">
        <f aca="false">IF(H9="","N/D",H9-I9)</f>
        <v>1124999996.41</v>
      </c>
      <c r="K9" s="10" t="n">
        <f aca="false">SUMIFS(Detalle_62!$F$14:$F$35,Detalle_62!$C$14:$C$35,E9)</f>
        <v>1125000000</v>
      </c>
      <c r="L9" s="11" t="n">
        <f aca="false">IF(H9="","N/D",K9-J9)</f>
        <v>3.58999991416931</v>
      </c>
      <c r="M9" s="28" t="n">
        <v>0.1665</v>
      </c>
      <c r="N9" s="34" t="n">
        <f aca="false">INDEX(Detalle_62!$J$14:$J$35,MATCH(E9,Detalle_62!$C$14:$C$35,0))</f>
        <v>0.174003555557499</v>
      </c>
      <c r="O9" s="31" t="n">
        <f aca="false">(N9-M9)*10000</f>
        <v>75.0355555749879</v>
      </c>
      <c r="P9" s="5"/>
      <c r="Q9" s="35" t="n">
        <f aca="false">INDEX(Detalle_62!$P$14:$P$35,MATCH(E9,Detalle_62!$C$14:$C$35,0))</f>
        <v>46990</v>
      </c>
      <c r="R9" s="4" t="str">
        <f aca="false">IF(P9="","N/D",IF(P9=Q9,"Sí","NO"))</f>
        <v>N/D</v>
      </c>
      <c r="S9" s="36" t="s">
        <v>1122</v>
      </c>
    </row>
    <row r="10" customFormat="false" ht="36" hidden="false" customHeight="true" outlineLevel="0" collapsed="false">
      <c r="A10" s="4" t="n">
        <v>6</v>
      </c>
      <c r="B10" s="16" t="n">
        <v>10</v>
      </c>
      <c r="C10" s="16" t="s">
        <v>1110</v>
      </c>
      <c r="D10" s="16" t="s">
        <v>1123</v>
      </c>
      <c r="E10" s="12" t="s">
        <v>97</v>
      </c>
      <c r="F10" s="16" t="s">
        <v>1112</v>
      </c>
      <c r="G10" s="5" t="n">
        <v>46190</v>
      </c>
      <c r="H10" s="17" t="n">
        <v>10000000000</v>
      </c>
      <c r="I10" s="17" t="n">
        <v>0</v>
      </c>
      <c r="J10" s="11" t="n">
        <f aca="false">IF(H10="","N/D",H10-I10)</f>
        <v>10000000000</v>
      </c>
      <c r="K10" s="10" t="n">
        <f aca="false">SUMIFS(Detalle_62!$F$14:$F$35,Detalle_62!$C$14:$C$35,E10)</f>
        <v>10000000000</v>
      </c>
      <c r="L10" s="11" t="n">
        <f aca="false">IF(H10="","N/D",K10-J10)</f>
        <v>0</v>
      </c>
      <c r="M10" s="28" t="n">
        <v>0.1239</v>
      </c>
      <c r="N10" s="34" t="n">
        <f aca="false">INDEX(Detalle_62!$J$14:$J$35,MATCH(E10,Detalle_62!$C$14:$C$35,0))</f>
        <v>0.1296288656</v>
      </c>
      <c r="O10" s="31" t="n">
        <f aca="false">(N10-M10)*10000</f>
        <v>57.2886560000001</v>
      </c>
      <c r="P10" s="5"/>
      <c r="Q10" s="35" t="n">
        <f aca="false">INDEX(Detalle_62!$P$14:$P$35,MATCH(E10,Detalle_62!$C$14:$C$35,0))</f>
        <v>46409</v>
      </c>
      <c r="R10" s="4" t="str">
        <f aca="false">IF(P10="","N/D",IF(P10=Q10,"Sí","NO"))</f>
        <v>N/D</v>
      </c>
      <c r="S10" s="36" t="s">
        <v>1124</v>
      </c>
    </row>
    <row r="11" customFormat="false" ht="36" hidden="false" customHeight="true" outlineLevel="0" collapsed="false">
      <c r="A11" s="4" t="n">
        <v>7</v>
      </c>
      <c r="B11" s="16" t="n">
        <v>12</v>
      </c>
      <c r="C11" s="16" t="s">
        <v>1106</v>
      </c>
      <c r="D11" s="16" t="s">
        <v>1125</v>
      </c>
      <c r="E11" s="12" t="s">
        <v>704</v>
      </c>
      <c r="F11" s="16" t="s">
        <v>1108</v>
      </c>
      <c r="G11" s="5" t="n">
        <v>46050</v>
      </c>
      <c r="H11" s="17" t="n">
        <v>3959998435.9</v>
      </c>
      <c r="I11" s="17" t="n">
        <f aca="false">272300000-272299382.05</f>
        <v>617.949999988079</v>
      </c>
      <c r="J11" s="11" t="n">
        <f aca="false">IF(H11="","N/D",H11-I11)</f>
        <v>3959997817.95</v>
      </c>
      <c r="K11" s="10" t="n">
        <f aca="false">SUMIFS(Detalle_62!$F$14:$F$35,Detalle_62!$C$14:$C$35,E11)</f>
        <v>3960000000</v>
      </c>
      <c r="L11" s="11" t="n">
        <f aca="false">IF(H11="","N/D",K11-J11)</f>
        <v>2182.0499997139</v>
      </c>
      <c r="M11" s="28" t="n">
        <v>0.1258</v>
      </c>
      <c r="N11" s="34" t="n">
        <f aca="false">INDEX(Detalle_62!$J$14:$J$35,MATCH(E11,Detalle_62!$C$14:$C$35,0))</f>
        <v>0.160198265625</v>
      </c>
      <c r="O11" s="31" t="n">
        <f aca="false">(N11-M11)*10000</f>
        <v>343.982656250003</v>
      </c>
      <c r="P11" s="5" t="n">
        <v>51710</v>
      </c>
      <c r="Q11" s="35" t="n">
        <f aca="false">INDEX(Detalle_62!$P$14:$P$35,MATCH(E11,Detalle_62!$C$14:$C$35,0))</f>
        <v>51710</v>
      </c>
      <c r="R11" s="4" t="str">
        <f aca="false">IF(P11="","N/D",IF(P11=Q11,"Sí","NO"))</f>
        <v>Sí</v>
      </c>
      <c r="S11" s="36" t="s">
        <v>1126</v>
      </c>
    </row>
    <row r="12" customFormat="false" ht="36" hidden="false" customHeight="true" outlineLevel="0" collapsed="false">
      <c r="A12" s="4" t="n">
        <v>8</v>
      </c>
      <c r="B12" s="16" t="n">
        <v>13</v>
      </c>
      <c r="C12" s="16" t="s">
        <v>1106</v>
      </c>
      <c r="D12" s="16" t="s">
        <v>1127</v>
      </c>
      <c r="E12" s="12" t="s">
        <v>707</v>
      </c>
      <c r="F12" s="16" t="s">
        <v>1108</v>
      </c>
      <c r="G12" s="5" t="n">
        <v>46050</v>
      </c>
      <c r="H12" s="17" t="n">
        <v>2999995943.8</v>
      </c>
      <c r="I12" s="17" t="n">
        <f aca="false">206288000-206287213.2</f>
        <v>786.800000011921</v>
      </c>
      <c r="J12" s="11" t="n">
        <f aca="false">IF(H12="","N/D",H12-I12)</f>
        <v>2999995157</v>
      </c>
      <c r="K12" s="10" t="n">
        <f aca="false">SUMIFS(Detalle_62!$F$14:$F$35,Detalle_62!$C$14:$C$35,E12)</f>
        <v>3000000000</v>
      </c>
      <c r="L12" s="11" t="n">
        <f aca="false">IF(H12="","N/D",K12-J12)</f>
        <v>4843</v>
      </c>
      <c r="M12" s="28" t="n">
        <v>0.1258</v>
      </c>
      <c r="N12" s="34" t="n">
        <f aca="false">INDEX(Detalle_62!$J$14:$J$35,MATCH(E12,Detalle_62!$C$14:$C$35,0))</f>
        <v>0.160198265625</v>
      </c>
      <c r="O12" s="31" t="n">
        <f aca="false">(N12-M12)*10000</f>
        <v>343.982656250003</v>
      </c>
      <c r="P12" s="5" t="n">
        <v>51710</v>
      </c>
      <c r="Q12" s="35" t="n">
        <f aca="false">INDEX(Detalle_62!$P$14:$P$35,MATCH(E12,Detalle_62!$C$14:$C$35,0))</f>
        <v>51710</v>
      </c>
      <c r="R12" s="4" t="str">
        <f aca="false">IF(P12="","N/D",IF(P12=Q12,"Sí","NO"))</f>
        <v>Sí</v>
      </c>
      <c r="S12" s="36" t="s">
        <v>1128</v>
      </c>
    </row>
    <row r="13" customFormat="false" ht="36" hidden="false" customHeight="true" outlineLevel="0" collapsed="false">
      <c r="A13" s="4" t="n">
        <v>9</v>
      </c>
      <c r="B13" s="16" t="n">
        <v>14</v>
      </c>
      <c r="C13" s="16" t="s">
        <v>1129</v>
      </c>
      <c r="D13" s="16" t="s">
        <v>1130</v>
      </c>
      <c r="E13" s="12" t="s">
        <v>800</v>
      </c>
      <c r="F13" s="16" t="s">
        <v>1131</v>
      </c>
      <c r="G13" s="5" t="n">
        <v>46209</v>
      </c>
      <c r="H13" s="17"/>
      <c r="I13" s="17" t="n">
        <v>0</v>
      </c>
      <c r="J13" s="11" t="str">
        <f aca="false">IF(H13="","N/D",H13-I13)</f>
        <v>N/D</v>
      </c>
      <c r="K13" s="10" t="n">
        <f aca="false">SUMIFS(Detalle_62!$F$14:$F$35,Detalle_62!$C$14:$C$35,E13)</f>
        <v>1883712218.08706</v>
      </c>
      <c r="L13" s="11" t="str">
        <f aca="false">IF(H13="","N/D",K13-J13)</f>
        <v>N/D</v>
      </c>
      <c r="M13" s="28" t="n">
        <v>0.1441</v>
      </c>
      <c r="N13" s="34" t="n">
        <f aca="false">INDEX(Detalle_62!$J$14:$J$35,MATCH(E13,Detalle_62!$C$14:$C$35,0))</f>
        <v>0.148277114550755</v>
      </c>
      <c r="O13" s="31" t="n">
        <f aca="false">(N13-M13)*10000</f>
        <v>41.7711455075528</v>
      </c>
      <c r="P13" s="5"/>
      <c r="Q13" s="35" t="n">
        <f aca="false">INDEX(Detalle_62!$P$14:$P$35,MATCH(E13,Detalle_62!$C$14:$C$35,0))</f>
        <v>48235</v>
      </c>
      <c r="R13" s="4" t="str">
        <f aca="false">IF(P13="","N/D",IF(P13=Q13,"Sí","NO"))</f>
        <v>N/D</v>
      </c>
      <c r="S13" s="36" t="s">
        <v>1132</v>
      </c>
    </row>
    <row r="14" customFormat="false" ht="36" hidden="false" customHeight="true" outlineLevel="0" collapsed="false">
      <c r="A14" s="4" t="n">
        <v>10</v>
      </c>
      <c r="B14" s="16" t="n">
        <v>16</v>
      </c>
      <c r="C14" s="16" t="s">
        <v>1133</v>
      </c>
      <c r="D14" s="16" t="s">
        <v>1134</v>
      </c>
      <c r="E14" s="12" t="s">
        <v>610</v>
      </c>
      <c r="F14" s="16" t="s">
        <v>1135</v>
      </c>
      <c r="G14" s="5" t="n">
        <v>46215</v>
      </c>
      <c r="H14" s="17" t="n">
        <v>1047113003.63</v>
      </c>
      <c r="I14" s="17" t="n">
        <v>62866117.12</v>
      </c>
      <c r="J14" s="11" t="n">
        <f aca="false">IF(H14="","N/D",H14-I14)</f>
        <v>984246886.51</v>
      </c>
      <c r="K14" s="10" t="n">
        <f aca="false">SUMIFS(Detalle_62!$F$14:$F$35,Detalle_62!$C$14:$C$35,E14)</f>
        <v>968620472.418459</v>
      </c>
      <c r="L14" s="11" t="n">
        <f aca="false">IF(H14="","N/D",K14-J14)</f>
        <v>-15626414.0915414</v>
      </c>
      <c r="M14" s="28" t="n">
        <v>0.1604</v>
      </c>
      <c r="N14" s="34" t="n">
        <f aca="false">INDEX(Detalle_62!$J$14:$J$35,MATCH(E14,Detalle_62!$C$14:$C$35,0))</f>
        <v>0.164782455289419</v>
      </c>
      <c r="O14" s="31" t="n">
        <f aca="false">(N14-M14)*10000</f>
        <v>43.8245528941902</v>
      </c>
      <c r="P14" s="5" t="n">
        <v>47321</v>
      </c>
      <c r="Q14" s="35" t="n">
        <f aca="false">INDEX(Detalle_62!$P$14:$P$35,MATCH(E14,Detalle_62!$C$14:$C$35,0))</f>
        <v>47321</v>
      </c>
      <c r="R14" s="4" t="str">
        <f aca="false">IF(P14="","N/D",IF(P14=Q14,"Sí","NO"))</f>
        <v>Sí</v>
      </c>
      <c r="S14" s="36" t="s">
        <v>1136</v>
      </c>
    </row>
    <row r="15" customFormat="false" ht="36" hidden="false" customHeight="true" outlineLevel="0" collapsed="false">
      <c r="A15" s="4" t="n">
        <v>11</v>
      </c>
      <c r="B15" s="16" t="n">
        <v>17</v>
      </c>
      <c r="C15" s="16" t="s">
        <v>1133</v>
      </c>
      <c r="D15" s="16" t="s">
        <v>1137</v>
      </c>
      <c r="E15" s="12" t="s">
        <v>604</v>
      </c>
      <c r="F15" s="16" t="s">
        <v>1135</v>
      </c>
      <c r="G15" s="5" t="n">
        <v>46220</v>
      </c>
      <c r="H15" s="17" t="n">
        <v>280274638.64</v>
      </c>
      <c r="I15" s="17" t="n">
        <v>26602533.7</v>
      </c>
      <c r="J15" s="11" t="n">
        <f aca="false">IF(H15="","N/D",H15-I15)</f>
        <v>253672104.94</v>
      </c>
      <c r="K15" s="10" t="n">
        <f aca="false">SUMIFS(Detalle_62!$F$14:$F$35,Detalle_62!$C$14:$C$35,E15)</f>
        <v>196720178.445431</v>
      </c>
      <c r="L15" s="11" t="n">
        <f aca="false">IF(H15="","N/D",K15-J15)</f>
        <v>-56951926.4945686</v>
      </c>
      <c r="M15" s="28" t="n">
        <v>0.1425</v>
      </c>
      <c r="N15" s="34" t="n">
        <f aca="false">INDEX(Detalle_62!$J$14:$J$35,MATCH(E15,Detalle_62!$C$14:$C$35,0))</f>
        <v>0.145417886389703</v>
      </c>
      <c r="O15" s="31" t="n">
        <f aca="false">(N15-M15)*10000</f>
        <v>29.1788638970292</v>
      </c>
      <c r="P15" s="5" t="n">
        <v>46961</v>
      </c>
      <c r="Q15" s="35" t="n">
        <f aca="false">INDEX(Detalle_62!$P$14:$P$35,MATCH(E15,Detalle_62!$C$14:$C$35,0))</f>
        <v>46870</v>
      </c>
      <c r="R15" s="4" t="str">
        <f aca="false">IF(P15="","N/D",IF(P15=Q15,"Sí","NO"))</f>
        <v>NO</v>
      </c>
      <c r="S15" s="36" t="s">
        <v>1138</v>
      </c>
    </row>
    <row r="16" customFormat="false" ht="36" hidden="false" customHeight="true" outlineLevel="0" collapsed="false">
      <c r="A16" s="4" t="n">
        <v>12</v>
      </c>
      <c r="B16" s="16" t="n">
        <v>18</v>
      </c>
      <c r="C16" s="16" t="s">
        <v>1133</v>
      </c>
      <c r="D16" s="16" t="s">
        <v>1139</v>
      </c>
      <c r="E16" s="12" t="s">
        <v>601</v>
      </c>
      <c r="F16" s="16" t="s">
        <v>1135</v>
      </c>
      <c r="G16" s="5" t="n">
        <v>46220</v>
      </c>
      <c r="H16" s="17" t="n">
        <v>280274638.73</v>
      </c>
      <c r="I16" s="17" t="n">
        <v>26602533.71</v>
      </c>
      <c r="J16" s="11" t="n">
        <f aca="false">IF(H16="","N/D",H16-I16)</f>
        <v>253672105.02</v>
      </c>
      <c r="K16" s="10" t="n">
        <f aca="false">SUMIFS(Detalle_62!$F$14:$F$35,Detalle_62!$C$14:$C$35,E16)</f>
        <v>196720178.445431</v>
      </c>
      <c r="L16" s="11" t="n">
        <f aca="false">IF(H16="","N/D",K16-J16)</f>
        <v>-56951926.5745686</v>
      </c>
      <c r="M16" s="28" t="n">
        <v>0.1425</v>
      </c>
      <c r="N16" s="34" t="n">
        <f aca="false">INDEX(Detalle_62!$J$14:$J$35,MATCH(E16,Detalle_62!$C$14:$C$35,0))</f>
        <v>0.145417886389703</v>
      </c>
      <c r="O16" s="31" t="n">
        <f aca="false">(N16-M16)*10000</f>
        <v>29.1788638970292</v>
      </c>
      <c r="P16" s="5" t="n">
        <v>46961</v>
      </c>
      <c r="Q16" s="35" t="n">
        <f aca="false">INDEX(Detalle_62!$P$14:$P$35,MATCH(E16,Detalle_62!$C$14:$C$35,0))</f>
        <v>46870</v>
      </c>
      <c r="R16" s="4" t="str">
        <f aca="false">IF(P16="","N/D",IF(P16=Q16,"Sí","NO"))</f>
        <v>NO</v>
      </c>
      <c r="S16" s="36" t="s">
        <v>1140</v>
      </c>
    </row>
    <row r="17" customFormat="false" ht="36" hidden="false" customHeight="true" outlineLevel="0" collapsed="false">
      <c r="A17" s="4" t="n">
        <v>13</v>
      </c>
      <c r="B17" s="16" t="n">
        <v>19</v>
      </c>
      <c r="C17" s="16" t="s">
        <v>1133</v>
      </c>
      <c r="D17" s="16" t="s">
        <v>1141</v>
      </c>
      <c r="E17" s="12" t="s">
        <v>613</v>
      </c>
      <c r="F17" s="16" t="s">
        <v>1135</v>
      </c>
      <c r="G17" s="5" t="n">
        <v>46216</v>
      </c>
      <c r="H17" s="17" t="n">
        <v>417650348.81</v>
      </c>
      <c r="I17" s="17" t="n">
        <v>21538319.01</v>
      </c>
      <c r="J17" s="11" t="n">
        <f aca="false">IF(H17="","N/D",H17-I17)</f>
        <v>396112029.8</v>
      </c>
      <c r="K17" s="10" t="n">
        <f aca="false">SUMIFS(Detalle_62!$F$14:$F$35,Detalle_62!$C$14:$C$35,E17)</f>
        <v>381845387.419314</v>
      </c>
      <c r="L17" s="11" t="n">
        <f aca="false">IF(H17="","N/D",K17-J17)</f>
        <v>-14266642.3806862</v>
      </c>
      <c r="M17" s="28" t="n">
        <v>0.1422</v>
      </c>
      <c r="N17" s="34" t="n">
        <f aca="false">INDEX(Detalle_62!$J$14:$J$35,MATCH(E17,Detalle_62!$C$14:$C$35,0))</f>
        <v>0.145417886389703</v>
      </c>
      <c r="O17" s="31" t="n">
        <f aca="false">(N17-M17)*10000</f>
        <v>32.1788638970291</v>
      </c>
      <c r="P17" s="5" t="n">
        <v>47506</v>
      </c>
      <c r="Q17" s="35" t="n">
        <f aca="false">INDEX(Detalle_62!$P$14:$P$35,MATCH(E17,Detalle_62!$C$14:$C$35,0))</f>
        <v>47503</v>
      </c>
      <c r="R17" s="4" t="str">
        <f aca="false">IF(P17="","N/D",IF(P17=Q17,"Sí","NO"))</f>
        <v>NO</v>
      </c>
      <c r="S17" s="36" t="s">
        <v>1142</v>
      </c>
    </row>
    <row r="18" customFormat="false" ht="36" hidden="false" customHeight="true" outlineLevel="0" collapsed="false">
      <c r="A18" s="4" t="n">
        <v>14</v>
      </c>
      <c r="B18" s="16" t="n">
        <v>20</v>
      </c>
      <c r="C18" s="16" t="s">
        <v>1133</v>
      </c>
      <c r="D18" s="16" t="s">
        <v>1143</v>
      </c>
      <c r="E18" s="12" t="s">
        <v>616</v>
      </c>
      <c r="F18" s="16" t="s">
        <v>1135</v>
      </c>
      <c r="G18" s="5" t="n">
        <v>46216</v>
      </c>
      <c r="H18" s="17" t="n">
        <v>417650348.67</v>
      </c>
      <c r="I18" s="17" t="n">
        <v>21538319.02</v>
      </c>
      <c r="J18" s="11" t="n">
        <f aca="false">IF(H18="","N/D",H18-I18)</f>
        <v>396112029.65</v>
      </c>
      <c r="K18" s="10" t="n">
        <f aca="false">SUMIFS(Detalle_62!$F$14:$F$35,Detalle_62!$C$14:$C$35,E18)</f>
        <v>381845387.419314</v>
      </c>
      <c r="L18" s="11" t="n">
        <f aca="false">IF(H18="","N/D",K18-J18)</f>
        <v>-14266642.2306862</v>
      </c>
      <c r="M18" s="28" t="n">
        <v>0.1422</v>
      </c>
      <c r="N18" s="34" t="n">
        <f aca="false">INDEX(Detalle_62!$J$14:$J$35,MATCH(E18,Detalle_62!$C$14:$C$35,0))</f>
        <v>0.145417886389703</v>
      </c>
      <c r="O18" s="31" t="n">
        <f aca="false">(N18-M18)*10000</f>
        <v>32.1788638970291</v>
      </c>
      <c r="P18" s="5" t="n">
        <v>47506</v>
      </c>
      <c r="Q18" s="35" t="n">
        <f aca="false">INDEX(Detalle_62!$P$14:$P$35,MATCH(E18,Detalle_62!$C$14:$C$35,0))</f>
        <v>47503</v>
      </c>
      <c r="R18" s="4" t="str">
        <f aca="false">IF(P18="","N/D",IF(P18=Q18,"Sí","NO"))</f>
        <v>NO</v>
      </c>
      <c r="S18" s="36" t="s">
        <v>1144</v>
      </c>
    </row>
    <row r="19" customFormat="false" ht="36" hidden="false" customHeight="true" outlineLevel="0" collapsed="false">
      <c r="A19" s="4" t="n">
        <v>15</v>
      </c>
      <c r="B19" s="16" t="n">
        <v>21</v>
      </c>
      <c r="C19" s="16" t="s">
        <v>1133</v>
      </c>
      <c r="D19" s="16" t="s">
        <v>1145</v>
      </c>
      <c r="E19" s="12" t="s">
        <v>607</v>
      </c>
      <c r="F19" s="16" t="s">
        <v>1135</v>
      </c>
      <c r="G19" s="5" t="n">
        <v>46213</v>
      </c>
      <c r="H19" s="17" t="n">
        <v>417736780.24</v>
      </c>
      <c r="I19" s="17" t="n">
        <v>21542838.16</v>
      </c>
      <c r="J19" s="11" t="n">
        <f aca="false">IF(H19="","N/D",H19-I19)</f>
        <v>396193942.08</v>
      </c>
      <c r="K19" s="10" t="n">
        <f aca="false">SUMIFS(Detalle_62!$F$14:$F$35,Detalle_62!$C$14:$C$35,E19)</f>
        <v>382649239.487494</v>
      </c>
      <c r="L19" s="11" t="n">
        <f aca="false">IF(H19="","N/D",K19-J19)</f>
        <v>-13544702.592506</v>
      </c>
      <c r="M19" s="28" t="n">
        <v>0.1422</v>
      </c>
      <c r="N19" s="34" t="n">
        <f aca="false">INDEX(Detalle_62!$J$14:$J$35,MATCH(E19,Detalle_62!$C$14:$C$35,0))</f>
        <v>0.145417886389703</v>
      </c>
      <c r="O19" s="31" t="n">
        <f aca="false">(N19-M19)*10000</f>
        <v>32.1788638970291</v>
      </c>
      <c r="P19" s="5" t="n">
        <v>47503</v>
      </c>
      <c r="Q19" s="35" t="n">
        <f aca="false">INDEX(Detalle_62!$P$14:$P$35,MATCH(E19,Detalle_62!$C$14:$C$35,0))</f>
        <v>47503</v>
      </c>
      <c r="R19" s="4" t="str">
        <f aca="false">IF(P19="","N/D",IF(P19=Q19,"Sí","NO"))</f>
        <v>Sí</v>
      </c>
      <c r="S19" s="36" t="s">
        <v>1146</v>
      </c>
    </row>
    <row r="20" customFormat="false" ht="36" hidden="false" customHeight="true" outlineLevel="0" collapsed="false">
      <c r="A20" s="4" t="n">
        <v>16</v>
      </c>
      <c r="B20" s="16" t="n">
        <v>22</v>
      </c>
      <c r="C20" s="16" t="s">
        <v>1129</v>
      </c>
      <c r="D20" s="16" t="s">
        <v>1147</v>
      </c>
      <c r="E20" s="12" t="s">
        <v>571</v>
      </c>
      <c r="F20" s="16" t="s">
        <v>1131</v>
      </c>
      <c r="G20" s="5" t="n">
        <v>46198</v>
      </c>
      <c r="H20" s="17"/>
      <c r="I20" s="17" t="n">
        <v>0</v>
      </c>
      <c r="J20" s="11" t="str">
        <f aca="false">IF(H20="","N/D",H20-I20)</f>
        <v>N/D</v>
      </c>
      <c r="K20" s="10" t="n">
        <f aca="false">SUMIFS(Detalle_62!$F$14:$F$35,Detalle_62!$C$14:$C$35,E20)</f>
        <v>398582167.21439</v>
      </c>
      <c r="L20" s="11" t="str">
        <f aca="false">IF(H20="","N/D",K20-J20)</f>
        <v>N/D</v>
      </c>
      <c r="M20" s="28" t="n">
        <v>0.1603</v>
      </c>
      <c r="N20" s="34" t="n">
        <f aca="false">INDEX(Detalle_62!$J$14:$J$35,MATCH(E20,Detalle_62!$C$14:$C$35,0))</f>
        <v>0.167133181668336</v>
      </c>
      <c r="O20" s="31" t="n">
        <f aca="false">(N20-M20)*10000</f>
        <v>68.3318166833549</v>
      </c>
      <c r="P20" s="5"/>
      <c r="Q20" s="35" t="n">
        <f aca="false">INDEX(Detalle_62!$P$14:$P$35,MATCH(E20,Detalle_62!$C$14:$C$35,0))</f>
        <v>47037</v>
      </c>
      <c r="R20" s="4" t="str">
        <f aca="false">IF(P20="","N/D",IF(P20=Q20,"Sí","NO"))</f>
        <v>N/D</v>
      </c>
      <c r="S20" s="36" t="s">
        <v>1148</v>
      </c>
    </row>
    <row r="21" customFormat="false" ht="36" hidden="false" customHeight="true" outlineLevel="0" collapsed="false">
      <c r="A21" s="4" t="n">
        <v>17</v>
      </c>
      <c r="B21" s="16" t="n">
        <v>24</v>
      </c>
      <c r="C21" s="16" t="s">
        <v>1129</v>
      </c>
      <c r="D21" s="16" t="s">
        <v>1149</v>
      </c>
      <c r="E21" s="12" t="s">
        <v>567</v>
      </c>
      <c r="F21" s="16" t="s">
        <v>1131</v>
      </c>
      <c r="G21" s="5" t="n">
        <v>46191</v>
      </c>
      <c r="H21" s="17"/>
      <c r="I21" s="17" t="n">
        <v>0</v>
      </c>
      <c r="J21" s="11" t="str">
        <f aca="false">IF(H21="","N/D",H21-I21)</f>
        <v>N/D</v>
      </c>
      <c r="K21" s="10" t="n">
        <f aca="false">SUMIFS(Detalle_62!$F$14:$F$35,Detalle_62!$C$14:$C$35,E21)</f>
        <v>323529688.533944</v>
      </c>
      <c r="L21" s="11" t="str">
        <f aca="false">IF(H21="","N/D",K21-J21)</f>
        <v>N/D</v>
      </c>
      <c r="M21" s="28" t="n">
        <v>0.1593</v>
      </c>
      <c r="N21" s="34" t="n">
        <f aca="false">INDEX(Detalle_62!$J$14:$J$35,MATCH(E21,Detalle_62!$C$14:$C$35,0))</f>
        <v>0.167133181668336</v>
      </c>
      <c r="O21" s="31" t="n">
        <f aca="false">(N21-M21)*10000</f>
        <v>78.3318166833549</v>
      </c>
      <c r="P21" s="5"/>
      <c r="Q21" s="35" t="n">
        <f aca="false">INDEX(Detalle_62!$P$14:$P$35,MATCH(E21,Detalle_62!$C$14:$C$35,0))</f>
        <v>47098</v>
      </c>
      <c r="R21" s="4" t="str">
        <f aca="false">IF(P21="","N/D",IF(P21=Q21,"Sí","NO"))</f>
        <v>N/D</v>
      </c>
      <c r="S21" s="36" t="s">
        <v>1150</v>
      </c>
    </row>
    <row r="22" customFormat="false" ht="15" hidden="false" customHeight="false" outlineLevel="0" collapsed="false">
      <c r="F22" s="18" t="s">
        <v>1151</v>
      </c>
      <c r="J22" s="19" t="n">
        <f aca="false">SUMIFS(J5:J21,$H$5:$H$21,"&lt;&gt;")</f>
        <v>35993167209.59</v>
      </c>
      <c r="K22" s="19" t="n">
        <f aca="false">SUMIFS(K5:K21,$H$5:$H$21,"&lt;&gt;")</f>
        <v>35821567508.9688</v>
      </c>
      <c r="L22" s="19" t="n">
        <f aca="false">SUM(L5:L21)</f>
        <v>-171599700.621224</v>
      </c>
    </row>
    <row r="23" customFormat="false" ht="15" hidden="false" customHeight="false" outlineLevel="0" collapsed="false">
      <c r="F23" s="4" t="s">
        <v>1152</v>
      </c>
      <c r="L23" s="37" t="n">
        <f aca="false">SUMIFS(L5:L21,E5:E21,"BOG-L*")</f>
        <v>-171608254.364557</v>
      </c>
    </row>
    <row r="24" customFormat="false" ht="15" hidden="false" customHeight="false" outlineLevel="0" collapsed="false">
      <c r="F24" s="4" t="s">
        <v>1153</v>
      </c>
      <c r="L24" s="11" t="n">
        <f aca="false">L22-L23</f>
        <v>8553.74333286285</v>
      </c>
    </row>
    <row r="26" customFormat="false" ht="15" hidden="false" customHeight="false" outlineLevel="0" collapsed="false">
      <c r="A26" s="24" t="s">
        <v>1154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</row>
    <row r="27" customFormat="false" ht="30" hidden="false" customHeight="true" outlineLevel="0" collapsed="false">
      <c r="A27" s="8"/>
      <c r="B27" s="8"/>
      <c r="C27" s="8" t="s">
        <v>1014</v>
      </c>
      <c r="D27" s="8" t="s">
        <v>1155</v>
      </c>
      <c r="E27" s="8" t="s">
        <v>1016</v>
      </c>
      <c r="F27" s="8" t="s">
        <v>1017</v>
      </c>
      <c r="G27" s="8"/>
      <c r="H27" s="8"/>
      <c r="I27" s="8"/>
      <c r="J27" s="8"/>
      <c r="K27" s="8" t="s">
        <v>1098</v>
      </c>
    </row>
    <row r="28" customFormat="false" ht="15" hidden="false" customHeight="false" outlineLevel="0" collapsed="false">
      <c r="C28" s="16" t="s">
        <v>1067</v>
      </c>
      <c r="D28" s="16" t="s">
        <v>1068</v>
      </c>
      <c r="E28" s="12" t="s">
        <v>135</v>
      </c>
      <c r="F28" s="4" t="s">
        <v>67</v>
      </c>
      <c r="K28" s="10" t="n">
        <f aca="false">SUMIFS(Detalle_62!$F$14:$F$35,Detalle_62!$C$14:$C$35,E28)</f>
        <v>287500000</v>
      </c>
    </row>
    <row r="29" customFormat="false" ht="15" hidden="false" customHeight="false" outlineLevel="0" collapsed="false">
      <c r="C29" s="16" t="s">
        <v>1069</v>
      </c>
      <c r="D29" s="16" t="s">
        <v>1156</v>
      </c>
      <c r="E29" s="12" t="s">
        <v>86</v>
      </c>
      <c r="F29" s="4" t="s">
        <v>67</v>
      </c>
      <c r="K29" s="10" t="n">
        <f aca="false">SUMIFS(Detalle_62!$F$14:$F$35,Detalle_62!$C$14:$C$35,E29)</f>
        <v>4700000000</v>
      </c>
    </row>
    <row r="30" customFormat="false" ht="15" hidden="false" customHeight="false" outlineLevel="0" collapsed="false">
      <c r="C30" s="16" t="s">
        <v>138</v>
      </c>
      <c r="D30" s="16" t="s">
        <v>1072</v>
      </c>
      <c r="E30" s="12" t="s">
        <v>657</v>
      </c>
      <c r="F30" s="4" t="s">
        <v>1040</v>
      </c>
      <c r="K30" s="10" t="n">
        <f aca="false">SUMIFS(Detalle_62!$F$14:$F$35,Detalle_62!$C$14:$C$35,E30)</f>
        <v>497241599</v>
      </c>
    </row>
    <row r="31" customFormat="false" ht="15" hidden="false" customHeight="false" outlineLevel="0" collapsed="false">
      <c r="C31" s="16" t="s">
        <v>138</v>
      </c>
      <c r="D31" s="16" t="s">
        <v>1074</v>
      </c>
      <c r="E31" s="12" t="s">
        <v>646</v>
      </c>
      <c r="F31" s="4" t="s">
        <v>1040</v>
      </c>
      <c r="K31" s="10" t="n">
        <f aca="false">SUMIFS(Detalle_62!$F$14:$F$35,Detalle_62!$C$14:$C$35,E31)</f>
        <v>770085425.158301</v>
      </c>
    </row>
    <row r="32" customFormat="false" ht="15" hidden="false" customHeight="false" outlineLevel="0" collapsed="false">
      <c r="C32" s="16" t="s">
        <v>138</v>
      </c>
      <c r="D32" s="16" t="s">
        <v>1076</v>
      </c>
      <c r="E32" s="12" t="s">
        <v>643</v>
      </c>
      <c r="F32" s="4" t="s">
        <v>1040</v>
      </c>
      <c r="K32" s="10" t="n">
        <f aca="false">SUMIFS(Detalle_62!$F$14:$F$35,Detalle_62!$C$14:$C$35,E32)</f>
        <v>503693510</v>
      </c>
    </row>
    <row r="33" customFormat="false" ht="15" hidden="false" customHeight="false" outlineLevel="0" collapsed="false">
      <c r="C33" s="16" t="s">
        <v>1114</v>
      </c>
      <c r="D33" s="16" t="s">
        <v>1157</v>
      </c>
      <c r="E33" s="12" t="s">
        <v>547</v>
      </c>
      <c r="F33" s="4" t="s">
        <v>1040</v>
      </c>
      <c r="K33" s="10" t="n">
        <f aca="false">SUMIFS(Mayor_Mov!$F$5:$F$445,Mayor_Mov!$N$5:$N$445,E33)-SUMIFS(Mayor_Mov!$E$5:$E$445,Mayor_Mov!$N$5:$N$445,E33)</f>
        <v>675837500</v>
      </c>
    </row>
    <row r="34" customFormat="false" ht="15" hidden="false" customHeight="false" outlineLevel="0" collapsed="false">
      <c r="F34" s="18" t="s">
        <v>1158</v>
      </c>
      <c r="K34" s="19" t="n">
        <f aca="false">SUM(K28:K32)</f>
        <v>6758520534.1583</v>
      </c>
    </row>
    <row r="35" customFormat="false" ht="15" hidden="false" customHeight="false" outlineLevel="0" collapsed="false">
      <c r="F35" s="4" t="s">
        <v>1159</v>
      </c>
      <c r="K35" s="14" t="n">
        <f aca="false">1-K34/Detalle_62!$F$36</f>
        <v>0.850428591179834</v>
      </c>
    </row>
    <row r="37" customFormat="false" ht="15" hidden="false" customHeight="false" outlineLevel="0" collapsed="false">
      <c r="A37" s="24" t="s">
        <v>1160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customFormat="false" ht="30" hidden="false" customHeight="true" outlineLevel="0" collapsed="false">
      <c r="A38" s="8"/>
      <c r="B38" s="8"/>
      <c r="C38" s="8" t="s">
        <v>1016</v>
      </c>
      <c r="D38" s="8" t="s">
        <v>982</v>
      </c>
      <c r="E38" s="8" t="s">
        <v>1161</v>
      </c>
      <c r="F38" s="8" t="s">
        <v>69</v>
      </c>
      <c r="G38" s="8"/>
      <c r="H38" s="8" t="s">
        <v>1162</v>
      </c>
      <c r="I38" s="8" t="s">
        <v>1163</v>
      </c>
      <c r="J38" s="8" t="s">
        <v>10</v>
      </c>
      <c r="K38" s="8"/>
      <c r="L38" s="8"/>
      <c r="M38" s="8"/>
      <c r="N38" s="8"/>
      <c r="O38" s="8"/>
      <c r="P38" s="8"/>
      <c r="Q38" s="8"/>
      <c r="R38" s="8"/>
      <c r="S38" s="8" t="s">
        <v>988</v>
      </c>
    </row>
    <row r="39" customFormat="false" ht="24" hidden="false" customHeight="true" outlineLevel="0" collapsed="false">
      <c r="C39" s="12" t="s">
        <v>702</v>
      </c>
      <c r="D39" s="36" t="s">
        <v>1164</v>
      </c>
      <c r="E39" s="16" t="s">
        <v>722</v>
      </c>
      <c r="F39" s="35" t="n">
        <f aca="false">INDEX(Mayor_Mov!$H$5:$H$445,MATCH(E39,Mayor_Mov!$J$5:$J$445,0))</f>
        <v>46105</v>
      </c>
      <c r="H39" s="17" t="n">
        <v>445208000</v>
      </c>
      <c r="I39" s="10" t="n">
        <f aca="false">SUMIFS(Mayor_Mov!$E$5:$E$445,Mayor_Mov!$J$5:$J$445,E39,Mayor_Mov!$N$5:$N$445,C39)</f>
        <v>445208000</v>
      </c>
      <c r="J39" s="11" t="n">
        <f aca="false">I39-H39</f>
        <v>0</v>
      </c>
      <c r="S39" s="36" t="s">
        <v>1165</v>
      </c>
    </row>
    <row r="40" customFormat="false" ht="24" hidden="false" customHeight="true" outlineLevel="0" collapsed="false">
      <c r="C40" s="12" t="s">
        <v>704</v>
      </c>
      <c r="D40" s="36" t="s">
        <v>1166</v>
      </c>
      <c r="E40" s="16" t="s">
        <v>708</v>
      </c>
      <c r="F40" s="35" t="n">
        <f aca="false">INDEX(Mayor_Mov!$H$5:$H$445,MATCH(E40,Mayor_Mov!$J$5:$J$445,0))</f>
        <v>46051</v>
      </c>
      <c r="H40" s="17" t="n">
        <v>243933000</v>
      </c>
      <c r="I40" s="10" t="n">
        <f aca="false">SUMIFS(Mayor_Mov!$E$5:$E$445,Mayor_Mov!$J$5:$J$445,E40,Mayor_Mov!$N$5:$N$445,C40)</f>
        <v>243933000</v>
      </c>
      <c r="J40" s="11" t="n">
        <f aca="false">I40-H40</f>
        <v>0</v>
      </c>
      <c r="S40" s="36" t="s">
        <v>1167</v>
      </c>
    </row>
    <row r="41" customFormat="false" ht="24" hidden="false" customHeight="true" outlineLevel="0" collapsed="false">
      <c r="C41" s="12" t="s">
        <v>707</v>
      </c>
      <c r="D41" s="36" t="s">
        <v>1168</v>
      </c>
      <c r="E41" s="16" t="s">
        <v>710</v>
      </c>
      <c r="F41" s="35" t="n">
        <f aca="false">INDEX(Mayor_Mov!$H$5:$H$445,MATCH(E41,Mayor_Mov!$J$5:$J$445,0))</f>
        <v>46051</v>
      </c>
      <c r="H41" s="17" t="n">
        <v>184798000</v>
      </c>
      <c r="I41" s="10" t="n">
        <f aca="false">SUMIFS(Mayor_Mov!$E$5:$E$445,Mayor_Mov!$J$5:$J$445,E41,Mayor_Mov!$N$5:$N$445,C41)</f>
        <v>184798000</v>
      </c>
      <c r="J41" s="11" t="n">
        <f aca="false">I41-H41</f>
        <v>0</v>
      </c>
      <c r="S41" s="36" t="s">
        <v>1169</v>
      </c>
    </row>
    <row r="42" customFormat="false" ht="24" hidden="false" customHeight="true" outlineLevel="0" collapsed="false">
      <c r="C42" s="12" t="s">
        <v>704</v>
      </c>
      <c r="D42" s="36" t="s">
        <v>1170</v>
      </c>
      <c r="E42" s="16" t="s">
        <v>737</v>
      </c>
      <c r="F42" s="35" t="n">
        <f aca="false">INDEX(Mayor_Mov!$H$5:$H$445,MATCH(E42,Mayor_Mov!$J$5:$J$445,0))</f>
        <v>46231</v>
      </c>
      <c r="H42" s="17" t="n">
        <v>272299382.05</v>
      </c>
      <c r="I42" s="10" t="n">
        <f aca="false">SUMIFS(Mayor_Mov!$E$5:$E$445,Mayor_Mov!$J$5:$J$445,E42,Mayor_Mov!$N$5:$N$445,C42)</f>
        <v>272300000</v>
      </c>
      <c r="J42" s="11" t="n">
        <f aca="false">I42-H42</f>
        <v>617.949999988079</v>
      </c>
      <c r="S42" s="36" t="s">
        <v>1171</v>
      </c>
    </row>
    <row r="43" customFormat="false" ht="24" hidden="false" customHeight="true" outlineLevel="0" collapsed="false">
      <c r="C43" s="12" t="s">
        <v>707</v>
      </c>
      <c r="D43" s="36" t="s">
        <v>1170</v>
      </c>
      <c r="E43" s="16" t="s">
        <v>739</v>
      </c>
      <c r="F43" s="35" t="n">
        <f aca="false">INDEX(Mayor_Mov!$H$5:$H$445,MATCH(E43,Mayor_Mov!$J$5:$J$445,0))</f>
        <v>46231</v>
      </c>
      <c r="H43" s="17" t="n">
        <v>206287213.2</v>
      </c>
      <c r="I43" s="10" t="n">
        <f aca="false">SUMIFS(Mayor_Mov!$E$5:$E$445,Mayor_Mov!$J$5:$J$445,E43,Mayor_Mov!$N$5:$N$445,C43)</f>
        <v>206288000</v>
      </c>
      <c r="J43" s="11" t="n">
        <f aca="false">I43-H43</f>
        <v>786.800000011921</v>
      </c>
      <c r="S43" s="36" t="s">
        <v>1172</v>
      </c>
    </row>
    <row r="44" customFormat="false" ht="24" hidden="false" customHeight="true" outlineLevel="0" collapsed="false">
      <c r="C44" s="12" t="s">
        <v>116</v>
      </c>
      <c r="D44" s="36" t="s">
        <v>1173</v>
      </c>
      <c r="E44" s="16" t="s">
        <v>114</v>
      </c>
      <c r="F44" s="35" t="n">
        <f aca="false">INDEX(Mayor_Mov!$H$5:$H$445,MATCH(E44,Mayor_Mov!$J$5:$J$445,0))</f>
        <v>46100</v>
      </c>
      <c r="H44" s="17" t="n">
        <v>182166667.53</v>
      </c>
      <c r="I44" s="10" t="n">
        <f aca="false">SUMIFS(Mayor_Mov!$E$5:$E$445,Mayor_Mov!$J$5:$J$445,E44,Mayor_Mov!$N$5:$N$445,C44)</f>
        <v>182166667</v>
      </c>
      <c r="J44" s="11" t="n">
        <f aca="false">I44-H44</f>
        <v>-0.530000001192093</v>
      </c>
      <c r="S44" s="36" t="s">
        <v>1174</v>
      </c>
    </row>
    <row r="45" customFormat="false" ht="24" hidden="false" customHeight="true" outlineLevel="0" collapsed="false">
      <c r="C45" s="12" t="s">
        <v>116</v>
      </c>
      <c r="D45" s="36" t="s">
        <v>1175</v>
      </c>
      <c r="E45" s="16" t="s">
        <v>751</v>
      </c>
      <c r="F45" s="35" t="n">
        <f aca="false">INDEX(Mayor_Mov!$H$5:$H$445,MATCH(E45,Mayor_Mov!$J$5:$J$445,0))</f>
        <v>46100</v>
      </c>
      <c r="H45" s="17" t="n">
        <v>56089116.47</v>
      </c>
      <c r="I45" s="10" t="n">
        <f aca="false">SUMIFS(Mayor_Mov!$E$5:$E$445,Mayor_Mov!$J$5:$J$445,E45,Mayor_Mov!$N$5:$N$445,C45)</f>
        <v>56089116</v>
      </c>
      <c r="J45" s="11" t="n">
        <f aca="false">I45-H45</f>
        <v>-0.469999998807907</v>
      </c>
      <c r="S45" s="36"/>
    </row>
    <row r="46" customFormat="false" ht="24" hidden="false" customHeight="true" outlineLevel="0" collapsed="false">
      <c r="C46" s="12" t="s">
        <v>116</v>
      </c>
      <c r="D46" s="36" t="s">
        <v>1176</v>
      </c>
      <c r="E46" s="16" t="s">
        <v>127</v>
      </c>
      <c r="F46" s="35" t="n">
        <f aca="false">INDEX(Mayor_Mov!$H$5:$H$445,MATCH(E46,Mayor_Mov!$J$5:$J$445,0))</f>
        <v>46197</v>
      </c>
      <c r="H46" s="17" t="n">
        <v>182166667</v>
      </c>
      <c r="I46" s="10" t="n">
        <f aca="false">SUMIFS(Mayor_Mov!$E$5:$E$445,Mayor_Mov!$J$5:$J$445,E46,Mayor_Mov!$N$5:$N$445,C46)</f>
        <v>182166667</v>
      </c>
      <c r="J46" s="11" t="n">
        <f aca="false">I46-H46</f>
        <v>0</v>
      </c>
      <c r="S46" s="36"/>
    </row>
    <row r="47" customFormat="false" ht="24" hidden="false" customHeight="true" outlineLevel="0" collapsed="false">
      <c r="C47" s="12" t="s">
        <v>116</v>
      </c>
      <c r="D47" s="36" t="s">
        <v>1177</v>
      </c>
      <c r="E47" s="16" t="s">
        <v>763</v>
      </c>
      <c r="F47" s="35" t="n">
        <f aca="false">INDEX(Mayor_Mov!$H$5:$H$445,MATCH(E47,Mayor_Mov!$J$5:$J$445,0))</f>
        <v>46203</v>
      </c>
      <c r="H47" s="17" t="n">
        <v>59390887.23</v>
      </c>
      <c r="I47" s="10" t="n">
        <f aca="false">SUMIFS(Mayor_Mov!$E$5:$E$445,Mayor_Mov!$J$5:$J$445,E47,Mayor_Mov!$N$5:$N$445,C47)</f>
        <v>59390887</v>
      </c>
      <c r="J47" s="11" t="n">
        <f aca="false">I47-H47</f>
        <v>-0.229999996721745</v>
      </c>
      <c r="S47" s="36"/>
    </row>
    <row r="48" customFormat="false" ht="24" hidden="false" customHeight="true" outlineLevel="0" collapsed="false">
      <c r="C48" s="12" t="s">
        <v>107</v>
      </c>
      <c r="D48" s="36" t="s">
        <v>1178</v>
      </c>
      <c r="E48" s="16" t="s">
        <v>125</v>
      </c>
      <c r="F48" s="35" t="n">
        <f aca="false">INDEX(Mayor_Mov!$H$5:$H$445,MATCH(E48,Mayor_Mov!$J$5:$J$445,0))</f>
        <v>46197</v>
      </c>
      <c r="H48" s="17" t="n">
        <v>62500000.09</v>
      </c>
      <c r="I48" s="10" t="n">
        <f aca="false">SUMIFS(Mayor_Mov!$E$5:$E$445,Mayor_Mov!$J$5:$J$445,E48,Mayor_Mov!$N$5:$N$445,C48)</f>
        <v>62500000</v>
      </c>
      <c r="J48" s="11" t="n">
        <f aca="false">I48-H48</f>
        <v>-0.0900000035762787</v>
      </c>
      <c r="S48" s="36"/>
    </row>
    <row r="49" customFormat="false" ht="24" hidden="false" customHeight="true" outlineLevel="0" collapsed="false">
      <c r="C49" s="12" t="s">
        <v>107</v>
      </c>
      <c r="D49" s="36" t="s">
        <v>1179</v>
      </c>
      <c r="E49" s="16" t="s">
        <v>129</v>
      </c>
      <c r="F49" s="35" t="n">
        <f aca="false">INDEX(Mayor_Mov!$H$5:$H$445,MATCH(E49,Mayor_Mov!$J$5:$J$445,0))</f>
        <v>46230</v>
      </c>
      <c r="H49" s="17" t="n">
        <v>62500000</v>
      </c>
      <c r="I49" s="10" t="n">
        <f aca="false">SUMIFS(Mayor_Mov!$E$5:$E$445,Mayor_Mov!$J$5:$J$445,E49,Mayor_Mov!$N$5:$N$445,C49)</f>
        <v>62500000</v>
      </c>
      <c r="J49" s="11" t="n">
        <f aca="false">I49-H49</f>
        <v>0</v>
      </c>
      <c r="S49" s="36" t="s">
        <v>1180</v>
      </c>
    </row>
    <row r="50" customFormat="false" ht="24" hidden="false" customHeight="true" outlineLevel="0" collapsed="false">
      <c r="C50" s="12" t="s">
        <v>113</v>
      </c>
      <c r="D50" s="36" t="s">
        <v>1181</v>
      </c>
      <c r="E50" s="16" t="s">
        <v>121</v>
      </c>
      <c r="F50" s="35" t="n">
        <f aca="false">INDEX(Mayor_Mov!$H$5:$H$445,MATCH(E50,Mayor_Mov!$J$5:$J$445,0))</f>
        <v>46164</v>
      </c>
      <c r="H50" s="17" t="n">
        <v>125000000.56</v>
      </c>
      <c r="I50" s="10" t="n">
        <f aca="false">SUMIFS(Mayor_Mov!$E$5:$E$445,Mayor_Mov!$J$5:$J$445,E50,Mayor_Mov!$N$5:$N$445,C50)</f>
        <v>125000000</v>
      </c>
      <c r="J50" s="11" t="n">
        <f aca="false">I50-H50</f>
        <v>-0.560000002384186</v>
      </c>
      <c r="S50" s="36"/>
    </row>
    <row r="51" customFormat="false" ht="24" hidden="false" customHeight="true" outlineLevel="0" collapsed="false">
      <c r="C51" s="12" t="s">
        <v>113</v>
      </c>
      <c r="D51" s="36" t="s">
        <v>1182</v>
      </c>
      <c r="E51" s="16" t="s">
        <v>761</v>
      </c>
      <c r="F51" s="35" t="n">
        <f aca="false">INDEX(Mayor_Mov!$H$5:$H$445,MATCH(E51,Mayor_Mov!$J$5:$J$445,0))</f>
        <v>46164</v>
      </c>
      <c r="H51" s="17" t="n">
        <v>46619930.44</v>
      </c>
      <c r="I51" s="10" t="n">
        <f aca="false">SUMIFS(Mayor_Mov!$E$5:$E$445,Mayor_Mov!$J$5:$J$445,E51,Mayor_Mov!$N$5:$N$445,C51)</f>
        <v>46619930</v>
      </c>
      <c r="J51" s="11" t="n">
        <f aca="false">I51-H51</f>
        <v>-0.439999997615814</v>
      </c>
      <c r="S51" s="36"/>
    </row>
    <row r="52" customFormat="false" ht="24" hidden="false" customHeight="true" outlineLevel="0" collapsed="false">
      <c r="C52" s="12" t="s">
        <v>97</v>
      </c>
      <c r="D52" s="36" t="s">
        <v>1183</v>
      </c>
      <c r="E52" s="16" t="s">
        <v>756</v>
      </c>
      <c r="F52" s="35" t="n">
        <f aca="false">INDEX(Mayor_Mov!$H$5:$H$445,MATCH(E52,Mayor_Mov!$J$5:$J$445,0))</f>
        <v>46136</v>
      </c>
      <c r="H52" s="17" t="n">
        <v>254610555.55</v>
      </c>
      <c r="I52" s="10" t="n">
        <f aca="false">SUMIFS(Mayor_Mov!$E$5:$E$445,Mayor_Mov!$J$5:$J$445,E52,Mayor_Mov!$N$5:$N$445,C52)</f>
        <v>254610556</v>
      </c>
      <c r="J52" s="11" t="n">
        <f aca="false">I52-H52</f>
        <v>0.449999988079071</v>
      </c>
      <c r="S52" s="36"/>
    </row>
    <row r="53" customFormat="false" ht="24" hidden="false" customHeight="true" outlineLevel="0" collapsed="false">
      <c r="C53" s="12" t="s">
        <v>97</v>
      </c>
      <c r="D53" s="36" t="s">
        <v>1184</v>
      </c>
      <c r="E53" s="16" t="s">
        <v>771</v>
      </c>
      <c r="F53" s="35" t="n">
        <f aca="false">INDEX(Mayor_Mov!$H$5:$H$445,MATCH(E53,Mayor_Mov!$J$5:$J$445,0))</f>
        <v>46230</v>
      </c>
      <c r="H53" s="17" t="n">
        <v>299617500</v>
      </c>
      <c r="I53" s="10" t="n">
        <f aca="false">SUMIFS(Mayor_Mov!$E$5:$E$445,Mayor_Mov!$J$5:$J$445,E53,Mayor_Mov!$N$5:$N$445,C53)</f>
        <v>299617499</v>
      </c>
      <c r="J53" s="11" t="n">
        <f aca="false">I53-H53</f>
        <v>-1</v>
      </c>
      <c r="S53" s="36"/>
    </row>
    <row r="54" customFormat="false" ht="24" hidden="false" customHeight="true" outlineLevel="0" collapsed="false">
      <c r="C54" s="12" t="s">
        <v>610</v>
      </c>
      <c r="D54" s="36" t="s">
        <v>1185</v>
      </c>
      <c r="E54" s="16" t="s">
        <v>621</v>
      </c>
      <c r="F54" s="35" t="n">
        <f aca="false">INDEX(Mayor_Mov!$H$5:$H$445,MATCH(E54,Mayor_Mov!$J$5:$J$445,0))</f>
        <v>46136</v>
      </c>
      <c r="H54" s="17" t="n">
        <v>62648860.03</v>
      </c>
      <c r="I54" s="10" t="n">
        <f aca="false">SUMIFS(Mayor_Mov!$E$5:$E$445,Mayor_Mov!$J$5:$J$445,E54,Mayor_Mov!$N$5:$N$445,C54)</f>
        <v>62648860.03</v>
      </c>
      <c r="J54" s="11" t="n">
        <f aca="false">I54-H54</f>
        <v>0</v>
      </c>
      <c r="S54" s="36"/>
    </row>
    <row r="55" customFormat="false" ht="24" hidden="false" customHeight="true" outlineLevel="0" collapsed="false">
      <c r="C55" s="12" t="s">
        <v>610</v>
      </c>
      <c r="D55" s="36" t="s">
        <v>1186</v>
      </c>
      <c r="E55" s="16" t="s">
        <v>854</v>
      </c>
      <c r="F55" s="35" t="n">
        <f aca="false">INDEX(Mayor_Mov!$H$5:$H$445,MATCH(E55,Mayor_Mov!$J$5:$J$445,0))</f>
        <v>46136</v>
      </c>
      <c r="H55" s="17" t="n">
        <v>36783056.97</v>
      </c>
      <c r="I55" s="10" t="n">
        <f aca="false">SUMIFS(Mayor_Mov!$E$5:$E$445,Mayor_Mov!$J$5:$J$445,E55,Mayor_Mov!$N$5:$N$445,C55)</f>
        <v>36783056</v>
      </c>
      <c r="J55" s="11" t="n">
        <f aca="false">I55-H55</f>
        <v>-0.969999998807907</v>
      </c>
      <c r="S55" s="36"/>
    </row>
    <row r="56" customFormat="false" ht="24" hidden="false" customHeight="true" outlineLevel="0" collapsed="false">
      <c r="C56" s="12" t="s">
        <v>610</v>
      </c>
      <c r="D56" s="36" t="s">
        <v>1187</v>
      </c>
      <c r="E56" s="16" t="s">
        <v>637</v>
      </c>
      <c r="F56" s="35" t="n">
        <f aca="false">INDEX(Mayor_Mov!$H$5:$H$445,MATCH(E56,Mayor_Mov!$J$5:$J$445,0))</f>
        <v>46231</v>
      </c>
      <c r="H56" s="17" t="n">
        <v>62866117.12</v>
      </c>
      <c r="I56" s="10" t="n">
        <f aca="false">SUMIFS(Mayor_Mov!$E$5:$E$445,Mayor_Mov!$J$5:$J$445,E56,Mayor_Mov!$N$5:$N$445,C56)</f>
        <v>62866117.12</v>
      </c>
      <c r="J56" s="11" t="n">
        <f aca="false">I56-H56</f>
        <v>0</v>
      </c>
      <c r="S56" s="36"/>
    </row>
    <row r="57" customFormat="false" ht="24" hidden="false" customHeight="true" outlineLevel="0" collapsed="false">
      <c r="C57" s="12" t="s">
        <v>610</v>
      </c>
      <c r="D57" s="36" t="s">
        <v>1188</v>
      </c>
      <c r="E57" s="16" t="s">
        <v>888</v>
      </c>
      <c r="F57" s="35" t="n">
        <f aca="false">INDEX(Mayor_Mov!$H$5:$H$445,MATCH(E57,Mayor_Mov!$J$5:$J$445,0))</f>
        <v>46231</v>
      </c>
      <c r="H57" s="17" t="n">
        <v>39578631.88</v>
      </c>
      <c r="I57" s="10" t="n">
        <f aca="false">SUMIFS(Mayor_Mov!$E$5:$E$445,Mayor_Mov!$J$5:$J$445,E57,Mayor_Mov!$N$5:$N$445,C57)</f>
        <v>39578631</v>
      </c>
      <c r="J57" s="11" t="n">
        <f aca="false">I57-H57</f>
        <v>-0.880000002682209</v>
      </c>
      <c r="S57" s="36"/>
    </row>
    <row r="58" customFormat="false" ht="24" hidden="false" customHeight="true" outlineLevel="0" collapsed="false">
      <c r="C58" s="12" t="s">
        <v>604</v>
      </c>
      <c r="D58" s="36" t="s">
        <v>1185</v>
      </c>
      <c r="E58" s="16" t="s">
        <v>627</v>
      </c>
      <c r="F58" s="35" t="n">
        <f aca="false">INDEX(Mayor_Mov!$H$5:$H$445,MATCH(E58,Mayor_Mov!$J$5:$J$445,0))</f>
        <v>46136</v>
      </c>
      <c r="H58" s="17" t="n">
        <v>26079255.17</v>
      </c>
      <c r="I58" s="10" t="n">
        <f aca="false">SUMIFS(Mayor_Mov!$E$5:$E$445,Mayor_Mov!$J$5:$J$445,E58,Mayor_Mov!$N$5:$N$445,C58)</f>
        <v>26079255.17</v>
      </c>
      <c r="J58" s="11" t="n">
        <f aca="false">I58-H58</f>
        <v>0</v>
      </c>
      <c r="S58" s="36"/>
    </row>
    <row r="59" customFormat="false" ht="24" hidden="false" customHeight="true" outlineLevel="0" collapsed="false">
      <c r="C59" s="12" t="s">
        <v>604</v>
      </c>
      <c r="D59" s="36" t="s">
        <v>1187</v>
      </c>
      <c r="E59" s="16" t="s">
        <v>631</v>
      </c>
      <c r="F59" s="35" t="n">
        <f aca="false">INDEX(Mayor_Mov!$H$5:$H$445,MATCH(E59,Mayor_Mov!$J$5:$J$445,0))</f>
        <v>46230</v>
      </c>
      <c r="H59" s="17" t="n">
        <v>26602533.7</v>
      </c>
      <c r="I59" s="10" t="n">
        <f aca="false">SUMIFS(Mayor_Mov!$E$5:$E$445,Mayor_Mov!$J$5:$J$445,E59,Mayor_Mov!$N$5:$N$445,C59)</f>
        <v>26602533.7</v>
      </c>
      <c r="J59" s="11" t="n">
        <f aca="false">I59-H59</f>
        <v>0</v>
      </c>
      <c r="S59" s="36"/>
    </row>
    <row r="60" customFormat="false" ht="24" hidden="false" customHeight="true" outlineLevel="0" collapsed="false">
      <c r="C60" s="12" t="s">
        <v>604</v>
      </c>
      <c r="D60" s="36" t="s">
        <v>1188</v>
      </c>
      <c r="E60" s="16" t="s">
        <v>882</v>
      </c>
      <c r="F60" s="35" t="n">
        <f aca="false">INDEX(Mayor_Mov!$H$5:$H$445,MATCH(E60,Mayor_Mov!$J$5:$J$445,0))</f>
        <v>46230</v>
      </c>
      <c r="H60" s="17" t="n">
        <v>9497274.3</v>
      </c>
      <c r="I60" s="10" t="n">
        <f aca="false">SUMIFS(Mayor_Mov!$E$5:$E$445,Mayor_Mov!$J$5:$J$445,E60,Mayor_Mov!$N$5:$N$445,C60)</f>
        <v>9497274</v>
      </c>
      <c r="J60" s="11" t="n">
        <f aca="false">I60-H60</f>
        <v>-0.300000000745058</v>
      </c>
      <c r="S60" s="36"/>
    </row>
    <row r="61" customFormat="false" ht="24" hidden="false" customHeight="true" outlineLevel="0" collapsed="false">
      <c r="C61" s="12" t="s">
        <v>601</v>
      </c>
      <c r="D61" s="36" t="s">
        <v>1185</v>
      </c>
      <c r="E61" s="16" t="s">
        <v>617</v>
      </c>
      <c r="F61" s="35" t="n">
        <f aca="false">INDEX(Mayor_Mov!$H$5:$H$445,MATCH(E61,Mayor_Mov!$J$5:$J$445,0))</f>
        <v>46136</v>
      </c>
      <c r="H61" s="17" t="n">
        <v>26079255.16</v>
      </c>
      <c r="I61" s="10" t="n">
        <f aca="false">SUMIFS(Mayor_Mov!$E$5:$E$445,Mayor_Mov!$J$5:$J$445,E61,Mayor_Mov!$N$5:$N$445,C61)</f>
        <v>26079255.16</v>
      </c>
      <c r="J61" s="11" t="n">
        <f aca="false">I61-H61</f>
        <v>0</v>
      </c>
      <c r="S61" s="36"/>
    </row>
    <row r="62" customFormat="false" ht="24" hidden="false" customHeight="true" outlineLevel="0" collapsed="false">
      <c r="C62" s="12" t="s">
        <v>601</v>
      </c>
      <c r="D62" s="36" t="s">
        <v>1187</v>
      </c>
      <c r="E62" s="16" t="s">
        <v>629</v>
      </c>
      <c r="F62" s="35" t="n">
        <f aca="false">INDEX(Mayor_Mov!$H$5:$H$445,MATCH(E62,Mayor_Mov!$J$5:$J$445,0))</f>
        <v>46230</v>
      </c>
      <c r="H62" s="17" t="n">
        <v>26602533.71</v>
      </c>
      <c r="I62" s="10" t="n">
        <f aca="false">SUMIFS(Mayor_Mov!$E$5:$E$445,Mayor_Mov!$J$5:$J$445,E62,Mayor_Mov!$N$5:$N$445,C62)</f>
        <v>26602533.71</v>
      </c>
      <c r="J62" s="11" t="n">
        <f aca="false">I62-H62</f>
        <v>0</v>
      </c>
      <c r="S62" s="36"/>
    </row>
    <row r="63" customFormat="false" ht="24" hidden="false" customHeight="true" outlineLevel="0" collapsed="false">
      <c r="C63" s="12" t="s">
        <v>601</v>
      </c>
      <c r="D63" s="36" t="s">
        <v>1188</v>
      </c>
      <c r="E63" s="16" t="s">
        <v>880</v>
      </c>
      <c r="F63" s="35" t="n">
        <f aca="false">INDEX(Mayor_Mov!$H$5:$H$445,MATCH(E63,Mayor_Mov!$J$5:$J$445,0))</f>
        <v>46230</v>
      </c>
      <c r="H63" s="17" t="n">
        <v>9497274.29</v>
      </c>
      <c r="I63" s="10" t="n">
        <f aca="false">SUMIFS(Mayor_Mov!$E$5:$E$445,Mayor_Mov!$J$5:$J$445,E63,Mayor_Mov!$N$5:$N$445,C63)</f>
        <v>9497274</v>
      </c>
      <c r="J63" s="11" t="n">
        <f aca="false">I63-H63</f>
        <v>-0.28999999910593</v>
      </c>
      <c r="S63" s="36"/>
    </row>
    <row r="64" customFormat="false" ht="24" hidden="false" customHeight="true" outlineLevel="0" collapsed="false">
      <c r="C64" s="12" t="s">
        <v>613</v>
      </c>
      <c r="D64" s="36" t="s">
        <v>1185</v>
      </c>
      <c r="E64" s="16" t="s">
        <v>623</v>
      </c>
      <c r="F64" s="35" t="n">
        <f aca="false">INDEX(Mayor_Mov!$H$5:$H$445,MATCH(E64,Mayor_Mov!$J$5:$J$445,0))</f>
        <v>46136</v>
      </c>
      <c r="H64" s="17" t="n">
        <v>21315470.38</v>
      </c>
      <c r="I64" s="10" t="n">
        <f aca="false">SUMIFS(Mayor_Mov!$E$5:$E$445,Mayor_Mov!$J$5:$J$445,E64,Mayor_Mov!$N$5:$N$445,C64)</f>
        <v>21315470.38</v>
      </c>
      <c r="J64" s="11" t="n">
        <f aca="false">I64-H64</f>
        <v>0</v>
      </c>
      <c r="S64" s="36"/>
    </row>
    <row r="65" customFormat="false" ht="24" hidden="false" customHeight="true" outlineLevel="0" collapsed="false">
      <c r="C65" s="12" t="s">
        <v>613</v>
      </c>
      <c r="D65" s="36" t="s">
        <v>1187</v>
      </c>
      <c r="E65" s="16" t="s">
        <v>635</v>
      </c>
      <c r="F65" s="35" t="n">
        <f aca="false">INDEX(Mayor_Mov!$H$5:$H$445,MATCH(E65,Mayor_Mov!$J$5:$J$445,0))</f>
        <v>46231</v>
      </c>
      <c r="H65" s="17" t="n">
        <v>21538319.01</v>
      </c>
      <c r="I65" s="10" t="n">
        <f aca="false">SUMIFS(Mayor_Mov!$E$5:$E$445,Mayor_Mov!$J$5:$J$445,E65,Mayor_Mov!$N$5:$N$445,C65)</f>
        <v>21538319.01</v>
      </c>
      <c r="J65" s="11" t="n">
        <f aca="false">I65-H65</f>
        <v>0</v>
      </c>
      <c r="S65" s="36"/>
    </row>
    <row r="66" customFormat="false" ht="24" hidden="false" customHeight="true" outlineLevel="0" collapsed="false">
      <c r="C66" s="12" t="s">
        <v>613</v>
      </c>
      <c r="D66" s="36" t="s">
        <v>1188</v>
      </c>
      <c r="E66" s="16" t="s">
        <v>886</v>
      </c>
      <c r="F66" s="35" t="n">
        <f aca="false">INDEX(Mayor_Mov!$H$5:$H$445,MATCH(E66,Mayor_Mov!$J$5:$J$445,0))</f>
        <v>46231</v>
      </c>
      <c r="H66" s="17" t="n">
        <v>14118857.99</v>
      </c>
      <c r="I66" s="10" t="n">
        <f aca="false">SUMIFS(Mayor_Mov!$E$5:$E$445,Mayor_Mov!$J$5:$J$445,E66,Mayor_Mov!$N$5:$N$445,C66)</f>
        <v>14118857</v>
      </c>
      <c r="J66" s="11" t="n">
        <f aca="false">I66-H66</f>
        <v>-0.990000000223517</v>
      </c>
      <c r="S66" s="36"/>
    </row>
    <row r="67" customFormat="false" ht="24" hidden="false" customHeight="true" outlineLevel="0" collapsed="false">
      <c r="C67" s="12" t="s">
        <v>616</v>
      </c>
      <c r="D67" s="36" t="s">
        <v>1185</v>
      </c>
      <c r="E67" s="16" t="s">
        <v>625</v>
      </c>
      <c r="F67" s="35" t="n">
        <f aca="false">INDEX(Mayor_Mov!$H$5:$H$445,MATCH(E67,Mayor_Mov!$J$5:$J$445,0))</f>
        <v>46136</v>
      </c>
      <c r="H67" s="17" t="n">
        <v>21315470.39</v>
      </c>
      <c r="I67" s="10" t="n">
        <f aca="false">SUMIFS(Mayor_Mov!$E$5:$E$445,Mayor_Mov!$J$5:$J$445,E67,Mayor_Mov!$N$5:$N$445,C67)</f>
        <v>21315470.39</v>
      </c>
      <c r="J67" s="11" t="n">
        <f aca="false">I67-H67</f>
        <v>0</v>
      </c>
      <c r="S67" s="36" t="s">
        <v>1189</v>
      </c>
    </row>
    <row r="68" customFormat="false" ht="24" hidden="false" customHeight="true" outlineLevel="0" collapsed="false">
      <c r="C68" s="12" t="s">
        <v>616</v>
      </c>
      <c r="D68" s="36" t="s">
        <v>1187</v>
      </c>
      <c r="E68" s="16" t="s">
        <v>633</v>
      </c>
      <c r="F68" s="35" t="n">
        <f aca="false">INDEX(Mayor_Mov!$H$5:$H$445,MATCH(E68,Mayor_Mov!$J$5:$J$445,0))</f>
        <v>46231</v>
      </c>
      <c r="H68" s="17" t="n">
        <v>21538319.02</v>
      </c>
      <c r="I68" s="10" t="n">
        <f aca="false">SUMIFS(Mayor_Mov!$E$5:$E$445,Mayor_Mov!$J$5:$J$445,E68,Mayor_Mov!$N$5:$N$445,C68)</f>
        <v>21538319.02</v>
      </c>
      <c r="J68" s="11" t="n">
        <f aca="false">I68-H68</f>
        <v>0</v>
      </c>
      <c r="S68" s="36"/>
    </row>
    <row r="69" customFormat="false" ht="24" hidden="false" customHeight="true" outlineLevel="0" collapsed="false">
      <c r="C69" s="12" t="s">
        <v>616</v>
      </c>
      <c r="D69" s="36" t="s">
        <v>1188</v>
      </c>
      <c r="E69" s="16" t="s">
        <v>884</v>
      </c>
      <c r="F69" s="35" t="n">
        <f aca="false">INDEX(Mayor_Mov!$H$5:$H$445,MATCH(E69,Mayor_Mov!$J$5:$J$445,0))</f>
        <v>46231</v>
      </c>
      <c r="H69" s="17" t="n">
        <v>14118857.98</v>
      </c>
      <c r="I69" s="10" t="n">
        <f aca="false">SUMIFS(Mayor_Mov!$E$5:$E$445,Mayor_Mov!$J$5:$J$445,E69,Mayor_Mov!$N$5:$N$445,C69)</f>
        <v>14118856</v>
      </c>
      <c r="J69" s="11" t="n">
        <f aca="false">I69-H69</f>
        <v>-1.98000000044703</v>
      </c>
      <c r="S69" s="36"/>
    </row>
    <row r="70" customFormat="false" ht="24" hidden="false" customHeight="true" outlineLevel="0" collapsed="false">
      <c r="C70" s="12" t="s">
        <v>607</v>
      </c>
      <c r="D70" s="36" t="s">
        <v>1185</v>
      </c>
      <c r="E70" s="16" t="s">
        <v>619</v>
      </c>
      <c r="F70" s="35" t="n">
        <f aca="false">INDEX(Mayor_Mov!$H$5:$H$445,MATCH(E70,Mayor_Mov!$J$5:$J$445,0))</f>
        <v>46136</v>
      </c>
      <c r="H70" s="17" t="n">
        <v>21319941.88</v>
      </c>
      <c r="I70" s="10" t="n">
        <f aca="false">SUMIFS(Mayor_Mov!$E$5:$E$445,Mayor_Mov!$J$5:$J$445,E70,Mayor_Mov!$N$5:$N$445,C70)</f>
        <v>21319941.88</v>
      </c>
      <c r="J70" s="11" t="n">
        <f aca="false">I70-H70</f>
        <v>0</v>
      </c>
      <c r="S70" s="36"/>
    </row>
    <row r="71" customFormat="false" ht="24" hidden="false" customHeight="true" outlineLevel="0" collapsed="false">
      <c r="C71" s="12" t="s">
        <v>607</v>
      </c>
      <c r="D71" s="36" t="s">
        <v>1187</v>
      </c>
      <c r="E71" s="16" t="s">
        <v>639</v>
      </c>
      <c r="F71" s="35" t="n">
        <f aca="false">INDEX(Mayor_Mov!$H$5:$H$445,MATCH(E71,Mayor_Mov!$J$5:$J$445,0))</f>
        <v>46231</v>
      </c>
      <c r="H71" s="17" t="n">
        <v>21542838.16</v>
      </c>
      <c r="I71" s="10" t="n">
        <f aca="false">SUMIFS(Mayor_Mov!$E$5:$E$445,Mayor_Mov!$J$5:$J$445,E71,Mayor_Mov!$N$5:$N$445,C71)</f>
        <v>21542838.16</v>
      </c>
      <c r="J71" s="11" t="n">
        <f aca="false">I71-H71</f>
        <v>0</v>
      </c>
      <c r="S71" s="36"/>
    </row>
    <row r="72" customFormat="false" ht="24" hidden="false" customHeight="true" outlineLevel="0" collapsed="false">
      <c r="C72" s="12" t="s">
        <v>607</v>
      </c>
      <c r="D72" s="36" t="s">
        <v>1188</v>
      </c>
      <c r="E72" s="16" t="s">
        <v>890</v>
      </c>
      <c r="F72" s="35" t="n">
        <f aca="false">INDEX(Mayor_Mov!$H$5:$H$445,MATCH(E72,Mayor_Mov!$J$5:$J$445,0))</f>
        <v>46231</v>
      </c>
      <c r="H72" s="17" t="n">
        <v>14121779.84</v>
      </c>
      <c r="I72" s="10" t="n">
        <f aca="false">SUMIFS(Mayor_Mov!$E$5:$E$445,Mayor_Mov!$J$5:$J$445,E72,Mayor_Mov!$N$5:$N$445,C72)</f>
        <v>14121779.84</v>
      </c>
      <c r="J72" s="11" t="n">
        <f aca="false">I72-H72</f>
        <v>0</v>
      </c>
      <c r="S72" s="36"/>
    </row>
    <row r="73" customFormat="false" ht="24" hidden="false" customHeight="true" outlineLevel="0" collapsed="false">
      <c r="C73" s="12" t="s">
        <v>800</v>
      </c>
      <c r="D73" s="36" t="s">
        <v>1190</v>
      </c>
      <c r="E73" s="16" t="s">
        <v>807</v>
      </c>
      <c r="F73" s="35" t="n">
        <f aca="false">INDEX(Mayor_Mov!$H$5:$H$445,MATCH(E73,Mayor_Mov!$J$5:$J$445,0))</f>
        <v>46136</v>
      </c>
      <c r="H73" s="17" t="n">
        <v>55427870</v>
      </c>
      <c r="I73" s="10" t="n">
        <f aca="false">SUMIFS(Mayor_Mov!$E$5:$E$445,Mayor_Mov!$J$5:$J$445,E73,Mayor_Mov!$N$5:$N$445,C73)</f>
        <v>55427870</v>
      </c>
      <c r="J73" s="11" t="n">
        <f aca="false">I73-H73</f>
        <v>0</v>
      </c>
      <c r="S73" s="36"/>
    </row>
    <row r="74" customFormat="false" ht="24" hidden="false" customHeight="true" outlineLevel="0" collapsed="false">
      <c r="C74" s="12" t="s">
        <v>800</v>
      </c>
      <c r="D74" s="36" t="s">
        <v>1191</v>
      </c>
      <c r="E74" s="16" t="s">
        <v>812</v>
      </c>
      <c r="F74" s="35" t="n">
        <f aca="false">INDEX(Mayor_Mov!$H$5:$H$445,MATCH(E74,Mayor_Mov!$J$5:$J$445,0))</f>
        <v>46231</v>
      </c>
      <c r="H74" s="17" t="n">
        <v>64041851</v>
      </c>
      <c r="I74" s="10" t="n">
        <f aca="false">SUMIFS(Mayor_Mov!$E$5:$E$445,Mayor_Mov!$J$5:$J$445,E74,Mayor_Mov!$N$5:$N$445,C74)</f>
        <v>64041850</v>
      </c>
      <c r="J74" s="11" t="n">
        <f aca="false">I74-H74</f>
        <v>-1</v>
      </c>
      <c r="S74" s="36"/>
    </row>
    <row r="75" customFormat="false" ht="24" hidden="false" customHeight="true" outlineLevel="0" collapsed="false">
      <c r="C75" s="12" t="s">
        <v>567</v>
      </c>
      <c r="D75" s="36" t="s">
        <v>1192</v>
      </c>
      <c r="E75" s="16" t="s">
        <v>588</v>
      </c>
      <c r="F75" s="35" t="n">
        <f aca="false">INDEX(Mayor_Mov!$H$5:$H$445,MATCH(E75,Mayor_Mov!$J$5:$J$445,0))</f>
        <v>46203</v>
      </c>
      <c r="H75" s="17" t="n">
        <v>8901235</v>
      </c>
      <c r="I75" s="10" t="n">
        <f aca="false">SUMIFS(Mayor_Mov!$E$5:$E$445,Mayor_Mov!$J$5:$J$445,E75,Mayor_Mov!$N$5:$N$445,C75)</f>
        <v>8901235</v>
      </c>
      <c r="J75" s="11" t="n">
        <f aca="false">I75-H75</f>
        <v>0</v>
      </c>
      <c r="S75" s="36"/>
    </row>
    <row r="76" customFormat="false" ht="24" hidden="false" customHeight="true" outlineLevel="0" collapsed="false">
      <c r="C76" s="12" t="s">
        <v>567</v>
      </c>
      <c r="D76" s="36" t="s">
        <v>1193</v>
      </c>
      <c r="E76" s="16" t="s">
        <v>595</v>
      </c>
      <c r="F76" s="35" t="n">
        <f aca="false">INDEX(Mayor_Mov!$H$5:$H$445,MATCH(E76,Mayor_Mov!$J$5:$J$445,0))</f>
        <v>46231</v>
      </c>
      <c r="H76" s="17" t="n">
        <v>8867342</v>
      </c>
      <c r="I76" s="10" t="n">
        <f aca="false">SUMIFS(Mayor_Mov!$E$5:$E$445,Mayor_Mov!$J$5:$J$445,E76,Mayor_Mov!$N$5:$N$445,C76)</f>
        <v>8867342</v>
      </c>
      <c r="J76" s="11" t="n">
        <f aca="false">I76-H76</f>
        <v>0</v>
      </c>
      <c r="S76" s="36"/>
    </row>
    <row r="77" customFormat="false" ht="24" hidden="false" customHeight="true" outlineLevel="0" collapsed="false">
      <c r="C77" s="12" t="s">
        <v>571</v>
      </c>
      <c r="D77" s="36" t="s">
        <v>1194</v>
      </c>
      <c r="E77" s="16" t="s">
        <v>590</v>
      </c>
      <c r="F77" s="35" t="n">
        <f aca="false">INDEX(Mayor_Mov!$H$5:$H$445,MATCH(E77,Mayor_Mov!$J$5:$J$445,0))</f>
        <v>46203</v>
      </c>
      <c r="H77" s="17" t="n">
        <v>0</v>
      </c>
      <c r="I77" s="10" t="n">
        <f aca="false">SUMIFS(Mayor_Mov!$E$5:$E$445,Mayor_Mov!$J$5:$J$445,E77,Mayor_Mov!$N$5:$N$445,C77)</f>
        <v>11973677</v>
      </c>
      <c r="J77" s="11" t="n">
        <f aca="false">I77-H77</f>
        <v>11973677</v>
      </c>
      <c r="S77" s="36" t="s">
        <v>1195</v>
      </c>
    </row>
    <row r="78" customFormat="false" ht="24" hidden="false" customHeight="true" outlineLevel="0" collapsed="false">
      <c r="C78" s="12" t="s">
        <v>571</v>
      </c>
      <c r="D78" s="36" t="s">
        <v>1196</v>
      </c>
      <c r="E78" s="16" t="s">
        <v>597</v>
      </c>
      <c r="F78" s="35" t="n">
        <f aca="false">INDEX(Mayor_Mov!$H$5:$H$445,MATCH(E78,Mayor_Mov!$J$5:$J$445,0))</f>
        <v>46231</v>
      </c>
      <c r="H78" s="17" t="n">
        <v>12327298</v>
      </c>
      <c r="I78" s="10" t="n">
        <f aca="false">SUMIFS(Mayor_Mov!$E$5:$E$445,Mayor_Mov!$J$5:$J$445,E78,Mayor_Mov!$N$5:$N$445,C78)</f>
        <v>12327298</v>
      </c>
      <c r="J78" s="11" t="n">
        <f aca="false">I78-H78</f>
        <v>0</v>
      </c>
      <c r="S78" s="36"/>
    </row>
    <row r="79" customFormat="false" ht="15" hidden="false" customHeight="false" outlineLevel="0" collapsed="false">
      <c r="D79" s="18" t="s">
        <v>1197</v>
      </c>
      <c r="H79" s="19" t="n">
        <f aca="false">SUM(H39:H78)</f>
        <v>3329917163.1</v>
      </c>
      <c r="I79" s="19" t="n">
        <f aca="false">SUM(I39:I78)</f>
        <v>3341892235.57</v>
      </c>
      <c r="J79" s="19" t="n">
        <f aca="false">SUM(J39:J78)</f>
        <v>11975072.47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8" min="4" style="0" width="18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1198</v>
      </c>
    </row>
    <row r="2" customFormat="false" ht="15" hidden="false" customHeight="false" outlineLevel="0" collapsed="false">
      <c r="A2" s="2" t="s">
        <v>1199</v>
      </c>
    </row>
    <row r="4" customFormat="false" ht="15" hidden="false" customHeight="false" outlineLevel="0" collapsed="false">
      <c r="A4" s="3" t="s">
        <v>1200</v>
      </c>
    </row>
    <row r="5" customFormat="false" ht="30" hidden="false" customHeight="true" outlineLevel="0" collapsed="false">
      <c r="A5" s="8" t="s">
        <v>982</v>
      </c>
      <c r="B5" s="8" t="s">
        <v>1201</v>
      </c>
      <c r="C5" s="8"/>
      <c r="D5" s="8" t="s">
        <v>1098</v>
      </c>
      <c r="E5" s="8" t="s">
        <v>1202</v>
      </c>
      <c r="F5" s="8" t="s">
        <v>1203</v>
      </c>
      <c r="G5" s="8" t="s">
        <v>11</v>
      </c>
    </row>
    <row r="6" customFormat="false" ht="15" hidden="false" customHeight="false" outlineLevel="0" collapsed="false">
      <c r="A6" s="4" t="s">
        <v>1204</v>
      </c>
      <c r="B6" s="4" t="s">
        <v>1205</v>
      </c>
      <c r="D6" s="10" t="n">
        <f aca="false">SUMIFS(Detalle_62!$F$14:$F$35,Detalle_62!$D$14:$D$35,"Crédito")</f>
        <v>38300666665.3333</v>
      </c>
      <c r="E6" s="10" t="n">
        <f aca="false">-(Balance_21!$F$16+Balance_21!$F$18)</f>
        <v>38300666666</v>
      </c>
      <c r="F6" s="11" t="n">
        <f aca="false">E6-D6</f>
        <v>0.666664123535156</v>
      </c>
      <c r="G6" s="22" t="str">
        <f aca="false">IF(ABS(F6)&lt;=Resumen!$C$6,"OK","DIFERENCIA")</f>
        <v>OK</v>
      </c>
    </row>
    <row r="7" customFormat="false" ht="15" hidden="false" customHeight="false" outlineLevel="0" collapsed="false">
      <c r="A7" s="4" t="s">
        <v>1206</v>
      </c>
      <c r="B7" s="4" t="s">
        <v>1207</v>
      </c>
      <c r="D7" s="10" t="n">
        <f aca="false">SUMIFS(Detalle_62!$F$14:$F$35,Detalle_62!$D$14:$D$35,"Leasing")</f>
        <v>6885245451.62914</v>
      </c>
      <c r="E7" s="10" t="n">
        <f aca="false">-(Balance_21!$F$22+Balance_21!$F$24)</f>
        <v>7903511628.33</v>
      </c>
      <c r="F7" s="37" t="n">
        <f aca="false">E7-D7</f>
        <v>1018266176.70086</v>
      </c>
      <c r="G7" s="22" t="str">
        <f aca="false">IF(ABS(F7)&lt;=Resumen!$C$6,"OK","DIFERENCIA")</f>
        <v>DIFERENCIA</v>
      </c>
    </row>
    <row r="8" customFormat="false" ht="15" hidden="false" customHeight="false" outlineLevel="0" collapsed="false">
      <c r="A8" s="18" t="s">
        <v>1197</v>
      </c>
      <c r="D8" s="19" t="n">
        <f aca="false">D6+D7</f>
        <v>45185912116.9625</v>
      </c>
      <c r="E8" s="19" t="n">
        <f aca="false">E6+E7</f>
        <v>46204178294.33</v>
      </c>
      <c r="F8" s="11" t="n">
        <f aca="false">E8-D8</f>
        <v>1018266177.36753</v>
      </c>
      <c r="G8" s="22" t="str">
        <f aca="false">IF(ABS(F8)&lt;=Resumen!$C$6,"OK","DIFERENCIA")</f>
        <v>DIFERENCIA</v>
      </c>
    </row>
    <row r="9" customFormat="false" ht="15" hidden="false" customHeight="false" outlineLevel="0" collapsed="false">
      <c r="A9" s="4" t="s">
        <v>1208</v>
      </c>
      <c r="D9" s="10" t="n">
        <f aca="false">Detalle_62!F36-D8</f>
        <v>0</v>
      </c>
    </row>
    <row r="10" customFormat="false" ht="15" hidden="false" customHeight="false" outlineLevel="0" collapsed="false">
      <c r="A10" s="2" t="s">
        <v>1209</v>
      </c>
    </row>
    <row r="12" customFormat="false" ht="15" hidden="false" customHeight="false" outlineLevel="0" collapsed="false">
      <c r="A12" s="3" t="s">
        <v>1210</v>
      </c>
    </row>
    <row r="13" customFormat="false" ht="30" hidden="false" customHeight="true" outlineLevel="0" collapsed="false">
      <c r="A13" s="8" t="s">
        <v>1211</v>
      </c>
      <c r="B13" s="8"/>
      <c r="C13" s="8"/>
      <c r="D13" s="8"/>
      <c r="E13" s="8"/>
      <c r="F13" s="8" t="s">
        <v>1212</v>
      </c>
      <c r="G13" s="8"/>
      <c r="H13" s="8"/>
      <c r="I13" s="8" t="s">
        <v>1213</v>
      </c>
    </row>
    <row r="14" customFormat="false" ht="30" hidden="false" customHeight="true" outlineLevel="0" collapsed="false">
      <c r="A14" s="9" t="s">
        <v>1214</v>
      </c>
      <c r="B14" s="9"/>
      <c r="C14" s="9"/>
      <c r="D14" s="9"/>
      <c r="E14" s="9"/>
      <c r="F14" s="10" t="n">
        <f aca="false">SUMIFS(Mayor_Mov!$F$5:$F$445,Mayor_Mov!$N$5:$N$445,"BCL-L386735")-SUMIFS(Mayor_Mov!$E$5:$E$445,Mayor_Mov!$N$5:$N$445,"BCL-L386735")</f>
        <v>675837500</v>
      </c>
      <c r="I14" s="9" t="s">
        <v>1215</v>
      </c>
    </row>
    <row r="15" customFormat="false" ht="30" hidden="false" customHeight="true" outlineLevel="0" collapsed="false">
      <c r="A15" s="9" t="s">
        <v>1216</v>
      </c>
      <c r="B15" s="9"/>
      <c r="C15" s="9"/>
      <c r="D15" s="9"/>
      <c r="E15" s="9"/>
      <c r="F15" s="10" t="n">
        <f aca="false">-Certificados!$L$23</f>
        <v>171608254.364557</v>
      </c>
      <c r="I15" s="9" t="s">
        <v>1217</v>
      </c>
    </row>
    <row r="16" customFormat="false" ht="30" hidden="false" customHeight="true" outlineLevel="0" collapsed="false">
      <c r="A16" s="9" t="s">
        <v>1218</v>
      </c>
      <c r="B16" s="9"/>
      <c r="C16" s="9"/>
      <c r="D16" s="9"/>
      <c r="E16" s="9"/>
      <c r="F16" s="37" t="n">
        <f aca="false">F7-F14-F15</f>
        <v>170820422.336308</v>
      </c>
      <c r="I16" s="9" t="s">
        <v>1219</v>
      </c>
    </row>
    <row r="17" customFormat="false" ht="15" hidden="false" customHeight="false" outlineLevel="0" collapsed="false">
      <c r="A17" s="18" t="s">
        <v>1220</v>
      </c>
      <c r="F17" s="19" t="n">
        <f aca="false">SUM(F14:F16)</f>
        <v>1018266176.70086</v>
      </c>
      <c r="G17" s="4" t="str">
        <f aca="false">IF(ABS(F17-F7)&lt;0.01,"Cuadra","Revisar")</f>
        <v>Cuadra</v>
      </c>
    </row>
    <row r="19" customFormat="false" ht="15" hidden="false" customHeight="false" outlineLevel="0" collapsed="false">
      <c r="A19" s="3" t="s">
        <v>1221</v>
      </c>
    </row>
    <row r="20" customFormat="false" ht="30" hidden="false" customHeight="true" outlineLevel="0" collapsed="false">
      <c r="A20" s="8" t="s">
        <v>1016</v>
      </c>
      <c r="B20" s="8" t="s">
        <v>1014</v>
      </c>
      <c r="C20" s="8" t="s">
        <v>1017</v>
      </c>
      <c r="D20" s="8" t="s">
        <v>1222</v>
      </c>
      <c r="E20" s="8" t="s">
        <v>1223</v>
      </c>
      <c r="F20" s="8" t="s">
        <v>1224</v>
      </c>
      <c r="G20" s="8" t="s">
        <v>1225</v>
      </c>
      <c r="H20" s="8" t="s">
        <v>1226</v>
      </c>
      <c r="I20" s="8" t="s">
        <v>988</v>
      </c>
    </row>
    <row r="21" customFormat="false" ht="15" hidden="false" customHeight="false" outlineLevel="0" collapsed="false">
      <c r="A21" s="12" t="s">
        <v>571</v>
      </c>
      <c r="B21" s="16" t="s">
        <v>1038</v>
      </c>
      <c r="C21" s="4" t="s">
        <v>1040</v>
      </c>
      <c r="D21" s="10" t="n">
        <f aca="false">SUMIFS(Detalle_62!$F$14:$F$35,Detalle_62!$C$14:$C$35,A21)</f>
        <v>398582167.21439</v>
      </c>
      <c r="E21" s="10" t="n">
        <f aca="false">SUMIFS(Mayor_Mov!$E$5:$E$445,Mayor_Mov!$N$5:$N$445,$A21,Mayor_Mov!$B$5:$B$445,"21050100")+SUMIFS(Mayor_Mov!$E$5:$E$445,Mayor_Mov!$N$5:$N$445,$A21,Mayor_Mov!$B$5:$B$445,"21050201")+SUMIFS(Mayor_Mov!$E$5:$E$445,Mayor_Mov!$N$5:$N$445,$A21,Mayor_Mov!$B$5:$B$445,"21202040")+SUMIFS(Mayor_Mov!$E$5:$E$445,Mayor_Mov!$N$5:$N$445,$A21,Mayor_Mov!$B$5:$B$445,"21202140")</f>
        <v>82483752</v>
      </c>
      <c r="F21" s="10" t="n">
        <f aca="false">SUMIFS(Mayor_Mov!$F$5:$F$445,Mayor_Mov!$N$5:$N$445,$A21,Mayor_Mov!$B$5:$B$445,"21050100")+SUMIFS(Mayor_Mov!$F$5:$F$445,Mayor_Mov!$N$5:$N$445,$A21,Mayor_Mov!$B$5:$B$445,"21050201")+SUMIFS(Mayor_Mov!$F$5:$F$445,Mayor_Mov!$N$5:$N$445,$A21,Mayor_Mov!$B$5:$B$445,"21202040")+SUMIFS(Mayor_Mov!$F$5:$F$445,Mayor_Mov!$N$5:$N$445,$A21,Mayor_Mov!$B$5:$B$445,"21202140")</f>
        <v>0</v>
      </c>
      <c r="G21" s="11" t="n">
        <f aca="false">D21+E21-F21</f>
        <v>481065919.21439</v>
      </c>
      <c r="H21" s="22" t="str">
        <f aca="false">IF(COUNTIF(Detalle_62!$C$14:$C$35,A21)&gt;0,"Sí","NO")</f>
        <v>Sí</v>
      </c>
      <c r="I21" s="36"/>
    </row>
    <row r="22" customFormat="false" ht="15" hidden="false" customHeight="false" outlineLevel="0" collapsed="false">
      <c r="A22" s="12" t="s">
        <v>567</v>
      </c>
      <c r="B22" s="16" t="s">
        <v>1038</v>
      </c>
      <c r="C22" s="4" t="s">
        <v>1040</v>
      </c>
      <c r="D22" s="10" t="n">
        <f aca="false">SUMIFS(Detalle_62!$F$14:$F$35,Detalle_62!$C$14:$C$35,A22)</f>
        <v>323529688.533944</v>
      </c>
      <c r="E22" s="10" t="n">
        <f aca="false">SUMIFS(Mayor_Mov!$E$5:$E$445,Mayor_Mov!$N$5:$N$445,$A22,Mayor_Mov!$B$5:$B$445,"21050100")+SUMIFS(Mayor_Mov!$E$5:$E$445,Mayor_Mov!$N$5:$N$445,$A22,Mayor_Mov!$B$5:$B$445,"21050201")+SUMIFS(Mayor_Mov!$E$5:$E$445,Mayor_Mov!$N$5:$N$445,$A22,Mayor_Mov!$B$5:$B$445,"21202040")+SUMIFS(Mayor_Mov!$E$5:$E$445,Mayor_Mov!$N$5:$N$445,$A22,Mayor_Mov!$B$5:$B$445,"21202140")</f>
        <v>60352563</v>
      </c>
      <c r="F22" s="10" t="n">
        <f aca="false">SUMIFS(Mayor_Mov!$F$5:$F$445,Mayor_Mov!$N$5:$N$445,$A22,Mayor_Mov!$B$5:$B$445,"21050100")+SUMIFS(Mayor_Mov!$F$5:$F$445,Mayor_Mov!$N$5:$N$445,$A22,Mayor_Mov!$B$5:$B$445,"21050201")+SUMIFS(Mayor_Mov!$F$5:$F$445,Mayor_Mov!$N$5:$N$445,$A22,Mayor_Mov!$B$5:$B$445,"21202040")+SUMIFS(Mayor_Mov!$F$5:$F$445,Mayor_Mov!$N$5:$N$445,$A22,Mayor_Mov!$B$5:$B$445,"21202140")</f>
        <v>0</v>
      </c>
      <c r="G22" s="11" t="n">
        <f aca="false">D22+E22-F22</f>
        <v>383882251.533944</v>
      </c>
      <c r="H22" s="22" t="str">
        <f aca="false">IF(COUNTIF(Detalle_62!$C$14:$C$35,A22)&gt;0,"Sí","NO")</f>
        <v>Sí</v>
      </c>
      <c r="I22" s="36"/>
    </row>
    <row r="23" customFormat="false" ht="15" hidden="false" customHeight="false" outlineLevel="0" collapsed="false">
      <c r="A23" s="12" t="s">
        <v>800</v>
      </c>
      <c r="B23" s="16" t="s">
        <v>1038</v>
      </c>
      <c r="C23" s="4" t="s">
        <v>1040</v>
      </c>
      <c r="D23" s="10" t="n">
        <f aca="false">SUMIFS(Detalle_62!$F$14:$F$35,Detalle_62!$C$14:$C$35,A23)</f>
        <v>1883712218.08706</v>
      </c>
      <c r="E23" s="10" t="n">
        <f aca="false">SUMIFS(Mayor_Mov!$E$5:$E$445,Mayor_Mov!$N$5:$N$445,$A23,Mayor_Mov!$B$5:$B$445,"21050100")+SUMIFS(Mayor_Mov!$E$5:$E$445,Mayor_Mov!$N$5:$N$445,$A23,Mayor_Mov!$B$5:$B$445,"21050201")+SUMIFS(Mayor_Mov!$E$5:$E$445,Mayor_Mov!$N$5:$N$445,$A23,Mayor_Mov!$B$5:$B$445,"21202040")+SUMIFS(Mayor_Mov!$E$5:$E$445,Mayor_Mov!$N$5:$N$445,$A23,Mayor_Mov!$B$5:$B$445,"21202140")</f>
        <v>0</v>
      </c>
      <c r="F23" s="10" t="n">
        <f aca="false">SUMIFS(Mayor_Mov!$F$5:$F$445,Mayor_Mov!$N$5:$N$445,$A23,Mayor_Mov!$B$5:$B$445,"21050100")+SUMIFS(Mayor_Mov!$F$5:$F$445,Mayor_Mov!$N$5:$N$445,$A23,Mayor_Mov!$B$5:$B$445,"21050201")+SUMIFS(Mayor_Mov!$F$5:$F$445,Mayor_Mov!$N$5:$N$445,$A23,Mayor_Mov!$B$5:$B$445,"21202040")+SUMIFS(Mayor_Mov!$F$5:$F$445,Mayor_Mov!$N$5:$N$445,$A23,Mayor_Mov!$B$5:$B$445,"21202140")</f>
        <v>0</v>
      </c>
      <c r="G23" s="11" t="n">
        <f aca="false">D23+E23-F23</f>
        <v>1883712218.08706</v>
      </c>
      <c r="H23" s="22" t="str">
        <f aca="false">IF(COUNTIF(Detalle_62!$C$14:$C$35,A23)&gt;0,"Sí","NO")</f>
        <v>Sí</v>
      </c>
      <c r="I23" s="36"/>
    </row>
    <row r="24" customFormat="false" ht="15" hidden="false" customHeight="false" outlineLevel="0" collapsed="false">
      <c r="A24" s="12" t="s">
        <v>707</v>
      </c>
      <c r="B24" s="16" t="s">
        <v>1038</v>
      </c>
      <c r="C24" s="4" t="s">
        <v>67</v>
      </c>
      <c r="D24" s="10" t="n">
        <f aca="false">SUMIFS(Detalle_62!$F$14:$F$35,Detalle_62!$C$14:$C$35,A24)</f>
        <v>3000000000</v>
      </c>
      <c r="E24" s="10" t="n">
        <f aca="false">SUMIFS(Mayor_Mov!$E$5:$E$445,Mayor_Mov!$N$5:$N$445,$A24,Mayor_Mov!$B$5:$B$445,"21050100")+SUMIFS(Mayor_Mov!$E$5:$E$445,Mayor_Mov!$N$5:$N$445,$A24,Mayor_Mov!$B$5:$B$445,"21050201")+SUMIFS(Mayor_Mov!$E$5:$E$445,Mayor_Mov!$N$5:$N$445,$A24,Mayor_Mov!$B$5:$B$445,"21202040")+SUMIFS(Mayor_Mov!$E$5:$E$445,Mayor_Mov!$N$5:$N$445,$A24,Mayor_Mov!$B$5:$B$445,"21202140")</f>
        <v>0</v>
      </c>
      <c r="F24" s="10" t="n">
        <f aca="false">SUMIFS(Mayor_Mov!$F$5:$F$445,Mayor_Mov!$N$5:$N$445,$A24,Mayor_Mov!$B$5:$B$445,"21050100")+SUMIFS(Mayor_Mov!$F$5:$F$445,Mayor_Mov!$N$5:$N$445,$A24,Mayor_Mov!$B$5:$B$445,"21050201")+SUMIFS(Mayor_Mov!$F$5:$F$445,Mayor_Mov!$N$5:$N$445,$A24,Mayor_Mov!$B$5:$B$445,"21202040")+SUMIFS(Mayor_Mov!$F$5:$F$445,Mayor_Mov!$N$5:$N$445,$A24,Mayor_Mov!$B$5:$B$445,"21202140")</f>
        <v>0</v>
      </c>
      <c r="G24" s="11" t="n">
        <f aca="false">D24+E24-F24</f>
        <v>3000000000</v>
      </c>
      <c r="H24" s="22" t="str">
        <f aca="false">IF(COUNTIF(Detalle_62!$C$14:$C$35,A24)&gt;0,"Sí","NO")</f>
        <v>Sí</v>
      </c>
      <c r="I24" s="36"/>
    </row>
    <row r="25" customFormat="false" ht="15" hidden="false" customHeight="false" outlineLevel="0" collapsed="false">
      <c r="A25" s="12" t="s">
        <v>702</v>
      </c>
      <c r="B25" s="16" t="s">
        <v>1038</v>
      </c>
      <c r="C25" s="4" t="s">
        <v>67</v>
      </c>
      <c r="D25" s="10" t="n">
        <f aca="false">SUMIFS(Detalle_62!$F$14:$F$35,Detalle_62!$C$14:$C$35,A25)</f>
        <v>7500000000</v>
      </c>
      <c r="E25" s="10" t="n">
        <f aca="false">SUMIFS(Mayor_Mov!$E$5:$E$445,Mayor_Mov!$N$5:$N$445,$A25,Mayor_Mov!$B$5:$B$445,"21050100")+SUMIFS(Mayor_Mov!$E$5:$E$445,Mayor_Mov!$N$5:$N$445,$A25,Mayor_Mov!$B$5:$B$445,"21050201")+SUMIFS(Mayor_Mov!$E$5:$E$445,Mayor_Mov!$N$5:$N$445,$A25,Mayor_Mov!$B$5:$B$445,"21202040")+SUMIFS(Mayor_Mov!$E$5:$E$445,Mayor_Mov!$N$5:$N$445,$A25,Mayor_Mov!$B$5:$B$445,"21202140")</f>
        <v>0</v>
      </c>
      <c r="F25" s="10" t="n">
        <f aca="false">SUMIFS(Mayor_Mov!$F$5:$F$445,Mayor_Mov!$N$5:$N$445,$A25,Mayor_Mov!$B$5:$B$445,"21050100")+SUMIFS(Mayor_Mov!$F$5:$F$445,Mayor_Mov!$N$5:$N$445,$A25,Mayor_Mov!$B$5:$B$445,"21050201")+SUMIFS(Mayor_Mov!$F$5:$F$445,Mayor_Mov!$N$5:$N$445,$A25,Mayor_Mov!$B$5:$B$445,"21202040")+SUMIFS(Mayor_Mov!$F$5:$F$445,Mayor_Mov!$N$5:$N$445,$A25,Mayor_Mov!$B$5:$B$445,"21202140")</f>
        <v>0</v>
      </c>
      <c r="G25" s="11" t="n">
        <f aca="false">D25+E25-F25</f>
        <v>7500000000</v>
      </c>
      <c r="H25" s="22" t="str">
        <f aca="false">IF(COUNTIF(Detalle_62!$C$14:$C$35,A25)&gt;0,"Sí","NO")</f>
        <v>Sí</v>
      </c>
      <c r="I25" s="36"/>
    </row>
    <row r="26" customFormat="false" ht="15" hidden="false" customHeight="false" outlineLevel="0" collapsed="false">
      <c r="A26" s="12" t="s">
        <v>704</v>
      </c>
      <c r="B26" s="16" t="s">
        <v>1038</v>
      </c>
      <c r="C26" s="4" t="s">
        <v>67</v>
      </c>
      <c r="D26" s="10" t="n">
        <f aca="false">SUMIFS(Detalle_62!$F$14:$F$35,Detalle_62!$C$14:$C$35,A26)</f>
        <v>3960000000</v>
      </c>
      <c r="E26" s="10" t="n">
        <f aca="false">SUMIFS(Mayor_Mov!$E$5:$E$445,Mayor_Mov!$N$5:$N$445,$A26,Mayor_Mov!$B$5:$B$445,"21050100")+SUMIFS(Mayor_Mov!$E$5:$E$445,Mayor_Mov!$N$5:$N$445,$A26,Mayor_Mov!$B$5:$B$445,"21050201")+SUMIFS(Mayor_Mov!$E$5:$E$445,Mayor_Mov!$N$5:$N$445,$A26,Mayor_Mov!$B$5:$B$445,"21202040")+SUMIFS(Mayor_Mov!$E$5:$E$445,Mayor_Mov!$N$5:$N$445,$A26,Mayor_Mov!$B$5:$B$445,"21202140")</f>
        <v>0</v>
      </c>
      <c r="F26" s="10" t="n">
        <f aca="false">SUMIFS(Mayor_Mov!$F$5:$F$445,Mayor_Mov!$N$5:$N$445,$A26,Mayor_Mov!$B$5:$B$445,"21050100")+SUMIFS(Mayor_Mov!$F$5:$F$445,Mayor_Mov!$N$5:$N$445,$A26,Mayor_Mov!$B$5:$B$445,"21050201")+SUMIFS(Mayor_Mov!$F$5:$F$445,Mayor_Mov!$N$5:$N$445,$A26,Mayor_Mov!$B$5:$B$445,"21202040")+SUMIFS(Mayor_Mov!$F$5:$F$445,Mayor_Mov!$N$5:$N$445,$A26,Mayor_Mov!$B$5:$B$445,"21202140")</f>
        <v>0</v>
      </c>
      <c r="G26" s="11" t="n">
        <f aca="false">D26+E26-F26</f>
        <v>3960000000</v>
      </c>
      <c r="H26" s="22" t="str">
        <f aca="false">IF(COUNTIF(Detalle_62!$C$14:$C$35,A26)&gt;0,"Sí","NO")</f>
        <v>Sí</v>
      </c>
      <c r="I26" s="36"/>
    </row>
    <row r="27" customFormat="false" ht="15" hidden="false" customHeight="false" outlineLevel="0" collapsed="false">
      <c r="A27" s="12" t="s">
        <v>107</v>
      </c>
      <c r="B27" s="16" t="s">
        <v>96</v>
      </c>
      <c r="C27" s="4" t="s">
        <v>67</v>
      </c>
      <c r="D27" s="10" t="n">
        <f aca="false">SUMIFS(Detalle_62!$F$14:$F$35,Detalle_62!$C$14:$C$35,A27)</f>
        <v>2937500000</v>
      </c>
      <c r="E27" s="10" t="n">
        <f aca="false">SUMIFS(Mayor_Mov!$E$5:$E$445,Mayor_Mov!$N$5:$N$445,$A27,Mayor_Mov!$B$5:$B$445,"21050100")+SUMIFS(Mayor_Mov!$E$5:$E$445,Mayor_Mov!$N$5:$N$445,$A27,Mayor_Mov!$B$5:$B$445,"21050201")+SUMIFS(Mayor_Mov!$E$5:$E$445,Mayor_Mov!$N$5:$N$445,$A27,Mayor_Mov!$B$5:$B$445,"21202040")+SUMIFS(Mayor_Mov!$E$5:$E$445,Mayor_Mov!$N$5:$N$445,$A27,Mayor_Mov!$B$5:$B$445,"21202140")</f>
        <v>437500000</v>
      </c>
      <c r="F27" s="10" t="n">
        <f aca="false">SUMIFS(Mayor_Mov!$F$5:$F$445,Mayor_Mov!$N$5:$N$445,$A27,Mayor_Mov!$B$5:$B$445,"21050100")+SUMIFS(Mayor_Mov!$F$5:$F$445,Mayor_Mov!$N$5:$N$445,$A27,Mayor_Mov!$B$5:$B$445,"21050201")+SUMIFS(Mayor_Mov!$F$5:$F$445,Mayor_Mov!$N$5:$N$445,$A27,Mayor_Mov!$B$5:$B$445,"21202040")+SUMIFS(Mayor_Mov!$F$5:$F$445,Mayor_Mov!$N$5:$N$445,$A27,Mayor_Mov!$B$5:$B$445,"21202140")</f>
        <v>0</v>
      </c>
      <c r="G27" s="11" t="n">
        <f aca="false">D27+E27-F27</f>
        <v>3375000000</v>
      </c>
      <c r="H27" s="22" t="str">
        <f aca="false">IF(COUNTIF(Detalle_62!$C$14:$C$35,A27)&gt;0,"Sí","NO")</f>
        <v>Sí</v>
      </c>
      <c r="I27" s="36"/>
    </row>
    <row r="28" customFormat="false" ht="15" hidden="false" customHeight="false" outlineLevel="0" collapsed="false">
      <c r="A28" s="12" t="s">
        <v>116</v>
      </c>
      <c r="B28" s="16" t="s">
        <v>96</v>
      </c>
      <c r="C28" s="4" t="s">
        <v>67</v>
      </c>
      <c r="D28" s="10" t="n">
        <f aca="false">SUMIFS(Detalle_62!$F$14:$F$35,Detalle_62!$C$14:$C$35,A28)</f>
        <v>1457333332</v>
      </c>
      <c r="E28" s="10" t="n">
        <f aca="false">SUMIFS(Mayor_Mov!$E$5:$E$445,Mayor_Mov!$N$5:$N$445,$A28,Mayor_Mov!$B$5:$B$445,"21050100")+SUMIFS(Mayor_Mov!$E$5:$E$445,Mayor_Mov!$N$5:$N$445,$A28,Mayor_Mov!$B$5:$B$445,"21050201")+SUMIFS(Mayor_Mov!$E$5:$E$445,Mayor_Mov!$N$5:$N$445,$A28,Mayor_Mov!$B$5:$B$445,"21202040")+SUMIFS(Mayor_Mov!$E$5:$E$445,Mayor_Mov!$N$5:$N$445,$A28,Mayor_Mov!$B$5:$B$445,"21202140")</f>
        <v>364333334</v>
      </c>
      <c r="F28" s="10" t="n">
        <f aca="false">SUMIFS(Mayor_Mov!$F$5:$F$445,Mayor_Mov!$N$5:$N$445,$A28,Mayor_Mov!$B$5:$B$445,"21050100")+SUMIFS(Mayor_Mov!$F$5:$F$445,Mayor_Mov!$N$5:$N$445,$A28,Mayor_Mov!$B$5:$B$445,"21050201")+SUMIFS(Mayor_Mov!$F$5:$F$445,Mayor_Mov!$N$5:$N$445,$A28,Mayor_Mov!$B$5:$B$445,"21202040")+SUMIFS(Mayor_Mov!$F$5:$F$445,Mayor_Mov!$N$5:$N$445,$A28,Mayor_Mov!$B$5:$B$445,"21202140")</f>
        <v>0</v>
      </c>
      <c r="G28" s="11" t="n">
        <f aca="false">D28+E28-F28</f>
        <v>1821666666</v>
      </c>
      <c r="H28" s="22" t="str">
        <f aca="false">IF(COUNTIF(Detalle_62!$C$14:$C$35,A28)&gt;0,"Sí","NO")</f>
        <v>Sí</v>
      </c>
      <c r="I28" s="36"/>
    </row>
    <row r="29" customFormat="false" ht="15" hidden="false" customHeight="false" outlineLevel="0" collapsed="false">
      <c r="A29" s="12" t="s">
        <v>113</v>
      </c>
      <c r="B29" s="16" t="s">
        <v>96</v>
      </c>
      <c r="C29" s="4" t="s">
        <v>67</v>
      </c>
      <c r="D29" s="10" t="n">
        <f aca="false">SUMIFS(Detalle_62!$F$14:$F$35,Detalle_62!$C$14:$C$35,A29)</f>
        <v>1125000000</v>
      </c>
      <c r="E29" s="10" t="n">
        <f aca="false">SUMIFS(Mayor_Mov!$E$5:$E$445,Mayor_Mov!$N$5:$N$445,$A29,Mayor_Mov!$B$5:$B$445,"21050100")+SUMIFS(Mayor_Mov!$E$5:$E$445,Mayor_Mov!$N$5:$N$445,$A29,Mayor_Mov!$B$5:$B$445,"21050201")+SUMIFS(Mayor_Mov!$E$5:$E$445,Mayor_Mov!$N$5:$N$445,$A29,Mayor_Mov!$B$5:$B$445,"21202040")+SUMIFS(Mayor_Mov!$E$5:$E$445,Mayor_Mov!$N$5:$N$445,$A29,Mayor_Mov!$B$5:$B$445,"21202140")</f>
        <v>250000000</v>
      </c>
      <c r="F29" s="10" t="n">
        <f aca="false">SUMIFS(Mayor_Mov!$F$5:$F$445,Mayor_Mov!$N$5:$N$445,$A29,Mayor_Mov!$B$5:$B$445,"21050100")+SUMIFS(Mayor_Mov!$F$5:$F$445,Mayor_Mov!$N$5:$N$445,$A29,Mayor_Mov!$B$5:$B$445,"21050201")+SUMIFS(Mayor_Mov!$F$5:$F$445,Mayor_Mov!$N$5:$N$445,$A29,Mayor_Mov!$B$5:$B$445,"21202040")+SUMIFS(Mayor_Mov!$F$5:$F$445,Mayor_Mov!$N$5:$N$445,$A29,Mayor_Mov!$B$5:$B$445,"21202140")</f>
        <v>0</v>
      </c>
      <c r="G29" s="11" t="n">
        <f aca="false">D29+E29-F29</f>
        <v>1375000000</v>
      </c>
      <c r="H29" s="22" t="str">
        <f aca="false">IF(COUNTIF(Detalle_62!$C$14:$C$35,A29)&gt;0,"Sí","NO")</f>
        <v>Sí</v>
      </c>
      <c r="I29" s="36"/>
    </row>
    <row r="30" customFormat="false" ht="15" hidden="false" customHeight="false" outlineLevel="0" collapsed="false">
      <c r="A30" s="12" t="s">
        <v>97</v>
      </c>
      <c r="B30" s="16" t="s">
        <v>96</v>
      </c>
      <c r="C30" s="4" t="s">
        <v>67</v>
      </c>
      <c r="D30" s="10" t="n">
        <f aca="false">SUMIFS(Detalle_62!$F$14:$F$35,Detalle_62!$C$14:$C$35,A30)</f>
        <v>10000000000</v>
      </c>
      <c r="E30" s="10" t="n">
        <f aca="false">SUMIFS(Mayor_Mov!$E$5:$E$445,Mayor_Mov!$N$5:$N$445,$A30,Mayor_Mov!$B$5:$B$445,"21050100")+SUMIFS(Mayor_Mov!$E$5:$E$445,Mayor_Mov!$N$5:$N$445,$A30,Mayor_Mov!$B$5:$B$445,"21050201")+SUMIFS(Mayor_Mov!$E$5:$E$445,Mayor_Mov!$N$5:$N$445,$A30,Mayor_Mov!$B$5:$B$445,"21202040")+SUMIFS(Mayor_Mov!$E$5:$E$445,Mayor_Mov!$N$5:$N$445,$A30,Mayor_Mov!$B$5:$B$445,"21202140")</f>
        <v>10000000000</v>
      </c>
      <c r="F30" s="10" t="n">
        <f aca="false">SUMIFS(Mayor_Mov!$F$5:$F$445,Mayor_Mov!$N$5:$N$445,$A30,Mayor_Mov!$B$5:$B$445,"21050100")+SUMIFS(Mayor_Mov!$F$5:$F$445,Mayor_Mov!$N$5:$N$445,$A30,Mayor_Mov!$B$5:$B$445,"21050201")+SUMIFS(Mayor_Mov!$F$5:$F$445,Mayor_Mov!$N$5:$N$445,$A30,Mayor_Mov!$B$5:$B$445,"21202040")+SUMIFS(Mayor_Mov!$F$5:$F$445,Mayor_Mov!$N$5:$N$445,$A30,Mayor_Mov!$B$5:$B$445,"21202140")</f>
        <v>20000000000</v>
      </c>
      <c r="G30" s="11" t="n">
        <f aca="false">D30+E30-F30</f>
        <v>0</v>
      </c>
      <c r="H30" s="22" t="str">
        <f aca="false">IF(COUNTIF(Detalle_62!$C$14:$C$35,A30)&gt;0,"Sí","NO")</f>
        <v>Sí</v>
      </c>
      <c r="I30" s="36" t="s">
        <v>1227</v>
      </c>
    </row>
    <row r="31" customFormat="false" ht="15" hidden="false" customHeight="false" outlineLevel="0" collapsed="false">
      <c r="A31" s="12" t="s">
        <v>616</v>
      </c>
      <c r="B31" s="16" t="s">
        <v>96</v>
      </c>
      <c r="C31" s="4" t="s">
        <v>1040</v>
      </c>
      <c r="D31" s="10" t="n">
        <f aca="false">SUMIFS(Detalle_62!$F$14:$F$35,Detalle_62!$C$14:$C$35,A31)</f>
        <v>381845387.419314</v>
      </c>
      <c r="E31" s="10" t="n">
        <f aca="false">SUMIFS(Mayor_Mov!$E$5:$E$445,Mayor_Mov!$N$5:$N$445,$A31,Mayor_Mov!$B$5:$B$445,"21050100")+SUMIFS(Mayor_Mov!$E$5:$E$445,Mayor_Mov!$N$5:$N$445,$A31,Mayor_Mov!$B$5:$B$445,"21050201")+SUMIFS(Mayor_Mov!$E$5:$E$445,Mayor_Mov!$N$5:$N$445,$A31,Mayor_Mov!$B$5:$B$445,"21202040")+SUMIFS(Mayor_Mov!$E$5:$E$445,Mayor_Mov!$N$5:$N$445,$A31,Mayor_Mov!$B$5:$B$445,"21202140")</f>
        <v>63658993.88</v>
      </c>
      <c r="F31" s="10" t="n">
        <f aca="false">SUMIFS(Mayor_Mov!$F$5:$F$445,Mayor_Mov!$N$5:$N$445,$A31,Mayor_Mov!$B$5:$B$445,"21050100")+SUMIFS(Mayor_Mov!$F$5:$F$445,Mayor_Mov!$N$5:$N$445,$A31,Mayor_Mov!$B$5:$B$445,"21050201")+SUMIFS(Mayor_Mov!$F$5:$F$445,Mayor_Mov!$N$5:$N$445,$A31,Mayor_Mov!$B$5:$B$445,"21202040")+SUMIFS(Mayor_Mov!$F$5:$F$445,Mayor_Mov!$N$5:$N$445,$A31,Mayor_Mov!$B$5:$B$445,"21202140")</f>
        <v>0</v>
      </c>
      <c r="G31" s="11" t="n">
        <f aca="false">D31+E31-F31</f>
        <v>445504381.299314</v>
      </c>
      <c r="H31" s="22" t="str">
        <f aca="false">IF(COUNTIF(Detalle_62!$C$14:$C$35,A31)&gt;0,"Sí","NO")</f>
        <v>Sí</v>
      </c>
      <c r="I31" s="36"/>
    </row>
    <row r="32" customFormat="false" ht="15" hidden="false" customHeight="false" outlineLevel="0" collapsed="false">
      <c r="A32" s="12" t="s">
        <v>613</v>
      </c>
      <c r="B32" s="16" t="s">
        <v>96</v>
      </c>
      <c r="C32" s="4" t="s">
        <v>1040</v>
      </c>
      <c r="D32" s="10" t="n">
        <f aca="false">SUMIFS(Detalle_62!$F$14:$F$35,Detalle_62!$C$14:$C$35,A32)</f>
        <v>381845387.419314</v>
      </c>
      <c r="E32" s="10" t="n">
        <f aca="false">SUMIFS(Mayor_Mov!$E$5:$E$445,Mayor_Mov!$N$5:$N$445,$A32,Mayor_Mov!$B$5:$B$445,"21050100")+SUMIFS(Mayor_Mov!$E$5:$E$445,Mayor_Mov!$N$5:$N$445,$A32,Mayor_Mov!$B$5:$B$445,"21050201")+SUMIFS(Mayor_Mov!$E$5:$E$445,Mayor_Mov!$N$5:$N$445,$A32,Mayor_Mov!$B$5:$B$445,"21202040")+SUMIFS(Mayor_Mov!$E$5:$E$445,Mayor_Mov!$N$5:$N$445,$A32,Mayor_Mov!$B$5:$B$445,"21202140")</f>
        <v>63658993.86</v>
      </c>
      <c r="F32" s="10" t="n">
        <f aca="false">SUMIFS(Mayor_Mov!$F$5:$F$445,Mayor_Mov!$N$5:$N$445,$A32,Mayor_Mov!$B$5:$B$445,"21050100")+SUMIFS(Mayor_Mov!$F$5:$F$445,Mayor_Mov!$N$5:$N$445,$A32,Mayor_Mov!$B$5:$B$445,"21050201")+SUMIFS(Mayor_Mov!$F$5:$F$445,Mayor_Mov!$N$5:$N$445,$A32,Mayor_Mov!$B$5:$B$445,"21202040")+SUMIFS(Mayor_Mov!$F$5:$F$445,Mayor_Mov!$N$5:$N$445,$A32,Mayor_Mov!$B$5:$B$445,"21202140")</f>
        <v>0</v>
      </c>
      <c r="G32" s="11" t="n">
        <f aca="false">D32+E32-F32</f>
        <v>445504381.279314</v>
      </c>
      <c r="H32" s="22" t="str">
        <f aca="false">IF(COUNTIF(Detalle_62!$C$14:$C$35,A32)&gt;0,"Sí","NO")</f>
        <v>Sí</v>
      </c>
      <c r="I32" s="36"/>
    </row>
    <row r="33" customFormat="false" ht="15" hidden="false" customHeight="false" outlineLevel="0" collapsed="false">
      <c r="A33" s="12" t="s">
        <v>601</v>
      </c>
      <c r="B33" s="16" t="s">
        <v>96</v>
      </c>
      <c r="C33" s="4" t="s">
        <v>1040</v>
      </c>
      <c r="D33" s="10" t="n">
        <f aca="false">SUMIFS(Detalle_62!$F$14:$F$35,Detalle_62!$C$14:$C$35,A33)</f>
        <v>196720178.445431</v>
      </c>
      <c r="E33" s="10" t="n">
        <f aca="false">SUMIFS(Mayor_Mov!$E$5:$E$445,Mayor_Mov!$N$5:$N$445,$A33,Mayor_Mov!$B$5:$B$445,"21050100")+SUMIFS(Mayor_Mov!$E$5:$E$445,Mayor_Mov!$N$5:$N$445,$A33,Mayor_Mov!$B$5:$B$445,"21050201")+SUMIFS(Mayor_Mov!$E$5:$E$445,Mayor_Mov!$N$5:$N$445,$A33,Mayor_Mov!$B$5:$B$445,"21202040")+SUMIFS(Mayor_Mov!$E$5:$E$445,Mayor_Mov!$N$5:$N$445,$A33,Mayor_Mov!$B$5:$B$445,"21202140")</f>
        <v>78102953.86</v>
      </c>
      <c r="F33" s="10" t="n">
        <f aca="false">SUMIFS(Mayor_Mov!$F$5:$F$445,Mayor_Mov!$N$5:$N$445,$A33,Mayor_Mov!$B$5:$B$445,"21050100")+SUMIFS(Mayor_Mov!$F$5:$F$445,Mayor_Mov!$N$5:$N$445,$A33,Mayor_Mov!$B$5:$B$445,"21050201")+SUMIFS(Mayor_Mov!$F$5:$F$445,Mayor_Mov!$N$5:$N$445,$A33,Mayor_Mov!$B$5:$B$445,"21202040")+SUMIFS(Mayor_Mov!$F$5:$F$445,Mayor_Mov!$N$5:$N$445,$A33,Mayor_Mov!$B$5:$B$445,"21202140")</f>
        <v>0</v>
      </c>
      <c r="G33" s="11" t="n">
        <f aca="false">D33+E33-F33</f>
        <v>274823132.305431</v>
      </c>
      <c r="H33" s="22" t="str">
        <f aca="false">IF(COUNTIF(Detalle_62!$C$14:$C$35,A33)&gt;0,"Sí","NO")</f>
        <v>Sí</v>
      </c>
      <c r="I33" s="36"/>
    </row>
    <row r="34" customFormat="false" ht="15" hidden="false" customHeight="false" outlineLevel="0" collapsed="false">
      <c r="A34" s="12" t="s">
        <v>604</v>
      </c>
      <c r="B34" s="16" t="s">
        <v>96</v>
      </c>
      <c r="C34" s="4" t="s">
        <v>1040</v>
      </c>
      <c r="D34" s="10" t="n">
        <f aca="false">SUMIFS(Detalle_62!$F$14:$F$35,Detalle_62!$C$14:$C$35,A34)</f>
        <v>196720178.445431</v>
      </c>
      <c r="E34" s="10" t="n">
        <f aca="false">SUMIFS(Mayor_Mov!$E$5:$E$445,Mayor_Mov!$N$5:$N$445,$A34,Mayor_Mov!$B$5:$B$445,"21050100")+SUMIFS(Mayor_Mov!$E$5:$E$445,Mayor_Mov!$N$5:$N$445,$A34,Mayor_Mov!$B$5:$B$445,"21050201")+SUMIFS(Mayor_Mov!$E$5:$E$445,Mayor_Mov!$N$5:$N$445,$A34,Mayor_Mov!$B$5:$B$445,"21202040")+SUMIFS(Mayor_Mov!$E$5:$E$445,Mayor_Mov!$N$5:$N$445,$A34,Mayor_Mov!$B$5:$B$445,"21202140")</f>
        <v>78102953.86</v>
      </c>
      <c r="F34" s="10" t="n">
        <f aca="false">SUMIFS(Mayor_Mov!$F$5:$F$445,Mayor_Mov!$N$5:$N$445,$A34,Mayor_Mov!$B$5:$B$445,"21050100")+SUMIFS(Mayor_Mov!$F$5:$F$445,Mayor_Mov!$N$5:$N$445,$A34,Mayor_Mov!$B$5:$B$445,"21050201")+SUMIFS(Mayor_Mov!$F$5:$F$445,Mayor_Mov!$N$5:$N$445,$A34,Mayor_Mov!$B$5:$B$445,"21202040")+SUMIFS(Mayor_Mov!$F$5:$F$445,Mayor_Mov!$N$5:$N$445,$A34,Mayor_Mov!$B$5:$B$445,"21202140")</f>
        <v>0</v>
      </c>
      <c r="G34" s="11" t="n">
        <f aca="false">D34+E34-F34</f>
        <v>274823132.305431</v>
      </c>
      <c r="H34" s="22" t="str">
        <f aca="false">IF(COUNTIF(Detalle_62!$C$14:$C$35,A34)&gt;0,"Sí","NO")</f>
        <v>Sí</v>
      </c>
      <c r="I34" s="36"/>
    </row>
    <row r="35" customFormat="false" ht="15" hidden="false" customHeight="false" outlineLevel="0" collapsed="false">
      <c r="A35" s="12" t="s">
        <v>607</v>
      </c>
      <c r="B35" s="16" t="s">
        <v>96</v>
      </c>
      <c r="C35" s="4" t="s">
        <v>1040</v>
      </c>
      <c r="D35" s="10" t="n">
        <f aca="false">SUMIFS(Detalle_62!$F$14:$F$35,Detalle_62!$C$14:$C$35,A35)</f>
        <v>382649239.487494</v>
      </c>
      <c r="E35" s="10" t="n">
        <f aca="false">SUMIFS(Mayor_Mov!$E$5:$E$445,Mayor_Mov!$N$5:$N$445,$A35,Mayor_Mov!$B$5:$B$445,"21050100")+SUMIFS(Mayor_Mov!$E$5:$E$445,Mayor_Mov!$N$5:$N$445,$A35,Mayor_Mov!$B$5:$B$445,"21050201")+SUMIFS(Mayor_Mov!$E$5:$E$445,Mayor_Mov!$N$5:$N$445,$A35,Mayor_Mov!$B$5:$B$445,"21202040")+SUMIFS(Mayor_Mov!$E$5:$E$445,Mayor_Mov!$N$5:$N$445,$A35,Mayor_Mov!$B$5:$B$445,"21202140")</f>
        <v>63672349.73</v>
      </c>
      <c r="F35" s="10" t="n">
        <f aca="false">SUMIFS(Mayor_Mov!$F$5:$F$445,Mayor_Mov!$N$5:$N$445,$A35,Mayor_Mov!$B$5:$B$445,"21050100")+SUMIFS(Mayor_Mov!$F$5:$F$445,Mayor_Mov!$N$5:$N$445,$A35,Mayor_Mov!$B$5:$B$445,"21050201")+SUMIFS(Mayor_Mov!$F$5:$F$445,Mayor_Mov!$N$5:$N$445,$A35,Mayor_Mov!$B$5:$B$445,"21202040")+SUMIFS(Mayor_Mov!$F$5:$F$445,Mayor_Mov!$N$5:$N$445,$A35,Mayor_Mov!$B$5:$B$445,"21202140")</f>
        <v>0</v>
      </c>
      <c r="G35" s="11" t="n">
        <f aca="false">D35+E35-F35</f>
        <v>446321589.217494</v>
      </c>
      <c r="H35" s="22" t="str">
        <f aca="false">IF(COUNTIF(Detalle_62!$C$14:$C$35,A35)&gt;0,"Sí","NO")</f>
        <v>Sí</v>
      </c>
      <c r="I35" s="36"/>
    </row>
    <row r="36" customFormat="false" ht="15" hidden="false" customHeight="false" outlineLevel="0" collapsed="false">
      <c r="A36" s="12" t="s">
        <v>610</v>
      </c>
      <c r="B36" s="16" t="s">
        <v>96</v>
      </c>
      <c r="C36" s="4" t="s">
        <v>1040</v>
      </c>
      <c r="D36" s="10" t="n">
        <f aca="false">SUMIFS(Detalle_62!$F$14:$F$35,Detalle_62!$C$14:$C$35,A36)</f>
        <v>968620472.418459</v>
      </c>
      <c r="E36" s="10" t="n">
        <f aca="false">SUMIFS(Mayor_Mov!$E$5:$E$445,Mayor_Mov!$N$5:$N$445,$A36,Mayor_Mov!$B$5:$B$445,"21050100")+SUMIFS(Mayor_Mov!$E$5:$E$445,Mayor_Mov!$N$5:$N$445,$A36,Mayor_Mov!$B$5:$B$445,"21050201")+SUMIFS(Mayor_Mov!$E$5:$E$445,Mayor_Mov!$N$5:$N$445,$A36,Mayor_Mov!$B$5:$B$445,"21202040")+SUMIFS(Mayor_Mov!$E$5:$E$445,Mayor_Mov!$N$5:$N$445,$A36,Mayor_Mov!$B$5:$B$445,"21202140")</f>
        <v>186592222.82</v>
      </c>
      <c r="F36" s="10" t="n">
        <f aca="false">SUMIFS(Mayor_Mov!$F$5:$F$445,Mayor_Mov!$N$5:$N$445,$A36,Mayor_Mov!$B$5:$B$445,"21050100")+SUMIFS(Mayor_Mov!$F$5:$F$445,Mayor_Mov!$N$5:$N$445,$A36,Mayor_Mov!$B$5:$B$445,"21050201")+SUMIFS(Mayor_Mov!$F$5:$F$445,Mayor_Mov!$N$5:$N$445,$A36,Mayor_Mov!$B$5:$B$445,"21202040")+SUMIFS(Mayor_Mov!$F$5:$F$445,Mayor_Mov!$N$5:$N$445,$A36,Mayor_Mov!$B$5:$B$445,"21202140")</f>
        <v>0</v>
      </c>
      <c r="G36" s="11" t="n">
        <f aca="false">D36+E36-F36</f>
        <v>1155212695.23846</v>
      </c>
      <c r="H36" s="22" t="str">
        <f aca="false">IF(COUNTIF(Detalle_62!$C$14:$C$35,A36)&gt;0,"Sí","NO")</f>
        <v>Sí</v>
      </c>
      <c r="I36" s="36"/>
    </row>
    <row r="37" customFormat="false" ht="15" hidden="false" customHeight="false" outlineLevel="0" collapsed="false">
      <c r="A37" s="12" t="s">
        <v>135</v>
      </c>
      <c r="B37" s="16" t="s">
        <v>1067</v>
      </c>
      <c r="C37" s="4" t="s">
        <v>67</v>
      </c>
      <c r="D37" s="10" t="n">
        <f aca="false">SUMIFS(Detalle_62!$F$14:$F$35,Detalle_62!$C$14:$C$35,A37)</f>
        <v>287500000</v>
      </c>
      <c r="E37" s="10" t="n">
        <f aca="false">SUMIFS(Mayor_Mov!$E$5:$E$445,Mayor_Mov!$N$5:$N$445,$A37,Mayor_Mov!$B$5:$B$445,"21050100")+SUMIFS(Mayor_Mov!$E$5:$E$445,Mayor_Mov!$N$5:$N$445,$A37,Mayor_Mov!$B$5:$B$445,"21050201")+SUMIFS(Mayor_Mov!$E$5:$E$445,Mayor_Mov!$N$5:$N$445,$A37,Mayor_Mov!$B$5:$B$445,"21202040")+SUMIFS(Mayor_Mov!$E$5:$E$445,Mayor_Mov!$N$5:$N$445,$A37,Mayor_Mov!$B$5:$B$445,"21202140")</f>
        <v>287500000</v>
      </c>
      <c r="F37" s="10" t="n">
        <f aca="false">SUMIFS(Mayor_Mov!$F$5:$F$445,Mayor_Mov!$N$5:$N$445,$A37,Mayor_Mov!$B$5:$B$445,"21050100")+SUMIFS(Mayor_Mov!$F$5:$F$445,Mayor_Mov!$N$5:$N$445,$A37,Mayor_Mov!$B$5:$B$445,"21050201")+SUMIFS(Mayor_Mov!$F$5:$F$445,Mayor_Mov!$N$5:$N$445,$A37,Mayor_Mov!$B$5:$B$445,"21202040")+SUMIFS(Mayor_Mov!$F$5:$F$445,Mayor_Mov!$N$5:$N$445,$A37,Mayor_Mov!$B$5:$B$445,"21202140")</f>
        <v>0</v>
      </c>
      <c r="G37" s="11" t="n">
        <f aca="false">D37+E37-F37</f>
        <v>575000000</v>
      </c>
      <c r="H37" s="22" t="str">
        <f aca="false">IF(COUNTIF(Detalle_62!$C$14:$C$35,A37)&gt;0,"Sí","NO")</f>
        <v>Sí</v>
      </c>
      <c r="I37" s="36"/>
    </row>
    <row r="38" customFormat="false" ht="22.35" hidden="false" customHeight="false" outlineLevel="0" collapsed="false">
      <c r="A38" s="12" t="s">
        <v>86</v>
      </c>
      <c r="B38" s="16" t="s">
        <v>1069</v>
      </c>
      <c r="C38" s="4" t="s">
        <v>67</v>
      </c>
      <c r="D38" s="10" t="n">
        <f aca="false">SUMIFS(Detalle_62!$F$14:$F$35,Detalle_62!$C$14:$C$35,A38)</f>
        <v>4700000000</v>
      </c>
      <c r="E38" s="10" t="n">
        <f aca="false">SUMIFS(Mayor_Mov!$E$5:$E$445,Mayor_Mov!$N$5:$N$445,$A38,Mayor_Mov!$B$5:$B$445,"21050100")+SUMIFS(Mayor_Mov!$E$5:$E$445,Mayor_Mov!$N$5:$N$445,$A38,Mayor_Mov!$B$5:$B$445,"21050201")+SUMIFS(Mayor_Mov!$E$5:$E$445,Mayor_Mov!$N$5:$N$445,$A38,Mayor_Mov!$B$5:$B$445,"21202040")+SUMIFS(Mayor_Mov!$E$5:$E$445,Mayor_Mov!$N$5:$N$445,$A38,Mayor_Mov!$B$5:$B$445,"21202140")</f>
        <v>4700000000</v>
      </c>
      <c r="F38" s="10" t="n">
        <f aca="false">SUMIFS(Mayor_Mov!$F$5:$F$445,Mayor_Mov!$N$5:$N$445,$A38,Mayor_Mov!$B$5:$B$445,"21050100")+SUMIFS(Mayor_Mov!$F$5:$F$445,Mayor_Mov!$N$5:$N$445,$A38,Mayor_Mov!$B$5:$B$445,"21050201")+SUMIFS(Mayor_Mov!$F$5:$F$445,Mayor_Mov!$N$5:$N$445,$A38,Mayor_Mov!$B$5:$B$445,"21202040")+SUMIFS(Mayor_Mov!$F$5:$F$445,Mayor_Mov!$N$5:$N$445,$A38,Mayor_Mov!$B$5:$B$445,"21202140")</f>
        <v>4700000000</v>
      </c>
      <c r="G38" s="11" t="n">
        <f aca="false">D38+E38-F38</f>
        <v>4700000000</v>
      </c>
      <c r="H38" s="22" t="str">
        <f aca="false">IF(COUNTIF(Detalle_62!$C$14:$C$35,A38)&gt;0,"Sí","NO")</f>
        <v>Sí</v>
      </c>
      <c r="I38" s="36" t="s">
        <v>1228</v>
      </c>
    </row>
    <row r="39" customFormat="false" ht="15" hidden="false" customHeight="false" outlineLevel="0" collapsed="false">
      <c r="A39" s="12" t="s">
        <v>142</v>
      </c>
      <c r="B39" s="16" t="s">
        <v>138</v>
      </c>
      <c r="C39" s="4" t="s">
        <v>67</v>
      </c>
      <c r="D39" s="10" t="n">
        <f aca="false">SUMIFS(Detalle_62!$F$14:$F$35,Detalle_62!$C$14:$C$35,A39)</f>
        <v>3333333333.33333</v>
      </c>
      <c r="E39" s="10" t="n">
        <f aca="false">SUMIFS(Mayor_Mov!$E$5:$E$445,Mayor_Mov!$N$5:$N$445,$A39,Mayor_Mov!$B$5:$B$445,"21050100")+SUMIFS(Mayor_Mov!$E$5:$E$445,Mayor_Mov!$N$5:$N$445,$A39,Mayor_Mov!$B$5:$B$445,"21050201")+SUMIFS(Mayor_Mov!$E$5:$E$445,Mayor_Mov!$N$5:$N$445,$A39,Mayor_Mov!$B$5:$B$445,"21202040")+SUMIFS(Mayor_Mov!$E$5:$E$445,Mayor_Mov!$N$5:$N$445,$A39,Mayor_Mov!$B$5:$B$445,"21202140")</f>
        <v>1666666666</v>
      </c>
      <c r="F39" s="10" t="n">
        <f aca="false">SUMIFS(Mayor_Mov!$F$5:$F$445,Mayor_Mov!$N$5:$N$445,$A39,Mayor_Mov!$B$5:$B$445,"21050100")+SUMIFS(Mayor_Mov!$F$5:$F$445,Mayor_Mov!$N$5:$N$445,$A39,Mayor_Mov!$B$5:$B$445,"21050201")+SUMIFS(Mayor_Mov!$F$5:$F$445,Mayor_Mov!$N$5:$N$445,$A39,Mayor_Mov!$B$5:$B$445,"21202040")+SUMIFS(Mayor_Mov!$F$5:$F$445,Mayor_Mov!$N$5:$N$445,$A39,Mayor_Mov!$B$5:$B$445,"21202140")</f>
        <v>0</v>
      </c>
      <c r="G39" s="11" t="n">
        <f aca="false">D39+E39-F39</f>
        <v>4999999999.33333</v>
      </c>
      <c r="H39" s="22" t="str">
        <f aca="false">IF(COUNTIF(Detalle_62!$C$14:$C$35,A39)&gt;0,"Sí","NO")</f>
        <v>Sí</v>
      </c>
      <c r="I39" s="36" t="s">
        <v>1229</v>
      </c>
    </row>
    <row r="40" customFormat="false" ht="15" hidden="false" customHeight="false" outlineLevel="0" collapsed="false">
      <c r="A40" s="12" t="s">
        <v>657</v>
      </c>
      <c r="B40" s="16" t="s">
        <v>138</v>
      </c>
      <c r="C40" s="4" t="s">
        <v>1040</v>
      </c>
      <c r="D40" s="10" t="n">
        <f aca="false">SUMIFS(Detalle_62!$F$14:$F$35,Detalle_62!$C$14:$C$35,A40)</f>
        <v>497241599</v>
      </c>
      <c r="E40" s="10" t="n">
        <f aca="false">SUMIFS(Mayor_Mov!$E$5:$E$445,Mayor_Mov!$N$5:$N$445,$A40,Mayor_Mov!$B$5:$B$445,"21050100")+SUMIFS(Mayor_Mov!$E$5:$E$445,Mayor_Mov!$N$5:$N$445,$A40,Mayor_Mov!$B$5:$B$445,"21050201")+SUMIFS(Mayor_Mov!$E$5:$E$445,Mayor_Mov!$N$5:$N$445,$A40,Mayor_Mov!$B$5:$B$445,"21202040")+SUMIFS(Mayor_Mov!$E$5:$E$445,Mayor_Mov!$N$5:$N$445,$A40,Mayor_Mov!$B$5:$B$445,"21202140")</f>
        <v>47053001</v>
      </c>
      <c r="F40" s="10" t="n">
        <f aca="false">SUMIFS(Mayor_Mov!$F$5:$F$445,Mayor_Mov!$N$5:$N$445,$A40,Mayor_Mov!$B$5:$B$445,"21050100")+SUMIFS(Mayor_Mov!$F$5:$F$445,Mayor_Mov!$N$5:$N$445,$A40,Mayor_Mov!$B$5:$B$445,"21050201")+SUMIFS(Mayor_Mov!$F$5:$F$445,Mayor_Mov!$N$5:$N$445,$A40,Mayor_Mov!$B$5:$B$445,"21202040")+SUMIFS(Mayor_Mov!$F$5:$F$445,Mayor_Mov!$N$5:$N$445,$A40,Mayor_Mov!$B$5:$B$445,"21202140")</f>
        <v>0</v>
      </c>
      <c r="G40" s="11" t="n">
        <f aca="false">D40+E40-F40</f>
        <v>544294600</v>
      </c>
      <c r="H40" s="22" t="str">
        <f aca="false">IF(COUNTIF(Detalle_62!$C$14:$C$35,A40)&gt;0,"Sí","NO")</f>
        <v>Sí</v>
      </c>
      <c r="I40" s="36"/>
    </row>
    <row r="41" customFormat="false" ht="15" hidden="false" customHeight="false" outlineLevel="0" collapsed="false">
      <c r="A41" s="12" t="s">
        <v>646</v>
      </c>
      <c r="B41" s="16" t="s">
        <v>138</v>
      </c>
      <c r="C41" s="4" t="s">
        <v>1040</v>
      </c>
      <c r="D41" s="10" t="n">
        <f aca="false">SUMIFS(Detalle_62!$F$14:$F$35,Detalle_62!$C$14:$C$35,A41)</f>
        <v>770085425.158301</v>
      </c>
      <c r="E41" s="10" t="n">
        <f aca="false">SUMIFS(Mayor_Mov!$E$5:$E$445,Mayor_Mov!$N$5:$N$445,$A41,Mayor_Mov!$B$5:$B$445,"21050100")+SUMIFS(Mayor_Mov!$E$5:$E$445,Mayor_Mov!$N$5:$N$445,$A41,Mayor_Mov!$B$5:$B$445,"21050201")+SUMIFS(Mayor_Mov!$E$5:$E$445,Mayor_Mov!$N$5:$N$445,$A41,Mayor_Mov!$B$5:$B$445,"21202040")+SUMIFS(Mayor_Mov!$E$5:$E$445,Mayor_Mov!$N$5:$N$445,$A41,Mayor_Mov!$B$5:$B$445,"21202140")</f>
        <v>61870158</v>
      </c>
      <c r="F41" s="10" t="n">
        <f aca="false">SUMIFS(Mayor_Mov!$F$5:$F$445,Mayor_Mov!$N$5:$N$445,$A41,Mayor_Mov!$B$5:$B$445,"21050100")+SUMIFS(Mayor_Mov!$F$5:$F$445,Mayor_Mov!$N$5:$N$445,$A41,Mayor_Mov!$B$5:$B$445,"21050201")+SUMIFS(Mayor_Mov!$F$5:$F$445,Mayor_Mov!$N$5:$N$445,$A41,Mayor_Mov!$B$5:$B$445,"21202040")+SUMIFS(Mayor_Mov!$F$5:$F$445,Mayor_Mov!$N$5:$N$445,$A41,Mayor_Mov!$B$5:$B$445,"21202140")</f>
        <v>0</v>
      </c>
      <c r="G41" s="11" t="n">
        <f aca="false">D41+E41-F41</f>
        <v>831955583.158301</v>
      </c>
      <c r="H41" s="22" t="str">
        <f aca="false">IF(COUNTIF(Detalle_62!$C$14:$C$35,A41)&gt;0,"Sí","NO")</f>
        <v>Sí</v>
      </c>
      <c r="I41" s="36"/>
    </row>
    <row r="42" customFormat="false" ht="15" hidden="false" customHeight="false" outlineLevel="0" collapsed="false">
      <c r="A42" s="12" t="s">
        <v>643</v>
      </c>
      <c r="B42" s="16" t="s">
        <v>138</v>
      </c>
      <c r="C42" s="4" t="s">
        <v>1040</v>
      </c>
      <c r="D42" s="10" t="n">
        <f aca="false">SUMIFS(Detalle_62!$F$14:$F$35,Detalle_62!$C$14:$C$35,A42)</f>
        <v>503693510</v>
      </c>
      <c r="E42" s="10" t="n">
        <f aca="false">SUMIFS(Mayor_Mov!$E$5:$E$445,Mayor_Mov!$N$5:$N$445,$A42,Mayor_Mov!$B$5:$B$445,"21050100")+SUMIFS(Mayor_Mov!$E$5:$E$445,Mayor_Mov!$N$5:$N$445,$A42,Mayor_Mov!$B$5:$B$445,"21050201")+SUMIFS(Mayor_Mov!$E$5:$E$445,Mayor_Mov!$N$5:$N$445,$A42,Mayor_Mov!$B$5:$B$445,"21202040")+SUMIFS(Mayor_Mov!$E$5:$E$445,Mayor_Mov!$N$5:$N$445,$A42,Mayor_Mov!$B$5:$B$445,"21202140")</f>
        <v>117272673</v>
      </c>
      <c r="F42" s="10" t="n">
        <f aca="false">SUMIFS(Mayor_Mov!$F$5:$F$445,Mayor_Mov!$N$5:$N$445,$A42,Mayor_Mov!$B$5:$B$445,"21050100")+SUMIFS(Mayor_Mov!$F$5:$F$445,Mayor_Mov!$N$5:$N$445,$A42,Mayor_Mov!$B$5:$B$445,"21050201")+SUMIFS(Mayor_Mov!$F$5:$F$445,Mayor_Mov!$N$5:$N$445,$A42,Mayor_Mov!$B$5:$B$445,"21202040")+SUMIFS(Mayor_Mov!$F$5:$F$445,Mayor_Mov!$N$5:$N$445,$A42,Mayor_Mov!$B$5:$B$445,"21202140")</f>
        <v>0</v>
      </c>
      <c r="G42" s="11" t="n">
        <f aca="false">D42+E42-F42</f>
        <v>620966183</v>
      </c>
      <c r="H42" s="22" t="str">
        <f aca="false">IF(COUNTIF(Detalle_62!$C$14:$C$35,A42)&gt;0,"Sí","NO")</f>
        <v>Sí</v>
      </c>
      <c r="I42" s="36"/>
    </row>
    <row r="43" customFormat="false" ht="22.35" hidden="false" customHeight="false" outlineLevel="0" collapsed="false">
      <c r="A43" s="12" t="s">
        <v>94</v>
      </c>
      <c r="B43" s="16" t="s">
        <v>1038</v>
      </c>
      <c r="C43" s="4" t="s">
        <v>67</v>
      </c>
      <c r="D43" s="10" t="n">
        <f aca="false">SUMIFS(Detalle_62!$F$14:$F$35,Detalle_62!$C$14:$C$35,A43)</f>
        <v>0</v>
      </c>
      <c r="E43" s="10" t="n">
        <f aca="false">SUMIFS(Mayor_Mov!$E$5:$E$445,Mayor_Mov!$N$5:$N$445,$A43,Mayor_Mov!$B$5:$B$445,"21050100")+SUMIFS(Mayor_Mov!$E$5:$E$445,Mayor_Mov!$N$5:$N$445,$A43,Mayor_Mov!$B$5:$B$445,"21050201")+SUMIFS(Mayor_Mov!$E$5:$E$445,Mayor_Mov!$N$5:$N$445,$A43,Mayor_Mov!$B$5:$B$445,"21202040")+SUMIFS(Mayor_Mov!$E$5:$E$445,Mayor_Mov!$N$5:$N$445,$A43,Mayor_Mov!$B$5:$B$445,"21202140")</f>
        <v>10000000000</v>
      </c>
      <c r="F43" s="10" t="n">
        <f aca="false">SUMIFS(Mayor_Mov!$F$5:$F$445,Mayor_Mov!$N$5:$N$445,$A43,Mayor_Mov!$B$5:$B$445,"21050100")+SUMIFS(Mayor_Mov!$F$5:$F$445,Mayor_Mov!$N$5:$N$445,$A43,Mayor_Mov!$B$5:$B$445,"21050201")+SUMIFS(Mayor_Mov!$F$5:$F$445,Mayor_Mov!$N$5:$N$445,$A43,Mayor_Mov!$B$5:$B$445,"21202040")+SUMIFS(Mayor_Mov!$F$5:$F$445,Mayor_Mov!$N$5:$N$445,$A43,Mayor_Mov!$B$5:$B$445,"21202140")</f>
        <v>0</v>
      </c>
      <c r="G43" s="11" t="n">
        <f aca="false">D43+E43-F43</f>
        <v>10000000000</v>
      </c>
      <c r="H43" s="22" t="str">
        <f aca="false">IF(COUNTIF(Detalle_62!$C$14:$C$35,A43)&gt;0,"Sí","NO")</f>
        <v>NO</v>
      </c>
      <c r="I43" s="36" t="s">
        <v>1230</v>
      </c>
    </row>
    <row r="44" customFormat="false" ht="15" hidden="false" customHeight="false" outlineLevel="0" collapsed="false">
      <c r="A44" s="12" t="s">
        <v>547</v>
      </c>
      <c r="B44" s="16" t="s">
        <v>138</v>
      </c>
      <c r="C44" s="4" t="s">
        <v>1040</v>
      </c>
      <c r="D44" s="10" t="n">
        <f aca="false">SUMIFS(Detalle_62!$F$14:$F$35,Detalle_62!$C$14:$C$35,A44)</f>
        <v>0</v>
      </c>
      <c r="E44" s="10" t="n">
        <f aca="false">SUMIFS(Mayor_Mov!$E$5:$E$445,Mayor_Mov!$N$5:$N$445,$A44,Mayor_Mov!$B$5:$B$445,"21050100")+SUMIFS(Mayor_Mov!$E$5:$E$445,Mayor_Mov!$N$5:$N$445,$A44,Mayor_Mov!$B$5:$B$445,"21050201")+SUMIFS(Mayor_Mov!$E$5:$E$445,Mayor_Mov!$N$5:$N$445,$A44,Mayor_Mov!$B$5:$B$445,"21202040")+SUMIFS(Mayor_Mov!$E$5:$E$445,Mayor_Mov!$N$5:$N$445,$A44,Mayor_Mov!$B$5:$B$445,"21202140")</f>
        <v>0</v>
      </c>
      <c r="F44" s="10" t="n">
        <f aca="false">SUMIFS(Mayor_Mov!$F$5:$F$445,Mayor_Mov!$N$5:$N$445,$A44,Mayor_Mov!$B$5:$B$445,"21050100")+SUMIFS(Mayor_Mov!$F$5:$F$445,Mayor_Mov!$N$5:$N$445,$A44,Mayor_Mov!$B$5:$B$445,"21050201")+SUMIFS(Mayor_Mov!$F$5:$F$445,Mayor_Mov!$N$5:$N$445,$A44,Mayor_Mov!$B$5:$B$445,"21202040")+SUMIFS(Mayor_Mov!$F$5:$F$445,Mayor_Mov!$N$5:$N$445,$A44,Mayor_Mov!$B$5:$B$445,"21202140")</f>
        <v>675837500</v>
      </c>
      <c r="G44" s="11" t="n">
        <f aca="false">D44+E44-F44</f>
        <v>-675837500</v>
      </c>
      <c r="H44" s="22" t="str">
        <f aca="false">IF(COUNTIF(Detalle_62!$C$14:$C$35,A44)&gt;0,"Sí","NO")</f>
        <v>NO</v>
      </c>
      <c r="I44" s="36" t="s">
        <v>1231</v>
      </c>
    </row>
    <row r="45" customFormat="false" ht="22.35" hidden="false" customHeight="false" outlineLevel="0" collapsed="false">
      <c r="A45" s="12" t="s">
        <v>553</v>
      </c>
      <c r="B45" s="16" t="s">
        <v>1232</v>
      </c>
      <c r="C45" s="4" t="s">
        <v>1040</v>
      </c>
      <c r="D45" s="10" t="n">
        <f aca="false">SUMIFS(Detalle_62!$F$14:$F$35,Detalle_62!$C$14:$C$35,A45)</f>
        <v>0</v>
      </c>
      <c r="E45" s="10" t="n">
        <f aca="false">SUMIFS(Mayor_Mov!$E$5:$E$445,Mayor_Mov!$N$5:$N$445,$A45,Mayor_Mov!$B$5:$B$445,"21050100")+SUMIFS(Mayor_Mov!$E$5:$E$445,Mayor_Mov!$N$5:$N$445,$A45,Mayor_Mov!$B$5:$B$445,"21050201")+SUMIFS(Mayor_Mov!$E$5:$E$445,Mayor_Mov!$N$5:$N$445,$A45,Mayor_Mov!$B$5:$B$445,"21202040")+SUMIFS(Mayor_Mov!$E$5:$E$445,Mayor_Mov!$N$5:$N$445,$A45,Mayor_Mov!$B$5:$B$445,"21202140")</f>
        <v>35428634</v>
      </c>
      <c r="F45" s="10" t="n">
        <f aca="false">SUMIFS(Mayor_Mov!$F$5:$F$445,Mayor_Mov!$N$5:$N$445,$A45,Mayor_Mov!$B$5:$B$445,"21050100")+SUMIFS(Mayor_Mov!$F$5:$F$445,Mayor_Mov!$N$5:$N$445,$A45,Mayor_Mov!$B$5:$B$445,"21050201")+SUMIFS(Mayor_Mov!$F$5:$F$445,Mayor_Mov!$N$5:$N$445,$A45,Mayor_Mov!$B$5:$B$445,"21202040")+SUMIFS(Mayor_Mov!$F$5:$F$445,Mayor_Mov!$N$5:$N$445,$A45,Mayor_Mov!$B$5:$B$445,"21202140")</f>
        <v>35428634</v>
      </c>
      <c r="G45" s="11" t="n">
        <f aca="false">D45+E45-F45</f>
        <v>0</v>
      </c>
      <c r="H45" s="22" t="str">
        <f aca="false">IF(COUNTIF(Detalle_62!$C$14:$C$35,A45)&gt;0,"Sí","NO")</f>
        <v>NO</v>
      </c>
      <c r="I45" s="36" t="s">
        <v>1233</v>
      </c>
    </row>
    <row r="46" customFormat="false" ht="15" hidden="false" customHeight="false" outlineLevel="0" collapsed="false">
      <c r="A46" s="12" t="s">
        <v>594</v>
      </c>
      <c r="B46" s="16" t="s">
        <v>1232</v>
      </c>
      <c r="C46" s="4" t="s">
        <v>1040</v>
      </c>
      <c r="D46" s="10" t="n">
        <f aca="false">SUMIFS(Detalle_62!$F$14:$F$35,Detalle_62!$C$14:$C$35,A46)</f>
        <v>0</v>
      </c>
      <c r="E46" s="10" t="n">
        <f aca="false">SUMIFS(Mayor_Mov!$E$5:$E$445,Mayor_Mov!$N$5:$N$445,$A46,Mayor_Mov!$B$5:$B$445,"21050100")+SUMIFS(Mayor_Mov!$E$5:$E$445,Mayor_Mov!$N$5:$N$445,$A46,Mayor_Mov!$B$5:$B$445,"21050201")+SUMIFS(Mayor_Mov!$E$5:$E$445,Mayor_Mov!$N$5:$N$445,$A46,Mayor_Mov!$B$5:$B$445,"21202040")+SUMIFS(Mayor_Mov!$E$5:$E$445,Mayor_Mov!$N$5:$N$445,$A46,Mayor_Mov!$B$5:$B$445,"21202140")</f>
        <v>8261283</v>
      </c>
      <c r="F46" s="10" t="n">
        <f aca="false">SUMIFS(Mayor_Mov!$F$5:$F$445,Mayor_Mov!$N$5:$N$445,$A46,Mayor_Mov!$B$5:$B$445,"21050100")+SUMIFS(Mayor_Mov!$F$5:$F$445,Mayor_Mov!$N$5:$N$445,$A46,Mayor_Mov!$B$5:$B$445,"21050201")+SUMIFS(Mayor_Mov!$F$5:$F$445,Mayor_Mov!$N$5:$N$445,$A46,Mayor_Mov!$B$5:$B$445,"21202040")+SUMIFS(Mayor_Mov!$F$5:$F$445,Mayor_Mov!$N$5:$N$445,$A46,Mayor_Mov!$B$5:$B$445,"21202140")</f>
        <v>8261283</v>
      </c>
      <c r="G46" s="11" t="n">
        <f aca="false">D46+E46-F46</f>
        <v>0</v>
      </c>
      <c r="H46" s="22" t="str">
        <f aca="false">IF(COUNTIF(Detalle_62!$C$14:$C$35,A46)&gt;0,"Sí","NO")</f>
        <v>NO</v>
      </c>
      <c r="I46" s="36" t="s">
        <v>1234</v>
      </c>
    </row>
    <row r="47" customFormat="false" ht="15" hidden="false" customHeight="false" outlineLevel="0" collapsed="false">
      <c r="A47" s="18" t="s">
        <v>1235</v>
      </c>
      <c r="D47" s="19" t="n">
        <f aca="false">SUMIFS(D21:D46,$C$21:$C$46,"Crédito")</f>
        <v>38300666665.3333</v>
      </c>
      <c r="E47" s="19" t="n">
        <f aca="false">SUMIFS(E21:E46,$C$21:$C$46,"Crédito")</f>
        <v>27706000000</v>
      </c>
      <c r="F47" s="19" t="n">
        <f aca="false">SUMIFS(F21:F46,$C$21:$C$46,"Crédito")</f>
        <v>24700000000</v>
      </c>
      <c r="G47" s="19" t="n">
        <f aca="false">SUMIFS(G21:G46,$C$21:$C$46,"Crédito")</f>
        <v>41306666665.3333</v>
      </c>
    </row>
    <row r="48" customFormat="false" ht="15" hidden="false" customHeight="false" outlineLevel="0" collapsed="false">
      <c r="A48" s="4" t="s">
        <v>1236</v>
      </c>
      <c r="E48" s="10" t="n">
        <f aca="false">Balance_21!$D$16+Balance_21!$D$18</f>
        <v>27706000000</v>
      </c>
      <c r="F48" s="10" t="n">
        <f aca="false">Balance_21!$E$16+Balance_21!$E$18</f>
        <v>24700000000</v>
      </c>
      <c r="G48" s="10" t="n">
        <f aca="false">-(Balance_21!$C$16+Balance_21!$C$18)</f>
        <v>41306666666</v>
      </c>
    </row>
    <row r="49" customFormat="false" ht="15" hidden="false" customHeight="false" outlineLevel="0" collapsed="false">
      <c r="A49" s="4" t="s">
        <v>1237</v>
      </c>
      <c r="E49" s="11" t="n">
        <f aca="false">E47-E48</f>
        <v>0</v>
      </c>
      <c r="F49" s="11" t="n">
        <f aca="false">F47-F48</f>
        <v>0</v>
      </c>
      <c r="G49" s="37" t="n">
        <f aca="false">G47-G48</f>
        <v>-0.666664123535156</v>
      </c>
    </row>
    <row r="51" customFormat="false" ht="15" hidden="false" customHeight="false" outlineLevel="0" collapsed="false">
      <c r="A51" s="18" t="s">
        <v>1238</v>
      </c>
      <c r="D51" s="19" t="n">
        <f aca="false">SUMIFS(D21:D46,$C$21:$C$46,"Leasing")</f>
        <v>6885245451.62914</v>
      </c>
      <c r="E51" s="19" t="n">
        <f aca="false">SUMIFS(E21:E46,$C$21:$C$46,"Leasing")</f>
        <v>946510532.01</v>
      </c>
      <c r="F51" s="19" t="n">
        <f aca="false">SUMIFS(F21:F46,$C$21:$C$46,"Leasing")</f>
        <v>719527417</v>
      </c>
      <c r="G51" s="19" t="n">
        <f aca="false">SUMIFS(G21:G46,$C$21:$C$46,"Leasing")</f>
        <v>7112228566.63914</v>
      </c>
    </row>
    <row r="52" customFormat="false" ht="15" hidden="false" customHeight="false" outlineLevel="0" collapsed="false">
      <c r="A52" s="4" t="s">
        <v>1239</v>
      </c>
      <c r="E52" s="10" t="n">
        <f aca="false">Balance_21!$D$22+Balance_21!$D$24</f>
        <v>946510532.01</v>
      </c>
      <c r="F52" s="10" t="n">
        <f aca="false">Balance_21!$E$22+Balance_21!$E$24</f>
        <v>719527417</v>
      </c>
      <c r="G52" s="10" t="n">
        <f aca="false">-(Balance_21!$C$22+Balance_21!$C$24)</f>
        <v>8130494743.34</v>
      </c>
    </row>
    <row r="53" customFormat="false" ht="15" hidden="false" customHeight="false" outlineLevel="0" collapsed="false">
      <c r="A53" s="4" t="s">
        <v>1240</v>
      </c>
      <c r="E53" s="11" t="n">
        <f aca="false">E51-E52</f>
        <v>0</v>
      </c>
      <c r="F53" s="11" t="n">
        <f aca="false">F51-F52</f>
        <v>0</v>
      </c>
      <c r="G53" s="37" t="n">
        <f aca="false">G51-G52</f>
        <v>-1018266176.70086</v>
      </c>
    </row>
  </sheetData>
  <mergeCells count="3">
    <mergeCell ref="A14:E14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O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7"/>
    <col collapsed="false" customWidth="true" hidden="false" outlineLevel="0" max="11" min="8" style="0" width="16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50"/>
  </cols>
  <sheetData>
    <row r="1" customFormat="false" ht="16.15" hidden="false" customHeight="false" outlineLevel="0" collapsed="false">
      <c r="A1" s="1" t="s">
        <v>1241</v>
      </c>
    </row>
    <row r="2" customFormat="false" ht="15" hidden="false" customHeight="false" outlineLevel="0" collapsed="false">
      <c r="A2" s="2" t="s">
        <v>1242</v>
      </c>
    </row>
    <row r="4" customFormat="false" ht="15" hidden="false" customHeight="false" outlineLevel="0" collapsed="false">
      <c r="A4" s="3" t="s">
        <v>1243</v>
      </c>
    </row>
    <row r="5" customFormat="false" ht="39.75" hidden="false" customHeight="true" outlineLevel="0" collapsed="false">
      <c r="A5" s="8" t="s">
        <v>1016</v>
      </c>
      <c r="B5" s="8" t="s">
        <v>1244</v>
      </c>
      <c r="C5" s="8" t="s">
        <v>1245</v>
      </c>
      <c r="D5" s="8" t="s">
        <v>1246</v>
      </c>
      <c r="E5" s="8" t="s">
        <v>1247</v>
      </c>
      <c r="F5" s="8" t="s">
        <v>1248</v>
      </c>
      <c r="G5" s="8" t="s">
        <v>1249</v>
      </c>
      <c r="H5" s="8" t="s">
        <v>1250</v>
      </c>
      <c r="I5" s="8" t="s">
        <v>1251</v>
      </c>
      <c r="J5" s="8" t="s">
        <v>1252</v>
      </c>
      <c r="K5" s="8" t="s">
        <v>1253</v>
      </c>
      <c r="L5" s="8" t="s">
        <v>1254</v>
      </c>
      <c r="M5" s="8" t="s">
        <v>1255</v>
      </c>
      <c r="N5" s="8" t="s">
        <v>33</v>
      </c>
      <c r="O5" s="8" t="s">
        <v>988</v>
      </c>
    </row>
    <row r="6" customFormat="false" ht="25.5" hidden="false" customHeight="true" outlineLevel="0" collapsed="false">
      <c r="A6" s="12" t="s">
        <v>702</v>
      </c>
      <c r="B6" s="36" t="s">
        <v>1256</v>
      </c>
      <c r="C6" s="10" t="n">
        <f aca="false">Certificados!J5</f>
        <v>7499998503.25</v>
      </c>
      <c r="D6" s="28" t="n">
        <v>0.1551</v>
      </c>
      <c r="E6" s="5" t="n">
        <v>46102</v>
      </c>
      <c r="F6" s="5" t="n">
        <v>46286</v>
      </c>
      <c r="G6" s="38" t="n">
        <f aca="false">F6-E6</f>
        <v>184</v>
      </c>
      <c r="H6" s="11" t="n">
        <f aca="false">C6*((1+D6)^(G6/365)-1)</f>
        <v>565446040.044346</v>
      </c>
      <c r="I6" s="11" t="n">
        <f aca="false">C6*((1+D6)^(G6/360)-1)</f>
        <v>573592442.693754</v>
      </c>
      <c r="J6" s="17" t="n">
        <v>565738188.8</v>
      </c>
      <c r="K6" s="11" t="n">
        <f aca="false">IF(ABS(H6-J6)&lt;=ABS(I6-J6),H6-J6,I6-J6)</f>
        <v>-292148.755654216</v>
      </c>
      <c r="L6" s="32" t="n">
        <f aca="false">K6/J6</f>
        <v>-0.000516402748546813</v>
      </c>
      <c r="M6" s="32" t="n">
        <f aca="false">(1+J6/C6)^(365/G6)-1</f>
        <v>0.155183000000314</v>
      </c>
      <c r="N6" s="22" t="str">
        <f aca="false">IF(ABS(L6)&lt;=Resumen!$C$7,"Razonable","Diferencia")</f>
        <v>Razonable</v>
      </c>
      <c r="O6" s="36"/>
    </row>
    <row r="7" customFormat="false" ht="25.5" hidden="false" customHeight="true" outlineLevel="0" collapsed="false">
      <c r="A7" s="12" t="s">
        <v>704</v>
      </c>
      <c r="B7" s="36" t="s">
        <v>1257</v>
      </c>
      <c r="C7" s="10" t="n">
        <f aca="false">Certificados!H11</f>
        <v>3959998435.9</v>
      </c>
      <c r="D7" s="28" t="n">
        <v>0.1258</v>
      </c>
      <c r="E7" s="5" t="n">
        <v>46050</v>
      </c>
      <c r="F7" s="5" t="n">
        <v>46231</v>
      </c>
      <c r="G7" s="38" t="n">
        <f aca="false">F7-E7</f>
        <v>181</v>
      </c>
      <c r="H7" s="11" t="n">
        <f aca="false">C7*((1+D7)^(G7/365)-1)</f>
        <v>239661759.281274</v>
      </c>
      <c r="I7" s="11" t="n">
        <f aca="false">C7*((1+D7)^(G7/360)-1)</f>
        <v>243090546.747218</v>
      </c>
      <c r="J7" s="17" t="n">
        <v>272299382.05</v>
      </c>
      <c r="K7" s="11" t="n">
        <f aca="false">IF(ABS(H7-J7)&lt;=ABS(I7-J7),H7-J7,I7-J7)</f>
        <v>-29208835.3027824</v>
      </c>
      <c r="L7" s="32" t="n">
        <f aca="false">K7/J7</f>
        <v>-0.107267358019267</v>
      </c>
      <c r="M7" s="32" t="n">
        <f aca="false">(1+J7/C7)^(365/G7)-1</f>
        <v>0.143513000002364</v>
      </c>
      <c r="N7" s="22" t="str">
        <f aca="false">IF(ABS(L7)&lt;=Resumen!$C$7,"Razonable","Diferencia")</f>
        <v>Diferencia</v>
      </c>
      <c r="O7" s="36" t="s">
        <v>1258</v>
      </c>
    </row>
    <row r="8" customFormat="false" ht="25.5" hidden="false" customHeight="true" outlineLevel="0" collapsed="false">
      <c r="A8" s="12" t="s">
        <v>707</v>
      </c>
      <c r="B8" s="36" t="s">
        <v>1257</v>
      </c>
      <c r="C8" s="10" t="n">
        <f aca="false">Certificados!H12</f>
        <v>2999995943.8</v>
      </c>
      <c r="D8" s="28" t="n">
        <v>0.1258</v>
      </c>
      <c r="E8" s="5" t="n">
        <v>46050</v>
      </c>
      <c r="F8" s="5" t="n">
        <v>46231</v>
      </c>
      <c r="G8" s="38" t="n">
        <f aca="false">F8-E8</f>
        <v>181</v>
      </c>
      <c r="H8" s="11" t="n">
        <f aca="false">C8*((1+D8)^(G8/365)-1)</f>
        <v>181561765.077917</v>
      </c>
      <c r="I8" s="11" t="n">
        <f aca="false">C8*((1+D8)^(G8/360)-1)</f>
        <v>184159328.853885</v>
      </c>
      <c r="J8" s="17" t="n">
        <v>206287213.2</v>
      </c>
      <c r="K8" s="11" t="n">
        <f aca="false">IF(ABS(H8-J8)&lt;=ABS(I8-J8),H8-J8,I8-J8)</f>
        <v>-22127884.3461153</v>
      </c>
      <c r="L8" s="32" t="n">
        <f aca="false">K8/J8</f>
        <v>-0.107267357985305</v>
      </c>
      <c r="M8" s="32" t="n">
        <f aca="false">(1+J8/C8)^(365/G8)-1</f>
        <v>0.14351299999672</v>
      </c>
      <c r="N8" s="22" t="str">
        <f aca="false">IF(ABS(L8)&lt;=Resumen!$C$7,"Razonable","Diferencia")</f>
        <v>Diferencia</v>
      </c>
      <c r="O8" s="36" t="s">
        <v>1259</v>
      </c>
    </row>
    <row r="9" customFormat="false" ht="25.5" hidden="false" customHeight="true" outlineLevel="0" collapsed="false">
      <c r="A9" s="12" t="s">
        <v>116</v>
      </c>
      <c r="B9" s="36" t="s">
        <v>1260</v>
      </c>
      <c r="C9" s="17" t="n">
        <v>1639499992.59</v>
      </c>
      <c r="D9" s="28" t="n">
        <v>0.1494</v>
      </c>
      <c r="E9" s="5" t="n">
        <v>46102</v>
      </c>
      <c r="F9" s="5" t="n">
        <v>46194</v>
      </c>
      <c r="G9" s="38" t="n">
        <f aca="false">F9-E9</f>
        <v>92</v>
      </c>
      <c r="H9" s="11" t="n">
        <f aca="false">C9*((1+D9)^(G9/365)-1)</f>
        <v>58561733.1980925</v>
      </c>
      <c r="I9" s="11" t="n">
        <f aca="false">C9*((1+D9)^(G9/360)-1)</f>
        <v>59389648.7017872</v>
      </c>
      <c r="J9" s="17" t="n">
        <v>59390887.23</v>
      </c>
      <c r="K9" s="11" t="n">
        <f aca="false">IF(ABS(H9-J9)&lt;=ABS(I9-J9),H9-J9,I9-J9)</f>
        <v>-1238.52821275592</v>
      </c>
      <c r="L9" s="32" t="n">
        <f aca="false">K9/J9</f>
        <v>-2.0853842576211E-005</v>
      </c>
      <c r="M9" s="32" t="n">
        <f aca="false">(1+J9/C9)^(365/G9)-1</f>
        <v>0.151628294550968</v>
      </c>
      <c r="N9" s="22" t="str">
        <f aca="false">IF(ABS(L9)&lt;=Resumen!$C$7,"Razonable","Diferencia")</f>
        <v>Razonable</v>
      </c>
      <c r="O9" s="36" t="s">
        <v>1261</v>
      </c>
    </row>
    <row r="10" customFormat="false" ht="25.5" hidden="false" customHeight="true" outlineLevel="0" collapsed="false">
      <c r="A10" s="12" t="s">
        <v>113</v>
      </c>
      <c r="B10" s="36" t="s">
        <v>1262</v>
      </c>
      <c r="C10" s="10" t="n">
        <f aca="false">Certificados!H9</f>
        <v>1124999996.41</v>
      </c>
      <c r="D10" s="28" t="n">
        <v>0.1665</v>
      </c>
      <c r="E10" s="5" t="n">
        <v>46167</v>
      </c>
      <c r="F10" s="5" t="n">
        <v>46259</v>
      </c>
      <c r="G10" s="38" t="n">
        <f aca="false">F10-E10</f>
        <v>92</v>
      </c>
      <c r="H10" s="11" t="n">
        <f aca="false">C10*((1+D10)^(G10/365)-1)</f>
        <v>44529396.9469868</v>
      </c>
      <c r="I10" s="11" t="n">
        <f aca="false">C10*((1+D10)^(G10/360)-1)</f>
        <v>45160112.352436</v>
      </c>
      <c r="J10" s="17" t="n">
        <v>45166249.86</v>
      </c>
      <c r="K10" s="11" t="n">
        <f aca="false">IF(ABS(H10-J10)&lt;=ABS(I10-J10),H10-J10,I10-J10)</f>
        <v>-6137.50756401569</v>
      </c>
      <c r="L10" s="32" t="n">
        <f aca="false">K10/J10</f>
        <v>-0.000135887030316661</v>
      </c>
      <c r="M10" s="32" t="n">
        <f aca="false">(1+J10/C10)^(365/G10)-1</f>
        <v>0.169022136812226</v>
      </c>
      <c r="N10" s="22" t="str">
        <f aca="false">IF(ABS(L10)&lt;=Resumen!$C$7,"Razonable","Diferencia")</f>
        <v>Razonable</v>
      </c>
      <c r="O10" s="36" t="s">
        <v>1263</v>
      </c>
    </row>
    <row r="11" customFormat="false" ht="25.5" hidden="false" customHeight="true" outlineLevel="0" collapsed="false">
      <c r="A11" s="12" t="s">
        <v>107</v>
      </c>
      <c r="B11" s="36" t="s">
        <v>1264</v>
      </c>
      <c r="C11" s="10" t="n">
        <f aca="false">Certificados!H8</f>
        <v>2999999977.39</v>
      </c>
      <c r="D11" s="28" t="n">
        <v>0.1696</v>
      </c>
      <c r="E11" s="5" t="n">
        <v>46190</v>
      </c>
      <c r="F11" s="5" t="n">
        <v>46220</v>
      </c>
      <c r="G11" s="38" t="n">
        <f aca="false">F11-E11</f>
        <v>30</v>
      </c>
      <c r="H11" s="11" t="n">
        <f aca="false">C11*((1+D11)^(G11/365)-1)</f>
        <v>38878709.2107185</v>
      </c>
      <c r="I11" s="11" t="n">
        <f aca="false">C11*((1+D11)^(G11/360)-1)</f>
        <v>39422223.8319259</v>
      </c>
      <c r="J11" s="17" t="n">
        <v>38894999.71</v>
      </c>
      <c r="K11" s="11" t="n">
        <f aca="false">IF(ABS(H11-J11)&lt;=ABS(I11-J11),H11-J11,I11-J11)</f>
        <v>-16290.4992814809</v>
      </c>
      <c r="L11" s="32" t="n">
        <f aca="false">K11/J11</f>
        <v>-0.000418832739502311</v>
      </c>
      <c r="M11" s="32" t="n">
        <f aca="false">(1+J11/C11)^(365/G11)-1</f>
        <v>0.169676285676148</v>
      </c>
      <c r="N11" s="22" t="str">
        <f aca="false">IF(ABS(L11)&lt;=Resumen!$C$7,"Razonable","Diferencia")</f>
        <v>Razonable</v>
      </c>
      <c r="O11" s="36" t="s">
        <v>1265</v>
      </c>
    </row>
    <row r="12" customFormat="false" ht="25.5" hidden="false" customHeight="true" outlineLevel="0" collapsed="false">
      <c r="A12" s="12" t="s">
        <v>97</v>
      </c>
      <c r="B12" s="36" t="s">
        <v>1266</v>
      </c>
      <c r="C12" s="17" t="n">
        <v>10000000000</v>
      </c>
      <c r="D12" s="28" t="n">
        <v>0.1239</v>
      </c>
      <c r="E12" s="5" t="n">
        <v>46126</v>
      </c>
      <c r="F12" s="5" t="n">
        <v>46217</v>
      </c>
      <c r="G12" s="38" t="n">
        <f aca="false">F12-E12</f>
        <v>91</v>
      </c>
      <c r="H12" s="11" t="n">
        <f aca="false">C12*((1+D12)^(G12/365)-1)</f>
        <v>295493596.6112</v>
      </c>
      <c r="I12" s="11" t="n">
        <f aca="false">C12*((1+D12)^(G12/360)-1)</f>
        <v>299658564.418011</v>
      </c>
      <c r="J12" s="17" t="n">
        <v>299617500</v>
      </c>
      <c r="K12" s="11" t="n">
        <f aca="false">IF(ABS(H12-J12)&lt;=ABS(I12-J12),H12-J12,I12-J12)</f>
        <v>41064.4180105329</v>
      </c>
      <c r="L12" s="32" t="n">
        <f aca="false">K12/J12</f>
        <v>0.000137056139946875</v>
      </c>
      <c r="M12" s="32" t="n">
        <f aca="false">(1+J12/C12)^(365/G12)-1</f>
        <v>0.125706767782814</v>
      </c>
      <c r="N12" s="22" t="str">
        <f aca="false">IF(ABS(L12)&lt;=Resumen!$C$7,"Razonable","Diferencia")</f>
        <v>Razonable</v>
      </c>
      <c r="O12" s="36" t="s">
        <v>1263</v>
      </c>
    </row>
    <row r="13" customFormat="false" ht="25.5" hidden="false" customHeight="true" outlineLevel="0" collapsed="false">
      <c r="A13" s="12" t="s">
        <v>142</v>
      </c>
      <c r="B13" s="36" t="s">
        <v>1267</v>
      </c>
      <c r="C13" s="10" t="n">
        <f aca="false">Certificados!H7</f>
        <v>3333333334</v>
      </c>
      <c r="D13" s="28" t="n">
        <v>0.1417</v>
      </c>
      <c r="E13" s="5" t="n">
        <v>46225</v>
      </c>
      <c r="F13" s="5" t="n">
        <v>46245</v>
      </c>
      <c r="G13" s="38" t="n">
        <f aca="false">F13-E13</f>
        <v>20</v>
      </c>
      <c r="H13" s="11" t="n">
        <f aca="false">C13*((1+D13)^(G13/365)-1)</f>
        <v>24292360.3611409</v>
      </c>
      <c r="I13" s="11" t="n">
        <f aca="false">C13*((1+D13)^(G13/360)-1)</f>
        <v>24630997.7691466</v>
      </c>
      <c r="J13" s="17" t="n">
        <v>24607407</v>
      </c>
      <c r="K13" s="11" t="n">
        <f aca="false">IF(ABS(H13-J13)&lt;=ABS(I13-J13),H13-J13,I13-J13)</f>
        <v>23590.7691466324</v>
      </c>
      <c r="L13" s="32" t="n">
        <f aca="false">K13/J13</f>
        <v>0.000958685697628864</v>
      </c>
      <c r="M13" s="32" t="n">
        <f aca="false">(1+J13/C13)^(365/G13)-1</f>
        <v>0.143656631069129</v>
      </c>
      <c r="N13" s="22" t="str">
        <f aca="false">IF(ABS(L13)&lt;=Resumen!$C$7,"Razonable","Diferencia")</f>
        <v>Razonable</v>
      </c>
      <c r="O13" s="36"/>
    </row>
    <row r="14" customFormat="false" ht="25.5" hidden="false" customHeight="true" outlineLevel="0" collapsed="false">
      <c r="A14" s="12" t="s">
        <v>610</v>
      </c>
      <c r="B14" s="36" t="s">
        <v>1268</v>
      </c>
      <c r="C14" s="10" t="n">
        <f aca="false">Certificados!H14</f>
        <v>1047113003.63</v>
      </c>
      <c r="D14" s="28" t="n">
        <v>0.1604</v>
      </c>
      <c r="E14" s="5" t="n">
        <v>46134</v>
      </c>
      <c r="F14" s="5" t="n">
        <v>46225</v>
      </c>
      <c r="G14" s="38" t="n">
        <f aca="false">F14-E14</f>
        <v>91</v>
      </c>
      <c r="H14" s="11" t="n">
        <f aca="false">C14*((1+D14)^(G14/365)-1)</f>
        <v>39565887.9624642</v>
      </c>
      <c r="I14" s="11" t="n">
        <f aca="false">C14*((1+D14)^(G14/360)-1)</f>
        <v>40125812.1530879</v>
      </c>
      <c r="J14" s="17" t="n">
        <v>39578631.88</v>
      </c>
      <c r="K14" s="11" t="n">
        <f aca="false">IF(ABS(H14-J14)&lt;=ABS(I14-J14),H14-J14,I14-J14)</f>
        <v>-12743.9175358266</v>
      </c>
      <c r="L14" s="32" t="n">
        <f aca="false">K14/J14</f>
        <v>-0.000321989844784563</v>
      </c>
      <c r="M14" s="32" t="n">
        <f aca="false">(1+J14/C14)^(365/G14)-1</f>
        <v>0.160454584405098</v>
      </c>
      <c r="N14" s="22" t="str">
        <f aca="false">IF(ABS(L14)&lt;=Resumen!$C$7,"Razonable","Diferencia")</f>
        <v>Razonable</v>
      </c>
      <c r="O14" s="36"/>
    </row>
    <row r="15" customFormat="false" ht="25.5" hidden="false" customHeight="true" outlineLevel="0" collapsed="false">
      <c r="A15" s="12" t="s">
        <v>604</v>
      </c>
      <c r="B15" s="36" t="s">
        <v>1269</v>
      </c>
      <c r="C15" s="10" t="n">
        <f aca="false">Certificados!H15</f>
        <v>280274638.64</v>
      </c>
      <c r="D15" s="28" t="n">
        <v>0.1425</v>
      </c>
      <c r="E15" s="5" t="n">
        <v>46139</v>
      </c>
      <c r="F15" s="5" t="n">
        <v>46230</v>
      </c>
      <c r="G15" s="38" t="n">
        <f aca="false">F15-E15</f>
        <v>91</v>
      </c>
      <c r="H15" s="11" t="n">
        <f aca="false">C15*((1+D15)^(G15/365)-1)</f>
        <v>9465208.02479805</v>
      </c>
      <c r="I15" s="11" t="n">
        <f aca="false">C15*((1+D15)^(G15/360)-1)</f>
        <v>9598895.30593434</v>
      </c>
      <c r="J15" s="17" t="n">
        <v>9497274.3</v>
      </c>
      <c r="K15" s="11" t="n">
        <f aca="false">IF(ABS(H15-J15)&lt;=ABS(I15-J15),H15-J15,I15-J15)</f>
        <v>-32066.2752019558</v>
      </c>
      <c r="L15" s="32" t="n">
        <f aca="false">K15/J15</f>
        <v>-0.00337636612243113</v>
      </c>
      <c r="M15" s="32" t="n">
        <f aca="false">(1+J15/C15)^(365/G15)-1</f>
        <v>0.143007247985136</v>
      </c>
      <c r="N15" s="22" t="str">
        <f aca="false">IF(ABS(L15)&lt;=Resumen!$C$7,"Razonable","Diferencia")</f>
        <v>Razonable</v>
      </c>
      <c r="O15" s="36"/>
    </row>
    <row r="16" customFormat="false" ht="25.5" hidden="false" customHeight="true" outlineLevel="0" collapsed="false">
      <c r="A16" s="12" t="s">
        <v>601</v>
      </c>
      <c r="B16" s="36" t="s">
        <v>1269</v>
      </c>
      <c r="C16" s="10" t="n">
        <f aca="false">Certificados!H16</f>
        <v>280274638.73</v>
      </c>
      <c r="D16" s="28" t="n">
        <v>0.1425</v>
      </c>
      <c r="E16" s="5" t="n">
        <v>46139</v>
      </c>
      <c r="F16" s="5" t="n">
        <v>46230</v>
      </c>
      <c r="G16" s="38" t="n">
        <f aca="false">F16-E16</f>
        <v>91</v>
      </c>
      <c r="H16" s="11" t="n">
        <f aca="false">C16*((1+D16)^(G16/365)-1)</f>
        <v>9465208.02783745</v>
      </c>
      <c r="I16" s="11" t="n">
        <f aca="false">C16*((1+D16)^(G16/360)-1)</f>
        <v>9598895.30901668</v>
      </c>
      <c r="J16" s="17" t="n">
        <v>9497274.29</v>
      </c>
      <c r="K16" s="11" t="n">
        <f aca="false">IF(ABS(H16-J16)&lt;=ABS(I16-J16),H16-J16,I16-J16)</f>
        <v>-32066.2621625457</v>
      </c>
      <c r="L16" s="32" t="n">
        <f aca="false">K16/J16</f>
        <v>-0.00337636475302281</v>
      </c>
      <c r="M16" s="32" t="n">
        <f aca="false">(1+J16/C16)^(365/G16)-1</f>
        <v>0.143007247778672</v>
      </c>
      <c r="N16" s="22" t="str">
        <f aca="false">IF(ABS(L16)&lt;=Resumen!$C$7,"Razonable","Diferencia")</f>
        <v>Razonable</v>
      </c>
      <c r="O16" s="36"/>
    </row>
    <row r="17" customFormat="false" ht="25.5" hidden="false" customHeight="true" outlineLevel="0" collapsed="false">
      <c r="A17" s="12" t="s">
        <v>613</v>
      </c>
      <c r="B17" s="36" t="s">
        <v>1270</v>
      </c>
      <c r="C17" s="10" t="n">
        <f aca="false">Certificados!H17</f>
        <v>417650348.81</v>
      </c>
      <c r="D17" s="28" t="n">
        <v>0.1422</v>
      </c>
      <c r="E17" s="5" t="n">
        <v>46135</v>
      </c>
      <c r="F17" s="5" t="n">
        <v>46226</v>
      </c>
      <c r="G17" s="38" t="n">
        <f aca="false">F17-E17</f>
        <v>91</v>
      </c>
      <c r="H17" s="11" t="n">
        <f aca="false">C17*((1+D17)^(G17/365)-1)</f>
        <v>14076281.3033142</v>
      </c>
      <c r="I17" s="11" t="n">
        <f aca="false">C17*((1+D17)^(G17/360)-1)</f>
        <v>14275089.1532473</v>
      </c>
      <c r="J17" s="17" t="n">
        <v>14118857.99</v>
      </c>
      <c r="K17" s="11" t="n">
        <f aca="false">IF(ABS(H17-J17)&lt;=ABS(I17-J17),H17-J17,I17-J17)</f>
        <v>-42576.6866857838</v>
      </c>
      <c r="L17" s="32" t="n">
        <f aca="false">K17/J17</f>
        <v>-0.00301558998014851</v>
      </c>
      <c r="M17" s="32" t="n">
        <f aca="false">(1+J17/C17)^(365/G17)-1</f>
        <v>0.142651877930721</v>
      </c>
      <c r="N17" s="22" t="str">
        <f aca="false">IF(ABS(L17)&lt;=Resumen!$C$7,"Razonable","Diferencia")</f>
        <v>Razonable</v>
      </c>
      <c r="O17" s="36"/>
    </row>
    <row r="18" customFormat="false" ht="25.5" hidden="false" customHeight="true" outlineLevel="0" collapsed="false">
      <c r="A18" s="12" t="s">
        <v>616</v>
      </c>
      <c r="B18" s="36" t="s">
        <v>1270</v>
      </c>
      <c r="C18" s="10" t="n">
        <f aca="false">Certificados!H18</f>
        <v>417650348.67</v>
      </c>
      <c r="D18" s="28" t="n">
        <v>0.1422</v>
      </c>
      <c r="E18" s="5" t="n">
        <v>46135</v>
      </c>
      <c r="F18" s="5" t="n">
        <v>46226</v>
      </c>
      <c r="G18" s="38" t="n">
        <f aca="false">F18-E18</f>
        <v>91</v>
      </c>
      <c r="H18" s="11" t="n">
        <f aca="false">C18*((1+D18)^(G18/365)-1)</f>
        <v>14076281.2985957</v>
      </c>
      <c r="I18" s="11" t="n">
        <f aca="false">C18*((1+D18)^(G18/360)-1)</f>
        <v>14275089.1484622</v>
      </c>
      <c r="J18" s="17" t="n">
        <v>14118857.98</v>
      </c>
      <c r="K18" s="11" t="n">
        <f aca="false">IF(ABS(H18-J18)&lt;=ABS(I18-J18),H18-J18,I18-J18)</f>
        <v>-42576.681404274</v>
      </c>
      <c r="L18" s="32" t="n">
        <f aca="false">K18/J18</f>
        <v>-0.00301558960820951</v>
      </c>
      <c r="M18" s="32" t="n">
        <f aca="false">(1+J18/C18)^(365/G18)-1</f>
        <v>0.14265187787481</v>
      </c>
      <c r="N18" s="22" t="str">
        <f aca="false">IF(ABS(L18)&lt;=Resumen!$C$7,"Razonable","Diferencia")</f>
        <v>Razonable</v>
      </c>
      <c r="O18" s="36"/>
    </row>
    <row r="19" customFormat="false" ht="25.5" hidden="false" customHeight="true" outlineLevel="0" collapsed="false">
      <c r="A19" s="12" t="s">
        <v>607</v>
      </c>
      <c r="B19" s="36" t="s">
        <v>1271</v>
      </c>
      <c r="C19" s="10" t="n">
        <f aca="false">Certificados!H19</f>
        <v>417736780.24</v>
      </c>
      <c r="D19" s="28" t="n">
        <v>0.1422</v>
      </c>
      <c r="E19" s="5" t="n">
        <v>46132</v>
      </c>
      <c r="F19" s="5" t="n">
        <v>46223</v>
      </c>
      <c r="G19" s="38" t="n">
        <f aca="false">F19-E19</f>
        <v>91</v>
      </c>
      <c r="H19" s="11" t="n">
        <f aca="false">C19*((1+D19)^(G19/365)-1)</f>
        <v>14079194.3455889</v>
      </c>
      <c r="I19" s="11" t="n">
        <f aca="false">C19*((1+D19)^(G19/360)-1)</f>
        <v>14278043.3381831</v>
      </c>
      <c r="J19" s="17" t="n">
        <v>14121779.84</v>
      </c>
      <c r="K19" s="11" t="n">
        <f aca="false">IF(ABS(H19-J19)&lt;=ABS(I19-J19),H19-J19,I19-J19)</f>
        <v>-42585.4944110811</v>
      </c>
      <c r="L19" s="32" t="n">
        <f aca="false">K19/J19</f>
        <v>-0.0030155897410649</v>
      </c>
      <c r="M19" s="32" t="n">
        <f aca="false">(1+J19/C19)^(365/G19)-1</f>
        <v>0.142651877894781</v>
      </c>
      <c r="N19" s="22" t="str">
        <f aca="false">IF(ABS(L19)&lt;=Resumen!$C$7,"Razonable","Diferencia")</f>
        <v>Razonable</v>
      </c>
      <c r="O19" s="36"/>
    </row>
    <row r="20" customFormat="false" ht="15" hidden="false" customHeight="false" outlineLevel="0" collapsed="false">
      <c r="B20" s="18" t="s">
        <v>1197</v>
      </c>
      <c r="J20" s="19" t="n">
        <f aca="false">SUM(J6:J19)</f>
        <v>1612934504.13</v>
      </c>
      <c r="K20" s="19" t="n">
        <f aca="false">SUM(K6:K19)</f>
        <v>-51792495.0698545</v>
      </c>
      <c r="L20" s="39" t="n">
        <f aca="false">K20/J20</f>
        <v>-0.0321107242341442</v>
      </c>
    </row>
    <row r="22" customFormat="false" ht="15" hidden="false" customHeight="false" outlineLevel="0" collapsed="false">
      <c r="A22" s="3" t="s">
        <v>1272</v>
      </c>
    </row>
    <row r="23" customFormat="false" ht="39.75" hidden="false" customHeight="true" outlineLevel="0" collapsed="false">
      <c r="A23" s="8" t="s">
        <v>1016</v>
      </c>
      <c r="B23" s="8" t="s">
        <v>1273</v>
      </c>
      <c r="C23" s="8" t="s">
        <v>1274</v>
      </c>
      <c r="D23" s="8" t="s">
        <v>1246</v>
      </c>
      <c r="E23" s="8" t="s">
        <v>1275</v>
      </c>
      <c r="F23" s="8" t="s">
        <v>1094</v>
      </c>
      <c r="G23" s="8" t="s">
        <v>1249</v>
      </c>
      <c r="H23" s="8" t="s">
        <v>1276</v>
      </c>
      <c r="I23" s="8" t="s">
        <v>1277</v>
      </c>
      <c r="J23" s="8" t="s">
        <v>1278</v>
      </c>
      <c r="K23" s="8" t="s">
        <v>1279</v>
      </c>
      <c r="L23" s="8" t="s">
        <v>1280</v>
      </c>
      <c r="M23" s="8" t="s">
        <v>1281</v>
      </c>
      <c r="N23" s="8"/>
      <c r="O23" s="8" t="s">
        <v>988</v>
      </c>
    </row>
    <row r="24" customFormat="false" ht="25.5" hidden="false" customHeight="true" outlineLevel="0" collapsed="false">
      <c r="A24" s="12" t="s">
        <v>702</v>
      </c>
      <c r="B24" s="16" t="s">
        <v>1282</v>
      </c>
      <c r="C24" s="10" t="n">
        <f aca="false">Certificados!J5</f>
        <v>7499998503.25</v>
      </c>
      <c r="D24" s="28" t="n">
        <v>0.1551</v>
      </c>
      <c r="E24" s="5" t="n">
        <v>46102</v>
      </c>
      <c r="F24" s="5" t="n">
        <v>46234</v>
      </c>
      <c r="G24" s="38" t="n">
        <f aca="false">F24-E24</f>
        <v>132</v>
      </c>
      <c r="H24" s="21" t="n">
        <v>365</v>
      </c>
      <c r="I24" s="11" t="n">
        <f aca="false">C24*((1+D24)^(G24/H24)-1)</f>
        <v>401458173.071409</v>
      </c>
      <c r="J24" s="10" t="n">
        <f aca="false">SUMIFS(Mayor_Mov!$F$5:$F$445,Mayor_Mov!$N$5:$N$445,A24,Mayor_Mov!$B$5:$B$445,L24,Mayor_Mov!$H$5:$H$445,"&gt;"&amp;M24)-SUMIFS(Mayor_Mov!$E$5:$E$445,Mayor_Mov!$N$5:$N$445,A24,Mayor_Mov!$B$5:$B$445,L24,Mayor_Mov!$H$5:$H$445,"&gt;"&amp;M24)</f>
        <v>372400000</v>
      </c>
      <c r="K24" s="40" t="n">
        <f aca="false">I24-J24</f>
        <v>29058173.0714088</v>
      </c>
      <c r="L24" s="16" t="s">
        <v>676</v>
      </c>
      <c r="M24" s="41" t="n">
        <f aca="false">_xlfn.MAXIFS(Mayor_Mov!$H$5:$H$445,Mayor_Mov!$N$5:$N$445,A24,Mayor_Mov!$B$5:$B$445,L24,Mayor_Mov!$E$5:$E$445,"&gt;1000")</f>
        <v>46105</v>
      </c>
      <c r="O24" s="36" t="s">
        <v>1283</v>
      </c>
    </row>
    <row r="25" customFormat="false" ht="25.5" hidden="false" customHeight="true" outlineLevel="0" collapsed="false">
      <c r="A25" s="12" t="s">
        <v>704</v>
      </c>
      <c r="B25" s="16" t="s">
        <v>1284</v>
      </c>
      <c r="C25" s="10" t="n">
        <f aca="false">Certificados!J11</f>
        <v>3959997817.95</v>
      </c>
      <c r="D25" s="34" t="n">
        <f aca="false">INDEX(Detalle_62!$J$14:$J$35,MATCH("DAV-607691",Detalle_62!$C$14:$C$35,0))</f>
        <v>0.160198265625</v>
      </c>
      <c r="E25" s="5" t="n">
        <v>46231</v>
      </c>
      <c r="F25" s="5" t="n">
        <v>46234</v>
      </c>
      <c r="G25" s="38" t="n">
        <f aca="false">F25-E25</f>
        <v>3</v>
      </c>
      <c r="H25" s="21" t="n">
        <v>365</v>
      </c>
      <c r="I25" s="11" t="n">
        <f aca="false">C25*((1+D25)^(G25/H25)-1)</f>
        <v>4839280.59774044</v>
      </c>
      <c r="J25" s="10" t="n">
        <f aca="false">SUMIFS(Mayor_Mov!$F$5:$F$445,Mayor_Mov!$N$5:$N$445,A25,Mayor_Mov!$B$5:$B$445,L25,Mayor_Mov!$H$5:$H$445,"&gt;"&amp;M25)-SUMIFS(Mayor_Mov!$E$5:$E$445,Mayor_Mov!$N$5:$N$445,A25,Mayor_Mov!$B$5:$B$445,L25,Mayor_Mov!$H$5:$H$445,"&gt;"&amp;M25)</f>
        <v>0</v>
      </c>
      <c r="K25" s="40" t="n">
        <f aca="false">I25-J25</f>
        <v>4839280.59774044</v>
      </c>
      <c r="L25" s="16" t="s">
        <v>676</v>
      </c>
      <c r="M25" s="41" t="n">
        <f aca="false">_xlfn.MAXIFS(Mayor_Mov!$H$5:$H$445,Mayor_Mov!$N$5:$N$445,A25,Mayor_Mov!$B$5:$B$445,L25,Mayor_Mov!$E$5:$E$445,"&gt;1000")</f>
        <v>46231</v>
      </c>
      <c r="O25" s="36" t="s">
        <v>1285</v>
      </c>
    </row>
    <row r="26" customFormat="false" ht="25.5" hidden="false" customHeight="true" outlineLevel="0" collapsed="false">
      <c r="A26" s="12" t="s">
        <v>707</v>
      </c>
      <c r="B26" s="16" t="s">
        <v>1284</v>
      </c>
      <c r="C26" s="10" t="n">
        <f aca="false">Certificados!J12</f>
        <v>2999995157</v>
      </c>
      <c r="D26" s="34" t="n">
        <f aca="false">INDEX(Detalle_62!$J$14:$J$35,MATCH("DAV-569032",Detalle_62!$C$14:$C$35,0))</f>
        <v>0.160198265625</v>
      </c>
      <c r="E26" s="5" t="n">
        <v>46231</v>
      </c>
      <c r="F26" s="5" t="n">
        <v>46234</v>
      </c>
      <c r="G26" s="38" t="n">
        <f aca="false">F26-E26</f>
        <v>3</v>
      </c>
      <c r="H26" s="21" t="n">
        <v>365</v>
      </c>
      <c r="I26" s="11" t="n">
        <f aca="false">C26*((1+D26)^(G26/H26)-1)</f>
        <v>3666117.76672668</v>
      </c>
      <c r="J26" s="10" t="n">
        <f aca="false">SUMIFS(Mayor_Mov!$F$5:$F$445,Mayor_Mov!$N$5:$N$445,A26,Mayor_Mov!$B$5:$B$445,L26,Mayor_Mov!$H$5:$H$445,"&gt;"&amp;M26)-SUMIFS(Mayor_Mov!$E$5:$E$445,Mayor_Mov!$N$5:$N$445,A26,Mayor_Mov!$B$5:$B$445,L26,Mayor_Mov!$H$5:$H$445,"&gt;"&amp;M26)</f>
        <v>0</v>
      </c>
      <c r="K26" s="40" t="n">
        <f aca="false">I26-J26</f>
        <v>3666117.76672668</v>
      </c>
      <c r="L26" s="16" t="s">
        <v>676</v>
      </c>
      <c r="M26" s="41" t="n">
        <f aca="false">_xlfn.MAXIFS(Mayor_Mov!$H$5:$H$445,Mayor_Mov!$N$5:$N$445,A26,Mayor_Mov!$B$5:$B$445,L26,Mayor_Mov!$E$5:$E$445,"&gt;1000")</f>
        <v>46231</v>
      </c>
      <c r="O26" s="36" t="s">
        <v>1286</v>
      </c>
    </row>
    <row r="27" customFormat="false" ht="25.5" hidden="false" customHeight="true" outlineLevel="0" collapsed="false">
      <c r="A27" s="12" t="s">
        <v>86</v>
      </c>
      <c r="B27" s="16" t="s">
        <v>1287</v>
      </c>
      <c r="C27" s="10" t="n">
        <f aca="false">SUMIFS(Detalle_62!$F$14:$F$35,Detalle_62!$C$14:$C$35,"BBVA-0141")</f>
        <v>4700000000</v>
      </c>
      <c r="D27" s="34" t="n">
        <f aca="false">INDEX(Detalle_62!$J$14:$J$35,MATCH("BBVA-0141",Detalle_62!$C$14:$C$35,0))</f>
        <v>0.135423288111736</v>
      </c>
      <c r="E27" s="5" t="n">
        <v>46203</v>
      </c>
      <c r="F27" s="5" t="n">
        <v>46234</v>
      </c>
      <c r="G27" s="38" t="n">
        <f aca="false">F27-E27</f>
        <v>31</v>
      </c>
      <c r="H27" s="21" t="n">
        <v>365</v>
      </c>
      <c r="I27" s="11" t="n">
        <f aca="false">C27*((1+D27)^(G27/H27)-1)</f>
        <v>50972239.5760856</v>
      </c>
      <c r="J27" s="10" t="n">
        <f aca="false">SUMIFS(Mayor_Mov!$F$5:$F$445,Mayor_Mov!$N$5:$N$445,A27,Mayor_Mov!$B$5:$B$445,L27,Mayor_Mov!$H$5:$H$445,"&gt;"&amp;M27)-SUMIFS(Mayor_Mov!$E$5:$E$445,Mayor_Mov!$N$5:$N$445,A27,Mayor_Mov!$B$5:$B$445,L27,Mayor_Mov!$H$5:$H$445,"&gt;"&amp;M27)</f>
        <v>0</v>
      </c>
      <c r="K27" s="40" t="n">
        <f aca="false">I27-J27</f>
        <v>50972239.5760856</v>
      </c>
      <c r="L27" s="16" t="s">
        <v>676</v>
      </c>
      <c r="M27" s="41" t="n">
        <f aca="false">_xlfn.MAXIFS(Mayor_Mov!$H$5:$H$445,Mayor_Mov!$N$5:$N$445,A27,Mayor_Mov!$B$5:$B$445,L27,Mayor_Mov!$E$5:$E$445,"&gt;1000")</f>
        <v>46203</v>
      </c>
      <c r="O27" s="36" t="s">
        <v>1288</v>
      </c>
    </row>
    <row r="28" customFormat="false" ht="25.5" hidden="false" customHeight="true" outlineLevel="0" collapsed="false">
      <c r="A28" s="12" t="s">
        <v>107</v>
      </c>
      <c r="B28" s="16" t="s">
        <v>1282</v>
      </c>
      <c r="C28" s="10" t="n">
        <f aca="false">Certificados!J8</f>
        <v>2937499977.39</v>
      </c>
      <c r="D28" s="28" t="n">
        <v>0.1696</v>
      </c>
      <c r="E28" s="5" t="n">
        <v>46220</v>
      </c>
      <c r="F28" s="5" t="n">
        <v>46234</v>
      </c>
      <c r="G28" s="38" t="n">
        <f aca="false">F28-E28</f>
        <v>14</v>
      </c>
      <c r="H28" s="21" t="n">
        <v>365</v>
      </c>
      <c r="I28" s="11" t="n">
        <f aca="false">C28*((1+D28)^(G28/H28)-1)</f>
        <v>17704418.3193534</v>
      </c>
      <c r="J28" s="10" t="n">
        <f aca="false">SUMIFS(Mayor_Mov!$F$5:$F$445,Mayor_Mov!$N$5:$N$445,A28,Mayor_Mov!$B$5:$B$445,L28,Mayor_Mov!$H$5:$H$445,"&gt;"&amp;M28)-SUMIFS(Mayor_Mov!$E$5:$E$445,Mayor_Mov!$N$5:$N$445,A28,Mayor_Mov!$B$5:$B$445,L28,Mayor_Mov!$H$5:$H$445,"&gt;"&amp;M28)</f>
        <v>0</v>
      </c>
      <c r="K28" s="40" t="n">
        <f aca="false">I28-J28</f>
        <v>17704418.3193534</v>
      </c>
      <c r="L28" s="16" t="s">
        <v>676</v>
      </c>
      <c r="M28" s="41" t="n">
        <f aca="false">_xlfn.MAXIFS(Mayor_Mov!$H$5:$H$445,Mayor_Mov!$N$5:$N$445,A28,Mayor_Mov!$B$5:$B$445,L28,Mayor_Mov!$E$5:$E$445,"&gt;1000")</f>
        <v>0</v>
      </c>
      <c r="O28" s="36" t="s">
        <v>1289</v>
      </c>
    </row>
    <row r="29" customFormat="false" ht="25.5" hidden="false" customHeight="true" outlineLevel="0" collapsed="false">
      <c r="A29" s="12" t="s">
        <v>116</v>
      </c>
      <c r="B29" s="16" t="s">
        <v>1282</v>
      </c>
      <c r="C29" s="10" t="n">
        <f aca="false">Certificados!J6</f>
        <v>1457333325.59</v>
      </c>
      <c r="D29" s="28" t="n">
        <v>0.1494</v>
      </c>
      <c r="E29" s="5" t="n">
        <v>46194</v>
      </c>
      <c r="F29" s="5" t="n">
        <v>46234</v>
      </c>
      <c r="G29" s="38" t="n">
        <f aca="false">F29-E29</f>
        <v>40</v>
      </c>
      <c r="H29" s="21" t="n">
        <v>360</v>
      </c>
      <c r="I29" s="11" t="n">
        <f aca="false">C29*((1+D29)^(G29/H29)-1)</f>
        <v>22721889.9812955</v>
      </c>
      <c r="J29" s="10" t="n">
        <f aca="false">SUMIFS(Mayor_Mov!$F$5:$F$445,Mayor_Mov!$N$5:$N$445,A29,Mayor_Mov!$B$5:$B$445,L29,Mayor_Mov!$H$5:$H$445,"&gt;"&amp;M29)-SUMIFS(Mayor_Mov!$E$5:$E$445,Mayor_Mov!$N$5:$N$445,A29,Mayor_Mov!$B$5:$B$445,L29,Mayor_Mov!$H$5:$H$445,"&gt;"&amp;M29)</f>
        <v>17825616</v>
      </c>
      <c r="K29" s="40" t="n">
        <f aca="false">I29-J29</f>
        <v>4896273.98129553</v>
      </c>
      <c r="L29" s="16" t="s">
        <v>676</v>
      </c>
      <c r="M29" s="41" t="n">
        <f aca="false">_xlfn.MAXIFS(Mayor_Mov!$H$5:$H$445,Mayor_Mov!$N$5:$N$445,A29,Mayor_Mov!$B$5:$B$445,L29,Mayor_Mov!$E$5:$E$445,"&gt;1000")</f>
        <v>46203</v>
      </c>
      <c r="O29" s="36" t="s">
        <v>1290</v>
      </c>
    </row>
    <row r="30" customFormat="false" ht="25.5" hidden="false" customHeight="true" outlineLevel="0" collapsed="false">
      <c r="A30" s="12" t="s">
        <v>113</v>
      </c>
      <c r="B30" s="16" t="s">
        <v>1282</v>
      </c>
      <c r="C30" s="10" t="n">
        <f aca="false">Certificados!J9</f>
        <v>1124999996.41</v>
      </c>
      <c r="D30" s="28" t="n">
        <v>0.1665</v>
      </c>
      <c r="E30" s="5" t="n">
        <v>46167</v>
      </c>
      <c r="F30" s="5" t="n">
        <v>46234</v>
      </c>
      <c r="G30" s="38" t="n">
        <f aca="false">F30-E30</f>
        <v>67</v>
      </c>
      <c r="H30" s="21" t="n">
        <v>360</v>
      </c>
      <c r="I30" s="11" t="n">
        <f aca="false">C30*((1+D30)^(G30/H30)-1)</f>
        <v>32711950.3469859</v>
      </c>
      <c r="J30" s="10" t="n">
        <f aca="false">SUMIFS(Mayor_Mov!$F$5:$F$445,Mayor_Mov!$N$5:$N$445,A30,Mayor_Mov!$B$5:$B$445,L30,Mayor_Mov!$H$5:$H$445,"&gt;"&amp;M30)-SUMIFS(Mayor_Mov!$E$5:$E$445,Mayor_Mov!$N$5:$N$445,A30,Mayor_Mov!$B$5:$B$445,L30,Mayor_Mov!$H$5:$H$445,"&gt;"&amp;M30)</f>
        <v>30088126</v>
      </c>
      <c r="K30" s="40" t="n">
        <f aca="false">I30-J30</f>
        <v>2623824.34698591</v>
      </c>
      <c r="L30" s="16" t="s">
        <v>676</v>
      </c>
      <c r="M30" s="41" t="n">
        <f aca="false">_xlfn.MAXIFS(Mayor_Mov!$H$5:$H$445,Mayor_Mov!$N$5:$N$445,A30,Mayor_Mov!$B$5:$B$445,L30,Mayor_Mov!$E$5:$E$445,"&gt;1000")</f>
        <v>46164</v>
      </c>
      <c r="O30" s="36" t="s">
        <v>1290</v>
      </c>
    </row>
    <row r="31" customFormat="false" ht="25.5" hidden="false" customHeight="true" outlineLevel="0" collapsed="false">
      <c r="A31" s="12" t="s">
        <v>97</v>
      </c>
      <c r="B31" s="16" t="s">
        <v>1291</v>
      </c>
      <c r="C31" s="10" t="n">
        <f aca="false">Certificados!J10</f>
        <v>10000000000</v>
      </c>
      <c r="D31" s="34" t="n">
        <f aca="false">INDEX(Detalle_62!$J$14:$J$35,MATCH("BOG-1159383796",Detalle_62!$C$14:$C$35,0))</f>
        <v>0.1296288656</v>
      </c>
      <c r="E31" s="5" t="n">
        <v>46225</v>
      </c>
      <c r="F31" s="5" t="n">
        <v>46234</v>
      </c>
      <c r="G31" s="38" t="n">
        <f aca="false">F31-E31</f>
        <v>9</v>
      </c>
      <c r="H31" s="21" t="n">
        <v>360</v>
      </c>
      <c r="I31" s="11" t="n">
        <f aca="false">C31*((1+D31)^(G31/H31)-1)</f>
        <v>30518760.5171553</v>
      </c>
      <c r="J31" s="10" t="n">
        <f aca="false">SUMIFS(Mayor_Mov!$F$5:$F$445,Mayor_Mov!$N$5:$N$445,A31,Mayor_Mov!$B$5:$B$445,L31,Mayor_Mov!$H$5:$H$445,"&gt;"&amp;M31)-SUMIFS(Mayor_Mov!$E$5:$E$445,Mayor_Mov!$N$5:$N$445,A31,Mayor_Mov!$B$5:$B$445,L31,Mayor_Mov!$H$5:$H$445,"&gt;"&amp;M31)</f>
        <v>0</v>
      </c>
      <c r="K31" s="40" t="n">
        <f aca="false">I31-J31</f>
        <v>30518760.5171553</v>
      </c>
      <c r="L31" s="16" t="s">
        <v>676</v>
      </c>
      <c r="M31" s="41" t="n">
        <f aca="false">_xlfn.MAXIFS(Mayor_Mov!$H$5:$H$445,Mayor_Mov!$N$5:$N$445,A31,Mayor_Mov!$B$5:$B$445,L31,Mayor_Mov!$E$5:$E$445,"&gt;1000")</f>
        <v>46230</v>
      </c>
      <c r="O31" s="36" t="s">
        <v>1292</v>
      </c>
    </row>
    <row r="32" customFormat="false" ht="25.5" hidden="false" customHeight="true" outlineLevel="0" collapsed="false">
      <c r="A32" s="12" t="s">
        <v>135</v>
      </c>
      <c r="B32" s="16" t="s">
        <v>1287</v>
      </c>
      <c r="C32" s="10" t="n">
        <f aca="false">SUMIFS(Detalle_62!$F$14:$F$35,Detalle_62!$C$14:$C$35,"POP-631309940")</f>
        <v>287500000</v>
      </c>
      <c r="D32" s="34" t="n">
        <f aca="false">INDEX(Detalle_62!$J$14:$J$35,MATCH("POP-631309940",Detalle_62!$C$14:$C$35,0))</f>
        <v>0.149386780746296</v>
      </c>
      <c r="E32" s="5" t="n">
        <v>46190</v>
      </c>
      <c r="F32" s="5" t="n">
        <v>46234</v>
      </c>
      <c r="G32" s="38" t="n">
        <f aca="false">F32-E32</f>
        <v>44</v>
      </c>
      <c r="H32" s="21" t="n">
        <v>365</v>
      </c>
      <c r="I32" s="11" t="n">
        <f aca="false">C32*((1+D32)^(G32/H32)-1)</f>
        <v>4866039.68585017</v>
      </c>
      <c r="J32" s="10" t="n">
        <f aca="false">SUMIFS(Mayor_Mov!$F$5:$F$445,Mayor_Mov!$N$5:$N$445,A32,Mayor_Mov!$B$5:$B$445,L32,Mayor_Mov!$H$5:$H$445,"&gt;"&amp;M32)-SUMIFS(Mayor_Mov!$E$5:$E$445,Mayor_Mov!$N$5:$N$445,A32,Mayor_Mov!$B$5:$B$445,L32,Mayor_Mov!$H$5:$H$445,"&gt;"&amp;M32)</f>
        <v>3324938</v>
      </c>
      <c r="K32" s="40" t="n">
        <f aca="false">I32-J32</f>
        <v>1541101.68585017</v>
      </c>
      <c r="L32" s="16" t="s">
        <v>676</v>
      </c>
      <c r="M32" s="41" t="n">
        <f aca="false">_xlfn.MAXIFS(Mayor_Mov!$H$5:$H$445,Mayor_Mov!$N$5:$N$445,A32,Mayor_Mov!$B$5:$B$445,L32,Mayor_Mov!$E$5:$E$445,"&gt;1000")</f>
        <v>46203</v>
      </c>
      <c r="O32" s="36" t="s">
        <v>1293</v>
      </c>
    </row>
    <row r="33" customFormat="false" ht="25.5" hidden="false" customHeight="true" outlineLevel="0" collapsed="false">
      <c r="A33" s="12" t="s">
        <v>142</v>
      </c>
      <c r="B33" s="16" t="s">
        <v>1282</v>
      </c>
      <c r="C33" s="10" t="n">
        <f aca="false">Certificados!J7</f>
        <v>3333333334</v>
      </c>
      <c r="D33" s="28" t="n">
        <v>0.1417</v>
      </c>
      <c r="E33" s="5" t="n">
        <v>46225</v>
      </c>
      <c r="F33" s="5" t="n">
        <v>46234</v>
      </c>
      <c r="G33" s="38" t="n">
        <f aca="false">F33-E33</f>
        <v>9</v>
      </c>
      <c r="H33" s="21" t="n">
        <v>365</v>
      </c>
      <c r="I33" s="11" t="n">
        <f aca="false">C33*((1+D33)^(G33/H33)-1)</f>
        <v>10909736.1129754</v>
      </c>
      <c r="J33" s="10" t="n">
        <f aca="false">SUMIFS(Mayor_Mov!$F$5:$F$445,Mayor_Mov!$N$5:$N$445,A33,Mayor_Mov!$B$5:$B$445,L33,Mayor_Mov!$H$5:$H$445,"&gt;"&amp;M33)-SUMIFS(Mayor_Mov!$E$5:$E$445,Mayor_Mov!$N$5:$N$445,A33,Mayor_Mov!$B$5:$B$445,L33,Mayor_Mov!$H$5:$H$445,"&gt;"&amp;M33)</f>
        <v>0</v>
      </c>
      <c r="K33" s="40" t="n">
        <f aca="false">I33-J33</f>
        <v>10909736.1129754</v>
      </c>
      <c r="L33" s="16" t="s">
        <v>676</v>
      </c>
      <c r="M33" s="41" t="n">
        <f aca="false">_xlfn.MAXIFS(Mayor_Mov!$H$5:$H$445,Mayor_Mov!$N$5:$N$445,A33,Mayor_Mov!$B$5:$B$445,L33,Mayor_Mov!$E$5:$E$445,"&gt;1000")</f>
        <v>46231</v>
      </c>
      <c r="O33" s="36" t="s">
        <v>1294</v>
      </c>
    </row>
    <row r="34" customFormat="false" ht="25.5" hidden="false" customHeight="true" outlineLevel="0" collapsed="false">
      <c r="A34" s="12" t="s">
        <v>800</v>
      </c>
      <c r="B34" s="16" t="s">
        <v>1295</v>
      </c>
      <c r="C34" s="10" t="n">
        <f aca="false">SUMIFS(Detalle_62!$F$14:$F$35,Detalle_62!$C$14:$C$35,"DAV-L1021275")</f>
        <v>1883712218.08706</v>
      </c>
      <c r="D34" s="28" t="n">
        <v>0.1441</v>
      </c>
      <c r="E34" s="5" t="n">
        <v>46226</v>
      </c>
      <c r="F34" s="5" t="n">
        <v>46234</v>
      </c>
      <c r="G34" s="38" t="n">
        <f aca="false">F34-E34</f>
        <v>8</v>
      </c>
      <c r="H34" s="21" t="n">
        <v>365</v>
      </c>
      <c r="I34" s="11" t="n">
        <f aca="false">C34*((1+D34)^(G34/H34)-1)</f>
        <v>5566172.27019184</v>
      </c>
      <c r="J34" s="10" t="n">
        <f aca="false">SUMIFS(Mayor_Mov!$F$5:$F$445,Mayor_Mov!$N$5:$N$445,A34,Mayor_Mov!$B$5:$B$445,L34,Mayor_Mov!$H$5:$H$445,"&gt;"&amp;M34)-SUMIFS(Mayor_Mov!$E$5:$E$445,Mayor_Mov!$N$5:$N$445,A34,Mayor_Mov!$B$5:$B$445,L34,Mayor_Mov!$H$5:$H$445,"&gt;"&amp;M34)</f>
        <v>0</v>
      </c>
      <c r="K34" s="40" t="n">
        <f aca="false">I34-J34</f>
        <v>5566172.27019184</v>
      </c>
      <c r="L34" s="16" t="s">
        <v>797</v>
      </c>
      <c r="M34" s="41" t="n">
        <f aca="false">_xlfn.MAXIFS(Mayor_Mov!$H$5:$H$445,Mayor_Mov!$N$5:$N$445,A34,Mayor_Mov!$B$5:$B$445,L34,Mayor_Mov!$E$5:$E$445,"&gt;1000")</f>
        <v>46231</v>
      </c>
      <c r="O34" s="36"/>
    </row>
    <row r="35" customFormat="false" ht="25.5" hidden="false" customHeight="true" outlineLevel="0" collapsed="false">
      <c r="A35" s="12" t="s">
        <v>571</v>
      </c>
      <c r="B35" s="16" t="s">
        <v>1295</v>
      </c>
      <c r="C35" s="10" t="n">
        <f aca="false">SUMIFS(Detalle_62!$F$14:$F$35,Detalle_62!$C$14:$C$35,"DAV-L1019441")</f>
        <v>398582167.21439</v>
      </c>
      <c r="D35" s="28" t="n">
        <v>0.1603</v>
      </c>
      <c r="E35" s="5" t="n">
        <v>46216</v>
      </c>
      <c r="F35" s="5" t="n">
        <v>46234</v>
      </c>
      <c r="G35" s="38" t="n">
        <f aca="false">F35-E35</f>
        <v>18</v>
      </c>
      <c r="H35" s="21" t="n">
        <v>365</v>
      </c>
      <c r="I35" s="11" t="n">
        <f aca="false">C35*((1+D35)^(G35/H35)-1)</f>
        <v>2933182.34708288</v>
      </c>
      <c r="J35" s="10" t="n">
        <f aca="false">SUMIFS(Mayor_Mov!$F$5:$F$445,Mayor_Mov!$N$5:$N$445,A35,Mayor_Mov!$B$5:$B$445,L35,Mayor_Mov!$H$5:$H$445,"&gt;"&amp;M35)-SUMIFS(Mayor_Mov!$E$5:$E$445,Mayor_Mov!$N$5:$N$445,A35,Mayor_Mov!$B$5:$B$445,L35,Mayor_Mov!$H$5:$H$445,"&gt;"&amp;M35)</f>
        <v>0</v>
      </c>
      <c r="K35" s="40" t="n">
        <f aca="false">I35-J35</f>
        <v>2933182.34708288</v>
      </c>
      <c r="L35" s="16" t="s">
        <v>797</v>
      </c>
      <c r="M35" s="41" t="n">
        <f aca="false">_xlfn.MAXIFS(Mayor_Mov!$H$5:$H$445,Mayor_Mov!$N$5:$N$445,A35,Mayor_Mov!$B$5:$B$445,L35,Mayor_Mov!$E$5:$E$445,"&gt;1000")</f>
        <v>0</v>
      </c>
      <c r="O35" s="36"/>
    </row>
    <row r="36" customFormat="false" ht="25.5" hidden="false" customHeight="true" outlineLevel="0" collapsed="false">
      <c r="A36" s="12" t="s">
        <v>567</v>
      </c>
      <c r="B36" s="16" t="s">
        <v>1295</v>
      </c>
      <c r="C36" s="10" t="n">
        <f aca="false">SUMIFS(Detalle_62!$F$14:$F$35,Detalle_62!$C$14:$C$35,"DAV-L1019448")</f>
        <v>323529688.533944</v>
      </c>
      <c r="D36" s="28" t="n">
        <v>0.1593</v>
      </c>
      <c r="E36" s="5" t="n">
        <v>46209</v>
      </c>
      <c r="F36" s="5" t="n">
        <v>46234</v>
      </c>
      <c r="G36" s="38" t="n">
        <f aca="false">F36-E36</f>
        <v>25</v>
      </c>
      <c r="H36" s="21" t="n">
        <v>365</v>
      </c>
      <c r="I36" s="11" t="n">
        <f aca="false">C36*((1+D36)^(G36/H36)-1)</f>
        <v>3292184.55349193</v>
      </c>
      <c r="J36" s="10" t="n">
        <f aca="false">SUMIFS(Mayor_Mov!$F$5:$F$445,Mayor_Mov!$N$5:$N$445,A36,Mayor_Mov!$B$5:$B$445,L36,Mayor_Mov!$H$5:$H$445,"&gt;"&amp;M36)-SUMIFS(Mayor_Mov!$E$5:$E$445,Mayor_Mov!$N$5:$N$445,A36,Mayor_Mov!$B$5:$B$445,L36,Mayor_Mov!$H$5:$H$445,"&gt;"&amp;M36)</f>
        <v>0</v>
      </c>
      <c r="K36" s="40" t="n">
        <f aca="false">I36-J36</f>
        <v>3292184.55349193</v>
      </c>
      <c r="L36" s="16" t="s">
        <v>797</v>
      </c>
      <c r="M36" s="41" t="n">
        <f aca="false">_xlfn.MAXIFS(Mayor_Mov!$H$5:$H$445,Mayor_Mov!$N$5:$N$445,A36,Mayor_Mov!$B$5:$B$445,L36,Mayor_Mov!$E$5:$E$445,"&gt;1000")</f>
        <v>0</v>
      </c>
      <c r="O36" s="36"/>
    </row>
    <row r="37" customFormat="false" ht="25.5" hidden="false" customHeight="true" outlineLevel="0" collapsed="false">
      <c r="A37" s="12" t="s">
        <v>610</v>
      </c>
      <c r="B37" s="16" t="s">
        <v>1282</v>
      </c>
      <c r="C37" s="10" t="n">
        <f aca="false">Certificados!J14</f>
        <v>984246886.51</v>
      </c>
      <c r="D37" s="28" t="n">
        <v>0.1604</v>
      </c>
      <c r="E37" s="5" t="n">
        <v>46225</v>
      </c>
      <c r="F37" s="5" t="n">
        <v>46234</v>
      </c>
      <c r="G37" s="38" t="n">
        <f aca="false">F37-E37</f>
        <v>9</v>
      </c>
      <c r="H37" s="21" t="n">
        <v>365</v>
      </c>
      <c r="I37" s="11" t="n">
        <f aca="false">C37*((1+D37)^(G37/H37)-1)</f>
        <v>3617017.21971566</v>
      </c>
      <c r="J37" s="10" t="n">
        <f aca="false">SUMIFS(Mayor_Mov!$F$5:$F$445,Mayor_Mov!$N$5:$N$445,A37,Mayor_Mov!$B$5:$B$445,L37,Mayor_Mov!$H$5:$H$445,"&gt;"&amp;M37)-SUMIFS(Mayor_Mov!$E$5:$E$445,Mayor_Mov!$N$5:$N$445,A37,Mayor_Mov!$B$5:$B$445,L37,Mayor_Mov!$H$5:$H$445,"&gt;"&amp;M37)</f>
        <v>0</v>
      </c>
      <c r="K37" s="40" t="n">
        <f aca="false">I37-J37</f>
        <v>3617017.21971566</v>
      </c>
      <c r="L37" s="16" t="s">
        <v>797</v>
      </c>
      <c r="M37" s="41" t="n">
        <f aca="false">_xlfn.MAXIFS(Mayor_Mov!$H$5:$H$445,Mayor_Mov!$N$5:$N$445,A37,Mayor_Mov!$B$5:$B$445,L37,Mayor_Mov!$E$5:$E$445,"&gt;1000")</f>
        <v>46231</v>
      </c>
      <c r="O37" s="36"/>
    </row>
    <row r="38" customFormat="false" ht="25.5" hidden="false" customHeight="true" outlineLevel="0" collapsed="false">
      <c r="A38" s="12" t="s">
        <v>604</v>
      </c>
      <c r="B38" s="16" t="s">
        <v>1282</v>
      </c>
      <c r="C38" s="10" t="n">
        <f aca="false">Certificados!J15</f>
        <v>253672104.94</v>
      </c>
      <c r="D38" s="28" t="n">
        <v>0.1425</v>
      </c>
      <c r="E38" s="5" t="n">
        <v>46230</v>
      </c>
      <c r="F38" s="5" t="n">
        <v>46234</v>
      </c>
      <c r="G38" s="38" t="n">
        <f aca="false">F38-E38</f>
        <v>4</v>
      </c>
      <c r="H38" s="21" t="n">
        <v>365</v>
      </c>
      <c r="I38" s="11" t="n">
        <f aca="false">C38*((1+D38)^(G38/H38)-1)</f>
        <v>370614.629483698</v>
      </c>
      <c r="J38" s="10" t="n">
        <f aca="false">SUMIFS(Mayor_Mov!$F$5:$F$445,Mayor_Mov!$N$5:$N$445,A38,Mayor_Mov!$B$5:$B$445,L38,Mayor_Mov!$H$5:$H$445,"&gt;"&amp;M38)-SUMIFS(Mayor_Mov!$E$5:$E$445,Mayor_Mov!$N$5:$N$445,A38,Mayor_Mov!$B$5:$B$445,L38,Mayor_Mov!$H$5:$H$445,"&gt;"&amp;M38)</f>
        <v>0</v>
      </c>
      <c r="K38" s="40" t="n">
        <f aca="false">I38-J38</f>
        <v>370614.629483698</v>
      </c>
      <c r="L38" s="16" t="s">
        <v>797</v>
      </c>
      <c r="M38" s="41" t="n">
        <f aca="false">_xlfn.MAXIFS(Mayor_Mov!$H$5:$H$445,Mayor_Mov!$N$5:$N$445,A38,Mayor_Mov!$B$5:$B$445,L38,Mayor_Mov!$E$5:$E$445,"&gt;1000")</f>
        <v>46230</v>
      </c>
      <c r="O38" s="36"/>
    </row>
    <row r="39" customFormat="false" ht="25.5" hidden="false" customHeight="true" outlineLevel="0" collapsed="false">
      <c r="A39" s="12" t="s">
        <v>601</v>
      </c>
      <c r="B39" s="16" t="s">
        <v>1282</v>
      </c>
      <c r="C39" s="10" t="n">
        <f aca="false">Certificados!J16</f>
        <v>253672105.02</v>
      </c>
      <c r="D39" s="28" t="n">
        <v>0.1425</v>
      </c>
      <c r="E39" s="5" t="n">
        <v>46230</v>
      </c>
      <c r="F39" s="5" t="n">
        <v>46234</v>
      </c>
      <c r="G39" s="38" t="n">
        <f aca="false">F39-E39</f>
        <v>4</v>
      </c>
      <c r="H39" s="21" t="n">
        <v>365</v>
      </c>
      <c r="I39" s="11" t="n">
        <f aca="false">C39*((1+D39)^(G39/H39)-1)</f>
        <v>370614.629600578</v>
      </c>
      <c r="J39" s="10" t="n">
        <f aca="false">SUMIFS(Mayor_Mov!$F$5:$F$445,Mayor_Mov!$N$5:$N$445,A39,Mayor_Mov!$B$5:$B$445,L39,Mayor_Mov!$H$5:$H$445,"&gt;"&amp;M39)-SUMIFS(Mayor_Mov!$E$5:$E$445,Mayor_Mov!$N$5:$N$445,A39,Mayor_Mov!$B$5:$B$445,L39,Mayor_Mov!$H$5:$H$445,"&gt;"&amp;M39)</f>
        <v>0</v>
      </c>
      <c r="K39" s="40" t="n">
        <f aca="false">I39-J39</f>
        <v>370614.629600578</v>
      </c>
      <c r="L39" s="16" t="s">
        <v>797</v>
      </c>
      <c r="M39" s="41" t="n">
        <f aca="false">_xlfn.MAXIFS(Mayor_Mov!$H$5:$H$445,Mayor_Mov!$N$5:$N$445,A39,Mayor_Mov!$B$5:$B$445,L39,Mayor_Mov!$E$5:$E$445,"&gt;1000")</f>
        <v>46230</v>
      </c>
      <c r="O39" s="36"/>
    </row>
    <row r="40" customFormat="false" ht="25.5" hidden="false" customHeight="true" outlineLevel="0" collapsed="false">
      <c r="A40" s="12" t="s">
        <v>613</v>
      </c>
      <c r="B40" s="16" t="s">
        <v>1282</v>
      </c>
      <c r="C40" s="10" t="n">
        <f aca="false">Certificados!J17</f>
        <v>396112029.8</v>
      </c>
      <c r="D40" s="28" t="n">
        <v>0.1422</v>
      </c>
      <c r="E40" s="5" t="n">
        <v>46226</v>
      </c>
      <c r="F40" s="5" t="n">
        <v>46234</v>
      </c>
      <c r="G40" s="38" t="n">
        <f aca="false">F40-E40</f>
        <v>8</v>
      </c>
      <c r="H40" s="21" t="n">
        <v>365</v>
      </c>
      <c r="I40" s="11" t="n">
        <f aca="false">C40*((1+D40)^(G40/H40)-1)</f>
        <v>1155997.19975989</v>
      </c>
      <c r="J40" s="10" t="n">
        <f aca="false">SUMIFS(Mayor_Mov!$F$5:$F$445,Mayor_Mov!$N$5:$N$445,A40,Mayor_Mov!$B$5:$B$445,L40,Mayor_Mov!$H$5:$H$445,"&gt;"&amp;M40)-SUMIFS(Mayor_Mov!$E$5:$E$445,Mayor_Mov!$N$5:$N$445,A40,Mayor_Mov!$B$5:$B$445,L40,Mayor_Mov!$H$5:$H$445,"&gt;"&amp;M40)</f>
        <v>0</v>
      </c>
      <c r="K40" s="40" t="n">
        <f aca="false">I40-J40</f>
        <v>1155997.19975989</v>
      </c>
      <c r="L40" s="16" t="s">
        <v>797</v>
      </c>
      <c r="M40" s="41" t="n">
        <f aca="false">_xlfn.MAXIFS(Mayor_Mov!$H$5:$H$445,Mayor_Mov!$N$5:$N$445,A40,Mayor_Mov!$B$5:$B$445,L40,Mayor_Mov!$E$5:$E$445,"&gt;1000")</f>
        <v>46231</v>
      </c>
      <c r="O40" s="36"/>
    </row>
    <row r="41" customFormat="false" ht="25.5" hidden="false" customHeight="true" outlineLevel="0" collapsed="false">
      <c r="A41" s="12" t="s">
        <v>616</v>
      </c>
      <c r="B41" s="16" t="s">
        <v>1282</v>
      </c>
      <c r="C41" s="10" t="n">
        <f aca="false">Certificados!J18</f>
        <v>396112029.65</v>
      </c>
      <c r="D41" s="28" t="n">
        <v>0.1422</v>
      </c>
      <c r="E41" s="5" t="n">
        <v>46226</v>
      </c>
      <c r="F41" s="5" t="n">
        <v>46234</v>
      </c>
      <c r="G41" s="38" t="n">
        <f aca="false">F41-E41</f>
        <v>8</v>
      </c>
      <c r="H41" s="21" t="n">
        <v>365</v>
      </c>
      <c r="I41" s="11" t="n">
        <f aca="false">C41*((1+D41)^(G41/H41)-1)</f>
        <v>1155997.19932213</v>
      </c>
      <c r="J41" s="10" t="n">
        <f aca="false">SUMIFS(Mayor_Mov!$F$5:$F$445,Mayor_Mov!$N$5:$N$445,A41,Mayor_Mov!$B$5:$B$445,L41,Mayor_Mov!$H$5:$H$445,"&gt;"&amp;M41)-SUMIFS(Mayor_Mov!$E$5:$E$445,Mayor_Mov!$N$5:$N$445,A41,Mayor_Mov!$B$5:$B$445,L41,Mayor_Mov!$H$5:$H$445,"&gt;"&amp;M41)</f>
        <v>0</v>
      </c>
      <c r="K41" s="40" t="n">
        <f aca="false">I41-J41</f>
        <v>1155997.19932213</v>
      </c>
      <c r="L41" s="16" t="s">
        <v>797</v>
      </c>
      <c r="M41" s="41" t="n">
        <f aca="false">_xlfn.MAXIFS(Mayor_Mov!$H$5:$H$445,Mayor_Mov!$N$5:$N$445,A41,Mayor_Mov!$B$5:$B$445,L41,Mayor_Mov!$E$5:$E$445,"&gt;1000")</f>
        <v>46231</v>
      </c>
      <c r="O41" s="36"/>
    </row>
    <row r="42" customFormat="false" ht="25.5" hidden="false" customHeight="true" outlineLevel="0" collapsed="false">
      <c r="A42" s="12" t="s">
        <v>607</v>
      </c>
      <c r="B42" s="16" t="s">
        <v>1282</v>
      </c>
      <c r="C42" s="10" t="n">
        <f aca="false">Certificados!J19</f>
        <v>396193942.08</v>
      </c>
      <c r="D42" s="28" t="n">
        <v>0.1422</v>
      </c>
      <c r="E42" s="5" t="n">
        <v>46223</v>
      </c>
      <c r="F42" s="5" t="n">
        <v>46234</v>
      </c>
      <c r="G42" s="38" t="n">
        <f aca="false">F42-E42</f>
        <v>11</v>
      </c>
      <c r="H42" s="21" t="n">
        <v>365</v>
      </c>
      <c r="I42" s="11" t="n">
        <f aca="false">C42*((1+D42)^(G42/H42)-1)</f>
        <v>1590694.25438737</v>
      </c>
      <c r="J42" s="10" t="n">
        <f aca="false">SUMIFS(Mayor_Mov!$F$5:$F$445,Mayor_Mov!$N$5:$N$445,A42,Mayor_Mov!$B$5:$B$445,L42,Mayor_Mov!$H$5:$H$445,"&gt;"&amp;M42)-SUMIFS(Mayor_Mov!$E$5:$E$445,Mayor_Mov!$N$5:$N$445,A42,Mayor_Mov!$B$5:$B$445,L42,Mayor_Mov!$H$5:$H$445,"&gt;"&amp;M42)</f>
        <v>0</v>
      </c>
      <c r="K42" s="40" t="n">
        <f aca="false">I42-J42</f>
        <v>1590694.25438737</v>
      </c>
      <c r="L42" s="16" t="s">
        <v>797</v>
      </c>
      <c r="M42" s="41" t="n">
        <f aca="false">_xlfn.MAXIFS(Mayor_Mov!$H$5:$H$445,Mayor_Mov!$N$5:$N$445,A42,Mayor_Mov!$B$5:$B$445,L42,Mayor_Mov!$E$5:$E$445,"&gt;1000")</f>
        <v>46231</v>
      </c>
      <c r="O42" s="36"/>
    </row>
    <row r="43" customFormat="false" ht="25.5" hidden="false" customHeight="true" outlineLevel="0" collapsed="false">
      <c r="A43" s="12" t="s">
        <v>657</v>
      </c>
      <c r="B43" s="16" t="s">
        <v>1287</v>
      </c>
      <c r="C43" s="10" t="n">
        <f aca="false">SUMIFS(Detalle_62!$F$14:$F$35,Detalle_62!$C$14:$C$35,"BCL-L362095")</f>
        <v>497241599</v>
      </c>
      <c r="D43" s="34" t="n">
        <f aca="false">INDEX(Detalle_62!$J$14:$J$35,MATCH("BCL-L362095",Detalle_62!$C$14:$C$35,0))</f>
        <v>0.156382742125655</v>
      </c>
      <c r="E43" s="5" t="n">
        <v>46203</v>
      </c>
      <c r="F43" s="5" t="n">
        <v>46234</v>
      </c>
      <c r="G43" s="38" t="n">
        <f aca="false">F43-E43</f>
        <v>31</v>
      </c>
      <c r="H43" s="21" t="n">
        <v>365</v>
      </c>
      <c r="I43" s="11" t="n">
        <f aca="false">C43*((1+D43)^(G43/H43)-1)</f>
        <v>6174115.75656886</v>
      </c>
      <c r="J43" s="10" t="n">
        <f aca="false">SUMIFS(Mayor_Mov!$F$5:$F$445,Mayor_Mov!$N$5:$N$445,A43,Mayor_Mov!$B$5:$B$445,L43,Mayor_Mov!$H$5:$H$445,"&gt;"&amp;M43)-SUMIFS(Mayor_Mov!$E$5:$E$445,Mayor_Mov!$N$5:$N$445,A43,Mayor_Mov!$B$5:$B$445,L43,Mayor_Mov!$H$5:$H$445,"&gt;"&amp;M43)</f>
        <v>3750337</v>
      </c>
      <c r="K43" s="40" t="n">
        <f aca="false">I43-J43</f>
        <v>2423778.75656886</v>
      </c>
      <c r="L43" s="16" t="s">
        <v>797</v>
      </c>
      <c r="M43" s="41" t="n">
        <f aca="false">_xlfn.MAXIFS(Mayor_Mov!$H$5:$H$445,Mayor_Mov!$N$5:$N$445,A43,Mayor_Mov!$B$5:$B$445,L43,Mayor_Mov!$E$5:$E$445,"&gt;1000")</f>
        <v>46203</v>
      </c>
      <c r="O43" s="36" t="s">
        <v>1296</v>
      </c>
    </row>
    <row r="44" customFormat="false" ht="25.5" hidden="false" customHeight="true" outlineLevel="0" collapsed="false">
      <c r="A44" s="12" t="s">
        <v>646</v>
      </c>
      <c r="B44" s="16" t="s">
        <v>1287</v>
      </c>
      <c r="C44" s="10" t="n">
        <f aca="false">SUMIFS(Detalle_62!$F$14:$F$35,Detalle_62!$C$14:$C$35,"BCL-L336817")</f>
        <v>770085425.158301</v>
      </c>
      <c r="D44" s="34" t="n">
        <f aca="false">INDEX(Detalle_62!$J$14:$J$35,MATCH("BCL-L336817",Detalle_62!$C$14:$C$35,0))</f>
        <v>0.157948891345503</v>
      </c>
      <c r="E44" s="5" t="n">
        <v>46222</v>
      </c>
      <c r="F44" s="5" t="n">
        <v>46234</v>
      </c>
      <c r="G44" s="38" t="n">
        <f aca="false">F44-E44</f>
        <v>12</v>
      </c>
      <c r="H44" s="21" t="n">
        <v>365</v>
      </c>
      <c r="I44" s="11" t="n">
        <f aca="false">C44*((1+D44)^(G44/H44)-1)</f>
        <v>3721837.79385868</v>
      </c>
      <c r="J44" s="10" t="n">
        <f aca="false">SUMIFS(Mayor_Mov!$F$5:$F$445,Mayor_Mov!$N$5:$N$445,A44,Mayor_Mov!$B$5:$B$445,L44,Mayor_Mov!$H$5:$H$445,"&gt;"&amp;M44)-SUMIFS(Mayor_Mov!$E$5:$E$445,Mayor_Mov!$N$5:$N$445,A44,Mayor_Mov!$B$5:$B$445,L44,Mayor_Mov!$H$5:$H$445,"&gt;"&amp;M44)</f>
        <v>0</v>
      </c>
      <c r="K44" s="40" t="n">
        <f aca="false">I44-J44</f>
        <v>3721837.79385868</v>
      </c>
      <c r="L44" s="16" t="s">
        <v>797</v>
      </c>
      <c r="M44" s="41" t="n">
        <f aca="false">_xlfn.MAXIFS(Mayor_Mov!$H$5:$H$445,Mayor_Mov!$N$5:$N$445,A44,Mayor_Mov!$B$5:$B$445,L44,Mayor_Mov!$E$5:$E$445,"&gt;1000")</f>
        <v>0</v>
      </c>
      <c r="O44" s="36" t="s">
        <v>1297</v>
      </c>
    </row>
    <row r="45" customFormat="false" ht="25.5" hidden="false" customHeight="true" outlineLevel="0" collapsed="false">
      <c r="A45" s="12" t="s">
        <v>643</v>
      </c>
      <c r="B45" s="16" t="s">
        <v>1287</v>
      </c>
      <c r="C45" s="10" t="n">
        <f aca="false">SUMIFS(Detalle_62!$F$14:$F$35,Detalle_62!$C$14:$C$35,"BCL-L331330")</f>
        <v>503693510</v>
      </c>
      <c r="D45" s="34" t="n">
        <f aca="false">INDEX(Detalle_62!$J$14:$J$35,MATCH("BCL-L331330",Detalle_62!$C$14:$C$35,0))</f>
        <v>0.164255943222499</v>
      </c>
      <c r="E45" s="5" t="n">
        <v>46212</v>
      </c>
      <c r="F45" s="5" t="n">
        <v>46234</v>
      </c>
      <c r="G45" s="38" t="n">
        <f aca="false">F45-E45</f>
        <v>22</v>
      </c>
      <c r="H45" s="21" t="n">
        <v>365</v>
      </c>
      <c r="I45" s="11" t="n">
        <f aca="false">C45*((1+D45)^(G45/H45)-1)</f>
        <v>4638382.95143143</v>
      </c>
      <c r="J45" s="10" t="n">
        <f aca="false">SUMIFS(Mayor_Mov!$F$5:$F$445,Mayor_Mov!$N$5:$N$445,A45,Mayor_Mov!$B$5:$B$445,L45,Mayor_Mov!$H$5:$H$445,"&gt;"&amp;M45)-SUMIFS(Mayor_Mov!$E$5:$E$445,Mayor_Mov!$N$5:$N$445,A45,Mayor_Mov!$B$5:$B$445,L45,Mayor_Mov!$H$5:$H$445,"&gt;"&amp;M45)</f>
        <v>0</v>
      </c>
      <c r="K45" s="40" t="n">
        <f aca="false">I45-J45</f>
        <v>4638382.95143143</v>
      </c>
      <c r="L45" s="16" t="s">
        <v>797</v>
      </c>
      <c r="M45" s="41" t="n">
        <f aca="false">_xlfn.MAXIFS(Mayor_Mov!$H$5:$H$445,Mayor_Mov!$N$5:$N$445,A45,Mayor_Mov!$B$5:$B$445,L45,Mayor_Mov!$E$5:$E$445,"&gt;1000")</f>
        <v>0</v>
      </c>
      <c r="O45" s="36" t="s">
        <v>1298</v>
      </c>
    </row>
    <row r="46" customFormat="false" ht="25.5" hidden="false" customHeight="true" outlineLevel="0" collapsed="false">
      <c r="A46" s="12" t="s">
        <v>547</v>
      </c>
      <c r="B46" s="16" t="s">
        <v>1299</v>
      </c>
      <c r="C46" s="10" t="n">
        <f aca="false">SUMIFS(Mayor_Mov!$F$5:$F$445,Mayor_Mov!$N$5:$N$445,"BCL-L386735")</f>
        <v>675837500</v>
      </c>
      <c r="D46" s="34" t="n">
        <f aca="false">(1+(Detalle_62!$B$6+0.0135)/4)^4-1</f>
        <v>0.137775314543555</v>
      </c>
      <c r="E46" s="5" t="n">
        <v>46231</v>
      </c>
      <c r="F46" s="5" t="n">
        <v>46234</v>
      </c>
      <c r="G46" s="38" t="n">
        <f aca="false">F46-E46</f>
        <v>3</v>
      </c>
      <c r="H46" s="21" t="n">
        <v>365</v>
      </c>
      <c r="I46" s="11" t="n">
        <f aca="false">C46*((1+D46)^(G46/H46)-1)</f>
        <v>717369.299115863</v>
      </c>
      <c r="J46" s="10" t="n">
        <f aca="false">SUMIFS(Mayor_Mov!$F$5:$F$445,Mayor_Mov!$N$5:$N$445,A46,Mayor_Mov!$B$5:$B$445,L46,Mayor_Mov!$H$5:$H$445,"&gt;"&amp;M46)-SUMIFS(Mayor_Mov!$E$5:$E$445,Mayor_Mov!$N$5:$N$445,A46,Mayor_Mov!$B$5:$B$445,L46,Mayor_Mov!$H$5:$H$445,"&gt;"&amp;M46)</f>
        <v>0</v>
      </c>
      <c r="K46" s="40" t="n">
        <f aca="false">I46-J46</f>
        <v>717369.299115863</v>
      </c>
      <c r="L46" s="16" t="s">
        <v>797</v>
      </c>
      <c r="M46" s="41" t="n">
        <f aca="false">_xlfn.MAXIFS(Mayor_Mov!$H$5:$H$445,Mayor_Mov!$N$5:$N$445,A46,Mayor_Mov!$B$5:$B$445,L46,Mayor_Mov!$E$5:$E$445,"&gt;1000")</f>
        <v>0</v>
      </c>
      <c r="O46" s="36" t="s">
        <v>1300</v>
      </c>
    </row>
    <row r="47" customFormat="false" ht="15" hidden="false" customHeight="false" outlineLevel="0" collapsed="false">
      <c r="B47" s="18" t="s">
        <v>1197</v>
      </c>
      <c r="I47" s="19" t="n">
        <f aca="false">SUM(I24:I46)</f>
        <v>615672786.079588</v>
      </c>
      <c r="J47" s="19" t="n">
        <f aca="false">SUM(J24:J46)</f>
        <v>427389017</v>
      </c>
      <c r="K47" s="19" t="n">
        <f aca="false">SUM(K24:K46)</f>
        <v>188283769.079588</v>
      </c>
    </row>
    <row r="48" customFormat="false" ht="15" hidden="false" customHeight="false" outlineLevel="0" collapsed="false">
      <c r="B48" s="4" t="s">
        <v>1301</v>
      </c>
      <c r="I48" s="11" t="n">
        <f aca="false">SUMIFS(I24:I46,$L$24:$L$46,"21300101")</f>
        <v>580368605.975577</v>
      </c>
      <c r="J48" s="11" t="n">
        <f aca="false">SUMIFS(J24:J46,$L$24:$L$46,"21300101")</f>
        <v>423638680</v>
      </c>
      <c r="K48" s="11" t="n">
        <f aca="false">SUMIFS(K24:K46,$L$24:$L$46,"21300101")</f>
        <v>156729925.975577</v>
      </c>
    </row>
    <row r="49" customFormat="false" ht="15" hidden="false" customHeight="false" outlineLevel="0" collapsed="false">
      <c r="B49" s="4" t="s">
        <v>1302</v>
      </c>
      <c r="I49" s="11" t="n">
        <f aca="false">SUMIFS(I24:I46,$L$24:$L$46,"21300102")</f>
        <v>35304180.1040108</v>
      </c>
      <c r="J49" s="11" t="n">
        <f aca="false">SUMIFS(J24:J46,$L$24:$L$46,"21300102")</f>
        <v>3750337</v>
      </c>
      <c r="K49" s="11" t="n">
        <f aca="false">SUMIFS(K24:K46,$L$24:$L$46,"21300102")</f>
        <v>31553843.1040108</v>
      </c>
    </row>
    <row r="50" customFormat="false" ht="15" hidden="false" customHeight="false" outlineLevel="0" collapsed="false">
      <c r="B50" s="4" t="s">
        <v>1303</v>
      </c>
      <c r="J50" s="10" t="n">
        <f aca="false">-Balance_21!$F$25</f>
        <v>427389017.16</v>
      </c>
    </row>
    <row r="51" customFormat="false" ht="15" hidden="false" customHeight="false" outlineLevel="0" collapsed="false">
      <c r="B51" s="4" t="s">
        <v>1304</v>
      </c>
      <c r="J51" s="11" t="n">
        <f aca="false">J47-J50</f>
        <v>-0.160000026226044</v>
      </c>
      <c r="K51" s="2" t="s">
        <v>1305</v>
      </c>
    </row>
    <row r="53" customFormat="false" ht="15" hidden="false" customHeight="false" outlineLevel="0" collapsed="false">
      <c r="A53" s="3" t="s">
        <v>1306</v>
      </c>
    </row>
    <row r="54" customFormat="false" ht="39.75" hidden="false" customHeight="true" outlineLevel="0" collapsed="false">
      <c r="A54" s="8" t="s">
        <v>1016</v>
      </c>
      <c r="B54" s="8" t="s">
        <v>1307</v>
      </c>
      <c r="C54" s="8" t="s">
        <v>1308</v>
      </c>
      <c r="D54" s="8" t="s">
        <v>1246</v>
      </c>
      <c r="E54" s="8" t="s">
        <v>1247</v>
      </c>
      <c r="F54" s="8" t="s">
        <v>1248</v>
      </c>
      <c r="G54" s="8" t="s">
        <v>1249</v>
      </c>
      <c r="H54" s="8" t="s">
        <v>1309</v>
      </c>
      <c r="I54" s="8" t="s">
        <v>1310</v>
      </c>
      <c r="J54" s="8" t="s">
        <v>1311</v>
      </c>
      <c r="K54" s="8" t="s">
        <v>1098</v>
      </c>
      <c r="L54" s="8" t="s">
        <v>1312</v>
      </c>
      <c r="M54" s="8"/>
      <c r="N54" s="8"/>
      <c r="O54" s="8" t="s">
        <v>988</v>
      </c>
    </row>
    <row r="55" customFormat="false" ht="22.35" hidden="false" customHeight="false" outlineLevel="0" collapsed="false">
      <c r="A55" s="12" t="s">
        <v>800</v>
      </c>
      <c r="B55" s="16" t="s">
        <v>1313</v>
      </c>
      <c r="C55" s="17" t="n">
        <v>64041851</v>
      </c>
      <c r="D55" s="28" t="n">
        <v>0.1441</v>
      </c>
      <c r="E55" s="5" t="n">
        <v>46135</v>
      </c>
      <c r="F55" s="5" t="n">
        <v>46226</v>
      </c>
      <c r="G55" s="38" t="n">
        <f aca="false">F55-E55</f>
        <v>91</v>
      </c>
      <c r="H55" s="11" t="n">
        <f aca="false">C55/((1+D55)^(G55/365)-1)</f>
        <v>1876302602.58705</v>
      </c>
      <c r="I55" s="17" t="n">
        <v>0</v>
      </c>
      <c r="J55" s="11" t="n">
        <f aca="false">H55-I55</f>
        <v>1876302602.58705</v>
      </c>
      <c r="K55" s="10" t="n">
        <f aca="false">SUMIFS(Detalle_62!$F$14:$F$35,Detalle_62!$C$14:$C$35,A55)</f>
        <v>1883712218.08706</v>
      </c>
      <c r="L55" s="11" t="n">
        <f aca="false">K55-J55</f>
        <v>7409615.50000811</v>
      </c>
      <c r="O55" s="36" t="s">
        <v>1314</v>
      </c>
    </row>
    <row r="56" customFormat="false" ht="22.35" hidden="false" customHeight="false" outlineLevel="0" collapsed="false">
      <c r="A56" s="12" t="s">
        <v>571</v>
      </c>
      <c r="B56" s="16" t="s">
        <v>1315</v>
      </c>
      <c r="C56" s="17" t="n">
        <v>5062372</v>
      </c>
      <c r="D56" s="28" t="n">
        <v>0.1603</v>
      </c>
      <c r="E56" s="5" t="n">
        <v>46184</v>
      </c>
      <c r="F56" s="5" t="n">
        <v>46216</v>
      </c>
      <c r="G56" s="38" t="n">
        <f aca="false">F56-E56</f>
        <v>32</v>
      </c>
      <c r="H56" s="11" t="n">
        <f aca="false">C56/((1+D56)^(G56/365)-1)</f>
        <v>385846839.882521</v>
      </c>
      <c r="I56" s="17" t="n">
        <v>12327298</v>
      </c>
      <c r="J56" s="11" t="n">
        <f aca="false">H56-I56</f>
        <v>373519541.882521</v>
      </c>
      <c r="K56" s="10" t="n">
        <f aca="false">SUMIFS(Detalle_62!$F$14:$F$35,Detalle_62!$C$14:$C$35,A56)</f>
        <v>398582167.21439</v>
      </c>
      <c r="L56" s="11" t="n">
        <f aca="false">K56-J56</f>
        <v>25062625.3318693</v>
      </c>
      <c r="O56" s="36" t="s">
        <v>1314</v>
      </c>
    </row>
    <row r="57" customFormat="false" ht="22.35" hidden="false" customHeight="false" outlineLevel="0" collapsed="false">
      <c r="A57" s="12" t="s">
        <v>567</v>
      </c>
      <c r="B57" s="16" t="s">
        <v>1316</v>
      </c>
      <c r="C57" s="17" t="n">
        <v>4177893</v>
      </c>
      <c r="D57" s="28" t="n">
        <v>0.1593</v>
      </c>
      <c r="E57" s="5" t="n">
        <v>46178</v>
      </c>
      <c r="F57" s="5" t="n">
        <v>46209</v>
      </c>
      <c r="G57" s="38" t="n">
        <f aca="false">F57-E57</f>
        <v>31</v>
      </c>
      <c r="H57" s="11" t="n">
        <f aca="false">C57/((1+D57)^(G57/365)-1)</f>
        <v>330702105.858094</v>
      </c>
      <c r="I57" s="17" t="n">
        <v>8867342</v>
      </c>
      <c r="J57" s="11" t="n">
        <f aca="false">H57-I57</f>
        <v>321834763.858094</v>
      </c>
      <c r="K57" s="10" t="n">
        <f aca="false">SUMIFS(Detalle_62!$F$14:$F$35,Detalle_62!$C$14:$C$35,A57)</f>
        <v>323529688.533944</v>
      </c>
      <c r="L57" s="11" t="n">
        <f aca="false">K57-J57</f>
        <v>1694924.67585093</v>
      </c>
      <c r="O57" s="36" t="s">
        <v>1314</v>
      </c>
    </row>
    <row r="58" customFormat="false" ht="15" hidden="false" customHeight="false" outlineLevel="0" collapsed="false">
      <c r="B58" s="18" t="s">
        <v>1197</v>
      </c>
      <c r="J58" s="19" t="n">
        <f aca="false">SUM(J55:J57)</f>
        <v>2571656908.32766</v>
      </c>
      <c r="K58" s="19" t="n">
        <f aca="false">SUM(K55:K57)</f>
        <v>2605824073.83539</v>
      </c>
      <c r="L58" s="19" t="n">
        <f aca="false">SUM(L55:L57)</f>
        <v>34167165.5077283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1317</v>
      </c>
    </row>
    <row r="2" customFormat="false" ht="15" hidden="false" customHeight="false" outlineLevel="0" collapsed="false">
      <c r="A2" s="2" t="s">
        <v>1318</v>
      </c>
    </row>
    <row r="3" customFormat="false" ht="30" hidden="false" customHeight="true" outlineLevel="0" collapsed="false">
      <c r="A3" s="8" t="s">
        <v>982</v>
      </c>
      <c r="B3" s="8" t="s">
        <v>1212</v>
      </c>
      <c r="C3" s="8" t="s">
        <v>1319</v>
      </c>
    </row>
    <row r="4" customFormat="false" ht="15" hidden="false" customHeight="false" outlineLevel="0" collapsed="false">
      <c r="A4" s="4" t="s">
        <v>1320</v>
      </c>
      <c r="B4" s="10" t="n">
        <f aca="false">-(Balance_21!$C$16+Balance_21!$C$18+Balance_21!$C$20)</f>
        <v>49437161409.34</v>
      </c>
      <c r="C4" s="42" t="s">
        <v>1321</v>
      </c>
    </row>
    <row r="5" customFormat="false" ht="15" hidden="false" customHeight="false" outlineLevel="0" collapsed="false">
      <c r="A5" s="4" t="s">
        <v>1322</v>
      </c>
      <c r="B5" s="10" t="n">
        <f aca="false">-(Balance_21!$F$16+Balance_21!$F$18+Balance_21!$F$20)</f>
        <v>46204178294.33</v>
      </c>
      <c r="C5" s="42" t="s">
        <v>1321</v>
      </c>
    </row>
    <row r="6" customFormat="false" ht="15" hidden="false" customHeight="false" outlineLevel="0" collapsed="false">
      <c r="A6" s="4" t="s">
        <v>1323</v>
      </c>
      <c r="B6" s="11" t="n">
        <f aca="false">AVERAGE(B4:B5)</f>
        <v>47820669851.835</v>
      </c>
      <c r="C6" s="42"/>
    </row>
    <row r="7" customFormat="false" ht="15" hidden="false" customHeight="false" outlineLevel="0" collapsed="false">
      <c r="A7" s="4" t="s">
        <v>1324</v>
      </c>
      <c r="B7" s="34" t="n">
        <f aca="false">Detalle_62!$F$48</f>
        <v>0.149092952439153</v>
      </c>
      <c r="C7" s="42" t="s">
        <v>1325</v>
      </c>
    </row>
    <row r="8" customFormat="false" ht="15" hidden="false" customHeight="false" outlineLevel="0" collapsed="false">
      <c r="A8" s="4" t="s">
        <v>1326</v>
      </c>
      <c r="B8" s="38" t="n">
        <f aca="false">DATE(2026,7,31)-DATE(2025,12,31)</f>
        <v>212</v>
      </c>
      <c r="C8" s="42"/>
    </row>
    <row r="9" customFormat="false" ht="15" hidden="false" customHeight="false" outlineLevel="0" collapsed="false">
      <c r="A9" s="12" t="s">
        <v>1327</v>
      </c>
      <c r="B9" s="11" t="n">
        <f aca="false">B6*((1+B7)^(B8/365)-1)</f>
        <v>4020077715.73674</v>
      </c>
      <c r="C9" s="42"/>
    </row>
    <row r="10" customFormat="false" ht="15" hidden="false" customHeight="false" outlineLevel="0" collapsed="false">
      <c r="A10" s="4" t="s">
        <v>1328</v>
      </c>
      <c r="B10" s="10" t="n">
        <f aca="false">Balance_21!$F$33</f>
        <v>615032539.99</v>
      </c>
      <c r="C10" s="42"/>
    </row>
    <row r="11" customFormat="false" ht="15" hidden="false" customHeight="false" outlineLevel="0" collapsed="false">
      <c r="A11" s="4" t="s">
        <v>1329</v>
      </c>
      <c r="B11" s="10" t="n">
        <f aca="false">Balance_21!$F$34</f>
        <v>2503471375.89</v>
      </c>
      <c r="C11" s="42"/>
    </row>
    <row r="12" customFormat="false" ht="15" hidden="false" customHeight="false" outlineLevel="0" collapsed="false">
      <c r="A12" s="4" t="s">
        <v>1330</v>
      </c>
      <c r="B12" s="10" t="n">
        <f aca="false">Balance_21!$F$35</f>
        <v>423638680</v>
      </c>
      <c r="C12" s="42"/>
    </row>
    <row r="13" customFormat="false" ht="15" hidden="false" customHeight="false" outlineLevel="0" collapsed="false">
      <c r="A13" s="4" t="s">
        <v>1331</v>
      </c>
      <c r="B13" s="10" t="n">
        <f aca="false">Balance_21!$F$36</f>
        <v>3750337.32</v>
      </c>
      <c r="C13" s="42"/>
    </row>
    <row r="14" customFormat="false" ht="15" hidden="false" customHeight="false" outlineLevel="0" collapsed="false">
      <c r="A14" s="12" t="s">
        <v>1332</v>
      </c>
      <c r="B14" s="11" t="n">
        <f aca="false">SUM(B10:B13)</f>
        <v>3545892933.2</v>
      </c>
      <c r="C14" s="42" t="s">
        <v>1333</v>
      </c>
    </row>
    <row r="15" customFormat="false" ht="15" hidden="false" customHeight="false" outlineLevel="0" collapsed="false">
      <c r="A15" s="4" t="s">
        <v>1334</v>
      </c>
      <c r="B15" s="10" t="n">
        <f aca="false">Recalculo_Intereses!K47</f>
        <v>188283769.079588</v>
      </c>
      <c r="C15" s="42"/>
    </row>
    <row r="16" customFormat="false" ht="15" hidden="false" customHeight="false" outlineLevel="0" collapsed="false">
      <c r="A16" s="12" t="s">
        <v>1335</v>
      </c>
      <c r="B16" s="11" t="n">
        <f aca="false">B14+B15</f>
        <v>3734176702.27959</v>
      </c>
      <c r="C16" s="42"/>
    </row>
    <row r="17" customFormat="false" ht="15" hidden="false" customHeight="false" outlineLevel="0" collapsed="false">
      <c r="A17" s="4" t="s">
        <v>1336</v>
      </c>
      <c r="B17" s="11" t="n">
        <f aca="false">B16-B9</f>
        <v>-285901013.457154</v>
      </c>
      <c r="C17" s="42"/>
    </row>
    <row r="18" customFormat="false" ht="15" hidden="false" customHeight="false" outlineLevel="0" collapsed="false">
      <c r="A18" s="4" t="s">
        <v>1337</v>
      </c>
      <c r="B18" s="32" t="n">
        <f aca="false">B17/B9</f>
        <v>-0.0711182802108487</v>
      </c>
      <c r="C18" s="42"/>
    </row>
    <row r="19" customFormat="false" ht="15" hidden="false" customHeight="false" outlineLevel="0" collapsed="false">
      <c r="A19" s="4" t="s">
        <v>1338</v>
      </c>
      <c r="B19" s="7" t="n">
        <v>0.1</v>
      </c>
      <c r="C19" s="42" t="s">
        <v>1339</v>
      </c>
    </row>
    <row r="20" customFormat="false" ht="15" hidden="false" customHeight="false" outlineLevel="0" collapsed="false">
      <c r="A20" s="12" t="s">
        <v>33</v>
      </c>
      <c r="B20" s="4" t="str">
        <f aca="false">IF(ABS(B18)&lt;=B19,"Gasto razonable dentro del umbral","Fuera de umbral – investigar")</f>
        <v>Gasto razonable dentro del umbral</v>
      </c>
      <c r="C20" s="42"/>
    </row>
    <row r="21" customFormat="false" ht="15" hidden="false" customHeight="false" outlineLevel="0" collapsed="false">
      <c r="A21" s="4" t="s">
        <v>1340</v>
      </c>
      <c r="B21" s="10" t="n">
        <f aca="false">Balance_21!$F$32</f>
        <v>14723000.39</v>
      </c>
      <c r="C21" s="42" t="s">
        <v>1341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  <col collapsed="false" customWidth="true" hidden="false" outlineLevel="0" max="8" min="8" style="0" width="50"/>
  </cols>
  <sheetData>
    <row r="1" customFormat="false" ht="16.15" hidden="false" customHeight="false" outlineLevel="0" collapsed="false">
      <c r="A1" s="1" t="s">
        <v>1342</v>
      </c>
    </row>
    <row r="2" customFormat="false" ht="15" hidden="false" customHeight="false" outlineLevel="0" collapsed="false">
      <c r="A2" s="2" t="s">
        <v>1343</v>
      </c>
    </row>
    <row r="4" customFormat="false" ht="30" hidden="false" customHeight="true" outlineLevel="0" collapsed="false">
      <c r="A4" s="8" t="s">
        <v>982</v>
      </c>
      <c r="B4" s="8" t="s">
        <v>1344</v>
      </c>
      <c r="C4" s="8" t="s">
        <v>1345</v>
      </c>
      <c r="D4" s="8" t="s">
        <v>1346</v>
      </c>
      <c r="E4" s="8" t="s">
        <v>1347</v>
      </c>
      <c r="F4" s="8" t="s">
        <v>1348</v>
      </c>
      <c r="G4" s="8" t="s">
        <v>1349</v>
      </c>
      <c r="H4" s="8" t="s">
        <v>988</v>
      </c>
    </row>
    <row r="5" customFormat="false" ht="15" hidden="false" customHeight="false" outlineLevel="0" collapsed="false">
      <c r="A5" s="4" t="s">
        <v>911</v>
      </c>
      <c r="B5" s="10" t="n">
        <f aca="false">SUMIFS(Detalle_62!$M$14:$M$35,Detalle_62!$D$14:$D$35,"Crédito")</f>
        <v>18941666666.67</v>
      </c>
      <c r="C5" s="10" t="n">
        <f aca="false">SUMIFS(Detalle_62!$N$14:$N$35,Detalle_62!$D$14:$D$35,"Crédito")</f>
        <v>19358999998.6633</v>
      </c>
      <c r="D5" s="10" t="n">
        <f aca="false">SUMIFS(Detalle_62!$W$14:$W$35,Detalle_62!$D$14:$D$35,"Crédito")</f>
        <v>18654166666.67</v>
      </c>
      <c r="E5" s="10" t="n">
        <f aca="false">SUMIFS(Detalle_62!$X$14:$X$35,Detalle_62!$D$14:$D$35,"Crédito")</f>
        <v>19646499998.6633</v>
      </c>
      <c r="F5" s="10" t="n">
        <f aca="false">-Balance_21!$F$16</f>
        <v>17938333333</v>
      </c>
      <c r="G5" s="10" t="n">
        <f aca="false">-Balance_21!$F$18</f>
        <v>20362333333</v>
      </c>
      <c r="H5" s="36" t="s">
        <v>1350</v>
      </c>
    </row>
    <row r="6" customFormat="false" ht="15" hidden="false" customHeight="false" outlineLevel="0" collapsed="false">
      <c r="A6" s="4" t="s">
        <v>1351</v>
      </c>
      <c r="B6" s="10" t="n">
        <f aca="false">SUMIFS(Detalle_62!$M$14:$M$35,Detalle_62!$D$14:$D$35,"Leasing")</f>
        <v>2687331952.87034</v>
      </c>
      <c r="C6" s="10" t="n">
        <f aca="false">SUMIFS(Detalle_62!$N$14:$N$35,Detalle_62!$D$14:$D$35,"Leasing")</f>
        <v>4450854064.55054</v>
      </c>
      <c r="D6" s="10" t="n">
        <f aca="false">SUMIFS(Detalle_62!$W$14:$W$35,Detalle_62!$D$14:$D$35,"Leasing")</f>
        <v>2687331952.87034</v>
      </c>
      <c r="E6" s="10" t="n">
        <f aca="false">SUMIFS(Detalle_62!$X$14:$X$35,Detalle_62!$D$14:$D$35,"Leasing")</f>
        <v>4197913498.7588</v>
      </c>
      <c r="F6" s="10" t="n">
        <f aca="false">-Balance_21!$F$22</f>
        <v>1158243387.4</v>
      </c>
      <c r="G6" s="10" t="n">
        <f aca="false">-Balance_21!$F$24</f>
        <v>6745268240.93</v>
      </c>
      <c r="H6" s="36" t="s">
        <v>1352</v>
      </c>
    </row>
    <row r="7" customFormat="false" ht="15" hidden="false" customHeight="false" outlineLevel="0" collapsed="false">
      <c r="A7" s="18" t="s">
        <v>1197</v>
      </c>
      <c r="B7" s="19" t="n">
        <f aca="false">B5+B6</f>
        <v>21628998619.5403</v>
      </c>
      <c r="C7" s="19" t="n">
        <f aca="false">C5+C6</f>
        <v>23809854063.2139</v>
      </c>
      <c r="D7" s="19" t="n">
        <f aca="false">D5+D6</f>
        <v>21341498619.5403</v>
      </c>
      <c r="E7" s="19" t="n">
        <f aca="false">E5+E6</f>
        <v>23844413497.4221</v>
      </c>
      <c r="F7" s="19" t="n">
        <f aca="false">F5+F6</f>
        <v>19096576720.4</v>
      </c>
      <c r="G7" s="19" t="n">
        <f aca="false">G5+G6</f>
        <v>27107601573.93</v>
      </c>
    </row>
    <row r="9" customFormat="false" ht="15" hidden="false" customHeight="false" outlineLevel="0" collapsed="false">
      <c r="A9" s="3" t="s">
        <v>1353</v>
      </c>
    </row>
    <row r="10" customFormat="false" ht="30" hidden="false" customHeight="true" outlineLevel="0" collapsed="false">
      <c r="A10" s="8" t="s">
        <v>982</v>
      </c>
      <c r="B10" s="8" t="s">
        <v>1354</v>
      </c>
      <c r="C10" s="8"/>
      <c r="D10" s="8"/>
      <c r="E10" s="8"/>
      <c r="F10" s="8"/>
      <c r="G10" s="8"/>
      <c r="H10" s="8" t="s">
        <v>988</v>
      </c>
    </row>
    <row r="11" customFormat="false" ht="15" hidden="false" customHeight="false" outlineLevel="0" collapsed="false">
      <c r="A11" s="4" t="s">
        <v>1355</v>
      </c>
      <c r="B11" s="37" t="n">
        <f aca="false">D5-F5</f>
        <v>715833333.669998</v>
      </c>
    </row>
    <row r="12" customFormat="false" ht="22.35" hidden="false" customHeight="false" outlineLevel="0" collapsed="false">
      <c r="A12" s="4" t="s">
        <v>1356</v>
      </c>
      <c r="B12" s="13" t="n">
        <f aca="false">D6-(F6-SUMIFS(Mayor_Mov!$F$5:$F$445,Mayor_Mov!$N$5:$N$445,"BCL-L386735",Mayor_Mov!$B$5:$B$445,"21202040"))</f>
        <v>2101451761.47034</v>
      </c>
      <c r="H12" s="36" t="s">
        <v>1357</v>
      </c>
    </row>
    <row r="13" customFormat="false" ht="15" hidden="false" customHeight="false" outlineLevel="0" collapsed="false">
      <c r="A13" s="4" t="s">
        <v>1358</v>
      </c>
      <c r="B13" s="13" t="n">
        <f aca="false">-Balance_21!$F$19</f>
        <v>31135731.73</v>
      </c>
    </row>
    <row r="15" customFormat="false" ht="15" hidden="false" customHeight="false" outlineLevel="0" collapsed="false">
      <c r="A15" s="3" t="s">
        <v>1359</v>
      </c>
    </row>
    <row r="16" customFormat="false" ht="30" hidden="false" customHeight="true" outlineLevel="0" collapsed="false">
      <c r="A16" s="8" t="s">
        <v>1016</v>
      </c>
      <c r="B16" s="8" t="s">
        <v>1360</v>
      </c>
      <c r="C16" s="8" t="s">
        <v>1361</v>
      </c>
      <c r="D16" s="8" t="s">
        <v>1362</v>
      </c>
      <c r="E16" s="8" t="s">
        <v>1363</v>
      </c>
      <c r="F16" s="8"/>
      <c r="G16" s="8"/>
      <c r="H16" s="8" t="s">
        <v>1364</v>
      </c>
    </row>
    <row r="17" customFormat="false" ht="15" hidden="false" customHeight="false" outlineLevel="0" collapsed="false">
      <c r="A17" s="12" t="s">
        <v>613</v>
      </c>
      <c r="B17" s="10" t="n">
        <f aca="false">Detalle_62!F25</f>
        <v>381845387.419314</v>
      </c>
      <c r="C17" s="10" t="n">
        <f aca="false">Detalle_62!M25</f>
        <v>175631569.283009</v>
      </c>
      <c r="D17" s="10" t="n">
        <f aca="false">Detalle_62!N25</f>
        <v>459154383.928047</v>
      </c>
      <c r="E17" s="11" t="n">
        <f aca="false">C17+D17-B17</f>
        <v>252940565.791742</v>
      </c>
      <c r="H17" s="36" t="s">
        <v>1365</v>
      </c>
    </row>
    <row r="18" customFormat="false" ht="15" hidden="false" customHeight="false" outlineLevel="0" collapsed="false">
      <c r="A18" s="12" t="s">
        <v>135</v>
      </c>
      <c r="B18" s="10" t="n">
        <f aca="false">Detalle_62!F30</f>
        <v>287500000</v>
      </c>
      <c r="C18" s="10" t="n">
        <f aca="false">Detalle_62!M30</f>
        <v>575000000</v>
      </c>
      <c r="D18" s="10" t="n">
        <f aca="false">Detalle_62!N30</f>
        <v>-287500000</v>
      </c>
      <c r="E18" s="11" t="n">
        <f aca="false">C18+D18-B18</f>
        <v>0</v>
      </c>
      <c r="H18" s="36" t="s">
        <v>1366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55"/>
  </cols>
  <sheetData>
    <row r="1" customFormat="false" ht="16.15" hidden="false" customHeight="false" outlineLevel="0" collapsed="false">
      <c r="A1" s="1" t="s">
        <v>1367</v>
      </c>
    </row>
    <row r="2" customFormat="false" ht="15" hidden="false" customHeight="false" outlineLevel="0" collapsed="false">
      <c r="A2" s="2" t="s">
        <v>1368</v>
      </c>
    </row>
    <row r="4" customFormat="false" ht="30" hidden="false" customHeight="true" outlineLevel="0" collapsed="false">
      <c r="A4" s="8" t="s">
        <v>1091</v>
      </c>
      <c r="B4" s="8" t="s">
        <v>1369</v>
      </c>
      <c r="C4" s="8" t="s">
        <v>1370</v>
      </c>
      <c r="D4" s="8" t="s">
        <v>1371</v>
      </c>
      <c r="E4" s="8" t="s">
        <v>1372</v>
      </c>
      <c r="F4" s="8" t="s">
        <v>1373</v>
      </c>
    </row>
    <row r="5" customFormat="false" ht="63.75" hidden="false" customHeight="true" outlineLevel="0" collapsed="false">
      <c r="A5" s="4" t="n">
        <v>1</v>
      </c>
      <c r="B5" s="9" t="s">
        <v>1374</v>
      </c>
      <c r="C5" s="9" t="s">
        <v>1375</v>
      </c>
      <c r="D5" s="10" t="n">
        <f aca="false">Cruce_Detalle_Mayor!F14</f>
        <v>675837500</v>
      </c>
      <c r="E5" s="9" t="s">
        <v>1376</v>
      </c>
      <c r="F5" s="9" t="s">
        <v>1377</v>
      </c>
    </row>
    <row r="6" customFormat="false" ht="63.75" hidden="false" customHeight="true" outlineLevel="0" collapsed="false">
      <c r="A6" s="4" t="n">
        <v>2</v>
      </c>
      <c r="B6" s="9" t="s">
        <v>1378</v>
      </c>
      <c r="C6" s="9" t="s">
        <v>1379</v>
      </c>
      <c r="D6" s="10" t="n">
        <f aca="false">Cruce_Detalle_Mayor!F7</f>
        <v>1018266176.70086</v>
      </c>
      <c r="E6" s="9" t="s">
        <v>1380</v>
      </c>
      <c r="F6" s="9" t="s">
        <v>1381</v>
      </c>
    </row>
    <row r="7" customFormat="false" ht="63.75" hidden="false" customHeight="true" outlineLevel="0" collapsed="false">
      <c r="A7" s="4" t="n">
        <v>3</v>
      </c>
      <c r="B7" s="9" t="s">
        <v>1382</v>
      </c>
      <c r="C7" s="9" t="s">
        <v>1383</v>
      </c>
      <c r="D7" s="10" t="n">
        <f aca="false">Cruce_Detalle_Mayor!F16</f>
        <v>170820422.336308</v>
      </c>
      <c r="E7" s="9" t="s">
        <v>1384</v>
      </c>
      <c r="F7" s="9" t="s">
        <v>1385</v>
      </c>
    </row>
    <row r="8" customFormat="false" ht="63.75" hidden="false" customHeight="true" outlineLevel="0" collapsed="false">
      <c r="A8" s="4" t="n">
        <v>4</v>
      </c>
      <c r="B8" s="9" t="s">
        <v>1382</v>
      </c>
      <c r="C8" s="9" t="s">
        <v>1386</v>
      </c>
      <c r="D8" s="10" t="n">
        <f aca="false">-Certificados!$L$23</f>
        <v>171608254.364557</v>
      </c>
      <c r="E8" s="9" t="s">
        <v>1387</v>
      </c>
      <c r="F8" s="9" t="s">
        <v>1388</v>
      </c>
    </row>
    <row r="9" customFormat="false" ht="63.75" hidden="false" customHeight="true" outlineLevel="0" collapsed="false">
      <c r="A9" s="4" t="n">
        <v>5</v>
      </c>
      <c r="B9" s="9" t="s">
        <v>1389</v>
      </c>
      <c r="C9" s="9" t="s">
        <v>1390</v>
      </c>
      <c r="D9" s="10" t="n">
        <f aca="false">Recalculo_Intereses!K47</f>
        <v>188283769.079588</v>
      </c>
      <c r="E9" s="9" t="s">
        <v>1391</v>
      </c>
      <c r="F9" s="9" t="s">
        <v>1392</v>
      </c>
    </row>
    <row r="10" customFormat="false" ht="63.75" hidden="false" customHeight="true" outlineLevel="0" collapsed="false">
      <c r="A10" s="4" t="n">
        <v>6</v>
      </c>
      <c r="B10" s="9" t="s">
        <v>1382</v>
      </c>
      <c r="C10" s="9" t="s">
        <v>1393</v>
      </c>
      <c r="D10" s="10" t="n">
        <f aca="false">Recalculo_Intereses!K7+Recalculo_Intereses!K8</f>
        <v>-51336719.6488978</v>
      </c>
      <c r="E10" s="9" t="s">
        <v>1394</v>
      </c>
      <c r="F10" s="9" t="s">
        <v>1395</v>
      </c>
    </row>
    <row r="11" customFormat="false" ht="63.75" hidden="false" customHeight="true" outlineLevel="0" collapsed="false">
      <c r="A11" s="4" t="n">
        <v>7</v>
      </c>
      <c r="B11" s="9" t="s">
        <v>1396</v>
      </c>
      <c r="C11" s="9" t="s">
        <v>1397</v>
      </c>
      <c r="D11" s="11" t="s">
        <v>1398</v>
      </c>
      <c r="E11" s="9" t="s">
        <v>1399</v>
      </c>
      <c r="F11" s="9" t="s">
        <v>1400</v>
      </c>
    </row>
    <row r="12" customFormat="false" ht="63.75" hidden="false" customHeight="true" outlineLevel="0" collapsed="false">
      <c r="A12" s="4" t="n">
        <v>8</v>
      </c>
      <c r="B12" s="9" t="s">
        <v>1401</v>
      </c>
      <c r="C12" s="9" t="s">
        <v>1402</v>
      </c>
      <c r="D12" s="10" t="n">
        <f aca="false">Clasif_CP_LP!B11+Clasif_CP_LP!B12</f>
        <v>2817285095.14034</v>
      </c>
      <c r="E12" s="9" t="s">
        <v>1403</v>
      </c>
      <c r="F12" s="9" t="s">
        <v>1404</v>
      </c>
    </row>
    <row r="13" customFormat="false" ht="63.75" hidden="false" customHeight="true" outlineLevel="0" collapsed="false">
      <c r="A13" s="4" t="n">
        <v>9</v>
      </c>
      <c r="B13" s="9" t="s">
        <v>1401</v>
      </c>
      <c r="C13" s="9" t="s">
        <v>1405</v>
      </c>
      <c r="D13" s="10" t="n">
        <f aca="false">Clasif_CP_LP!B13</f>
        <v>31135731.73</v>
      </c>
      <c r="E13" s="9" t="s">
        <v>1406</v>
      </c>
      <c r="F13" s="9" t="s">
        <v>1407</v>
      </c>
    </row>
    <row r="14" customFormat="false" ht="63.75" hidden="false" customHeight="true" outlineLevel="0" collapsed="false">
      <c r="A14" s="4" t="n">
        <v>10</v>
      </c>
      <c r="B14" s="9" t="s">
        <v>1382</v>
      </c>
      <c r="C14" s="9" t="s">
        <v>1408</v>
      </c>
      <c r="D14" s="11" t="n">
        <f aca="false">127.57+269.47+627.79+617.95+786.8</f>
        <v>2429.58</v>
      </c>
      <c r="E14" s="9" t="s">
        <v>1409</v>
      </c>
      <c r="F14" s="9" t="s">
        <v>1410</v>
      </c>
    </row>
    <row r="15" customFormat="false" ht="63.75" hidden="false" customHeight="true" outlineLevel="0" collapsed="false">
      <c r="A15" s="4" t="n">
        <v>11</v>
      </c>
      <c r="B15" s="9" t="s">
        <v>1411</v>
      </c>
      <c r="C15" s="9" t="s">
        <v>1412</v>
      </c>
      <c r="D15" s="17" t="n">
        <v>11973677</v>
      </c>
      <c r="E15" s="9" t="s">
        <v>1387</v>
      </c>
      <c r="F15" s="9" t="s">
        <v>1413</v>
      </c>
    </row>
    <row r="16" customFormat="false" ht="63.75" hidden="false" customHeight="true" outlineLevel="0" collapsed="false">
      <c r="A16" s="4" t="n">
        <v>12</v>
      </c>
      <c r="B16" s="9" t="s">
        <v>1414</v>
      </c>
      <c r="C16" s="9" t="s">
        <v>1415</v>
      </c>
      <c r="D16" s="11" t="n">
        <f aca="false">4068134+31360500+8261283</f>
        <v>43689917</v>
      </c>
      <c r="E16" s="9" t="s">
        <v>1416</v>
      </c>
      <c r="F16" s="9" t="s">
        <v>1417</v>
      </c>
    </row>
    <row r="17" customFormat="false" ht="63.75" hidden="false" customHeight="true" outlineLevel="0" collapsed="false">
      <c r="A17" s="4" t="n">
        <v>13</v>
      </c>
      <c r="B17" s="9" t="s">
        <v>1418</v>
      </c>
      <c r="C17" s="9" t="s">
        <v>1419</v>
      </c>
      <c r="D17" s="10" t="n">
        <f aca="false">Certificados!K34</f>
        <v>6758520534.1583</v>
      </c>
      <c r="E17" s="9" t="s">
        <v>1420</v>
      </c>
      <c r="F17" s="9" t="s">
        <v>1421</v>
      </c>
    </row>
    <row r="18" customFormat="false" ht="63.75" hidden="false" customHeight="true" outlineLevel="0" collapsed="false">
      <c r="A18" s="4" t="n">
        <v>14</v>
      </c>
      <c r="B18" s="9" t="s">
        <v>1396</v>
      </c>
      <c r="C18" s="9" t="s">
        <v>1422</v>
      </c>
      <c r="D18" s="11" t="s">
        <v>1398</v>
      </c>
      <c r="E18" s="9" t="s">
        <v>1423</v>
      </c>
      <c r="F18" s="9" t="s">
        <v>1424</v>
      </c>
    </row>
    <row r="19" customFormat="false" ht="63.75" hidden="false" customHeight="true" outlineLevel="0" collapsed="false">
      <c r="A19" s="4" t="n">
        <v>15</v>
      </c>
      <c r="B19" s="9" t="s">
        <v>1425</v>
      </c>
      <c r="C19" s="9" t="s">
        <v>1426</v>
      </c>
      <c r="D19" s="11" t="s">
        <v>1398</v>
      </c>
      <c r="E19" s="9" t="s">
        <v>1427</v>
      </c>
      <c r="F19" s="9" t="s">
        <v>1428</v>
      </c>
    </row>
    <row r="20" customFormat="false" ht="63.75" hidden="false" customHeight="true" outlineLevel="0" collapsed="false">
      <c r="A20" s="4" t="n">
        <v>16</v>
      </c>
      <c r="B20" s="9" t="s">
        <v>1414</v>
      </c>
      <c r="C20" s="9" t="s">
        <v>1429</v>
      </c>
      <c r="D20" s="11" t="s">
        <v>1398</v>
      </c>
      <c r="E20" s="9" t="s">
        <v>1430</v>
      </c>
      <c r="F20" s="9" t="s">
        <v>1431</v>
      </c>
    </row>
    <row r="21" customFormat="false" ht="63.75" hidden="false" customHeight="true" outlineLevel="0" collapsed="false">
      <c r="A21" s="4" t="n">
        <v>17</v>
      </c>
      <c r="B21" s="9" t="s">
        <v>1374</v>
      </c>
      <c r="C21" s="9" t="s">
        <v>1432</v>
      </c>
      <c r="D21" s="10" t="n">
        <f aca="false">Cruce_Mov_Balance!H12</f>
        <v>-2.60770320892334E-008</v>
      </c>
      <c r="E21" s="9" t="s">
        <v>1433</v>
      </c>
      <c r="F21" s="9" t="s">
        <v>1434</v>
      </c>
    </row>
    <row r="23" customFormat="false" ht="15" hidden="false" customHeight="false" outlineLevel="0" collapsed="false">
      <c r="A23" s="24" t="s">
        <v>1435</v>
      </c>
      <c r="B23" s="25"/>
      <c r="C23" s="25"/>
      <c r="D23" s="25"/>
      <c r="E23" s="25"/>
      <c r="F23" s="25"/>
    </row>
    <row r="24" customFormat="false" ht="30" hidden="false" customHeight="true" outlineLevel="0" collapsed="false">
      <c r="A24" s="8" t="s">
        <v>1436</v>
      </c>
      <c r="B24" s="8" t="s">
        <v>63</v>
      </c>
      <c r="C24" s="8" t="s">
        <v>73</v>
      </c>
      <c r="D24" s="8" t="s">
        <v>66</v>
      </c>
      <c r="E24" s="8" t="s">
        <v>67</v>
      </c>
      <c r="F24" s="8" t="s">
        <v>1213</v>
      </c>
    </row>
    <row r="25" customFormat="false" ht="15" hidden="false" customHeight="false" outlineLevel="0" collapsed="false">
      <c r="A25" s="4" t="s">
        <v>1437</v>
      </c>
      <c r="B25" s="16" t="s">
        <v>959</v>
      </c>
      <c r="C25" s="4" t="s">
        <v>1438</v>
      </c>
      <c r="D25" s="10" t="n">
        <f aca="false">Recalculo_Intereses!K48</f>
        <v>156729925.975577</v>
      </c>
      <c r="E25" s="11"/>
      <c r="F25" s="9" t="s">
        <v>1439</v>
      </c>
    </row>
    <row r="26" customFormat="false" ht="15" hidden="false" customHeight="false" outlineLevel="0" collapsed="false">
      <c r="A26" s="4" t="s">
        <v>1437</v>
      </c>
      <c r="B26" s="16" t="s">
        <v>676</v>
      </c>
      <c r="C26" s="4" t="s">
        <v>1440</v>
      </c>
      <c r="D26" s="11"/>
      <c r="E26" s="10" t="n">
        <f aca="false">Recalculo_Intereses!K48</f>
        <v>156729925.975577</v>
      </c>
      <c r="F26" s="9"/>
    </row>
    <row r="27" customFormat="false" ht="15" hidden="false" customHeight="false" outlineLevel="0" collapsed="false">
      <c r="A27" s="4" t="s">
        <v>1437</v>
      </c>
      <c r="B27" s="16" t="s">
        <v>961</v>
      </c>
      <c r="C27" s="4" t="s">
        <v>1441</v>
      </c>
      <c r="D27" s="10" t="n">
        <f aca="false">Recalculo_Intereses!K49</f>
        <v>31553843.1040108</v>
      </c>
      <c r="E27" s="11"/>
      <c r="F27" s="9" t="s">
        <v>1442</v>
      </c>
    </row>
    <row r="28" customFormat="false" ht="15" hidden="false" customHeight="false" outlineLevel="0" collapsed="false">
      <c r="A28" s="4" t="s">
        <v>1437</v>
      </c>
      <c r="B28" s="16" t="s">
        <v>797</v>
      </c>
      <c r="C28" s="4" t="s">
        <v>1443</v>
      </c>
      <c r="D28" s="11"/>
      <c r="E28" s="10" t="n">
        <f aca="false">Recalculo_Intereses!K49</f>
        <v>31553843.1040108</v>
      </c>
      <c r="F28" s="9"/>
    </row>
    <row r="29" customFormat="false" ht="15" hidden="false" customHeight="false" outlineLevel="0" collapsed="false">
      <c r="A29" s="4" t="s">
        <v>1444</v>
      </c>
      <c r="B29" s="16" t="s">
        <v>101</v>
      </c>
      <c r="C29" s="4" t="s">
        <v>1445</v>
      </c>
      <c r="D29" s="10" t="n">
        <f aca="false">Clasif_CP_LP!B11</f>
        <v>715833333.669998</v>
      </c>
      <c r="E29" s="11"/>
      <c r="F29" s="9" t="s">
        <v>1446</v>
      </c>
    </row>
    <row r="30" customFormat="false" ht="15" hidden="false" customHeight="false" outlineLevel="0" collapsed="false">
      <c r="A30" s="4" t="s">
        <v>1444</v>
      </c>
      <c r="B30" s="16" t="s">
        <v>78</v>
      </c>
      <c r="C30" s="4" t="s">
        <v>1447</v>
      </c>
      <c r="D30" s="11"/>
      <c r="E30" s="10" t="n">
        <f aca="false">Clasif_CP_LP!B11</f>
        <v>715833333.669998</v>
      </c>
      <c r="F30" s="9"/>
    </row>
    <row r="31" customFormat="false" ht="15" hidden="false" customHeight="false" outlineLevel="0" collapsed="false">
      <c r="A31" s="4" t="s">
        <v>1444</v>
      </c>
      <c r="B31" s="16" t="s">
        <v>562</v>
      </c>
      <c r="C31" s="4" t="s">
        <v>1448</v>
      </c>
      <c r="D31" s="10" t="n">
        <f aca="false">Clasif_CP_LP!B12</f>
        <v>2101451761.47034</v>
      </c>
      <c r="E31" s="11"/>
      <c r="F31" s="9"/>
    </row>
    <row r="32" customFormat="false" ht="15" hidden="false" customHeight="false" outlineLevel="0" collapsed="false">
      <c r="A32" s="4" t="s">
        <v>1444</v>
      </c>
      <c r="B32" s="16" t="s">
        <v>543</v>
      </c>
      <c r="C32" s="4" t="s">
        <v>1449</v>
      </c>
      <c r="D32" s="11"/>
      <c r="E32" s="10" t="n">
        <f aca="false">Clasif_CP_LP!B12</f>
        <v>2101451761.47034</v>
      </c>
      <c r="F32" s="9"/>
    </row>
    <row r="33" customFormat="false" ht="15" hidden="false" customHeight="false" outlineLevel="0" collapsed="false">
      <c r="C33" s="18" t="s">
        <v>1450</v>
      </c>
      <c r="D33" s="19" t="n">
        <f aca="false">SUM(D25:D32)</f>
        <v>3005568864.21992</v>
      </c>
      <c r="E33" s="19" t="n">
        <f aca="false">SUM(E25:E32)</f>
        <v>3005568864.21992</v>
      </c>
    </row>
    <row r="34" customFormat="false" ht="15" hidden="false" customHeight="false" outlineLevel="0" collapsed="false">
      <c r="C34" s="2" t="s">
        <v>1451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2026-10-01T01:53:50Z</dcterms:created>
  <dc:creator>openpyxl</dc:creator>
  <dc:description/>
  <dc:language>en-US</dc:language>
  <cp:lastModifiedBy/>
  <dcterms:modified xsi:type="dcterms:W3CDTF">2026-10-01T01:53:51Z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